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firstSheet="3" activeTab="11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PURCHASE_LIM" sheetId="63" r:id="rId6"/>
    <sheet name="MANOR_LEVEL" sheetId="45" r:id="rId7"/>
    <sheet name="PLAYER_LEVEL" sheetId="44" r:id="rId8"/>
    <sheet name="ROB_PROPORTION" sheetId="62" r:id="rId9"/>
    <sheet name="PLAYER_ATTR" sheetId="60" r:id="rId10"/>
    <sheet name="ZOMBIE_ATTR" sheetId="64" r:id="rId11"/>
    <sheet name="WORLD_EVENTS" sheetId="57" r:id="rId12"/>
    <sheet name="ARITHMETIC_COEFFICIENT" sheetId="53" r:id="rId13"/>
    <sheet name="BAR_TIME" sheetId="65" r:id="rId14"/>
  </sheets>
  <calcPr calcId="152511" concurrentCalc="0"/>
</workbook>
</file>

<file path=xl/calcChain.xml><?xml version="1.0" encoding="utf-8"?>
<calcChain xmlns="http://schemas.openxmlformats.org/spreadsheetml/2006/main">
  <c r="P5" i="57" l="1"/>
  <c r="P6" i="57"/>
  <c r="P7" i="57"/>
  <c r="P8" i="57"/>
  <c r="P9" i="57"/>
  <c r="P10" i="57"/>
  <c r="P11" i="57"/>
  <c r="P12" i="57"/>
  <c r="P13" i="57"/>
  <c r="P14" i="57"/>
  <c r="P15" i="57"/>
  <c r="P16" i="57"/>
  <c r="P17" i="57"/>
  <c r="P18" i="57"/>
  <c r="P19" i="57"/>
  <c r="P20" i="57"/>
  <c r="P21" i="57"/>
  <c r="P22" i="57"/>
  <c r="P23" i="57"/>
  <c r="P24" i="57"/>
  <c r="P25" i="57"/>
  <c r="P26" i="57"/>
  <c r="P27" i="57"/>
  <c r="P28" i="57"/>
  <c r="P29" i="57"/>
  <c r="P30" i="57"/>
  <c r="P31" i="57"/>
  <c r="P32" i="57"/>
  <c r="P33" i="57"/>
  <c r="P34" i="57"/>
  <c r="P35" i="57"/>
  <c r="P36" i="57"/>
  <c r="P37" i="57"/>
  <c r="P38" i="57"/>
  <c r="P39" i="57"/>
  <c r="P40" i="57"/>
  <c r="P41" i="57"/>
  <c r="P42" i="57"/>
  <c r="P43" i="57"/>
  <c r="P44" i="57"/>
  <c r="P45" i="57"/>
  <c r="P46" i="57"/>
  <c r="P47" i="57"/>
  <c r="P48" i="57"/>
  <c r="P49" i="57"/>
  <c r="P50" i="57"/>
  <c r="P51" i="57"/>
  <c r="P52" i="57"/>
  <c r="P53" i="57"/>
  <c r="P54" i="57"/>
  <c r="P55" i="57"/>
  <c r="P56" i="57"/>
  <c r="P57" i="57"/>
  <c r="P58" i="57"/>
  <c r="P59" i="57"/>
  <c r="P60" i="57"/>
  <c r="P61" i="57"/>
  <c r="P62" i="57"/>
  <c r="P63" i="57"/>
  <c r="P64" i="57"/>
  <c r="P65" i="57"/>
  <c r="P66" i="57"/>
  <c r="P67" i="57"/>
  <c r="P68" i="57"/>
  <c r="P69" i="57"/>
  <c r="P70" i="57"/>
  <c r="P71" i="57"/>
  <c r="P72" i="57"/>
  <c r="P73" i="57"/>
  <c r="P74" i="57"/>
  <c r="P75" i="57"/>
  <c r="P76" i="57"/>
  <c r="P77" i="57"/>
  <c r="P78" i="57"/>
  <c r="P79" i="57"/>
  <c r="P80" i="57"/>
  <c r="P81" i="57"/>
  <c r="P82" i="57"/>
  <c r="P83" i="57"/>
  <c r="P84" i="57"/>
  <c r="P85" i="57"/>
  <c r="P86" i="57"/>
  <c r="P87" i="57"/>
  <c r="P88" i="57"/>
  <c r="P89" i="57"/>
  <c r="P90" i="57"/>
  <c r="P91" i="57"/>
  <c r="P92" i="57"/>
  <c r="P93" i="57"/>
  <c r="P94" i="57"/>
  <c r="P95" i="57"/>
  <c r="P96" i="57"/>
  <c r="P97" i="57"/>
  <c r="P98" i="57"/>
  <c r="P99" i="57"/>
  <c r="P100" i="57"/>
  <c r="P101" i="57"/>
  <c r="P102" i="57"/>
  <c r="P103" i="57"/>
  <c r="P104" i="57"/>
  <c r="P105" i="57"/>
  <c r="P106" i="57"/>
  <c r="P107" i="57"/>
  <c r="P108" i="57"/>
  <c r="P109" i="57"/>
  <c r="P110" i="57"/>
  <c r="P111" i="57"/>
  <c r="P112" i="57"/>
  <c r="P113" i="57"/>
  <c r="P114" i="57"/>
  <c r="P115" i="57"/>
  <c r="P116" i="57"/>
  <c r="P117" i="57"/>
  <c r="P118" i="57"/>
  <c r="P119" i="57"/>
  <c r="P120" i="57"/>
  <c r="P121" i="57"/>
  <c r="P122" i="57"/>
  <c r="P123" i="57"/>
  <c r="P124" i="57"/>
  <c r="P125" i="57"/>
  <c r="P126" i="57"/>
  <c r="P127" i="57"/>
  <c r="P128" i="57"/>
  <c r="P129" i="57"/>
  <c r="P130" i="57"/>
  <c r="P131" i="57"/>
  <c r="P132" i="57"/>
  <c r="P133" i="57"/>
  <c r="P134" i="57"/>
  <c r="P135" i="57"/>
  <c r="P136" i="57"/>
  <c r="P137" i="57"/>
  <c r="P138" i="57"/>
  <c r="P139" i="57"/>
  <c r="P140" i="57"/>
  <c r="P141" i="57"/>
  <c r="P142" i="57"/>
  <c r="P143" i="57"/>
  <c r="P144" i="57"/>
  <c r="P145" i="57"/>
  <c r="P146" i="57"/>
  <c r="P147" i="57"/>
  <c r="P148" i="57"/>
  <c r="P149" i="57"/>
  <c r="P150" i="57"/>
  <c r="P151" i="57"/>
  <c r="P152" i="57"/>
  <c r="P153" i="57"/>
  <c r="P154" i="57"/>
  <c r="P155" i="57"/>
  <c r="P156" i="57"/>
  <c r="P157" i="57"/>
  <c r="P158" i="57"/>
  <c r="P159" i="57"/>
  <c r="P160" i="57"/>
  <c r="P161" i="57"/>
  <c r="P162" i="57"/>
  <c r="P163" i="57"/>
  <c r="P164" i="57"/>
  <c r="P165" i="57"/>
  <c r="P166" i="57"/>
  <c r="P167" i="57"/>
  <c r="P168" i="57"/>
  <c r="P169" i="57"/>
  <c r="P170" i="57"/>
  <c r="P171" i="57"/>
  <c r="P172" i="57"/>
  <c r="P173" i="57"/>
  <c r="P174" i="57"/>
  <c r="P175" i="57"/>
  <c r="P176" i="57"/>
  <c r="P177" i="57"/>
  <c r="P178" i="57"/>
  <c r="P179" i="57"/>
  <c r="P180" i="57"/>
  <c r="P181" i="57"/>
  <c r="P182" i="57"/>
  <c r="P183" i="57"/>
  <c r="P184" i="57"/>
  <c r="P185" i="57"/>
  <c r="P186" i="57"/>
  <c r="P187" i="57"/>
  <c r="P188" i="57"/>
  <c r="P189" i="57"/>
  <c r="P190" i="57"/>
  <c r="P191" i="57"/>
  <c r="P192" i="57"/>
  <c r="P193" i="57"/>
  <c r="P194" i="57"/>
  <c r="P195" i="57"/>
  <c r="P196" i="57"/>
  <c r="P197" i="57"/>
  <c r="P198" i="57"/>
  <c r="P199" i="57"/>
  <c r="P200" i="57"/>
  <c r="P201" i="57"/>
  <c r="P202" i="57"/>
  <c r="P203" i="57"/>
  <c r="P204" i="57"/>
  <c r="P205" i="57"/>
  <c r="P206" i="57"/>
  <c r="P207" i="57"/>
  <c r="P208" i="57"/>
  <c r="P209" i="57"/>
  <c r="P210" i="57"/>
  <c r="P211" i="57"/>
  <c r="P212" i="57"/>
  <c r="P213" i="57"/>
  <c r="P214" i="57"/>
  <c r="P215" i="57"/>
  <c r="P216" i="57"/>
  <c r="P217" i="57"/>
  <c r="P218" i="57"/>
  <c r="P219" i="57"/>
  <c r="P220" i="57"/>
  <c r="P221" i="57"/>
  <c r="P222" i="57"/>
  <c r="P223" i="57"/>
  <c r="P224" i="57"/>
  <c r="P195" i="64"/>
  <c r="P185" i="64"/>
  <c r="P175" i="64"/>
  <c r="P165" i="64"/>
  <c r="P155" i="64"/>
  <c r="P145" i="64"/>
  <c r="P135" i="64"/>
  <c r="P125" i="64"/>
  <c r="P115" i="64"/>
  <c r="P105" i="64"/>
  <c r="P95" i="64"/>
  <c r="P85" i="64"/>
  <c r="P75" i="64"/>
  <c r="P65" i="64"/>
  <c r="P55" i="64"/>
  <c r="P45" i="64"/>
  <c r="P35" i="64"/>
  <c r="P25" i="64"/>
  <c r="P15" i="64"/>
  <c r="P5" i="64"/>
  <c r="O195" i="64"/>
  <c r="O185" i="64"/>
  <c r="O175" i="64"/>
  <c r="O165" i="64"/>
  <c r="O155" i="64"/>
  <c r="O145" i="64"/>
  <c r="O135" i="64"/>
  <c r="O125" i="64"/>
  <c r="O115" i="64"/>
  <c r="O105" i="64"/>
  <c r="O95" i="64"/>
  <c r="O85" i="64"/>
  <c r="O75" i="64"/>
  <c r="O65" i="64"/>
  <c r="O55" i="64"/>
  <c r="O45" i="64"/>
  <c r="O35" i="64"/>
  <c r="O25" i="64"/>
  <c r="O15" i="64"/>
  <c r="O5" i="64"/>
  <c r="N6" i="64"/>
  <c r="N7" i="64"/>
  <c r="N8" i="64"/>
  <c r="N9" i="64"/>
  <c r="N10" i="64"/>
  <c r="N11" i="64"/>
  <c r="N12" i="64"/>
  <c r="N13" i="64"/>
  <c r="N14" i="64"/>
  <c r="N15" i="64"/>
  <c r="N16" i="64"/>
  <c r="N17" i="64"/>
  <c r="N18" i="64"/>
  <c r="N19" i="64"/>
  <c r="N20" i="64"/>
  <c r="N21" i="64"/>
  <c r="N22" i="64"/>
  <c r="N23" i="64"/>
  <c r="N24" i="64"/>
  <c r="N25" i="64"/>
  <c r="N26" i="64"/>
  <c r="N27" i="64"/>
  <c r="N28" i="64"/>
  <c r="N29" i="64"/>
  <c r="N30" i="64"/>
  <c r="N31" i="64"/>
  <c r="N32" i="64"/>
  <c r="N33" i="64"/>
  <c r="N34" i="64"/>
  <c r="N35" i="64"/>
  <c r="N36" i="64"/>
  <c r="N37" i="64"/>
  <c r="N38" i="64"/>
  <c r="N39" i="64"/>
  <c r="N40" i="64"/>
  <c r="N41" i="64"/>
  <c r="N42" i="64"/>
  <c r="N43" i="64"/>
  <c r="N44" i="64"/>
  <c r="N45" i="64"/>
  <c r="N46" i="64"/>
  <c r="N47" i="64"/>
  <c r="N48" i="64"/>
  <c r="N49" i="64"/>
  <c r="N50" i="64"/>
  <c r="N51" i="64"/>
  <c r="N52" i="64"/>
  <c r="N53" i="64"/>
  <c r="N54" i="64"/>
  <c r="N55" i="64"/>
  <c r="N56" i="64"/>
  <c r="N57" i="64"/>
  <c r="N58" i="64"/>
  <c r="N59" i="64"/>
  <c r="N60" i="64"/>
  <c r="N61" i="64"/>
  <c r="N62" i="64"/>
  <c r="N63" i="64"/>
  <c r="N64" i="64"/>
  <c r="N65" i="64"/>
  <c r="N66" i="64"/>
  <c r="N67" i="64"/>
  <c r="N68" i="64"/>
  <c r="N69" i="64"/>
  <c r="N70" i="64"/>
  <c r="N71" i="64"/>
  <c r="N72" i="64"/>
  <c r="N73" i="64"/>
  <c r="N74" i="64"/>
  <c r="N75" i="64"/>
  <c r="N76" i="64"/>
  <c r="N77" i="64"/>
  <c r="N78" i="64"/>
  <c r="N79" i="64"/>
  <c r="N80" i="64"/>
  <c r="N81" i="64"/>
  <c r="N82" i="64"/>
  <c r="N83" i="64"/>
  <c r="N84" i="64"/>
  <c r="N85" i="64"/>
  <c r="N86" i="64"/>
  <c r="N87" i="64"/>
  <c r="N88" i="64"/>
  <c r="N89" i="64"/>
  <c r="N90" i="64"/>
  <c r="N91" i="64"/>
  <c r="N92" i="64"/>
  <c r="N93" i="64"/>
  <c r="N94" i="64"/>
  <c r="N95" i="64"/>
  <c r="N96" i="64"/>
  <c r="N97" i="64"/>
  <c r="N98" i="64"/>
  <c r="N99" i="64"/>
  <c r="N100" i="64"/>
  <c r="N101" i="64"/>
  <c r="N102" i="64"/>
  <c r="N103" i="64"/>
  <c r="N104" i="64"/>
  <c r="N105" i="64"/>
  <c r="N106" i="64"/>
  <c r="N107" i="64"/>
  <c r="N108" i="64"/>
  <c r="N109" i="64"/>
  <c r="N110" i="64"/>
  <c r="N111" i="64"/>
  <c r="N112" i="64"/>
  <c r="N113" i="64"/>
  <c r="N114" i="64"/>
  <c r="N115" i="64"/>
  <c r="N116" i="64"/>
  <c r="N117" i="64"/>
  <c r="N118" i="64"/>
  <c r="N119" i="64"/>
  <c r="N120" i="64"/>
  <c r="N121" i="64"/>
  <c r="N122" i="64"/>
  <c r="N123" i="64"/>
  <c r="N124" i="64"/>
  <c r="N125" i="64"/>
  <c r="N126" i="64"/>
  <c r="N127" i="64"/>
  <c r="N128" i="64"/>
  <c r="N129" i="64"/>
  <c r="N130" i="64"/>
  <c r="N131" i="64"/>
  <c r="N132" i="64"/>
  <c r="N133" i="64"/>
  <c r="N134" i="64"/>
  <c r="N135" i="64"/>
  <c r="N136" i="64"/>
  <c r="N137" i="64"/>
  <c r="N138" i="64"/>
  <c r="N139" i="64"/>
  <c r="N140" i="64"/>
  <c r="N141" i="64"/>
  <c r="N142" i="64"/>
  <c r="N143" i="64"/>
  <c r="N144" i="64"/>
  <c r="N145" i="64"/>
  <c r="N146" i="64"/>
  <c r="N147" i="64"/>
  <c r="N148" i="64"/>
  <c r="N149" i="64"/>
  <c r="N150" i="64"/>
  <c r="N151" i="64"/>
  <c r="N152" i="64"/>
  <c r="N153" i="64"/>
  <c r="N154" i="64"/>
  <c r="N155" i="64"/>
  <c r="N156" i="64"/>
  <c r="N157" i="64"/>
  <c r="N158" i="64"/>
  <c r="N159" i="64"/>
  <c r="N160" i="64"/>
  <c r="N161" i="64"/>
  <c r="N162" i="64"/>
  <c r="N163" i="64"/>
  <c r="N164" i="64"/>
  <c r="N165" i="64"/>
  <c r="N166" i="64"/>
  <c r="N167" i="64"/>
  <c r="N168" i="64"/>
  <c r="N169" i="64"/>
  <c r="N170" i="64"/>
  <c r="N171" i="64"/>
  <c r="N172" i="64"/>
  <c r="N173" i="64"/>
  <c r="N174" i="64"/>
  <c r="N175" i="64"/>
  <c r="N176" i="64"/>
  <c r="N177" i="64"/>
  <c r="N178" i="64"/>
  <c r="N179" i="64"/>
  <c r="N180" i="64"/>
  <c r="N181" i="64"/>
  <c r="N182" i="64"/>
  <c r="N183" i="64"/>
  <c r="N184" i="64"/>
  <c r="N185" i="64"/>
  <c r="N186" i="64"/>
  <c r="N187" i="64"/>
  <c r="N188" i="64"/>
  <c r="N189" i="64"/>
  <c r="N190" i="64"/>
  <c r="N191" i="64"/>
  <c r="N192" i="64"/>
  <c r="N193" i="64"/>
  <c r="N194" i="64"/>
  <c r="N195" i="64"/>
  <c r="N196" i="64"/>
  <c r="N197" i="64"/>
  <c r="N198" i="64"/>
  <c r="N199" i="64"/>
  <c r="N200" i="64"/>
  <c r="N201" i="64"/>
  <c r="N202" i="64"/>
  <c r="N203" i="64"/>
  <c r="N204" i="64"/>
  <c r="N5" i="64"/>
  <c r="M6" i="45"/>
  <c r="M7" i="45"/>
  <c r="M8" i="45"/>
  <c r="M9" i="45"/>
  <c r="M10" i="45"/>
  <c r="M11" i="45"/>
  <c r="M12" i="45"/>
  <c r="M13" i="45"/>
  <c r="M14" i="45"/>
  <c r="M15" i="45"/>
  <c r="M16" i="45"/>
  <c r="M17" i="45"/>
  <c r="M18" i="45"/>
  <c r="M19" i="45"/>
  <c r="M20" i="45"/>
  <c r="M21" i="45"/>
  <c r="M22" i="45"/>
  <c r="M23" i="45"/>
  <c r="M24" i="45"/>
  <c r="M5" i="45"/>
  <c r="B6" i="65"/>
  <c r="B7" i="65"/>
  <c r="B8" i="65"/>
  <c r="B9" i="65"/>
  <c r="B10" i="65"/>
  <c r="B11" i="65"/>
  <c r="B12" i="65"/>
  <c r="B13" i="65"/>
  <c r="B14" i="65"/>
  <c r="B15" i="65"/>
  <c r="B16" i="65"/>
  <c r="B17" i="65"/>
  <c r="B18" i="65"/>
  <c r="B19" i="65"/>
  <c r="B20" i="65"/>
  <c r="B21" i="65"/>
  <c r="B22" i="65"/>
  <c r="B23" i="65"/>
  <c r="B24" i="65"/>
  <c r="B5" i="65"/>
  <c r="AI11" i="9"/>
  <c r="AI12" i="9"/>
  <c r="AI13" i="9"/>
  <c r="AI14" i="9"/>
  <c r="AI15" i="9"/>
  <c r="AI16" i="9"/>
  <c r="AI17" i="9"/>
  <c r="AI18" i="9"/>
  <c r="AI19" i="9"/>
  <c r="AI20" i="9"/>
  <c r="AI21" i="9"/>
  <c r="AI22" i="9"/>
  <c r="AI23" i="9"/>
  <c r="AI24" i="9"/>
  <c r="H24" i="45"/>
  <c r="J24" i="45"/>
  <c r="H23" i="45"/>
  <c r="J23" i="45"/>
  <c r="H22" i="45"/>
  <c r="J22" i="45"/>
  <c r="H21" i="45"/>
  <c r="J21" i="45"/>
  <c r="K6" i="45"/>
  <c r="K7" i="45"/>
  <c r="K8" i="45"/>
  <c r="K9" i="45"/>
  <c r="K10" i="45"/>
  <c r="K11" i="45"/>
  <c r="K12" i="45"/>
  <c r="K13" i="45"/>
  <c r="K14" i="45"/>
  <c r="K15" i="45"/>
  <c r="K16" i="45"/>
  <c r="K17" i="45"/>
  <c r="K18" i="45"/>
  <c r="K19" i="45"/>
  <c r="K20" i="45"/>
  <c r="K21" i="45"/>
  <c r="K22" i="45"/>
  <c r="K23" i="45"/>
  <c r="K24" i="45"/>
  <c r="K5" i="45"/>
  <c r="AQ5" i="9"/>
  <c r="AV5" i="9"/>
  <c r="BA5" i="9"/>
  <c r="BF5" i="9"/>
  <c r="BK5" i="9"/>
  <c r="AQ6" i="9"/>
  <c r="AV6" i="9"/>
  <c r="BA6" i="9"/>
  <c r="BF6" i="9"/>
  <c r="BK6" i="9"/>
  <c r="AQ7" i="9"/>
  <c r="AV7" i="9"/>
  <c r="BA7" i="9"/>
  <c r="BF7" i="9"/>
  <c r="BK7" i="9"/>
  <c r="AQ8" i="9"/>
  <c r="AV8" i="9"/>
  <c r="BA8" i="9"/>
  <c r="BF8" i="9"/>
  <c r="BK8" i="9"/>
  <c r="AQ9" i="9"/>
  <c r="AV9" i="9"/>
  <c r="BA9" i="9"/>
  <c r="BF9" i="9"/>
  <c r="BK9" i="9"/>
  <c r="AQ10" i="9"/>
  <c r="AV10" i="9"/>
  <c r="BA10" i="9"/>
  <c r="BF10" i="9"/>
  <c r="BK10" i="9"/>
  <c r="AQ11" i="9"/>
  <c r="AV11" i="9"/>
  <c r="BA11" i="9"/>
  <c r="BF11" i="9"/>
  <c r="BK11" i="9"/>
  <c r="AQ12" i="9"/>
  <c r="AV12" i="9"/>
  <c r="BA12" i="9"/>
  <c r="BF12" i="9"/>
  <c r="BK12" i="9"/>
  <c r="AQ13" i="9"/>
  <c r="AV13" i="9"/>
  <c r="BA13" i="9"/>
  <c r="BF13" i="9"/>
  <c r="BK13" i="9"/>
  <c r="AQ14" i="9"/>
  <c r="AV14" i="9"/>
  <c r="BA14" i="9"/>
  <c r="BF14" i="9"/>
  <c r="BK14" i="9"/>
  <c r="AQ15" i="9"/>
  <c r="AV15" i="9"/>
  <c r="BA15" i="9"/>
  <c r="BF15" i="9"/>
  <c r="BK15" i="9"/>
  <c r="AQ16" i="9"/>
  <c r="AV16" i="9"/>
  <c r="BA16" i="9"/>
  <c r="BF16" i="9"/>
  <c r="BK16" i="9"/>
  <c r="AQ17" i="9"/>
  <c r="AV17" i="9"/>
  <c r="BA17" i="9"/>
  <c r="BF17" i="9"/>
  <c r="BK17" i="9"/>
  <c r="AQ18" i="9"/>
  <c r="AV18" i="9"/>
  <c r="BA18" i="9"/>
  <c r="BF18" i="9"/>
  <c r="BK18" i="9"/>
  <c r="AQ19" i="9"/>
  <c r="AV19" i="9"/>
  <c r="BA19" i="9"/>
  <c r="BF19" i="9"/>
  <c r="BK19" i="9"/>
  <c r="AQ20" i="9"/>
  <c r="AV20" i="9"/>
  <c r="BA20" i="9"/>
  <c r="BF20" i="9"/>
  <c r="BK20" i="9"/>
  <c r="AQ21" i="9"/>
  <c r="AV21" i="9"/>
  <c r="BA21" i="9"/>
  <c r="BF21" i="9"/>
  <c r="BK21" i="9"/>
  <c r="AQ22" i="9"/>
  <c r="AV22" i="9"/>
  <c r="BA22" i="9"/>
  <c r="BF22" i="9"/>
  <c r="BK22" i="9"/>
  <c r="AQ23" i="9"/>
  <c r="AV23" i="9"/>
  <c r="BA23" i="9"/>
  <c r="BF23" i="9"/>
  <c r="BK23" i="9"/>
  <c r="AQ24" i="9"/>
  <c r="AV24" i="9"/>
  <c r="BA24" i="9"/>
  <c r="BF24" i="9"/>
  <c r="BK24" i="9"/>
  <c r="H6" i="45"/>
  <c r="H7" i="45"/>
  <c r="H8" i="45"/>
  <c r="H9" i="45"/>
  <c r="H10" i="45"/>
  <c r="H11" i="45"/>
  <c r="H12" i="45"/>
  <c r="H13" i="45"/>
  <c r="H14" i="45"/>
  <c r="H15" i="45"/>
  <c r="H16" i="45"/>
  <c r="H17" i="45"/>
  <c r="H18" i="45"/>
  <c r="H19" i="45"/>
  <c r="H20" i="45"/>
  <c r="H5" i="45"/>
  <c r="AM6" i="9"/>
  <c r="AM7" i="9"/>
  <c r="AM8" i="9"/>
  <c r="AM9" i="9"/>
  <c r="AM10" i="9"/>
  <c r="AM11" i="9"/>
  <c r="AM12" i="9"/>
  <c r="AM13" i="9"/>
  <c r="AM14" i="9"/>
  <c r="AM15" i="9"/>
  <c r="AM16" i="9"/>
  <c r="AM17" i="9"/>
  <c r="AM18" i="9"/>
  <c r="AM19" i="9"/>
  <c r="AM20" i="9"/>
  <c r="AM21" i="9"/>
  <c r="AM22" i="9"/>
  <c r="AM23" i="9"/>
  <c r="AM24" i="9"/>
  <c r="AM25" i="9"/>
  <c r="AM26" i="9"/>
  <c r="AM27" i="9"/>
  <c r="AM28" i="9"/>
  <c r="AM29" i="9"/>
  <c r="AM30" i="9"/>
  <c r="AM31" i="9"/>
  <c r="AM32" i="9"/>
  <c r="AM33" i="9"/>
  <c r="AM34" i="9"/>
  <c r="AM35" i="9"/>
  <c r="AM36" i="9"/>
  <c r="AM37" i="9"/>
  <c r="AM38" i="9"/>
  <c r="AM39" i="9"/>
  <c r="AM40" i="9"/>
  <c r="AM41" i="9"/>
  <c r="AM42" i="9"/>
  <c r="AM43" i="9"/>
  <c r="AM44" i="9"/>
  <c r="AM45" i="9"/>
  <c r="AM46" i="9"/>
  <c r="AM47" i="9"/>
  <c r="AM48" i="9"/>
  <c r="AM49" i="9"/>
  <c r="AM50" i="9"/>
  <c r="AM51" i="9"/>
  <c r="AM52" i="9"/>
  <c r="AM53" i="9"/>
  <c r="AM54" i="9"/>
  <c r="AM55" i="9"/>
  <c r="AM56" i="9"/>
  <c r="AM57" i="9"/>
  <c r="AM58" i="9"/>
  <c r="AM59" i="9"/>
  <c r="AM60" i="9"/>
  <c r="AM61" i="9"/>
  <c r="AM62" i="9"/>
  <c r="AM63" i="9"/>
  <c r="AM64" i="9"/>
  <c r="AM65" i="9"/>
  <c r="AM66" i="9"/>
  <c r="AM67" i="9"/>
  <c r="AM68" i="9"/>
  <c r="AM69" i="9"/>
  <c r="AM70" i="9"/>
  <c r="AM71" i="9"/>
  <c r="AM72" i="9"/>
  <c r="AM73" i="9"/>
  <c r="AM74" i="9"/>
  <c r="AM75" i="9"/>
  <c r="AM76" i="9"/>
  <c r="AM77" i="9"/>
  <c r="AM78" i="9"/>
  <c r="AM79" i="9"/>
  <c r="AM80" i="9"/>
  <c r="AM81" i="9"/>
  <c r="AM82" i="9"/>
  <c r="AM83" i="9"/>
  <c r="AM84" i="9"/>
  <c r="AM85" i="9"/>
  <c r="AM86" i="9"/>
  <c r="AM87" i="9"/>
  <c r="AM88" i="9"/>
  <c r="AM89" i="9"/>
  <c r="AM90" i="9"/>
  <c r="AM91" i="9"/>
  <c r="AM92" i="9"/>
  <c r="AM93" i="9"/>
  <c r="AM94" i="9"/>
  <c r="AM95" i="9"/>
  <c r="AM96" i="9"/>
  <c r="AM97" i="9"/>
  <c r="AM98" i="9"/>
  <c r="AM99" i="9"/>
  <c r="AM100" i="9"/>
  <c r="AM101" i="9"/>
  <c r="AM102" i="9"/>
  <c r="AM103" i="9"/>
  <c r="AM104" i="9"/>
  <c r="AM105" i="9"/>
  <c r="AM106" i="9"/>
  <c r="AM107" i="9"/>
  <c r="AM108" i="9"/>
  <c r="AM109" i="9"/>
  <c r="AM110" i="9"/>
  <c r="AM111" i="9"/>
  <c r="AM112" i="9"/>
  <c r="AM113" i="9"/>
  <c r="AM114" i="9"/>
  <c r="AM115" i="9"/>
  <c r="AM116" i="9"/>
  <c r="AM117" i="9"/>
  <c r="AM118" i="9"/>
  <c r="AM119" i="9"/>
  <c r="AM120" i="9"/>
  <c r="AM121" i="9"/>
  <c r="AM122" i="9"/>
  <c r="AM123" i="9"/>
  <c r="AM124" i="9"/>
  <c r="AM125" i="9"/>
  <c r="AM126" i="9"/>
  <c r="AM127" i="9"/>
  <c r="AM128" i="9"/>
  <c r="AM129" i="9"/>
  <c r="AM130" i="9"/>
  <c r="AM131" i="9"/>
  <c r="AM132" i="9"/>
  <c r="AM133" i="9"/>
  <c r="AM134" i="9"/>
  <c r="AM135" i="9"/>
  <c r="AM136" i="9"/>
  <c r="AM137" i="9"/>
  <c r="AM138" i="9"/>
  <c r="AM139" i="9"/>
  <c r="AM140" i="9"/>
  <c r="AM141" i="9"/>
  <c r="AM142" i="9"/>
  <c r="AM143" i="9"/>
  <c r="AM144" i="9"/>
  <c r="AM145" i="9"/>
  <c r="AM146" i="9"/>
  <c r="AM147" i="9"/>
  <c r="AM148" i="9"/>
  <c r="AM149" i="9"/>
  <c r="AM150" i="9"/>
  <c r="AM151" i="9"/>
  <c r="AM152" i="9"/>
  <c r="AM153" i="9"/>
  <c r="AM154" i="9"/>
  <c r="AM155" i="9"/>
  <c r="AM156" i="9"/>
  <c r="AM157" i="9"/>
  <c r="AM158" i="9"/>
  <c r="AM159" i="9"/>
  <c r="AM160" i="9"/>
  <c r="AM161" i="9"/>
  <c r="AM162" i="9"/>
  <c r="AM163" i="9"/>
  <c r="AM164" i="9"/>
  <c r="AM165" i="9"/>
  <c r="AM166" i="9"/>
  <c r="AM167" i="9"/>
  <c r="AM168" i="9"/>
  <c r="AM169" i="9"/>
  <c r="AM170" i="9"/>
  <c r="AM171" i="9"/>
  <c r="AM172" i="9"/>
  <c r="AM173" i="9"/>
  <c r="AM174" i="9"/>
  <c r="AM175" i="9"/>
  <c r="AM176" i="9"/>
  <c r="AM177" i="9"/>
  <c r="AM178" i="9"/>
  <c r="AM179" i="9"/>
  <c r="AM180" i="9"/>
  <c r="AM181" i="9"/>
  <c r="AM182" i="9"/>
  <c r="AM183" i="9"/>
  <c r="AM184" i="9"/>
  <c r="AM185" i="9"/>
  <c r="AM186" i="9"/>
  <c r="AM187" i="9"/>
  <c r="AM188" i="9"/>
  <c r="AM189" i="9"/>
  <c r="AM190" i="9"/>
  <c r="AM191" i="9"/>
  <c r="AM192" i="9"/>
  <c r="AM193" i="9"/>
  <c r="AM194" i="9"/>
  <c r="AM195" i="9"/>
  <c r="AM196" i="9"/>
  <c r="AM197" i="9"/>
  <c r="AM198" i="9"/>
  <c r="AM199" i="9"/>
  <c r="AM200" i="9"/>
  <c r="AM201" i="9"/>
  <c r="AM202" i="9"/>
  <c r="AM203" i="9"/>
  <c r="AM204" i="9"/>
  <c r="AM205" i="9"/>
  <c r="AM206" i="9"/>
  <c r="AM207" i="9"/>
  <c r="AM208" i="9"/>
  <c r="AM209" i="9"/>
  <c r="AM210" i="9"/>
  <c r="AM211" i="9"/>
  <c r="AM212" i="9"/>
  <c r="AM213" i="9"/>
  <c r="AM214" i="9"/>
  <c r="AM215" i="9"/>
  <c r="AM216" i="9"/>
  <c r="AM217" i="9"/>
  <c r="AM218" i="9"/>
  <c r="AM219" i="9"/>
  <c r="AM220" i="9"/>
  <c r="AM221" i="9"/>
  <c r="AM222" i="9"/>
  <c r="AM223" i="9"/>
  <c r="AM224" i="9"/>
  <c r="AM225" i="9"/>
  <c r="AM226" i="9"/>
  <c r="AM227" i="9"/>
  <c r="AM228" i="9"/>
  <c r="AM229" i="9"/>
  <c r="AM230" i="9"/>
  <c r="AM231" i="9"/>
  <c r="AM232" i="9"/>
  <c r="AM233" i="9"/>
  <c r="AM234" i="9"/>
  <c r="AM235" i="9"/>
  <c r="AM236" i="9"/>
  <c r="AM237" i="9"/>
  <c r="AM238" i="9"/>
  <c r="AM239" i="9"/>
  <c r="AM240" i="9"/>
  <c r="AM241" i="9"/>
  <c r="AM242" i="9"/>
  <c r="AM243" i="9"/>
  <c r="AM244" i="9"/>
  <c r="AM245" i="9"/>
  <c r="AM246" i="9"/>
  <c r="AM247" i="9"/>
  <c r="AM248" i="9"/>
  <c r="AM249" i="9"/>
  <c r="AM250" i="9"/>
  <c r="AM251" i="9"/>
  <c r="AM252" i="9"/>
  <c r="AM253" i="9"/>
  <c r="AM254" i="9"/>
  <c r="AM255" i="9"/>
  <c r="AM256" i="9"/>
  <c r="AM257" i="9"/>
  <c r="AM258" i="9"/>
  <c r="AM259" i="9"/>
  <c r="AM260" i="9"/>
  <c r="AM261" i="9"/>
  <c r="AM262" i="9"/>
  <c r="AM263" i="9"/>
  <c r="AM264" i="9"/>
  <c r="AM265" i="9"/>
  <c r="AM266" i="9"/>
  <c r="AM267" i="9"/>
  <c r="AM268" i="9"/>
  <c r="AM269" i="9"/>
  <c r="AM270" i="9"/>
  <c r="AM271" i="9"/>
  <c r="AM272" i="9"/>
  <c r="AM273" i="9"/>
  <c r="AM274" i="9"/>
  <c r="AM275" i="9"/>
  <c r="AM276" i="9"/>
  <c r="AM277" i="9"/>
  <c r="AM278" i="9"/>
  <c r="AM279" i="9"/>
  <c r="AM280" i="9"/>
  <c r="AM281" i="9"/>
  <c r="AM282" i="9"/>
  <c r="AM283" i="9"/>
  <c r="AM284" i="9"/>
  <c r="AM285" i="9"/>
  <c r="AM286" i="9"/>
  <c r="AM287" i="9"/>
  <c r="AM288" i="9"/>
  <c r="AM289" i="9"/>
  <c r="AM290" i="9"/>
  <c r="AM291" i="9"/>
  <c r="AM292" i="9"/>
  <c r="AM293" i="9"/>
  <c r="AM294" i="9"/>
  <c r="AM295" i="9"/>
  <c r="AM296" i="9"/>
  <c r="AM297" i="9"/>
  <c r="AM298" i="9"/>
  <c r="AM299" i="9"/>
  <c r="AM300" i="9"/>
  <c r="AM301" i="9"/>
  <c r="AM302" i="9"/>
  <c r="AM303" i="9"/>
  <c r="AM304" i="9"/>
  <c r="AM305" i="9"/>
  <c r="AM306" i="9"/>
  <c r="AM307" i="9"/>
  <c r="AM308" i="9"/>
  <c r="AM309" i="9"/>
  <c r="AM310" i="9"/>
  <c r="AM311" i="9"/>
  <c r="AM312" i="9"/>
  <c r="AM313" i="9"/>
  <c r="AM314" i="9"/>
  <c r="AM315" i="9"/>
  <c r="AM316" i="9"/>
  <c r="AM317" i="9"/>
  <c r="AM318" i="9"/>
  <c r="AM319" i="9"/>
  <c r="AM320" i="9"/>
  <c r="AM321" i="9"/>
  <c r="AM322" i="9"/>
  <c r="AM323" i="9"/>
  <c r="AM324" i="9"/>
  <c r="AM325" i="9"/>
  <c r="AM326" i="9"/>
  <c r="AM327" i="9"/>
  <c r="AM328" i="9"/>
  <c r="AM329" i="9"/>
  <c r="AM330" i="9"/>
  <c r="AM331" i="9"/>
  <c r="AM332" i="9"/>
  <c r="AM333" i="9"/>
  <c r="AM334" i="9"/>
  <c r="AM335" i="9"/>
  <c r="AM336" i="9"/>
  <c r="AM337" i="9"/>
  <c r="AM338" i="9"/>
  <c r="AM339" i="9"/>
  <c r="AM340" i="9"/>
  <c r="AM341" i="9"/>
  <c r="AM342" i="9"/>
  <c r="AM343" i="9"/>
  <c r="AM344" i="9"/>
  <c r="AM345" i="9"/>
  <c r="AM346" i="9"/>
  <c r="AM347" i="9"/>
  <c r="AM348" i="9"/>
  <c r="AM349" i="9"/>
  <c r="AM350" i="9"/>
  <c r="AM351" i="9"/>
  <c r="AM352" i="9"/>
  <c r="AM353" i="9"/>
  <c r="AM354" i="9"/>
  <c r="AM355" i="9"/>
  <c r="AM356" i="9"/>
  <c r="AM357" i="9"/>
  <c r="AM358" i="9"/>
  <c r="AM359" i="9"/>
  <c r="AM360" i="9"/>
  <c r="AM361" i="9"/>
  <c r="AM362" i="9"/>
  <c r="AM363" i="9"/>
  <c r="AM364" i="9"/>
  <c r="AM365" i="9"/>
  <c r="AM366" i="9"/>
  <c r="AM367" i="9"/>
  <c r="AM368" i="9"/>
  <c r="AM369" i="9"/>
  <c r="AM370" i="9"/>
  <c r="AM371" i="9"/>
  <c r="AM372" i="9"/>
  <c r="AM373" i="9"/>
  <c r="AM374" i="9"/>
  <c r="AM375" i="9"/>
  <c r="AM376" i="9"/>
  <c r="AM377" i="9"/>
  <c r="AM378" i="9"/>
  <c r="AM379" i="9"/>
  <c r="AM380" i="9"/>
  <c r="AM381" i="9"/>
  <c r="AM382" i="9"/>
  <c r="AM383" i="9"/>
  <c r="AM384" i="9"/>
  <c r="AM385" i="9"/>
  <c r="AM386" i="9"/>
  <c r="AM387" i="9"/>
  <c r="AM388" i="9"/>
  <c r="AM389" i="9"/>
  <c r="AM390" i="9"/>
  <c r="AM391" i="9"/>
  <c r="AM392" i="9"/>
  <c r="AM393" i="9"/>
  <c r="AM394" i="9"/>
  <c r="AM395" i="9"/>
  <c r="AM396" i="9"/>
  <c r="AM397" i="9"/>
  <c r="AM398" i="9"/>
  <c r="AM399" i="9"/>
  <c r="AM400" i="9"/>
  <c r="AM401" i="9"/>
  <c r="AM402" i="9"/>
  <c r="AM403" i="9"/>
  <c r="AM404" i="9"/>
  <c r="AM405" i="9"/>
  <c r="AM406" i="9"/>
  <c r="AM407" i="9"/>
  <c r="AM408" i="9"/>
  <c r="AM409" i="9"/>
  <c r="AM410" i="9"/>
  <c r="AM411" i="9"/>
  <c r="AM412" i="9"/>
  <c r="AM413" i="9"/>
  <c r="AM414" i="9"/>
  <c r="AM415" i="9"/>
  <c r="AM416" i="9"/>
  <c r="AM417" i="9"/>
  <c r="AM418" i="9"/>
  <c r="AM419" i="9"/>
  <c r="AM420" i="9"/>
  <c r="AM421" i="9"/>
  <c r="AM422" i="9"/>
  <c r="AM423" i="9"/>
  <c r="AM424" i="9"/>
  <c r="AM425" i="9"/>
  <c r="AM426" i="9"/>
  <c r="AM427" i="9"/>
  <c r="AM428" i="9"/>
  <c r="AM429" i="9"/>
  <c r="AM430" i="9"/>
  <c r="AM431" i="9"/>
  <c r="AM432" i="9"/>
  <c r="AM433" i="9"/>
  <c r="AM434" i="9"/>
  <c r="AM435" i="9"/>
  <c r="AM436" i="9"/>
  <c r="AM437" i="9"/>
  <c r="AM438" i="9"/>
  <c r="AM439" i="9"/>
  <c r="AM440" i="9"/>
  <c r="AM441" i="9"/>
  <c r="AM442" i="9"/>
  <c r="AM443" i="9"/>
  <c r="AM444" i="9"/>
  <c r="AM445" i="9"/>
  <c r="AM446" i="9"/>
  <c r="AM447" i="9"/>
  <c r="AM448" i="9"/>
  <c r="AM449" i="9"/>
  <c r="AM450" i="9"/>
  <c r="AM451" i="9"/>
  <c r="AM452" i="9"/>
  <c r="AM453" i="9"/>
  <c r="AM454" i="9"/>
  <c r="AM455" i="9"/>
  <c r="AM456" i="9"/>
  <c r="AM457" i="9"/>
  <c r="AM458" i="9"/>
  <c r="AM459" i="9"/>
  <c r="AM460" i="9"/>
  <c r="AM461" i="9"/>
  <c r="AM462" i="9"/>
  <c r="AM463" i="9"/>
  <c r="AM464" i="9"/>
  <c r="AM465" i="9"/>
  <c r="AM466" i="9"/>
  <c r="AM467" i="9"/>
  <c r="AM468" i="9"/>
  <c r="AM469" i="9"/>
  <c r="AM470" i="9"/>
  <c r="AM471" i="9"/>
  <c r="AM472" i="9"/>
  <c r="AM473" i="9"/>
  <c r="AM474" i="9"/>
  <c r="AM475" i="9"/>
  <c r="AM476" i="9"/>
  <c r="AM477" i="9"/>
  <c r="AM478" i="9"/>
  <c r="AM479" i="9"/>
  <c r="AM480" i="9"/>
  <c r="AM481" i="9"/>
  <c r="AM482" i="9"/>
  <c r="AM483" i="9"/>
  <c r="AM484" i="9"/>
  <c r="AM485" i="9"/>
  <c r="AM486" i="9"/>
  <c r="AM487" i="9"/>
  <c r="AM488" i="9"/>
  <c r="AM489" i="9"/>
  <c r="AM490" i="9"/>
  <c r="AM491" i="9"/>
  <c r="AM492" i="9"/>
  <c r="AM493" i="9"/>
  <c r="AM494" i="9"/>
  <c r="AM495" i="9"/>
  <c r="AM496" i="9"/>
  <c r="AM497" i="9"/>
  <c r="AM498" i="9"/>
  <c r="AM499" i="9"/>
  <c r="AM500" i="9"/>
  <c r="AM501" i="9"/>
  <c r="AM502" i="9"/>
  <c r="AM503" i="9"/>
  <c r="AM504" i="9"/>
  <c r="A265" i="9"/>
  <c r="A19" i="53"/>
  <c r="N15" i="53"/>
  <c r="J6" i="44"/>
  <c r="J7" i="44"/>
  <c r="J8" i="44"/>
  <c r="J9" i="44"/>
  <c r="J10" i="44"/>
  <c r="J11" i="44"/>
  <c r="J12" i="44"/>
  <c r="J13" i="44"/>
  <c r="J14" i="44"/>
  <c r="J15" i="44"/>
  <c r="J16" i="44"/>
  <c r="J17" i="44"/>
  <c r="J18" i="44"/>
  <c r="J19" i="44"/>
  <c r="J20" i="44"/>
  <c r="J21" i="44"/>
  <c r="J22" i="44"/>
  <c r="J23" i="44"/>
  <c r="J24" i="44"/>
  <c r="J5" i="44"/>
  <c r="I6" i="44"/>
  <c r="I7" i="44"/>
  <c r="I8" i="44"/>
  <c r="I9" i="44"/>
  <c r="I10" i="44"/>
  <c r="I11" i="44"/>
  <c r="I12" i="44"/>
  <c r="I13" i="44"/>
  <c r="I14" i="44"/>
  <c r="I15" i="44"/>
  <c r="I16" i="44"/>
  <c r="I17" i="44"/>
  <c r="I18" i="44"/>
  <c r="I19" i="44"/>
  <c r="I20" i="44"/>
  <c r="I21" i="44"/>
  <c r="I22" i="44"/>
  <c r="I23" i="44"/>
  <c r="I24" i="44"/>
  <c r="I5" i="44"/>
  <c r="F5" i="44"/>
  <c r="W6" i="30"/>
  <c r="W7" i="30"/>
  <c r="W8" i="30"/>
  <c r="W9" i="30"/>
  <c r="W10" i="30"/>
  <c r="W11" i="30"/>
  <c r="W12" i="30"/>
  <c r="W13" i="30"/>
  <c r="W14" i="30"/>
  <c r="W15" i="30"/>
  <c r="W16" i="30"/>
  <c r="W17" i="30"/>
  <c r="W18" i="30"/>
  <c r="W19" i="30"/>
  <c r="W20" i="30"/>
  <c r="W21" i="30"/>
  <c r="W22" i="30"/>
  <c r="W23" i="30"/>
  <c r="W24" i="30"/>
  <c r="W25" i="30"/>
  <c r="W26" i="30"/>
  <c r="W27" i="30"/>
  <c r="W28" i="30"/>
  <c r="W29" i="30"/>
  <c r="W30" i="30"/>
  <c r="W31" i="30"/>
  <c r="W32" i="30"/>
  <c r="W33" i="30"/>
  <c r="W34" i="30"/>
  <c r="W35" i="30"/>
  <c r="W36" i="30"/>
  <c r="W37" i="30"/>
  <c r="W38" i="30"/>
  <c r="W39" i="30"/>
  <c r="W40" i="30"/>
  <c r="W41" i="30"/>
  <c r="W42" i="30"/>
  <c r="W43" i="30"/>
  <c r="W44" i="30"/>
  <c r="W45" i="30"/>
  <c r="W46" i="30"/>
  <c r="W47" i="30"/>
  <c r="W48" i="30"/>
  <c r="W49" i="30"/>
  <c r="W50" i="30"/>
  <c r="W51" i="30"/>
  <c r="W52" i="30"/>
  <c r="W53" i="30"/>
  <c r="W54" i="30"/>
  <c r="W55" i="30"/>
  <c r="W56" i="30"/>
  <c r="W57" i="30"/>
  <c r="W58" i="30"/>
  <c r="W59" i="30"/>
  <c r="W5" i="30"/>
  <c r="R50" i="30"/>
  <c r="R51" i="30"/>
  <c r="R52" i="30"/>
  <c r="A50" i="30"/>
  <c r="A51" i="30"/>
  <c r="A52" i="30"/>
  <c r="M204" i="64"/>
  <c r="A204" i="64"/>
  <c r="M203" i="64"/>
  <c r="A203" i="64"/>
  <c r="M202" i="64"/>
  <c r="A202" i="64"/>
  <c r="M201" i="64"/>
  <c r="A201" i="64"/>
  <c r="M200" i="64"/>
  <c r="A200" i="64"/>
  <c r="M199" i="64"/>
  <c r="A199" i="64"/>
  <c r="M198" i="64"/>
  <c r="A198" i="64"/>
  <c r="M197" i="64"/>
  <c r="A197" i="64"/>
  <c r="M196" i="64"/>
  <c r="A196" i="64"/>
  <c r="M195" i="64"/>
  <c r="A195" i="64"/>
  <c r="M194" i="64"/>
  <c r="A194" i="64"/>
  <c r="M193" i="64"/>
  <c r="A193" i="64"/>
  <c r="M192" i="64"/>
  <c r="A192" i="64"/>
  <c r="M191" i="64"/>
  <c r="A191" i="64"/>
  <c r="M190" i="64"/>
  <c r="A190" i="64"/>
  <c r="M189" i="64"/>
  <c r="A189" i="64"/>
  <c r="M188" i="64"/>
  <c r="A188" i="64"/>
  <c r="M187" i="64"/>
  <c r="A187" i="64"/>
  <c r="M186" i="64"/>
  <c r="A186" i="64"/>
  <c r="M185" i="64"/>
  <c r="A185" i="64"/>
  <c r="M184" i="64"/>
  <c r="A184" i="64"/>
  <c r="M183" i="64"/>
  <c r="A183" i="64"/>
  <c r="M182" i="64"/>
  <c r="A182" i="64"/>
  <c r="M181" i="64"/>
  <c r="A181" i="64"/>
  <c r="M180" i="64"/>
  <c r="A180" i="64"/>
  <c r="M179" i="64"/>
  <c r="A179" i="64"/>
  <c r="M178" i="64"/>
  <c r="A178" i="64"/>
  <c r="M177" i="64"/>
  <c r="A177" i="64"/>
  <c r="M176" i="64"/>
  <c r="A176" i="64"/>
  <c r="M175" i="64"/>
  <c r="A175" i="64"/>
  <c r="M174" i="64"/>
  <c r="A174" i="64"/>
  <c r="M173" i="64"/>
  <c r="A173" i="64"/>
  <c r="M172" i="64"/>
  <c r="A172" i="64"/>
  <c r="M171" i="64"/>
  <c r="A171" i="64"/>
  <c r="M170" i="64"/>
  <c r="A170" i="64"/>
  <c r="M169" i="64"/>
  <c r="A169" i="64"/>
  <c r="M168" i="64"/>
  <c r="A168" i="64"/>
  <c r="M167" i="64"/>
  <c r="A167" i="64"/>
  <c r="M166" i="64"/>
  <c r="A166" i="64"/>
  <c r="M165" i="64"/>
  <c r="A165" i="64"/>
  <c r="M164" i="64"/>
  <c r="A164" i="64"/>
  <c r="M163" i="64"/>
  <c r="A163" i="64"/>
  <c r="M162" i="64"/>
  <c r="A162" i="64"/>
  <c r="M161" i="64"/>
  <c r="A161" i="64"/>
  <c r="M160" i="64"/>
  <c r="A160" i="64"/>
  <c r="M159" i="64"/>
  <c r="A159" i="64"/>
  <c r="M158" i="64"/>
  <c r="A158" i="64"/>
  <c r="M157" i="64"/>
  <c r="A157" i="64"/>
  <c r="M156" i="64"/>
  <c r="A156" i="64"/>
  <c r="M155" i="64"/>
  <c r="A155" i="64"/>
  <c r="M154" i="64"/>
  <c r="A154" i="64"/>
  <c r="M153" i="64"/>
  <c r="A153" i="64"/>
  <c r="M152" i="64"/>
  <c r="A152" i="64"/>
  <c r="M151" i="64"/>
  <c r="A151" i="64"/>
  <c r="M150" i="64"/>
  <c r="A150" i="64"/>
  <c r="M149" i="64"/>
  <c r="A149" i="64"/>
  <c r="M148" i="64"/>
  <c r="A148" i="64"/>
  <c r="M147" i="64"/>
  <c r="A147" i="64"/>
  <c r="M146" i="64"/>
  <c r="A146" i="64"/>
  <c r="M145" i="64"/>
  <c r="A145" i="64"/>
  <c r="M144" i="64"/>
  <c r="A144" i="64"/>
  <c r="M143" i="64"/>
  <c r="A143" i="64"/>
  <c r="M142" i="64"/>
  <c r="A142" i="64"/>
  <c r="M141" i="64"/>
  <c r="A141" i="64"/>
  <c r="M140" i="64"/>
  <c r="A140" i="64"/>
  <c r="M139" i="64"/>
  <c r="A139" i="64"/>
  <c r="M138" i="64"/>
  <c r="A138" i="64"/>
  <c r="M137" i="64"/>
  <c r="A137" i="64"/>
  <c r="M136" i="64"/>
  <c r="A136" i="64"/>
  <c r="M135" i="64"/>
  <c r="A135" i="64"/>
  <c r="M134" i="64"/>
  <c r="A134" i="64"/>
  <c r="M133" i="64"/>
  <c r="A133" i="64"/>
  <c r="M132" i="64"/>
  <c r="A132" i="64"/>
  <c r="M131" i="64"/>
  <c r="A131" i="64"/>
  <c r="M130" i="64"/>
  <c r="A130" i="64"/>
  <c r="M129" i="64"/>
  <c r="A129" i="64"/>
  <c r="M128" i="64"/>
  <c r="A128" i="64"/>
  <c r="M127" i="64"/>
  <c r="A127" i="64"/>
  <c r="M126" i="64"/>
  <c r="A126" i="64"/>
  <c r="M125" i="64"/>
  <c r="A125" i="64"/>
  <c r="M124" i="64"/>
  <c r="A124" i="64"/>
  <c r="M123" i="64"/>
  <c r="A123" i="64"/>
  <c r="M122" i="64"/>
  <c r="A122" i="64"/>
  <c r="M121" i="64"/>
  <c r="A121" i="64"/>
  <c r="M120" i="64"/>
  <c r="A120" i="64"/>
  <c r="M119" i="64"/>
  <c r="A119" i="64"/>
  <c r="M118" i="64"/>
  <c r="A118" i="64"/>
  <c r="M117" i="64"/>
  <c r="A117" i="64"/>
  <c r="M116" i="64"/>
  <c r="A116" i="64"/>
  <c r="M115" i="64"/>
  <c r="A115" i="64"/>
  <c r="M114" i="64"/>
  <c r="A114" i="64"/>
  <c r="M113" i="64"/>
  <c r="A113" i="64"/>
  <c r="M112" i="64"/>
  <c r="A112" i="64"/>
  <c r="M111" i="64"/>
  <c r="A111" i="64"/>
  <c r="M110" i="64"/>
  <c r="A110" i="64"/>
  <c r="M109" i="64"/>
  <c r="A109" i="64"/>
  <c r="M108" i="64"/>
  <c r="A108" i="64"/>
  <c r="M107" i="64"/>
  <c r="A107" i="64"/>
  <c r="M106" i="64"/>
  <c r="A106" i="64"/>
  <c r="M105" i="64"/>
  <c r="A105" i="64"/>
  <c r="M104" i="64"/>
  <c r="A104" i="64"/>
  <c r="M103" i="64"/>
  <c r="A103" i="64"/>
  <c r="M102" i="64"/>
  <c r="A102" i="64"/>
  <c r="M101" i="64"/>
  <c r="A101" i="64"/>
  <c r="M100" i="64"/>
  <c r="A100" i="64"/>
  <c r="M99" i="64"/>
  <c r="A99" i="64"/>
  <c r="M98" i="64"/>
  <c r="A98" i="64"/>
  <c r="M97" i="64"/>
  <c r="A97" i="64"/>
  <c r="M96" i="64"/>
  <c r="A96" i="64"/>
  <c r="M95" i="64"/>
  <c r="A95" i="64"/>
  <c r="M94" i="64"/>
  <c r="A94" i="64"/>
  <c r="M93" i="64"/>
  <c r="A93" i="64"/>
  <c r="M92" i="64"/>
  <c r="A92" i="64"/>
  <c r="M91" i="64"/>
  <c r="A91" i="64"/>
  <c r="M90" i="64"/>
  <c r="A90" i="64"/>
  <c r="M89" i="64"/>
  <c r="A89" i="64"/>
  <c r="M88" i="64"/>
  <c r="A88" i="64"/>
  <c r="M87" i="64"/>
  <c r="A87" i="64"/>
  <c r="M86" i="64"/>
  <c r="A86" i="64"/>
  <c r="M85" i="64"/>
  <c r="A85" i="64"/>
  <c r="M84" i="64"/>
  <c r="A84" i="64"/>
  <c r="M83" i="64"/>
  <c r="A83" i="64"/>
  <c r="M82" i="64"/>
  <c r="A82" i="64"/>
  <c r="M81" i="64"/>
  <c r="A81" i="64"/>
  <c r="M80" i="64"/>
  <c r="A80" i="64"/>
  <c r="M79" i="64"/>
  <c r="A79" i="64"/>
  <c r="M78" i="64"/>
  <c r="A78" i="64"/>
  <c r="M77" i="64"/>
  <c r="A77" i="64"/>
  <c r="M76" i="64"/>
  <c r="A76" i="64"/>
  <c r="M75" i="64"/>
  <c r="A75" i="64"/>
  <c r="M74" i="64"/>
  <c r="A74" i="64"/>
  <c r="M73" i="64"/>
  <c r="A73" i="64"/>
  <c r="M72" i="64"/>
  <c r="A72" i="64"/>
  <c r="M71" i="64"/>
  <c r="A71" i="64"/>
  <c r="M70" i="64"/>
  <c r="A70" i="64"/>
  <c r="M69" i="64"/>
  <c r="A69" i="64"/>
  <c r="M68" i="64"/>
  <c r="A68" i="64"/>
  <c r="M67" i="64"/>
  <c r="A67" i="64"/>
  <c r="M66" i="64"/>
  <c r="A66" i="64"/>
  <c r="M65" i="64"/>
  <c r="A65" i="64"/>
  <c r="M64" i="64"/>
  <c r="A64" i="64"/>
  <c r="M63" i="64"/>
  <c r="A63" i="64"/>
  <c r="M62" i="64"/>
  <c r="A62" i="64"/>
  <c r="M61" i="64"/>
  <c r="A61" i="64"/>
  <c r="M60" i="64"/>
  <c r="A60" i="64"/>
  <c r="M59" i="64"/>
  <c r="A59" i="64"/>
  <c r="M58" i="64"/>
  <c r="A58" i="64"/>
  <c r="M57" i="64"/>
  <c r="A57" i="64"/>
  <c r="M56" i="64"/>
  <c r="A56" i="64"/>
  <c r="M55" i="64"/>
  <c r="A55" i="64"/>
  <c r="M54" i="64"/>
  <c r="A54" i="64"/>
  <c r="M53" i="64"/>
  <c r="A53" i="64"/>
  <c r="M52" i="64"/>
  <c r="A52" i="64"/>
  <c r="M51" i="64"/>
  <c r="A51" i="64"/>
  <c r="M50" i="64"/>
  <c r="A50" i="64"/>
  <c r="M49" i="64"/>
  <c r="A49" i="64"/>
  <c r="M48" i="64"/>
  <c r="A48" i="64"/>
  <c r="M47" i="64"/>
  <c r="A47" i="64"/>
  <c r="M46" i="64"/>
  <c r="A46" i="64"/>
  <c r="M45" i="64"/>
  <c r="A45" i="64"/>
  <c r="M44" i="64"/>
  <c r="A44" i="64"/>
  <c r="M43" i="64"/>
  <c r="A43" i="64"/>
  <c r="M42" i="64"/>
  <c r="A42" i="64"/>
  <c r="M41" i="64"/>
  <c r="A41" i="64"/>
  <c r="M40" i="64"/>
  <c r="A40" i="64"/>
  <c r="M39" i="64"/>
  <c r="A39" i="64"/>
  <c r="M38" i="64"/>
  <c r="A38" i="64"/>
  <c r="M37" i="64"/>
  <c r="A37" i="64"/>
  <c r="M36" i="64"/>
  <c r="A36" i="64"/>
  <c r="M35" i="64"/>
  <c r="A35" i="64"/>
  <c r="M34" i="64"/>
  <c r="A34" i="64"/>
  <c r="M33" i="64"/>
  <c r="A33" i="64"/>
  <c r="M32" i="64"/>
  <c r="A32" i="64"/>
  <c r="M31" i="64"/>
  <c r="A31" i="64"/>
  <c r="M30" i="64"/>
  <c r="A30" i="64"/>
  <c r="M29" i="64"/>
  <c r="A29" i="64"/>
  <c r="M28" i="64"/>
  <c r="A28" i="64"/>
  <c r="M27" i="64"/>
  <c r="A27" i="64"/>
  <c r="M26" i="64"/>
  <c r="A26" i="64"/>
  <c r="M25" i="64"/>
  <c r="A25" i="64"/>
  <c r="M24" i="64"/>
  <c r="A24" i="64"/>
  <c r="M23" i="64"/>
  <c r="A23" i="64"/>
  <c r="M22" i="64"/>
  <c r="A22" i="64"/>
  <c r="M21" i="64"/>
  <c r="A21" i="64"/>
  <c r="M20" i="64"/>
  <c r="A20" i="64"/>
  <c r="M19" i="64"/>
  <c r="A19" i="64"/>
  <c r="M18" i="64"/>
  <c r="A18" i="64"/>
  <c r="M17" i="64"/>
  <c r="A17" i="64"/>
  <c r="M16" i="64"/>
  <c r="A16" i="64"/>
  <c r="M15" i="64"/>
  <c r="A15" i="64"/>
  <c r="M14" i="64"/>
  <c r="A14" i="64"/>
  <c r="M13" i="64"/>
  <c r="A13" i="64"/>
  <c r="M12" i="64"/>
  <c r="A12" i="64"/>
  <c r="M11" i="64"/>
  <c r="A11" i="64"/>
  <c r="M10" i="64"/>
  <c r="A10" i="64"/>
  <c r="M9" i="64"/>
  <c r="A9" i="64"/>
  <c r="M8" i="64"/>
  <c r="A8" i="64"/>
  <c r="M7" i="64"/>
  <c r="A7" i="64"/>
  <c r="M6" i="64"/>
  <c r="A6" i="64"/>
  <c r="M5" i="64"/>
  <c r="A5" i="64"/>
  <c r="AM5" i="9"/>
  <c r="AB6" i="9"/>
  <c r="AB7" i="9"/>
  <c r="AB8" i="9"/>
  <c r="AB9" i="9"/>
  <c r="AB10" i="9"/>
  <c r="AB11" i="9"/>
  <c r="AB12" i="9"/>
  <c r="AB13" i="9"/>
  <c r="AB14" i="9"/>
  <c r="AB15" i="9"/>
  <c r="AB16" i="9"/>
  <c r="AB17" i="9"/>
  <c r="AB18" i="9"/>
  <c r="AB19" i="9"/>
  <c r="AB20" i="9"/>
  <c r="AB21" i="9"/>
  <c r="AB22" i="9"/>
  <c r="AB23" i="9"/>
  <c r="AB24" i="9"/>
  <c r="AB25" i="9"/>
  <c r="AB26" i="9"/>
  <c r="AB27" i="9"/>
  <c r="AB28" i="9"/>
  <c r="AB29" i="9"/>
  <c r="AB30" i="9"/>
  <c r="AB31" i="9"/>
  <c r="AB32" i="9"/>
  <c r="AB33" i="9"/>
  <c r="AB34" i="9"/>
  <c r="AB35" i="9"/>
  <c r="AB36" i="9"/>
  <c r="AB37" i="9"/>
  <c r="AB38" i="9"/>
  <c r="AB39" i="9"/>
  <c r="AB40" i="9"/>
  <c r="AB41" i="9"/>
  <c r="AB42" i="9"/>
  <c r="AB43" i="9"/>
  <c r="AB44" i="9"/>
  <c r="AB45" i="9"/>
  <c r="AB46" i="9"/>
  <c r="AB47" i="9"/>
  <c r="AB48" i="9"/>
  <c r="AB49" i="9"/>
  <c r="AB50" i="9"/>
  <c r="AB51" i="9"/>
  <c r="AB52" i="9"/>
  <c r="AB53" i="9"/>
  <c r="AB54" i="9"/>
  <c r="AB55" i="9"/>
  <c r="AB56" i="9"/>
  <c r="AB57" i="9"/>
  <c r="AB58" i="9"/>
  <c r="AB59" i="9"/>
  <c r="AB60" i="9"/>
  <c r="AB61" i="9"/>
  <c r="AB62" i="9"/>
  <c r="AB63" i="9"/>
  <c r="AB64" i="9"/>
  <c r="AB65" i="9"/>
  <c r="AB66" i="9"/>
  <c r="AB67" i="9"/>
  <c r="AB68" i="9"/>
  <c r="AB69" i="9"/>
  <c r="AB70" i="9"/>
  <c r="AB71" i="9"/>
  <c r="AB72" i="9"/>
  <c r="AB73" i="9"/>
  <c r="AB74" i="9"/>
  <c r="AB75" i="9"/>
  <c r="AB76" i="9"/>
  <c r="AB77" i="9"/>
  <c r="AB78" i="9"/>
  <c r="AB79" i="9"/>
  <c r="AB80" i="9"/>
  <c r="AB81" i="9"/>
  <c r="AB82" i="9"/>
  <c r="AB83" i="9"/>
  <c r="AB84" i="9"/>
  <c r="AB85" i="9"/>
  <c r="AB86" i="9"/>
  <c r="AB87" i="9"/>
  <c r="AB88" i="9"/>
  <c r="AB89" i="9"/>
  <c r="AB90" i="9"/>
  <c r="AB91" i="9"/>
  <c r="AB92" i="9"/>
  <c r="AB93" i="9"/>
  <c r="AB94" i="9"/>
  <c r="AB95" i="9"/>
  <c r="AB96" i="9"/>
  <c r="AB97" i="9"/>
  <c r="AB98" i="9"/>
  <c r="AB99" i="9"/>
  <c r="AB100" i="9"/>
  <c r="AB101" i="9"/>
  <c r="AB102" i="9"/>
  <c r="AB103" i="9"/>
  <c r="AB104" i="9"/>
  <c r="AB105" i="9"/>
  <c r="AB106" i="9"/>
  <c r="AB107" i="9"/>
  <c r="AB108" i="9"/>
  <c r="AB109" i="9"/>
  <c r="AB110" i="9"/>
  <c r="AB111" i="9"/>
  <c r="AB112" i="9"/>
  <c r="AB113" i="9"/>
  <c r="AB114" i="9"/>
  <c r="AB115" i="9"/>
  <c r="AB116" i="9"/>
  <c r="AB117" i="9"/>
  <c r="AB118" i="9"/>
  <c r="AB119" i="9"/>
  <c r="AB120" i="9"/>
  <c r="AB121" i="9"/>
  <c r="AB122" i="9"/>
  <c r="AB123" i="9"/>
  <c r="AB124" i="9"/>
  <c r="AB125" i="9"/>
  <c r="AB126" i="9"/>
  <c r="AB127" i="9"/>
  <c r="AB128" i="9"/>
  <c r="AB129" i="9"/>
  <c r="AB130" i="9"/>
  <c r="AB131" i="9"/>
  <c r="AB132" i="9"/>
  <c r="AB133" i="9"/>
  <c r="AB134" i="9"/>
  <c r="AB135" i="9"/>
  <c r="AB136" i="9"/>
  <c r="AB137" i="9"/>
  <c r="AB138" i="9"/>
  <c r="AB139" i="9"/>
  <c r="AB140" i="9"/>
  <c r="AB141" i="9"/>
  <c r="AB142" i="9"/>
  <c r="AB143" i="9"/>
  <c r="AB144" i="9"/>
  <c r="AB145" i="9"/>
  <c r="AB146" i="9"/>
  <c r="AB147" i="9"/>
  <c r="AB148" i="9"/>
  <c r="AB149" i="9"/>
  <c r="AB150" i="9"/>
  <c r="AB151" i="9"/>
  <c r="AB152" i="9"/>
  <c r="AB153" i="9"/>
  <c r="AB154" i="9"/>
  <c r="AB155" i="9"/>
  <c r="AB156" i="9"/>
  <c r="AB157" i="9"/>
  <c r="AB158" i="9"/>
  <c r="AB159" i="9"/>
  <c r="AB160" i="9"/>
  <c r="AB161" i="9"/>
  <c r="AB162" i="9"/>
  <c r="AB163" i="9"/>
  <c r="AB164" i="9"/>
  <c r="AB165" i="9"/>
  <c r="AB166" i="9"/>
  <c r="AB167" i="9"/>
  <c r="AB168" i="9"/>
  <c r="AB169" i="9"/>
  <c r="AB170" i="9"/>
  <c r="AB171" i="9"/>
  <c r="AB172" i="9"/>
  <c r="AB173" i="9"/>
  <c r="AB174" i="9"/>
  <c r="AB175" i="9"/>
  <c r="AB176" i="9"/>
  <c r="AB177" i="9"/>
  <c r="AB178" i="9"/>
  <c r="AB179" i="9"/>
  <c r="AB180" i="9"/>
  <c r="AB181" i="9"/>
  <c r="AB182" i="9"/>
  <c r="AB183" i="9"/>
  <c r="AB184" i="9"/>
  <c r="AB185" i="9"/>
  <c r="AB186" i="9"/>
  <c r="AB187" i="9"/>
  <c r="AB188" i="9"/>
  <c r="AB189" i="9"/>
  <c r="AB190" i="9"/>
  <c r="AB191" i="9"/>
  <c r="AB192" i="9"/>
  <c r="AB193" i="9"/>
  <c r="AB194" i="9"/>
  <c r="AB195" i="9"/>
  <c r="AB196" i="9"/>
  <c r="AB197" i="9"/>
  <c r="AB198" i="9"/>
  <c r="AB199" i="9"/>
  <c r="AB200" i="9"/>
  <c r="AB201" i="9"/>
  <c r="AB202" i="9"/>
  <c r="AB203" i="9"/>
  <c r="AB204" i="9"/>
  <c r="AB205" i="9"/>
  <c r="AB206" i="9"/>
  <c r="AB207" i="9"/>
  <c r="AB208" i="9"/>
  <c r="AB209" i="9"/>
  <c r="AB210" i="9"/>
  <c r="AB211" i="9"/>
  <c r="AB212" i="9"/>
  <c r="AB213" i="9"/>
  <c r="AB214" i="9"/>
  <c r="AB215" i="9"/>
  <c r="AB216" i="9"/>
  <c r="AB217" i="9"/>
  <c r="AB218" i="9"/>
  <c r="AB219" i="9"/>
  <c r="AB220" i="9"/>
  <c r="AB221" i="9"/>
  <c r="AB222" i="9"/>
  <c r="AB223" i="9"/>
  <c r="AB224" i="9"/>
  <c r="AB225" i="9"/>
  <c r="AB226" i="9"/>
  <c r="AB227" i="9"/>
  <c r="AB228" i="9"/>
  <c r="AB229" i="9"/>
  <c r="AB230" i="9"/>
  <c r="AB231" i="9"/>
  <c r="AB232" i="9"/>
  <c r="AB233" i="9"/>
  <c r="AB234" i="9"/>
  <c r="AB235" i="9"/>
  <c r="AB236" i="9"/>
  <c r="AB237" i="9"/>
  <c r="AB238" i="9"/>
  <c r="AB239" i="9"/>
  <c r="AB240" i="9"/>
  <c r="AB241" i="9"/>
  <c r="AB242" i="9"/>
  <c r="AB243" i="9"/>
  <c r="AB244" i="9"/>
  <c r="AB245" i="9"/>
  <c r="AB246" i="9"/>
  <c r="AB247" i="9"/>
  <c r="AB248" i="9"/>
  <c r="AB249" i="9"/>
  <c r="AB250" i="9"/>
  <c r="AB251" i="9"/>
  <c r="AB252" i="9"/>
  <c r="AB253" i="9"/>
  <c r="AB254" i="9"/>
  <c r="AB255" i="9"/>
  <c r="AB256" i="9"/>
  <c r="AB257" i="9"/>
  <c r="AB258" i="9"/>
  <c r="AB259" i="9"/>
  <c r="AB260" i="9"/>
  <c r="AB261" i="9"/>
  <c r="AB262" i="9"/>
  <c r="AB263" i="9"/>
  <c r="AB264" i="9"/>
  <c r="AB265" i="9"/>
  <c r="AB266" i="9"/>
  <c r="AB267" i="9"/>
  <c r="AB268" i="9"/>
  <c r="AB269" i="9"/>
  <c r="AB270" i="9"/>
  <c r="AB271" i="9"/>
  <c r="AB272" i="9"/>
  <c r="AB273" i="9"/>
  <c r="AB274" i="9"/>
  <c r="AB275" i="9"/>
  <c r="AB276" i="9"/>
  <c r="AB277" i="9"/>
  <c r="AB278" i="9"/>
  <c r="AB279" i="9"/>
  <c r="AB280" i="9"/>
  <c r="AB281" i="9"/>
  <c r="AB282" i="9"/>
  <c r="AB283" i="9"/>
  <c r="AB284" i="9"/>
  <c r="AB285" i="9"/>
  <c r="AB286" i="9"/>
  <c r="AB287" i="9"/>
  <c r="AB288" i="9"/>
  <c r="AB289" i="9"/>
  <c r="AB290" i="9"/>
  <c r="AB291" i="9"/>
  <c r="AB292" i="9"/>
  <c r="AB293" i="9"/>
  <c r="AB294" i="9"/>
  <c r="AB295" i="9"/>
  <c r="AB296" i="9"/>
  <c r="AB297" i="9"/>
  <c r="AB298" i="9"/>
  <c r="AB299" i="9"/>
  <c r="AB300" i="9"/>
  <c r="AB301" i="9"/>
  <c r="AB302" i="9"/>
  <c r="AB303" i="9"/>
  <c r="AB304" i="9"/>
  <c r="AB305" i="9"/>
  <c r="AB306" i="9"/>
  <c r="AB307" i="9"/>
  <c r="AB308" i="9"/>
  <c r="AB309" i="9"/>
  <c r="AB310" i="9"/>
  <c r="AB311" i="9"/>
  <c r="AB312" i="9"/>
  <c r="AB313" i="9"/>
  <c r="AB314" i="9"/>
  <c r="AB315" i="9"/>
  <c r="AB316" i="9"/>
  <c r="AB317" i="9"/>
  <c r="AB318" i="9"/>
  <c r="AB319" i="9"/>
  <c r="AB320" i="9"/>
  <c r="AB321" i="9"/>
  <c r="AB322" i="9"/>
  <c r="AB323" i="9"/>
  <c r="AB324" i="9"/>
  <c r="AB325" i="9"/>
  <c r="AB326" i="9"/>
  <c r="AB327" i="9"/>
  <c r="AB328" i="9"/>
  <c r="AB329" i="9"/>
  <c r="AB330" i="9"/>
  <c r="AB331" i="9"/>
  <c r="AB332" i="9"/>
  <c r="AB333" i="9"/>
  <c r="AB334" i="9"/>
  <c r="AB335" i="9"/>
  <c r="AB336" i="9"/>
  <c r="AB337" i="9"/>
  <c r="AB338" i="9"/>
  <c r="AB339" i="9"/>
  <c r="AB340" i="9"/>
  <c r="AB341" i="9"/>
  <c r="AB342" i="9"/>
  <c r="AB343" i="9"/>
  <c r="AB344" i="9"/>
  <c r="AB345" i="9"/>
  <c r="AB346" i="9"/>
  <c r="AB347" i="9"/>
  <c r="AB348" i="9"/>
  <c r="AB349" i="9"/>
  <c r="AB350" i="9"/>
  <c r="AB351" i="9"/>
  <c r="AB352" i="9"/>
  <c r="AB353" i="9"/>
  <c r="AB354" i="9"/>
  <c r="AB355" i="9"/>
  <c r="AB356" i="9"/>
  <c r="AB357" i="9"/>
  <c r="AB358" i="9"/>
  <c r="AB359" i="9"/>
  <c r="AB360" i="9"/>
  <c r="AB361" i="9"/>
  <c r="AB362" i="9"/>
  <c r="AB363" i="9"/>
  <c r="AB364" i="9"/>
  <c r="AB365" i="9"/>
  <c r="AB366" i="9"/>
  <c r="AB367" i="9"/>
  <c r="AB368" i="9"/>
  <c r="AB369" i="9"/>
  <c r="AB370" i="9"/>
  <c r="AB371" i="9"/>
  <c r="AB372" i="9"/>
  <c r="AB373" i="9"/>
  <c r="AB374" i="9"/>
  <c r="AB375" i="9"/>
  <c r="AB376" i="9"/>
  <c r="AB377" i="9"/>
  <c r="AB378" i="9"/>
  <c r="AB379" i="9"/>
  <c r="AB380" i="9"/>
  <c r="AB381" i="9"/>
  <c r="AB382" i="9"/>
  <c r="AB383" i="9"/>
  <c r="AB384" i="9"/>
  <c r="AB385" i="9"/>
  <c r="AB386" i="9"/>
  <c r="AB387" i="9"/>
  <c r="AB388" i="9"/>
  <c r="AB389" i="9"/>
  <c r="AB390" i="9"/>
  <c r="AB391" i="9"/>
  <c r="AB392" i="9"/>
  <c r="AB393" i="9"/>
  <c r="AB394" i="9"/>
  <c r="AB395" i="9"/>
  <c r="AB396" i="9"/>
  <c r="AB397" i="9"/>
  <c r="AB398" i="9"/>
  <c r="AB399" i="9"/>
  <c r="AB400" i="9"/>
  <c r="AB401" i="9"/>
  <c r="AB402" i="9"/>
  <c r="AB403" i="9"/>
  <c r="AB404" i="9"/>
  <c r="AB405" i="9"/>
  <c r="AB406" i="9"/>
  <c r="AB407" i="9"/>
  <c r="AB408" i="9"/>
  <c r="AB409" i="9"/>
  <c r="AB410" i="9"/>
  <c r="AB411" i="9"/>
  <c r="AB412" i="9"/>
  <c r="AB413" i="9"/>
  <c r="AB414" i="9"/>
  <c r="AB415" i="9"/>
  <c r="AB416" i="9"/>
  <c r="AB417" i="9"/>
  <c r="AB418" i="9"/>
  <c r="AB419" i="9"/>
  <c r="AB420" i="9"/>
  <c r="AB421" i="9"/>
  <c r="AB422" i="9"/>
  <c r="AB423" i="9"/>
  <c r="AB424" i="9"/>
  <c r="AB425" i="9"/>
  <c r="AB426" i="9"/>
  <c r="AB427" i="9"/>
  <c r="AB428" i="9"/>
  <c r="AB429" i="9"/>
  <c r="AB430" i="9"/>
  <c r="AB431" i="9"/>
  <c r="AB432" i="9"/>
  <c r="AB433" i="9"/>
  <c r="AB434" i="9"/>
  <c r="AB435" i="9"/>
  <c r="AB436" i="9"/>
  <c r="AB437" i="9"/>
  <c r="AB438" i="9"/>
  <c r="AB439" i="9"/>
  <c r="AB440" i="9"/>
  <c r="AB441" i="9"/>
  <c r="AB442" i="9"/>
  <c r="AB443" i="9"/>
  <c r="AB444" i="9"/>
  <c r="AB445" i="9"/>
  <c r="AB446" i="9"/>
  <c r="AB447" i="9"/>
  <c r="AB448" i="9"/>
  <c r="AB449" i="9"/>
  <c r="AB450" i="9"/>
  <c r="AB451" i="9"/>
  <c r="AB452" i="9"/>
  <c r="AB453" i="9"/>
  <c r="AB454" i="9"/>
  <c r="AB455" i="9"/>
  <c r="AB456" i="9"/>
  <c r="AB457" i="9"/>
  <c r="AB458" i="9"/>
  <c r="AB459" i="9"/>
  <c r="AB460" i="9"/>
  <c r="AB461" i="9"/>
  <c r="AB462" i="9"/>
  <c r="AB463" i="9"/>
  <c r="AB464" i="9"/>
  <c r="AB465" i="9"/>
  <c r="AB466" i="9"/>
  <c r="AB467" i="9"/>
  <c r="AB468" i="9"/>
  <c r="AB469" i="9"/>
  <c r="AB470" i="9"/>
  <c r="AB471" i="9"/>
  <c r="AB472" i="9"/>
  <c r="AB473" i="9"/>
  <c r="AB474" i="9"/>
  <c r="AB475" i="9"/>
  <c r="AB476" i="9"/>
  <c r="AB477" i="9"/>
  <c r="AB478" i="9"/>
  <c r="AB479" i="9"/>
  <c r="AB480" i="9"/>
  <c r="AB481" i="9"/>
  <c r="AB482" i="9"/>
  <c r="AB483" i="9"/>
  <c r="AB484" i="9"/>
  <c r="AB485" i="9"/>
  <c r="AB486" i="9"/>
  <c r="AB487" i="9"/>
  <c r="AB488" i="9"/>
  <c r="AB489" i="9"/>
  <c r="AB490" i="9"/>
  <c r="AB491" i="9"/>
  <c r="AB492" i="9"/>
  <c r="AB493" i="9"/>
  <c r="AB494" i="9"/>
  <c r="AB495" i="9"/>
  <c r="AB496" i="9"/>
  <c r="AB497" i="9"/>
  <c r="AB498" i="9"/>
  <c r="AB499" i="9"/>
  <c r="AB500" i="9"/>
  <c r="AB501" i="9"/>
  <c r="AB502" i="9"/>
  <c r="AB503" i="9"/>
  <c r="AB504" i="9"/>
  <c r="AB5" i="9"/>
  <c r="BM304" i="9"/>
  <c r="AO304" i="9"/>
  <c r="BK304" i="9"/>
  <c r="BF304" i="9"/>
  <c r="BA304" i="9"/>
  <c r="AV304" i="9"/>
  <c r="AK304" i="9"/>
  <c r="AI304" i="9"/>
  <c r="W304" i="9"/>
  <c r="T304" i="9"/>
  <c r="F304" i="9"/>
  <c r="C304" i="9"/>
  <c r="A304" i="9"/>
  <c r="BM303" i="9"/>
  <c r="AO303" i="9"/>
  <c r="BK303" i="9"/>
  <c r="BF303" i="9"/>
  <c r="BA303" i="9"/>
  <c r="AV303" i="9"/>
  <c r="AK303" i="9"/>
  <c r="AI303" i="9"/>
  <c r="W303" i="9"/>
  <c r="T303" i="9"/>
  <c r="F303" i="9"/>
  <c r="C303" i="9"/>
  <c r="A303" i="9"/>
  <c r="BM302" i="9"/>
  <c r="AO302" i="9"/>
  <c r="BK302" i="9"/>
  <c r="BF302" i="9"/>
  <c r="BA302" i="9"/>
  <c r="AV302" i="9"/>
  <c r="AK302" i="9"/>
  <c r="AI302" i="9"/>
  <c r="W302" i="9"/>
  <c r="T302" i="9"/>
  <c r="F302" i="9"/>
  <c r="C302" i="9"/>
  <c r="BM301" i="9"/>
  <c r="AO301" i="9"/>
  <c r="BK301" i="9"/>
  <c r="BF301" i="9"/>
  <c r="BA301" i="9"/>
  <c r="AV301" i="9"/>
  <c r="AK301" i="9"/>
  <c r="AI301" i="9"/>
  <c r="W301" i="9"/>
  <c r="T301" i="9"/>
  <c r="F301" i="9"/>
  <c r="C301" i="9"/>
  <c r="A301" i="9"/>
  <c r="BM300" i="9"/>
  <c r="AO300" i="9"/>
  <c r="BK300" i="9"/>
  <c r="BF300" i="9"/>
  <c r="BA300" i="9"/>
  <c r="AV300" i="9"/>
  <c r="AK300" i="9"/>
  <c r="AI300" i="9"/>
  <c r="W300" i="9"/>
  <c r="T300" i="9"/>
  <c r="F300" i="9"/>
  <c r="C300" i="9"/>
  <c r="A300" i="9"/>
  <c r="BM299" i="9"/>
  <c r="AO299" i="9"/>
  <c r="BK299" i="9"/>
  <c r="BF299" i="9"/>
  <c r="BA299" i="9"/>
  <c r="AV299" i="9"/>
  <c r="AK299" i="9"/>
  <c r="AI299" i="9"/>
  <c r="W299" i="9"/>
  <c r="T299" i="9"/>
  <c r="F299" i="9"/>
  <c r="C299" i="9"/>
  <c r="A299" i="9"/>
  <c r="BM298" i="9"/>
  <c r="AO298" i="9"/>
  <c r="BK298" i="9"/>
  <c r="BF298" i="9"/>
  <c r="BA298" i="9"/>
  <c r="AV298" i="9"/>
  <c r="AK298" i="9"/>
  <c r="AI298" i="9"/>
  <c r="W298" i="9"/>
  <c r="T298" i="9"/>
  <c r="F298" i="9"/>
  <c r="A298" i="9"/>
  <c r="C298" i="9"/>
  <c r="BM297" i="9"/>
  <c r="AO297" i="9"/>
  <c r="BK297" i="9"/>
  <c r="BF297" i="9"/>
  <c r="BA297" i="9"/>
  <c r="AV297" i="9"/>
  <c r="AK297" i="9"/>
  <c r="AI297" i="9"/>
  <c r="W297" i="9"/>
  <c r="T297" i="9"/>
  <c r="F297" i="9"/>
  <c r="C297" i="9"/>
  <c r="A297" i="9"/>
  <c r="BM296" i="9"/>
  <c r="AO296" i="9"/>
  <c r="BK296" i="9"/>
  <c r="BF296" i="9"/>
  <c r="BA296" i="9"/>
  <c r="AV296" i="9"/>
  <c r="AK296" i="9"/>
  <c r="AI296" i="9"/>
  <c r="W296" i="9"/>
  <c r="T296" i="9"/>
  <c r="F296" i="9"/>
  <c r="C296" i="9"/>
  <c r="A296" i="9"/>
  <c r="BM295" i="9"/>
  <c r="AO295" i="9"/>
  <c r="BK295" i="9"/>
  <c r="BF295" i="9"/>
  <c r="BA295" i="9"/>
  <c r="AV295" i="9"/>
  <c r="AK295" i="9"/>
  <c r="AI295" i="9"/>
  <c r="W295" i="9"/>
  <c r="T295" i="9"/>
  <c r="F295" i="9"/>
  <c r="C295" i="9"/>
  <c r="A295" i="9"/>
  <c r="BM294" i="9"/>
  <c r="AO294" i="9"/>
  <c r="BK294" i="9"/>
  <c r="BF294" i="9"/>
  <c r="BA294" i="9"/>
  <c r="AV294" i="9"/>
  <c r="AK294" i="9"/>
  <c r="AI294" i="9"/>
  <c r="W294" i="9"/>
  <c r="T294" i="9"/>
  <c r="F294" i="9"/>
  <c r="C294" i="9"/>
  <c r="A294" i="9"/>
  <c r="BM293" i="9"/>
  <c r="AO293" i="9"/>
  <c r="BK293" i="9"/>
  <c r="BF293" i="9"/>
  <c r="BA293" i="9"/>
  <c r="AV293" i="9"/>
  <c r="AK293" i="9"/>
  <c r="AI293" i="9"/>
  <c r="W293" i="9"/>
  <c r="T293" i="9"/>
  <c r="F293" i="9"/>
  <c r="C293" i="9"/>
  <c r="A293" i="9"/>
  <c r="BM292" i="9"/>
  <c r="AO292" i="9"/>
  <c r="BK292" i="9"/>
  <c r="BA292" i="9"/>
  <c r="AV292" i="9"/>
  <c r="AK292" i="9"/>
  <c r="AI292" i="9"/>
  <c r="W292" i="9"/>
  <c r="T292" i="9"/>
  <c r="F292" i="9"/>
  <c r="C292" i="9"/>
  <c r="A292" i="9"/>
  <c r="BM291" i="9"/>
  <c r="AO291" i="9"/>
  <c r="BK291" i="9"/>
  <c r="BF291" i="9"/>
  <c r="BA291" i="9"/>
  <c r="AV291" i="9"/>
  <c r="AK291" i="9"/>
  <c r="AI291" i="9"/>
  <c r="W291" i="9"/>
  <c r="T291" i="9"/>
  <c r="F291" i="9"/>
  <c r="A291" i="9"/>
  <c r="C291" i="9"/>
  <c r="BM290" i="9"/>
  <c r="AO290" i="9"/>
  <c r="BK290" i="9"/>
  <c r="BF290" i="9"/>
  <c r="BA290" i="9"/>
  <c r="AV290" i="9"/>
  <c r="AK290" i="9"/>
  <c r="AI290" i="9"/>
  <c r="W290" i="9"/>
  <c r="T290" i="9"/>
  <c r="F290" i="9"/>
  <c r="C290" i="9"/>
  <c r="A290" i="9"/>
  <c r="BM289" i="9"/>
  <c r="AO289" i="9"/>
  <c r="BK289" i="9"/>
  <c r="BF289" i="9"/>
  <c r="BA289" i="9"/>
  <c r="AV289" i="9"/>
  <c r="AK289" i="9"/>
  <c r="AI289" i="9"/>
  <c r="W289" i="9"/>
  <c r="T289" i="9"/>
  <c r="F289" i="9"/>
  <c r="A289" i="9"/>
  <c r="C289" i="9"/>
  <c r="BM288" i="9"/>
  <c r="AO288" i="9"/>
  <c r="BK288" i="9"/>
  <c r="BF288" i="9"/>
  <c r="BA288" i="9"/>
  <c r="AV288" i="9"/>
  <c r="AK288" i="9"/>
  <c r="AI288" i="9"/>
  <c r="W288" i="9"/>
  <c r="T288" i="9"/>
  <c r="F288" i="9"/>
  <c r="C288" i="9"/>
  <c r="BM287" i="9"/>
  <c r="AO287" i="9"/>
  <c r="BK287" i="9"/>
  <c r="BF287" i="9"/>
  <c r="BA287" i="9"/>
  <c r="AV287" i="9"/>
  <c r="AK287" i="9"/>
  <c r="AI287" i="9"/>
  <c r="W287" i="9"/>
  <c r="T287" i="9"/>
  <c r="F287" i="9"/>
  <c r="C287" i="9"/>
  <c r="BM286" i="9"/>
  <c r="AO286" i="9"/>
  <c r="BK286" i="9"/>
  <c r="BF286" i="9"/>
  <c r="BA286" i="9"/>
  <c r="AV286" i="9"/>
  <c r="AK286" i="9"/>
  <c r="AI286" i="9"/>
  <c r="W286" i="9"/>
  <c r="T286" i="9"/>
  <c r="F286" i="9"/>
  <c r="C286" i="9"/>
  <c r="A286" i="9"/>
  <c r="BM285" i="9"/>
  <c r="AO285" i="9"/>
  <c r="BK285" i="9"/>
  <c r="BF285" i="9"/>
  <c r="AV285" i="9"/>
  <c r="AK285" i="9"/>
  <c r="AI285" i="9"/>
  <c r="W285" i="9"/>
  <c r="T285" i="9"/>
  <c r="F285" i="9"/>
  <c r="C285" i="9"/>
  <c r="A285" i="9"/>
  <c r="A302" i="9"/>
  <c r="A287" i="9"/>
  <c r="A288" i="9"/>
  <c r="Y5" i="57"/>
  <c r="Y6" i="57"/>
  <c r="Y7" i="57"/>
  <c r="Y8" i="57"/>
  <c r="Y9" i="57"/>
  <c r="Y10" i="57"/>
  <c r="Y11" i="57"/>
  <c r="Y12" i="57"/>
  <c r="Y13" i="57"/>
  <c r="Y14" i="57"/>
  <c r="Y15" i="57"/>
  <c r="Y16" i="57"/>
  <c r="Y17" i="57"/>
  <c r="Y18" i="57"/>
  <c r="Y19" i="57"/>
  <c r="Y20" i="57"/>
  <c r="Y21" i="57"/>
  <c r="Y22" i="57"/>
  <c r="Y23" i="57"/>
  <c r="Y24" i="57"/>
  <c r="Y25" i="57"/>
  <c r="Y26" i="57"/>
  <c r="Y27" i="57"/>
  <c r="Y28" i="57"/>
  <c r="Y29" i="57"/>
  <c r="Y30" i="57"/>
  <c r="Y31" i="57"/>
  <c r="Y32" i="57"/>
  <c r="Y33" i="57"/>
  <c r="Y34" i="57"/>
  <c r="Y35" i="57"/>
  <c r="Y36" i="57"/>
  <c r="Y37" i="57"/>
  <c r="Y38" i="57"/>
  <c r="Y39" i="57"/>
  <c r="Y40" i="57"/>
  <c r="Y41" i="57"/>
  <c r="Y42" i="57"/>
  <c r="Y43" i="57"/>
  <c r="Y44" i="57"/>
  <c r="Y45" i="57"/>
  <c r="Y46" i="57"/>
  <c r="Y47" i="57"/>
  <c r="Y48" i="57"/>
  <c r="Y49" i="57"/>
  <c r="Y50" i="57"/>
  <c r="Y51" i="57"/>
  <c r="Y52" i="57"/>
  <c r="Y53" i="57"/>
  <c r="Y54" i="57"/>
  <c r="Y55" i="57"/>
  <c r="Y56" i="57"/>
  <c r="Y57" i="57"/>
  <c r="Y58" i="57"/>
  <c r="Y59" i="57"/>
  <c r="Y60" i="57"/>
  <c r="Y61" i="57"/>
  <c r="Y62" i="57"/>
  <c r="Y63" i="57"/>
  <c r="Y64" i="57"/>
  <c r="Y65" i="57"/>
  <c r="Y66" i="57"/>
  <c r="Y67" i="57"/>
  <c r="Y68" i="57"/>
  <c r="Y69" i="57"/>
  <c r="Y70" i="57"/>
  <c r="Y71" i="57"/>
  <c r="Y72" i="57"/>
  <c r="Y73" i="57"/>
  <c r="Y74" i="57"/>
  <c r="Y75" i="57"/>
  <c r="Y76" i="57"/>
  <c r="Y77" i="57"/>
  <c r="Y78" i="57"/>
  <c r="Y79" i="57"/>
  <c r="Y80" i="57"/>
  <c r="Y81" i="57"/>
  <c r="Y82" i="57"/>
  <c r="Y83" i="57"/>
  <c r="Y84" i="57"/>
  <c r="Y86" i="57"/>
  <c r="Y87" i="57"/>
  <c r="Y88" i="57"/>
  <c r="Y89" i="57"/>
  <c r="Y90" i="57"/>
  <c r="Y91" i="57"/>
  <c r="Y92" i="57"/>
  <c r="Y93" i="57"/>
  <c r="Y94" i="57"/>
  <c r="Y95" i="57"/>
  <c r="Y96" i="57"/>
  <c r="Y97" i="57"/>
  <c r="Y98" i="57"/>
  <c r="Y99" i="57"/>
  <c r="Y100" i="57"/>
  <c r="Y101" i="57"/>
  <c r="Y102" i="57"/>
  <c r="Y103" i="57"/>
  <c r="Y104" i="57"/>
  <c r="Y105" i="57"/>
  <c r="Y106" i="57"/>
  <c r="Y107" i="57"/>
  <c r="Y108" i="57"/>
  <c r="Y109" i="57"/>
  <c r="Y110" i="57"/>
  <c r="Y111" i="57"/>
  <c r="Y112" i="57"/>
  <c r="Y113" i="57"/>
  <c r="Y114" i="57"/>
  <c r="Y115" i="57"/>
  <c r="Y116" i="57"/>
  <c r="Y117" i="57"/>
  <c r="Y118" i="57"/>
  <c r="Y119" i="57"/>
  <c r="Y120" i="57"/>
  <c r="Y121" i="57"/>
  <c r="Y122" i="57"/>
  <c r="Y123" i="57"/>
  <c r="Y124" i="57"/>
  <c r="Y125" i="57"/>
  <c r="Y126" i="57"/>
  <c r="Y127" i="57"/>
  <c r="Y128" i="57"/>
  <c r="Y129" i="57"/>
  <c r="Y130" i="57"/>
  <c r="Y131" i="57"/>
  <c r="Y132" i="57"/>
  <c r="Y133" i="57"/>
  <c r="Y134" i="57"/>
  <c r="Y135" i="57"/>
  <c r="Y136" i="57"/>
  <c r="Y137" i="57"/>
  <c r="Y138" i="57"/>
  <c r="Y139" i="57"/>
  <c r="Y140" i="57"/>
  <c r="Y141" i="57"/>
  <c r="Y142" i="57"/>
  <c r="Y143" i="57"/>
  <c r="Y144" i="57"/>
  <c r="Y145" i="57"/>
  <c r="Y146" i="57"/>
  <c r="Y147" i="57"/>
  <c r="Y148" i="57"/>
  <c r="Y149" i="57"/>
  <c r="Y150" i="57"/>
  <c r="Y151" i="57"/>
  <c r="Y152" i="57"/>
  <c r="Y153" i="57"/>
  <c r="Y154" i="57"/>
  <c r="Y155" i="57"/>
  <c r="Y156" i="57"/>
  <c r="Y157" i="57"/>
  <c r="Y158" i="57"/>
  <c r="Y159" i="57"/>
  <c r="Y160" i="57"/>
  <c r="Y161" i="57"/>
  <c r="Y162" i="57"/>
  <c r="Y163" i="57"/>
  <c r="Y164" i="57"/>
  <c r="Y165" i="57"/>
  <c r="Y166" i="57"/>
  <c r="Y167" i="57"/>
  <c r="Y168" i="57"/>
  <c r="Y169" i="57"/>
  <c r="Y170" i="57"/>
  <c r="Y171" i="57"/>
  <c r="Y172" i="57"/>
  <c r="Y173" i="57"/>
  <c r="Y174" i="57"/>
  <c r="Y175" i="57"/>
  <c r="Y176" i="57"/>
  <c r="Y177" i="57"/>
  <c r="Y178" i="57"/>
  <c r="Y179" i="57"/>
  <c r="Y180" i="57"/>
  <c r="Y181" i="57"/>
  <c r="Y182" i="57"/>
  <c r="Y183" i="57"/>
  <c r="Y184" i="57"/>
  <c r="Y185" i="57"/>
  <c r="Y186" i="57"/>
  <c r="Y187" i="57"/>
  <c r="Y188" i="57"/>
  <c r="Y189" i="57"/>
  <c r="Y190" i="57"/>
  <c r="Y191" i="57"/>
  <c r="Y192" i="57"/>
  <c r="Y193" i="57"/>
  <c r="Y194" i="57"/>
  <c r="Y195" i="57"/>
  <c r="Y196" i="57"/>
  <c r="Y197" i="57"/>
  <c r="Y198" i="57"/>
  <c r="Y199" i="57"/>
  <c r="Y200" i="57"/>
  <c r="Y201" i="57"/>
  <c r="Y202" i="57"/>
  <c r="Y203" i="57"/>
  <c r="Y204" i="57"/>
  <c r="Y205" i="57"/>
  <c r="Y206" i="57"/>
  <c r="Y207" i="57"/>
  <c r="Y208" i="57"/>
  <c r="Y209" i="57"/>
  <c r="Y210" i="57"/>
  <c r="Y211" i="57"/>
  <c r="Y212" i="57"/>
  <c r="Y213" i="57"/>
  <c r="Y214" i="57"/>
  <c r="Y215" i="57"/>
  <c r="Y216" i="57"/>
  <c r="Y217" i="57"/>
  <c r="Y218" i="57"/>
  <c r="Y219" i="57"/>
  <c r="Y220" i="57"/>
  <c r="Y221" i="57"/>
  <c r="Y222" i="57"/>
  <c r="Y223" i="57"/>
  <c r="Y224" i="57"/>
  <c r="Y85" i="57"/>
  <c r="X5" i="57"/>
  <c r="X6" i="57"/>
  <c r="X7" i="57"/>
  <c r="X8" i="57"/>
  <c r="X9" i="57"/>
  <c r="X10" i="57"/>
  <c r="X11" i="57"/>
  <c r="X12" i="57"/>
  <c r="X13" i="57"/>
  <c r="X14" i="57"/>
  <c r="X15" i="57"/>
  <c r="X16" i="57"/>
  <c r="X17" i="57"/>
  <c r="X18" i="57"/>
  <c r="X19" i="57"/>
  <c r="X20" i="57"/>
  <c r="X21" i="57"/>
  <c r="X22" i="57"/>
  <c r="X23" i="57"/>
  <c r="X24" i="57"/>
  <c r="X25" i="57"/>
  <c r="X26" i="57"/>
  <c r="X27" i="57"/>
  <c r="X28" i="57"/>
  <c r="X29" i="57"/>
  <c r="X30" i="57"/>
  <c r="X31" i="57"/>
  <c r="X32" i="57"/>
  <c r="X33" i="57"/>
  <c r="X34" i="57"/>
  <c r="X35" i="57"/>
  <c r="X36" i="57"/>
  <c r="X37" i="57"/>
  <c r="X38" i="57"/>
  <c r="X39" i="57"/>
  <c r="X40" i="57"/>
  <c r="X41" i="57"/>
  <c r="X42" i="57"/>
  <c r="X43" i="57"/>
  <c r="X44" i="57"/>
  <c r="X45" i="57"/>
  <c r="X46" i="57"/>
  <c r="X47" i="57"/>
  <c r="X48" i="57"/>
  <c r="X49" i="57"/>
  <c r="X50" i="57"/>
  <c r="X51" i="57"/>
  <c r="X52" i="57"/>
  <c r="X53" i="57"/>
  <c r="X54" i="57"/>
  <c r="X55" i="57"/>
  <c r="X56" i="57"/>
  <c r="X57" i="57"/>
  <c r="X58" i="57"/>
  <c r="X59" i="57"/>
  <c r="X60" i="57"/>
  <c r="X61" i="57"/>
  <c r="X62" i="57"/>
  <c r="X63" i="57"/>
  <c r="X64" i="57"/>
  <c r="X65" i="57"/>
  <c r="X66" i="57"/>
  <c r="X67" i="57"/>
  <c r="X68" i="57"/>
  <c r="X69" i="57"/>
  <c r="X70" i="57"/>
  <c r="X71" i="57"/>
  <c r="X72" i="57"/>
  <c r="X73" i="57"/>
  <c r="X74" i="57"/>
  <c r="X75" i="57"/>
  <c r="X76" i="57"/>
  <c r="X77" i="57"/>
  <c r="X78" i="57"/>
  <c r="X79" i="57"/>
  <c r="X80" i="57"/>
  <c r="X81" i="57"/>
  <c r="X82" i="57"/>
  <c r="X83" i="57"/>
  <c r="X84" i="57"/>
  <c r="X86" i="57"/>
  <c r="X87" i="57"/>
  <c r="X88" i="57"/>
  <c r="X89" i="57"/>
  <c r="X90" i="57"/>
  <c r="X91" i="57"/>
  <c r="X92" i="57"/>
  <c r="X93" i="57"/>
  <c r="X94" i="57"/>
  <c r="X95" i="57"/>
  <c r="X96" i="57"/>
  <c r="X97" i="57"/>
  <c r="X98" i="57"/>
  <c r="X99" i="57"/>
  <c r="X100" i="57"/>
  <c r="X101" i="57"/>
  <c r="X102" i="57"/>
  <c r="X103" i="57"/>
  <c r="X104" i="57"/>
  <c r="X105" i="57"/>
  <c r="X106" i="57"/>
  <c r="X107" i="57"/>
  <c r="X108" i="57"/>
  <c r="X109" i="57"/>
  <c r="X110" i="57"/>
  <c r="X111" i="57"/>
  <c r="X112" i="57"/>
  <c r="X113" i="57"/>
  <c r="X114" i="57"/>
  <c r="X115" i="57"/>
  <c r="X116" i="57"/>
  <c r="X117" i="57"/>
  <c r="X118" i="57"/>
  <c r="X119" i="57"/>
  <c r="X120" i="57"/>
  <c r="X121" i="57"/>
  <c r="X122" i="57"/>
  <c r="X123" i="57"/>
  <c r="X124" i="57"/>
  <c r="X125" i="57"/>
  <c r="X126" i="57"/>
  <c r="X127" i="57"/>
  <c r="X128" i="57"/>
  <c r="X129" i="57"/>
  <c r="X130" i="57"/>
  <c r="X131" i="57"/>
  <c r="X132" i="57"/>
  <c r="X133" i="57"/>
  <c r="X134" i="57"/>
  <c r="X135" i="57"/>
  <c r="X136" i="57"/>
  <c r="X137" i="57"/>
  <c r="X138" i="57"/>
  <c r="X139" i="57"/>
  <c r="X140" i="57"/>
  <c r="X141" i="57"/>
  <c r="X142" i="57"/>
  <c r="X143" i="57"/>
  <c r="X144" i="57"/>
  <c r="X145" i="57"/>
  <c r="X146" i="57"/>
  <c r="X147" i="57"/>
  <c r="X148" i="57"/>
  <c r="X149" i="57"/>
  <c r="X150" i="57"/>
  <c r="X151" i="57"/>
  <c r="X152" i="57"/>
  <c r="X153" i="57"/>
  <c r="X154" i="57"/>
  <c r="X155" i="57"/>
  <c r="X156" i="57"/>
  <c r="X157" i="57"/>
  <c r="X158" i="57"/>
  <c r="X159" i="57"/>
  <c r="X160" i="57"/>
  <c r="X161" i="57"/>
  <c r="X162" i="57"/>
  <c r="X163" i="57"/>
  <c r="X164" i="57"/>
  <c r="X165" i="57"/>
  <c r="X166" i="57"/>
  <c r="X167" i="57"/>
  <c r="X168" i="57"/>
  <c r="X169" i="57"/>
  <c r="X170" i="57"/>
  <c r="X171" i="57"/>
  <c r="X172" i="57"/>
  <c r="X173" i="57"/>
  <c r="X174" i="57"/>
  <c r="X175" i="57"/>
  <c r="X176" i="57"/>
  <c r="X177" i="57"/>
  <c r="X178" i="57"/>
  <c r="X179" i="57"/>
  <c r="X180" i="57"/>
  <c r="X181" i="57"/>
  <c r="X182" i="57"/>
  <c r="X183" i="57"/>
  <c r="X184" i="57"/>
  <c r="X185" i="57"/>
  <c r="X186" i="57"/>
  <c r="X187" i="57"/>
  <c r="X188" i="57"/>
  <c r="X189" i="57"/>
  <c r="X190" i="57"/>
  <c r="X191" i="57"/>
  <c r="X192" i="57"/>
  <c r="X193" i="57"/>
  <c r="X194" i="57"/>
  <c r="X195" i="57"/>
  <c r="X196" i="57"/>
  <c r="X197" i="57"/>
  <c r="X198" i="57"/>
  <c r="X199" i="57"/>
  <c r="X200" i="57"/>
  <c r="X201" i="57"/>
  <c r="X202" i="57"/>
  <c r="X203" i="57"/>
  <c r="X204" i="57"/>
  <c r="X205" i="57"/>
  <c r="X206" i="57"/>
  <c r="X207" i="57"/>
  <c r="X208" i="57"/>
  <c r="X209" i="57"/>
  <c r="X210" i="57"/>
  <c r="X211" i="57"/>
  <c r="X212" i="57"/>
  <c r="X213" i="57"/>
  <c r="X214" i="57"/>
  <c r="X215" i="57"/>
  <c r="X216" i="57"/>
  <c r="X217" i="57"/>
  <c r="X218" i="57"/>
  <c r="X219" i="57"/>
  <c r="X220" i="57"/>
  <c r="X221" i="57"/>
  <c r="X222" i="57"/>
  <c r="X223" i="57"/>
  <c r="X224" i="57"/>
  <c r="X85" i="57"/>
  <c r="S6" i="57"/>
  <c r="S7" i="57"/>
  <c r="S8" i="57"/>
  <c r="S9" i="57"/>
  <c r="S10" i="57"/>
  <c r="S11" i="57"/>
  <c r="S12" i="57"/>
  <c r="S13" i="57"/>
  <c r="S14" i="57"/>
  <c r="S15" i="57"/>
  <c r="S16" i="57"/>
  <c r="S17" i="57"/>
  <c r="S18" i="57"/>
  <c r="S19" i="57"/>
  <c r="S20" i="57"/>
  <c r="S21" i="57"/>
  <c r="S22" i="57"/>
  <c r="S23" i="57"/>
  <c r="S24" i="57"/>
  <c r="S25" i="57"/>
  <c r="S26" i="57"/>
  <c r="S27" i="57"/>
  <c r="S28" i="57"/>
  <c r="S29" i="57"/>
  <c r="S30" i="57"/>
  <c r="S31" i="57"/>
  <c r="S32" i="57"/>
  <c r="S33" i="57"/>
  <c r="S34" i="57"/>
  <c r="S35" i="57"/>
  <c r="S36" i="57"/>
  <c r="S37" i="57"/>
  <c r="S38" i="57"/>
  <c r="S39" i="57"/>
  <c r="S40" i="57"/>
  <c r="S41" i="57"/>
  <c r="S42" i="57"/>
  <c r="S43" i="57"/>
  <c r="S44" i="57"/>
  <c r="S45" i="57"/>
  <c r="S46" i="57"/>
  <c r="S47" i="57"/>
  <c r="S48" i="57"/>
  <c r="S49" i="57"/>
  <c r="S50" i="57"/>
  <c r="S51" i="57"/>
  <c r="S52" i="57"/>
  <c r="S53" i="57"/>
  <c r="S54" i="57"/>
  <c r="S55" i="57"/>
  <c r="S56" i="57"/>
  <c r="S57" i="57"/>
  <c r="S58" i="57"/>
  <c r="S59" i="57"/>
  <c r="S60" i="57"/>
  <c r="S61" i="57"/>
  <c r="S62" i="57"/>
  <c r="S63" i="57"/>
  <c r="S64" i="57"/>
  <c r="S65" i="57"/>
  <c r="S66" i="57"/>
  <c r="S67" i="57"/>
  <c r="S68" i="57"/>
  <c r="S69" i="57"/>
  <c r="S70" i="57"/>
  <c r="S71" i="57"/>
  <c r="S72" i="57"/>
  <c r="S73" i="57"/>
  <c r="S74" i="57"/>
  <c r="S75" i="57"/>
  <c r="S76" i="57"/>
  <c r="S77" i="57"/>
  <c r="S78" i="57"/>
  <c r="S79" i="57"/>
  <c r="S80" i="57"/>
  <c r="S81" i="57"/>
  <c r="S82" i="57"/>
  <c r="S83" i="57"/>
  <c r="S84" i="57"/>
  <c r="S85" i="57"/>
  <c r="S86" i="57"/>
  <c r="S87" i="57"/>
  <c r="S88" i="57"/>
  <c r="S89" i="57"/>
  <c r="S90" i="57"/>
  <c r="S91" i="57"/>
  <c r="S92" i="57"/>
  <c r="S93" i="57"/>
  <c r="S94" i="57"/>
  <c r="S95" i="57"/>
  <c r="S96" i="57"/>
  <c r="S97" i="57"/>
  <c r="S98" i="57"/>
  <c r="S99" i="57"/>
  <c r="S100" i="57"/>
  <c r="S101" i="57"/>
  <c r="S102" i="57"/>
  <c r="S103" i="57"/>
  <c r="S104" i="57"/>
  <c r="S105" i="57"/>
  <c r="S106" i="57"/>
  <c r="S107" i="57"/>
  <c r="S108" i="57"/>
  <c r="S109" i="57"/>
  <c r="S110" i="57"/>
  <c r="S111" i="57"/>
  <c r="S112" i="57"/>
  <c r="S113" i="57"/>
  <c r="S114" i="57"/>
  <c r="S115" i="57"/>
  <c r="S116" i="57"/>
  <c r="S117" i="57"/>
  <c r="S118" i="57"/>
  <c r="S119" i="57"/>
  <c r="S120" i="57"/>
  <c r="S121" i="57"/>
  <c r="S122" i="57"/>
  <c r="S123" i="57"/>
  <c r="S124" i="57"/>
  <c r="S125" i="57"/>
  <c r="S126" i="57"/>
  <c r="S127" i="57"/>
  <c r="S128" i="57"/>
  <c r="S129" i="57"/>
  <c r="S130" i="57"/>
  <c r="S131" i="57"/>
  <c r="S132" i="57"/>
  <c r="S133" i="57"/>
  <c r="S134" i="57"/>
  <c r="S135" i="57"/>
  <c r="S136" i="57"/>
  <c r="S137" i="57"/>
  <c r="S138" i="57"/>
  <c r="S139" i="57"/>
  <c r="S140" i="57"/>
  <c r="S141" i="57"/>
  <c r="S142" i="57"/>
  <c r="S143" i="57"/>
  <c r="S144" i="57"/>
  <c r="S145" i="57"/>
  <c r="S146" i="57"/>
  <c r="S147" i="57"/>
  <c r="S148" i="57"/>
  <c r="S149" i="57"/>
  <c r="S150" i="57"/>
  <c r="S151" i="57"/>
  <c r="S152" i="57"/>
  <c r="S153" i="57"/>
  <c r="S154" i="57"/>
  <c r="S155" i="57"/>
  <c r="S156" i="57"/>
  <c r="S157" i="57"/>
  <c r="S158" i="57"/>
  <c r="S159" i="57"/>
  <c r="S160" i="57"/>
  <c r="S161" i="57"/>
  <c r="S162" i="57"/>
  <c r="S163" i="57"/>
  <c r="S164" i="57"/>
  <c r="S165" i="57"/>
  <c r="S166" i="57"/>
  <c r="S167" i="57"/>
  <c r="S168" i="57"/>
  <c r="S169" i="57"/>
  <c r="S170" i="57"/>
  <c r="S171" i="57"/>
  <c r="S172" i="57"/>
  <c r="S173" i="57"/>
  <c r="S174" i="57"/>
  <c r="S175" i="57"/>
  <c r="S176" i="57"/>
  <c r="S177" i="57"/>
  <c r="S178" i="57"/>
  <c r="S179" i="57"/>
  <c r="S180" i="57"/>
  <c r="S181" i="57"/>
  <c r="S182" i="57"/>
  <c r="S183" i="57"/>
  <c r="S184" i="57"/>
  <c r="S185" i="57"/>
  <c r="S186" i="57"/>
  <c r="S187" i="57"/>
  <c r="S188" i="57"/>
  <c r="S189" i="57"/>
  <c r="S190" i="57"/>
  <c r="S191" i="57"/>
  <c r="S192" i="57"/>
  <c r="S193" i="57"/>
  <c r="S194" i="57"/>
  <c r="S195" i="57"/>
  <c r="S196" i="57"/>
  <c r="S197" i="57"/>
  <c r="S198" i="57"/>
  <c r="S199" i="57"/>
  <c r="S200" i="57"/>
  <c r="S201" i="57"/>
  <c r="S202" i="57"/>
  <c r="S203" i="57"/>
  <c r="S204" i="57"/>
  <c r="S205" i="57"/>
  <c r="S206" i="57"/>
  <c r="S207" i="57"/>
  <c r="S208" i="57"/>
  <c r="S209" i="57"/>
  <c r="S210" i="57"/>
  <c r="S211" i="57"/>
  <c r="S212" i="57"/>
  <c r="S213" i="57"/>
  <c r="S214" i="57"/>
  <c r="S215" i="57"/>
  <c r="S216" i="57"/>
  <c r="S217" i="57"/>
  <c r="S218" i="57"/>
  <c r="S219" i="57"/>
  <c r="S220" i="57"/>
  <c r="S221" i="57"/>
  <c r="S222" i="57"/>
  <c r="S223" i="57"/>
  <c r="S224" i="57"/>
  <c r="S5" i="57"/>
  <c r="R6" i="57"/>
  <c r="R7" i="57"/>
  <c r="R8" i="57"/>
  <c r="R9" i="57"/>
  <c r="R10" i="57"/>
  <c r="R11" i="57"/>
  <c r="R12" i="57"/>
  <c r="R13" i="57"/>
  <c r="R14" i="57"/>
  <c r="R15" i="57"/>
  <c r="R16" i="57"/>
  <c r="R17" i="57"/>
  <c r="R18" i="57"/>
  <c r="R19" i="57"/>
  <c r="R20" i="57"/>
  <c r="R21" i="57"/>
  <c r="R22" i="57"/>
  <c r="R23" i="57"/>
  <c r="R24" i="57"/>
  <c r="R25" i="57"/>
  <c r="R26" i="57"/>
  <c r="R27" i="57"/>
  <c r="R28" i="57"/>
  <c r="R29" i="57"/>
  <c r="R30" i="57"/>
  <c r="R31" i="57"/>
  <c r="R32" i="57"/>
  <c r="R33" i="57"/>
  <c r="R34" i="57"/>
  <c r="R35" i="57"/>
  <c r="R36" i="57"/>
  <c r="R37" i="57"/>
  <c r="R38" i="57"/>
  <c r="R39" i="57"/>
  <c r="R40" i="57"/>
  <c r="R41" i="57"/>
  <c r="R42" i="57"/>
  <c r="R43" i="57"/>
  <c r="R44" i="57"/>
  <c r="R45" i="57"/>
  <c r="R46" i="57"/>
  <c r="R47" i="57"/>
  <c r="R48" i="57"/>
  <c r="R49" i="57"/>
  <c r="R50" i="57"/>
  <c r="R51" i="57"/>
  <c r="R52" i="57"/>
  <c r="R53" i="57"/>
  <c r="R54" i="57"/>
  <c r="R55" i="57"/>
  <c r="R56" i="57"/>
  <c r="R57" i="57"/>
  <c r="R58" i="57"/>
  <c r="R59" i="57"/>
  <c r="R60" i="57"/>
  <c r="R61" i="57"/>
  <c r="R62" i="57"/>
  <c r="R63" i="57"/>
  <c r="R64" i="57"/>
  <c r="R65" i="57"/>
  <c r="R66" i="57"/>
  <c r="R67" i="57"/>
  <c r="R68" i="57"/>
  <c r="R69" i="57"/>
  <c r="R70" i="57"/>
  <c r="R71" i="57"/>
  <c r="R72" i="57"/>
  <c r="R73" i="57"/>
  <c r="R74" i="57"/>
  <c r="R75" i="57"/>
  <c r="R76" i="57"/>
  <c r="R77" i="57"/>
  <c r="R78" i="57"/>
  <c r="R79" i="57"/>
  <c r="R80" i="57"/>
  <c r="R81" i="57"/>
  <c r="R82" i="57"/>
  <c r="R83" i="57"/>
  <c r="R84" i="57"/>
  <c r="R85" i="57"/>
  <c r="R86" i="57"/>
  <c r="R87" i="57"/>
  <c r="R88" i="57"/>
  <c r="R89" i="57"/>
  <c r="R90" i="57"/>
  <c r="R91" i="57"/>
  <c r="R92" i="57"/>
  <c r="R93" i="57"/>
  <c r="R94" i="57"/>
  <c r="R95" i="57"/>
  <c r="R96" i="57"/>
  <c r="R97" i="57"/>
  <c r="R98" i="57"/>
  <c r="R99" i="57"/>
  <c r="R100" i="57"/>
  <c r="R101" i="57"/>
  <c r="R102" i="57"/>
  <c r="R103" i="57"/>
  <c r="R104" i="57"/>
  <c r="R105" i="57"/>
  <c r="R106" i="57"/>
  <c r="R107" i="57"/>
  <c r="R108" i="57"/>
  <c r="R109" i="57"/>
  <c r="R110" i="57"/>
  <c r="R111" i="57"/>
  <c r="R112" i="57"/>
  <c r="R113" i="57"/>
  <c r="R114" i="57"/>
  <c r="R115" i="57"/>
  <c r="R116" i="57"/>
  <c r="R117" i="57"/>
  <c r="R118" i="57"/>
  <c r="R119" i="57"/>
  <c r="R120" i="57"/>
  <c r="R121" i="57"/>
  <c r="R122" i="57"/>
  <c r="R123" i="57"/>
  <c r="R124" i="57"/>
  <c r="R125" i="57"/>
  <c r="R126" i="57"/>
  <c r="R127" i="57"/>
  <c r="R128" i="57"/>
  <c r="R129" i="57"/>
  <c r="R130" i="57"/>
  <c r="R131" i="57"/>
  <c r="R132" i="57"/>
  <c r="R133" i="57"/>
  <c r="R134" i="57"/>
  <c r="R135" i="57"/>
  <c r="R136" i="57"/>
  <c r="R137" i="57"/>
  <c r="R138" i="57"/>
  <c r="R139" i="57"/>
  <c r="R140" i="57"/>
  <c r="R141" i="57"/>
  <c r="R142" i="57"/>
  <c r="R143" i="57"/>
  <c r="R144" i="57"/>
  <c r="R145" i="57"/>
  <c r="R146" i="57"/>
  <c r="R147" i="57"/>
  <c r="R148" i="57"/>
  <c r="R149" i="57"/>
  <c r="R150" i="57"/>
  <c r="R151" i="57"/>
  <c r="R152" i="57"/>
  <c r="R153" i="57"/>
  <c r="R154" i="57"/>
  <c r="R155" i="57"/>
  <c r="R156" i="57"/>
  <c r="R157" i="57"/>
  <c r="R158" i="57"/>
  <c r="R159" i="57"/>
  <c r="R160" i="57"/>
  <c r="R161" i="57"/>
  <c r="R162" i="57"/>
  <c r="R163" i="57"/>
  <c r="R164" i="57"/>
  <c r="R165" i="57"/>
  <c r="R166" i="57"/>
  <c r="R167" i="57"/>
  <c r="R168" i="57"/>
  <c r="R169" i="57"/>
  <c r="R170" i="57"/>
  <c r="R171" i="57"/>
  <c r="R172" i="57"/>
  <c r="R173" i="57"/>
  <c r="R174" i="57"/>
  <c r="R175" i="57"/>
  <c r="R176" i="57"/>
  <c r="R177" i="57"/>
  <c r="R178" i="57"/>
  <c r="R179" i="57"/>
  <c r="R180" i="57"/>
  <c r="R181" i="57"/>
  <c r="R182" i="57"/>
  <c r="R183" i="57"/>
  <c r="R184" i="57"/>
  <c r="R185" i="57"/>
  <c r="R186" i="57"/>
  <c r="R187" i="57"/>
  <c r="R188" i="57"/>
  <c r="R189" i="57"/>
  <c r="R190" i="57"/>
  <c r="R191" i="57"/>
  <c r="R192" i="57"/>
  <c r="R193" i="57"/>
  <c r="R194" i="57"/>
  <c r="R195" i="57"/>
  <c r="R196" i="57"/>
  <c r="R197" i="57"/>
  <c r="R198" i="57"/>
  <c r="R199" i="57"/>
  <c r="R200" i="57"/>
  <c r="R201" i="57"/>
  <c r="R202" i="57"/>
  <c r="R203" i="57"/>
  <c r="R204" i="57"/>
  <c r="R205" i="57"/>
  <c r="R206" i="57"/>
  <c r="R207" i="57"/>
  <c r="R208" i="57"/>
  <c r="R209" i="57"/>
  <c r="R210" i="57"/>
  <c r="R211" i="57"/>
  <c r="R212" i="57"/>
  <c r="R213" i="57"/>
  <c r="R214" i="57"/>
  <c r="R215" i="57"/>
  <c r="R216" i="57"/>
  <c r="R217" i="57"/>
  <c r="R218" i="57"/>
  <c r="R219" i="57"/>
  <c r="R220" i="57"/>
  <c r="R221" i="57"/>
  <c r="R222" i="57"/>
  <c r="R223" i="57"/>
  <c r="R224" i="57"/>
  <c r="R5" i="57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R6" i="30"/>
  <c r="R7" i="30"/>
  <c r="R8" i="30"/>
  <c r="R9" i="30"/>
  <c r="R10" i="30"/>
  <c r="R11" i="30"/>
  <c r="R12" i="30"/>
  <c r="R13" i="30"/>
  <c r="R14" i="30"/>
  <c r="R15" i="30"/>
  <c r="R16" i="30"/>
  <c r="R17" i="30"/>
  <c r="R18" i="30"/>
  <c r="R19" i="30"/>
  <c r="R20" i="30"/>
  <c r="R21" i="30"/>
  <c r="R22" i="30"/>
  <c r="R23" i="30"/>
  <c r="R24" i="30"/>
  <c r="R25" i="30"/>
  <c r="R26" i="30"/>
  <c r="R27" i="30"/>
  <c r="R28" i="30"/>
  <c r="R29" i="30"/>
  <c r="R30" i="30"/>
  <c r="R31" i="30"/>
  <c r="R32" i="30"/>
  <c r="R33" i="30"/>
  <c r="R34" i="30"/>
  <c r="R35" i="30"/>
  <c r="R36" i="30"/>
  <c r="R37" i="30"/>
  <c r="R38" i="30"/>
  <c r="R39" i="30"/>
  <c r="R40" i="30"/>
  <c r="R41" i="30"/>
  <c r="R42" i="30"/>
  <c r="R43" i="30"/>
  <c r="R44" i="30"/>
  <c r="R45" i="30"/>
  <c r="R46" i="30"/>
  <c r="R47" i="30"/>
  <c r="R48" i="30"/>
  <c r="R49" i="30"/>
  <c r="R53" i="30"/>
  <c r="R54" i="30"/>
  <c r="R55" i="30"/>
  <c r="R56" i="30"/>
  <c r="R57" i="30"/>
  <c r="R58" i="30"/>
  <c r="R59" i="30"/>
  <c r="R5" i="30"/>
  <c r="A18" i="53"/>
  <c r="A16" i="53"/>
  <c r="A17" i="53"/>
  <c r="A15" i="53"/>
  <c r="A11" i="60"/>
  <c r="A15" i="60"/>
  <c r="A14" i="60"/>
  <c r="A13" i="60"/>
  <c r="A12" i="60"/>
  <c r="A10" i="60"/>
  <c r="A9" i="60"/>
  <c r="A7" i="60"/>
  <c r="A6" i="60"/>
  <c r="A5" i="60"/>
  <c r="A16" i="60"/>
  <c r="A8" i="60"/>
  <c r="A224" i="57"/>
  <c r="A223" i="57"/>
  <c r="A222" i="57"/>
  <c r="A221" i="57"/>
  <c r="A220" i="57"/>
  <c r="A219" i="57"/>
  <c r="A218" i="57"/>
  <c r="A217" i="57"/>
  <c r="A216" i="57"/>
  <c r="A215" i="57"/>
  <c r="A214" i="57"/>
  <c r="A213" i="57"/>
  <c r="A212" i="57"/>
  <c r="A211" i="57"/>
  <c r="A210" i="57"/>
  <c r="A209" i="57"/>
  <c r="A208" i="57"/>
  <c r="A207" i="57"/>
  <c r="A206" i="57"/>
  <c r="A205" i="57"/>
  <c r="A204" i="57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A14" i="53"/>
  <c r="A13" i="53"/>
  <c r="A12" i="53"/>
  <c r="A11" i="53"/>
  <c r="A10" i="53"/>
  <c r="A9" i="53"/>
  <c r="A8" i="53"/>
  <c r="A7" i="53"/>
  <c r="A6" i="53"/>
  <c r="A5" i="53"/>
  <c r="BM224" i="9"/>
  <c r="AO224" i="9"/>
  <c r="BK224" i="9"/>
  <c r="BF224" i="9"/>
  <c r="BA224" i="9"/>
  <c r="AK224" i="9"/>
  <c r="AI224" i="9"/>
  <c r="W224" i="9"/>
  <c r="T224" i="9"/>
  <c r="F224" i="9"/>
  <c r="C224" i="9"/>
  <c r="A224" i="9"/>
  <c r="BM223" i="9"/>
  <c r="BK223" i="9"/>
  <c r="BF223" i="9"/>
  <c r="BA223" i="9"/>
  <c r="AK223" i="9"/>
  <c r="AI223" i="9"/>
  <c r="W223" i="9"/>
  <c r="T223" i="9"/>
  <c r="F223" i="9"/>
  <c r="C223" i="9"/>
  <c r="BM222" i="9"/>
  <c r="AO222" i="9"/>
  <c r="BK222" i="9"/>
  <c r="BF222" i="9"/>
  <c r="BA222" i="9"/>
  <c r="AK222" i="9"/>
  <c r="AI222" i="9"/>
  <c r="W222" i="9"/>
  <c r="T222" i="9"/>
  <c r="F222" i="9"/>
  <c r="C222" i="9"/>
  <c r="BM221" i="9"/>
  <c r="AO221" i="9"/>
  <c r="BK221" i="9"/>
  <c r="BF221" i="9"/>
  <c r="BA221" i="9"/>
  <c r="AK221" i="9"/>
  <c r="AI221" i="9"/>
  <c r="W221" i="9"/>
  <c r="T221" i="9"/>
  <c r="F221" i="9"/>
  <c r="C221" i="9"/>
  <c r="A221" i="9"/>
  <c r="BM220" i="9"/>
  <c r="BK220" i="9"/>
  <c r="BF220" i="9"/>
  <c r="BA220" i="9"/>
  <c r="AK220" i="9"/>
  <c r="AI220" i="9"/>
  <c r="W220" i="9"/>
  <c r="T220" i="9"/>
  <c r="F220" i="9"/>
  <c r="C220" i="9"/>
  <c r="BM219" i="9"/>
  <c r="AO219" i="9"/>
  <c r="BK219" i="9"/>
  <c r="BF219" i="9"/>
  <c r="BA219" i="9"/>
  <c r="AK219" i="9"/>
  <c r="AI219" i="9"/>
  <c r="W219" i="9"/>
  <c r="T219" i="9"/>
  <c r="F219" i="9"/>
  <c r="C219" i="9"/>
  <c r="A219" i="9"/>
  <c r="BM218" i="9"/>
  <c r="AO218" i="9"/>
  <c r="BK218" i="9"/>
  <c r="BF218" i="9"/>
  <c r="BA218" i="9"/>
  <c r="AK218" i="9"/>
  <c r="AI218" i="9"/>
  <c r="W218" i="9"/>
  <c r="T218" i="9"/>
  <c r="F218" i="9"/>
  <c r="C218" i="9"/>
  <c r="A218" i="9"/>
  <c r="BM217" i="9"/>
  <c r="AO217" i="9"/>
  <c r="BK217" i="9"/>
  <c r="BF217" i="9"/>
  <c r="BA217" i="9"/>
  <c r="AK217" i="9"/>
  <c r="AI217" i="9"/>
  <c r="W217" i="9"/>
  <c r="T217" i="9"/>
  <c r="F217" i="9"/>
  <c r="C217" i="9"/>
  <c r="A217" i="9"/>
  <c r="BM216" i="9"/>
  <c r="AO216" i="9"/>
  <c r="BK216" i="9"/>
  <c r="BF216" i="9"/>
  <c r="BA216" i="9"/>
  <c r="AK216" i="9"/>
  <c r="AI216" i="9"/>
  <c r="W216" i="9"/>
  <c r="T216" i="9"/>
  <c r="F216" i="9"/>
  <c r="C216" i="9"/>
  <c r="BM215" i="9"/>
  <c r="AO215" i="9"/>
  <c r="BK215" i="9"/>
  <c r="BF215" i="9"/>
  <c r="BA215" i="9"/>
  <c r="AV215" i="9"/>
  <c r="AK215" i="9"/>
  <c r="AI215" i="9"/>
  <c r="W215" i="9"/>
  <c r="T215" i="9"/>
  <c r="F215" i="9"/>
  <c r="C215" i="9"/>
  <c r="BM214" i="9"/>
  <c r="AO214" i="9"/>
  <c r="BK214" i="9"/>
  <c r="BA214" i="9"/>
  <c r="AV214" i="9"/>
  <c r="AK214" i="9"/>
  <c r="AI214" i="9"/>
  <c r="W214" i="9"/>
  <c r="T214" i="9"/>
  <c r="F214" i="9"/>
  <c r="C214" i="9"/>
  <c r="A214" i="9"/>
  <c r="BM213" i="9"/>
  <c r="AO213" i="9"/>
  <c r="BK213" i="9"/>
  <c r="BF213" i="9"/>
  <c r="BA213" i="9"/>
  <c r="AV213" i="9"/>
  <c r="AK213" i="9"/>
  <c r="AI213" i="9"/>
  <c r="W213" i="9"/>
  <c r="T213" i="9"/>
  <c r="F213" i="9"/>
  <c r="C213" i="9"/>
  <c r="BM212" i="9"/>
  <c r="BK212" i="9"/>
  <c r="BF212" i="9"/>
  <c r="BA212" i="9"/>
  <c r="AV212" i="9"/>
  <c r="AK212" i="9"/>
  <c r="AI212" i="9"/>
  <c r="W212" i="9"/>
  <c r="T212" i="9"/>
  <c r="F212" i="9"/>
  <c r="C212" i="9"/>
  <c r="BM211" i="9"/>
  <c r="AO211" i="9"/>
  <c r="BK211" i="9"/>
  <c r="BF211" i="9"/>
  <c r="BA211" i="9"/>
  <c r="AV211" i="9"/>
  <c r="AK211" i="9"/>
  <c r="AI211" i="9"/>
  <c r="W211" i="9"/>
  <c r="T211" i="9"/>
  <c r="F211" i="9"/>
  <c r="C211" i="9"/>
  <c r="BM210" i="9"/>
  <c r="AO210" i="9"/>
  <c r="BK210" i="9"/>
  <c r="BF210" i="9"/>
  <c r="BA210" i="9"/>
  <c r="AV210" i="9"/>
  <c r="AK210" i="9"/>
  <c r="AI210" i="9"/>
  <c r="W210" i="9"/>
  <c r="T210" i="9"/>
  <c r="F210" i="9"/>
  <c r="C210" i="9"/>
  <c r="BM209" i="9"/>
  <c r="AO209" i="9"/>
  <c r="BK209" i="9"/>
  <c r="BF209" i="9"/>
  <c r="BA209" i="9"/>
  <c r="AV209" i="9"/>
  <c r="AK209" i="9"/>
  <c r="AI209" i="9"/>
  <c r="W209" i="9"/>
  <c r="T209" i="9"/>
  <c r="F209" i="9"/>
  <c r="C209" i="9"/>
  <c r="A209" i="9"/>
  <c r="BM208" i="9"/>
  <c r="AO208" i="9"/>
  <c r="BK208" i="9"/>
  <c r="BF208" i="9"/>
  <c r="BA208" i="9"/>
  <c r="AV208" i="9"/>
  <c r="AK208" i="9"/>
  <c r="AI208" i="9"/>
  <c r="W208" i="9"/>
  <c r="T208" i="9"/>
  <c r="F208" i="9"/>
  <c r="C208" i="9"/>
  <c r="A208" i="9"/>
  <c r="BM207" i="9"/>
  <c r="AO207" i="9"/>
  <c r="BK207" i="9"/>
  <c r="BF207" i="9"/>
  <c r="BA207" i="9"/>
  <c r="AV207" i="9"/>
  <c r="AK207" i="9"/>
  <c r="AI207" i="9"/>
  <c r="W207" i="9"/>
  <c r="T207" i="9"/>
  <c r="F207" i="9"/>
  <c r="C207" i="9"/>
  <c r="A207" i="9"/>
  <c r="BM206" i="9"/>
  <c r="AO206" i="9"/>
  <c r="BK206" i="9"/>
  <c r="BF206" i="9"/>
  <c r="BA206" i="9"/>
  <c r="AV206" i="9"/>
  <c r="AK206" i="9"/>
  <c r="AI206" i="9"/>
  <c r="W206" i="9"/>
  <c r="T206" i="9"/>
  <c r="F206" i="9"/>
  <c r="C206" i="9"/>
  <c r="A206" i="9"/>
  <c r="BM205" i="9"/>
  <c r="AO205" i="9"/>
  <c r="BK205" i="9"/>
  <c r="BF205" i="9"/>
  <c r="AV205" i="9"/>
  <c r="AK205" i="9"/>
  <c r="AI205" i="9"/>
  <c r="W205" i="9"/>
  <c r="T205" i="9"/>
  <c r="F205" i="9"/>
  <c r="C205" i="9"/>
  <c r="A205" i="9"/>
  <c r="A215" i="9"/>
  <c r="A211" i="9"/>
  <c r="A213" i="9"/>
  <c r="A220" i="9"/>
  <c r="A212" i="9"/>
  <c r="A223" i="9"/>
  <c r="A222" i="9"/>
  <c r="A210" i="9"/>
  <c r="A216" i="9"/>
  <c r="AO212" i="9"/>
  <c r="AO220" i="9"/>
  <c r="AO223" i="9"/>
  <c r="T504" i="9"/>
  <c r="T503" i="9"/>
  <c r="T502" i="9"/>
  <c r="T501" i="9"/>
  <c r="T500" i="9"/>
  <c r="T499" i="9"/>
  <c r="T498" i="9"/>
  <c r="T497" i="9"/>
  <c r="T496" i="9"/>
  <c r="T495" i="9"/>
  <c r="T494" i="9"/>
  <c r="T493" i="9"/>
  <c r="T492" i="9"/>
  <c r="T491" i="9"/>
  <c r="T490" i="9"/>
  <c r="T489" i="9"/>
  <c r="T488" i="9"/>
  <c r="T487" i="9"/>
  <c r="T486" i="9"/>
  <c r="T485" i="9"/>
  <c r="T484" i="9"/>
  <c r="T483" i="9"/>
  <c r="T482" i="9"/>
  <c r="T481" i="9"/>
  <c r="T480" i="9"/>
  <c r="T479" i="9"/>
  <c r="T478" i="9"/>
  <c r="T477" i="9"/>
  <c r="T476" i="9"/>
  <c r="T475" i="9"/>
  <c r="T474" i="9"/>
  <c r="T473" i="9"/>
  <c r="T472" i="9"/>
  <c r="T471" i="9"/>
  <c r="T470" i="9"/>
  <c r="T469" i="9"/>
  <c r="T468" i="9"/>
  <c r="T467" i="9"/>
  <c r="T466" i="9"/>
  <c r="T465" i="9"/>
  <c r="T464" i="9"/>
  <c r="T463" i="9"/>
  <c r="T462" i="9"/>
  <c r="T461" i="9"/>
  <c r="T460" i="9"/>
  <c r="T459" i="9"/>
  <c r="T458" i="9"/>
  <c r="T457" i="9"/>
  <c r="T456" i="9"/>
  <c r="T455" i="9"/>
  <c r="T454" i="9"/>
  <c r="T453" i="9"/>
  <c r="T452" i="9"/>
  <c r="T451" i="9"/>
  <c r="T450" i="9"/>
  <c r="T449" i="9"/>
  <c r="T448" i="9"/>
  <c r="T447" i="9"/>
  <c r="T446" i="9"/>
  <c r="T445" i="9"/>
  <c r="T444" i="9"/>
  <c r="T443" i="9"/>
  <c r="T442" i="9"/>
  <c r="T441" i="9"/>
  <c r="T440" i="9"/>
  <c r="T439" i="9"/>
  <c r="T438" i="9"/>
  <c r="T437" i="9"/>
  <c r="T436" i="9"/>
  <c r="T435" i="9"/>
  <c r="T434" i="9"/>
  <c r="T433" i="9"/>
  <c r="T432" i="9"/>
  <c r="T431" i="9"/>
  <c r="T430" i="9"/>
  <c r="T429" i="9"/>
  <c r="T428" i="9"/>
  <c r="T427" i="9"/>
  <c r="T426" i="9"/>
  <c r="T425" i="9"/>
  <c r="T384" i="9"/>
  <c r="T383" i="9"/>
  <c r="T382" i="9"/>
  <c r="T381" i="9"/>
  <c r="T380" i="9"/>
  <c r="T379" i="9"/>
  <c r="T378" i="9"/>
  <c r="T377" i="9"/>
  <c r="T376" i="9"/>
  <c r="T375" i="9"/>
  <c r="T374" i="9"/>
  <c r="T373" i="9"/>
  <c r="T372" i="9"/>
  <c r="T371" i="9"/>
  <c r="T370" i="9"/>
  <c r="T369" i="9"/>
  <c r="T368" i="9"/>
  <c r="T367" i="9"/>
  <c r="T366" i="9"/>
  <c r="T365" i="9"/>
  <c r="T324" i="9"/>
  <c r="T323" i="9"/>
  <c r="T322" i="9"/>
  <c r="T321" i="9"/>
  <c r="T320" i="9"/>
  <c r="T319" i="9"/>
  <c r="T318" i="9"/>
  <c r="T317" i="9"/>
  <c r="T316" i="9"/>
  <c r="T315" i="9"/>
  <c r="T314" i="9"/>
  <c r="T313" i="9"/>
  <c r="T312" i="9"/>
  <c r="T311" i="9"/>
  <c r="T310" i="9"/>
  <c r="T309" i="9"/>
  <c r="T308" i="9"/>
  <c r="T307" i="9"/>
  <c r="T306" i="9"/>
  <c r="T305" i="9"/>
  <c r="T284" i="9"/>
  <c r="T283" i="9"/>
  <c r="T282" i="9"/>
  <c r="T281" i="9"/>
  <c r="T280" i="9"/>
  <c r="T279" i="9"/>
  <c r="T278" i="9"/>
  <c r="T277" i="9"/>
  <c r="T276" i="9"/>
  <c r="T275" i="9"/>
  <c r="T274" i="9"/>
  <c r="T273" i="9"/>
  <c r="T272" i="9"/>
  <c r="T271" i="9"/>
  <c r="T270" i="9"/>
  <c r="T269" i="9"/>
  <c r="T268" i="9"/>
  <c r="T267" i="9"/>
  <c r="T266" i="9"/>
  <c r="T265" i="9"/>
  <c r="T264" i="9"/>
  <c r="T263" i="9"/>
  <c r="T262" i="9"/>
  <c r="T261" i="9"/>
  <c r="T260" i="9"/>
  <c r="T259" i="9"/>
  <c r="T258" i="9"/>
  <c r="T257" i="9"/>
  <c r="T256" i="9"/>
  <c r="T255" i="9"/>
  <c r="T254" i="9"/>
  <c r="T253" i="9"/>
  <c r="T252" i="9"/>
  <c r="T251" i="9"/>
  <c r="T250" i="9"/>
  <c r="T249" i="9"/>
  <c r="T248" i="9"/>
  <c r="T247" i="9"/>
  <c r="T246" i="9"/>
  <c r="T245" i="9"/>
  <c r="T244" i="9"/>
  <c r="T243" i="9"/>
  <c r="T242" i="9"/>
  <c r="T241" i="9"/>
  <c r="T240" i="9"/>
  <c r="T239" i="9"/>
  <c r="T238" i="9"/>
  <c r="T237" i="9"/>
  <c r="T236" i="9"/>
  <c r="T235" i="9"/>
  <c r="T234" i="9"/>
  <c r="T233" i="9"/>
  <c r="T232" i="9"/>
  <c r="T231" i="9"/>
  <c r="T230" i="9"/>
  <c r="T229" i="9"/>
  <c r="T228" i="9"/>
  <c r="T227" i="9"/>
  <c r="T226" i="9"/>
  <c r="T225" i="9"/>
  <c r="T204" i="9"/>
  <c r="T203" i="9"/>
  <c r="T202" i="9"/>
  <c r="T201" i="9"/>
  <c r="T200" i="9"/>
  <c r="T199" i="9"/>
  <c r="T198" i="9"/>
  <c r="T197" i="9"/>
  <c r="T196" i="9"/>
  <c r="T195" i="9"/>
  <c r="T194" i="9"/>
  <c r="T193" i="9"/>
  <c r="T192" i="9"/>
  <c r="T191" i="9"/>
  <c r="T190" i="9"/>
  <c r="T189" i="9"/>
  <c r="T188" i="9"/>
  <c r="T187" i="9"/>
  <c r="T186" i="9"/>
  <c r="T185" i="9"/>
  <c r="T164" i="9"/>
  <c r="T163" i="9"/>
  <c r="T162" i="9"/>
  <c r="T161" i="9"/>
  <c r="T160" i="9"/>
  <c r="T159" i="9"/>
  <c r="T158" i="9"/>
  <c r="T157" i="9"/>
  <c r="T156" i="9"/>
  <c r="T155" i="9"/>
  <c r="T154" i="9"/>
  <c r="T153" i="9"/>
  <c r="T152" i="9"/>
  <c r="T151" i="9"/>
  <c r="T150" i="9"/>
  <c r="T149" i="9"/>
  <c r="T148" i="9"/>
  <c r="T147" i="9"/>
  <c r="T146" i="9"/>
  <c r="T145" i="9"/>
  <c r="T144" i="9"/>
  <c r="T143" i="9"/>
  <c r="T142" i="9"/>
  <c r="T141" i="9"/>
  <c r="T140" i="9"/>
  <c r="T139" i="9"/>
  <c r="T138" i="9"/>
  <c r="T137" i="9"/>
  <c r="T136" i="9"/>
  <c r="T135" i="9"/>
  <c r="T134" i="9"/>
  <c r="T133" i="9"/>
  <c r="T132" i="9"/>
  <c r="T131" i="9"/>
  <c r="T130" i="9"/>
  <c r="T129" i="9"/>
  <c r="T128" i="9"/>
  <c r="T127" i="9"/>
  <c r="T126" i="9"/>
  <c r="T125" i="9"/>
  <c r="T84" i="9"/>
  <c r="T83" i="9"/>
  <c r="T82" i="9"/>
  <c r="T81" i="9"/>
  <c r="T80" i="9"/>
  <c r="T79" i="9"/>
  <c r="T78" i="9"/>
  <c r="T77" i="9"/>
  <c r="T76" i="9"/>
  <c r="T75" i="9"/>
  <c r="T74" i="9"/>
  <c r="T73" i="9"/>
  <c r="T72" i="9"/>
  <c r="T71" i="9"/>
  <c r="T70" i="9"/>
  <c r="T69" i="9"/>
  <c r="T68" i="9"/>
  <c r="T67" i="9"/>
  <c r="T66" i="9"/>
  <c r="T65" i="9"/>
  <c r="T64" i="9"/>
  <c r="T63" i="9"/>
  <c r="T62" i="9"/>
  <c r="T61" i="9"/>
  <c r="T60" i="9"/>
  <c r="T59" i="9"/>
  <c r="T58" i="9"/>
  <c r="T57" i="9"/>
  <c r="T56" i="9"/>
  <c r="T55" i="9"/>
  <c r="T54" i="9"/>
  <c r="T53" i="9"/>
  <c r="T52" i="9"/>
  <c r="T51" i="9"/>
  <c r="T50" i="9"/>
  <c r="T49" i="9"/>
  <c r="T48" i="9"/>
  <c r="T47" i="9"/>
  <c r="T46" i="9"/>
  <c r="T45" i="9"/>
  <c r="T44" i="9"/>
  <c r="T43" i="9"/>
  <c r="T42" i="9"/>
  <c r="T41" i="9"/>
  <c r="T40" i="9"/>
  <c r="T39" i="9"/>
  <c r="T38" i="9"/>
  <c r="T37" i="9"/>
  <c r="T36" i="9"/>
  <c r="T35" i="9"/>
  <c r="T34" i="9"/>
  <c r="T33" i="9"/>
  <c r="T32" i="9"/>
  <c r="T31" i="9"/>
  <c r="T30" i="9"/>
  <c r="T29" i="9"/>
  <c r="T28" i="9"/>
  <c r="T27" i="9"/>
  <c r="T26" i="9"/>
  <c r="T25" i="9"/>
  <c r="T24" i="9"/>
  <c r="T23" i="9"/>
  <c r="T22" i="9"/>
  <c r="T21" i="9"/>
  <c r="T20" i="9"/>
  <c r="T19" i="9"/>
  <c r="T18" i="9"/>
  <c r="T17" i="9"/>
  <c r="T16" i="9"/>
  <c r="T15" i="9"/>
  <c r="T14" i="9"/>
  <c r="T13" i="9"/>
  <c r="T12" i="9"/>
  <c r="T11" i="9"/>
  <c r="T10" i="9"/>
  <c r="T9" i="9"/>
  <c r="T8" i="9"/>
  <c r="T7" i="9"/>
  <c r="T6" i="9"/>
  <c r="T5" i="9"/>
  <c r="W185" i="9"/>
  <c r="W186" i="9"/>
  <c r="W187" i="9"/>
  <c r="W188" i="9"/>
  <c r="W189" i="9"/>
  <c r="W190" i="9"/>
  <c r="W191" i="9"/>
  <c r="W192" i="9"/>
  <c r="W193" i="9"/>
  <c r="W194" i="9"/>
  <c r="W195" i="9"/>
  <c r="W196" i="9"/>
  <c r="W197" i="9"/>
  <c r="W198" i="9"/>
  <c r="W199" i="9"/>
  <c r="W200" i="9"/>
  <c r="W201" i="9"/>
  <c r="W202" i="9"/>
  <c r="W203" i="9"/>
  <c r="W204" i="9"/>
  <c r="W225" i="9"/>
  <c r="W226" i="9"/>
  <c r="W227" i="9"/>
  <c r="W228" i="9"/>
  <c r="W229" i="9"/>
  <c r="W230" i="9"/>
  <c r="W231" i="9"/>
  <c r="W232" i="9"/>
  <c r="W233" i="9"/>
  <c r="W234" i="9"/>
  <c r="W235" i="9"/>
  <c r="W236" i="9"/>
  <c r="W237" i="9"/>
  <c r="W238" i="9"/>
  <c r="W239" i="9"/>
  <c r="W240" i="9"/>
  <c r="W241" i="9"/>
  <c r="W242" i="9"/>
  <c r="W243" i="9"/>
  <c r="W244" i="9"/>
  <c r="W245" i="9"/>
  <c r="W246" i="9"/>
  <c r="W247" i="9"/>
  <c r="W248" i="9"/>
  <c r="W249" i="9"/>
  <c r="W250" i="9"/>
  <c r="W251" i="9"/>
  <c r="W252" i="9"/>
  <c r="W253" i="9"/>
  <c r="W254" i="9"/>
  <c r="W255" i="9"/>
  <c r="W256" i="9"/>
  <c r="W257" i="9"/>
  <c r="W258" i="9"/>
  <c r="W259" i="9"/>
  <c r="W260" i="9"/>
  <c r="W261" i="9"/>
  <c r="W262" i="9"/>
  <c r="W263" i="9"/>
  <c r="W264" i="9"/>
  <c r="W265" i="9"/>
  <c r="W266" i="9"/>
  <c r="W267" i="9"/>
  <c r="W268" i="9"/>
  <c r="W269" i="9"/>
  <c r="W270" i="9"/>
  <c r="W271" i="9"/>
  <c r="W272" i="9"/>
  <c r="W273" i="9"/>
  <c r="W274" i="9"/>
  <c r="W275" i="9"/>
  <c r="W276" i="9"/>
  <c r="W277" i="9"/>
  <c r="W278" i="9"/>
  <c r="W279" i="9"/>
  <c r="W280" i="9"/>
  <c r="W281" i="9"/>
  <c r="W282" i="9"/>
  <c r="W283" i="9"/>
  <c r="W284" i="9"/>
  <c r="W305" i="9"/>
  <c r="W306" i="9"/>
  <c r="W307" i="9"/>
  <c r="W308" i="9"/>
  <c r="W309" i="9"/>
  <c r="W310" i="9"/>
  <c r="W311" i="9"/>
  <c r="W312" i="9"/>
  <c r="W313" i="9"/>
  <c r="W314" i="9"/>
  <c r="W315" i="9"/>
  <c r="W316" i="9"/>
  <c r="W317" i="9"/>
  <c r="W318" i="9"/>
  <c r="W319" i="9"/>
  <c r="W320" i="9"/>
  <c r="W321" i="9"/>
  <c r="W322" i="9"/>
  <c r="W323" i="9"/>
  <c r="W324" i="9"/>
  <c r="W425" i="9"/>
  <c r="W426" i="9"/>
  <c r="W427" i="9"/>
  <c r="W428" i="9"/>
  <c r="W429" i="9"/>
  <c r="W430" i="9"/>
  <c r="W431" i="9"/>
  <c r="W432" i="9"/>
  <c r="W433" i="9"/>
  <c r="W434" i="9"/>
  <c r="W435" i="9"/>
  <c r="W436" i="9"/>
  <c r="W437" i="9"/>
  <c r="W438" i="9"/>
  <c r="W439" i="9"/>
  <c r="W440" i="9"/>
  <c r="W441" i="9"/>
  <c r="W442" i="9"/>
  <c r="W443" i="9"/>
  <c r="W444" i="9"/>
  <c r="W445" i="9"/>
  <c r="W446" i="9"/>
  <c r="W447" i="9"/>
  <c r="W448" i="9"/>
  <c r="W449" i="9"/>
  <c r="W450" i="9"/>
  <c r="W451" i="9"/>
  <c r="W452" i="9"/>
  <c r="W453" i="9"/>
  <c r="W454" i="9"/>
  <c r="W455" i="9"/>
  <c r="W456" i="9"/>
  <c r="W457" i="9"/>
  <c r="W458" i="9"/>
  <c r="W459" i="9"/>
  <c r="W460" i="9"/>
  <c r="W461" i="9"/>
  <c r="W462" i="9"/>
  <c r="W463" i="9"/>
  <c r="W464" i="9"/>
  <c r="W465" i="9"/>
  <c r="W466" i="9"/>
  <c r="W467" i="9"/>
  <c r="W468" i="9"/>
  <c r="W469" i="9"/>
  <c r="W470" i="9"/>
  <c r="W471" i="9"/>
  <c r="W472" i="9"/>
  <c r="W473" i="9"/>
  <c r="W474" i="9"/>
  <c r="W475" i="9"/>
  <c r="W476" i="9"/>
  <c r="W477" i="9"/>
  <c r="W478" i="9"/>
  <c r="W479" i="9"/>
  <c r="W480" i="9"/>
  <c r="W481" i="9"/>
  <c r="W482" i="9"/>
  <c r="W483" i="9"/>
  <c r="W484" i="9"/>
  <c r="W485" i="9"/>
  <c r="W486" i="9"/>
  <c r="W487" i="9"/>
  <c r="W488" i="9"/>
  <c r="W489" i="9"/>
  <c r="W490" i="9"/>
  <c r="W491" i="9"/>
  <c r="W492" i="9"/>
  <c r="W493" i="9"/>
  <c r="W494" i="9"/>
  <c r="W495" i="9"/>
  <c r="W496" i="9"/>
  <c r="W497" i="9"/>
  <c r="W498" i="9"/>
  <c r="W499" i="9"/>
  <c r="W500" i="9"/>
  <c r="W501" i="9"/>
  <c r="W502" i="9"/>
  <c r="W503" i="9"/>
  <c r="W504" i="9"/>
  <c r="BM204" i="9"/>
  <c r="AO204" i="9"/>
  <c r="BK204" i="9"/>
  <c r="BF204" i="9"/>
  <c r="BA204" i="9"/>
  <c r="AK204" i="9"/>
  <c r="AI204" i="9"/>
  <c r="F204" i="9"/>
  <c r="C204" i="9"/>
  <c r="A204" i="9"/>
  <c r="BM203" i="9"/>
  <c r="AO203" i="9"/>
  <c r="BK203" i="9"/>
  <c r="BF203" i="9"/>
  <c r="BA203" i="9"/>
  <c r="AK203" i="9"/>
  <c r="AI203" i="9"/>
  <c r="F203" i="9"/>
  <c r="C203" i="9"/>
  <c r="A203" i="9"/>
  <c r="BM202" i="9"/>
  <c r="AO202" i="9"/>
  <c r="BK202" i="9"/>
  <c r="BF202" i="9"/>
  <c r="BA202" i="9"/>
  <c r="AK202" i="9"/>
  <c r="AI202" i="9"/>
  <c r="F202" i="9"/>
  <c r="C202" i="9"/>
  <c r="A202" i="9"/>
  <c r="BM201" i="9"/>
  <c r="AO201" i="9"/>
  <c r="BK201" i="9"/>
  <c r="BF201" i="9"/>
  <c r="BA201" i="9"/>
  <c r="AK201" i="9"/>
  <c r="AI201" i="9"/>
  <c r="F201" i="9"/>
  <c r="C201" i="9"/>
  <c r="BM200" i="9"/>
  <c r="AO200" i="9"/>
  <c r="BK200" i="9"/>
  <c r="BF200" i="9"/>
  <c r="BA200" i="9"/>
  <c r="AK200" i="9"/>
  <c r="AI200" i="9"/>
  <c r="F200" i="9"/>
  <c r="C200" i="9"/>
  <c r="BM199" i="9"/>
  <c r="AO199" i="9"/>
  <c r="BK199" i="9"/>
  <c r="BF199" i="9"/>
  <c r="BA199" i="9"/>
  <c r="AK199" i="9"/>
  <c r="AI199" i="9"/>
  <c r="F199" i="9"/>
  <c r="A199" i="9"/>
  <c r="C199" i="9"/>
  <c r="BM198" i="9"/>
  <c r="AO198" i="9"/>
  <c r="BK198" i="9"/>
  <c r="BF198" i="9"/>
  <c r="BA198" i="9"/>
  <c r="AK198" i="9"/>
  <c r="AI198" i="9"/>
  <c r="F198" i="9"/>
  <c r="C198" i="9"/>
  <c r="BM197" i="9"/>
  <c r="AO197" i="9"/>
  <c r="BK197" i="9"/>
  <c r="BF197" i="9"/>
  <c r="BA197" i="9"/>
  <c r="AK197" i="9"/>
  <c r="AI197" i="9"/>
  <c r="F197" i="9"/>
  <c r="C197" i="9"/>
  <c r="BM196" i="9"/>
  <c r="AO196" i="9"/>
  <c r="BK196" i="9"/>
  <c r="BF196" i="9"/>
  <c r="BA196" i="9"/>
  <c r="AK196" i="9"/>
  <c r="AI196" i="9"/>
  <c r="F196" i="9"/>
  <c r="C196" i="9"/>
  <c r="BM195" i="9"/>
  <c r="AO195" i="9"/>
  <c r="BK195" i="9"/>
  <c r="BF195" i="9"/>
  <c r="BA195" i="9"/>
  <c r="AV195" i="9"/>
  <c r="AK195" i="9"/>
  <c r="AI195" i="9"/>
  <c r="F195" i="9"/>
  <c r="C195" i="9"/>
  <c r="A195" i="9"/>
  <c r="BM194" i="9"/>
  <c r="AO194" i="9"/>
  <c r="BK194" i="9"/>
  <c r="BA194" i="9"/>
  <c r="AV194" i="9"/>
  <c r="AK194" i="9"/>
  <c r="AI194" i="9"/>
  <c r="F194" i="9"/>
  <c r="C194" i="9"/>
  <c r="BM193" i="9"/>
  <c r="AO193" i="9"/>
  <c r="BK193" i="9"/>
  <c r="BF193" i="9"/>
  <c r="BA193" i="9"/>
  <c r="AV193" i="9"/>
  <c r="AK193" i="9"/>
  <c r="AI193" i="9"/>
  <c r="F193" i="9"/>
  <c r="A193" i="9"/>
  <c r="C193" i="9"/>
  <c r="BM192" i="9"/>
  <c r="AO192" i="9"/>
  <c r="BK192" i="9"/>
  <c r="BF192" i="9"/>
  <c r="BA192" i="9"/>
  <c r="AV192" i="9"/>
  <c r="AK192" i="9"/>
  <c r="AI192" i="9"/>
  <c r="F192" i="9"/>
  <c r="C192" i="9"/>
  <c r="BM191" i="9"/>
  <c r="AO191" i="9"/>
  <c r="BK191" i="9"/>
  <c r="BF191" i="9"/>
  <c r="BA191" i="9"/>
  <c r="AV191" i="9"/>
  <c r="AK191" i="9"/>
  <c r="AI191" i="9"/>
  <c r="F191" i="9"/>
  <c r="C191" i="9"/>
  <c r="A191" i="9"/>
  <c r="BM190" i="9"/>
  <c r="AO190" i="9"/>
  <c r="BK190" i="9"/>
  <c r="BF190" i="9"/>
  <c r="BA190" i="9"/>
  <c r="AV190" i="9"/>
  <c r="AK190" i="9"/>
  <c r="AI190" i="9"/>
  <c r="F190" i="9"/>
  <c r="C190" i="9"/>
  <c r="BM189" i="9"/>
  <c r="AO189" i="9"/>
  <c r="BK189" i="9"/>
  <c r="BF189" i="9"/>
  <c r="BA189" i="9"/>
  <c r="AV189" i="9"/>
  <c r="AK189" i="9"/>
  <c r="AI189" i="9"/>
  <c r="F189" i="9"/>
  <c r="A189" i="9"/>
  <c r="C189" i="9"/>
  <c r="BM188" i="9"/>
  <c r="AO188" i="9"/>
  <c r="BK188" i="9"/>
  <c r="BF188" i="9"/>
  <c r="BA188" i="9"/>
  <c r="AV188" i="9"/>
  <c r="AK188" i="9"/>
  <c r="AI188" i="9"/>
  <c r="F188" i="9"/>
  <c r="C188" i="9"/>
  <c r="BM187" i="9"/>
  <c r="AO187" i="9"/>
  <c r="BK187" i="9"/>
  <c r="BF187" i="9"/>
  <c r="BA187" i="9"/>
  <c r="AV187" i="9"/>
  <c r="AK187" i="9"/>
  <c r="AI187" i="9"/>
  <c r="F187" i="9"/>
  <c r="C187" i="9"/>
  <c r="A187" i="9"/>
  <c r="BM186" i="9"/>
  <c r="AO186" i="9"/>
  <c r="BK186" i="9"/>
  <c r="BF186" i="9"/>
  <c r="BA186" i="9"/>
  <c r="AV186" i="9"/>
  <c r="AK186" i="9"/>
  <c r="AI186" i="9"/>
  <c r="F186" i="9"/>
  <c r="C186" i="9"/>
  <c r="A186" i="9"/>
  <c r="BM185" i="9"/>
  <c r="AO185" i="9"/>
  <c r="BK185" i="9"/>
  <c r="BF185" i="9"/>
  <c r="AV185" i="9"/>
  <c r="AK185" i="9"/>
  <c r="AI185" i="9"/>
  <c r="F185" i="9"/>
  <c r="C185" i="9"/>
  <c r="A185" i="9"/>
  <c r="F15" i="30"/>
  <c r="A15" i="30"/>
  <c r="A192" i="9"/>
  <c r="A198" i="9"/>
  <c r="A200" i="9"/>
  <c r="A197" i="9"/>
  <c r="A188" i="9"/>
  <c r="A194" i="9"/>
  <c r="A196" i="9"/>
  <c r="F26" i="30"/>
  <c r="F27" i="30"/>
  <c r="F28" i="30"/>
  <c r="F29" i="30"/>
  <c r="A29" i="30"/>
  <c r="BF456" i="9"/>
  <c r="F30" i="30"/>
  <c r="A30" i="30"/>
  <c r="BF474" i="9"/>
  <c r="F31" i="30"/>
  <c r="F32" i="30"/>
  <c r="F33" i="30"/>
  <c r="F34" i="30"/>
  <c r="A34" i="30"/>
  <c r="F35" i="30"/>
  <c r="A35" i="30"/>
  <c r="F36" i="30"/>
  <c r="A36" i="30"/>
  <c r="F37" i="30"/>
  <c r="A37" i="30"/>
  <c r="F38" i="30"/>
  <c r="F39" i="30"/>
  <c r="F40" i="30"/>
  <c r="F41" i="30"/>
  <c r="F42" i="30"/>
  <c r="A42" i="30"/>
  <c r="F43" i="30"/>
  <c r="F44" i="30"/>
  <c r="A44" i="30"/>
  <c r="F45" i="30"/>
  <c r="A45" i="30"/>
  <c r="F46" i="30"/>
  <c r="A46" i="30"/>
  <c r="F47" i="30"/>
  <c r="A47" i="30"/>
  <c r="F48" i="30"/>
  <c r="A48" i="30"/>
  <c r="F49" i="30"/>
  <c r="A49" i="30"/>
  <c r="F53" i="30"/>
  <c r="A53" i="30"/>
  <c r="AQ42" i="9"/>
  <c r="F54" i="30"/>
  <c r="F55" i="30"/>
  <c r="F56" i="30"/>
  <c r="A56" i="30"/>
  <c r="F57" i="30"/>
  <c r="A57" i="30"/>
  <c r="F58" i="30"/>
  <c r="F59" i="30"/>
  <c r="AO305" i="9"/>
  <c r="AO306" i="9"/>
  <c r="AO307" i="9"/>
  <c r="AO308" i="9"/>
  <c r="AO309" i="9"/>
  <c r="AO310" i="9"/>
  <c r="AO311" i="9"/>
  <c r="AO312" i="9"/>
  <c r="AO313" i="9"/>
  <c r="AO314" i="9"/>
  <c r="AO315" i="9"/>
  <c r="AO316" i="9"/>
  <c r="AO317" i="9"/>
  <c r="AO318" i="9"/>
  <c r="AO319" i="9"/>
  <c r="AO320" i="9"/>
  <c r="AO321" i="9"/>
  <c r="AO322" i="9"/>
  <c r="AO323" i="9"/>
  <c r="AO324" i="9"/>
  <c r="AO325" i="9"/>
  <c r="AO326" i="9"/>
  <c r="AO327" i="9"/>
  <c r="AO328" i="9"/>
  <c r="AO329" i="9"/>
  <c r="AO330" i="9"/>
  <c r="AO331" i="9"/>
  <c r="AO332" i="9"/>
  <c r="AO333" i="9"/>
  <c r="AO334" i="9"/>
  <c r="AO335" i="9"/>
  <c r="AO336" i="9"/>
  <c r="AO337" i="9"/>
  <c r="AO338" i="9"/>
  <c r="AO339" i="9"/>
  <c r="AO340" i="9"/>
  <c r="AO341" i="9"/>
  <c r="AO342" i="9"/>
  <c r="AO343" i="9"/>
  <c r="AO344" i="9"/>
  <c r="AO345" i="9"/>
  <c r="AO346" i="9"/>
  <c r="AO347" i="9"/>
  <c r="AO348" i="9"/>
  <c r="AO349" i="9"/>
  <c r="AO350" i="9"/>
  <c r="AO351" i="9"/>
  <c r="AO352" i="9"/>
  <c r="AO353" i="9"/>
  <c r="AO354" i="9"/>
  <c r="AO355" i="9"/>
  <c r="AO356" i="9"/>
  <c r="AO357" i="9"/>
  <c r="AO358" i="9"/>
  <c r="AO359" i="9"/>
  <c r="AO360" i="9"/>
  <c r="AO361" i="9"/>
  <c r="AO362" i="9"/>
  <c r="AO363" i="9"/>
  <c r="AO364" i="9"/>
  <c r="AO365" i="9"/>
  <c r="AO366" i="9"/>
  <c r="AO367" i="9"/>
  <c r="AO368" i="9"/>
  <c r="AO369" i="9"/>
  <c r="AO370" i="9"/>
  <c r="AO371" i="9"/>
  <c r="AO372" i="9"/>
  <c r="AO373" i="9"/>
  <c r="AO374" i="9"/>
  <c r="AO375" i="9"/>
  <c r="AO376" i="9"/>
  <c r="AO377" i="9"/>
  <c r="AO378" i="9"/>
  <c r="AO379" i="9"/>
  <c r="AO380" i="9"/>
  <c r="AO381" i="9"/>
  <c r="AO382" i="9"/>
  <c r="AO383" i="9"/>
  <c r="AO384" i="9"/>
  <c r="AO385" i="9"/>
  <c r="AO386" i="9"/>
  <c r="AO387" i="9"/>
  <c r="AO388" i="9"/>
  <c r="AO389" i="9"/>
  <c r="AO390" i="9"/>
  <c r="AO391" i="9"/>
  <c r="AO392" i="9"/>
  <c r="AO393" i="9"/>
  <c r="AO394" i="9"/>
  <c r="AO395" i="9"/>
  <c r="AO396" i="9"/>
  <c r="AO397" i="9"/>
  <c r="AO398" i="9"/>
  <c r="AO399" i="9"/>
  <c r="AO400" i="9"/>
  <c r="AO401" i="9"/>
  <c r="AO402" i="9"/>
  <c r="AO403" i="9"/>
  <c r="AO404" i="9"/>
  <c r="AO405" i="9"/>
  <c r="AO406" i="9"/>
  <c r="AO407" i="9"/>
  <c r="AO408" i="9"/>
  <c r="AO409" i="9"/>
  <c r="AO410" i="9"/>
  <c r="AO411" i="9"/>
  <c r="AO412" i="9"/>
  <c r="AO413" i="9"/>
  <c r="AO414" i="9"/>
  <c r="AO415" i="9"/>
  <c r="AO416" i="9"/>
  <c r="AO417" i="9"/>
  <c r="AO418" i="9"/>
  <c r="AO419" i="9"/>
  <c r="AO420" i="9"/>
  <c r="AO421" i="9"/>
  <c r="AO422" i="9"/>
  <c r="AO423" i="9"/>
  <c r="AO424" i="9"/>
  <c r="AO425" i="9"/>
  <c r="AO426" i="9"/>
  <c r="AO427" i="9"/>
  <c r="AO428" i="9"/>
  <c r="AO429" i="9"/>
  <c r="AO430" i="9"/>
  <c r="AO431" i="9"/>
  <c r="AO432" i="9"/>
  <c r="AO433" i="9"/>
  <c r="AO434" i="9"/>
  <c r="AO435" i="9"/>
  <c r="AO436" i="9"/>
  <c r="AO437" i="9"/>
  <c r="AO438" i="9"/>
  <c r="AO439" i="9"/>
  <c r="AO440" i="9"/>
  <c r="AO441" i="9"/>
  <c r="AO442" i="9"/>
  <c r="AO443" i="9"/>
  <c r="AO444" i="9"/>
  <c r="AO445" i="9"/>
  <c r="AO446" i="9"/>
  <c r="AO447" i="9"/>
  <c r="AO448" i="9"/>
  <c r="AO449" i="9"/>
  <c r="AO450" i="9"/>
  <c r="AO451" i="9"/>
  <c r="AO452" i="9"/>
  <c r="AO453" i="9"/>
  <c r="AO454" i="9"/>
  <c r="AO455" i="9"/>
  <c r="AO456" i="9"/>
  <c r="AO457" i="9"/>
  <c r="AO458" i="9"/>
  <c r="AO459" i="9"/>
  <c r="AO460" i="9"/>
  <c r="AO461" i="9"/>
  <c r="AO462" i="9"/>
  <c r="AO463" i="9"/>
  <c r="AO464" i="9"/>
  <c r="AO465" i="9"/>
  <c r="AO466" i="9"/>
  <c r="AO467" i="9"/>
  <c r="AO468" i="9"/>
  <c r="AO469" i="9"/>
  <c r="AO470" i="9"/>
  <c r="AO471" i="9"/>
  <c r="AO472" i="9"/>
  <c r="AO473" i="9"/>
  <c r="AO474" i="9"/>
  <c r="AO475" i="9"/>
  <c r="AO476" i="9"/>
  <c r="AO477" i="9"/>
  <c r="AO478" i="9"/>
  <c r="AO479" i="9"/>
  <c r="AO480" i="9"/>
  <c r="AO481" i="9"/>
  <c r="AO482" i="9"/>
  <c r="AO483" i="9"/>
  <c r="AO484" i="9"/>
  <c r="AO485" i="9"/>
  <c r="AO486" i="9"/>
  <c r="AO487" i="9"/>
  <c r="AO488" i="9"/>
  <c r="AO489" i="9"/>
  <c r="AO490" i="9"/>
  <c r="AO491" i="9"/>
  <c r="AO492" i="9"/>
  <c r="AO493" i="9"/>
  <c r="AO494" i="9"/>
  <c r="AO495" i="9"/>
  <c r="AO496" i="9"/>
  <c r="AO497" i="9"/>
  <c r="AO498" i="9"/>
  <c r="AO499" i="9"/>
  <c r="AO500" i="9"/>
  <c r="AO501" i="9"/>
  <c r="AO502" i="9"/>
  <c r="AO503" i="9"/>
  <c r="AO504" i="9"/>
  <c r="BK25" i="9"/>
  <c r="BK26" i="9"/>
  <c r="BK27" i="9"/>
  <c r="BK28" i="9"/>
  <c r="BK29" i="9"/>
  <c r="BK30" i="9"/>
  <c r="BK31" i="9"/>
  <c r="BK32" i="9"/>
  <c r="BK33" i="9"/>
  <c r="BK34" i="9"/>
  <c r="BK35" i="9"/>
  <c r="BK36" i="9"/>
  <c r="BK37" i="9"/>
  <c r="BK38" i="9"/>
  <c r="BK39" i="9"/>
  <c r="BK40" i="9"/>
  <c r="BK41" i="9"/>
  <c r="BK42" i="9"/>
  <c r="BK43" i="9"/>
  <c r="BK44" i="9"/>
  <c r="BK45" i="9"/>
  <c r="BK46" i="9"/>
  <c r="BK47" i="9"/>
  <c r="BK48" i="9"/>
  <c r="BK49" i="9"/>
  <c r="BK50" i="9"/>
  <c r="BK51" i="9"/>
  <c r="BK52" i="9"/>
  <c r="BK53" i="9"/>
  <c r="BK54" i="9"/>
  <c r="BK55" i="9"/>
  <c r="BK56" i="9"/>
  <c r="BK57" i="9"/>
  <c r="BK58" i="9"/>
  <c r="BK59" i="9"/>
  <c r="BK60" i="9"/>
  <c r="BK61" i="9"/>
  <c r="BK62" i="9"/>
  <c r="BK63" i="9"/>
  <c r="BK64" i="9"/>
  <c r="BK65" i="9"/>
  <c r="BK66" i="9"/>
  <c r="BK67" i="9"/>
  <c r="BK68" i="9"/>
  <c r="BK69" i="9"/>
  <c r="BK70" i="9"/>
  <c r="BK71" i="9"/>
  <c r="BK72" i="9"/>
  <c r="BK73" i="9"/>
  <c r="BK74" i="9"/>
  <c r="BK75" i="9"/>
  <c r="BK76" i="9"/>
  <c r="BK77" i="9"/>
  <c r="BK78" i="9"/>
  <c r="BK79" i="9"/>
  <c r="BK80" i="9"/>
  <c r="BK81" i="9"/>
  <c r="BK82" i="9"/>
  <c r="BK83" i="9"/>
  <c r="BK84" i="9"/>
  <c r="BK85" i="9"/>
  <c r="BK86" i="9"/>
  <c r="BK87" i="9"/>
  <c r="BK88" i="9"/>
  <c r="BK89" i="9"/>
  <c r="BK90" i="9"/>
  <c r="BK91" i="9"/>
  <c r="BK92" i="9"/>
  <c r="BK93" i="9"/>
  <c r="BK94" i="9"/>
  <c r="BK95" i="9"/>
  <c r="BK96" i="9"/>
  <c r="BK97" i="9"/>
  <c r="BK98" i="9"/>
  <c r="BK99" i="9"/>
  <c r="BK100" i="9"/>
  <c r="BK101" i="9"/>
  <c r="BK102" i="9"/>
  <c r="BK103" i="9"/>
  <c r="BK104" i="9"/>
  <c r="BK105" i="9"/>
  <c r="BK106" i="9"/>
  <c r="BK107" i="9"/>
  <c r="BK108" i="9"/>
  <c r="BK109" i="9"/>
  <c r="BK110" i="9"/>
  <c r="BK111" i="9"/>
  <c r="BK112" i="9"/>
  <c r="BK113" i="9"/>
  <c r="BK114" i="9"/>
  <c r="BK115" i="9"/>
  <c r="BK116" i="9"/>
  <c r="BK117" i="9"/>
  <c r="BK118" i="9"/>
  <c r="BK119" i="9"/>
  <c r="BK120" i="9"/>
  <c r="BK121" i="9"/>
  <c r="BK122" i="9"/>
  <c r="BK123" i="9"/>
  <c r="BK124" i="9"/>
  <c r="BK125" i="9"/>
  <c r="BK126" i="9"/>
  <c r="BK127" i="9"/>
  <c r="BK128" i="9"/>
  <c r="BK129" i="9"/>
  <c r="BK130" i="9"/>
  <c r="BK131" i="9"/>
  <c r="BK132" i="9"/>
  <c r="BK133" i="9"/>
  <c r="BK134" i="9"/>
  <c r="BK135" i="9"/>
  <c r="BK136" i="9"/>
  <c r="BK137" i="9"/>
  <c r="BK138" i="9"/>
  <c r="BK139" i="9"/>
  <c r="BK140" i="9"/>
  <c r="BK141" i="9"/>
  <c r="BK142" i="9"/>
  <c r="BK143" i="9"/>
  <c r="BK144" i="9"/>
  <c r="BK145" i="9"/>
  <c r="BK146" i="9"/>
  <c r="BK147" i="9"/>
  <c r="BK148" i="9"/>
  <c r="BK149" i="9"/>
  <c r="BK150" i="9"/>
  <c r="BK151" i="9"/>
  <c r="BK152" i="9"/>
  <c r="BK153" i="9"/>
  <c r="BK154" i="9"/>
  <c r="BK155" i="9"/>
  <c r="BK156" i="9"/>
  <c r="BK157" i="9"/>
  <c r="BK158" i="9"/>
  <c r="BK159" i="9"/>
  <c r="BK160" i="9"/>
  <c r="BK161" i="9"/>
  <c r="BK162" i="9"/>
  <c r="BK163" i="9"/>
  <c r="BK164" i="9"/>
  <c r="BK165" i="9"/>
  <c r="BK166" i="9"/>
  <c r="BK167" i="9"/>
  <c r="BK168" i="9"/>
  <c r="BK169" i="9"/>
  <c r="BK170" i="9"/>
  <c r="BK171" i="9"/>
  <c r="BK172" i="9"/>
  <c r="BK173" i="9"/>
  <c r="BK174" i="9"/>
  <c r="BK175" i="9"/>
  <c r="BK176" i="9"/>
  <c r="BK177" i="9"/>
  <c r="BK178" i="9"/>
  <c r="BK179" i="9"/>
  <c r="BK180" i="9"/>
  <c r="BK181" i="9"/>
  <c r="BK182" i="9"/>
  <c r="BK183" i="9"/>
  <c r="BK184" i="9"/>
  <c r="BK225" i="9"/>
  <c r="BK226" i="9"/>
  <c r="BK227" i="9"/>
  <c r="BK228" i="9"/>
  <c r="BK229" i="9"/>
  <c r="BK230" i="9"/>
  <c r="BK231" i="9"/>
  <c r="BK232" i="9"/>
  <c r="BK233" i="9"/>
  <c r="BK234" i="9"/>
  <c r="BK235" i="9"/>
  <c r="BK236" i="9"/>
  <c r="BK237" i="9"/>
  <c r="BK238" i="9"/>
  <c r="BK239" i="9"/>
  <c r="BK240" i="9"/>
  <c r="BK241" i="9"/>
  <c r="BK242" i="9"/>
  <c r="BK243" i="9"/>
  <c r="BK244" i="9"/>
  <c r="BK245" i="9"/>
  <c r="BK246" i="9"/>
  <c r="BK247" i="9"/>
  <c r="BK248" i="9"/>
  <c r="BK249" i="9"/>
  <c r="BK250" i="9"/>
  <c r="BK251" i="9"/>
  <c r="BK252" i="9"/>
  <c r="BK253" i="9"/>
  <c r="BK254" i="9"/>
  <c r="BK255" i="9"/>
  <c r="BK256" i="9"/>
  <c r="BK257" i="9"/>
  <c r="BK258" i="9"/>
  <c r="BK259" i="9"/>
  <c r="BK260" i="9"/>
  <c r="BK261" i="9"/>
  <c r="BK262" i="9"/>
  <c r="BK263" i="9"/>
  <c r="BK264" i="9"/>
  <c r="BK265" i="9"/>
  <c r="BK266" i="9"/>
  <c r="BK267" i="9"/>
  <c r="BK268" i="9"/>
  <c r="BK269" i="9"/>
  <c r="BK270" i="9"/>
  <c r="BK271" i="9"/>
  <c r="BK272" i="9"/>
  <c r="BK273" i="9"/>
  <c r="BK274" i="9"/>
  <c r="BK275" i="9"/>
  <c r="BK276" i="9"/>
  <c r="BK277" i="9"/>
  <c r="BK278" i="9"/>
  <c r="BK279" i="9"/>
  <c r="BK280" i="9"/>
  <c r="BK281" i="9"/>
  <c r="BK282" i="9"/>
  <c r="BK283" i="9"/>
  <c r="BK284" i="9"/>
  <c r="BK305" i="9"/>
  <c r="BK306" i="9"/>
  <c r="BK307" i="9"/>
  <c r="BK308" i="9"/>
  <c r="BK309" i="9"/>
  <c r="BK310" i="9"/>
  <c r="BK311" i="9"/>
  <c r="BK312" i="9"/>
  <c r="BK313" i="9"/>
  <c r="BK314" i="9"/>
  <c r="BK315" i="9"/>
  <c r="BK316" i="9"/>
  <c r="BK317" i="9"/>
  <c r="BK318" i="9"/>
  <c r="BK319" i="9"/>
  <c r="BK320" i="9"/>
  <c r="BK321" i="9"/>
  <c r="BK322" i="9"/>
  <c r="BK323" i="9"/>
  <c r="BK324" i="9"/>
  <c r="BK325" i="9"/>
  <c r="BK326" i="9"/>
  <c r="BK327" i="9"/>
  <c r="BK328" i="9"/>
  <c r="BK329" i="9"/>
  <c r="BK330" i="9"/>
  <c r="BK331" i="9"/>
  <c r="BK332" i="9"/>
  <c r="BK333" i="9"/>
  <c r="BK334" i="9"/>
  <c r="BK335" i="9"/>
  <c r="BK336" i="9"/>
  <c r="BK337" i="9"/>
  <c r="BK338" i="9"/>
  <c r="BK339" i="9"/>
  <c r="BK340" i="9"/>
  <c r="BK341" i="9"/>
  <c r="BK342" i="9"/>
  <c r="BK343" i="9"/>
  <c r="BK344" i="9"/>
  <c r="BK345" i="9"/>
  <c r="BK346" i="9"/>
  <c r="BK347" i="9"/>
  <c r="BK348" i="9"/>
  <c r="BK349" i="9"/>
  <c r="BK350" i="9"/>
  <c r="BK351" i="9"/>
  <c r="BK352" i="9"/>
  <c r="BK353" i="9"/>
  <c r="BK354" i="9"/>
  <c r="BK355" i="9"/>
  <c r="BK356" i="9"/>
  <c r="BK357" i="9"/>
  <c r="BK358" i="9"/>
  <c r="BK359" i="9"/>
  <c r="BK360" i="9"/>
  <c r="BK361" i="9"/>
  <c r="BK362" i="9"/>
  <c r="BK363" i="9"/>
  <c r="BK364" i="9"/>
  <c r="BK365" i="9"/>
  <c r="BK366" i="9"/>
  <c r="BK367" i="9"/>
  <c r="BK368" i="9"/>
  <c r="BK369" i="9"/>
  <c r="BK370" i="9"/>
  <c r="BK371" i="9"/>
  <c r="BK372" i="9"/>
  <c r="BK373" i="9"/>
  <c r="BK374" i="9"/>
  <c r="BK375" i="9"/>
  <c r="BK376" i="9"/>
  <c r="BK377" i="9"/>
  <c r="BK378" i="9"/>
  <c r="BK379" i="9"/>
  <c r="BK380" i="9"/>
  <c r="BK381" i="9"/>
  <c r="BK382" i="9"/>
  <c r="BK383" i="9"/>
  <c r="BK384" i="9"/>
  <c r="BK385" i="9"/>
  <c r="BK386" i="9"/>
  <c r="BK387" i="9"/>
  <c r="BK388" i="9"/>
  <c r="BK389" i="9"/>
  <c r="BK390" i="9"/>
  <c r="BK391" i="9"/>
  <c r="BK392" i="9"/>
  <c r="BK393" i="9"/>
  <c r="BK394" i="9"/>
  <c r="BK395" i="9"/>
  <c r="BK396" i="9"/>
  <c r="BK397" i="9"/>
  <c r="BK398" i="9"/>
  <c r="BK399" i="9"/>
  <c r="BK400" i="9"/>
  <c r="BK401" i="9"/>
  <c r="BK402" i="9"/>
  <c r="BK403" i="9"/>
  <c r="BK404" i="9"/>
  <c r="BK405" i="9"/>
  <c r="BK406" i="9"/>
  <c r="BK407" i="9"/>
  <c r="BK408" i="9"/>
  <c r="BK409" i="9"/>
  <c r="BK410" i="9"/>
  <c r="BK411" i="9"/>
  <c r="BK412" i="9"/>
  <c r="BK413" i="9"/>
  <c r="BK414" i="9"/>
  <c r="BK415" i="9"/>
  <c r="BK416" i="9"/>
  <c r="BK417" i="9"/>
  <c r="BK418" i="9"/>
  <c r="BK419" i="9"/>
  <c r="BK420" i="9"/>
  <c r="BK421" i="9"/>
  <c r="BK422" i="9"/>
  <c r="BK423" i="9"/>
  <c r="BK424" i="9"/>
  <c r="BK425" i="9"/>
  <c r="BK426" i="9"/>
  <c r="BK427" i="9"/>
  <c r="BK428" i="9"/>
  <c r="BK429" i="9"/>
  <c r="BK430" i="9"/>
  <c r="BK431" i="9"/>
  <c r="BK432" i="9"/>
  <c r="BK433" i="9"/>
  <c r="BK434" i="9"/>
  <c r="BK435" i="9"/>
  <c r="BK436" i="9"/>
  <c r="BK437" i="9"/>
  <c r="BK438" i="9"/>
  <c r="BK439" i="9"/>
  <c r="BK440" i="9"/>
  <c r="BK441" i="9"/>
  <c r="BK442" i="9"/>
  <c r="BK443" i="9"/>
  <c r="BK444" i="9"/>
  <c r="BK445" i="9"/>
  <c r="BK446" i="9"/>
  <c r="BK447" i="9"/>
  <c r="BK448" i="9"/>
  <c r="BK449" i="9"/>
  <c r="BK450" i="9"/>
  <c r="BK451" i="9"/>
  <c r="BK452" i="9"/>
  <c r="BK453" i="9"/>
  <c r="BK454" i="9"/>
  <c r="BK455" i="9"/>
  <c r="BK456" i="9"/>
  <c r="BK457" i="9"/>
  <c r="BK458" i="9"/>
  <c r="BK459" i="9"/>
  <c r="BK460" i="9"/>
  <c r="BK461" i="9"/>
  <c r="BK462" i="9"/>
  <c r="BK463" i="9"/>
  <c r="BK464" i="9"/>
  <c r="BK465" i="9"/>
  <c r="BK466" i="9"/>
  <c r="BK467" i="9"/>
  <c r="BK468" i="9"/>
  <c r="BK469" i="9"/>
  <c r="BK470" i="9"/>
  <c r="BK471" i="9"/>
  <c r="BK472" i="9"/>
  <c r="BK473" i="9"/>
  <c r="BK474" i="9"/>
  <c r="BK475" i="9"/>
  <c r="BK476" i="9"/>
  <c r="BK477" i="9"/>
  <c r="BK478" i="9"/>
  <c r="BK479" i="9"/>
  <c r="BK480" i="9"/>
  <c r="BK481" i="9"/>
  <c r="BK482" i="9"/>
  <c r="BK483" i="9"/>
  <c r="BK484" i="9"/>
  <c r="BK485" i="9"/>
  <c r="BK486" i="9"/>
  <c r="BK487" i="9"/>
  <c r="BK488" i="9"/>
  <c r="BK489" i="9"/>
  <c r="BK490" i="9"/>
  <c r="BK491" i="9"/>
  <c r="BK492" i="9"/>
  <c r="BK493" i="9"/>
  <c r="BK494" i="9"/>
  <c r="BK495" i="9"/>
  <c r="BK496" i="9"/>
  <c r="BK497" i="9"/>
  <c r="BK498" i="9"/>
  <c r="BK499" i="9"/>
  <c r="BK500" i="9"/>
  <c r="BK501" i="9"/>
  <c r="BK502" i="9"/>
  <c r="BK503" i="9"/>
  <c r="BK504" i="9"/>
  <c r="A31" i="30"/>
  <c r="BF494" i="9"/>
  <c r="BF266" i="9"/>
  <c r="BF267" i="9"/>
  <c r="BF268" i="9"/>
  <c r="BF269" i="9"/>
  <c r="BF270" i="9"/>
  <c r="BF271" i="9"/>
  <c r="BF273" i="9"/>
  <c r="BF274" i="9"/>
  <c r="BF275" i="9"/>
  <c r="BF276" i="9"/>
  <c r="BF277" i="9"/>
  <c r="BF278" i="9"/>
  <c r="BF279" i="9"/>
  <c r="BF280" i="9"/>
  <c r="BF281" i="9"/>
  <c r="BF282" i="9"/>
  <c r="BF283" i="9"/>
  <c r="BF284" i="9"/>
  <c r="F21" i="30"/>
  <c r="A21" i="30"/>
  <c r="BF75" i="9"/>
  <c r="F22" i="30"/>
  <c r="A22" i="30"/>
  <c r="BF96" i="9"/>
  <c r="F23" i="30"/>
  <c r="A23" i="30"/>
  <c r="F24" i="30"/>
  <c r="A24" i="30"/>
  <c r="F25" i="30"/>
  <c r="A25" i="30"/>
  <c r="BF332" i="9"/>
  <c r="A26" i="30"/>
  <c r="BF351" i="9"/>
  <c r="A27" i="30"/>
  <c r="BF415" i="9"/>
  <c r="A28" i="30"/>
  <c r="F20" i="30"/>
  <c r="A20" i="30"/>
  <c r="A32" i="30"/>
  <c r="A33" i="30"/>
  <c r="BF25" i="9"/>
  <c r="BF26" i="9"/>
  <c r="BF27" i="9"/>
  <c r="BF28" i="9"/>
  <c r="BF29" i="9"/>
  <c r="BF30" i="9"/>
  <c r="BF31" i="9"/>
  <c r="BF32" i="9"/>
  <c r="BF33" i="9"/>
  <c r="BF34" i="9"/>
  <c r="BF35" i="9"/>
  <c r="BF36" i="9"/>
  <c r="BF37" i="9"/>
  <c r="BF38" i="9"/>
  <c r="BF39" i="9"/>
  <c r="BF40" i="9"/>
  <c r="BF41" i="9"/>
  <c r="BF42" i="9"/>
  <c r="BF43" i="9"/>
  <c r="BF44" i="9"/>
  <c r="BF45" i="9"/>
  <c r="BF46" i="9"/>
  <c r="BF47" i="9"/>
  <c r="BF48" i="9"/>
  <c r="BF49" i="9"/>
  <c r="BF50" i="9"/>
  <c r="BF51" i="9"/>
  <c r="BF52" i="9"/>
  <c r="BF53" i="9"/>
  <c r="BF54" i="9"/>
  <c r="BF55" i="9"/>
  <c r="BF56" i="9"/>
  <c r="BF57" i="9"/>
  <c r="BF58" i="9"/>
  <c r="BF59" i="9"/>
  <c r="BF60" i="9"/>
  <c r="BF61" i="9"/>
  <c r="BF62" i="9"/>
  <c r="BF63" i="9"/>
  <c r="BF64" i="9"/>
  <c r="BF65" i="9"/>
  <c r="BF66" i="9"/>
  <c r="BF67" i="9"/>
  <c r="BF68" i="9"/>
  <c r="BF69" i="9"/>
  <c r="BF70" i="9"/>
  <c r="BF71" i="9"/>
  <c r="BF72" i="9"/>
  <c r="BF73" i="9"/>
  <c r="BF74" i="9"/>
  <c r="BF76" i="9"/>
  <c r="BF77" i="9"/>
  <c r="BF78" i="9"/>
  <c r="BF79" i="9"/>
  <c r="BF80" i="9"/>
  <c r="BF81" i="9"/>
  <c r="BF82" i="9"/>
  <c r="BF83" i="9"/>
  <c r="BF84" i="9"/>
  <c r="BF85" i="9"/>
  <c r="BF86" i="9"/>
  <c r="BF87" i="9"/>
  <c r="BF88" i="9"/>
  <c r="BF89" i="9"/>
  <c r="BF90" i="9"/>
  <c r="BF91" i="9"/>
  <c r="BF92" i="9"/>
  <c r="BF93" i="9"/>
  <c r="BF94" i="9"/>
  <c r="BF95" i="9"/>
  <c r="BF97" i="9"/>
  <c r="BF98" i="9"/>
  <c r="BF99" i="9"/>
  <c r="BF100" i="9"/>
  <c r="BF101" i="9"/>
  <c r="BF102" i="9"/>
  <c r="BF103" i="9"/>
  <c r="BF104" i="9"/>
  <c r="BF105" i="9"/>
  <c r="BF106" i="9"/>
  <c r="BF107" i="9"/>
  <c r="BF108" i="9"/>
  <c r="BF109" i="9"/>
  <c r="BF110" i="9"/>
  <c r="BF111" i="9"/>
  <c r="BF112" i="9"/>
  <c r="BF113" i="9"/>
  <c r="BF114" i="9"/>
  <c r="BF115" i="9"/>
  <c r="BF116" i="9"/>
  <c r="BF117" i="9"/>
  <c r="BF118" i="9"/>
  <c r="BF119" i="9"/>
  <c r="BF120" i="9"/>
  <c r="BF121" i="9"/>
  <c r="BF122" i="9"/>
  <c r="BF123" i="9"/>
  <c r="BF124" i="9"/>
  <c r="BF125" i="9"/>
  <c r="BF126" i="9"/>
  <c r="BF127" i="9"/>
  <c r="BF128" i="9"/>
  <c r="BF129" i="9"/>
  <c r="BF130" i="9"/>
  <c r="BF131" i="9"/>
  <c r="BF132" i="9"/>
  <c r="BF133" i="9"/>
  <c r="BF134" i="9"/>
  <c r="BF135" i="9"/>
  <c r="BF136" i="9"/>
  <c r="BF137" i="9"/>
  <c r="BF138" i="9"/>
  <c r="BF139" i="9"/>
  <c r="BF140" i="9"/>
  <c r="BF141" i="9"/>
  <c r="BF142" i="9"/>
  <c r="BF143" i="9"/>
  <c r="BF144" i="9"/>
  <c r="BF145" i="9"/>
  <c r="BF146" i="9"/>
  <c r="BF147" i="9"/>
  <c r="BF148" i="9"/>
  <c r="BF149" i="9"/>
  <c r="BF150" i="9"/>
  <c r="BF151" i="9"/>
  <c r="BF152" i="9"/>
  <c r="BF153" i="9"/>
  <c r="BF154" i="9"/>
  <c r="BF155" i="9"/>
  <c r="BF156" i="9"/>
  <c r="BF157" i="9"/>
  <c r="BF158" i="9"/>
  <c r="BF159" i="9"/>
  <c r="BF160" i="9"/>
  <c r="BF161" i="9"/>
  <c r="BF162" i="9"/>
  <c r="BF163" i="9"/>
  <c r="BF164" i="9"/>
  <c r="BF165" i="9"/>
  <c r="BF166" i="9"/>
  <c r="BF167" i="9"/>
  <c r="BF168" i="9"/>
  <c r="BF169" i="9"/>
  <c r="BF170" i="9"/>
  <c r="BF171" i="9"/>
  <c r="BF172" i="9"/>
  <c r="BF173" i="9"/>
  <c r="BF174" i="9"/>
  <c r="BF175" i="9"/>
  <c r="BF176" i="9"/>
  <c r="BF177" i="9"/>
  <c r="BF178" i="9"/>
  <c r="BF179" i="9"/>
  <c r="BF180" i="9"/>
  <c r="BF181" i="9"/>
  <c r="BF182" i="9"/>
  <c r="BF183" i="9"/>
  <c r="BF184" i="9"/>
  <c r="BF225" i="9"/>
  <c r="BF226" i="9"/>
  <c r="BF227" i="9"/>
  <c r="BF228" i="9"/>
  <c r="BF229" i="9"/>
  <c r="BF230" i="9"/>
  <c r="BF231" i="9"/>
  <c r="BF232" i="9"/>
  <c r="BF233" i="9"/>
  <c r="BF235" i="9"/>
  <c r="BF236" i="9"/>
  <c r="BF237" i="9"/>
  <c r="BF238" i="9"/>
  <c r="BF239" i="9"/>
  <c r="BF240" i="9"/>
  <c r="BF241" i="9"/>
  <c r="BF242" i="9"/>
  <c r="BF243" i="9"/>
  <c r="BF244" i="9"/>
  <c r="BF245" i="9"/>
  <c r="BF246" i="9"/>
  <c r="BF247" i="9"/>
  <c r="BF248" i="9"/>
  <c r="BF249" i="9"/>
  <c r="BF250" i="9"/>
  <c r="BF251" i="9"/>
  <c r="BF252" i="9"/>
  <c r="BF253" i="9"/>
  <c r="BF255" i="9"/>
  <c r="BF256" i="9"/>
  <c r="BF257" i="9"/>
  <c r="BF258" i="9"/>
  <c r="BF259" i="9"/>
  <c r="BF260" i="9"/>
  <c r="BF261" i="9"/>
  <c r="BF262" i="9"/>
  <c r="BF263" i="9"/>
  <c r="BF264" i="9"/>
  <c r="BF265" i="9"/>
  <c r="BF305" i="9"/>
  <c r="BF306" i="9"/>
  <c r="BF307" i="9"/>
  <c r="BF308" i="9"/>
  <c r="BF309" i="9"/>
  <c r="BF310" i="9"/>
  <c r="BF311" i="9"/>
  <c r="BF312" i="9"/>
  <c r="BF313" i="9"/>
  <c r="BF314" i="9"/>
  <c r="BF315" i="9"/>
  <c r="BF316" i="9"/>
  <c r="BF317" i="9"/>
  <c r="BF319" i="9"/>
  <c r="BF320" i="9"/>
  <c r="BF321" i="9"/>
  <c r="BF322" i="9"/>
  <c r="BF323" i="9"/>
  <c r="BF324" i="9"/>
  <c r="BF325" i="9"/>
  <c r="BF326" i="9"/>
  <c r="BF327" i="9"/>
  <c r="BF328" i="9"/>
  <c r="BF329" i="9"/>
  <c r="BF330" i="9"/>
  <c r="BF331" i="9"/>
  <c r="BF333" i="9"/>
  <c r="BF334" i="9"/>
  <c r="BF335" i="9"/>
  <c r="BF336" i="9"/>
  <c r="BF337" i="9"/>
  <c r="BF338" i="9"/>
  <c r="BF339" i="9"/>
  <c r="BF340" i="9"/>
  <c r="BF341" i="9"/>
  <c r="BF342" i="9"/>
  <c r="BF343" i="9"/>
  <c r="BF344" i="9"/>
  <c r="BF345" i="9"/>
  <c r="BF346" i="9"/>
  <c r="BF347" i="9"/>
  <c r="BF348" i="9"/>
  <c r="BF349" i="9"/>
  <c r="BF350" i="9"/>
  <c r="BF352" i="9"/>
  <c r="BF353" i="9"/>
  <c r="BF354" i="9"/>
  <c r="BF355" i="9"/>
  <c r="BF356" i="9"/>
  <c r="BF357" i="9"/>
  <c r="BF358" i="9"/>
  <c r="BF359" i="9"/>
  <c r="BF360" i="9"/>
  <c r="BF361" i="9"/>
  <c r="BF362" i="9"/>
  <c r="BF363" i="9"/>
  <c r="BF364" i="9"/>
  <c r="BF365" i="9"/>
  <c r="BF366" i="9"/>
  <c r="BF367" i="9"/>
  <c r="BF368" i="9"/>
  <c r="BF369" i="9"/>
  <c r="BF370" i="9"/>
  <c r="BF371" i="9"/>
  <c r="BF372" i="9"/>
  <c r="BF373" i="9"/>
  <c r="BF374" i="9"/>
  <c r="BF375" i="9"/>
  <c r="BF376" i="9"/>
  <c r="BF377" i="9"/>
  <c r="BF378" i="9"/>
  <c r="BF379" i="9"/>
  <c r="BF380" i="9"/>
  <c r="BF381" i="9"/>
  <c r="BF382" i="9"/>
  <c r="BF383" i="9"/>
  <c r="BF384" i="9"/>
  <c r="BF385" i="9"/>
  <c r="BF386" i="9"/>
  <c r="BF387" i="9"/>
  <c r="BF388" i="9"/>
  <c r="BF389" i="9"/>
  <c r="BF391" i="9"/>
  <c r="BF392" i="9"/>
  <c r="BF393" i="9"/>
  <c r="BF394" i="9"/>
  <c r="BF395" i="9"/>
  <c r="BF396" i="9"/>
  <c r="BF397" i="9"/>
  <c r="BF398" i="9"/>
  <c r="BF399" i="9"/>
  <c r="BF400" i="9"/>
  <c r="BF401" i="9"/>
  <c r="BF402" i="9"/>
  <c r="BF403" i="9"/>
  <c r="BF404" i="9"/>
  <c r="BF405" i="9"/>
  <c r="BF406" i="9"/>
  <c r="BF407" i="9"/>
  <c r="BF408" i="9"/>
  <c r="BF409" i="9"/>
  <c r="BF410" i="9"/>
  <c r="BF411" i="9"/>
  <c r="BF412" i="9"/>
  <c r="BF413" i="9"/>
  <c r="BF414" i="9"/>
  <c r="BF416" i="9"/>
  <c r="BF417" i="9"/>
  <c r="BF418" i="9"/>
  <c r="BF419" i="9"/>
  <c r="BF420" i="9"/>
  <c r="BF421" i="9"/>
  <c r="BF422" i="9"/>
  <c r="BF423" i="9"/>
  <c r="BF424" i="9"/>
  <c r="BF425" i="9"/>
  <c r="BF426" i="9"/>
  <c r="BF427" i="9"/>
  <c r="BF428" i="9"/>
  <c r="BF429" i="9"/>
  <c r="BF430" i="9"/>
  <c r="BF431" i="9"/>
  <c r="BF432" i="9"/>
  <c r="BF433" i="9"/>
  <c r="BF434" i="9"/>
  <c r="BF435" i="9"/>
  <c r="BF436" i="9"/>
  <c r="BF438" i="9"/>
  <c r="BF439" i="9"/>
  <c r="BF440" i="9"/>
  <c r="BF441" i="9"/>
  <c r="BF442" i="9"/>
  <c r="BF443" i="9"/>
  <c r="BF444" i="9"/>
  <c r="BF445" i="9"/>
  <c r="BF446" i="9"/>
  <c r="BF447" i="9"/>
  <c r="BF448" i="9"/>
  <c r="BF449" i="9"/>
  <c r="BF450" i="9"/>
  <c r="BF451" i="9"/>
  <c r="BF452" i="9"/>
  <c r="BF453" i="9"/>
  <c r="BF454" i="9"/>
  <c r="BF455" i="9"/>
  <c r="BF457" i="9"/>
  <c r="BF458" i="9"/>
  <c r="BF459" i="9"/>
  <c r="BF460" i="9"/>
  <c r="BF461" i="9"/>
  <c r="BF462" i="9"/>
  <c r="BF463" i="9"/>
  <c r="BF464" i="9"/>
  <c r="BF466" i="9"/>
  <c r="BF467" i="9"/>
  <c r="BF468" i="9"/>
  <c r="BF469" i="9"/>
  <c r="BF470" i="9"/>
  <c r="BF471" i="9"/>
  <c r="BF472" i="9"/>
  <c r="BF473" i="9"/>
  <c r="BF475" i="9"/>
  <c r="BF476" i="9"/>
  <c r="BF477" i="9"/>
  <c r="BF478" i="9"/>
  <c r="BF479" i="9"/>
  <c r="BF480" i="9"/>
  <c r="BF481" i="9"/>
  <c r="BF482" i="9"/>
  <c r="BF483" i="9"/>
  <c r="BF484" i="9"/>
  <c r="BF486" i="9"/>
  <c r="BF487" i="9"/>
  <c r="BF488" i="9"/>
  <c r="BF489" i="9"/>
  <c r="BF490" i="9"/>
  <c r="BF491" i="9"/>
  <c r="BF492" i="9"/>
  <c r="BF493" i="9"/>
  <c r="BF495" i="9"/>
  <c r="BF496" i="9"/>
  <c r="BF497" i="9"/>
  <c r="BF498" i="9"/>
  <c r="BF499" i="9"/>
  <c r="BF500" i="9"/>
  <c r="BF501" i="9"/>
  <c r="BF502" i="9"/>
  <c r="BF503" i="9"/>
  <c r="BF504" i="9"/>
  <c r="BA26" i="9"/>
  <c r="BA27" i="9"/>
  <c r="BA28" i="9"/>
  <c r="BA29" i="9"/>
  <c r="BA30" i="9"/>
  <c r="BA31" i="9"/>
  <c r="BA32" i="9"/>
  <c r="BA33" i="9"/>
  <c r="BA34" i="9"/>
  <c r="BA35" i="9"/>
  <c r="BA36" i="9"/>
  <c r="BA37" i="9"/>
  <c r="BA38" i="9"/>
  <c r="BA39" i="9"/>
  <c r="BA40" i="9"/>
  <c r="BA41" i="9"/>
  <c r="BA42" i="9"/>
  <c r="BA43" i="9"/>
  <c r="BA44" i="9"/>
  <c r="BA46" i="9"/>
  <c r="BA47" i="9"/>
  <c r="BA48" i="9"/>
  <c r="BA49" i="9"/>
  <c r="BA50" i="9"/>
  <c r="BA51" i="9"/>
  <c r="BA52" i="9"/>
  <c r="BA53" i="9"/>
  <c r="BA54" i="9"/>
  <c r="BA55" i="9"/>
  <c r="BA56" i="9"/>
  <c r="BA57" i="9"/>
  <c r="BA58" i="9"/>
  <c r="BA59" i="9"/>
  <c r="BA60" i="9"/>
  <c r="BA61" i="9"/>
  <c r="BA62" i="9"/>
  <c r="BA63" i="9"/>
  <c r="BA64" i="9"/>
  <c r="BA66" i="9"/>
  <c r="BA67" i="9"/>
  <c r="BA68" i="9"/>
  <c r="BA69" i="9"/>
  <c r="BA70" i="9"/>
  <c r="BA71" i="9"/>
  <c r="BA72" i="9"/>
  <c r="BA73" i="9"/>
  <c r="BA74" i="9"/>
  <c r="BA75" i="9"/>
  <c r="BA76" i="9"/>
  <c r="BA77" i="9"/>
  <c r="BA78" i="9"/>
  <c r="BA79" i="9"/>
  <c r="BA80" i="9"/>
  <c r="BA81" i="9"/>
  <c r="BA82" i="9"/>
  <c r="BA83" i="9"/>
  <c r="BA84" i="9"/>
  <c r="BA86" i="9"/>
  <c r="BA87" i="9"/>
  <c r="BA88" i="9"/>
  <c r="BA89" i="9"/>
  <c r="BA90" i="9"/>
  <c r="BA91" i="9"/>
  <c r="BA92" i="9"/>
  <c r="BA93" i="9"/>
  <c r="BA94" i="9"/>
  <c r="BA95" i="9"/>
  <c r="BA96" i="9"/>
  <c r="BA97" i="9"/>
  <c r="BA98" i="9"/>
  <c r="BA99" i="9"/>
  <c r="BA100" i="9"/>
  <c r="BA101" i="9"/>
  <c r="BA102" i="9"/>
  <c r="BA103" i="9"/>
  <c r="BA104" i="9"/>
  <c r="BA106" i="9"/>
  <c r="BA107" i="9"/>
  <c r="BA108" i="9"/>
  <c r="BA109" i="9"/>
  <c r="BA110" i="9"/>
  <c r="BA111" i="9"/>
  <c r="BA112" i="9"/>
  <c r="BA113" i="9"/>
  <c r="BA114" i="9"/>
  <c r="BA115" i="9"/>
  <c r="BA116" i="9"/>
  <c r="BA117" i="9"/>
  <c r="BA118" i="9"/>
  <c r="BA119" i="9"/>
  <c r="BA120" i="9"/>
  <c r="BA121" i="9"/>
  <c r="BA122" i="9"/>
  <c r="BA123" i="9"/>
  <c r="BA124" i="9"/>
  <c r="BA126" i="9"/>
  <c r="BA127" i="9"/>
  <c r="BA128" i="9"/>
  <c r="BA129" i="9"/>
  <c r="BA130" i="9"/>
  <c r="BA131" i="9"/>
  <c r="BA132" i="9"/>
  <c r="BA133" i="9"/>
  <c r="BA134" i="9"/>
  <c r="BA135" i="9"/>
  <c r="BA136" i="9"/>
  <c r="BA137" i="9"/>
  <c r="BA138" i="9"/>
  <c r="BA139" i="9"/>
  <c r="BA140" i="9"/>
  <c r="BA141" i="9"/>
  <c r="BA142" i="9"/>
  <c r="BA143" i="9"/>
  <c r="BA144" i="9"/>
  <c r="BA146" i="9"/>
  <c r="BA147" i="9"/>
  <c r="BA148" i="9"/>
  <c r="BA149" i="9"/>
  <c r="BA150" i="9"/>
  <c r="BA151" i="9"/>
  <c r="BA152" i="9"/>
  <c r="BA153" i="9"/>
  <c r="BA154" i="9"/>
  <c r="BA155" i="9"/>
  <c r="BA156" i="9"/>
  <c r="BA157" i="9"/>
  <c r="BA158" i="9"/>
  <c r="BA159" i="9"/>
  <c r="BA160" i="9"/>
  <c r="BA161" i="9"/>
  <c r="BA162" i="9"/>
  <c r="BA163" i="9"/>
  <c r="BA164" i="9"/>
  <c r="BA166" i="9"/>
  <c r="BA167" i="9"/>
  <c r="BA168" i="9"/>
  <c r="BA169" i="9"/>
  <c r="BA170" i="9"/>
  <c r="BA171" i="9"/>
  <c r="BA172" i="9"/>
  <c r="BA173" i="9"/>
  <c r="BA174" i="9"/>
  <c r="BA175" i="9"/>
  <c r="BA176" i="9"/>
  <c r="BA177" i="9"/>
  <c r="BA178" i="9"/>
  <c r="BA179" i="9"/>
  <c r="BA180" i="9"/>
  <c r="BA181" i="9"/>
  <c r="BA182" i="9"/>
  <c r="BA183" i="9"/>
  <c r="BA184" i="9"/>
  <c r="BA226" i="9"/>
  <c r="BA227" i="9"/>
  <c r="BA228" i="9"/>
  <c r="BA229" i="9"/>
  <c r="BA230" i="9"/>
  <c r="BA231" i="9"/>
  <c r="BA232" i="9"/>
  <c r="BA233" i="9"/>
  <c r="BA234" i="9"/>
  <c r="BA235" i="9"/>
  <c r="BA236" i="9"/>
  <c r="BA237" i="9"/>
  <c r="BA238" i="9"/>
  <c r="BA239" i="9"/>
  <c r="BA240" i="9"/>
  <c r="BA241" i="9"/>
  <c r="BA242" i="9"/>
  <c r="BA243" i="9"/>
  <c r="BA244" i="9"/>
  <c r="BA246" i="9"/>
  <c r="BA247" i="9"/>
  <c r="BA248" i="9"/>
  <c r="BA249" i="9"/>
  <c r="BA250" i="9"/>
  <c r="BA251" i="9"/>
  <c r="BA252" i="9"/>
  <c r="BA253" i="9"/>
  <c r="BA254" i="9"/>
  <c r="BA255" i="9"/>
  <c r="BA256" i="9"/>
  <c r="BA257" i="9"/>
  <c r="BA258" i="9"/>
  <c r="BA259" i="9"/>
  <c r="BA260" i="9"/>
  <c r="BA261" i="9"/>
  <c r="BA262" i="9"/>
  <c r="BA263" i="9"/>
  <c r="BA264" i="9"/>
  <c r="BA266" i="9"/>
  <c r="BA267" i="9"/>
  <c r="BA268" i="9"/>
  <c r="BA269" i="9"/>
  <c r="BA270" i="9"/>
  <c r="BA271" i="9"/>
  <c r="BA272" i="9"/>
  <c r="BA273" i="9"/>
  <c r="BA274" i="9"/>
  <c r="BA275" i="9"/>
  <c r="BA276" i="9"/>
  <c r="BA277" i="9"/>
  <c r="BA278" i="9"/>
  <c r="BA279" i="9"/>
  <c r="BA280" i="9"/>
  <c r="BA281" i="9"/>
  <c r="BA282" i="9"/>
  <c r="BA283" i="9"/>
  <c r="BA284" i="9"/>
  <c r="BA306" i="9"/>
  <c r="BA307" i="9"/>
  <c r="BA308" i="9"/>
  <c r="BA309" i="9"/>
  <c r="BA310" i="9"/>
  <c r="BA311" i="9"/>
  <c r="BA312" i="9"/>
  <c r="BA313" i="9"/>
  <c r="BA314" i="9"/>
  <c r="BA315" i="9"/>
  <c r="BA316" i="9"/>
  <c r="BA317" i="9"/>
  <c r="BA318" i="9"/>
  <c r="BA319" i="9"/>
  <c r="BA320" i="9"/>
  <c r="BA321" i="9"/>
  <c r="BA322" i="9"/>
  <c r="BA323" i="9"/>
  <c r="BA324" i="9"/>
  <c r="BA326" i="9"/>
  <c r="BA327" i="9"/>
  <c r="BA328" i="9"/>
  <c r="BA329" i="9"/>
  <c r="BA330" i="9"/>
  <c r="BA331" i="9"/>
  <c r="BA332" i="9"/>
  <c r="BA333" i="9"/>
  <c r="BA334" i="9"/>
  <c r="BA335" i="9"/>
  <c r="BA336" i="9"/>
  <c r="BA337" i="9"/>
  <c r="BA338" i="9"/>
  <c r="BA339" i="9"/>
  <c r="BA340" i="9"/>
  <c r="BA341" i="9"/>
  <c r="BA342" i="9"/>
  <c r="BA343" i="9"/>
  <c r="BA344" i="9"/>
  <c r="BA346" i="9"/>
  <c r="BA347" i="9"/>
  <c r="BA348" i="9"/>
  <c r="BA349" i="9"/>
  <c r="BA350" i="9"/>
  <c r="BA351" i="9"/>
  <c r="BA352" i="9"/>
  <c r="BA353" i="9"/>
  <c r="BA354" i="9"/>
  <c r="BA355" i="9"/>
  <c r="BA356" i="9"/>
  <c r="BA357" i="9"/>
  <c r="BA358" i="9"/>
  <c r="BA359" i="9"/>
  <c r="BA360" i="9"/>
  <c r="BA361" i="9"/>
  <c r="BA362" i="9"/>
  <c r="BA363" i="9"/>
  <c r="BA364" i="9"/>
  <c r="BA366" i="9"/>
  <c r="BA367" i="9"/>
  <c r="BA368" i="9"/>
  <c r="BA369" i="9"/>
  <c r="BA370" i="9"/>
  <c r="BA371" i="9"/>
  <c r="BA372" i="9"/>
  <c r="BA373" i="9"/>
  <c r="BA374" i="9"/>
  <c r="BA375" i="9"/>
  <c r="BA376" i="9"/>
  <c r="BA377" i="9"/>
  <c r="BA378" i="9"/>
  <c r="BA379" i="9"/>
  <c r="BA380" i="9"/>
  <c r="BA381" i="9"/>
  <c r="BA382" i="9"/>
  <c r="BA383" i="9"/>
  <c r="BA384" i="9"/>
  <c r="BA386" i="9"/>
  <c r="BA387" i="9"/>
  <c r="BA388" i="9"/>
  <c r="BA389" i="9"/>
  <c r="BA390" i="9"/>
  <c r="BA391" i="9"/>
  <c r="BA392" i="9"/>
  <c r="BA393" i="9"/>
  <c r="BA394" i="9"/>
  <c r="BA395" i="9"/>
  <c r="BA396" i="9"/>
  <c r="BA397" i="9"/>
  <c r="BA398" i="9"/>
  <c r="BA399" i="9"/>
  <c r="BA400" i="9"/>
  <c r="BA401" i="9"/>
  <c r="BA402" i="9"/>
  <c r="BA403" i="9"/>
  <c r="BA404" i="9"/>
  <c r="BA406" i="9"/>
  <c r="BA407" i="9"/>
  <c r="BA408" i="9"/>
  <c r="BA409" i="9"/>
  <c r="BA410" i="9"/>
  <c r="BA411" i="9"/>
  <c r="BA412" i="9"/>
  <c r="BA413" i="9"/>
  <c r="BA414" i="9"/>
  <c r="BA415" i="9"/>
  <c r="BA416" i="9"/>
  <c r="BA417" i="9"/>
  <c r="BA418" i="9"/>
  <c r="BA419" i="9"/>
  <c r="BA420" i="9"/>
  <c r="BA421" i="9"/>
  <c r="BA422" i="9"/>
  <c r="BA423" i="9"/>
  <c r="BA424" i="9"/>
  <c r="BA426" i="9"/>
  <c r="BA427" i="9"/>
  <c r="BA428" i="9"/>
  <c r="BA429" i="9"/>
  <c r="BA430" i="9"/>
  <c r="BA431" i="9"/>
  <c r="BA432" i="9"/>
  <c r="BA433" i="9"/>
  <c r="BA434" i="9"/>
  <c r="BA435" i="9"/>
  <c r="BA436" i="9"/>
  <c r="BA437" i="9"/>
  <c r="BA438" i="9"/>
  <c r="BA439" i="9"/>
  <c r="BA440" i="9"/>
  <c r="BA441" i="9"/>
  <c r="BA442" i="9"/>
  <c r="BA443" i="9"/>
  <c r="BA444" i="9"/>
  <c r="BA446" i="9"/>
  <c r="BA447" i="9"/>
  <c r="BA448" i="9"/>
  <c r="BA449" i="9"/>
  <c r="BA450" i="9"/>
  <c r="BA451" i="9"/>
  <c r="BA452" i="9"/>
  <c r="BA453" i="9"/>
  <c r="BA454" i="9"/>
  <c r="BA455" i="9"/>
  <c r="BA456" i="9"/>
  <c r="BA457" i="9"/>
  <c r="BA458" i="9"/>
  <c r="BA459" i="9"/>
  <c r="BA460" i="9"/>
  <c r="BA461" i="9"/>
  <c r="BA462" i="9"/>
  <c r="BA463" i="9"/>
  <c r="BA464" i="9"/>
  <c r="BA466" i="9"/>
  <c r="BA467" i="9"/>
  <c r="BA468" i="9"/>
  <c r="BA469" i="9"/>
  <c r="BA470" i="9"/>
  <c r="BA471" i="9"/>
  <c r="BA472" i="9"/>
  <c r="BA473" i="9"/>
  <c r="BA474" i="9"/>
  <c r="BA475" i="9"/>
  <c r="BA476" i="9"/>
  <c r="BA477" i="9"/>
  <c r="BA478" i="9"/>
  <c r="BA479" i="9"/>
  <c r="BA480" i="9"/>
  <c r="BA481" i="9"/>
  <c r="BA482" i="9"/>
  <c r="BA483" i="9"/>
  <c r="BA484" i="9"/>
  <c r="BA486" i="9"/>
  <c r="BA487" i="9"/>
  <c r="BA488" i="9"/>
  <c r="BA489" i="9"/>
  <c r="BA490" i="9"/>
  <c r="BA491" i="9"/>
  <c r="BA492" i="9"/>
  <c r="BA493" i="9"/>
  <c r="BA494" i="9"/>
  <c r="BA495" i="9"/>
  <c r="BA496" i="9"/>
  <c r="BA497" i="9"/>
  <c r="BA498" i="9"/>
  <c r="BA499" i="9"/>
  <c r="BA500" i="9"/>
  <c r="BA501" i="9"/>
  <c r="BA502" i="9"/>
  <c r="BA503" i="9"/>
  <c r="BA504" i="9"/>
  <c r="F8" i="30"/>
  <c r="A8" i="30"/>
  <c r="AV245" i="9"/>
  <c r="AV246" i="9"/>
  <c r="AV247" i="9"/>
  <c r="AV248" i="9"/>
  <c r="AV249" i="9"/>
  <c r="AV250" i="9"/>
  <c r="AV251" i="9"/>
  <c r="AV252" i="9"/>
  <c r="AV253" i="9"/>
  <c r="AV254" i="9"/>
  <c r="AV255" i="9"/>
  <c r="AV256" i="9"/>
  <c r="AV257" i="9"/>
  <c r="AV258" i="9"/>
  <c r="AV259" i="9"/>
  <c r="AV260" i="9"/>
  <c r="AV261" i="9"/>
  <c r="AV262" i="9"/>
  <c r="AV263" i="9"/>
  <c r="AV264" i="9"/>
  <c r="AV305" i="9"/>
  <c r="AV306" i="9"/>
  <c r="AV307" i="9"/>
  <c r="AV308" i="9"/>
  <c r="AV309" i="9"/>
  <c r="AV310" i="9"/>
  <c r="AV311" i="9"/>
  <c r="AV312" i="9"/>
  <c r="AV313" i="9"/>
  <c r="AV314" i="9"/>
  <c r="AV315" i="9"/>
  <c r="AV316" i="9"/>
  <c r="AV317" i="9"/>
  <c r="AV318" i="9"/>
  <c r="AV319" i="9"/>
  <c r="AV320" i="9"/>
  <c r="AV321" i="9"/>
  <c r="AV322" i="9"/>
  <c r="AV323" i="9"/>
  <c r="AV324" i="9"/>
  <c r="AV425" i="9"/>
  <c r="AV426" i="9"/>
  <c r="AV427" i="9"/>
  <c r="AV428" i="9"/>
  <c r="AV429" i="9"/>
  <c r="AV430" i="9"/>
  <c r="AV431" i="9"/>
  <c r="AV432" i="9"/>
  <c r="AV433" i="9"/>
  <c r="AV434" i="9"/>
  <c r="AV435" i="9"/>
  <c r="AV436" i="9"/>
  <c r="AV437" i="9"/>
  <c r="AV438" i="9"/>
  <c r="AV439" i="9"/>
  <c r="AV440" i="9"/>
  <c r="AV441" i="9"/>
  <c r="AV442" i="9"/>
  <c r="AV443" i="9"/>
  <c r="AV444" i="9"/>
  <c r="AV465" i="9"/>
  <c r="AV466" i="9"/>
  <c r="AV467" i="9"/>
  <c r="AV468" i="9"/>
  <c r="AV469" i="9"/>
  <c r="AV470" i="9"/>
  <c r="AV471" i="9"/>
  <c r="AV472" i="9"/>
  <c r="AV473" i="9"/>
  <c r="AV474" i="9"/>
  <c r="AV475" i="9"/>
  <c r="AV476" i="9"/>
  <c r="AV477" i="9"/>
  <c r="AV478" i="9"/>
  <c r="AV479" i="9"/>
  <c r="AV480" i="9"/>
  <c r="AV481" i="9"/>
  <c r="AV482" i="9"/>
  <c r="AV483" i="9"/>
  <c r="AV484" i="9"/>
  <c r="AV485" i="9"/>
  <c r="AV486" i="9"/>
  <c r="AV487" i="9"/>
  <c r="AV488" i="9"/>
  <c r="AV489" i="9"/>
  <c r="AV490" i="9"/>
  <c r="AV491" i="9"/>
  <c r="AV492" i="9"/>
  <c r="AV493" i="9"/>
  <c r="AV494" i="9"/>
  <c r="AV495" i="9"/>
  <c r="AV496" i="9"/>
  <c r="AV497" i="9"/>
  <c r="AV498" i="9"/>
  <c r="AV499" i="9"/>
  <c r="AV500" i="9"/>
  <c r="AV501" i="9"/>
  <c r="AV502" i="9"/>
  <c r="AV503" i="9"/>
  <c r="AV504" i="9"/>
  <c r="BM84" i="9"/>
  <c r="AK84" i="9"/>
  <c r="AI84" i="9"/>
  <c r="F84" i="9"/>
  <c r="C84" i="9"/>
  <c r="BM83" i="9"/>
  <c r="AK83" i="9"/>
  <c r="AI83" i="9"/>
  <c r="F83" i="9"/>
  <c r="C83" i="9"/>
  <c r="A83" i="9"/>
  <c r="BM82" i="9"/>
  <c r="AO82" i="9"/>
  <c r="AK82" i="9"/>
  <c r="AI82" i="9"/>
  <c r="F82" i="9"/>
  <c r="C82" i="9"/>
  <c r="BM81" i="9"/>
  <c r="AO81" i="9"/>
  <c r="AK81" i="9"/>
  <c r="AI81" i="9"/>
  <c r="F81" i="9"/>
  <c r="C81" i="9"/>
  <c r="BM80" i="9"/>
  <c r="AO80" i="9"/>
  <c r="AK80" i="9"/>
  <c r="AI80" i="9"/>
  <c r="F80" i="9"/>
  <c r="C80" i="9"/>
  <c r="A80" i="9"/>
  <c r="BM79" i="9"/>
  <c r="AO79" i="9"/>
  <c r="AK79" i="9"/>
  <c r="AI79" i="9"/>
  <c r="F79" i="9"/>
  <c r="C79" i="9"/>
  <c r="BM78" i="9"/>
  <c r="AO78" i="9"/>
  <c r="AK78" i="9"/>
  <c r="AI78" i="9"/>
  <c r="F78" i="9"/>
  <c r="C78" i="9"/>
  <c r="BM77" i="9"/>
  <c r="AK77" i="9"/>
  <c r="AI77" i="9"/>
  <c r="F77" i="9"/>
  <c r="C77" i="9"/>
  <c r="BM76" i="9"/>
  <c r="AK76" i="9"/>
  <c r="AI76" i="9"/>
  <c r="F76" i="9"/>
  <c r="C76" i="9"/>
  <c r="BM75" i="9"/>
  <c r="AO75" i="9"/>
  <c r="AK75" i="9"/>
  <c r="AI75" i="9"/>
  <c r="F75" i="9"/>
  <c r="A75" i="9"/>
  <c r="C75" i="9"/>
  <c r="BM74" i="9"/>
  <c r="AK74" i="9"/>
  <c r="AI74" i="9"/>
  <c r="F74" i="9"/>
  <c r="C74" i="9"/>
  <c r="A74" i="9"/>
  <c r="BM73" i="9"/>
  <c r="AO73" i="9"/>
  <c r="AK73" i="9"/>
  <c r="AI73" i="9"/>
  <c r="F73" i="9"/>
  <c r="C73" i="9"/>
  <c r="BM72" i="9"/>
  <c r="AK72" i="9"/>
  <c r="AI72" i="9"/>
  <c r="F72" i="9"/>
  <c r="C72" i="9"/>
  <c r="BM71" i="9"/>
  <c r="AK71" i="9"/>
  <c r="AI71" i="9"/>
  <c r="F71" i="9"/>
  <c r="C71" i="9"/>
  <c r="BM70" i="9"/>
  <c r="AO70" i="9"/>
  <c r="AK70" i="9"/>
  <c r="AI70" i="9"/>
  <c r="F70" i="9"/>
  <c r="C70" i="9"/>
  <c r="A70" i="9"/>
  <c r="BM69" i="9"/>
  <c r="AO69" i="9"/>
  <c r="AK69" i="9"/>
  <c r="AI69" i="9"/>
  <c r="F69" i="9"/>
  <c r="C69" i="9"/>
  <c r="BM68" i="9"/>
  <c r="AO68" i="9"/>
  <c r="AK68" i="9"/>
  <c r="AI68" i="9"/>
  <c r="F68" i="9"/>
  <c r="C68" i="9"/>
  <c r="BM67" i="9"/>
  <c r="AK67" i="9"/>
  <c r="AI67" i="9"/>
  <c r="F67" i="9"/>
  <c r="C67" i="9"/>
  <c r="BM66" i="9"/>
  <c r="AO66" i="9"/>
  <c r="AK66" i="9"/>
  <c r="AI66" i="9"/>
  <c r="F66" i="9"/>
  <c r="C66" i="9"/>
  <c r="BM65" i="9"/>
  <c r="AO65" i="9"/>
  <c r="AK65" i="9"/>
  <c r="AI65" i="9"/>
  <c r="F65" i="9"/>
  <c r="A65" i="9"/>
  <c r="C65" i="9"/>
  <c r="AK25" i="9"/>
  <c r="AK26" i="9"/>
  <c r="AK27" i="9"/>
  <c r="AK28" i="9"/>
  <c r="AK29" i="9"/>
  <c r="AK30" i="9"/>
  <c r="AK31" i="9"/>
  <c r="AK32" i="9"/>
  <c r="AK33" i="9"/>
  <c r="AK34" i="9"/>
  <c r="AK35" i="9"/>
  <c r="AK36" i="9"/>
  <c r="AK37" i="9"/>
  <c r="AK38" i="9"/>
  <c r="AK39" i="9"/>
  <c r="AK40" i="9"/>
  <c r="AK41" i="9"/>
  <c r="AK42" i="9"/>
  <c r="AK43" i="9"/>
  <c r="AK44" i="9"/>
  <c r="AK45" i="9"/>
  <c r="AK46" i="9"/>
  <c r="AK47" i="9"/>
  <c r="AK48" i="9"/>
  <c r="AK49" i="9"/>
  <c r="AK50" i="9"/>
  <c r="AK51" i="9"/>
  <c r="AK52" i="9"/>
  <c r="AK53" i="9"/>
  <c r="AK54" i="9"/>
  <c r="AK55" i="9"/>
  <c r="AK56" i="9"/>
  <c r="AK57" i="9"/>
  <c r="AK58" i="9"/>
  <c r="AK59" i="9"/>
  <c r="AK60" i="9"/>
  <c r="AK61" i="9"/>
  <c r="AK62" i="9"/>
  <c r="AK63" i="9"/>
  <c r="AK64" i="9"/>
  <c r="AK85" i="9"/>
  <c r="AK86" i="9"/>
  <c r="AK87" i="9"/>
  <c r="AK88" i="9"/>
  <c r="AK89" i="9"/>
  <c r="AK90" i="9"/>
  <c r="AK91" i="9"/>
  <c r="AK92" i="9"/>
  <c r="AK93" i="9"/>
  <c r="AK94" i="9"/>
  <c r="AK95" i="9"/>
  <c r="AK96" i="9"/>
  <c r="AK97" i="9"/>
  <c r="AK98" i="9"/>
  <c r="AK99" i="9"/>
  <c r="AK100" i="9"/>
  <c r="AK101" i="9"/>
  <c r="AK102" i="9"/>
  <c r="AK103" i="9"/>
  <c r="AK104" i="9"/>
  <c r="AK105" i="9"/>
  <c r="AK106" i="9"/>
  <c r="AK107" i="9"/>
  <c r="AK108" i="9"/>
  <c r="AK109" i="9"/>
  <c r="AK110" i="9"/>
  <c r="AK111" i="9"/>
  <c r="AK112" i="9"/>
  <c r="AK113" i="9"/>
  <c r="AK114" i="9"/>
  <c r="AK115" i="9"/>
  <c r="AK116" i="9"/>
  <c r="AK117" i="9"/>
  <c r="AK118" i="9"/>
  <c r="AK119" i="9"/>
  <c r="AK120" i="9"/>
  <c r="AK121" i="9"/>
  <c r="AK122" i="9"/>
  <c r="AK123" i="9"/>
  <c r="AK124" i="9"/>
  <c r="AK125" i="9"/>
  <c r="AK126" i="9"/>
  <c r="AK127" i="9"/>
  <c r="AK128" i="9"/>
  <c r="AK129" i="9"/>
  <c r="AK130" i="9"/>
  <c r="AK131" i="9"/>
  <c r="AK132" i="9"/>
  <c r="AK133" i="9"/>
  <c r="AK134" i="9"/>
  <c r="AK135" i="9"/>
  <c r="AK136" i="9"/>
  <c r="AK137" i="9"/>
  <c r="AK138" i="9"/>
  <c r="AK139" i="9"/>
  <c r="AK140" i="9"/>
  <c r="AK141" i="9"/>
  <c r="AK142" i="9"/>
  <c r="AK143" i="9"/>
  <c r="AK144" i="9"/>
  <c r="AK145" i="9"/>
  <c r="AK146" i="9"/>
  <c r="AK147" i="9"/>
  <c r="AK148" i="9"/>
  <c r="AK149" i="9"/>
  <c r="AK150" i="9"/>
  <c r="AK151" i="9"/>
  <c r="AK152" i="9"/>
  <c r="AK153" i="9"/>
  <c r="AK154" i="9"/>
  <c r="AK155" i="9"/>
  <c r="AK156" i="9"/>
  <c r="AK157" i="9"/>
  <c r="AK158" i="9"/>
  <c r="AK159" i="9"/>
  <c r="AK160" i="9"/>
  <c r="AK161" i="9"/>
  <c r="AK162" i="9"/>
  <c r="AK163" i="9"/>
  <c r="AK164" i="9"/>
  <c r="AK165" i="9"/>
  <c r="AK166" i="9"/>
  <c r="AK167" i="9"/>
  <c r="AK168" i="9"/>
  <c r="AK169" i="9"/>
  <c r="AK170" i="9"/>
  <c r="AK171" i="9"/>
  <c r="AK172" i="9"/>
  <c r="AK173" i="9"/>
  <c r="AK174" i="9"/>
  <c r="AK175" i="9"/>
  <c r="AK176" i="9"/>
  <c r="AK177" i="9"/>
  <c r="AK178" i="9"/>
  <c r="AK179" i="9"/>
  <c r="AK180" i="9"/>
  <c r="AK181" i="9"/>
  <c r="AK182" i="9"/>
  <c r="AK183" i="9"/>
  <c r="AK184" i="9"/>
  <c r="AK225" i="9"/>
  <c r="AK226" i="9"/>
  <c r="AK227" i="9"/>
  <c r="AK228" i="9"/>
  <c r="AK229" i="9"/>
  <c r="AK230" i="9"/>
  <c r="AK231" i="9"/>
  <c r="AK232" i="9"/>
  <c r="AK233" i="9"/>
  <c r="AK234" i="9"/>
  <c r="AK235" i="9"/>
  <c r="AK236" i="9"/>
  <c r="AK237" i="9"/>
  <c r="AK238" i="9"/>
  <c r="AK239" i="9"/>
  <c r="AK240" i="9"/>
  <c r="AK241" i="9"/>
  <c r="AK242" i="9"/>
  <c r="AK243" i="9"/>
  <c r="AK244" i="9"/>
  <c r="AK245" i="9"/>
  <c r="AK246" i="9"/>
  <c r="AK247" i="9"/>
  <c r="AK248" i="9"/>
  <c r="AK249" i="9"/>
  <c r="AK250" i="9"/>
  <c r="AK251" i="9"/>
  <c r="AK252" i="9"/>
  <c r="AK253" i="9"/>
  <c r="AK254" i="9"/>
  <c r="AK255" i="9"/>
  <c r="AK256" i="9"/>
  <c r="AK257" i="9"/>
  <c r="AK258" i="9"/>
  <c r="AK259" i="9"/>
  <c r="AK260" i="9"/>
  <c r="AK261" i="9"/>
  <c r="AK262" i="9"/>
  <c r="AK263" i="9"/>
  <c r="AK264" i="9"/>
  <c r="AK265" i="9"/>
  <c r="AK266" i="9"/>
  <c r="AK267" i="9"/>
  <c r="AK268" i="9"/>
  <c r="AK269" i="9"/>
  <c r="AK270" i="9"/>
  <c r="AK271" i="9"/>
  <c r="AK272" i="9"/>
  <c r="AK273" i="9"/>
  <c r="AK274" i="9"/>
  <c r="AK275" i="9"/>
  <c r="AK276" i="9"/>
  <c r="AK277" i="9"/>
  <c r="AK278" i="9"/>
  <c r="AK279" i="9"/>
  <c r="AK280" i="9"/>
  <c r="AK281" i="9"/>
  <c r="AK282" i="9"/>
  <c r="AK283" i="9"/>
  <c r="AK284" i="9"/>
  <c r="AK305" i="9"/>
  <c r="AK306" i="9"/>
  <c r="AK307" i="9"/>
  <c r="AK308" i="9"/>
  <c r="AK309" i="9"/>
  <c r="AK310" i="9"/>
  <c r="AK311" i="9"/>
  <c r="AK312" i="9"/>
  <c r="AK313" i="9"/>
  <c r="AK314" i="9"/>
  <c r="AK315" i="9"/>
  <c r="AK316" i="9"/>
  <c r="AK317" i="9"/>
  <c r="AK318" i="9"/>
  <c r="AK319" i="9"/>
  <c r="AK320" i="9"/>
  <c r="AK321" i="9"/>
  <c r="AK322" i="9"/>
  <c r="AK323" i="9"/>
  <c r="AK324" i="9"/>
  <c r="AK325" i="9"/>
  <c r="AK326" i="9"/>
  <c r="AK327" i="9"/>
  <c r="AK328" i="9"/>
  <c r="AK329" i="9"/>
  <c r="AK330" i="9"/>
  <c r="AK331" i="9"/>
  <c r="AK332" i="9"/>
  <c r="AK333" i="9"/>
  <c r="AK334" i="9"/>
  <c r="AK335" i="9"/>
  <c r="AK336" i="9"/>
  <c r="AK337" i="9"/>
  <c r="AK338" i="9"/>
  <c r="AK339" i="9"/>
  <c r="AK340" i="9"/>
  <c r="AK341" i="9"/>
  <c r="AK342" i="9"/>
  <c r="AK343" i="9"/>
  <c r="AK344" i="9"/>
  <c r="AK345" i="9"/>
  <c r="AK346" i="9"/>
  <c r="AK347" i="9"/>
  <c r="AK348" i="9"/>
  <c r="AK349" i="9"/>
  <c r="AK350" i="9"/>
  <c r="AK351" i="9"/>
  <c r="AK352" i="9"/>
  <c r="AK353" i="9"/>
  <c r="AK354" i="9"/>
  <c r="AK355" i="9"/>
  <c r="AK356" i="9"/>
  <c r="AK357" i="9"/>
  <c r="AK358" i="9"/>
  <c r="AK359" i="9"/>
  <c r="AK360" i="9"/>
  <c r="AK361" i="9"/>
  <c r="AK362" i="9"/>
  <c r="AK363" i="9"/>
  <c r="AK364" i="9"/>
  <c r="AK365" i="9"/>
  <c r="AK366" i="9"/>
  <c r="AK367" i="9"/>
  <c r="AK368" i="9"/>
  <c r="AK369" i="9"/>
  <c r="AK370" i="9"/>
  <c r="AK371" i="9"/>
  <c r="AK372" i="9"/>
  <c r="AK373" i="9"/>
  <c r="AK374" i="9"/>
  <c r="AK375" i="9"/>
  <c r="AK376" i="9"/>
  <c r="AK377" i="9"/>
  <c r="AK378" i="9"/>
  <c r="AK379" i="9"/>
  <c r="AK380" i="9"/>
  <c r="AK381" i="9"/>
  <c r="AK382" i="9"/>
  <c r="AK383" i="9"/>
  <c r="AK384" i="9"/>
  <c r="AK385" i="9"/>
  <c r="AK386" i="9"/>
  <c r="AK387" i="9"/>
  <c r="AK388" i="9"/>
  <c r="AK389" i="9"/>
  <c r="AK390" i="9"/>
  <c r="AK391" i="9"/>
  <c r="AK392" i="9"/>
  <c r="AK393" i="9"/>
  <c r="AK394" i="9"/>
  <c r="AK395" i="9"/>
  <c r="AK396" i="9"/>
  <c r="AK397" i="9"/>
  <c r="AK398" i="9"/>
  <c r="AK399" i="9"/>
  <c r="AK400" i="9"/>
  <c r="AK401" i="9"/>
  <c r="AK402" i="9"/>
  <c r="AK403" i="9"/>
  <c r="AK404" i="9"/>
  <c r="AK405" i="9"/>
  <c r="AK406" i="9"/>
  <c r="AK407" i="9"/>
  <c r="AK408" i="9"/>
  <c r="AK409" i="9"/>
  <c r="AK410" i="9"/>
  <c r="AK411" i="9"/>
  <c r="AK412" i="9"/>
  <c r="AK413" i="9"/>
  <c r="AK414" i="9"/>
  <c r="AK415" i="9"/>
  <c r="AK416" i="9"/>
  <c r="AK417" i="9"/>
  <c r="AK418" i="9"/>
  <c r="AK419" i="9"/>
  <c r="AK420" i="9"/>
  <c r="AK421" i="9"/>
  <c r="AK422" i="9"/>
  <c r="AK423" i="9"/>
  <c r="AK424" i="9"/>
  <c r="AK425" i="9"/>
  <c r="AK426" i="9"/>
  <c r="AK427" i="9"/>
  <c r="AK428" i="9"/>
  <c r="AK429" i="9"/>
  <c r="AK430" i="9"/>
  <c r="AK431" i="9"/>
  <c r="AK432" i="9"/>
  <c r="AK433" i="9"/>
  <c r="AK434" i="9"/>
  <c r="AK435" i="9"/>
  <c r="AK436" i="9"/>
  <c r="AK437" i="9"/>
  <c r="AK438" i="9"/>
  <c r="AK439" i="9"/>
  <c r="AK440" i="9"/>
  <c r="AK441" i="9"/>
  <c r="AK442" i="9"/>
  <c r="AK443" i="9"/>
  <c r="AK444" i="9"/>
  <c r="AK445" i="9"/>
  <c r="AK446" i="9"/>
  <c r="AK447" i="9"/>
  <c r="AK448" i="9"/>
  <c r="AK449" i="9"/>
  <c r="AK450" i="9"/>
  <c r="AK451" i="9"/>
  <c r="AK452" i="9"/>
  <c r="AK453" i="9"/>
  <c r="AK454" i="9"/>
  <c r="AK455" i="9"/>
  <c r="AK456" i="9"/>
  <c r="AK457" i="9"/>
  <c r="AK458" i="9"/>
  <c r="AK459" i="9"/>
  <c r="AK460" i="9"/>
  <c r="AK461" i="9"/>
  <c r="AK462" i="9"/>
  <c r="AK463" i="9"/>
  <c r="AK464" i="9"/>
  <c r="AK465" i="9"/>
  <c r="AK466" i="9"/>
  <c r="AK467" i="9"/>
  <c r="AK468" i="9"/>
  <c r="AK469" i="9"/>
  <c r="AK470" i="9"/>
  <c r="AK471" i="9"/>
  <c r="AK472" i="9"/>
  <c r="AK473" i="9"/>
  <c r="AK474" i="9"/>
  <c r="AK475" i="9"/>
  <c r="AK476" i="9"/>
  <c r="AK477" i="9"/>
  <c r="AK478" i="9"/>
  <c r="AK479" i="9"/>
  <c r="AK480" i="9"/>
  <c r="AK481" i="9"/>
  <c r="AK482" i="9"/>
  <c r="AK483" i="9"/>
  <c r="AK484" i="9"/>
  <c r="AK485" i="9"/>
  <c r="AK486" i="9"/>
  <c r="AK487" i="9"/>
  <c r="AK488" i="9"/>
  <c r="AK489" i="9"/>
  <c r="AK490" i="9"/>
  <c r="AK491" i="9"/>
  <c r="AK492" i="9"/>
  <c r="AK493" i="9"/>
  <c r="AK494" i="9"/>
  <c r="AK495" i="9"/>
  <c r="AK496" i="9"/>
  <c r="AK497" i="9"/>
  <c r="AK498" i="9"/>
  <c r="AK499" i="9"/>
  <c r="AK500" i="9"/>
  <c r="AK501" i="9"/>
  <c r="AK502" i="9"/>
  <c r="AK503" i="9"/>
  <c r="AK504" i="9"/>
  <c r="AK6" i="9"/>
  <c r="AK7" i="9"/>
  <c r="AK8" i="9"/>
  <c r="AK9" i="9"/>
  <c r="AK10" i="9"/>
  <c r="AK11" i="9"/>
  <c r="AK12" i="9"/>
  <c r="AK13" i="9"/>
  <c r="AK14" i="9"/>
  <c r="AK15" i="9"/>
  <c r="AK16" i="9"/>
  <c r="AK17" i="9"/>
  <c r="AK18" i="9"/>
  <c r="AK19" i="9"/>
  <c r="AK20" i="9"/>
  <c r="AK21" i="9"/>
  <c r="AK22" i="9"/>
  <c r="AK23" i="9"/>
  <c r="AK24" i="9"/>
  <c r="AK5" i="9"/>
  <c r="W74" i="9"/>
  <c r="W82" i="9"/>
  <c r="W83" i="9"/>
  <c r="W70" i="9"/>
  <c r="A77" i="9"/>
  <c r="AO72" i="9"/>
  <c r="A68" i="9"/>
  <c r="A76" i="9"/>
  <c r="A84" i="9"/>
  <c r="AO77" i="9"/>
  <c r="A79" i="9"/>
  <c r="AO71" i="9"/>
  <c r="AO84" i="9"/>
  <c r="A71" i="9"/>
  <c r="AO76" i="9"/>
  <c r="A78" i="9"/>
  <c r="A82" i="9"/>
  <c r="AO74" i="9"/>
  <c r="AO83" i="9"/>
  <c r="AO67" i="9"/>
  <c r="A69" i="9"/>
  <c r="A66" i="9"/>
  <c r="A72" i="9"/>
  <c r="A67" i="9"/>
  <c r="AV374" i="9"/>
  <c r="AV382" i="9"/>
  <c r="AV36" i="9"/>
  <c r="AV49" i="9"/>
  <c r="AV373" i="9"/>
  <c r="AV43" i="9"/>
  <c r="AV51" i="9"/>
  <c r="AV25" i="9"/>
  <c r="AV46" i="9"/>
  <c r="AV62" i="9"/>
  <c r="AV55" i="9"/>
  <c r="AV379" i="9"/>
  <c r="BF254" i="9"/>
  <c r="AV34" i="9"/>
  <c r="AV26" i="9"/>
  <c r="A73" i="9"/>
  <c r="A81" i="9"/>
  <c r="F6" i="30"/>
  <c r="F7" i="30"/>
  <c r="A7" i="30"/>
  <c r="F9" i="30"/>
  <c r="F10" i="30"/>
  <c r="A10" i="30"/>
  <c r="F11" i="30"/>
  <c r="A11" i="30"/>
  <c r="AV418" i="9"/>
  <c r="F12" i="30"/>
  <c r="A12" i="30"/>
  <c r="F13" i="30"/>
  <c r="A13" i="30"/>
  <c r="F14" i="30"/>
  <c r="A14" i="30"/>
  <c r="AV177" i="9"/>
  <c r="F16" i="30"/>
  <c r="A16" i="30"/>
  <c r="BA285" i="9"/>
  <c r="F17" i="30"/>
  <c r="A17" i="30"/>
  <c r="F18" i="30"/>
  <c r="A18" i="30"/>
  <c r="F19" i="30"/>
  <c r="A19" i="30"/>
  <c r="A38" i="30"/>
  <c r="A39" i="30"/>
  <c r="A41" i="30"/>
  <c r="A43" i="30"/>
  <c r="A54" i="30"/>
  <c r="A55" i="30"/>
  <c r="A58" i="30"/>
  <c r="W410" i="9"/>
  <c r="A59" i="30"/>
  <c r="F5" i="30"/>
  <c r="A40" i="30"/>
  <c r="AI504" i="9"/>
  <c r="AI503" i="9"/>
  <c r="AI502" i="9"/>
  <c r="AI501" i="9"/>
  <c r="AI500" i="9"/>
  <c r="AI499" i="9"/>
  <c r="AI498" i="9"/>
  <c r="AI497" i="9"/>
  <c r="AI496" i="9"/>
  <c r="AI495" i="9"/>
  <c r="AI494" i="9"/>
  <c r="AI493" i="9"/>
  <c r="AI492" i="9"/>
  <c r="AI491" i="9"/>
  <c r="AI490" i="9"/>
  <c r="AI489" i="9"/>
  <c r="AI488" i="9"/>
  <c r="AI487" i="9"/>
  <c r="AI486" i="9"/>
  <c r="AI485" i="9"/>
  <c r="AI484" i="9"/>
  <c r="AI483" i="9"/>
  <c r="AI482" i="9"/>
  <c r="AI481" i="9"/>
  <c r="AI480" i="9"/>
  <c r="AI479" i="9"/>
  <c r="AI478" i="9"/>
  <c r="AI477" i="9"/>
  <c r="AI476" i="9"/>
  <c r="AI475" i="9"/>
  <c r="AI474" i="9"/>
  <c r="AI473" i="9"/>
  <c r="AI472" i="9"/>
  <c r="AI471" i="9"/>
  <c r="AI470" i="9"/>
  <c r="AI469" i="9"/>
  <c r="AI468" i="9"/>
  <c r="AI467" i="9"/>
  <c r="AI466" i="9"/>
  <c r="AI465" i="9"/>
  <c r="AI464" i="9"/>
  <c r="AI463" i="9"/>
  <c r="AI462" i="9"/>
  <c r="AI461" i="9"/>
  <c r="AI460" i="9"/>
  <c r="AI459" i="9"/>
  <c r="AI458" i="9"/>
  <c r="AI457" i="9"/>
  <c r="AI456" i="9"/>
  <c r="AI455" i="9"/>
  <c r="AI454" i="9"/>
  <c r="AI453" i="9"/>
  <c r="AI452" i="9"/>
  <c r="AI451" i="9"/>
  <c r="AI450" i="9"/>
  <c r="AI449" i="9"/>
  <c r="AI448" i="9"/>
  <c r="AI447" i="9"/>
  <c r="AI446" i="9"/>
  <c r="AI445" i="9"/>
  <c r="AI444" i="9"/>
  <c r="AI443" i="9"/>
  <c r="AI442" i="9"/>
  <c r="AI441" i="9"/>
  <c r="AI440" i="9"/>
  <c r="AI439" i="9"/>
  <c r="AI438" i="9"/>
  <c r="AI437" i="9"/>
  <c r="AI436" i="9"/>
  <c r="AI435" i="9"/>
  <c r="AI434" i="9"/>
  <c r="AI433" i="9"/>
  <c r="AI432" i="9"/>
  <c r="AI431" i="9"/>
  <c r="AI430" i="9"/>
  <c r="AI429" i="9"/>
  <c r="AI428" i="9"/>
  <c r="AI427" i="9"/>
  <c r="AI426" i="9"/>
  <c r="AI425" i="9"/>
  <c r="AI424" i="9"/>
  <c r="AI423" i="9"/>
  <c r="AI422" i="9"/>
  <c r="AI421" i="9"/>
  <c r="AI420" i="9"/>
  <c r="AI419" i="9"/>
  <c r="AI418" i="9"/>
  <c r="AI417" i="9"/>
  <c r="AI416" i="9"/>
  <c r="AI415" i="9"/>
  <c r="AI414" i="9"/>
  <c r="AI413" i="9"/>
  <c r="AI412" i="9"/>
  <c r="AI411" i="9"/>
  <c r="AI410" i="9"/>
  <c r="AI409" i="9"/>
  <c r="AI408" i="9"/>
  <c r="AI407" i="9"/>
  <c r="AI406" i="9"/>
  <c r="AI405" i="9"/>
  <c r="AI404" i="9"/>
  <c r="AI403" i="9"/>
  <c r="AI402" i="9"/>
  <c r="AI401" i="9"/>
  <c r="AI400" i="9"/>
  <c r="AI399" i="9"/>
  <c r="AI398" i="9"/>
  <c r="AI397" i="9"/>
  <c r="AI396" i="9"/>
  <c r="AI395" i="9"/>
  <c r="AI394" i="9"/>
  <c r="AI393" i="9"/>
  <c r="AI392" i="9"/>
  <c r="AI391" i="9"/>
  <c r="AI390" i="9"/>
  <c r="AI389" i="9"/>
  <c r="AI388" i="9"/>
  <c r="AI387" i="9"/>
  <c r="AI386" i="9"/>
  <c r="AI385" i="9"/>
  <c r="AI384" i="9"/>
  <c r="AI383" i="9"/>
  <c r="AI382" i="9"/>
  <c r="AI381" i="9"/>
  <c r="AI380" i="9"/>
  <c r="AI379" i="9"/>
  <c r="AI378" i="9"/>
  <c r="AI377" i="9"/>
  <c r="AI376" i="9"/>
  <c r="AI375" i="9"/>
  <c r="AI374" i="9"/>
  <c r="AI373" i="9"/>
  <c r="AI372" i="9"/>
  <c r="AI371" i="9"/>
  <c r="AI370" i="9"/>
  <c r="AI369" i="9"/>
  <c r="AI368" i="9"/>
  <c r="AI367" i="9"/>
  <c r="AI366" i="9"/>
  <c r="AI365" i="9"/>
  <c r="AI364" i="9"/>
  <c r="AI363" i="9"/>
  <c r="AI362" i="9"/>
  <c r="AI361" i="9"/>
  <c r="AI360" i="9"/>
  <c r="AI359" i="9"/>
  <c r="AI358" i="9"/>
  <c r="AI357" i="9"/>
  <c r="AI356" i="9"/>
  <c r="AI355" i="9"/>
  <c r="AI354" i="9"/>
  <c r="AI353" i="9"/>
  <c r="AI352" i="9"/>
  <c r="AI351" i="9"/>
  <c r="AI350" i="9"/>
  <c r="AI349" i="9"/>
  <c r="AI348" i="9"/>
  <c r="AI347" i="9"/>
  <c r="AI346" i="9"/>
  <c r="AI345" i="9"/>
  <c r="AI344" i="9"/>
  <c r="AI343" i="9"/>
  <c r="AI342" i="9"/>
  <c r="AI341" i="9"/>
  <c r="AI340" i="9"/>
  <c r="AI339" i="9"/>
  <c r="AI338" i="9"/>
  <c r="AI337" i="9"/>
  <c r="AI336" i="9"/>
  <c r="AI335" i="9"/>
  <c r="AI334" i="9"/>
  <c r="AI333" i="9"/>
  <c r="AI332" i="9"/>
  <c r="AI331" i="9"/>
  <c r="AI330" i="9"/>
  <c r="AI329" i="9"/>
  <c r="AI328" i="9"/>
  <c r="AI327" i="9"/>
  <c r="AI326" i="9"/>
  <c r="AI325" i="9"/>
  <c r="AI324" i="9"/>
  <c r="AI323" i="9"/>
  <c r="AI322" i="9"/>
  <c r="AI321" i="9"/>
  <c r="AI320" i="9"/>
  <c r="AI319" i="9"/>
  <c r="AI318" i="9"/>
  <c r="AI317" i="9"/>
  <c r="AI316" i="9"/>
  <c r="AI315" i="9"/>
  <c r="AI314" i="9"/>
  <c r="AI313" i="9"/>
  <c r="AI312" i="9"/>
  <c r="AI311" i="9"/>
  <c r="AI310" i="9"/>
  <c r="AI309" i="9"/>
  <c r="AI308" i="9"/>
  <c r="AI307" i="9"/>
  <c r="AI306" i="9"/>
  <c r="AI305" i="9"/>
  <c r="AV460" i="9"/>
  <c r="AV142" i="9"/>
  <c r="AV463" i="9"/>
  <c r="AV144" i="9"/>
  <c r="AV461" i="9"/>
  <c r="AV141" i="9"/>
  <c r="AV462" i="9"/>
  <c r="AV143" i="9"/>
  <c r="AV464" i="9"/>
  <c r="AV458" i="9"/>
  <c r="AV459" i="9"/>
  <c r="AV180" i="9"/>
  <c r="AV175" i="9"/>
  <c r="AV176" i="9"/>
  <c r="AV169" i="9"/>
  <c r="AV170" i="9"/>
  <c r="AV178" i="9"/>
  <c r="AV171" i="9"/>
  <c r="AV172" i="9"/>
  <c r="AQ293" i="9"/>
  <c r="AQ287" i="9"/>
  <c r="AQ294" i="9"/>
  <c r="AQ285" i="9"/>
  <c r="AQ300" i="9"/>
  <c r="AV147" i="9"/>
  <c r="AV155" i="9"/>
  <c r="AV151" i="9"/>
  <c r="AV148" i="9"/>
  <c r="AV156" i="9"/>
  <c r="AV150" i="9"/>
  <c r="AV152" i="9"/>
  <c r="AV149" i="9"/>
  <c r="AV145" i="9"/>
  <c r="AV153" i="9"/>
  <c r="AV146" i="9"/>
  <c r="AV154" i="9"/>
  <c r="AV181" i="9"/>
  <c r="AQ304" i="9"/>
  <c r="AV163" i="9"/>
  <c r="AV164" i="9"/>
  <c r="AV159" i="9"/>
  <c r="AV157" i="9"/>
  <c r="AV158" i="9"/>
  <c r="AV160" i="9"/>
  <c r="AV161" i="9"/>
  <c r="AV162" i="9"/>
  <c r="AV445" i="9"/>
  <c r="AV131" i="9"/>
  <c r="AV139" i="9"/>
  <c r="AV452" i="9"/>
  <c r="AV127" i="9"/>
  <c r="AV448" i="9"/>
  <c r="AV449" i="9"/>
  <c r="AV132" i="9"/>
  <c r="AV140" i="9"/>
  <c r="AV453" i="9"/>
  <c r="AV126" i="9"/>
  <c r="AV447" i="9"/>
  <c r="AV135" i="9"/>
  <c r="AV456" i="9"/>
  <c r="AV125" i="9"/>
  <c r="AV133" i="9"/>
  <c r="AV446" i="9"/>
  <c r="AV454" i="9"/>
  <c r="AV134" i="9"/>
  <c r="AV455" i="9"/>
  <c r="AV128" i="9"/>
  <c r="AV129" i="9"/>
  <c r="AV137" i="9"/>
  <c r="AV450" i="9"/>
  <c r="AV130" i="9"/>
  <c r="AV138" i="9"/>
  <c r="AV451" i="9"/>
  <c r="AV136" i="9"/>
  <c r="AV457" i="9"/>
  <c r="T409" i="9"/>
  <c r="T410" i="9"/>
  <c r="W368" i="9"/>
  <c r="T408" i="9"/>
  <c r="W373" i="9"/>
  <c r="T420" i="9"/>
  <c r="W393" i="9"/>
  <c r="W401" i="9"/>
  <c r="W387" i="9"/>
  <c r="W390" i="9"/>
  <c r="W399" i="9"/>
  <c r="W402" i="9"/>
  <c r="W396" i="9"/>
  <c r="W404" i="9"/>
  <c r="W397" i="9"/>
  <c r="W398" i="9"/>
  <c r="W405" i="9"/>
  <c r="W406" i="9"/>
  <c r="W415" i="9"/>
  <c r="W408" i="9"/>
  <c r="W411" i="9"/>
  <c r="W419" i="9"/>
  <c r="W413" i="9"/>
  <c r="W423" i="9"/>
  <c r="W416" i="9"/>
  <c r="AQ224" i="9"/>
  <c r="AV218" i="9"/>
  <c r="AV222" i="9"/>
  <c r="W358" i="9"/>
  <c r="W350" i="9"/>
  <c r="W352" i="9"/>
  <c r="W360" i="9"/>
  <c r="W354" i="9"/>
  <c r="W347" i="9"/>
  <c r="W355" i="9"/>
  <c r="W348" i="9"/>
  <c r="W337" i="9"/>
  <c r="W331" i="9"/>
  <c r="W332" i="9"/>
  <c r="W333" i="9"/>
  <c r="W326" i="9"/>
  <c r="W343" i="9"/>
  <c r="W338" i="9"/>
  <c r="W339" i="9"/>
  <c r="W340" i="9"/>
  <c r="W325" i="9"/>
  <c r="W342" i="9"/>
  <c r="W335" i="9"/>
  <c r="W334" i="9"/>
  <c r="W327" i="9"/>
  <c r="W336" i="9"/>
  <c r="W102" i="9"/>
  <c r="W99" i="9"/>
  <c r="W94" i="9"/>
  <c r="T98" i="9"/>
  <c r="AQ212" i="9"/>
  <c r="AQ206" i="9"/>
  <c r="AQ213" i="9"/>
  <c r="AQ208" i="9"/>
  <c r="AQ215" i="9"/>
  <c r="AQ210" i="9"/>
  <c r="AQ205" i="9"/>
  <c r="AQ214" i="9"/>
  <c r="T357" i="9"/>
  <c r="T348" i="9"/>
  <c r="T346" i="9"/>
  <c r="T361" i="9"/>
  <c r="T352" i="9"/>
  <c r="T362" i="9"/>
  <c r="T345" i="9"/>
  <c r="T360" i="9"/>
  <c r="T119" i="9"/>
  <c r="T111" i="9"/>
  <c r="T401" i="9"/>
  <c r="T393" i="9"/>
  <c r="T385" i="9"/>
  <c r="T399" i="9"/>
  <c r="T388" i="9"/>
  <c r="T387" i="9"/>
  <c r="T394" i="9"/>
  <c r="T400" i="9"/>
  <c r="T392" i="9"/>
  <c r="T391" i="9"/>
  <c r="T396" i="9"/>
  <c r="T395" i="9"/>
  <c r="T398" i="9"/>
  <c r="T390" i="9"/>
  <c r="T397" i="9"/>
  <c r="T389" i="9"/>
  <c r="T404" i="9"/>
  <c r="T403" i="9"/>
  <c r="T402" i="9"/>
  <c r="T386" i="9"/>
  <c r="W180" i="9"/>
  <c r="AV202" i="9"/>
  <c r="AV200" i="9"/>
  <c r="AV198" i="9"/>
  <c r="AV196" i="9"/>
  <c r="AQ204" i="9"/>
  <c r="AQ200" i="9"/>
  <c r="AQ198" i="9"/>
  <c r="AQ202" i="9"/>
  <c r="AQ194" i="9"/>
  <c r="AQ199" i="9"/>
  <c r="AV203" i="9"/>
  <c r="AV204" i="9"/>
  <c r="AV79" i="9"/>
  <c r="AV81" i="9"/>
  <c r="AQ380" i="9"/>
  <c r="AV102" i="9"/>
  <c r="AV104" i="9"/>
  <c r="AV120" i="9"/>
  <c r="AV99" i="9"/>
  <c r="AV100" i="9"/>
  <c r="AV242" i="9"/>
  <c r="AV243" i="9"/>
  <c r="AV124" i="9"/>
  <c r="AV101" i="9"/>
  <c r="BA45" i="9"/>
  <c r="BA85" i="9"/>
  <c r="BA125" i="9"/>
  <c r="BA325" i="9"/>
  <c r="BA365" i="9"/>
  <c r="BA385" i="9"/>
  <c r="BA425" i="9"/>
  <c r="BA465" i="9"/>
  <c r="BA65" i="9"/>
  <c r="BA105" i="9"/>
  <c r="BA145" i="9"/>
  <c r="BA225" i="9"/>
  <c r="BA265" i="9"/>
  <c r="BA305" i="9"/>
  <c r="BA445" i="9"/>
  <c r="BA485" i="9"/>
  <c r="AV87" i="9"/>
  <c r="AV95" i="9"/>
  <c r="AV111" i="9"/>
  <c r="AV231" i="9"/>
  <c r="AV239" i="9"/>
  <c r="AV271" i="9"/>
  <c r="AV279" i="9"/>
  <c r="AV113" i="9"/>
  <c r="AV225" i="9"/>
  <c r="AV273" i="9"/>
  <c r="AV91" i="9"/>
  <c r="AV107" i="9"/>
  <c r="AV115" i="9"/>
  <c r="AV227" i="9"/>
  <c r="AV267" i="9"/>
  <c r="AV92" i="9"/>
  <c r="AV108" i="9"/>
  <c r="AV116" i="9"/>
  <c r="AV236" i="9"/>
  <c r="AV276" i="9"/>
  <c r="AV93" i="9"/>
  <c r="AV117" i="9"/>
  <c r="AV229" i="9"/>
  <c r="AV86" i="9"/>
  <c r="AV278" i="9"/>
  <c r="AV88" i="9"/>
  <c r="AV96" i="9"/>
  <c r="AV112" i="9"/>
  <c r="AV232" i="9"/>
  <c r="AV272" i="9"/>
  <c r="AV280" i="9"/>
  <c r="AV89" i="9"/>
  <c r="AV97" i="9"/>
  <c r="AV105" i="9"/>
  <c r="AV233" i="9"/>
  <c r="AV265" i="9"/>
  <c r="AV281" i="9"/>
  <c r="AV235" i="9"/>
  <c r="AV275" i="9"/>
  <c r="AV85" i="9"/>
  <c r="AV109" i="9"/>
  <c r="AV277" i="9"/>
  <c r="AV94" i="9"/>
  <c r="AV110" i="9"/>
  <c r="AV230" i="9"/>
  <c r="AV90" i="9"/>
  <c r="AV98" i="9"/>
  <c r="AV106" i="9"/>
  <c r="AV114" i="9"/>
  <c r="AV226" i="9"/>
  <c r="AV234" i="9"/>
  <c r="AV266" i="9"/>
  <c r="AV274" i="9"/>
  <c r="AV228" i="9"/>
  <c r="AV268" i="9"/>
  <c r="AV237" i="9"/>
  <c r="AV269" i="9"/>
  <c r="AV118" i="9"/>
  <c r="AV238" i="9"/>
  <c r="AV270" i="9"/>
  <c r="AV71" i="9"/>
  <c r="AV65" i="9"/>
  <c r="AV67" i="9"/>
  <c r="AV68" i="9"/>
  <c r="AV70" i="9"/>
  <c r="AV74" i="9"/>
  <c r="AV69" i="9"/>
  <c r="AV329" i="9"/>
  <c r="AV397" i="9"/>
  <c r="AV330" i="9"/>
  <c r="AV338" i="9"/>
  <c r="AV362" i="9"/>
  <c r="AV347" i="9"/>
  <c r="AV391" i="9"/>
  <c r="AV399" i="9"/>
  <c r="AV332" i="9"/>
  <c r="AV340" i="9"/>
  <c r="AV325" i="9"/>
  <c r="AV333" i="9"/>
  <c r="AV349" i="9"/>
  <c r="AV357" i="9"/>
  <c r="AV342" i="9"/>
  <c r="AV350" i="9"/>
  <c r="AV358" i="9"/>
  <c r="AV402" i="9"/>
  <c r="AV327" i="9"/>
  <c r="AV403" i="9"/>
  <c r="AV360" i="9"/>
  <c r="AV388" i="9"/>
  <c r="AV396" i="9"/>
  <c r="AV405" i="9"/>
  <c r="AV413" i="9"/>
  <c r="AV421" i="9"/>
  <c r="AV406" i="9"/>
  <c r="AV414" i="9"/>
  <c r="AV407" i="9"/>
  <c r="AV415" i="9"/>
  <c r="AV408" i="9"/>
  <c r="AV416" i="9"/>
  <c r="AV424" i="9"/>
  <c r="AV409" i="9"/>
  <c r="AV417" i="9"/>
  <c r="AV410" i="9"/>
  <c r="AV411" i="9"/>
  <c r="AV412" i="9"/>
  <c r="AV420" i="9"/>
  <c r="AQ135" i="9"/>
  <c r="AQ143" i="9"/>
  <c r="AQ327" i="9"/>
  <c r="AQ338" i="9"/>
  <c r="AQ136" i="9"/>
  <c r="AQ144" i="9"/>
  <c r="AQ328" i="9"/>
  <c r="AQ344" i="9"/>
  <c r="AQ330" i="9"/>
  <c r="AQ137" i="9"/>
  <c r="AQ329" i="9"/>
  <c r="AQ138" i="9"/>
  <c r="AQ438" i="9"/>
  <c r="AQ139" i="9"/>
  <c r="AQ331" i="9"/>
  <c r="AQ432" i="9"/>
  <c r="AQ326" i="9"/>
  <c r="AQ433" i="9"/>
  <c r="AQ334" i="9"/>
  <c r="AQ341" i="9"/>
  <c r="AQ325" i="9"/>
  <c r="AQ332" i="9"/>
  <c r="AQ434" i="9"/>
  <c r="AQ142" i="9"/>
  <c r="AQ333" i="9"/>
  <c r="AQ440" i="9"/>
  <c r="AQ231" i="9"/>
  <c r="AQ239" i="9"/>
  <c r="AQ247" i="9"/>
  <c r="AQ255" i="9"/>
  <c r="AQ263" i="9"/>
  <c r="AQ311" i="9"/>
  <c r="AQ319" i="9"/>
  <c r="AQ467" i="9"/>
  <c r="AQ499" i="9"/>
  <c r="AQ242" i="9"/>
  <c r="AQ266" i="9"/>
  <c r="AQ502" i="9"/>
  <c r="AQ160" i="9"/>
  <c r="AQ232" i="9"/>
  <c r="AQ264" i="9"/>
  <c r="AQ272" i="9"/>
  <c r="AQ280" i="9"/>
  <c r="AQ452" i="9"/>
  <c r="AQ460" i="9"/>
  <c r="AQ468" i="9"/>
  <c r="AQ476" i="9"/>
  <c r="AQ484" i="9"/>
  <c r="AQ282" i="9"/>
  <c r="AQ306" i="9"/>
  <c r="AQ462" i="9"/>
  <c r="AQ486" i="9"/>
  <c r="AQ233" i="9"/>
  <c r="AQ241" i="9"/>
  <c r="AQ249" i="9"/>
  <c r="AQ257" i="9"/>
  <c r="AQ265" i="9"/>
  <c r="AQ305" i="9"/>
  <c r="AQ313" i="9"/>
  <c r="AQ321" i="9"/>
  <c r="AQ445" i="9"/>
  <c r="AQ477" i="9"/>
  <c r="AQ485" i="9"/>
  <c r="AQ493" i="9"/>
  <c r="AQ501" i="9"/>
  <c r="AQ162" i="9"/>
  <c r="AQ322" i="9"/>
  <c r="AQ470" i="9"/>
  <c r="AQ494" i="9"/>
  <c r="AQ155" i="9"/>
  <c r="AQ235" i="9"/>
  <c r="AQ243" i="9"/>
  <c r="AQ251" i="9"/>
  <c r="AQ259" i="9"/>
  <c r="AQ267" i="9"/>
  <c r="AQ283" i="9"/>
  <c r="AQ307" i="9"/>
  <c r="AQ315" i="9"/>
  <c r="AQ323" i="9"/>
  <c r="AQ463" i="9"/>
  <c r="AQ479" i="9"/>
  <c r="AQ487" i="9"/>
  <c r="AQ495" i="9"/>
  <c r="AQ503" i="9"/>
  <c r="AQ230" i="9"/>
  <c r="AQ276" i="9"/>
  <c r="AQ317" i="9"/>
  <c r="AQ465" i="9"/>
  <c r="AQ488" i="9"/>
  <c r="AQ238" i="9"/>
  <c r="AQ262" i="9"/>
  <c r="AQ236" i="9"/>
  <c r="AQ254" i="9"/>
  <c r="AQ277" i="9"/>
  <c r="AQ318" i="9"/>
  <c r="AQ466" i="9"/>
  <c r="AQ284" i="9"/>
  <c r="AQ473" i="9"/>
  <c r="AQ316" i="9"/>
  <c r="AQ156" i="9"/>
  <c r="AQ237" i="9"/>
  <c r="AQ260" i="9"/>
  <c r="AQ278" i="9"/>
  <c r="AQ490" i="9"/>
  <c r="AQ157" i="9"/>
  <c r="AQ261" i="9"/>
  <c r="AQ450" i="9"/>
  <c r="AQ496" i="9"/>
  <c r="AQ308" i="9"/>
  <c r="AQ464" i="9"/>
  <c r="AQ164" i="9"/>
  <c r="AQ245" i="9"/>
  <c r="AQ268" i="9"/>
  <c r="AQ309" i="9"/>
  <c r="AQ480" i="9"/>
  <c r="AQ498" i="9"/>
  <c r="AQ228" i="9"/>
  <c r="AQ246" i="9"/>
  <c r="AQ269" i="9"/>
  <c r="AQ310" i="9"/>
  <c r="AQ458" i="9"/>
  <c r="AQ481" i="9"/>
  <c r="AQ504" i="9"/>
  <c r="AQ229" i="9"/>
  <c r="AQ252" i="9"/>
  <c r="AQ270" i="9"/>
  <c r="AQ95" i="9"/>
  <c r="AQ103" i="9"/>
  <c r="AQ111" i="9"/>
  <c r="AQ119" i="9"/>
  <c r="AQ411" i="9"/>
  <c r="AQ419" i="9"/>
  <c r="AQ96" i="9"/>
  <c r="AQ104" i="9"/>
  <c r="AQ112" i="9"/>
  <c r="AQ120" i="9"/>
  <c r="AQ412" i="9"/>
  <c r="AQ98" i="9"/>
  <c r="AQ122" i="9"/>
  <c r="AQ422" i="9"/>
  <c r="AQ97" i="9"/>
  <c r="AQ105" i="9"/>
  <c r="AQ113" i="9"/>
  <c r="AQ405" i="9"/>
  <c r="AQ413" i="9"/>
  <c r="AQ421" i="9"/>
  <c r="AQ91" i="9"/>
  <c r="AQ107" i="9"/>
  <c r="AQ115" i="9"/>
  <c r="AQ123" i="9"/>
  <c r="AQ423" i="9"/>
  <c r="AQ424" i="9"/>
  <c r="AQ94" i="9"/>
  <c r="AQ86" i="9"/>
  <c r="AQ109" i="9"/>
  <c r="AQ116" i="9"/>
  <c r="AQ117" i="9"/>
  <c r="AQ408" i="9"/>
  <c r="AQ93" i="9"/>
  <c r="AQ409" i="9"/>
  <c r="AQ100" i="9"/>
  <c r="AQ118" i="9"/>
  <c r="AQ124" i="9"/>
  <c r="AQ102" i="9"/>
  <c r="AQ418" i="9"/>
  <c r="AQ351" i="9"/>
  <c r="AQ359" i="9"/>
  <c r="AQ387" i="9"/>
  <c r="AQ395" i="9"/>
  <c r="AQ403" i="9"/>
  <c r="AQ427" i="9"/>
  <c r="AQ430" i="9"/>
  <c r="AQ352" i="9"/>
  <c r="AQ360" i="9"/>
  <c r="AQ388" i="9"/>
  <c r="AQ396" i="9"/>
  <c r="AQ428" i="9"/>
  <c r="AQ354" i="9"/>
  <c r="AQ345" i="9"/>
  <c r="AQ353" i="9"/>
  <c r="AQ361" i="9"/>
  <c r="AQ389" i="9"/>
  <c r="AQ397" i="9"/>
  <c r="AQ429" i="9"/>
  <c r="AQ346" i="9"/>
  <c r="AQ362" i="9"/>
  <c r="AQ390" i="9"/>
  <c r="AQ398" i="9"/>
  <c r="AQ347" i="9"/>
  <c r="AQ355" i="9"/>
  <c r="AQ363" i="9"/>
  <c r="AQ391" i="9"/>
  <c r="AQ399" i="9"/>
  <c r="AQ431" i="9"/>
  <c r="AQ358" i="9"/>
  <c r="AQ401" i="9"/>
  <c r="AQ364" i="9"/>
  <c r="AQ402" i="9"/>
  <c r="AQ425" i="9"/>
  <c r="AQ348" i="9"/>
  <c r="AQ349" i="9"/>
  <c r="AQ385" i="9"/>
  <c r="AQ426" i="9"/>
  <c r="AQ386" i="9"/>
  <c r="AQ392" i="9"/>
  <c r="AQ357" i="9"/>
  <c r="AQ350" i="9"/>
  <c r="AQ393" i="9"/>
  <c r="AQ356" i="9"/>
  <c r="AQ394" i="9"/>
  <c r="AQ400" i="9"/>
  <c r="C305" i="9"/>
  <c r="C306" i="9"/>
  <c r="A306" i="9"/>
  <c r="C307" i="9"/>
  <c r="C308" i="9"/>
  <c r="C309" i="9"/>
  <c r="C310" i="9"/>
  <c r="C311" i="9"/>
  <c r="A311" i="9"/>
  <c r="C312" i="9"/>
  <c r="C313" i="9"/>
  <c r="C314" i="9"/>
  <c r="C315" i="9"/>
  <c r="C316" i="9"/>
  <c r="C317" i="9"/>
  <c r="A317" i="9"/>
  <c r="C318" i="9"/>
  <c r="A318" i="9"/>
  <c r="C319" i="9"/>
  <c r="C320" i="9"/>
  <c r="C321" i="9"/>
  <c r="C322" i="9"/>
  <c r="C323" i="9"/>
  <c r="C324" i="9"/>
  <c r="C325" i="9"/>
  <c r="A325" i="9"/>
  <c r="C326" i="9"/>
  <c r="A326" i="9"/>
  <c r="C327" i="9"/>
  <c r="C328" i="9"/>
  <c r="C329" i="9"/>
  <c r="C330" i="9"/>
  <c r="A330" i="9"/>
  <c r="C331" i="9"/>
  <c r="C332" i="9"/>
  <c r="C333" i="9"/>
  <c r="A333" i="9"/>
  <c r="C334" i="9"/>
  <c r="A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A350" i="9"/>
  <c r="C351" i="9"/>
  <c r="C352" i="9"/>
  <c r="C353" i="9"/>
  <c r="C354" i="9"/>
  <c r="C355" i="9"/>
  <c r="C356" i="9"/>
  <c r="A356" i="9"/>
  <c r="C357" i="9"/>
  <c r="C358" i="9"/>
  <c r="C359" i="9"/>
  <c r="C360" i="9"/>
  <c r="C361" i="9"/>
  <c r="A361" i="9"/>
  <c r="C362" i="9"/>
  <c r="C363" i="9"/>
  <c r="C364" i="9"/>
  <c r="A364" i="9"/>
  <c r="C365" i="9"/>
  <c r="C366" i="9"/>
  <c r="A366" i="9"/>
  <c r="C367" i="9"/>
  <c r="C368" i="9"/>
  <c r="C369" i="9"/>
  <c r="A369" i="9"/>
  <c r="C370" i="9"/>
  <c r="C371" i="9"/>
  <c r="C372" i="9"/>
  <c r="C373" i="9"/>
  <c r="A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A390" i="9"/>
  <c r="C391" i="9"/>
  <c r="C392" i="9"/>
  <c r="C393" i="9"/>
  <c r="C394" i="9"/>
  <c r="C395" i="9"/>
  <c r="C396" i="9"/>
  <c r="C397" i="9"/>
  <c r="C398" i="9"/>
  <c r="A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A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A422" i="9"/>
  <c r="C423" i="9"/>
  <c r="C424" i="9"/>
  <c r="C425" i="9"/>
  <c r="C426" i="9"/>
  <c r="C427" i="9"/>
  <c r="C428" i="9"/>
  <c r="A428" i="9"/>
  <c r="C429" i="9"/>
  <c r="A429" i="9"/>
  <c r="C430" i="9"/>
  <c r="A430" i="9"/>
  <c r="C431" i="9"/>
  <c r="C432" i="9"/>
  <c r="C433" i="9"/>
  <c r="C434" i="9"/>
  <c r="C435" i="9"/>
  <c r="C436" i="9"/>
  <c r="C437" i="9"/>
  <c r="A437" i="9"/>
  <c r="C438" i="9"/>
  <c r="A438" i="9"/>
  <c r="C439" i="9"/>
  <c r="C440" i="9"/>
  <c r="C441" i="9"/>
  <c r="C442" i="9"/>
  <c r="C443" i="9"/>
  <c r="C444" i="9"/>
  <c r="C445" i="9"/>
  <c r="A445" i="9"/>
  <c r="C446" i="9"/>
  <c r="A446" i="9"/>
  <c r="C447" i="9"/>
  <c r="C448" i="9"/>
  <c r="C449" i="9"/>
  <c r="C450" i="9"/>
  <c r="C451" i="9"/>
  <c r="C452" i="9"/>
  <c r="C453" i="9"/>
  <c r="C454" i="9"/>
  <c r="A454" i="9"/>
  <c r="C455" i="9"/>
  <c r="C456" i="9"/>
  <c r="C457" i="9"/>
  <c r="C458" i="9"/>
  <c r="C459" i="9"/>
  <c r="C460" i="9"/>
  <c r="C461" i="9"/>
  <c r="A461" i="9"/>
  <c r="C462" i="9"/>
  <c r="A462" i="9"/>
  <c r="C463" i="9"/>
  <c r="C464" i="9"/>
  <c r="C465" i="9"/>
  <c r="C466" i="9"/>
  <c r="C467" i="9"/>
  <c r="C468" i="9"/>
  <c r="C469" i="9"/>
  <c r="A469" i="9"/>
  <c r="C470" i="9"/>
  <c r="C471" i="9"/>
  <c r="A471" i="9"/>
  <c r="C472" i="9"/>
  <c r="C473" i="9"/>
  <c r="C474" i="9"/>
  <c r="C475" i="9"/>
  <c r="C476" i="9"/>
  <c r="C477" i="9"/>
  <c r="C478" i="9"/>
  <c r="A478" i="9"/>
  <c r="C479" i="9"/>
  <c r="C480" i="9"/>
  <c r="C481" i="9"/>
  <c r="A481" i="9"/>
  <c r="C482" i="9"/>
  <c r="C483" i="9"/>
  <c r="C484" i="9"/>
  <c r="C485" i="9"/>
  <c r="C486" i="9"/>
  <c r="C487" i="9"/>
  <c r="C488" i="9"/>
  <c r="C489" i="9"/>
  <c r="C490" i="9"/>
  <c r="C491" i="9"/>
  <c r="C492" i="9"/>
  <c r="A492" i="9"/>
  <c r="C493" i="9"/>
  <c r="C494" i="9"/>
  <c r="C495" i="9"/>
  <c r="C496" i="9"/>
  <c r="C497" i="9"/>
  <c r="A497" i="9"/>
  <c r="C498" i="9"/>
  <c r="C499" i="9"/>
  <c r="C500" i="9"/>
  <c r="C501" i="9"/>
  <c r="A501" i="9"/>
  <c r="C502" i="9"/>
  <c r="A502" i="9"/>
  <c r="C503" i="9"/>
  <c r="C5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BM264" i="9"/>
  <c r="AO264" i="9"/>
  <c r="AI264" i="9"/>
  <c r="F264" i="9"/>
  <c r="C264" i="9"/>
  <c r="A264" i="9"/>
  <c r="BM263" i="9"/>
  <c r="AO263" i="9"/>
  <c r="AI263" i="9"/>
  <c r="F263" i="9"/>
  <c r="A263" i="9"/>
  <c r="C263" i="9"/>
  <c r="BM262" i="9"/>
  <c r="AO262" i="9"/>
  <c r="AI262" i="9"/>
  <c r="F262" i="9"/>
  <c r="C262" i="9"/>
  <c r="BM261" i="9"/>
  <c r="AO261" i="9"/>
  <c r="AI261" i="9"/>
  <c r="F261" i="9"/>
  <c r="A261" i="9"/>
  <c r="C261" i="9"/>
  <c r="BM260" i="9"/>
  <c r="AI260" i="9"/>
  <c r="F260" i="9"/>
  <c r="C260" i="9"/>
  <c r="BM259" i="9"/>
  <c r="AI259" i="9"/>
  <c r="F259" i="9"/>
  <c r="C259" i="9"/>
  <c r="BM258" i="9"/>
  <c r="AO258" i="9"/>
  <c r="AI258" i="9"/>
  <c r="F258" i="9"/>
  <c r="C258" i="9"/>
  <c r="BM257" i="9"/>
  <c r="AO257" i="9"/>
  <c r="AI257" i="9"/>
  <c r="F257" i="9"/>
  <c r="A257" i="9"/>
  <c r="C257" i="9"/>
  <c r="BM256" i="9"/>
  <c r="AO256" i="9"/>
  <c r="AI256" i="9"/>
  <c r="F256" i="9"/>
  <c r="C256" i="9"/>
  <c r="BM255" i="9"/>
  <c r="AO255" i="9"/>
  <c r="AI255" i="9"/>
  <c r="F255" i="9"/>
  <c r="C255" i="9"/>
  <c r="BM254" i="9"/>
  <c r="AO254" i="9"/>
  <c r="AI254" i="9"/>
  <c r="F254" i="9"/>
  <c r="C254" i="9"/>
  <c r="BM253" i="9"/>
  <c r="AI253" i="9"/>
  <c r="F253" i="9"/>
  <c r="A253" i="9"/>
  <c r="C253" i="9"/>
  <c r="BM252" i="9"/>
  <c r="AO252" i="9"/>
  <c r="AI252" i="9"/>
  <c r="F252" i="9"/>
  <c r="C252" i="9"/>
  <c r="A252" i="9"/>
  <c r="BM251" i="9"/>
  <c r="AO251" i="9"/>
  <c r="AI251" i="9"/>
  <c r="F251" i="9"/>
  <c r="A251" i="9"/>
  <c r="C251" i="9"/>
  <c r="BM250" i="9"/>
  <c r="AI250" i="9"/>
  <c r="F250" i="9"/>
  <c r="C250" i="9"/>
  <c r="BM249" i="9"/>
  <c r="AO249" i="9"/>
  <c r="AI249" i="9"/>
  <c r="F249" i="9"/>
  <c r="C249" i="9"/>
  <c r="BM248" i="9"/>
  <c r="AO248" i="9"/>
  <c r="AI248" i="9"/>
  <c r="F248" i="9"/>
  <c r="C248" i="9"/>
  <c r="BM247" i="9"/>
  <c r="AO247" i="9"/>
  <c r="AI247" i="9"/>
  <c r="F247" i="9"/>
  <c r="A247" i="9"/>
  <c r="C247" i="9"/>
  <c r="BM246" i="9"/>
  <c r="AO246" i="9"/>
  <c r="AI246" i="9"/>
  <c r="F246" i="9"/>
  <c r="C246" i="9"/>
  <c r="BM245" i="9"/>
  <c r="AI245" i="9"/>
  <c r="F245" i="9"/>
  <c r="A245" i="9"/>
  <c r="C245" i="9"/>
  <c r="AO260" i="9"/>
  <c r="A425" i="9"/>
  <c r="A409" i="9"/>
  <c r="AO245" i="9"/>
  <c r="AO253" i="9"/>
  <c r="AO250" i="9"/>
  <c r="AO259" i="9"/>
  <c r="A489" i="9"/>
  <c r="A490" i="9"/>
  <c r="A426" i="9"/>
  <c r="A449" i="9"/>
  <c r="A443" i="9"/>
  <c r="A403" i="9"/>
  <c r="A319" i="9"/>
  <c r="A466" i="9"/>
  <c r="A465" i="9"/>
  <c r="A457" i="9"/>
  <c r="A441" i="9"/>
  <c r="A357" i="9"/>
  <c r="A349" i="9"/>
  <c r="A467" i="9"/>
  <c r="A402" i="9"/>
  <c r="A500" i="9"/>
  <c r="A476" i="9"/>
  <c r="A460" i="9"/>
  <c r="A444" i="9"/>
  <c r="A396" i="9"/>
  <c r="A384" i="9"/>
  <c r="A360" i="9"/>
  <c r="A344" i="9"/>
  <c r="A320" i="9"/>
  <c r="A499" i="9"/>
  <c r="A475" i="9"/>
  <c r="A427" i="9"/>
  <c r="A387" i="9"/>
  <c r="A498" i="9"/>
  <c r="A482" i="9"/>
  <c r="A474" i="9"/>
  <c r="A450" i="9"/>
  <c r="A442" i="9"/>
  <c r="A434" i="9"/>
  <c r="A418" i="9"/>
  <c r="A394" i="9"/>
  <c r="A386" i="9"/>
  <c r="A468" i="9"/>
  <c r="A404" i="9"/>
  <c r="A388" i="9"/>
  <c r="A376" i="9"/>
  <c r="A352" i="9"/>
  <c r="A328" i="9"/>
  <c r="A483" i="9"/>
  <c r="A459" i="9"/>
  <c r="A395" i="9"/>
  <c r="A375" i="9"/>
  <c r="A343" i="9"/>
  <c r="A484" i="9"/>
  <c r="A452" i="9"/>
  <c r="A368" i="9"/>
  <c r="A336" i="9"/>
  <c r="A312" i="9"/>
  <c r="A491" i="9"/>
  <c r="A435" i="9"/>
  <c r="A411" i="9"/>
  <c r="A367" i="9"/>
  <c r="A504" i="9"/>
  <c r="A496" i="9"/>
  <c r="A488" i="9"/>
  <c r="A480" i="9"/>
  <c r="A472" i="9"/>
  <c r="A464" i="9"/>
  <c r="A456" i="9"/>
  <c r="A448" i="9"/>
  <c r="A440" i="9"/>
  <c r="A432" i="9"/>
  <c r="A424" i="9"/>
  <c r="A416" i="9"/>
  <c r="A408" i="9"/>
  <c r="A400" i="9"/>
  <c r="A392" i="9"/>
  <c r="A372" i="9"/>
  <c r="A348" i="9"/>
  <c r="A340" i="9"/>
  <c r="A332" i="9"/>
  <c r="A324" i="9"/>
  <c r="A308" i="9"/>
  <c r="A397" i="9"/>
  <c r="A377" i="9"/>
  <c r="A353" i="9"/>
  <c r="A313" i="9"/>
  <c r="A305" i="9"/>
  <c r="A487" i="9"/>
  <c r="A463" i="9"/>
  <c r="A423" i="9"/>
  <c r="A379" i="9"/>
  <c r="A331" i="9"/>
  <c r="A307" i="9"/>
  <c r="A314" i="9"/>
  <c r="A503" i="9"/>
  <c r="A455" i="9"/>
  <c r="A439" i="9"/>
  <c r="A407" i="9"/>
  <c r="A347" i="9"/>
  <c r="A323" i="9"/>
  <c r="A470" i="9"/>
  <c r="A346" i="9"/>
  <c r="A338" i="9"/>
  <c r="A479" i="9"/>
  <c r="A447" i="9"/>
  <c r="A431" i="9"/>
  <c r="A391" i="9"/>
  <c r="A363" i="9"/>
  <c r="A339" i="9"/>
  <c r="A315" i="9"/>
  <c r="A378" i="9"/>
  <c r="A354" i="9"/>
  <c r="A322" i="9"/>
  <c r="A259" i="9"/>
  <c r="A255" i="9"/>
  <c r="A260" i="9"/>
  <c r="A248" i="9"/>
  <c r="A249" i="9"/>
  <c r="A256" i="9"/>
  <c r="A250" i="9"/>
  <c r="A254" i="9"/>
  <c r="A258" i="9"/>
  <c r="A262" i="9"/>
  <c r="A246" i="9"/>
  <c r="C21" i="9"/>
  <c r="F21" i="9"/>
  <c r="A21" i="9"/>
  <c r="BM21" i="9"/>
  <c r="C22" i="9"/>
  <c r="F22" i="9"/>
  <c r="A22" i="9"/>
  <c r="BM22" i="9"/>
  <c r="C23" i="9"/>
  <c r="F23" i="9"/>
  <c r="BM23" i="9"/>
  <c r="AO23" i="9"/>
  <c r="C24" i="9"/>
  <c r="F24" i="9"/>
  <c r="BM24" i="9"/>
  <c r="AO24" i="9"/>
  <c r="AO22" i="9"/>
  <c r="AO21" i="9"/>
  <c r="A9" i="30"/>
  <c r="AQ165" i="9"/>
  <c r="A6" i="30"/>
  <c r="A5" i="30"/>
  <c r="W17" i="9"/>
  <c r="BM284" i="9"/>
  <c r="AO284" i="9"/>
  <c r="AI284" i="9"/>
  <c r="F284" i="9"/>
  <c r="A284" i="9"/>
  <c r="C284" i="9"/>
  <c r="BM283" i="9"/>
  <c r="AI283" i="9"/>
  <c r="F283" i="9"/>
  <c r="C283" i="9"/>
  <c r="BM282" i="9"/>
  <c r="AI282" i="9"/>
  <c r="F282" i="9"/>
  <c r="C282" i="9"/>
  <c r="BM281" i="9"/>
  <c r="AI281" i="9"/>
  <c r="F281" i="9"/>
  <c r="C281" i="9"/>
  <c r="A281" i="9"/>
  <c r="BM280" i="9"/>
  <c r="AO280" i="9"/>
  <c r="AI280" i="9"/>
  <c r="F280" i="9"/>
  <c r="C280" i="9"/>
  <c r="A280" i="9"/>
  <c r="BM279" i="9"/>
  <c r="AI279" i="9"/>
  <c r="F279" i="9"/>
  <c r="C279" i="9"/>
  <c r="A279" i="9"/>
  <c r="BM278" i="9"/>
  <c r="AO278" i="9"/>
  <c r="AI278" i="9"/>
  <c r="F278" i="9"/>
  <c r="C278" i="9"/>
  <c r="BM277" i="9"/>
  <c r="AI277" i="9"/>
  <c r="F277" i="9"/>
  <c r="C277" i="9"/>
  <c r="A277" i="9"/>
  <c r="BM276" i="9"/>
  <c r="AO276" i="9"/>
  <c r="AI276" i="9"/>
  <c r="F276" i="9"/>
  <c r="C276" i="9"/>
  <c r="BM275" i="9"/>
  <c r="AI275" i="9"/>
  <c r="F275" i="9"/>
  <c r="C275" i="9"/>
  <c r="BM274" i="9"/>
  <c r="AI274" i="9"/>
  <c r="F274" i="9"/>
  <c r="A274" i="9"/>
  <c r="C274" i="9"/>
  <c r="BM273" i="9"/>
  <c r="AI273" i="9"/>
  <c r="F273" i="9"/>
  <c r="C273" i="9"/>
  <c r="A273" i="9"/>
  <c r="BM272" i="9"/>
  <c r="AI272" i="9"/>
  <c r="F272" i="9"/>
  <c r="C272" i="9"/>
  <c r="BM271" i="9"/>
  <c r="AI271" i="9"/>
  <c r="F271" i="9"/>
  <c r="C271" i="9"/>
  <c r="A271" i="9"/>
  <c r="BM270" i="9"/>
  <c r="AO270" i="9"/>
  <c r="AI270" i="9"/>
  <c r="F270" i="9"/>
  <c r="A270" i="9"/>
  <c r="C270" i="9"/>
  <c r="BM269" i="9"/>
  <c r="AI269" i="9"/>
  <c r="F269" i="9"/>
  <c r="C269" i="9"/>
  <c r="A269" i="9"/>
  <c r="BM268" i="9"/>
  <c r="AO268" i="9"/>
  <c r="AI268" i="9"/>
  <c r="F268" i="9"/>
  <c r="A268" i="9"/>
  <c r="C268" i="9"/>
  <c r="BM267" i="9"/>
  <c r="AI267" i="9"/>
  <c r="F267" i="9"/>
  <c r="C267" i="9"/>
  <c r="A267" i="9"/>
  <c r="BM266" i="9"/>
  <c r="AI266" i="9"/>
  <c r="F266" i="9"/>
  <c r="A266" i="9"/>
  <c r="C266" i="9"/>
  <c r="BM265" i="9"/>
  <c r="AI265" i="9"/>
  <c r="F265" i="9"/>
  <c r="C265" i="9"/>
  <c r="BM244" i="9"/>
  <c r="AO244" i="9"/>
  <c r="AI244" i="9"/>
  <c r="F244" i="9"/>
  <c r="C244" i="9"/>
  <c r="A244" i="9"/>
  <c r="BM243" i="9"/>
  <c r="AI243" i="9"/>
  <c r="F243" i="9"/>
  <c r="C243" i="9"/>
  <c r="A243" i="9"/>
  <c r="BM242" i="9"/>
  <c r="AI242" i="9"/>
  <c r="F242" i="9"/>
  <c r="C242" i="9"/>
  <c r="BM241" i="9"/>
  <c r="AI241" i="9"/>
  <c r="F241" i="9"/>
  <c r="C241" i="9"/>
  <c r="A241" i="9"/>
  <c r="BM240" i="9"/>
  <c r="AO240" i="9"/>
  <c r="AI240" i="9"/>
  <c r="F240" i="9"/>
  <c r="C240" i="9"/>
  <c r="BM239" i="9"/>
  <c r="AI239" i="9"/>
  <c r="F239" i="9"/>
  <c r="C239" i="9"/>
  <c r="A239" i="9"/>
  <c r="BM238" i="9"/>
  <c r="AO238" i="9"/>
  <c r="AI238" i="9"/>
  <c r="F238" i="9"/>
  <c r="C238" i="9"/>
  <c r="BM237" i="9"/>
  <c r="AI237" i="9"/>
  <c r="F237" i="9"/>
  <c r="C237" i="9"/>
  <c r="BM236" i="9"/>
  <c r="AO236" i="9"/>
  <c r="AI236" i="9"/>
  <c r="F236" i="9"/>
  <c r="C236" i="9"/>
  <c r="A236" i="9"/>
  <c r="BM235" i="9"/>
  <c r="AI235" i="9"/>
  <c r="F235" i="9"/>
  <c r="C235" i="9"/>
  <c r="A235" i="9"/>
  <c r="BM234" i="9"/>
  <c r="AO234" i="9"/>
  <c r="AI234" i="9"/>
  <c r="F234" i="9"/>
  <c r="C234" i="9"/>
  <c r="BM233" i="9"/>
  <c r="AI233" i="9"/>
  <c r="F233" i="9"/>
  <c r="C233" i="9"/>
  <c r="A233" i="9"/>
  <c r="BM232" i="9"/>
  <c r="AO232" i="9"/>
  <c r="AI232" i="9"/>
  <c r="F232" i="9"/>
  <c r="C232" i="9"/>
  <c r="BM231" i="9"/>
  <c r="AI231" i="9"/>
  <c r="F231" i="9"/>
  <c r="C231" i="9"/>
  <c r="BM230" i="9"/>
  <c r="AO230" i="9"/>
  <c r="AI230" i="9"/>
  <c r="F230" i="9"/>
  <c r="A230" i="9"/>
  <c r="C230" i="9"/>
  <c r="BM229" i="9"/>
  <c r="AI229" i="9"/>
  <c r="F229" i="9"/>
  <c r="C229" i="9"/>
  <c r="A229" i="9"/>
  <c r="BM228" i="9"/>
  <c r="AO228" i="9"/>
  <c r="AI228" i="9"/>
  <c r="F228" i="9"/>
  <c r="A228" i="9"/>
  <c r="C228" i="9"/>
  <c r="BM227" i="9"/>
  <c r="AI227" i="9"/>
  <c r="F227" i="9"/>
  <c r="C227" i="9"/>
  <c r="BM226" i="9"/>
  <c r="AO226" i="9"/>
  <c r="AI226" i="9"/>
  <c r="F226" i="9"/>
  <c r="C226" i="9"/>
  <c r="A226" i="9"/>
  <c r="BM225" i="9"/>
  <c r="AI225" i="9"/>
  <c r="F225" i="9"/>
  <c r="C225" i="9"/>
  <c r="A225" i="9"/>
  <c r="BM184" i="9"/>
  <c r="AO184" i="9"/>
  <c r="AI184" i="9"/>
  <c r="F184" i="9"/>
  <c r="C184" i="9"/>
  <c r="A184" i="9"/>
  <c r="BM183" i="9"/>
  <c r="AI183" i="9"/>
  <c r="F183" i="9"/>
  <c r="C183" i="9"/>
  <c r="A183" i="9"/>
  <c r="BM182" i="9"/>
  <c r="AO182" i="9"/>
  <c r="AI182" i="9"/>
  <c r="F182" i="9"/>
  <c r="C182" i="9"/>
  <c r="BM181" i="9"/>
  <c r="AI181" i="9"/>
  <c r="F181" i="9"/>
  <c r="C181" i="9"/>
  <c r="A181" i="9"/>
  <c r="BM180" i="9"/>
  <c r="AO180" i="9"/>
  <c r="AI180" i="9"/>
  <c r="F180" i="9"/>
  <c r="C180" i="9"/>
  <c r="A180" i="9"/>
  <c r="BM179" i="9"/>
  <c r="AI179" i="9"/>
  <c r="F179" i="9"/>
  <c r="C179" i="9"/>
  <c r="A179" i="9"/>
  <c r="BM178" i="9"/>
  <c r="AO178" i="9"/>
  <c r="AI178" i="9"/>
  <c r="F178" i="9"/>
  <c r="C178" i="9"/>
  <c r="BM177" i="9"/>
  <c r="AI177" i="9"/>
  <c r="F177" i="9"/>
  <c r="C177" i="9"/>
  <c r="BM176" i="9"/>
  <c r="AO176" i="9"/>
  <c r="AI176" i="9"/>
  <c r="F176" i="9"/>
  <c r="A176" i="9"/>
  <c r="C176" i="9"/>
  <c r="BM175" i="9"/>
  <c r="AI175" i="9"/>
  <c r="F175" i="9"/>
  <c r="C175" i="9"/>
  <c r="A175" i="9"/>
  <c r="BM174" i="9"/>
  <c r="AO174" i="9"/>
  <c r="AI174" i="9"/>
  <c r="F174" i="9"/>
  <c r="C174" i="9"/>
  <c r="BM173" i="9"/>
  <c r="AI173" i="9"/>
  <c r="F173" i="9"/>
  <c r="C173" i="9"/>
  <c r="BM172" i="9"/>
  <c r="AI172" i="9"/>
  <c r="F172" i="9"/>
  <c r="C172" i="9"/>
  <c r="A172" i="9"/>
  <c r="BM171" i="9"/>
  <c r="AI171" i="9"/>
  <c r="F171" i="9"/>
  <c r="C171" i="9"/>
  <c r="BM170" i="9"/>
  <c r="AO170" i="9"/>
  <c r="AI170" i="9"/>
  <c r="F170" i="9"/>
  <c r="C170" i="9"/>
  <c r="BM169" i="9"/>
  <c r="AI169" i="9"/>
  <c r="F169" i="9"/>
  <c r="C169" i="9"/>
  <c r="A169" i="9"/>
  <c r="BM168" i="9"/>
  <c r="AO168" i="9"/>
  <c r="AI168" i="9"/>
  <c r="F168" i="9"/>
  <c r="C168" i="9"/>
  <c r="BM167" i="9"/>
  <c r="AI167" i="9"/>
  <c r="F167" i="9"/>
  <c r="C167" i="9"/>
  <c r="A167" i="9"/>
  <c r="BM166" i="9"/>
  <c r="AO166" i="9"/>
  <c r="AI166" i="9"/>
  <c r="F166" i="9"/>
  <c r="A166" i="9"/>
  <c r="C166" i="9"/>
  <c r="BM165" i="9"/>
  <c r="AI165" i="9"/>
  <c r="F165" i="9"/>
  <c r="C165" i="9"/>
  <c r="A165" i="9"/>
  <c r="BM164" i="9"/>
  <c r="AI164" i="9"/>
  <c r="F164" i="9"/>
  <c r="A164" i="9"/>
  <c r="C164" i="9"/>
  <c r="BM163" i="9"/>
  <c r="AI163" i="9"/>
  <c r="F163" i="9"/>
  <c r="C163" i="9"/>
  <c r="BM162" i="9"/>
  <c r="AO162" i="9"/>
  <c r="AI162" i="9"/>
  <c r="F162" i="9"/>
  <c r="C162" i="9"/>
  <c r="BM161" i="9"/>
  <c r="AI161" i="9"/>
  <c r="F161" i="9"/>
  <c r="C161" i="9"/>
  <c r="A161" i="9"/>
  <c r="BM160" i="9"/>
  <c r="AO160" i="9"/>
  <c r="AI160" i="9"/>
  <c r="F160" i="9"/>
  <c r="C160" i="9"/>
  <c r="BM159" i="9"/>
  <c r="AI159" i="9"/>
  <c r="F159" i="9"/>
  <c r="C159" i="9"/>
  <c r="BM158" i="9"/>
  <c r="AO158" i="9"/>
  <c r="AI158" i="9"/>
  <c r="F158" i="9"/>
  <c r="C158" i="9"/>
  <c r="BM157" i="9"/>
  <c r="AI157" i="9"/>
  <c r="F157" i="9"/>
  <c r="C157" i="9"/>
  <c r="A157" i="9"/>
  <c r="BM156" i="9"/>
  <c r="AO156" i="9"/>
  <c r="AI156" i="9"/>
  <c r="F156" i="9"/>
  <c r="C156" i="9"/>
  <c r="BM155" i="9"/>
  <c r="AI155" i="9"/>
  <c r="F155" i="9"/>
  <c r="C155" i="9"/>
  <c r="A155" i="9"/>
  <c r="BM154" i="9"/>
  <c r="AO154" i="9"/>
  <c r="AI154" i="9"/>
  <c r="F154" i="9"/>
  <c r="C154" i="9"/>
  <c r="BM153" i="9"/>
  <c r="AI153" i="9"/>
  <c r="F153" i="9"/>
  <c r="C153" i="9"/>
  <c r="A153" i="9"/>
  <c r="BM152" i="9"/>
  <c r="AO152" i="9"/>
  <c r="AI152" i="9"/>
  <c r="F152" i="9"/>
  <c r="A152" i="9"/>
  <c r="C152" i="9"/>
  <c r="BM151" i="9"/>
  <c r="AI151" i="9"/>
  <c r="F151" i="9"/>
  <c r="C151" i="9"/>
  <c r="BM150" i="9"/>
  <c r="AO150" i="9"/>
  <c r="AI150" i="9"/>
  <c r="F150" i="9"/>
  <c r="C150" i="9"/>
  <c r="BM149" i="9"/>
  <c r="AI149" i="9"/>
  <c r="F149" i="9"/>
  <c r="C149" i="9"/>
  <c r="A149" i="9"/>
  <c r="BM148" i="9"/>
  <c r="AO148" i="9"/>
  <c r="AI148" i="9"/>
  <c r="F148" i="9"/>
  <c r="C148" i="9"/>
  <c r="BM147" i="9"/>
  <c r="AI147" i="9"/>
  <c r="F147" i="9"/>
  <c r="C147" i="9"/>
  <c r="A147" i="9"/>
  <c r="BM146" i="9"/>
  <c r="AO146" i="9"/>
  <c r="AI146" i="9"/>
  <c r="F146" i="9"/>
  <c r="C146" i="9"/>
  <c r="BM145" i="9"/>
  <c r="AI145" i="9"/>
  <c r="F145" i="9"/>
  <c r="C145" i="9"/>
  <c r="A145" i="9"/>
  <c r="BM144" i="9"/>
  <c r="AI144" i="9"/>
  <c r="F144" i="9"/>
  <c r="A144" i="9"/>
  <c r="C144" i="9"/>
  <c r="BM143" i="9"/>
  <c r="AI143" i="9"/>
  <c r="F143" i="9"/>
  <c r="C143" i="9"/>
  <c r="A143" i="9"/>
  <c r="BM142" i="9"/>
  <c r="AO142" i="9"/>
  <c r="AI142" i="9"/>
  <c r="F142" i="9"/>
  <c r="A142" i="9"/>
  <c r="C142" i="9"/>
  <c r="BM141" i="9"/>
  <c r="AI141" i="9"/>
  <c r="F141" i="9"/>
  <c r="C141" i="9"/>
  <c r="A141" i="9"/>
  <c r="BM140" i="9"/>
  <c r="AO140" i="9"/>
  <c r="AI140" i="9"/>
  <c r="F140" i="9"/>
  <c r="C140" i="9"/>
  <c r="BM139" i="9"/>
  <c r="AI139" i="9"/>
  <c r="F139" i="9"/>
  <c r="C139" i="9"/>
  <c r="A139" i="9"/>
  <c r="BM138" i="9"/>
  <c r="AO138" i="9"/>
  <c r="AI138" i="9"/>
  <c r="F138" i="9"/>
  <c r="C138" i="9"/>
  <c r="BM137" i="9"/>
  <c r="AI137" i="9"/>
  <c r="F137" i="9"/>
  <c r="C137" i="9"/>
  <c r="BM136" i="9"/>
  <c r="AI136" i="9"/>
  <c r="F136" i="9"/>
  <c r="C136" i="9"/>
  <c r="BM135" i="9"/>
  <c r="AI135" i="9"/>
  <c r="F135" i="9"/>
  <c r="C135" i="9"/>
  <c r="BM134" i="9"/>
  <c r="AI134" i="9"/>
  <c r="F134" i="9"/>
  <c r="C134" i="9"/>
  <c r="BM133" i="9"/>
  <c r="AI133" i="9"/>
  <c r="F133" i="9"/>
  <c r="C133" i="9"/>
  <c r="A133" i="9"/>
  <c r="BM132" i="9"/>
  <c r="AO132" i="9"/>
  <c r="AI132" i="9"/>
  <c r="F132" i="9"/>
  <c r="C132" i="9"/>
  <c r="BM131" i="9"/>
  <c r="AI131" i="9"/>
  <c r="F131" i="9"/>
  <c r="C131" i="9"/>
  <c r="A131" i="9"/>
  <c r="BM130" i="9"/>
  <c r="AI130" i="9"/>
  <c r="F130" i="9"/>
  <c r="C130" i="9"/>
  <c r="A130" i="9"/>
  <c r="BM129" i="9"/>
  <c r="AI129" i="9"/>
  <c r="F129" i="9"/>
  <c r="C129" i="9"/>
  <c r="A129" i="9"/>
  <c r="BM128" i="9"/>
  <c r="AO128" i="9"/>
  <c r="AI128" i="9"/>
  <c r="F128" i="9"/>
  <c r="C128" i="9"/>
  <c r="BM127" i="9"/>
  <c r="AI127" i="9"/>
  <c r="F127" i="9"/>
  <c r="C127" i="9"/>
  <c r="BM126" i="9"/>
  <c r="AO126" i="9"/>
  <c r="AI126" i="9"/>
  <c r="F126" i="9"/>
  <c r="A126" i="9"/>
  <c r="C126" i="9"/>
  <c r="BM125" i="9"/>
  <c r="AI125" i="9"/>
  <c r="F125" i="9"/>
  <c r="C125" i="9"/>
  <c r="BM124" i="9"/>
  <c r="AO124" i="9"/>
  <c r="AI124" i="9"/>
  <c r="F124" i="9"/>
  <c r="A124" i="9"/>
  <c r="C124" i="9"/>
  <c r="BM123" i="9"/>
  <c r="AI123" i="9"/>
  <c r="F123" i="9"/>
  <c r="C123" i="9"/>
  <c r="A123" i="9"/>
  <c r="BM122" i="9"/>
  <c r="AO122" i="9"/>
  <c r="AI122" i="9"/>
  <c r="F122" i="9"/>
  <c r="A122" i="9"/>
  <c r="C122" i="9"/>
  <c r="BM121" i="9"/>
  <c r="AI121" i="9"/>
  <c r="F121" i="9"/>
  <c r="C121" i="9"/>
  <c r="BM120" i="9"/>
  <c r="AO120" i="9"/>
  <c r="AI120" i="9"/>
  <c r="F120" i="9"/>
  <c r="A120" i="9"/>
  <c r="C120" i="9"/>
  <c r="BM119" i="9"/>
  <c r="AI119" i="9"/>
  <c r="F119" i="9"/>
  <c r="C119" i="9"/>
  <c r="BM118" i="9"/>
  <c r="AO118" i="9"/>
  <c r="AI118" i="9"/>
  <c r="F118" i="9"/>
  <c r="C118" i="9"/>
  <c r="BM117" i="9"/>
  <c r="AI117" i="9"/>
  <c r="F117" i="9"/>
  <c r="C117" i="9"/>
  <c r="BM116" i="9"/>
  <c r="AO116" i="9"/>
  <c r="AI116" i="9"/>
  <c r="F116" i="9"/>
  <c r="C116" i="9"/>
  <c r="A116" i="9"/>
  <c r="BM115" i="9"/>
  <c r="AI115" i="9"/>
  <c r="F115" i="9"/>
  <c r="C115" i="9"/>
  <c r="BM114" i="9"/>
  <c r="AO114" i="9"/>
  <c r="AI114" i="9"/>
  <c r="F114" i="9"/>
  <c r="A114" i="9"/>
  <c r="C114" i="9"/>
  <c r="BM113" i="9"/>
  <c r="AI113" i="9"/>
  <c r="F113" i="9"/>
  <c r="C113" i="9"/>
  <c r="A113" i="9"/>
  <c r="BM112" i="9"/>
  <c r="AO112" i="9"/>
  <c r="AI112" i="9"/>
  <c r="F112" i="9"/>
  <c r="A112" i="9"/>
  <c r="C112" i="9"/>
  <c r="BM111" i="9"/>
  <c r="AI111" i="9"/>
  <c r="F111" i="9"/>
  <c r="C111" i="9"/>
  <c r="BM110" i="9"/>
  <c r="AO110" i="9"/>
  <c r="AI110" i="9"/>
  <c r="F110" i="9"/>
  <c r="A110" i="9"/>
  <c r="C110" i="9"/>
  <c r="BM109" i="9"/>
  <c r="AI109" i="9"/>
  <c r="F109" i="9"/>
  <c r="C109" i="9"/>
  <c r="A109" i="9"/>
  <c r="BM108" i="9"/>
  <c r="AO108" i="9"/>
  <c r="AI108" i="9"/>
  <c r="F108" i="9"/>
  <c r="A108" i="9"/>
  <c r="C108" i="9"/>
  <c r="BM107" i="9"/>
  <c r="AI107" i="9"/>
  <c r="F107" i="9"/>
  <c r="C107" i="9"/>
  <c r="A107" i="9"/>
  <c r="BM106" i="9"/>
  <c r="AI106" i="9"/>
  <c r="F106" i="9"/>
  <c r="C106" i="9"/>
  <c r="BM105" i="9"/>
  <c r="AI105" i="9"/>
  <c r="F105" i="9"/>
  <c r="C105" i="9"/>
  <c r="A105" i="9"/>
  <c r="BM104" i="9"/>
  <c r="AO104" i="9"/>
  <c r="AI104" i="9"/>
  <c r="F104" i="9"/>
  <c r="A104" i="9"/>
  <c r="C104" i="9"/>
  <c r="BM103" i="9"/>
  <c r="AI103" i="9"/>
  <c r="F103" i="9"/>
  <c r="C103" i="9"/>
  <c r="A103" i="9"/>
  <c r="BM102" i="9"/>
  <c r="AO102" i="9"/>
  <c r="AI102" i="9"/>
  <c r="F102" i="9"/>
  <c r="C102" i="9"/>
  <c r="BM101" i="9"/>
  <c r="AI101" i="9"/>
  <c r="F101" i="9"/>
  <c r="C101" i="9"/>
  <c r="BM100" i="9"/>
  <c r="AO100" i="9"/>
  <c r="AI100" i="9"/>
  <c r="F100" i="9"/>
  <c r="A100" i="9"/>
  <c r="C100" i="9"/>
  <c r="BM99" i="9"/>
  <c r="AI99" i="9"/>
  <c r="F99" i="9"/>
  <c r="C99" i="9"/>
  <c r="A99" i="9"/>
  <c r="BM98" i="9"/>
  <c r="AO98" i="9"/>
  <c r="AI98" i="9"/>
  <c r="F98" i="9"/>
  <c r="C98" i="9"/>
  <c r="BM97" i="9"/>
  <c r="AI97" i="9"/>
  <c r="F97" i="9"/>
  <c r="C97" i="9"/>
  <c r="A97" i="9"/>
  <c r="BM96" i="9"/>
  <c r="AI96" i="9"/>
  <c r="F96" i="9"/>
  <c r="A96" i="9"/>
  <c r="C96" i="9"/>
  <c r="BM95" i="9"/>
  <c r="AI95" i="9"/>
  <c r="F95" i="9"/>
  <c r="C95" i="9"/>
  <c r="BM94" i="9"/>
  <c r="AI94" i="9"/>
  <c r="F94" i="9"/>
  <c r="A94" i="9"/>
  <c r="C94" i="9"/>
  <c r="BM93" i="9"/>
  <c r="AI93" i="9"/>
  <c r="F93" i="9"/>
  <c r="C93" i="9"/>
  <c r="BM92" i="9"/>
  <c r="AO92" i="9"/>
  <c r="AI92" i="9"/>
  <c r="F92" i="9"/>
  <c r="C92" i="9"/>
  <c r="BM91" i="9"/>
  <c r="AI91" i="9"/>
  <c r="F91" i="9"/>
  <c r="C91" i="9"/>
  <c r="A91" i="9"/>
  <c r="BM90" i="9"/>
  <c r="AI90" i="9"/>
  <c r="F90" i="9"/>
  <c r="C90" i="9"/>
  <c r="BM89" i="9"/>
  <c r="AI89" i="9"/>
  <c r="F89" i="9"/>
  <c r="C89" i="9"/>
  <c r="A89" i="9"/>
  <c r="BM88" i="9"/>
  <c r="AO88" i="9"/>
  <c r="AI88" i="9"/>
  <c r="F88" i="9"/>
  <c r="C88" i="9"/>
  <c r="BM87" i="9"/>
  <c r="AI87" i="9"/>
  <c r="F87" i="9"/>
  <c r="C87" i="9"/>
  <c r="A87" i="9"/>
  <c r="BM86" i="9"/>
  <c r="AI86" i="9"/>
  <c r="F86" i="9"/>
  <c r="C86" i="9"/>
  <c r="BM85" i="9"/>
  <c r="AI85" i="9"/>
  <c r="F85" i="9"/>
  <c r="C85" i="9"/>
  <c r="A85" i="9"/>
  <c r="BM64" i="9"/>
  <c r="AO64" i="9"/>
  <c r="AI64" i="9"/>
  <c r="F64" i="9"/>
  <c r="C64" i="9"/>
  <c r="BM63" i="9"/>
  <c r="AI63" i="9"/>
  <c r="F63" i="9"/>
  <c r="C63" i="9"/>
  <c r="A63" i="9"/>
  <c r="BM62" i="9"/>
  <c r="AO62" i="9"/>
  <c r="AI62" i="9"/>
  <c r="F62" i="9"/>
  <c r="C62" i="9"/>
  <c r="A62" i="9"/>
  <c r="BM61" i="9"/>
  <c r="AI61" i="9"/>
  <c r="F61" i="9"/>
  <c r="C61" i="9"/>
  <c r="A61" i="9"/>
  <c r="BM60" i="9"/>
  <c r="AO60" i="9"/>
  <c r="AI60" i="9"/>
  <c r="F60" i="9"/>
  <c r="C60" i="9"/>
  <c r="BM59" i="9"/>
  <c r="AI59" i="9"/>
  <c r="F59" i="9"/>
  <c r="C59" i="9"/>
  <c r="A59" i="9"/>
  <c r="BM58" i="9"/>
  <c r="AO58" i="9"/>
  <c r="AI58" i="9"/>
  <c r="F58" i="9"/>
  <c r="C58" i="9"/>
  <c r="BM57" i="9"/>
  <c r="AI57" i="9"/>
  <c r="F57" i="9"/>
  <c r="C57" i="9"/>
  <c r="A57" i="9"/>
  <c r="BM56" i="9"/>
  <c r="AI56" i="9"/>
  <c r="F56" i="9"/>
  <c r="C56" i="9"/>
  <c r="A56" i="9"/>
  <c r="BM55" i="9"/>
  <c r="AI55" i="9"/>
  <c r="F55" i="9"/>
  <c r="C55" i="9"/>
  <c r="A55" i="9"/>
  <c r="BM54" i="9"/>
  <c r="AO54" i="9"/>
  <c r="AI54" i="9"/>
  <c r="F54" i="9"/>
  <c r="C54" i="9"/>
  <c r="BM53" i="9"/>
  <c r="AI53" i="9"/>
  <c r="F53" i="9"/>
  <c r="C53" i="9"/>
  <c r="A53" i="9"/>
  <c r="BM52" i="9"/>
  <c r="AO52" i="9"/>
  <c r="AI52" i="9"/>
  <c r="F52" i="9"/>
  <c r="C52" i="9"/>
  <c r="A52" i="9"/>
  <c r="BM51" i="9"/>
  <c r="AI51" i="9"/>
  <c r="F51" i="9"/>
  <c r="C51" i="9"/>
  <c r="A51" i="9"/>
  <c r="BM50" i="9"/>
  <c r="AO50" i="9"/>
  <c r="AI50" i="9"/>
  <c r="F50" i="9"/>
  <c r="A50" i="9"/>
  <c r="C50" i="9"/>
  <c r="BM49" i="9"/>
  <c r="AI49" i="9"/>
  <c r="F49" i="9"/>
  <c r="C49" i="9"/>
  <c r="BM48" i="9"/>
  <c r="AO48" i="9"/>
  <c r="AI48" i="9"/>
  <c r="F48" i="9"/>
  <c r="C48" i="9"/>
  <c r="BM47" i="9"/>
  <c r="AI47" i="9"/>
  <c r="F47" i="9"/>
  <c r="C47" i="9"/>
  <c r="BM46" i="9"/>
  <c r="AO46" i="9"/>
  <c r="AI46" i="9"/>
  <c r="F46" i="9"/>
  <c r="A46" i="9"/>
  <c r="C46" i="9"/>
  <c r="BM45" i="9"/>
  <c r="AI45" i="9"/>
  <c r="F45" i="9"/>
  <c r="C45" i="9"/>
  <c r="A45" i="9"/>
  <c r="BM44" i="9"/>
  <c r="AO44" i="9"/>
  <c r="AI44" i="9"/>
  <c r="F44" i="9"/>
  <c r="A44" i="9"/>
  <c r="C44" i="9"/>
  <c r="BM43" i="9"/>
  <c r="AI43" i="9"/>
  <c r="F43" i="9"/>
  <c r="C43" i="9"/>
  <c r="BM42" i="9"/>
  <c r="AO42" i="9"/>
  <c r="AI42" i="9"/>
  <c r="F42" i="9"/>
  <c r="C42" i="9"/>
  <c r="BM41" i="9"/>
  <c r="AI41" i="9"/>
  <c r="F41" i="9"/>
  <c r="C41" i="9"/>
  <c r="BM40" i="9"/>
  <c r="AO40" i="9"/>
  <c r="AI40" i="9"/>
  <c r="F40" i="9"/>
  <c r="C40" i="9"/>
  <c r="A40" i="9"/>
  <c r="BM39" i="9"/>
  <c r="AI39" i="9"/>
  <c r="F39" i="9"/>
  <c r="C39" i="9"/>
  <c r="BM38" i="9"/>
  <c r="AO38" i="9"/>
  <c r="AI38" i="9"/>
  <c r="F38" i="9"/>
  <c r="A38" i="9"/>
  <c r="C38" i="9"/>
  <c r="BM37" i="9"/>
  <c r="AI37" i="9"/>
  <c r="F37" i="9"/>
  <c r="C37" i="9"/>
  <c r="BM36" i="9"/>
  <c r="AO36" i="9"/>
  <c r="AI36" i="9"/>
  <c r="F36" i="9"/>
  <c r="A36" i="9"/>
  <c r="C36" i="9"/>
  <c r="BM35" i="9"/>
  <c r="AI35" i="9"/>
  <c r="F35" i="9"/>
  <c r="C35" i="9"/>
  <c r="BM34" i="9"/>
  <c r="AO34" i="9"/>
  <c r="AI34" i="9"/>
  <c r="F34" i="9"/>
  <c r="A34" i="9"/>
  <c r="C34" i="9"/>
  <c r="BM33" i="9"/>
  <c r="AI33" i="9"/>
  <c r="F33" i="9"/>
  <c r="C33" i="9"/>
  <c r="BM32" i="9"/>
  <c r="AO32" i="9"/>
  <c r="AI32" i="9"/>
  <c r="F32" i="9"/>
  <c r="A32" i="9"/>
  <c r="C32" i="9"/>
  <c r="BM31" i="9"/>
  <c r="AI31" i="9"/>
  <c r="F31" i="9"/>
  <c r="C31" i="9"/>
  <c r="A31" i="9"/>
  <c r="BM30" i="9"/>
  <c r="AO30" i="9"/>
  <c r="AI30" i="9"/>
  <c r="F30" i="9"/>
  <c r="C30" i="9"/>
  <c r="BM29" i="9"/>
  <c r="AI29" i="9"/>
  <c r="F29" i="9"/>
  <c r="C29" i="9"/>
  <c r="A29" i="9"/>
  <c r="BM28" i="9"/>
  <c r="AO28" i="9"/>
  <c r="AI28" i="9"/>
  <c r="F28" i="9"/>
  <c r="C28" i="9"/>
  <c r="BM27" i="9"/>
  <c r="AI27" i="9"/>
  <c r="F27" i="9"/>
  <c r="C27" i="9"/>
  <c r="A27" i="9"/>
  <c r="BM26" i="9"/>
  <c r="AO26" i="9"/>
  <c r="AI26" i="9"/>
  <c r="F26" i="9"/>
  <c r="A26" i="9"/>
  <c r="C26" i="9"/>
  <c r="BM25" i="9"/>
  <c r="AI25" i="9"/>
  <c r="F25" i="9"/>
  <c r="C25" i="9"/>
  <c r="A25" i="9"/>
  <c r="BM20" i="9"/>
  <c r="AO20" i="9"/>
  <c r="F20" i="9"/>
  <c r="A20" i="9"/>
  <c r="C20" i="9"/>
  <c r="BM19" i="9"/>
  <c r="F19" i="9"/>
  <c r="C19" i="9"/>
  <c r="A19" i="9"/>
  <c r="BM18" i="9"/>
  <c r="AO18" i="9"/>
  <c r="F18" i="9"/>
  <c r="C18" i="9"/>
  <c r="BM17" i="9"/>
  <c r="F17" i="9"/>
  <c r="C17" i="9"/>
  <c r="A17" i="9"/>
  <c r="BM16" i="9"/>
  <c r="AO16" i="9"/>
  <c r="F16" i="9"/>
  <c r="A16" i="9"/>
  <c r="C16" i="9"/>
  <c r="BM15" i="9"/>
  <c r="F15" i="9"/>
  <c r="C15" i="9"/>
  <c r="A15" i="9"/>
  <c r="BM14" i="9"/>
  <c r="AO14" i="9"/>
  <c r="F14" i="9"/>
  <c r="A14" i="9"/>
  <c r="C14" i="9"/>
  <c r="BM13" i="9"/>
  <c r="F13" i="9"/>
  <c r="C13" i="9"/>
  <c r="BM12" i="9"/>
  <c r="AO12" i="9"/>
  <c r="F12" i="9"/>
  <c r="A12" i="9"/>
  <c r="C12" i="9"/>
  <c r="BM11" i="9"/>
  <c r="F11" i="9"/>
  <c r="C11" i="9"/>
  <c r="A11" i="9"/>
  <c r="BM10" i="9"/>
  <c r="AO10" i="9"/>
  <c r="AI10" i="9"/>
  <c r="F10" i="9"/>
  <c r="C10" i="9"/>
  <c r="BM9" i="9"/>
  <c r="AI9" i="9"/>
  <c r="F9" i="9"/>
  <c r="C9" i="9"/>
  <c r="BM8" i="9"/>
  <c r="AI8" i="9"/>
  <c r="F8" i="9"/>
  <c r="A8" i="9"/>
  <c r="C8" i="9"/>
  <c r="BM7" i="9"/>
  <c r="AI7" i="9"/>
  <c r="F7" i="9"/>
  <c r="C7" i="9"/>
  <c r="BM6" i="9"/>
  <c r="AO6" i="9"/>
  <c r="AI6" i="9"/>
  <c r="F6" i="9"/>
  <c r="C6" i="9"/>
  <c r="BM5" i="9"/>
  <c r="AI5" i="9"/>
  <c r="F5" i="9"/>
  <c r="C5" i="9"/>
  <c r="A5" i="9"/>
  <c r="AQ151" i="9"/>
  <c r="AQ153" i="9"/>
  <c r="AQ150" i="9"/>
  <c r="AQ154" i="9"/>
  <c r="AQ174" i="9"/>
  <c r="AQ168" i="9"/>
  <c r="AQ173" i="9"/>
  <c r="AQ148" i="9"/>
  <c r="AQ146" i="9"/>
  <c r="AQ149" i="9"/>
  <c r="AQ152" i="9"/>
  <c r="AQ145" i="9"/>
  <c r="AQ147" i="9"/>
  <c r="AQ126" i="9"/>
  <c r="AQ132" i="9"/>
  <c r="AQ127" i="9"/>
  <c r="AQ130" i="9"/>
  <c r="AQ133" i="9"/>
  <c r="AQ128" i="9"/>
  <c r="AQ131" i="9"/>
  <c r="AQ134" i="9"/>
  <c r="AQ129" i="9"/>
  <c r="AQ125" i="9"/>
  <c r="W18" i="9"/>
  <c r="W125" i="9"/>
  <c r="W133" i="9"/>
  <c r="W141" i="9"/>
  <c r="W127" i="9"/>
  <c r="W129" i="9"/>
  <c r="W145" i="9"/>
  <c r="W161" i="9"/>
  <c r="W134" i="9"/>
  <c r="W152" i="9"/>
  <c r="T173" i="9"/>
  <c r="T165" i="9"/>
  <c r="W130" i="9"/>
  <c r="W147" i="9"/>
  <c r="W155" i="9"/>
  <c r="W163" i="9"/>
  <c r="W148" i="9"/>
  <c r="W29" i="9"/>
  <c r="W40" i="9"/>
  <c r="AO8" i="9"/>
  <c r="AO130" i="9"/>
  <c r="AO164" i="9"/>
  <c r="AO172" i="9"/>
  <c r="AO56" i="9"/>
  <c r="AO86" i="9"/>
  <c r="AO94" i="9"/>
  <c r="AO242" i="9"/>
  <c r="AO266" i="9"/>
  <c r="AO272" i="9"/>
  <c r="AO5" i="9"/>
  <c r="AO11" i="9"/>
  <c r="AO17" i="9"/>
  <c r="AO27" i="9"/>
  <c r="AO33" i="9"/>
  <c r="AO39" i="9"/>
  <c r="AO45" i="9"/>
  <c r="AO51" i="9"/>
  <c r="AO57" i="9"/>
  <c r="AO63" i="9"/>
  <c r="AO89" i="9"/>
  <c r="AO95" i="9"/>
  <c r="AO101" i="9"/>
  <c r="AO107" i="9"/>
  <c r="AO115" i="9"/>
  <c r="AO121" i="9"/>
  <c r="AO127" i="9"/>
  <c r="AO133" i="9"/>
  <c r="AO139" i="9"/>
  <c r="AO145" i="9"/>
  <c r="AO151" i="9"/>
  <c r="AO157" i="9"/>
  <c r="AO163" i="9"/>
  <c r="AO169" i="9"/>
  <c r="AO175" i="9"/>
  <c r="AO181" i="9"/>
  <c r="AO227" i="9"/>
  <c r="AO233" i="9"/>
  <c r="AO239" i="9"/>
  <c r="AO265" i="9"/>
  <c r="AO271" i="9"/>
  <c r="AO275" i="9"/>
  <c r="AO281" i="9"/>
  <c r="AO90" i="9"/>
  <c r="AO96" i="9"/>
  <c r="AO134" i="9"/>
  <c r="AO274" i="9"/>
  <c r="AO282" i="9"/>
  <c r="AO7" i="9"/>
  <c r="AO13" i="9"/>
  <c r="AO25" i="9"/>
  <c r="AO31" i="9"/>
  <c r="AO37" i="9"/>
  <c r="AO43" i="9"/>
  <c r="AO49" i="9"/>
  <c r="AO55" i="9"/>
  <c r="AO61" i="9"/>
  <c r="AO87" i="9"/>
  <c r="AO93" i="9"/>
  <c r="AO99" i="9"/>
  <c r="AO105" i="9"/>
  <c r="AO111" i="9"/>
  <c r="AO117" i="9"/>
  <c r="AO123" i="9"/>
  <c r="AO129" i="9"/>
  <c r="AO135" i="9"/>
  <c r="AO141" i="9"/>
  <c r="AO147" i="9"/>
  <c r="AO153" i="9"/>
  <c r="AO159" i="9"/>
  <c r="AO165" i="9"/>
  <c r="AO171" i="9"/>
  <c r="AO177" i="9"/>
  <c r="AO183" i="9"/>
  <c r="AO229" i="9"/>
  <c r="AO235" i="9"/>
  <c r="AO241" i="9"/>
  <c r="AO267" i="9"/>
  <c r="AO273" i="9"/>
  <c r="AO277" i="9"/>
  <c r="AO283" i="9"/>
  <c r="AO106" i="9"/>
  <c r="AO136" i="9"/>
  <c r="AO144" i="9"/>
  <c r="AO9" i="9"/>
  <c r="AO15" i="9"/>
  <c r="AO19" i="9"/>
  <c r="AO29" i="9"/>
  <c r="AO35" i="9"/>
  <c r="AO41" i="9"/>
  <c r="AO47" i="9"/>
  <c r="AO53" i="9"/>
  <c r="AO59" i="9"/>
  <c r="AO85" i="9"/>
  <c r="AO91" i="9"/>
  <c r="AO97" i="9"/>
  <c r="AO103" i="9"/>
  <c r="AO109" i="9"/>
  <c r="AO113" i="9"/>
  <c r="AO119" i="9"/>
  <c r="AO125" i="9"/>
  <c r="AO131" i="9"/>
  <c r="AO137" i="9"/>
  <c r="AO143" i="9"/>
  <c r="AO149" i="9"/>
  <c r="AO155" i="9"/>
  <c r="AO161" i="9"/>
  <c r="AO167" i="9"/>
  <c r="AO173" i="9"/>
  <c r="AO179" i="9"/>
  <c r="AO225" i="9"/>
  <c r="AO231" i="9"/>
  <c r="AO237" i="9"/>
  <c r="AO243" i="9"/>
  <c r="AO269" i="9"/>
  <c r="AO279" i="9"/>
  <c r="AQ376" i="9"/>
  <c r="AQ369" i="9"/>
  <c r="AQ372" i="9"/>
  <c r="AQ365" i="9"/>
  <c r="AQ27" i="9"/>
  <c r="AQ70" i="9"/>
  <c r="AQ75" i="9"/>
  <c r="AQ68" i="9"/>
  <c r="AQ29" i="9"/>
  <c r="AQ37" i="9"/>
  <c r="AQ55" i="9"/>
  <c r="AQ50" i="9"/>
  <c r="AQ32" i="9"/>
  <c r="AQ38" i="9"/>
  <c r="AQ40" i="9"/>
  <c r="A283" i="9"/>
  <c r="A163" i="9"/>
  <c r="A101" i="9"/>
  <c r="A137" i="9"/>
  <c r="A171" i="9"/>
  <c r="A7" i="9"/>
  <c r="A140" i="9"/>
  <c r="A127" i="9"/>
  <c r="A43" i="9"/>
  <c r="A88" i="9"/>
  <c r="A173" i="9"/>
  <c r="A231" i="9"/>
  <c r="A35" i="9"/>
  <c r="A119" i="9"/>
  <c r="A95" i="9"/>
  <c r="A121" i="9"/>
  <c r="A33" i="9"/>
  <c r="A39" i="9"/>
  <c r="A41" i="9"/>
  <c r="A275" i="9"/>
  <c r="A159" i="9"/>
  <c r="A10" i="9"/>
  <c r="A115" i="9"/>
  <c r="A227" i="9"/>
  <c r="A177" i="9"/>
  <c r="A93" i="9"/>
  <c r="A125" i="9"/>
  <c r="A111" i="9"/>
  <c r="A47" i="9"/>
  <c r="A54" i="9"/>
  <c r="A9" i="9"/>
  <c r="A13" i="9"/>
  <c r="A49" i="9"/>
  <c r="A106" i="9"/>
  <c r="A135" i="9"/>
  <c r="A37" i="9"/>
  <c r="A151" i="9"/>
  <c r="A117" i="9"/>
  <c r="A237" i="9"/>
  <c r="A486" i="9"/>
  <c r="A374" i="9"/>
  <c r="A342" i="9"/>
  <c r="A494" i="9"/>
  <c r="A406" i="9"/>
  <c r="A382" i="9"/>
  <c r="A358" i="9"/>
  <c r="A310" i="9"/>
  <c r="A485" i="9"/>
  <c r="A405" i="9"/>
  <c r="A381" i="9"/>
  <c r="A309" i="9"/>
  <c r="A493" i="9"/>
  <c r="A477" i="9"/>
  <c r="A413" i="9"/>
  <c r="A23" i="9"/>
  <c r="A393" i="9"/>
  <c r="A24" i="9"/>
  <c r="A414" i="9"/>
  <c r="A453" i="9"/>
  <c r="A421" i="9"/>
  <c r="A389" i="9"/>
  <c r="A365" i="9"/>
  <c r="A341" i="9"/>
  <c r="A473" i="9"/>
  <c r="A433" i="9"/>
  <c r="A417" i="9"/>
  <c r="A401" i="9"/>
  <c r="A385" i="9"/>
  <c r="A345" i="9"/>
  <c r="A337" i="9"/>
  <c r="A329" i="9"/>
  <c r="A321" i="9"/>
  <c r="A6" i="9"/>
  <c r="A18" i="9"/>
  <c r="A28" i="9"/>
  <c r="A30" i="9"/>
  <c r="A42" i="9"/>
  <c r="A48" i="9"/>
  <c r="A58" i="9"/>
  <c r="A60" i="9"/>
  <c r="A64" i="9"/>
  <c r="A86" i="9"/>
  <c r="A90" i="9"/>
  <c r="A92" i="9"/>
  <c r="A98" i="9"/>
  <c r="A102" i="9"/>
  <c r="A118" i="9"/>
  <c r="A128" i="9"/>
  <c r="A132" i="9"/>
  <c r="A134" i="9"/>
  <c r="A136" i="9"/>
  <c r="A138" i="9"/>
  <c r="A146" i="9"/>
  <c r="A148" i="9"/>
  <c r="A150" i="9"/>
  <c r="A154" i="9"/>
  <c r="A156" i="9"/>
  <c r="A158" i="9"/>
  <c r="A160" i="9"/>
  <c r="A162" i="9"/>
  <c r="A168" i="9"/>
  <c r="A170" i="9"/>
  <c r="A174" i="9"/>
  <c r="A178" i="9"/>
  <c r="A182" i="9"/>
  <c r="A232" i="9"/>
  <c r="A234" i="9"/>
  <c r="A238" i="9"/>
  <c r="A240" i="9"/>
  <c r="A242" i="9"/>
  <c r="A272" i="9"/>
  <c r="A276" i="9"/>
  <c r="A278" i="9"/>
  <c r="A282" i="9"/>
  <c r="A495" i="9"/>
  <c r="A415" i="9"/>
  <c r="A399" i="9"/>
  <c r="A383" i="9"/>
  <c r="A359" i="9"/>
  <c r="A351" i="9"/>
  <c r="A335" i="9"/>
  <c r="A327" i="9"/>
  <c r="A190" i="9"/>
  <c r="A436" i="9"/>
  <c r="A420" i="9"/>
  <c r="A451" i="9"/>
  <c r="A419" i="9"/>
  <c r="A371" i="9"/>
  <c r="A355" i="9"/>
  <c r="A412" i="9"/>
  <c r="A380" i="9"/>
  <c r="A316" i="9"/>
  <c r="A458" i="9"/>
  <c r="A370" i="9"/>
  <c r="A362" i="9"/>
  <c r="A201" i="9"/>
  <c r="T333" i="9"/>
  <c r="T331" i="9"/>
  <c r="T344" i="9"/>
  <c r="T325" i="9"/>
  <c r="T336" i="9"/>
  <c r="T335" i="9"/>
  <c r="T339" i="9"/>
  <c r="T338" i="9"/>
  <c r="T328" i="9"/>
  <c r="T330" i="9"/>
  <c r="T343" i="9"/>
  <c r="T337" i="9"/>
  <c r="T329" i="9"/>
  <c r="T340" i="9"/>
  <c r="T326" i="9"/>
  <c r="T341" i="9"/>
  <c r="T342" i="9"/>
  <c r="T334" i="9"/>
  <c r="T332" i="9"/>
  <c r="T327" i="9"/>
  <c r="W53" i="9"/>
  <c r="W47" i="9"/>
  <c r="W58" i="9"/>
  <c r="W55" i="9"/>
  <c r="W60" i="9"/>
  <c r="W61" i="9"/>
  <c r="W63" i="9"/>
  <c r="W59" i="9"/>
  <c r="W48" i="9"/>
  <c r="W64" i="9"/>
  <c r="W49" i="9"/>
  <c r="W52" i="9"/>
  <c r="W56" i="9"/>
  <c r="W57" i="9"/>
  <c r="W46" i="9"/>
  <c r="W45" i="9"/>
  <c r="W54" i="9"/>
  <c r="W62" i="9"/>
  <c r="W51" i="9"/>
  <c r="W50" i="9"/>
  <c r="W106" i="9"/>
  <c r="W111" i="9"/>
  <c r="W112" i="9"/>
  <c r="W115" i="9"/>
  <c r="W124" i="9"/>
  <c r="T101" i="9"/>
  <c r="T95" i="9"/>
  <c r="T88" i="9"/>
  <c r="W120" i="9"/>
  <c r="W116" i="9"/>
  <c r="T91" i="9"/>
  <c r="T87" i="9"/>
  <c r="W121" i="9"/>
  <c r="W123" i="9"/>
  <c r="W119" i="9"/>
  <c r="W107" i="9"/>
  <c r="T104" i="9"/>
  <c r="T102" i="9"/>
  <c r="T86" i="9"/>
  <c r="T94" i="9"/>
  <c r="W122" i="9"/>
  <c r="T100" i="9"/>
  <c r="T97" i="9"/>
  <c r="W110" i="9"/>
  <c r="T93" i="9"/>
  <c r="T92" i="9"/>
  <c r="W105" i="9"/>
  <c r="T103" i="9"/>
  <c r="T99" i="9"/>
  <c r="W118" i="9"/>
  <c r="T89" i="9"/>
  <c r="W113" i="9"/>
  <c r="AQ64" i="9"/>
  <c r="W26" i="9"/>
  <c r="W28" i="9"/>
  <c r="W30" i="9"/>
  <c r="W34" i="9"/>
  <c r="W37" i="9"/>
  <c r="W42" i="9"/>
  <c r="W25" i="9"/>
  <c r="W36" i="9"/>
  <c r="W38" i="9"/>
  <c r="AQ180" i="9"/>
  <c r="BF214" i="9"/>
  <c r="BF194" i="9"/>
  <c r="AQ63" i="9"/>
  <c r="AV63" i="9"/>
  <c r="W44" i="9"/>
  <c r="W7" i="9"/>
  <c r="W109" i="9"/>
  <c r="AQ46" i="9"/>
  <c r="AQ30" i="9"/>
  <c r="AQ47" i="9"/>
  <c r="AQ51" i="9"/>
  <c r="AQ368" i="9"/>
  <c r="W31" i="9"/>
  <c r="W33" i="9"/>
  <c r="W139" i="9"/>
  <c r="W136" i="9"/>
  <c r="T181" i="9"/>
  <c r="T169" i="9"/>
  <c r="W6" i="9"/>
  <c r="T85" i="9"/>
  <c r="W15" i="9"/>
  <c r="W108" i="9"/>
  <c r="T112" i="9"/>
  <c r="T124" i="9"/>
  <c r="T117" i="9"/>
  <c r="T116" i="9"/>
  <c r="T118" i="9"/>
  <c r="T108" i="9"/>
  <c r="T120" i="9"/>
  <c r="T123" i="9"/>
  <c r="T106" i="9"/>
  <c r="T115" i="9"/>
  <c r="T109" i="9"/>
  <c r="T121" i="9"/>
  <c r="T107" i="9"/>
  <c r="T114" i="9"/>
  <c r="T105" i="9"/>
  <c r="T113" i="9"/>
  <c r="T122" i="9"/>
  <c r="BF437" i="9"/>
  <c r="AQ437" i="9"/>
  <c r="BF390" i="9"/>
  <c r="AV390" i="9"/>
  <c r="AQ83" i="9"/>
  <c r="AQ62" i="9"/>
  <c r="AQ59" i="9"/>
  <c r="W39" i="9"/>
  <c r="W41" i="9"/>
  <c r="W22" i="9"/>
  <c r="W149" i="9"/>
  <c r="T166" i="9"/>
  <c r="T184" i="9"/>
  <c r="T175" i="9"/>
  <c r="W137" i="9"/>
  <c r="W162" i="9"/>
  <c r="T178" i="9"/>
  <c r="AQ377" i="9"/>
  <c r="AQ374" i="9"/>
  <c r="AQ35" i="9"/>
  <c r="AQ31" i="9"/>
  <c r="AQ33" i="9"/>
  <c r="W144" i="9"/>
  <c r="W151" i="9"/>
  <c r="T171" i="9"/>
  <c r="AQ378" i="9"/>
  <c r="AQ36" i="9"/>
  <c r="AQ76" i="9"/>
  <c r="AQ57" i="9"/>
  <c r="AQ167" i="9"/>
  <c r="W157" i="9"/>
  <c r="W128" i="9"/>
  <c r="T176" i="9"/>
  <c r="W135" i="9"/>
  <c r="W153" i="9"/>
  <c r="T179" i="9"/>
  <c r="T170" i="9"/>
  <c r="AQ370" i="9"/>
  <c r="AQ28" i="9"/>
  <c r="AV28" i="9"/>
  <c r="AQ45" i="9"/>
  <c r="AQ34" i="9"/>
  <c r="AQ49" i="9"/>
  <c r="AQ74" i="9"/>
  <c r="AQ169" i="9"/>
  <c r="T183" i="9"/>
  <c r="T168" i="9"/>
  <c r="T180" i="9"/>
  <c r="W132" i="9"/>
  <c r="AQ77" i="9"/>
  <c r="AQ53" i="9"/>
  <c r="AQ25" i="9"/>
  <c r="AQ71" i="9"/>
  <c r="AQ171" i="9"/>
  <c r="AQ166" i="9"/>
  <c r="AQ172" i="9"/>
  <c r="T177" i="9"/>
  <c r="T167" i="9"/>
  <c r="W160" i="9"/>
  <c r="W126" i="9"/>
  <c r="T174" i="9"/>
  <c r="T172" i="9"/>
  <c r="W131" i="9"/>
  <c r="W140" i="9"/>
  <c r="AQ367" i="9"/>
  <c r="AQ371" i="9"/>
  <c r="AQ67" i="9"/>
  <c r="AQ72" i="9"/>
  <c r="AQ56" i="9"/>
  <c r="AV56" i="9"/>
  <c r="AQ48" i="9"/>
  <c r="AV48" i="9"/>
  <c r="AQ69" i="9"/>
  <c r="AQ66" i="9"/>
  <c r="AQ65" i="9"/>
  <c r="W43" i="9"/>
  <c r="W158" i="9"/>
  <c r="AQ373" i="9"/>
  <c r="W150" i="9"/>
  <c r="T96" i="9"/>
  <c r="W379" i="9"/>
  <c r="T424" i="9"/>
  <c r="T419" i="9"/>
  <c r="T421" i="9"/>
  <c r="T418" i="9"/>
  <c r="W365" i="9"/>
  <c r="T416" i="9"/>
  <c r="W367" i="9"/>
  <c r="T413" i="9"/>
  <c r="W384" i="9"/>
  <c r="W381" i="9"/>
  <c r="W378" i="9"/>
  <c r="W372" i="9"/>
  <c r="AQ448" i="9"/>
  <c r="AQ106" i="9"/>
  <c r="AQ108" i="9"/>
  <c r="T412" i="9"/>
  <c r="T415" i="9"/>
  <c r="W380" i="9"/>
  <c r="T417" i="9"/>
  <c r="W374" i="9"/>
  <c r="W371" i="9"/>
  <c r="T405" i="9"/>
  <c r="W369" i="9"/>
  <c r="W370" i="9"/>
  <c r="W366" i="9"/>
  <c r="AQ451" i="9"/>
  <c r="AQ446" i="9"/>
  <c r="AQ449" i="9"/>
  <c r="AQ406" i="9"/>
  <c r="AQ407" i="9"/>
  <c r="AQ114" i="9"/>
  <c r="AQ410" i="9"/>
  <c r="T414" i="9"/>
  <c r="W377" i="9"/>
  <c r="W382" i="9"/>
  <c r="T411" i="9"/>
  <c r="AQ447" i="9"/>
  <c r="AQ87" i="9"/>
  <c r="AQ88" i="9"/>
  <c r="AQ90" i="9"/>
  <c r="AQ415" i="9"/>
  <c r="AQ416" i="9"/>
  <c r="T423" i="9"/>
  <c r="W376" i="9"/>
  <c r="W383" i="9"/>
  <c r="AQ89" i="9"/>
  <c r="T407" i="9"/>
  <c r="T422" i="9"/>
  <c r="AQ414" i="9"/>
  <c r="AQ85" i="9"/>
  <c r="AQ110" i="9"/>
  <c r="AQ417" i="9"/>
  <c r="W375" i="9"/>
  <c r="W11" i="9"/>
  <c r="W8" i="9"/>
  <c r="W14" i="9"/>
  <c r="W13" i="9"/>
  <c r="W20" i="9"/>
  <c r="W16" i="9"/>
  <c r="W23" i="9"/>
  <c r="W24" i="9"/>
  <c r="W5" i="9"/>
  <c r="W10" i="9"/>
  <c r="W168" i="9"/>
  <c r="W177" i="9"/>
  <c r="AQ382" i="9"/>
  <c r="W169" i="9"/>
  <c r="W172" i="9"/>
  <c r="W165" i="9"/>
  <c r="W176" i="9"/>
  <c r="W170" i="9"/>
  <c r="W174" i="9"/>
  <c r="AQ175" i="9"/>
  <c r="AQ177" i="9"/>
  <c r="AQ179" i="9"/>
  <c r="W178" i="9"/>
  <c r="W175" i="9"/>
  <c r="AQ183" i="9"/>
  <c r="AV183" i="9"/>
  <c r="W181" i="9"/>
  <c r="W166" i="9"/>
  <c r="AQ181" i="9"/>
  <c r="AQ60" i="9"/>
  <c r="AQ81" i="9"/>
  <c r="AQ184" i="9"/>
  <c r="AQ84" i="9"/>
  <c r="AV84" i="9"/>
  <c r="W182" i="9"/>
  <c r="W167" i="9"/>
  <c r="AQ379" i="9"/>
  <c r="AQ176" i="9"/>
  <c r="AQ182" i="9"/>
  <c r="AQ79" i="9"/>
  <c r="AQ43" i="9"/>
  <c r="AQ78" i="9"/>
  <c r="AQ39" i="9"/>
  <c r="W183" i="9"/>
  <c r="AQ381" i="9"/>
  <c r="W171" i="9"/>
  <c r="AQ383" i="9"/>
  <c r="AQ178" i="9"/>
  <c r="AQ44" i="9"/>
  <c r="AQ61" i="9"/>
  <c r="AV61" i="9"/>
  <c r="AQ41" i="9"/>
  <c r="AQ82" i="9"/>
  <c r="W184" i="9"/>
  <c r="BF485" i="9"/>
  <c r="BF465" i="9"/>
  <c r="AQ80" i="9"/>
  <c r="W32" i="9"/>
  <c r="W179" i="9"/>
  <c r="W117" i="9"/>
  <c r="AQ54" i="9"/>
  <c r="AQ375" i="9"/>
  <c r="AV375" i="9"/>
  <c r="W154" i="9"/>
  <c r="T182" i="9"/>
  <c r="W21" i="9"/>
  <c r="W114" i="9"/>
  <c r="AQ58" i="9"/>
  <c r="AV58" i="9"/>
  <c r="AQ52" i="9"/>
  <c r="AV52" i="9"/>
  <c r="W35" i="9"/>
  <c r="W164" i="9"/>
  <c r="W146" i="9"/>
  <c r="W159" i="9"/>
  <c r="W12" i="9"/>
  <c r="W9" i="9"/>
  <c r="AQ170" i="9"/>
  <c r="AQ26" i="9"/>
  <c r="AQ73" i="9"/>
  <c r="AQ366" i="9"/>
  <c r="W27" i="9"/>
  <c r="W156" i="9"/>
  <c r="W138" i="9"/>
  <c r="W142" i="9"/>
  <c r="W143" i="9"/>
  <c r="W19" i="9"/>
  <c r="AQ384" i="9"/>
  <c r="W173" i="9"/>
  <c r="T110" i="9"/>
  <c r="T90" i="9"/>
  <c r="T406" i="9"/>
  <c r="W95" i="9"/>
  <c r="W96" i="9"/>
  <c r="W104" i="9"/>
  <c r="W88" i="9"/>
  <c r="W92" i="9"/>
  <c r="W90" i="9"/>
  <c r="W93" i="9"/>
  <c r="W98" i="9"/>
  <c r="W101" i="9"/>
  <c r="W91" i="9"/>
  <c r="W86" i="9"/>
  <c r="W103" i="9"/>
  <c r="W100" i="9"/>
  <c r="W85" i="9"/>
  <c r="W89" i="9"/>
  <c r="W87" i="9"/>
  <c r="W97" i="9"/>
  <c r="W67" i="9"/>
  <c r="W72" i="9"/>
  <c r="AV42" i="9"/>
  <c r="AV35" i="9"/>
  <c r="AV30" i="9"/>
  <c r="AV41" i="9"/>
  <c r="W75" i="9"/>
  <c r="W69" i="9"/>
  <c r="AV50" i="9"/>
  <c r="AV37" i="9"/>
  <c r="AV33" i="9"/>
  <c r="AV44" i="9"/>
  <c r="AV377" i="9"/>
  <c r="AV57" i="9"/>
  <c r="AV371" i="9"/>
  <c r="AV365" i="9"/>
  <c r="W68" i="9"/>
  <c r="W80" i="9"/>
  <c r="AV378" i="9"/>
  <c r="AV367" i="9"/>
  <c r="AV45" i="9"/>
  <c r="W65" i="9"/>
  <c r="W76" i="9"/>
  <c r="AV32" i="9"/>
  <c r="AV376" i="9"/>
  <c r="AV29" i="9"/>
  <c r="W73" i="9"/>
  <c r="W84" i="9"/>
  <c r="AV31" i="9"/>
  <c r="AV383" i="9"/>
  <c r="AV27" i="9"/>
  <c r="AV38" i="9"/>
  <c r="AV39" i="9"/>
  <c r="AV47" i="9"/>
  <c r="AV384" i="9"/>
  <c r="AV54" i="9"/>
  <c r="AV366" i="9"/>
  <c r="W71" i="9"/>
  <c r="W66" i="9"/>
  <c r="AQ303" i="9"/>
  <c r="AV216" i="9"/>
  <c r="W362" i="9"/>
  <c r="W356" i="9"/>
  <c r="W364" i="9"/>
  <c r="AQ203" i="9"/>
  <c r="AV83" i="9"/>
  <c r="AQ301" i="9"/>
  <c r="AV221" i="9"/>
  <c r="W363" i="9"/>
  <c r="W349" i="9"/>
  <c r="AV201" i="9"/>
  <c r="AQ159" i="9"/>
  <c r="AV182" i="9"/>
  <c r="AV220" i="9"/>
  <c r="W351" i="9"/>
  <c r="W345" i="9"/>
  <c r="AV80" i="9"/>
  <c r="AQ240" i="9"/>
  <c r="AQ161" i="9"/>
  <c r="AQ163" i="9"/>
  <c r="AQ158" i="9"/>
  <c r="AQ324" i="9"/>
  <c r="AQ244" i="9"/>
  <c r="AQ500" i="9"/>
  <c r="AQ223" i="9"/>
  <c r="AV223" i="9"/>
  <c r="W359" i="9"/>
  <c r="W353" i="9"/>
  <c r="AV197" i="9"/>
  <c r="AV82" i="9"/>
  <c r="AQ483" i="9"/>
  <c r="AQ281" i="9"/>
  <c r="AQ461" i="9"/>
  <c r="AV184" i="9"/>
  <c r="AV217" i="9"/>
  <c r="W357" i="9"/>
  <c r="W361" i="9"/>
  <c r="AV199" i="9"/>
  <c r="AV78" i="9"/>
  <c r="AQ258" i="9"/>
  <c r="AQ482" i="9"/>
  <c r="AV380" i="9"/>
  <c r="AV381" i="9"/>
  <c r="AV368" i="9"/>
  <c r="W78" i="9"/>
  <c r="W81" i="9"/>
  <c r="AV359" i="9"/>
  <c r="AV341" i="9"/>
  <c r="AV66" i="9"/>
  <c r="AQ196" i="9"/>
  <c r="T351" i="9"/>
  <c r="T350" i="9"/>
  <c r="AQ219" i="9"/>
  <c r="W346" i="9"/>
  <c r="AV219" i="9"/>
  <c r="AQ302" i="9"/>
  <c r="AQ290" i="9"/>
  <c r="W403" i="9"/>
  <c r="W395" i="9"/>
  <c r="AV240" i="9"/>
  <c r="AV282" i="9"/>
  <c r="AV422" i="9"/>
  <c r="AQ337" i="9"/>
  <c r="AQ340" i="9"/>
  <c r="W389" i="9"/>
  <c r="W388" i="9"/>
  <c r="AV103" i="9"/>
  <c r="AV121" i="9"/>
  <c r="AQ121" i="9"/>
  <c r="AV123" i="9"/>
  <c r="AQ335" i="9"/>
  <c r="AQ336" i="9"/>
  <c r="AQ442" i="9"/>
  <c r="AQ140" i="9"/>
  <c r="W400" i="9"/>
  <c r="W391" i="9"/>
  <c r="AV119" i="9"/>
  <c r="AV244" i="9"/>
  <c r="AQ343" i="9"/>
  <c r="AQ436" i="9"/>
  <c r="AQ342" i="9"/>
  <c r="AQ441" i="9"/>
  <c r="AQ404" i="9"/>
  <c r="AV404" i="9"/>
  <c r="AV224" i="9"/>
  <c r="W386" i="9"/>
  <c r="W392" i="9"/>
  <c r="AV241" i="9"/>
  <c r="AV284" i="9"/>
  <c r="AQ435" i="9"/>
  <c r="AQ444" i="9"/>
  <c r="AQ339" i="9"/>
  <c r="W385" i="9"/>
  <c r="W394" i="9"/>
  <c r="AV283" i="9"/>
  <c r="AV122" i="9"/>
  <c r="AV423" i="9"/>
  <c r="AV419" i="9"/>
  <c r="AQ443" i="9"/>
  <c r="AQ439" i="9"/>
  <c r="AQ141" i="9"/>
  <c r="AV372" i="9"/>
  <c r="AV60" i="9"/>
  <c r="AV369" i="9"/>
  <c r="W77" i="9"/>
  <c r="W409" i="9"/>
  <c r="W418" i="9"/>
  <c r="W422" i="9"/>
  <c r="W417" i="9"/>
  <c r="W412" i="9"/>
  <c r="W407" i="9"/>
  <c r="W421" i="9"/>
  <c r="AQ453" i="9"/>
  <c r="AQ455" i="9"/>
  <c r="AQ420" i="9"/>
  <c r="AQ99" i="9"/>
  <c r="AQ92" i="9"/>
  <c r="AQ101" i="9"/>
  <c r="W414" i="9"/>
  <c r="AQ454" i="9"/>
  <c r="W420" i="9"/>
  <c r="W424" i="9"/>
  <c r="AV165" i="9"/>
  <c r="AV174" i="9"/>
  <c r="AQ288" i="9"/>
  <c r="AQ298" i="9"/>
  <c r="AQ209" i="9"/>
  <c r="AQ216" i="9"/>
  <c r="T364" i="9"/>
  <c r="T363" i="9"/>
  <c r="AQ195" i="9"/>
  <c r="AQ190" i="9"/>
  <c r="AQ191" i="9"/>
  <c r="AV73" i="9"/>
  <c r="AV337" i="9"/>
  <c r="AV346" i="9"/>
  <c r="AV355" i="9"/>
  <c r="AV364" i="9"/>
  <c r="AV385" i="9"/>
  <c r="AV386" i="9"/>
  <c r="AV387" i="9"/>
  <c r="AV336" i="9"/>
  <c r="AV173" i="9"/>
  <c r="AV167" i="9"/>
  <c r="AQ295" i="9"/>
  <c r="AQ292" i="9"/>
  <c r="AQ222" i="9"/>
  <c r="AQ221" i="9"/>
  <c r="AQ220" i="9"/>
  <c r="T356" i="9"/>
  <c r="T355" i="9"/>
  <c r="AQ187" i="9"/>
  <c r="AQ188" i="9"/>
  <c r="AQ192" i="9"/>
  <c r="AV75" i="9"/>
  <c r="AV345" i="9"/>
  <c r="AV354" i="9"/>
  <c r="AV363" i="9"/>
  <c r="AV392" i="9"/>
  <c r="AV393" i="9"/>
  <c r="AV394" i="9"/>
  <c r="AV395" i="9"/>
  <c r="AV344" i="9"/>
  <c r="AQ271" i="9"/>
  <c r="AQ459" i="9"/>
  <c r="AV179" i="9"/>
  <c r="AQ286" i="9"/>
  <c r="AQ297" i="9"/>
  <c r="AQ211" i="9"/>
  <c r="T349" i="9"/>
  <c r="T359" i="9"/>
  <c r="AQ201" i="9"/>
  <c r="AQ186" i="9"/>
  <c r="AV77" i="9"/>
  <c r="AV353" i="9"/>
  <c r="AV398" i="9"/>
  <c r="AV348" i="9"/>
  <c r="AV401" i="9"/>
  <c r="AV335" i="9"/>
  <c r="AQ279" i="9"/>
  <c r="AQ475" i="9"/>
  <c r="AQ314" i="9"/>
  <c r="AQ492" i="9"/>
  <c r="AQ273" i="9"/>
  <c r="AQ226" i="9"/>
  <c r="AQ275" i="9"/>
  <c r="AQ253" i="9"/>
  <c r="AQ474" i="9"/>
  <c r="AV166" i="9"/>
  <c r="AQ299" i="9"/>
  <c r="AQ291" i="9"/>
  <c r="AQ218" i="9"/>
  <c r="T354" i="9"/>
  <c r="T358" i="9"/>
  <c r="AQ193" i="9"/>
  <c r="AQ197" i="9"/>
  <c r="AV72" i="9"/>
  <c r="AV361" i="9"/>
  <c r="AV331" i="9"/>
  <c r="AV356" i="9"/>
  <c r="AV326" i="9"/>
  <c r="AV343" i="9"/>
  <c r="AV328" i="9"/>
  <c r="AQ248" i="9"/>
  <c r="AQ312" i="9"/>
  <c r="AQ234" i="9"/>
  <c r="AQ250" i="9"/>
  <c r="AV168" i="9"/>
  <c r="AQ296" i="9"/>
  <c r="AQ289" i="9"/>
  <c r="AQ217" i="9"/>
  <c r="AQ207" i="9"/>
  <c r="T353" i="9"/>
  <c r="T347" i="9"/>
  <c r="AQ185" i="9"/>
  <c r="AQ189" i="9"/>
  <c r="AV76" i="9"/>
  <c r="AV389" i="9"/>
  <c r="AV339" i="9"/>
  <c r="AV400" i="9"/>
  <c r="AV334" i="9"/>
  <c r="AV351" i="9"/>
  <c r="AV352" i="9"/>
  <c r="AQ491" i="9"/>
  <c r="AQ478" i="9"/>
  <c r="AQ256" i="9"/>
  <c r="AQ320" i="9"/>
  <c r="AQ225" i="9"/>
  <c r="AQ469" i="9"/>
  <c r="AQ274" i="9"/>
  <c r="AQ227" i="9"/>
  <c r="AQ471" i="9"/>
  <c r="AQ497" i="9"/>
  <c r="AQ489" i="9"/>
  <c r="AQ472" i="9"/>
  <c r="AQ456" i="9"/>
  <c r="AQ457" i="9"/>
  <c r="AV40" i="9"/>
  <c r="AV64" i="9"/>
  <c r="AV370" i="9"/>
  <c r="AV59" i="9"/>
  <c r="AV53" i="9"/>
  <c r="W79" i="9"/>
  <c r="BF292" i="9"/>
  <c r="BF234" i="9"/>
  <c r="BF272" i="9"/>
  <c r="BF318" i="9"/>
  <c r="W328" i="9"/>
  <c r="W344" i="9"/>
  <c r="W329" i="9"/>
  <c r="W330" i="9"/>
  <c r="W341" i="9"/>
  <c r="BA185" i="9"/>
  <c r="BA165" i="9"/>
  <c r="BA345" i="9"/>
  <c r="BA205" i="9"/>
  <c r="BA245" i="9"/>
  <c r="BA25" i="9"/>
  <c r="BA405" i="9"/>
  <c r="AF50" i="9"/>
  <c r="AE50" i="9"/>
  <c r="AF214" i="9"/>
  <c r="AE214" i="9"/>
  <c r="AF408" i="9"/>
  <c r="AE408" i="9"/>
  <c r="AF95" i="9"/>
  <c r="AE95" i="9"/>
  <c r="AF298" i="9"/>
  <c r="AE298" i="9"/>
  <c r="AF14" i="9"/>
  <c r="AE14" i="9"/>
  <c r="AF6" i="9"/>
  <c r="AE6" i="9"/>
  <c r="AF397" i="9"/>
  <c r="AE397" i="9"/>
  <c r="AF391" i="9"/>
  <c r="AE391" i="9"/>
  <c r="AF212" i="9"/>
  <c r="AE212" i="9"/>
  <c r="AF22" i="9"/>
  <c r="AE22" i="9"/>
  <c r="AF54" i="9"/>
  <c r="AE54" i="9"/>
  <c r="AF80" i="9"/>
  <c r="AE80" i="9"/>
  <c r="AF503" i="9"/>
  <c r="AE503" i="9"/>
  <c r="AF140" i="9"/>
  <c r="AE140" i="9"/>
  <c r="AF480" i="9"/>
  <c r="AE480" i="9"/>
  <c r="AF262" i="9"/>
  <c r="AE262" i="9"/>
  <c r="AF300" i="9"/>
  <c r="AE300" i="9"/>
  <c r="AF290" i="9"/>
  <c r="AE290" i="9"/>
  <c r="AF45" i="9"/>
  <c r="AE45" i="9"/>
  <c r="AG45" i="9"/>
  <c r="AF203" i="9"/>
  <c r="AE203" i="9"/>
  <c r="AF401" i="9"/>
  <c r="AE401" i="9"/>
  <c r="AF292" i="9"/>
  <c r="AE292" i="9"/>
  <c r="AF455" i="9"/>
  <c r="AE455" i="9"/>
  <c r="AF35" i="9"/>
  <c r="AE35" i="9"/>
  <c r="AF37" i="9"/>
  <c r="AE37" i="9"/>
  <c r="AF462" i="9"/>
  <c r="AE462" i="9"/>
  <c r="AF208" i="9"/>
  <c r="AE208" i="9"/>
  <c r="AF194" i="9"/>
  <c r="AE194" i="9"/>
  <c r="AF390" i="9"/>
  <c r="AE390" i="9"/>
  <c r="AF32" i="9"/>
  <c r="AE32" i="9"/>
  <c r="AF152" i="9"/>
  <c r="AE152" i="9"/>
  <c r="AF481" i="9"/>
  <c r="AE481" i="9"/>
  <c r="AF473" i="9"/>
  <c r="AE473" i="9"/>
  <c r="AF487" i="9"/>
  <c r="AE487" i="9"/>
  <c r="AF272" i="9"/>
  <c r="AE272" i="9"/>
  <c r="AF467" i="9"/>
  <c r="AE467" i="9"/>
  <c r="AF143" i="9"/>
  <c r="AE143" i="9"/>
  <c r="AF413" i="9"/>
  <c r="AE413" i="9"/>
  <c r="AF112" i="9"/>
  <c r="AE112" i="9"/>
  <c r="AF107" i="9"/>
  <c r="AE107" i="9"/>
  <c r="AF196" i="9"/>
  <c r="AE196" i="9"/>
  <c r="AF224" i="9"/>
  <c r="AE224" i="9"/>
  <c r="AF476" i="9"/>
  <c r="AE476" i="9"/>
  <c r="AF324" i="9"/>
  <c r="AE324" i="9"/>
  <c r="AF338" i="9"/>
  <c r="AE338" i="9"/>
  <c r="AF229" i="9"/>
  <c r="AE229" i="9"/>
  <c r="AF67" i="9"/>
  <c r="AE67" i="9"/>
  <c r="AF129" i="9"/>
  <c r="AE129" i="9"/>
  <c r="AF370" i="9"/>
  <c r="AE370" i="9"/>
  <c r="AF239" i="9"/>
  <c r="AE239" i="9"/>
  <c r="AF294" i="9"/>
  <c r="AE294" i="9"/>
  <c r="AF474" i="9"/>
  <c r="AE474" i="9"/>
  <c r="AF28" i="9"/>
  <c r="AE28" i="9"/>
  <c r="AF114" i="9"/>
  <c r="AE114" i="9"/>
  <c r="AF285" i="9"/>
  <c r="AE285" i="9"/>
  <c r="AG285" i="9"/>
  <c r="AF244" i="9"/>
  <c r="AE244" i="9"/>
  <c r="AF36" i="9"/>
  <c r="AE36" i="9"/>
  <c r="AG37" i="9"/>
  <c r="AF149" i="9"/>
  <c r="AE149" i="9"/>
  <c r="AF264" i="9"/>
  <c r="AE264" i="9"/>
  <c r="AF236" i="9"/>
  <c r="AE236" i="9"/>
  <c r="AF388" i="9"/>
  <c r="AE388" i="9"/>
  <c r="AF120" i="9"/>
  <c r="AE120" i="9"/>
  <c r="AF394" i="9"/>
  <c r="AE394" i="9"/>
  <c r="AF403" i="9"/>
  <c r="AE403" i="9"/>
  <c r="AF231" i="9"/>
  <c r="AE231" i="9"/>
  <c r="AF204" i="9"/>
  <c r="AE204" i="9"/>
  <c r="AF382" i="9"/>
  <c r="AE382" i="9"/>
  <c r="AF20" i="9"/>
  <c r="AE20" i="9"/>
  <c r="AF12" i="9"/>
  <c r="AE12" i="9"/>
  <c r="AF209" i="9"/>
  <c r="AE209" i="9"/>
  <c r="AF310" i="9"/>
  <c r="AE310" i="9"/>
  <c r="AF344" i="9"/>
  <c r="AE344" i="9"/>
  <c r="AF158" i="9"/>
  <c r="AE158" i="9"/>
  <c r="AF25" i="9"/>
  <c r="AE25" i="9"/>
  <c r="AG25" i="9"/>
  <c r="AF99" i="9"/>
  <c r="AE99" i="9"/>
  <c r="AF187" i="9"/>
  <c r="AE187" i="9"/>
  <c r="AF206" i="9"/>
  <c r="AE206" i="9"/>
  <c r="AF211" i="9"/>
  <c r="AE211" i="9"/>
  <c r="AF289" i="9"/>
  <c r="AE289" i="9"/>
  <c r="AF299" i="9"/>
  <c r="AE299" i="9"/>
  <c r="AF44" i="9"/>
  <c r="AE44" i="9"/>
  <c r="AF183" i="9"/>
  <c r="AE183" i="9"/>
  <c r="AF346" i="9"/>
  <c r="AE346" i="9"/>
  <c r="AF184" i="9"/>
  <c r="AE184" i="9"/>
  <c r="AF340" i="9"/>
  <c r="AE340" i="9"/>
  <c r="AF73" i="9"/>
  <c r="AE73" i="9"/>
  <c r="AF130" i="9"/>
  <c r="AE130" i="9"/>
  <c r="AF463" i="9"/>
  <c r="AE463" i="9"/>
  <c r="AF493" i="9"/>
  <c r="AE493" i="9"/>
  <c r="AF311" i="9"/>
  <c r="AE311" i="9"/>
  <c r="AF226" i="9"/>
  <c r="AE226" i="9"/>
  <c r="AF199" i="9"/>
  <c r="AE199" i="9"/>
  <c r="AF430" i="9"/>
  <c r="AE430" i="9"/>
  <c r="AF446" i="9"/>
  <c r="AE446" i="9"/>
  <c r="AF124" i="9"/>
  <c r="AE124" i="9"/>
  <c r="AF227" i="9"/>
  <c r="AE227" i="9"/>
  <c r="AF375" i="9"/>
  <c r="AE375" i="9"/>
  <c r="AF269" i="9"/>
  <c r="AE269" i="9"/>
  <c r="AF318" i="9"/>
  <c r="AE318" i="9"/>
  <c r="AF235" i="9"/>
  <c r="AE235" i="9"/>
  <c r="AF341" i="9"/>
  <c r="AE341" i="9"/>
  <c r="AF207" i="9"/>
  <c r="AE207" i="9"/>
  <c r="AF186" i="9"/>
  <c r="AE186" i="9"/>
  <c r="AF170" i="9"/>
  <c r="AE170" i="9"/>
  <c r="AF56" i="9"/>
  <c r="AE56" i="9"/>
  <c r="AF29" i="9"/>
  <c r="AE29" i="9"/>
  <c r="AF376" i="9"/>
  <c r="AE376" i="9"/>
  <c r="AF144" i="9"/>
  <c r="AE144" i="9"/>
  <c r="AF134" i="9"/>
  <c r="AE134" i="9"/>
  <c r="AF280" i="9"/>
  <c r="AE280" i="9"/>
  <c r="AF398" i="9"/>
  <c r="AE398" i="9"/>
  <c r="AF381" i="9"/>
  <c r="AE381" i="9"/>
  <c r="AF61" i="9"/>
  <c r="AE61" i="9"/>
  <c r="AF491" i="9"/>
  <c r="AE491" i="9"/>
  <c r="AF421" i="9"/>
  <c r="AE421" i="9"/>
  <c r="AF76" i="9"/>
  <c r="AE76" i="9"/>
  <c r="AF469" i="9"/>
  <c r="AE469" i="9"/>
  <c r="AF190" i="9"/>
  <c r="AE190" i="9"/>
  <c r="AF343" i="9"/>
  <c r="AE343" i="9"/>
  <c r="AF79" i="9"/>
  <c r="AE79" i="9"/>
  <c r="AF48" i="9"/>
  <c r="AE48" i="9"/>
  <c r="AF146" i="9"/>
  <c r="AE146" i="9"/>
  <c r="AF429" i="9"/>
  <c r="AE429" i="9"/>
  <c r="AF103" i="9"/>
  <c r="AE103" i="9"/>
  <c r="AF257" i="9"/>
  <c r="AE257" i="9"/>
  <c r="AF142" i="9"/>
  <c r="AE142" i="9"/>
  <c r="AF277" i="9"/>
  <c r="AE277" i="9"/>
  <c r="AF200" i="9"/>
  <c r="AE200" i="9"/>
  <c r="AF504" i="9"/>
  <c r="AE504" i="9"/>
  <c r="AF400" i="9"/>
  <c r="AE400" i="9"/>
  <c r="AF379" i="9"/>
  <c r="AE379" i="9"/>
  <c r="AF111" i="9"/>
  <c r="AE111" i="9"/>
  <c r="AF286" i="9"/>
  <c r="AE286" i="9"/>
  <c r="AF335" i="9"/>
  <c r="AE335" i="9"/>
  <c r="AF383" i="9"/>
  <c r="AE383" i="9"/>
  <c r="AF278" i="9"/>
  <c r="AE278" i="9"/>
  <c r="AF434" i="9"/>
  <c r="AE434" i="9"/>
  <c r="AF327" i="9"/>
  <c r="AE327" i="9"/>
  <c r="AF154" i="9"/>
  <c r="AE154" i="9"/>
  <c r="AF472" i="9"/>
  <c r="AE472" i="9"/>
  <c r="AF217" i="9"/>
  <c r="AE217" i="9"/>
  <c r="AF221" i="9"/>
  <c r="AE221" i="9"/>
  <c r="AF439" i="9"/>
  <c r="AE439" i="9"/>
  <c r="AF72" i="9"/>
  <c r="AE72" i="9"/>
  <c r="AF168" i="9"/>
  <c r="AE168" i="9"/>
  <c r="AF228" i="9"/>
  <c r="AE228" i="9"/>
  <c r="AF267" i="9"/>
  <c r="AE267" i="9"/>
  <c r="AF198" i="9"/>
  <c r="AE198" i="9"/>
  <c r="AG199" i="9"/>
  <c r="AF471" i="9"/>
  <c r="AE471" i="9"/>
  <c r="AF161" i="9"/>
  <c r="AE161" i="9"/>
  <c r="AF27" i="9"/>
  <c r="AE27" i="9"/>
  <c r="AF128" i="9"/>
  <c r="AE128" i="9"/>
  <c r="AF150" i="9"/>
  <c r="AE150" i="9"/>
  <c r="AF354" i="9"/>
  <c r="AE354" i="9"/>
  <c r="AF118" i="9"/>
  <c r="AE118" i="9"/>
  <c r="AF98" i="9"/>
  <c r="AE98" i="9"/>
  <c r="AF119" i="9"/>
  <c r="AE119" i="9"/>
  <c r="AF162" i="9"/>
  <c r="AE162" i="9"/>
  <c r="AF433" i="9"/>
  <c r="AE433" i="9"/>
  <c r="AF358" i="9"/>
  <c r="AE358" i="9"/>
  <c r="AF329" i="9"/>
  <c r="AE329" i="9"/>
  <c r="AF110" i="9"/>
  <c r="AE110" i="9"/>
  <c r="AF213" i="9"/>
  <c r="AE213" i="9"/>
  <c r="AF449" i="9"/>
  <c r="AE449" i="9"/>
  <c r="AF287" i="9"/>
  <c r="AE287" i="9"/>
  <c r="AF188" i="9"/>
  <c r="AE188" i="9"/>
  <c r="AF215" i="9"/>
  <c r="AE215" i="9"/>
  <c r="AF84" i="9"/>
  <c r="AE84" i="9"/>
  <c r="AF319" i="9"/>
  <c r="AE319" i="9"/>
  <c r="AF499" i="9"/>
  <c r="AE499" i="9"/>
  <c r="AF151" i="9"/>
  <c r="AE151" i="9"/>
  <c r="AF396" i="9"/>
  <c r="AE396" i="9"/>
  <c r="AF490" i="9"/>
  <c r="AE490" i="9"/>
  <c r="AF243" i="9"/>
  <c r="AE243" i="9"/>
  <c r="AF232" i="9"/>
  <c r="AE232" i="9"/>
  <c r="AF432" i="9"/>
  <c r="AE432" i="9"/>
  <c r="AF116" i="9"/>
  <c r="AE116" i="9"/>
  <c r="AF322" i="9"/>
  <c r="AE322" i="9"/>
  <c r="AF49" i="9"/>
  <c r="AE49" i="9"/>
  <c r="AF87" i="9"/>
  <c r="AE87" i="9"/>
  <c r="AF218" i="9"/>
  <c r="AE218" i="9"/>
  <c r="AF304" i="9"/>
  <c r="AE304" i="9"/>
  <c r="AF470" i="9"/>
  <c r="AE470" i="9"/>
  <c r="AF453" i="9"/>
  <c r="AE453" i="9"/>
  <c r="AF281" i="9"/>
  <c r="AE281" i="9"/>
  <c r="AF166" i="9"/>
  <c r="AE166" i="9"/>
  <c r="AF96" i="9"/>
  <c r="AE96" i="9"/>
  <c r="AG96" i="9"/>
  <c r="AF222" i="9"/>
  <c r="AE222" i="9"/>
  <c r="AF53" i="9"/>
  <c r="AE53" i="9"/>
  <c r="AF179" i="9"/>
  <c r="AE179" i="9"/>
  <c r="AF171" i="9"/>
  <c r="AE171" i="9"/>
  <c r="AF249" i="9"/>
  <c r="AE249" i="9"/>
  <c r="AF263" i="9"/>
  <c r="AE263" i="9"/>
  <c r="AF328" i="9"/>
  <c r="AE328" i="9"/>
  <c r="AF108" i="9"/>
  <c r="AE108" i="9"/>
  <c r="AF155" i="9"/>
  <c r="AE155" i="9"/>
  <c r="AF419" i="9"/>
  <c r="AE419" i="9"/>
  <c r="AF167" i="9"/>
  <c r="AE167" i="9"/>
  <c r="AF63" i="9"/>
  <c r="AE63" i="9"/>
  <c r="AF74" i="9"/>
  <c r="AE74" i="9"/>
  <c r="AF57" i="9"/>
  <c r="AE57" i="9"/>
  <c r="AF64" i="9"/>
  <c r="AE64" i="9"/>
  <c r="AF438" i="9"/>
  <c r="AE438" i="9"/>
  <c r="AF100" i="9"/>
  <c r="AE100" i="9"/>
  <c r="AF234" i="9"/>
  <c r="AE234" i="9"/>
  <c r="AF283" i="9"/>
  <c r="AE283" i="9"/>
  <c r="AF442" i="9"/>
  <c r="AE442" i="9"/>
  <c r="AF387" i="9"/>
  <c r="AE387" i="9"/>
  <c r="AF372" i="9"/>
  <c r="AE372" i="9"/>
  <c r="AF66" i="9"/>
  <c r="AE66" i="9"/>
  <c r="AF500" i="9"/>
  <c r="AE500" i="9"/>
  <c r="AF484" i="9"/>
  <c r="AE484" i="9"/>
  <c r="AF316" i="9"/>
  <c r="AE316" i="9"/>
  <c r="AF415" i="9"/>
  <c r="AE415" i="9"/>
  <c r="AF297" i="9"/>
  <c r="AE297" i="9"/>
  <c r="AF220" i="9"/>
  <c r="AE220" i="9"/>
  <c r="AF336" i="9"/>
  <c r="AE336" i="9"/>
  <c r="AF258" i="9"/>
  <c r="AE258" i="9"/>
  <c r="AF366" i="9"/>
  <c r="AE366" i="9"/>
  <c r="AF26" i="9"/>
  <c r="AE26" i="9"/>
  <c r="AF52" i="9"/>
  <c r="AE52" i="9"/>
  <c r="AF90" i="9"/>
  <c r="AE90" i="9"/>
  <c r="AF365" i="9"/>
  <c r="AE365" i="9"/>
  <c r="AG365" i="9"/>
  <c r="AF133" i="9"/>
  <c r="AE133" i="9"/>
  <c r="AF153" i="9"/>
  <c r="AE153" i="9"/>
  <c r="AF356" i="9"/>
  <c r="AE356" i="9"/>
  <c r="AF399" i="9"/>
  <c r="AE399" i="9"/>
  <c r="AF395" i="9"/>
  <c r="AE395" i="9"/>
  <c r="AF94" i="9"/>
  <c r="AE94" i="9"/>
  <c r="AF412" i="9"/>
  <c r="AE412" i="9"/>
  <c r="AG413" i="9"/>
  <c r="AF458" i="9"/>
  <c r="AE458" i="9"/>
  <c r="AF268" i="9"/>
  <c r="AE268" i="9"/>
  <c r="AF284" i="9"/>
  <c r="AE284" i="9"/>
  <c r="AF479" i="9"/>
  <c r="AE479" i="9"/>
  <c r="AF251" i="9"/>
  <c r="AE251" i="9"/>
  <c r="AF265" i="9"/>
  <c r="AE265" i="9"/>
  <c r="AG265" i="9"/>
  <c r="AF282" i="9"/>
  <c r="AE282" i="9"/>
  <c r="AF333" i="9"/>
  <c r="AE333" i="9"/>
  <c r="AF330" i="9"/>
  <c r="AE330" i="9"/>
  <c r="AF135" i="9"/>
  <c r="AE135" i="9"/>
  <c r="AF350" i="9"/>
  <c r="AE350" i="9"/>
  <c r="AF91" i="9"/>
  <c r="AE91" i="9"/>
  <c r="AF160" i="9"/>
  <c r="AE160" i="9"/>
  <c r="AF293" i="9"/>
  <c r="AE293" i="9"/>
  <c r="AF180" i="9"/>
  <c r="AE180" i="9"/>
  <c r="AF46" i="9"/>
  <c r="AE46" i="9"/>
  <c r="AF216" i="9"/>
  <c r="AE216" i="9"/>
  <c r="AF9" i="9"/>
  <c r="AE9" i="9"/>
  <c r="AF125" i="9"/>
  <c r="AE125" i="9"/>
  <c r="AF402" i="9"/>
  <c r="AE402" i="9"/>
  <c r="AF389" i="9"/>
  <c r="AE389" i="9"/>
  <c r="AF123" i="9"/>
  <c r="AE123" i="9"/>
  <c r="AF270" i="9"/>
  <c r="AE270" i="9"/>
  <c r="AF246" i="9"/>
  <c r="AE246" i="9"/>
  <c r="AF241" i="9"/>
  <c r="AE241" i="9"/>
  <c r="AF468" i="9"/>
  <c r="AE468" i="9"/>
  <c r="AF85" i="9"/>
  <c r="AE85" i="9"/>
  <c r="AG85" i="9"/>
  <c r="AF113" i="9"/>
  <c r="AE113" i="9"/>
  <c r="AF485" i="9"/>
  <c r="AE485" i="9"/>
  <c r="AG485" i="9"/>
  <c r="AF205" i="9"/>
  <c r="AE205" i="9"/>
  <c r="AG205" i="9"/>
  <c r="AF145" i="9"/>
  <c r="AE145" i="9"/>
  <c r="AG145" i="9"/>
  <c r="AF496" i="9"/>
  <c r="AE496" i="9"/>
  <c r="AF436" i="9"/>
  <c r="AE436" i="9"/>
  <c r="AF312" i="9"/>
  <c r="AE312" i="9"/>
  <c r="AF452" i="9"/>
  <c r="AE452" i="9"/>
  <c r="AF359" i="9"/>
  <c r="AE359" i="9"/>
  <c r="AF342" i="9"/>
  <c r="AE342" i="9"/>
  <c r="AF164" i="9"/>
  <c r="AE164" i="9"/>
  <c r="AF38" i="9"/>
  <c r="AE38" i="9"/>
  <c r="AF457" i="9"/>
  <c r="AE457" i="9"/>
  <c r="AF323" i="9"/>
  <c r="AE323" i="9"/>
  <c r="AF169" i="9"/>
  <c r="AE169" i="9"/>
  <c r="AF71" i="9"/>
  <c r="AE71" i="9"/>
  <c r="AF441" i="9"/>
  <c r="AE441" i="9"/>
  <c r="AF313" i="9"/>
  <c r="AE313" i="9"/>
  <c r="AF109" i="9"/>
  <c r="AE109" i="9"/>
  <c r="AF93" i="9"/>
  <c r="AE93" i="9"/>
  <c r="AF197" i="9"/>
  <c r="AE197" i="9"/>
  <c r="AF10" i="9"/>
  <c r="AE10" i="9"/>
  <c r="AF291" i="9"/>
  <c r="AE291" i="9"/>
  <c r="AF447" i="9"/>
  <c r="AE447" i="9"/>
  <c r="AF364" i="9"/>
  <c r="AE364" i="9"/>
  <c r="AF97" i="9"/>
  <c r="AE97" i="9"/>
  <c r="AF307" i="9"/>
  <c r="AE307" i="9"/>
  <c r="AF275" i="9"/>
  <c r="AE275" i="9"/>
  <c r="AF279" i="9"/>
  <c r="AE279" i="9"/>
  <c r="AF13" i="9"/>
  <c r="AE13" i="9"/>
  <c r="AF5" i="9"/>
  <c r="AE5" i="9"/>
  <c r="AG5" i="9"/>
  <c r="AF182" i="9"/>
  <c r="AE182" i="9"/>
  <c r="AF127" i="9"/>
  <c r="AE127" i="9"/>
  <c r="AF23" i="9"/>
  <c r="AE23" i="9"/>
  <c r="AF132" i="9"/>
  <c r="AE132" i="9"/>
  <c r="AF357" i="9"/>
  <c r="AE357" i="9"/>
  <c r="AF355" i="9"/>
  <c r="AE355" i="9"/>
  <c r="AF351" i="9"/>
  <c r="AE351" i="9"/>
  <c r="AF105" i="9"/>
  <c r="AE105" i="9"/>
  <c r="AG105" i="9"/>
  <c r="AF464" i="9"/>
  <c r="AE464" i="9"/>
  <c r="AF315" i="9"/>
  <c r="AE315" i="9"/>
  <c r="AF477" i="9"/>
  <c r="AE477" i="9"/>
  <c r="AF255" i="9"/>
  <c r="AE255" i="9"/>
  <c r="AF139" i="9"/>
  <c r="AE139" i="9"/>
  <c r="AF349" i="9"/>
  <c r="AE349" i="9"/>
  <c r="AF102" i="9"/>
  <c r="AE102" i="9"/>
  <c r="AF147" i="9"/>
  <c r="AE147" i="9"/>
  <c r="AF178" i="9"/>
  <c r="AE178" i="9"/>
  <c r="AF444" i="9"/>
  <c r="AE444" i="9"/>
  <c r="AF248" i="9"/>
  <c r="AE248" i="9"/>
  <c r="AF443" i="9"/>
  <c r="AE443" i="9"/>
  <c r="AF368" i="9"/>
  <c r="AE368" i="9"/>
  <c r="AF317" i="9"/>
  <c r="AE317" i="9"/>
  <c r="AF131" i="9"/>
  <c r="AE131" i="9"/>
  <c r="AF30" i="9"/>
  <c r="AE30" i="9"/>
  <c r="AF406" i="9"/>
  <c r="AE406" i="9"/>
  <c r="AF314" i="9"/>
  <c r="AE314" i="9"/>
  <c r="AG315" i="9"/>
  <c r="AF177" i="9"/>
  <c r="AE177" i="9"/>
  <c r="AF88" i="9"/>
  <c r="AE88" i="9"/>
  <c r="AG88" i="9"/>
  <c r="AF39" i="9"/>
  <c r="AE39" i="9"/>
  <c r="AF489" i="9"/>
  <c r="AE489" i="9"/>
  <c r="AF409" i="9"/>
  <c r="AE409" i="9"/>
  <c r="AF353" i="9"/>
  <c r="AE353" i="9"/>
  <c r="AF165" i="9"/>
  <c r="AE165" i="9"/>
  <c r="AF195" i="9"/>
  <c r="AE195" i="9"/>
  <c r="AF185" i="9"/>
  <c r="AE185" i="9"/>
  <c r="AG185" i="9"/>
  <c r="AF339" i="9"/>
  <c r="AE339" i="9"/>
  <c r="AF417" i="9"/>
  <c r="AE417" i="9"/>
  <c r="AF117" i="9"/>
  <c r="AE117" i="9"/>
  <c r="AF254" i="9"/>
  <c r="AE254" i="9"/>
  <c r="AF136" i="9"/>
  <c r="AE136" i="9"/>
  <c r="AF176" i="9"/>
  <c r="AE176" i="9"/>
  <c r="AF219" i="9"/>
  <c r="AE219" i="9"/>
  <c r="AF301" i="9"/>
  <c r="AE301" i="9"/>
  <c r="AF303" i="9"/>
  <c r="AE303" i="9"/>
  <c r="AF371" i="9"/>
  <c r="AE371" i="9"/>
  <c r="AF422" i="9"/>
  <c r="AE422" i="9"/>
  <c r="AF498" i="9"/>
  <c r="AE498" i="9"/>
  <c r="AF242" i="9"/>
  <c r="AE242" i="9"/>
  <c r="AF138" i="9"/>
  <c r="AE138" i="9"/>
  <c r="AF426" i="9"/>
  <c r="AE426" i="9"/>
  <c r="AF450" i="9"/>
  <c r="AE450" i="9"/>
  <c r="AF65" i="9"/>
  <c r="AE65" i="9"/>
  <c r="AF15" i="9"/>
  <c r="AE15" i="9"/>
  <c r="AF7" i="9"/>
  <c r="AE7" i="9"/>
  <c r="AF393" i="9"/>
  <c r="AE393" i="9"/>
  <c r="AF360" i="9"/>
  <c r="AE360" i="9"/>
  <c r="AF104" i="9"/>
  <c r="AE104" i="9"/>
  <c r="AF260" i="9"/>
  <c r="AE260" i="9"/>
  <c r="AF276" i="9"/>
  <c r="AE276" i="9"/>
  <c r="AF502" i="9"/>
  <c r="AE502" i="9"/>
  <c r="AF332" i="9"/>
  <c r="AE332" i="9"/>
  <c r="AF411" i="9"/>
  <c r="AE411" i="9"/>
  <c r="AF101" i="9"/>
  <c r="AE101" i="9"/>
  <c r="AF202" i="9"/>
  <c r="AE202" i="9"/>
  <c r="AF34" i="9"/>
  <c r="AE34" i="9"/>
  <c r="AF486" i="9"/>
  <c r="AE486" i="9"/>
  <c r="AF427" i="9"/>
  <c r="AE427" i="9"/>
  <c r="AF483" i="9"/>
  <c r="AE483" i="9"/>
  <c r="AG484" i="9"/>
  <c r="AF373" i="9"/>
  <c r="AE373" i="9"/>
  <c r="AF331" i="9"/>
  <c r="AE331" i="9"/>
  <c r="AF121" i="9"/>
  <c r="AE121" i="9"/>
  <c r="AF369" i="9"/>
  <c r="AE369" i="9"/>
  <c r="AF345" i="9"/>
  <c r="AE345" i="9"/>
  <c r="AF295" i="9"/>
  <c r="AE295" i="9"/>
  <c r="AF454" i="9"/>
  <c r="AE454" i="9"/>
  <c r="AF302" i="9"/>
  <c r="AE302" i="9"/>
  <c r="AF392" i="9"/>
  <c r="AE392" i="9"/>
  <c r="AF347" i="9"/>
  <c r="AE347" i="9"/>
  <c r="AF352" i="9"/>
  <c r="AE352" i="9"/>
  <c r="AF115" i="9"/>
  <c r="AE115" i="9"/>
  <c r="AF445" i="9"/>
  <c r="AE445" i="9"/>
  <c r="AG445" i="9"/>
  <c r="AF210" i="9"/>
  <c r="AE210" i="9"/>
  <c r="AF495" i="9"/>
  <c r="AE495" i="9"/>
  <c r="AF163" i="9"/>
  <c r="AE163" i="9"/>
  <c r="AF70" i="9"/>
  <c r="AE70" i="9"/>
  <c r="AF296" i="9"/>
  <c r="AE296" i="9"/>
  <c r="AF288" i="9"/>
  <c r="AE288" i="9"/>
  <c r="AF60" i="9"/>
  <c r="AE60" i="9"/>
  <c r="AF423" i="9"/>
  <c r="AE423" i="9"/>
  <c r="AF482" i="9"/>
  <c r="AE482" i="9"/>
  <c r="AF33" i="9"/>
  <c r="AE33" i="9"/>
  <c r="AF42" i="9"/>
  <c r="AE42" i="9"/>
  <c r="AF384" i="9"/>
  <c r="AE384" i="9"/>
  <c r="AF78" i="9"/>
  <c r="AE78" i="9"/>
  <c r="AF175" i="9"/>
  <c r="AE175" i="9"/>
  <c r="AF456" i="9"/>
  <c r="AE456" i="9"/>
  <c r="AF478" i="9"/>
  <c r="AE478" i="9"/>
  <c r="AF193" i="9"/>
  <c r="AE193" i="9"/>
  <c r="AF459" i="9"/>
  <c r="AE459" i="9"/>
  <c r="AF363" i="9"/>
  <c r="AE363" i="9"/>
  <c r="AF404" i="9"/>
  <c r="AE404" i="9"/>
  <c r="AF223" i="9"/>
  <c r="AE223" i="9"/>
  <c r="AF47" i="9"/>
  <c r="AE47" i="9"/>
  <c r="AF58" i="9"/>
  <c r="AE58" i="9"/>
  <c r="AF374" i="9"/>
  <c r="AE374" i="9"/>
  <c r="AF51" i="9"/>
  <c r="AE51" i="9"/>
  <c r="AF174" i="9"/>
  <c r="AE174" i="9"/>
  <c r="AF8" i="9"/>
  <c r="AE8" i="9"/>
  <c r="AF59" i="9"/>
  <c r="AE59" i="9"/>
  <c r="AF274" i="9"/>
  <c r="AE274" i="9"/>
  <c r="AF271" i="9"/>
  <c r="AE271" i="9"/>
  <c r="AF191" i="9"/>
  <c r="AE191" i="9"/>
  <c r="AF420" i="9"/>
  <c r="AE420" i="9"/>
  <c r="AF41" i="9"/>
  <c r="AE41" i="9"/>
  <c r="AF81" i="9"/>
  <c r="AE81" i="9"/>
  <c r="AF410" i="9"/>
  <c r="AE410" i="9"/>
  <c r="AF172" i="9"/>
  <c r="AE172" i="9"/>
  <c r="AF378" i="9"/>
  <c r="AE378" i="9"/>
  <c r="AF11" i="9"/>
  <c r="AE11" i="9"/>
  <c r="AF385" i="9"/>
  <c r="AE385" i="9"/>
  <c r="AF431" i="9"/>
  <c r="AE431" i="9"/>
  <c r="AF261" i="9"/>
  <c r="AE261" i="9"/>
  <c r="AF238" i="9"/>
  <c r="AE238" i="9"/>
  <c r="AF259" i="9"/>
  <c r="AE259" i="9"/>
  <c r="AF305" i="9"/>
  <c r="AE305" i="9"/>
  <c r="AF440" i="9"/>
  <c r="AE440" i="9"/>
  <c r="AF137" i="9"/>
  <c r="AE137" i="9"/>
  <c r="AF92" i="9"/>
  <c r="AE92" i="9"/>
  <c r="AF77" i="9"/>
  <c r="AE77" i="9"/>
  <c r="AF31" i="9"/>
  <c r="AE31" i="9"/>
  <c r="AF428" i="9"/>
  <c r="AE428" i="9"/>
  <c r="AF157" i="9"/>
  <c r="AE157" i="9"/>
  <c r="AF488" i="9"/>
  <c r="AE488" i="9"/>
  <c r="AF501" i="9"/>
  <c r="AE501" i="9"/>
  <c r="AF326" i="9"/>
  <c r="AE326" i="9"/>
  <c r="AF448" i="9"/>
  <c r="AE448" i="9"/>
  <c r="AF148" i="9"/>
  <c r="AE148" i="9"/>
  <c r="AF173" i="9"/>
  <c r="AE173" i="9"/>
  <c r="AF362" i="9"/>
  <c r="AE362" i="9"/>
  <c r="AF86" i="9"/>
  <c r="AE86" i="9"/>
  <c r="AF309" i="9"/>
  <c r="AE309" i="9"/>
  <c r="AF306" i="9"/>
  <c r="AE306" i="9"/>
  <c r="AF181" i="9"/>
  <c r="AE181" i="9"/>
  <c r="AF156" i="9"/>
  <c r="AE156" i="9"/>
  <c r="AF245" i="9"/>
  <c r="AE245" i="9"/>
  <c r="AF159" i="9"/>
  <c r="AE159" i="9"/>
  <c r="AF256" i="9"/>
  <c r="AE256" i="9"/>
  <c r="AF334" i="9"/>
  <c r="AE334" i="9"/>
  <c r="AF253" i="9"/>
  <c r="AE253" i="9"/>
  <c r="AF461" i="9"/>
  <c r="AE461" i="9"/>
  <c r="AF240" i="9"/>
  <c r="AE240" i="9"/>
  <c r="AF18" i="9"/>
  <c r="AE18" i="9"/>
  <c r="AF361" i="9"/>
  <c r="AE361" i="9"/>
  <c r="AF252" i="9"/>
  <c r="AE252" i="9"/>
  <c r="AF308" i="9"/>
  <c r="AE308" i="9"/>
  <c r="AF237" i="9"/>
  <c r="AE237" i="9"/>
  <c r="AF494" i="9"/>
  <c r="AE494" i="9"/>
  <c r="AF233" i="9"/>
  <c r="AE233" i="9"/>
  <c r="AF325" i="9"/>
  <c r="AE325" i="9"/>
  <c r="AF497" i="9"/>
  <c r="AE497" i="9"/>
  <c r="AF414" i="9"/>
  <c r="AE414" i="9"/>
  <c r="AF451" i="9"/>
  <c r="AE451" i="9"/>
  <c r="AF475" i="9"/>
  <c r="AE475" i="9"/>
  <c r="AF122" i="9"/>
  <c r="AE122" i="9"/>
  <c r="AF337" i="9"/>
  <c r="AE337" i="9"/>
  <c r="AF68" i="9"/>
  <c r="AE68" i="9"/>
  <c r="AF126" i="9"/>
  <c r="AE126" i="9"/>
  <c r="AF418" i="9"/>
  <c r="AE418" i="9"/>
  <c r="AF230" i="9"/>
  <c r="AE230" i="9"/>
  <c r="AF460" i="9"/>
  <c r="AE460" i="9"/>
  <c r="AF425" i="9"/>
  <c r="AE425" i="9"/>
  <c r="AF377" i="9"/>
  <c r="AE377" i="9"/>
  <c r="AF416" i="9"/>
  <c r="AE416" i="9"/>
  <c r="AF201" i="9"/>
  <c r="AE201" i="9"/>
  <c r="AF43" i="9"/>
  <c r="AE43" i="9"/>
  <c r="AF55" i="9"/>
  <c r="AE55" i="9"/>
  <c r="AF348" i="9"/>
  <c r="AE348" i="9"/>
  <c r="AF424" i="9"/>
  <c r="AE424" i="9"/>
  <c r="AF405" i="9"/>
  <c r="AE405" i="9"/>
  <c r="AF466" i="9"/>
  <c r="AE466" i="9"/>
  <c r="AF465" i="9"/>
  <c r="AE465" i="9"/>
  <c r="AF189" i="9"/>
  <c r="AE189" i="9"/>
  <c r="AF69" i="9"/>
  <c r="AE69" i="9"/>
  <c r="AF62" i="9"/>
  <c r="AE62" i="9"/>
  <c r="AF225" i="9"/>
  <c r="AE225" i="9"/>
  <c r="AF492" i="9"/>
  <c r="AE492" i="9"/>
  <c r="AF435" i="9"/>
  <c r="AE435" i="9"/>
  <c r="AF83" i="9"/>
  <c r="AE83" i="9"/>
  <c r="AF266" i="9"/>
  <c r="AE266" i="9"/>
  <c r="AF247" i="9"/>
  <c r="AE247" i="9"/>
  <c r="AF380" i="9"/>
  <c r="AE380" i="9"/>
  <c r="AF21" i="9"/>
  <c r="AE21" i="9"/>
  <c r="AF273" i="9"/>
  <c r="AE273" i="9"/>
  <c r="AF141" i="9"/>
  <c r="AE141" i="9"/>
  <c r="AF89" i="9"/>
  <c r="AE89" i="9"/>
  <c r="AF407" i="9"/>
  <c r="AE407" i="9"/>
  <c r="AF106" i="9"/>
  <c r="AE106" i="9"/>
  <c r="AF40" i="9"/>
  <c r="AE40" i="9"/>
  <c r="AF75" i="9"/>
  <c r="AE75" i="9"/>
  <c r="AF386" i="9"/>
  <c r="AE386" i="9"/>
  <c r="AF24" i="9"/>
  <c r="AE24" i="9"/>
  <c r="AF16" i="9"/>
  <c r="AE16" i="9"/>
  <c r="AF320" i="9"/>
  <c r="AE320" i="9"/>
  <c r="AF192" i="9"/>
  <c r="AE192" i="9"/>
  <c r="AF367" i="9"/>
  <c r="AE367" i="9"/>
  <c r="AF321" i="9"/>
  <c r="AE321" i="9"/>
  <c r="AF17" i="9"/>
  <c r="AE17" i="9"/>
  <c r="AF250" i="9"/>
  <c r="AE250" i="9"/>
  <c r="AF82" i="9"/>
  <c r="AE82" i="9"/>
  <c r="AF437" i="9"/>
  <c r="AE437" i="9"/>
  <c r="AF19" i="9"/>
  <c r="AE19" i="9"/>
  <c r="AG236" i="9"/>
  <c r="AG102" i="9"/>
  <c r="AG94" i="9"/>
  <c r="AG398" i="9"/>
  <c r="AG53" i="9"/>
  <c r="AG351" i="9"/>
  <c r="AG350" i="9"/>
  <c r="AG452" i="9"/>
  <c r="AG50" i="9"/>
  <c r="AG177" i="9"/>
  <c r="AG71" i="9"/>
  <c r="AG61" i="9"/>
  <c r="AG408" i="9"/>
  <c r="AG468" i="9"/>
  <c r="AG51" i="9"/>
  <c r="AG111" i="9"/>
  <c r="AG80" i="9"/>
  <c r="AG299" i="9"/>
  <c r="AG444" i="9"/>
  <c r="AG115" i="9"/>
  <c r="AG433" i="9"/>
  <c r="AG73" i="9"/>
  <c r="AG481" i="9"/>
  <c r="AG324" i="9"/>
  <c r="AG87" i="9"/>
  <c r="AG502" i="9"/>
  <c r="AG298" i="9"/>
  <c r="AG95" i="9"/>
  <c r="AG54" i="9"/>
  <c r="AG142" i="9"/>
  <c r="AG140" i="9"/>
  <c r="AG235" i="9"/>
  <c r="AG420" i="9"/>
  <c r="AG33" i="9"/>
  <c r="AG427" i="9"/>
  <c r="AG28" i="9"/>
  <c r="AG162" i="9"/>
  <c r="AG336" i="9"/>
  <c r="AG143" i="9"/>
  <c r="AG446" i="9"/>
  <c r="AG81" i="9"/>
  <c r="AG339" i="9"/>
  <c r="AG503" i="9"/>
  <c r="AG390" i="9"/>
  <c r="AG467" i="9"/>
  <c r="AG237" i="9"/>
  <c r="AG38" i="9"/>
  <c r="AG392" i="9"/>
  <c r="AG369" i="9"/>
  <c r="AG358" i="9"/>
  <c r="AG212" i="9"/>
  <c r="AG411" i="9"/>
  <c r="AG163" i="9"/>
  <c r="AG304" i="9"/>
  <c r="AG255" i="9"/>
  <c r="AG389" i="9"/>
  <c r="AG391" i="9"/>
  <c r="AG457" i="9"/>
  <c r="AG371" i="9"/>
  <c r="AG274" i="9"/>
  <c r="AG211" i="9"/>
  <c r="AG195" i="9"/>
  <c r="AG213" i="9"/>
  <c r="AG215" i="9"/>
  <c r="AG332" i="9"/>
  <c r="AG279" i="9"/>
  <c r="AG459" i="9"/>
  <c r="AG300" i="9"/>
  <c r="AG504" i="9"/>
  <c r="AG473" i="9"/>
  <c r="AG397" i="9"/>
  <c r="AG152" i="9"/>
  <c r="AG112" i="9"/>
  <c r="AG144" i="9"/>
  <c r="AG338" i="9"/>
  <c r="AG114" i="9"/>
  <c r="AG84" i="9"/>
  <c r="AG6" i="9"/>
  <c r="AG7" i="9"/>
  <c r="AG8" i="9"/>
  <c r="AG9" i="9"/>
  <c r="AG10" i="9"/>
  <c r="AG11" i="9"/>
  <c r="AG12" i="9"/>
  <c r="AG13" i="9"/>
  <c r="AG14" i="9"/>
  <c r="AG15" i="9"/>
  <c r="AG16" i="9"/>
  <c r="AG17" i="9"/>
  <c r="AG18" i="9"/>
  <c r="AG19" i="9"/>
  <c r="AG20" i="9"/>
  <c r="AG21" i="9"/>
  <c r="AG22" i="9"/>
  <c r="AG23" i="9"/>
  <c r="AG24" i="9"/>
  <c r="AG119" i="9"/>
  <c r="AG268" i="9"/>
  <c r="AG376" i="9"/>
  <c r="AG319" i="9"/>
  <c r="AG382" i="9"/>
  <c r="AG209" i="9"/>
  <c r="AG107" i="9"/>
  <c r="AG89" i="9"/>
  <c r="AG289" i="9"/>
  <c r="AG134" i="9"/>
  <c r="AG388" i="9"/>
  <c r="AG282" i="9"/>
  <c r="AG500" i="9"/>
  <c r="AG401" i="9"/>
  <c r="AG29" i="9"/>
  <c r="AG240" i="9"/>
  <c r="AG224" i="9"/>
  <c r="AG477" i="9"/>
  <c r="AG495" i="9"/>
  <c r="AG295" i="9"/>
  <c r="AG487" i="9"/>
  <c r="AG110" i="9"/>
  <c r="AG294" i="9"/>
  <c r="AG129" i="9"/>
  <c r="AG36" i="9"/>
  <c r="AG462" i="9"/>
  <c r="AG32" i="9"/>
  <c r="AG262" i="9"/>
  <c r="AG421" i="9"/>
  <c r="AG155" i="9"/>
  <c r="AG343" i="9"/>
  <c r="AG290" i="9"/>
  <c r="AG311" i="9"/>
  <c r="AG286" i="9"/>
  <c r="AG68" i="9"/>
  <c r="AG354" i="9"/>
  <c r="AG208" i="9"/>
  <c r="AG335" i="9"/>
  <c r="AG93" i="9"/>
  <c r="AG486" i="9"/>
  <c r="AG272" i="9"/>
  <c r="AG353" i="9"/>
  <c r="AG121" i="9"/>
  <c r="AG453" i="9"/>
  <c r="AG372" i="9"/>
  <c r="AG120" i="9"/>
  <c r="AG472" i="9"/>
  <c r="AG287" i="9"/>
  <c r="AG341" i="9"/>
  <c r="AG276" i="9"/>
  <c r="AG239" i="9"/>
  <c r="AG432" i="9"/>
  <c r="AG370" i="9"/>
  <c r="AG267" i="9"/>
  <c r="AG214" i="9"/>
  <c r="AG422" i="9"/>
  <c r="AG118" i="9"/>
  <c r="AG318" i="9"/>
  <c r="AG355" i="9"/>
  <c r="AG292" i="9"/>
  <c r="AG170" i="9"/>
  <c r="AG269" i="9"/>
  <c r="AG221" i="9"/>
  <c r="AG74" i="9"/>
  <c r="AG264" i="9"/>
  <c r="AG99" i="9"/>
  <c r="AG474" i="9"/>
  <c r="AG203" i="9"/>
  <c r="AG217" i="9"/>
  <c r="AG436" i="9"/>
  <c r="AG349" i="9"/>
  <c r="AG76" i="9"/>
  <c r="AG258" i="9"/>
  <c r="AG67" i="9"/>
  <c r="AG218" i="9"/>
  <c r="AG490" i="9"/>
  <c r="AG188" i="9"/>
  <c r="AG439" i="9"/>
  <c r="AG187" i="9"/>
  <c r="AG322" i="9"/>
  <c r="AG379" i="9"/>
  <c r="AG347" i="9"/>
  <c r="AG394" i="9"/>
  <c r="AG499" i="9"/>
  <c r="AG103" i="9"/>
  <c r="AG154" i="9"/>
  <c r="AG344" i="9"/>
  <c r="AG130" i="9"/>
  <c r="AG191" i="9"/>
  <c r="AG281" i="9"/>
  <c r="AG210" i="9"/>
  <c r="AG404" i="9"/>
  <c r="AG455" i="9"/>
  <c r="AG198" i="9"/>
  <c r="AG47" i="9"/>
  <c r="AG430" i="9"/>
  <c r="AG438" i="9"/>
  <c r="AG415" i="9"/>
  <c r="AG429" i="9"/>
  <c r="AG491" i="9"/>
  <c r="AG42" i="9"/>
  <c r="AG194" i="9"/>
  <c r="AG482" i="9"/>
  <c r="AG450" i="9"/>
  <c r="AG39" i="9"/>
  <c r="AG317" i="9"/>
  <c r="AG108" i="9"/>
  <c r="AG229" i="9"/>
  <c r="AG146" i="9"/>
  <c r="AG312" i="9"/>
  <c r="AG184" i="9"/>
  <c r="AG204" i="9"/>
  <c r="AG172" i="9"/>
  <c r="AG489" i="9"/>
  <c r="AG418" i="9"/>
  <c r="AG393" i="9"/>
  <c r="AG340" i="9"/>
  <c r="AG374" i="9"/>
  <c r="AG423" i="9"/>
  <c r="AG104" i="9"/>
  <c r="AG98" i="9"/>
  <c r="AG164" i="9"/>
  <c r="AG471" i="9"/>
  <c r="AG151" i="9"/>
  <c r="AG169" i="9"/>
  <c r="AG49" i="9"/>
  <c r="AG494" i="9"/>
  <c r="AG460" i="9"/>
  <c r="AG257" i="9"/>
  <c r="AG149" i="9"/>
  <c r="AG77" i="9"/>
  <c r="AG456" i="9"/>
  <c r="AG60" i="9"/>
  <c r="AG116" i="9"/>
  <c r="AG139" i="9"/>
  <c r="AG166" i="9"/>
  <c r="AG179" i="9"/>
  <c r="AG342" i="9"/>
  <c r="AG101" i="9"/>
  <c r="AG64" i="9"/>
  <c r="AG244" i="9"/>
  <c r="AG200" i="9"/>
  <c r="AG463" i="9"/>
  <c r="AG323" i="9"/>
  <c r="AG232" i="9"/>
  <c r="AG434" i="9"/>
  <c r="AG228" i="9"/>
  <c r="AG469" i="9"/>
  <c r="AG291" i="9"/>
  <c r="AG400" i="9"/>
  <c r="AG278" i="9"/>
  <c r="AG483" i="9"/>
  <c r="AG366" i="9"/>
  <c r="AG176" i="9"/>
  <c r="AG443" i="9"/>
  <c r="AG222" i="9"/>
  <c r="AG381" i="9"/>
  <c r="AG241" i="9"/>
  <c r="AG158" i="9"/>
  <c r="AG478" i="9"/>
  <c r="AG275" i="9"/>
  <c r="AG223" i="9"/>
  <c r="AG79" i="9"/>
  <c r="AG297" i="9"/>
  <c r="AG412" i="9"/>
  <c r="AG30" i="9"/>
  <c r="AG147" i="9"/>
  <c r="AG183" i="9"/>
  <c r="AG364" i="9"/>
  <c r="AG314" i="9"/>
  <c r="AG161" i="9"/>
  <c r="AG399" i="9"/>
  <c r="AG284" i="9"/>
  <c r="AG150" i="9"/>
  <c r="AG470" i="9"/>
  <c r="AG207" i="9"/>
  <c r="AG83" i="9"/>
  <c r="AG424" i="9"/>
  <c r="AG186" i="9"/>
  <c r="AG464" i="9"/>
  <c r="AG124" i="9"/>
  <c r="AG396" i="9"/>
  <c r="AG168" i="9"/>
  <c r="AG41" i="9"/>
  <c r="AG248" i="9"/>
  <c r="AG190" i="9"/>
  <c r="AG44" i="9"/>
  <c r="AG196" i="9"/>
  <c r="AG307" i="9"/>
  <c r="AG86" i="9"/>
  <c r="AG173" i="9"/>
  <c r="AG384" i="9"/>
  <c r="AG333" i="9"/>
  <c r="AG410" i="9"/>
  <c r="AG132" i="9"/>
  <c r="AG442" i="9"/>
  <c r="AG360" i="9"/>
  <c r="AG403" i="9"/>
  <c r="AG92" i="9"/>
  <c r="AG479" i="9"/>
  <c r="AG357" i="9"/>
  <c r="AG46" i="9"/>
  <c r="AG197" i="9"/>
  <c r="AG330" i="9"/>
  <c r="AG327" i="9"/>
  <c r="AG375" i="9"/>
  <c r="AG263" i="9"/>
  <c r="AG231" i="9"/>
  <c r="AG419" i="9"/>
  <c r="AG458" i="9"/>
  <c r="AG277" i="9"/>
  <c r="AG48" i="9"/>
  <c r="AG243" i="9"/>
  <c r="AG407" i="9"/>
  <c r="AG128" i="9"/>
  <c r="AG26" i="9"/>
  <c r="AG180" i="9"/>
  <c r="AG216" i="9"/>
  <c r="AG52" i="9"/>
  <c r="AG310" i="9"/>
  <c r="AG174" i="9"/>
  <c r="AG303" i="9"/>
  <c r="AG447" i="9"/>
  <c r="AG72" i="9"/>
  <c r="AG126" i="9"/>
  <c r="AG58" i="9"/>
  <c r="AG329" i="9"/>
  <c r="AG227" i="9"/>
  <c r="AG383" i="9"/>
  <c r="AG373" i="9"/>
  <c r="AG501" i="9"/>
  <c r="AG251" i="9"/>
  <c r="AG148" i="9"/>
  <c r="AG113" i="9"/>
  <c r="AG171" i="9"/>
  <c r="AG395" i="9"/>
  <c r="AG63" i="9"/>
  <c r="AG256" i="9"/>
  <c r="AG165" i="9"/>
  <c r="AG250" i="9"/>
  <c r="AG70" i="9"/>
  <c r="AG65" i="9"/>
  <c r="AG66" i="9"/>
  <c r="AG313" i="9"/>
  <c r="AG328" i="9"/>
  <c r="AG309" i="9"/>
  <c r="AG402" i="9"/>
  <c r="AG441" i="9"/>
  <c r="AG27" i="9"/>
  <c r="AG302" i="9"/>
  <c r="AG141" i="9"/>
  <c r="AG437" i="9"/>
  <c r="AG387" i="9"/>
  <c r="AG378" i="9"/>
  <c r="AG97" i="9"/>
  <c r="AG352" i="9"/>
  <c r="AG288" i="9"/>
  <c r="AG131" i="9"/>
  <c r="AG261" i="9"/>
  <c r="AG488" i="9"/>
  <c r="AG356" i="9"/>
  <c r="AG293" i="9"/>
  <c r="AG167" i="9"/>
  <c r="AG296" i="9"/>
  <c r="AG123" i="9"/>
  <c r="AG363" i="9"/>
  <c r="AG153" i="9"/>
  <c r="AG409" i="9"/>
  <c r="AG125" i="9"/>
  <c r="AG57" i="9"/>
  <c r="AG480" i="9"/>
  <c r="AG206" i="9"/>
  <c r="AG175" i="9"/>
  <c r="AG136" i="9"/>
  <c r="AG100" i="9"/>
  <c r="AG498" i="9"/>
  <c r="AG133" i="9"/>
  <c r="AG242" i="9"/>
  <c r="AG127" i="9"/>
  <c r="AG252" i="9"/>
  <c r="AG497" i="9"/>
  <c r="AG254" i="9"/>
  <c r="AG109" i="9"/>
  <c r="AG280" i="9"/>
  <c r="AG78" i="9"/>
  <c r="AG135" i="9"/>
  <c r="AG117" i="9"/>
  <c r="AG435" i="9"/>
  <c r="AG346" i="9"/>
  <c r="AG345" i="9"/>
  <c r="AG34" i="9"/>
  <c r="AG35" i="9"/>
  <c r="AG220" i="9"/>
  <c r="AG178" i="9"/>
  <c r="AG249" i="9"/>
  <c r="AG496" i="9"/>
  <c r="AG91" i="9"/>
  <c r="AG301" i="9"/>
  <c r="AG454" i="9"/>
  <c r="AG90" i="9"/>
  <c r="AG431" i="9"/>
  <c r="AG362" i="9"/>
  <c r="AG160" i="9"/>
  <c r="AG157" i="9"/>
  <c r="AG359" i="9"/>
  <c r="AG331" i="9"/>
  <c r="AG414" i="9"/>
  <c r="AG230" i="9"/>
  <c r="AG59" i="9"/>
  <c r="AG316" i="9"/>
  <c r="AG271" i="9"/>
  <c r="AG283" i="9"/>
  <c r="AG270" i="9"/>
  <c r="AG219" i="9"/>
  <c r="AG56" i="9"/>
  <c r="AG55" i="9"/>
  <c r="AG325" i="9"/>
  <c r="AG326" i="9"/>
  <c r="AG305" i="9"/>
  <c r="AG306" i="9"/>
  <c r="AG82" i="9"/>
  <c r="AG62" i="9"/>
  <c r="AG368" i="9"/>
  <c r="AG367" i="9"/>
  <c r="AG234" i="9"/>
  <c r="AG233" i="9"/>
  <c r="AG181" i="9"/>
  <c r="AG182" i="9"/>
  <c r="AG260" i="9"/>
  <c r="AG259" i="9"/>
  <c r="AG273" i="9"/>
  <c r="AG43" i="9"/>
  <c r="AG192" i="9"/>
  <c r="AG193" i="9"/>
  <c r="AG202" i="9"/>
  <c r="AG201" i="9"/>
  <c r="AG189" i="9"/>
  <c r="AG440" i="9"/>
  <c r="AG334" i="9"/>
  <c r="AG380" i="9"/>
  <c r="AG247" i="9"/>
  <c r="AG106" i="9"/>
  <c r="AG321" i="9"/>
  <c r="AG465" i="9"/>
  <c r="AG466" i="9"/>
  <c r="AG451" i="9"/>
  <c r="AG476" i="9"/>
  <c r="AG475" i="9"/>
  <c r="AG308" i="9"/>
  <c r="AG320" i="9"/>
  <c r="AG361" i="9"/>
  <c r="AG69" i="9"/>
  <c r="AG238" i="9"/>
  <c r="AG245" i="9"/>
  <c r="AG246" i="9"/>
  <c r="AG428" i="9"/>
  <c r="AG40" i="9"/>
  <c r="AG377" i="9"/>
  <c r="AG122" i="9"/>
  <c r="AG449" i="9"/>
  <c r="AG448" i="9"/>
  <c r="AG492" i="9"/>
  <c r="AG493" i="9"/>
  <c r="AG405" i="9"/>
  <c r="AG406" i="9"/>
  <c r="AG417" i="9"/>
  <c r="AG416" i="9"/>
  <c r="AG425" i="9"/>
  <c r="AG426" i="9"/>
  <c r="AG75" i="9"/>
  <c r="AG386" i="9"/>
  <c r="AG385" i="9"/>
  <c r="AG156" i="9"/>
  <c r="AG226" i="9"/>
  <c r="AG225" i="9"/>
  <c r="AG461" i="9"/>
  <c r="AG253" i="9"/>
  <c r="AG138" i="9"/>
  <c r="AG137" i="9"/>
  <c r="AG266" i="9"/>
  <c r="AG348" i="9"/>
  <c r="AG159" i="9"/>
  <c r="AG31" i="9"/>
  <c r="AG337" i="9"/>
</calcChain>
</file>

<file path=xl/sharedStrings.xml><?xml version="1.0" encoding="utf-8"?>
<sst xmlns="http://schemas.openxmlformats.org/spreadsheetml/2006/main" count="5515" uniqueCount="1466">
  <si>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</si>
  <si>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</si>
  <si>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</si>
  <si>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</si>
  <si>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</si>
  <si>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</si>
  <si>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</si>
  <si>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</si>
  <si>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</si>
  <si>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</si>
  <si>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</si>
  <si>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</si>
  <si>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</si>
  <si>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</si>
  <si>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</si>
  <si>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</si>
  <si>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</si>
  <si>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</si>
  <si>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</si>
  <si>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</si>
  <si>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</si>
  <si>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</si>
  <si>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</si>
  <si>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</si>
  <si>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</si>
  <si>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</si>
  <si>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</si>
  <si>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</si>
  <si>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</si>
  <si>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</si>
  <si>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</si>
  <si>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</si>
  <si>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</si>
  <si>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</si>
  <si>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</si>
  <si>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</si>
  <si>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</si>
  <si>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</si>
  <si>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</si>
  <si>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</si>
  <si>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</si>
  <si>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</si>
  <si>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</si>
  <si>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</si>
  <si>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</si>
  <si>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</si>
  <si>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</si>
  <si>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</si>
  <si>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</si>
  <si>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</si>
  <si>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</si>
  <si>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</si>
  <si>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</si>
  <si>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</si>
  <si>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</si>
  <si>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</si>
  <si>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</si>
  <si>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</si>
  <si>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</si>
  <si>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</si>
  <si>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</si>
  <si>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</si>
  <si>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</si>
  <si>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</si>
  <si>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</si>
  <si>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</si>
  <si>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</si>
  <si>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</si>
  <si>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</si>
  <si>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</si>
  <si>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</si>
  <si>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</si>
  <si>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</si>
  <si>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</si>
  <si>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</si>
  <si>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</si>
  <si>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</si>
  <si>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</si>
  <si>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</si>
  <si>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</si>
  <si>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</si>
  <si>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</si>
  <si>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</si>
  <si>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</si>
  <si>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</si>
  <si>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</si>
  <si>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</si>
  <si>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</si>
  <si>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</si>
  <si>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</si>
  <si>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</si>
  <si>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</si>
  <si>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</si>
  <si>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</si>
  <si>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</si>
  <si>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</si>
  <si>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</si>
  <si>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</si>
  <si>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</si>
  <si>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</si>
  <si>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</si>
  <si>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</si>
  <si>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</si>
  <si>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</si>
  <si>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</si>
  <si>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</si>
  <si>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</si>
  <si>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</si>
  <si>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</si>
  <si>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</si>
  <si>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</si>
  <si>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</si>
  <si>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</si>
  <si>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</si>
  <si>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</si>
  <si>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</si>
  <si>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</si>
  <si>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</si>
  <si>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</si>
  <si>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</si>
  <si>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</si>
  <si>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</si>
  <si>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</si>
  <si>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</si>
  <si>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</si>
  <si>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</si>
  <si>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</si>
  <si>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</si>
  <si>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</si>
  <si>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</si>
  <si>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</si>
  <si>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</si>
  <si>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</si>
  <si>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</si>
  <si>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</si>
  <si>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</si>
  <si>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</si>
  <si>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</si>
  <si>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</si>
  <si>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</si>
  <si>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</si>
  <si>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</si>
  <si>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</si>
  <si>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</si>
  <si>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</si>
  <si>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</si>
  <si>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</si>
  <si>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</si>
  <si>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</si>
  <si>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</si>
  <si>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</si>
  <si>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</si>
  <si>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</si>
  <si>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</si>
  <si>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</si>
  <si>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</si>
  <si>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</si>
  <si>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</si>
  <si>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</si>
  <si>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</si>
  <si>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</si>
  <si>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</si>
  <si>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</si>
  <si>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</si>
  <si>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</si>
  <si>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</si>
  <si>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</si>
  <si>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</si>
  <si>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</si>
  <si>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</si>
  <si>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</si>
  <si>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</si>
  <si>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</si>
  <si>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</si>
  <si>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</si>
  <si>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</si>
  <si>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</si>
  <si>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</si>
  <si>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</si>
  <si>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</si>
  <si>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</si>
  <si>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</si>
  <si>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</si>
  <si>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</si>
  <si>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</si>
  <si>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</si>
  <si>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</si>
  <si>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</si>
  <si>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</si>
  <si>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</si>
  <si>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</si>
  <si>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</si>
  <si>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</si>
  <si>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</si>
  <si>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</si>
  <si>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</si>
  <si>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</si>
  <si>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</si>
  <si>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</si>
  <si>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</si>
  <si>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</si>
  <si>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</si>
  <si>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</si>
  <si>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</si>
  <si>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</si>
  <si>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</si>
  <si>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</si>
  <si>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</si>
  <si>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</si>
  <si>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</si>
  <si>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</si>
  <si>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</si>
  <si>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</si>
  <si>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</si>
  <si>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</si>
  <si>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</si>
  <si>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</si>
  <si>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</si>
  <si>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</si>
  <si>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</si>
  <si>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</si>
  <si>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</si>
  <si>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</si>
  <si>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</si>
  <si>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</si>
  <si>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</si>
  <si>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</si>
  <si>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</si>
  <si>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</si>
  <si>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</si>
  <si>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</si>
  <si>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</si>
  <si>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</si>
  <si>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</si>
  <si>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</si>
  <si>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</si>
  <si>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</si>
  <si>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</si>
  <si>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</si>
  <si>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</si>
  <si>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</si>
  <si>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</si>
  <si>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</si>
  <si>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</si>
  <si>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</si>
  <si>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</si>
  <si>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</si>
  <si>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</si>
  <si>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</si>
  <si>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</si>
  <si>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</si>
  <si>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</si>
  <si>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</si>
  <si>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</si>
  <si>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</si>
  <si>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</si>
  <si>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</si>
  <si>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</si>
  <si>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</si>
  <si>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</si>
  <si>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</si>
  <si>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</si>
  <si>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</si>
  <si>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</si>
  <si>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</si>
  <si>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</si>
  <si>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</si>
  <si>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</si>
  <si>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</si>
  <si>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</si>
  <si>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</si>
  <si>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</si>
  <si>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</si>
  <si>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</si>
  <si>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</si>
  <si>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</si>
  <si>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</si>
  <si>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</si>
  <si>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</si>
  <si>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</si>
  <si>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</si>
  <si>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</si>
  <si>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</si>
  <si>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</si>
  <si>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</si>
  <si>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</si>
  <si>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</si>
  <si>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</si>
  <si>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</si>
  <si>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</si>
  <si>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</si>
  <si>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</si>
  <si>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</si>
  <si>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</si>
  <si>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</si>
  <si>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</si>
  <si>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</si>
  <si>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</si>
  <si>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</si>
  <si>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</si>
  <si>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</si>
  <si>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</si>
  <si>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</si>
  <si>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</si>
  <si>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</si>
  <si>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</si>
  <si>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</si>
  <si>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</si>
  <si>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</si>
  <si>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</si>
  <si>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</si>
  <si>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</si>
  <si>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</si>
  <si>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</si>
  <si>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</si>
  <si>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</si>
  <si>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</si>
  <si>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</si>
  <si>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</si>
  <si>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</si>
  <si>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</si>
  <si>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</si>
  <si>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</si>
  <si>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</si>
  <si>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</si>
  <si>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</si>
  <si>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</si>
  <si>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</si>
  <si>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</si>
  <si>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</si>
  <si>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</si>
  <si>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</si>
  <si>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</si>
  <si>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</si>
  <si>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</si>
  <si>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</si>
  <si>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</si>
  <si>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</si>
  <si>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</si>
  <si>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</si>
  <si>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</si>
  <si>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</si>
  <si>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</si>
  <si>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</si>
  <si>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</si>
  <si>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</si>
  <si>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</si>
  <si>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</si>
  <si>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</si>
  <si>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</si>
  <si>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</si>
  <si>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</si>
  <si>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客户端表现</t>
  </si>
  <si>
    <t>索引字段</t>
  </si>
  <si>
    <t>建筑最大等级</t>
  </si>
  <si>
    <t>蔬菜种植场</t>
    <phoneticPr fontId="13" type="noConversion"/>
  </si>
  <si>
    <t>露水收集器</t>
    <phoneticPr fontId="13" type="noConversion"/>
  </si>
  <si>
    <t>井</t>
    <phoneticPr fontId="13" type="noConversion"/>
  </si>
  <si>
    <t>矿物质水加工器</t>
    <phoneticPr fontId="13" type="noConversion"/>
  </si>
  <si>
    <t>能量健身房</t>
    <phoneticPr fontId="13" type="noConversion"/>
  </si>
  <si>
    <t>炼钢厂</t>
    <phoneticPr fontId="13" type="noConversion"/>
  </si>
  <si>
    <t>木材加工厂</t>
    <phoneticPr fontId="13" type="noConversion"/>
  </si>
  <si>
    <t>GAU-8</t>
  </si>
  <si>
    <t>炼油厂</t>
    <phoneticPr fontId="13" type="noConversion"/>
  </si>
  <si>
    <t>炼油厂</t>
    <phoneticPr fontId="13" type="noConversion"/>
  </si>
  <si>
    <t>炼钢厂</t>
    <phoneticPr fontId="13" type="noConversion"/>
  </si>
  <si>
    <t>猪圈</t>
    <phoneticPr fontId="13" type="noConversion"/>
  </si>
  <si>
    <t>松树林</t>
    <phoneticPr fontId="13" type="noConversion"/>
  </si>
  <si>
    <t>仓库</t>
    <phoneticPr fontId="13" type="noConversion"/>
  </si>
  <si>
    <t>混凝土围墙</t>
    <phoneticPr fontId="13" type="noConversion"/>
  </si>
  <si>
    <t>蔬菜种植场</t>
    <phoneticPr fontId="13" type="noConversion"/>
  </si>
  <si>
    <t>庄园大门</t>
    <phoneticPr fontId="13" type="noConversion"/>
  </si>
  <si>
    <t>电池组</t>
    <phoneticPr fontId="13" type="noConversion"/>
  </si>
  <si>
    <t>MG42</t>
  </si>
  <si>
    <t>MG42</t>
    <phoneticPr fontId="13" type="noConversion"/>
  </si>
  <si>
    <t>MG42</t>
    <phoneticPr fontId="13" type="noConversion"/>
  </si>
  <si>
    <t>大米</t>
    <phoneticPr fontId="13" type="noConversion"/>
  </si>
  <si>
    <t>蔬菜</t>
    <phoneticPr fontId="13" type="noConversion"/>
  </si>
  <si>
    <t>纯净水</t>
    <phoneticPr fontId="13" type="noConversion"/>
  </si>
  <si>
    <t>矿物质水</t>
    <phoneticPr fontId="13" type="noConversion"/>
  </si>
  <si>
    <t>猪肉</t>
    <phoneticPr fontId="13" type="noConversion"/>
  </si>
  <si>
    <t>饲料</t>
    <phoneticPr fontId="13" type="noConversion"/>
  </si>
  <si>
    <t>原油</t>
    <phoneticPr fontId="13" type="noConversion"/>
  </si>
  <si>
    <t>汽油</t>
    <phoneticPr fontId="13" type="noConversion"/>
  </si>
  <si>
    <t>铁</t>
    <phoneticPr fontId="13" type="noConversion"/>
  </si>
  <si>
    <t>钢</t>
    <phoneticPr fontId="13" type="noConversion"/>
  </si>
  <si>
    <t>松木板</t>
    <phoneticPr fontId="13" type="noConversion"/>
  </si>
  <si>
    <t>庄园日志</t>
    <phoneticPr fontId="13" type="noConversion"/>
  </si>
  <si>
    <t>重机枪图纸</t>
    <phoneticPr fontId="13" type="noConversion"/>
  </si>
  <si>
    <t>狙击枪图纸</t>
    <phoneticPr fontId="13" type="noConversion"/>
  </si>
  <si>
    <t>机炮设计图</t>
    <phoneticPr fontId="13" type="noConversion"/>
  </si>
  <si>
    <t>手枪</t>
    <phoneticPr fontId="13" type="noConversion"/>
  </si>
  <si>
    <t>步枪</t>
    <phoneticPr fontId="13" type="noConversion"/>
  </si>
  <si>
    <t>轻机枪</t>
    <phoneticPr fontId="13" type="noConversion"/>
  </si>
  <si>
    <t>1级防弹衣</t>
    <phoneticPr fontId="13" type="noConversion"/>
  </si>
  <si>
    <t>2级防弹衣</t>
    <phoneticPr fontId="13" type="noConversion"/>
  </si>
  <si>
    <t>3级防弹衣</t>
    <phoneticPr fontId="13" type="noConversion"/>
  </si>
  <si>
    <t>草</t>
    <phoneticPr fontId="13" type="noConversion"/>
  </si>
  <si>
    <t>探索产出</t>
    <phoneticPr fontId="13" type="noConversion"/>
  </si>
  <si>
    <t>合成</t>
  </si>
  <si>
    <t>合成</t>
    <phoneticPr fontId="13" type="noConversion"/>
  </si>
  <si>
    <t>建筑</t>
    <phoneticPr fontId="13" type="noConversion"/>
  </si>
  <si>
    <t>产出方式1</t>
    <phoneticPr fontId="13" type="noConversion"/>
  </si>
  <si>
    <t>产出方式2</t>
    <phoneticPr fontId="13" type="noConversion"/>
  </si>
  <si>
    <t>名称</t>
    <phoneticPr fontId="13" type="noConversion"/>
  </si>
  <si>
    <t>储存体积
占用</t>
    <phoneticPr fontId="13" type="noConversion"/>
  </si>
  <si>
    <t>表示资源</t>
    <phoneticPr fontId="13" type="noConversion"/>
  </si>
  <si>
    <t>自定义2</t>
    <phoneticPr fontId="13" type="noConversion"/>
  </si>
  <si>
    <t>资源等级</t>
    <phoneticPr fontId="13" type="noConversion"/>
  </si>
  <si>
    <t>前置条件</t>
    <phoneticPr fontId="13" type="noConversion"/>
  </si>
  <si>
    <t>bldg_strength_lim</t>
    <phoneticPr fontId="13" type="noConversion"/>
  </si>
  <si>
    <t>消耗黄金</t>
    <phoneticPr fontId="13" type="noConversion"/>
  </si>
  <si>
    <t>gold_cost</t>
    <phoneticPr fontId="13" type="noConversion"/>
  </si>
  <si>
    <t>gold_conv</t>
    <phoneticPr fontId="13" type="noConversion"/>
  </si>
  <si>
    <t>混凝土搅拌站</t>
    <phoneticPr fontId="13" type="noConversion"/>
  </si>
  <si>
    <t>水泥</t>
  </si>
  <si>
    <t>混凝土</t>
  </si>
  <si>
    <t>混凝土</t>
    <phoneticPr fontId="13" type="noConversion"/>
  </si>
  <si>
    <t>消耗电力</t>
    <phoneticPr fontId="13" type="noConversion"/>
  </si>
  <si>
    <t>纯净水</t>
    <phoneticPr fontId="13" type="noConversion"/>
  </si>
  <si>
    <t>纯净水</t>
    <phoneticPr fontId="13" type="noConversion"/>
  </si>
  <si>
    <t>纯净水</t>
    <phoneticPr fontId="13" type="noConversion"/>
  </si>
  <si>
    <t>松木</t>
    <phoneticPr fontId="13" type="noConversion"/>
  </si>
  <si>
    <t>松木</t>
    <phoneticPr fontId="13" type="noConversion"/>
  </si>
  <si>
    <t>混凝土</t>
    <phoneticPr fontId="13" type="noConversion"/>
  </si>
  <si>
    <t>铁</t>
    <phoneticPr fontId="13" type="noConversion"/>
  </si>
  <si>
    <t>水泥</t>
    <phoneticPr fontId="13" type="noConversion"/>
  </si>
  <si>
    <t>铁</t>
    <phoneticPr fontId="13" type="noConversion"/>
  </si>
  <si>
    <t>水泥围墙</t>
    <phoneticPr fontId="13" type="noConversion"/>
  </si>
  <si>
    <t>化肥合成器</t>
    <phoneticPr fontId="13" type="noConversion"/>
  </si>
  <si>
    <t>建筑</t>
    <phoneticPr fontId="13" type="noConversion"/>
  </si>
  <si>
    <t>bldg_strength_add</t>
    <phoneticPr fontId="13" type="noConversion"/>
  </si>
  <si>
    <t>矿物质水</t>
    <phoneticPr fontId="13" type="noConversion"/>
  </si>
  <si>
    <t>钢</t>
    <phoneticPr fontId="13" type="noConversion"/>
  </si>
  <si>
    <t>钢</t>
    <phoneticPr fontId="13" type="noConversion"/>
  </si>
  <si>
    <t>钢</t>
    <phoneticPr fontId="13" type="noConversion"/>
  </si>
  <si>
    <t>化肥</t>
    <phoneticPr fontId="13" type="noConversion"/>
  </si>
  <si>
    <t>水泥</t>
    <phoneticPr fontId="13" type="noConversion"/>
  </si>
  <si>
    <t>化肥</t>
    <phoneticPr fontId="13" type="noConversion"/>
  </si>
  <si>
    <t>探索产出</t>
    <phoneticPr fontId="13" type="noConversion"/>
  </si>
  <si>
    <t>庄园日志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</si>
  <si>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</si>
  <si>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</si>
  <si>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</si>
  <si>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</si>
  <si>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</si>
  <si>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</si>
  <si>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</si>
  <si>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</si>
  <si>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</si>
  <si>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《仓储管理》</t>
    <phoneticPr fontId="13" type="noConversion"/>
  </si>
  <si>
    <t>《仓储管理》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</si>
  <si>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</si>
  <si>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</si>
  <si>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</si>
  <si>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《鲁班传》</t>
    <phoneticPr fontId="13" type="noConversion"/>
  </si>
  <si>
    <t>《鲁班传》</t>
    <phoneticPr fontId="13" type="noConversion"/>
  </si>
  <si>
    <t>《土木工程概论》</t>
  </si>
  <si>
    <t>《土木工程概论》</t>
    <phoneticPr fontId="13" type="noConversion"/>
  </si>
  <si>
    <t>《防盗门技术》</t>
    <phoneticPr fontId="13" type="noConversion"/>
  </si>
  <si>
    <t>《土木工程概论》</t>
    <phoneticPr fontId="13" type="noConversion"/>
  </si>
  <si>
    <t>《防盗门技术》</t>
    <phoneticPr fontId="13" type="noConversion"/>
  </si>
  <si>
    <t>重机枪图纸</t>
  </si>
  <si>
    <t>《马克沁传》</t>
  </si>
  <si>
    <t>《马克沁传》</t>
    <phoneticPr fontId="13" type="noConversion"/>
  </si>
  <si>
    <t>《加特林传》</t>
    <phoneticPr fontId="13" type="noConversion"/>
  </si>
  <si>
    <t>《巴雷特的笔记》</t>
    <phoneticPr fontId="13" type="noConversion"/>
  </si>
  <si>
    <t>《官人吃鸡指南》</t>
    <phoneticPr fontId="13" type="noConversion"/>
  </si>
  <si>
    <t>《我的奋斗》</t>
    <phoneticPr fontId="13" type="noConversion"/>
  </si>
  <si>
    <t>《我的奋斗》</t>
    <phoneticPr fontId="13" type="noConversion"/>
  </si>
  <si>
    <t>string</t>
    <phoneticPr fontId="13" type="noConversion"/>
  </si>
  <si>
    <t>建筑描述</t>
    <phoneticPr fontId="13" type="noConversion"/>
  </si>
  <si>
    <t>bldg_info</t>
    <phoneticPr fontId="13" type="noConversion"/>
  </si>
  <si>
    <t>elec_cost</t>
    <phoneticPr fontId="13" type="noConversion"/>
  </si>
  <si>
    <t>事件</t>
    <phoneticPr fontId="13" type="noConversion"/>
  </si>
  <si>
    <t>1级头盔</t>
    <phoneticPr fontId="13" type="noConversion"/>
  </si>
  <si>
    <t>2级头盔</t>
    <phoneticPr fontId="13" type="noConversion"/>
  </si>
  <si>
    <t>3级头盔</t>
    <phoneticPr fontId="13" type="noConversion"/>
  </si>
  <si>
    <t>1级作训裤</t>
    <phoneticPr fontId="13" type="noConversion"/>
  </si>
  <si>
    <t>2级作训裤</t>
    <phoneticPr fontId="13" type="noConversion"/>
  </si>
  <si>
    <t>3级作训裤</t>
    <phoneticPr fontId="13" type="noConversion"/>
  </si>
  <si>
    <t>1级越野靴</t>
    <phoneticPr fontId="13" type="noConversion"/>
  </si>
  <si>
    <t>2级越野靴</t>
    <phoneticPr fontId="13" type="noConversion"/>
  </si>
  <si>
    <t>3级越野靴</t>
    <phoneticPr fontId="13" type="noConversion"/>
  </si>
  <si>
    <t>探索产出</t>
    <phoneticPr fontId="13" type="noConversion"/>
  </si>
  <si>
    <t>急救包</t>
    <phoneticPr fontId="13" type="noConversion"/>
  </si>
  <si>
    <t>探索产出</t>
    <phoneticPr fontId="13" type="noConversion"/>
  </si>
  <si>
    <t>系统赠予</t>
    <phoneticPr fontId="13" type="noConversion"/>
  </si>
  <si>
    <t>另外计算任务</t>
    <phoneticPr fontId="5" type="noConversion"/>
  </si>
  <si>
    <t>无线电接收站</t>
    <phoneticPr fontId="13" type="noConversion"/>
  </si>
  <si>
    <t>钢</t>
    <phoneticPr fontId="13" type="noConversion"/>
  </si>
  <si>
    <t>《特斯拉传》</t>
    <phoneticPr fontId="13" type="noConversion"/>
  </si>
  <si>
    <t>int32</t>
    <phoneticPr fontId="13" type="noConversion"/>
  </si>
  <si>
    <t>pro_id</t>
    <phoneticPr fontId="13" type="noConversion"/>
  </si>
  <si>
    <t>DAMI</t>
    <phoneticPr fontId="13" type="noConversion"/>
  </si>
  <si>
    <t>SHUCAI</t>
    <phoneticPr fontId="13" type="noConversion"/>
  </si>
  <si>
    <t>SHUIGUO</t>
    <phoneticPr fontId="13" type="noConversion"/>
  </si>
  <si>
    <t>HUAFEI</t>
    <phoneticPr fontId="13" type="noConversion"/>
  </si>
  <si>
    <t>ZHUJUAN</t>
    <phoneticPr fontId="13" type="noConversion"/>
  </si>
  <si>
    <t>SILIAO</t>
    <phoneticPr fontId="13" type="noConversion"/>
  </si>
  <si>
    <t>JING</t>
    <phoneticPr fontId="13" type="noConversion"/>
  </si>
  <si>
    <t>LUSHUI</t>
    <phoneticPr fontId="13" type="noConversion"/>
  </si>
  <si>
    <t>KUANGQUANSHUI</t>
    <phoneticPr fontId="13" type="noConversion"/>
  </si>
  <si>
    <t>WUXIANDIAN</t>
    <phoneticPr fontId="13" type="noConversion"/>
  </si>
  <si>
    <t>CANGKU</t>
    <phoneticPr fontId="13" type="noConversion"/>
  </si>
  <si>
    <t>DIANCHIZU</t>
    <phoneticPr fontId="13" type="noConversion"/>
  </si>
  <si>
    <t>JIANSHENFANG</t>
    <phoneticPr fontId="13" type="noConversion"/>
  </si>
  <si>
    <t>TAIYANGNENG</t>
    <phoneticPr fontId="13" type="noConversion"/>
  </si>
  <si>
    <t>LIANYOU</t>
    <phoneticPr fontId="13" type="noConversion"/>
  </si>
  <si>
    <t>LIANGANG</t>
    <phoneticPr fontId="13" type="noConversion"/>
  </si>
  <si>
    <t>SONGSHU</t>
    <phoneticPr fontId="13" type="noConversion"/>
  </si>
  <si>
    <t>HUNNINGTU</t>
    <phoneticPr fontId="13" type="noConversion"/>
  </si>
  <si>
    <t>MUCAIJIAGONG</t>
    <phoneticPr fontId="13" type="noConversion"/>
  </si>
  <si>
    <t>QIANG</t>
    <phoneticPr fontId="13" type="noConversion"/>
  </si>
  <si>
    <t>DAMEN</t>
    <phoneticPr fontId="13" type="noConversion"/>
  </si>
  <si>
    <t>MAKEQIN</t>
    <phoneticPr fontId="13" type="noConversion"/>
  </si>
  <si>
    <t>松木</t>
    <phoneticPr fontId="13" type="noConversion"/>
  </si>
  <si>
    <t>木材加工厂</t>
    <phoneticPr fontId="13" type="noConversion"/>
  </si>
  <si>
    <t>con_id</t>
    <phoneticPr fontId="13" type="noConversion"/>
  </si>
  <si>
    <t>产出id</t>
    <phoneticPr fontId="13" type="noConversion"/>
  </si>
  <si>
    <t>消耗id</t>
    <phoneticPr fontId="13" type="noConversion"/>
  </si>
  <si>
    <t>产出道具名</t>
    <phoneticPr fontId="13" type="noConversion"/>
  </si>
  <si>
    <t>消耗道具名</t>
    <phoneticPr fontId="13" type="noConversion"/>
  </si>
  <si>
    <t>大米</t>
    <phoneticPr fontId="13" type="noConversion"/>
  </si>
  <si>
    <t>蔬菜</t>
    <phoneticPr fontId="13" type="noConversion"/>
  </si>
  <si>
    <t>化肥</t>
    <phoneticPr fontId="13" type="noConversion"/>
  </si>
  <si>
    <t>猪肉</t>
    <phoneticPr fontId="13" type="noConversion"/>
  </si>
  <si>
    <t>饲料</t>
    <phoneticPr fontId="13" type="noConversion"/>
  </si>
  <si>
    <t>纯净水</t>
    <phoneticPr fontId="13" type="noConversion"/>
  </si>
  <si>
    <t>矿物质水</t>
    <phoneticPr fontId="13" type="noConversion"/>
  </si>
  <si>
    <t>汽油</t>
    <phoneticPr fontId="13" type="noConversion"/>
  </si>
  <si>
    <t>松木</t>
    <phoneticPr fontId="13" type="noConversion"/>
  </si>
  <si>
    <t>混凝土</t>
    <phoneticPr fontId="13" type="noConversion"/>
  </si>
  <si>
    <t>松木板</t>
    <phoneticPr fontId="13" type="noConversion"/>
  </si>
  <si>
    <t>草</t>
    <phoneticPr fontId="13" type="noConversion"/>
  </si>
  <si>
    <t>原油</t>
    <phoneticPr fontId="13" type="noConversion"/>
  </si>
  <si>
    <t>铁</t>
    <phoneticPr fontId="13" type="noConversion"/>
  </si>
  <si>
    <t>水泥</t>
    <phoneticPr fontId="13" type="noConversion"/>
  </si>
  <si>
    <t>功能</t>
    <phoneticPr fontId="13" type="noConversion"/>
  </si>
  <si>
    <t>领取
加工</t>
    <phoneticPr fontId="13" type="noConversion"/>
  </si>
  <si>
    <t>实力
限制</t>
    <phoneticPr fontId="13" type="noConversion"/>
  </si>
  <si>
    <t>con_pro</t>
    <phoneticPr fontId="13" type="noConversion"/>
  </si>
  <si>
    <t>建筑类型
领取=1
加工=2
功能建筑=3
防御建筑=4
武器=5</t>
    <phoneticPr fontId="13" type="noConversion"/>
  </si>
  <si>
    <t>player_cap</t>
    <phoneticPr fontId="13" type="noConversion"/>
  </si>
  <si>
    <t>玩家等级</t>
    <phoneticPr fontId="13" type="noConversion"/>
  </si>
  <si>
    <t>玩家实力</t>
    <phoneticPr fontId="13" type="noConversion"/>
  </si>
  <si>
    <t>庄园等级</t>
    <phoneticPr fontId="13" type="noConversion"/>
  </si>
  <si>
    <t>庄园实力</t>
    <phoneticPr fontId="13" type="noConversion"/>
  </si>
  <si>
    <t>manor_cap</t>
    <phoneticPr fontId="13" type="noConversion"/>
  </si>
  <si>
    <t>消耗产出比</t>
    <phoneticPr fontId="13" type="noConversion"/>
  </si>
  <si>
    <t>蔬菜种植场</t>
    <phoneticPr fontId="13" type="noConversion"/>
  </si>
  <si>
    <t>required</t>
    <phoneticPr fontId="13" type="noConversion"/>
  </si>
  <si>
    <t>required</t>
    <phoneticPr fontId="13" type="noConversion"/>
  </si>
  <si>
    <t>雷达站</t>
    <phoneticPr fontId="13" type="noConversion"/>
  </si>
  <si>
    <t>LEIDA</t>
    <phoneticPr fontId="13" type="noConversion"/>
  </si>
  <si>
    <t>属性id</t>
    <phoneticPr fontId="13" type="noConversion"/>
  </si>
  <si>
    <t>个人属性</t>
    <phoneticPr fontId="13" type="noConversion"/>
  </si>
  <si>
    <t>僵尸属性</t>
    <phoneticPr fontId="13" type="noConversion"/>
  </si>
  <si>
    <t>id</t>
    <phoneticPr fontId="13" type="noConversion"/>
  </si>
  <si>
    <t>内容</t>
    <phoneticPr fontId="13" type="noConversion"/>
  </si>
  <si>
    <t>庄园实力</t>
    <phoneticPr fontId="13" type="noConversion"/>
  </si>
  <si>
    <t>个人实力</t>
    <phoneticPr fontId="13" type="noConversion"/>
  </si>
  <si>
    <t>公式</t>
    <phoneticPr fontId="13" type="noConversion"/>
  </si>
  <si>
    <t>个人战斗力</t>
    <phoneticPr fontId="13" type="noConversion"/>
  </si>
  <si>
    <t>僵尸入侵匹配值</t>
    <phoneticPr fontId="13" type="noConversion"/>
  </si>
  <si>
    <t>ac_k1</t>
    <phoneticPr fontId="13" type="noConversion"/>
  </si>
  <si>
    <t>ac_k2</t>
    <phoneticPr fontId="13" type="noConversion"/>
  </si>
  <si>
    <t>ac_k3</t>
    <phoneticPr fontId="13" type="noConversion"/>
  </si>
  <si>
    <t>增加庄园实力</t>
    <phoneticPr fontId="13" type="noConversion"/>
  </si>
  <si>
    <t>庄园实力限制</t>
    <phoneticPr fontId="13" type="noConversion"/>
  </si>
  <si>
    <t>算法系数k4</t>
    <phoneticPr fontId="13" type="noConversion"/>
  </si>
  <si>
    <t>k1血量*（攻击+k2防御）/[（1-战斗中闪避）*(1-k3战前逃脱)]</t>
    <phoneticPr fontId="13" type="noConversion"/>
  </si>
  <si>
    <t>ac_k4</t>
    <phoneticPr fontId="13" type="noConversion"/>
  </si>
  <si>
    <t>optional</t>
    <phoneticPr fontId="13" type="noConversion"/>
  </si>
  <si>
    <t>世界事件</t>
    <phoneticPr fontId="13" type="noConversion"/>
  </si>
  <si>
    <t>表示世界事件</t>
    <phoneticPr fontId="13" type="noConversion"/>
  </si>
  <si>
    <t>资源类型（1=资源，2=装备，3=特殊）</t>
    <phoneticPr fontId="13" type="noConversion"/>
  </si>
  <si>
    <t>自定义1</t>
    <phoneticPr fontId="13" type="noConversion"/>
  </si>
  <si>
    <t>ac_k5</t>
    <phoneticPr fontId="13" type="noConversion"/>
  </si>
  <si>
    <t>表示个人属性</t>
    <phoneticPr fontId="13" type="noConversion"/>
  </si>
  <si>
    <t>属性类型</t>
    <phoneticPr fontId="13" type="noConversion"/>
  </si>
  <si>
    <t>属性ID</t>
    <phoneticPr fontId="13" type="noConversion"/>
  </si>
  <si>
    <t>属性名称</t>
    <phoneticPr fontId="13" type="noConversion"/>
  </si>
  <si>
    <t>描述</t>
    <phoneticPr fontId="13" type="noConversion"/>
  </si>
  <si>
    <t>初始</t>
    <phoneticPr fontId="13" type="noConversion"/>
  </si>
  <si>
    <t>系数k1</t>
    <phoneticPr fontId="13" type="noConversion"/>
  </si>
  <si>
    <t>特殊判断</t>
    <phoneticPr fontId="13" type="noConversion"/>
  </si>
  <si>
    <t>血量</t>
    <phoneticPr fontId="13" type="noConversion"/>
  </si>
  <si>
    <t>食物</t>
    <phoneticPr fontId="13" type="noConversion"/>
  </si>
  <si>
    <t>水</t>
    <phoneticPr fontId="13" type="noConversion"/>
  </si>
  <si>
    <t>健康</t>
    <phoneticPr fontId="13" type="noConversion"/>
  </si>
  <si>
    <t>心情</t>
    <phoneticPr fontId="13" type="noConversion"/>
  </si>
  <si>
    <t>攻击</t>
    <phoneticPr fontId="13" type="noConversion"/>
  </si>
  <si>
    <t>防御</t>
    <phoneticPr fontId="13" type="noConversion"/>
  </si>
  <si>
    <t>敏捷</t>
    <phoneticPr fontId="13" type="noConversion"/>
  </si>
  <si>
    <t>移速</t>
    <phoneticPr fontId="13" type="noConversion"/>
  </si>
  <si>
    <t>智力</t>
    <phoneticPr fontId="13" type="noConversion"/>
  </si>
  <si>
    <t>战中闪避率</t>
    <phoneticPr fontId="13" type="noConversion"/>
  </si>
  <si>
    <t>int32</t>
    <phoneticPr fontId="13" type="noConversion"/>
  </si>
  <si>
    <t>系数k1*100</t>
    <phoneticPr fontId="13" type="noConversion"/>
  </si>
  <si>
    <t>系数k2*100</t>
    <phoneticPr fontId="13" type="noConversion"/>
  </si>
  <si>
    <t>上限*100</t>
    <phoneticPr fontId="13" type="noConversion"/>
  </si>
  <si>
    <t>等级</t>
    <phoneticPr fontId="13" type="noConversion"/>
  </si>
  <si>
    <t>optional</t>
    <phoneticPr fontId="13" type="noConversion"/>
  </si>
  <si>
    <t>begin_num</t>
    <phoneticPr fontId="13" type="noConversion"/>
  </si>
  <si>
    <t>attr_k1</t>
    <phoneticPr fontId="13" type="noConversion"/>
  </si>
  <si>
    <t>attr_k2</t>
    <phoneticPr fontId="13" type="noConversion"/>
  </si>
  <si>
    <t>rec_k1</t>
    <phoneticPr fontId="13" type="noConversion"/>
  </si>
  <si>
    <t>lim_real</t>
    <phoneticPr fontId="13" type="noConversion"/>
  </si>
  <si>
    <t>lim_k1</t>
    <phoneticPr fontId="13" type="noConversion"/>
  </si>
  <si>
    <t>lim_k2</t>
    <phoneticPr fontId="13" type="noConversion"/>
  </si>
  <si>
    <t>spc_k1</t>
    <phoneticPr fontId="13" type="noConversion"/>
  </si>
  <si>
    <t>spc_k2</t>
    <phoneticPr fontId="13" type="noConversion"/>
  </si>
  <si>
    <t>低了扣血</t>
    <phoneticPr fontId="13" type="noConversion"/>
  </si>
  <si>
    <t>影响上限</t>
    <phoneticPr fontId="13" type="noConversion"/>
  </si>
  <si>
    <t>影响回复速度</t>
    <phoneticPr fontId="13" type="noConversion"/>
  </si>
  <si>
    <t>影响闪避</t>
    <phoneticPr fontId="13" type="noConversion"/>
  </si>
  <si>
    <t>影响探险时间</t>
    <phoneticPr fontId="13" type="noConversion"/>
  </si>
  <si>
    <t>影响逃脱率</t>
    <phoneticPr fontId="13" type="noConversion"/>
  </si>
  <si>
    <t>战前逃脱率</t>
    <phoneticPr fontId="13" type="noConversion"/>
  </si>
  <si>
    <t>玩家不可见</t>
    <phoneticPr fontId="13" type="noConversion"/>
  </si>
  <si>
    <t>初始+健康/k1</t>
    <phoneticPr fontId="13" type="noConversion"/>
  </si>
  <si>
    <t>初始+健康/k1+心情/k2</t>
    <phoneticPr fontId="13" type="noConversion"/>
  </si>
  <si>
    <t>ATK我-k1DEF敌</t>
    <phoneticPr fontId="13" type="noConversion"/>
  </si>
  <si>
    <t>初始+k1*敏捷/（k2+智力）</t>
    <phoneticPr fontId="13" type="noConversion"/>
  </si>
  <si>
    <t>初始+k1*敏捷/（k2+敏捷）</t>
    <phoneticPr fontId="13" type="noConversion"/>
  </si>
  <si>
    <t>每5分钟回复算法</t>
    <phoneticPr fontId="13" type="noConversion"/>
  </si>
  <si>
    <t>1+心情/k1</t>
    <phoneticPr fontId="13" type="noConversion"/>
  </si>
  <si>
    <t>-1+心情/k1</t>
    <phoneticPr fontId="13" type="noConversion"/>
  </si>
  <si>
    <t>-1+心情/K1</t>
    <phoneticPr fontId="13" type="noConversion"/>
  </si>
  <si>
    <t>上限算法</t>
    <phoneticPr fontId="13" type="noConversion"/>
  </si>
  <si>
    <t>k1+k2*健康</t>
  </si>
  <si>
    <t>k1+k2*健康</t>
    <phoneticPr fontId="13" type="noConversion"/>
  </si>
  <si>
    <t>≤k1进入受伤状态</t>
    <phoneticPr fontId="13" type="noConversion"/>
  </si>
  <si>
    <t>≤k1停止血量恢复，每分钟扣血k2</t>
  </si>
  <si>
    <t>≤k1停止血量恢复，每分钟扣血k2</t>
    <phoneticPr fontId="13" type="noConversion"/>
  </si>
  <si>
    <t>值算法</t>
    <phoneticPr fontId="13" type="noConversion"/>
  </si>
  <si>
    <t>值算法k1*100</t>
    <phoneticPr fontId="13" type="noConversion"/>
  </si>
  <si>
    <t>值算法k2*100</t>
    <phoneticPr fontId="13" type="noConversion"/>
  </si>
  <si>
    <t>僵尸到大门的时间t</t>
    <phoneticPr fontId="13" type="noConversion"/>
  </si>
  <si>
    <t>掠夺完资源的时间t</t>
    <phoneticPr fontId="13" type="noConversion"/>
  </si>
  <si>
    <t>算法系数k1*100</t>
    <phoneticPr fontId="13" type="noConversion"/>
  </si>
  <si>
    <t>算法系数k2*100</t>
    <phoneticPr fontId="13" type="noConversion"/>
  </si>
  <si>
    <t>算法系数k3*100</t>
    <phoneticPr fontId="13" type="noConversion"/>
  </si>
  <si>
    <t>t</t>
    <phoneticPr fontId="13" type="noConversion"/>
  </si>
  <si>
    <t>id</t>
    <phoneticPr fontId="13" type="noConversion"/>
  </si>
  <si>
    <t>世界事件延迟</t>
    <phoneticPr fontId="13" type="noConversion"/>
  </si>
  <si>
    <t>算法系数k5*10000</t>
    <phoneticPr fontId="13" type="noConversion"/>
  </si>
  <si>
    <t>k4,单位（min）</t>
    <phoneticPr fontId="13" type="noConversion"/>
  </si>
  <si>
    <t>系数</t>
    <phoneticPr fontId="13" type="noConversion"/>
  </si>
  <si>
    <t>表示系数</t>
    <phoneticPr fontId="13" type="noConversion"/>
  </si>
  <si>
    <t>k5,比例</t>
    <phoneticPr fontId="13" type="noConversion"/>
  </si>
  <si>
    <t>僵尸攻打延迟</t>
    <phoneticPr fontId="13" type="noConversion"/>
  </si>
  <si>
    <t>k4,单位（min）</t>
    <phoneticPr fontId="13" type="noConversion"/>
  </si>
  <si>
    <t>每级消耗资源价值（每级增加实力）</t>
    <phoneticPr fontId="13" type="noConversion"/>
  </si>
  <si>
    <t>伤害公式</t>
    <phoneticPr fontId="13" type="noConversion"/>
  </si>
  <si>
    <t>次数</t>
    <phoneticPr fontId="13" type="noConversion"/>
  </si>
  <si>
    <t>每分钟入侵庄园比例</t>
    <phoneticPr fontId="13" type="noConversion"/>
  </si>
  <si>
    <t>每个庄园每天被僵尸入侵上限</t>
    <phoneticPr fontId="13" type="noConversion"/>
  </si>
  <si>
    <t>每k4天每个庄园固定被入侵1次</t>
    <phoneticPr fontId="13" type="noConversion"/>
  </si>
  <si>
    <t>天数</t>
    <phoneticPr fontId="13" type="noConversion"/>
  </si>
  <si>
    <t>B级旱稻，种出来的大米虽然口感一般，但却是果腹生存之必备，符合国人的口味</t>
    <phoneticPr fontId="13" type="noConversion"/>
  </si>
  <si>
    <t>A级旱稻，种出来的大米虽然口感一般，但却是果腹生存之必备，符合国人的口味</t>
    <phoneticPr fontId="13" type="noConversion"/>
  </si>
  <si>
    <t>S级旱稻，种出来的大米虽然口感一般，但却是果腹生存之必备，符合国人的口味</t>
    <phoneticPr fontId="13" type="noConversion"/>
  </si>
  <si>
    <t>SS级旱稻，种出来的大米虽然口感一般，但却是果腹生存之必备，符合国人的口味</t>
    <phoneticPr fontId="13" type="noConversion"/>
  </si>
  <si>
    <t>此米只应天上有</t>
    <phoneticPr fontId="13" type="noConversion"/>
  </si>
  <si>
    <t>B级旱稻，种出来的大米虽然口感一般，但却是生存果腹之必备，符合国人的口味</t>
    <phoneticPr fontId="13" type="noConversion"/>
  </si>
  <si>
    <t>只吃白米饭？那样不健康！</t>
    <phoneticPr fontId="13" type="noConversion"/>
  </si>
  <si>
    <t>利用空气中的氮合成化肥，它可以让你的农作物长得更快！</t>
    <phoneticPr fontId="13" type="noConversion"/>
  </si>
  <si>
    <t>你可以不吃东西，但不能不喝水</t>
    <phoneticPr fontId="13" type="noConversion"/>
  </si>
  <si>
    <t>“它能够把纯净水加工成矿物质水，而矿物质水喝了更健康，所以人人都应该有一台矿物质水加工器”——专家如是说道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</si>
  <si>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</si>
  <si>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灵感来源于蝙蝠，它可以探测到正在接近庄园的东西</t>
    <phoneticPr fontId="13" type="noConversion"/>
  </si>
  <si>
    <t>农家仓库，居家必备</t>
    <phoneticPr fontId="13" type="noConversion"/>
  </si>
  <si>
    <t>工业仓库，谁用谁知道</t>
    <phoneticPr fontId="13" type="noConversion"/>
  </si>
  <si>
    <t>存储电力的设备</t>
    <phoneticPr fontId="13" type="noConversion"/>
  </si>
  <si>
    <t>通过高中学的电磁感应原理，将动能转化为电能。也许你会问："动能从哪里来？“你看了看你的大肚子，瞬间想通了这个道理</t>
    <phoneticPr fontId="13" type="noConversion"/>
  </si>
  <si>
    <t>传统风力发电机，原理简单，构造可靠</t>
    <phoneticPr fontId="13" type="noConversion"/>
  </si>
  <si>
    <t>把原油精炼为汽油</t>
    <phoneticPr fontId="13" type="noConversion"/>
  </si>
  <si>
    <t>钢铁是怎样炼成的？——你需要铁，还有一个炼钢厂</t>
    <phoneticPr fontId="13" type="noConversion"/>
  </si>
  <si>
    <t>可以把松木加工成更易易于建造的松木板，极大的提高了建造质量。</t>
    <phoneticPr fontId="13" type="noConversion"/>
  </si>
  <si>
    <t>水泥做的围墙，谁用谁知道</t>
    <phoneticPr fontId="13" type="noConversion"/>
  </si>
  <si>
    <t>比起纯水泥，还是混凝土结实！</t>
    <phoneticPr fontId="13" type="noConversion"/>
  </si>
  <si>
    <t>大门不仅要气派，更要结实！</t>
    <phoneticPr fontId="13" type="noConversion"/>
  </si>
  <si>
    <t>搅啊搅，搅啊搅，水泥就成了混凝土，神不神奇，想不想要？！！</t>
    <phoneticPr fontId="13" type="noConversion"/>
  </si>
  <si>
    <t>曾经，学校后的小树林总会发生一些羞羞的事，但在这末世已经很难见到了——不过这些树木仍然是很好的建造材料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</si>
  <si>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</si>
  <si>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利用冷凝技术收集空气中的水</t>
    <phoneticPr fontId="13" type="noConversion"/>
  </si>
  <si>
    <t>“读书不如养猪”——现在你没有机会读书了，但你还有机会养猪</t>
    <phoneticPr fontId="13" type="noConversion"/>
  </si>
  <si>
    <t>饿了？来碗米饭吧！</t>
    <phoneticPr fontId="13" type="noConversion"/>
  </si>
  <si>
    <t>妈妈从小教导，多吃蔬菜，否则容易营养不良</t>
    <phoneticPr fontId="13" type="noConversion"/>
  </si>
  <si>
    <t>升级农作物，提高农作物产量必备</t>
    <phoneticPr fontId="13" type="noConversion"/>
  </si>
  <si>
    <t>谁喝谁知道</t>
    <phoneticPr fontId="13" type="noConversion"/>
  </si>
  <si>
    <t>良好的建材</t>
    <phoneticPr fontId="13" type="noConversion"/>
  </si>
  <si>
    <t>更良好的建材</t>
    <phoneticPr fontId="13" type="noConversion"/>
  </si>
  <si>
    <t>黑色液体黄金</t>
    <phoneticPr fontId="13" type="noConversion"/>
  </si>
  <si>
    <t>武器和建筑当中会大量用到</t>
    <phoneticPr fontId="13" type="noConversion"/>
  </si>
  <si>
    <t>末日世界，难免受伤，来个急救包吧！</t>
    <phoneticPr fontId="13" type="noConversion"/>
  </si>
  <si>
    <t>前庄园设计师写的日志，可用于还原庄园内建筑</t>
    <phoneticPr fontId="13" type="noConversion"/>
  </si>
  <si>
    <t>解锁墙上重机枪必备</t>
    <phoneticPr fontId="13" type="noConversion"/>
  </si>
  <si>
    <t>解锁墙上狙击枪必备</t>
    <phoneticPr fontId="13" type="noConversion"/>
  </si>
  <si>
    <t>解锁墙上机炮必备</t>
    <phoneticPr fontId="13" type="noConversion"/>
  </si>
  <si>
    <t>体会院士精神，学习杂交水稻，据说在后期大有用处</t>
    <phoneticPr fontId="13" type="noConversion"/>
  </si>
  <si>
    <t>学习制作化肥，技多不压身，未来一定会有用的</t>
    <phoneticPr fontId="13" type="noConversion"/>
  </si>
  <si>
    <t>学习养猪，未来一定会有用的</t>
    <phoneticPr fontId="13" type="noConversion"/>
  </si>
  <si>
    <t>学习仓储管理，未来一定会有用的</t>
    <phoneticPr fontId="13" type="noConversion"/>
  </si>
  <si>
    <t>石油大亨——洛克菲勒个人传记</t>
    <phoneticPr fontId="13" type="noConversion"/>
  </si>
  <si>
    <t>尼古拉.特斯拉个人传记，如果能领会里面的内容，或许会在电磁学上有所长进</t>
    <phoneticPr fontId="13" type="noConversion"/>
  </si>
  <si>
    <t>钢铁大亨卡耐基个人传记</t>
    <phoneticPr fontId="13" type="noConversion"/>
  </si>
  <si>
    <t>瞻仰大师风采，体会工匠精神</t>
    <phoneticPr fontId="13" type="noConversion"/>
  </si>
  <si>
    <t>学好土木工程，走遍天下都不怕</t>
    <phoneticPr fontId="13" type="noConversion"/>
  </si>
  <si>
    <t>看起来挺有用，但不知道具体有什么用</t>
    <phoneticPr fontId="13" type="noConversion"/>
  </si>
  <si>
    <t>英籍美国人海勒姆·史蒂文斯·马克沁于1883年发明了马克沁机枪，看看他的生平吧！说不定能学到什么</t>
    <phoneticPr fontId="13" type="noConversion"/>
  </si>
  <si>
    <t>由鲁道夫·赫斯执笔撰写，阿道夫.希特勒口授的一本关于希特勒自身的自传。记载了很多当年纳粹德国的秘密</t>
    <phoneticPr fontId="13" type="noConversion"/>
  </si>
  <si>
    <t>美国人理查·乔登·加特林在1860年设计了一款多管旋转机关枪，也许他不知道，他的这款设计将会改写未来战争格局</t>
    <phoneticPr fontId="13" type="noConversion"/>
  </si>
  <si>
    <t>摄影师朗尼·巴雷特于1981年开始设计一款大口径狙击步枪，并于第二年创立了巴雷特军火公司</t>
    <phoneticPr fontId="13" type="noConversion"/>
  </si>
  <si>
    <t>30多年前的一个知名主播写的指南，吃鸡是什么？没人知道</t>
    <phoneticPr fontId="13" type="noConversion"/>
  </si>
  <si>
    <t>保护头部，谁用谁知道</t>
    <phoneticPr fontId="13" type="noConversion"/>
  </si>
  <si>
    <t>携带方便，威力也还可以</t>
    <phoneticPr fontId="13" type="noConversion"/>
  </si>
  <si>
    <t>威力巨大，挨一枪身上就是一个窟窿，射速也非常恐怖</t>
    <phoneticPr fontId="13" type="noConversion"/>
  </si>
  <si>
    <t>没有什么问题是一挺机关枪不能解决的，如果有，就两挺</t>
    <phoneticPr fontId="13" type="noConversion"/>
  </si>
  <si>
    <t>劣质防弹衣，能防塑料子弹</t>
    <phoneticPr fontId="13" type="noConversion"/>
  </si>
  <si>
    <t>民用防弹衣，防个手枪，防个僵尸，问题都不大</t>
    <phoneticPr fontId="13" type="noConversion"/>
  </si>
  <si>
    <t>军用防弹衣，刀枪不入</t>
    <phoneticPr fontId="13" type="noConversion"/>
  </si>
  <si>
    <t>虽然不能防止被僵尸咬，但穿着还是挺舒服的</t>
    <phoneticPr fontId="13" type="noConversion"/>
  </si>
  <si>
    <t>一般的僵尸咬不穿，防护性还不错</t>
    <phoneticPr fontId="13" type="noConversion"/>
  </si>
  <si>
    <t>凯夫拉纤维制作的裤子，把腿伸长了给僵尸咬都只是挠痒痒</t>
    <phoneticPr fontId="13" type="noConversion"/>
  </si>
  <si>
    <t>产地：莆田</t>
    <phoneticPr fontId="13" type="noConversion"/>
  </si>
  <si>
    <t>产地：莆田，但质量确是精品中的精品</t>
    <phoneticPr fontId="13" type="noConversion"/>
  </si>
  <si>
    <t>“穿上之后，我感觉要飞起来了”——博尔特如是说道</t>
    <phoneticPr fontId="13" type="noConversion"/>
  </si>
  <si>
    <t>“研究表明，长期喝矿物质水能够让人更加健康”——专家如是说道</t>
    <phoneticPr fontId="13" type="noConversion"/>
  </si>
  <si>
    <t>吃一口，管一天。肥而不腻，肉质鲜嫩</t>
    <phoneticPr fontId="13" type="noConversion"/>
  </si>
  <si>
    <t>主要成分是 C4 ~C12 烃类，为混合烃类物品之一，加到汽车里跑得飞快</t>
    <phoneticPr fontId="13" type="noConversion"/>
  </si>
  <si>
    <t>比铁更硬，还不容易生锈，是上等的建筑和武器制作材料</t>
    <phoneticPr fontId="13" type="noConversion"/>
  </si>
  <si>
    <t>加工成木板的松木，是上等的建筑材料</t>
    <phoneticPr fontId="13" type="noConversion"/>
  </si>
  <si>
    <t>由水泥搅拌而来，但强度比水泥更高，是上等的建筑材料</t>
    <phoneticPr fontId="13" type="noConversion"/>
  </si>
  <si>
    <t>oilfactory.prefab</t>
  </si>
  <si>
    <t>steelfactory.prefab</t>
  </si>
  <si>
    <t>waterfactory.prefab</t>
  </si>
  <si>
    <t>饲料研磨器</t>
    <phoneticPr fontId="13" type="noConversion"/>
  </si>
  <si>
    <t>利用风能，把草研磨成饲料，然后可以用来喂猪。环保节能，职业养猪人的选择，值得信赖</t>
    <phoneticPr fontId="13" type="noConversion"/>
  </si>
  <si>
    <t>feedfactory.prefab</t>
  </si>
  <si>
    <t>stockhouse.prefab</t>
  </si>
  <si>
    <t>gold_lim</t>
    <phoneticPr fontId="13" type="noConversion"/>
  </si>
  <si>
    <t>bw_lim</t>
    <phoneticPr fontId="13" type="noConversion"/>
  </si>
  <si>
    <t>gold_prop</t>
    <phoneticPr fontId="13" type="noConversion"/>
  </si>
  <si>
    <t>transit_depot</t>
    <phoneticPr fontId="13" type="noConversion"/>
  </si>
  <si>
    <t>big_warehouse</t>
    <phoneticPr fontId="13" type="noConversion"/>
  </si>
  <si>
    <t>黄金比例*100</t>
    <phoneticPr fontId="13" type="noConversion"/>
  </si>
  <si>
    <t>庄园等级</t>
    <phoneticPr fontId="13" type="noConversion"/>
  </si>
  <si>
    <t>required</t>
    <phoneticPr fontId="13" type="noConversion"/>
  </si>
  <si>
    <t>optional</t>
    <phoneticPr fontId="13" type="noConversion"/>
  </si>
  <si>
    <t>int32</t>
    <phoneticPr fontId="13" type="noConversion"/>
  </si>
  <si>
    <t>id</t>
    <phoneticPr fontId="13" type="noConversion"/>
  </si>
  <si>
    <t>领取类比例*100</t>
    <phoneticPr fontId="13" type="noConversion"/>
  </si>
  <si>
    <t>大仓库比例*100</t>
    <phoneticPr fontId="13" type="noConversion"/>
  </si>
  <si>
    <t>上限(单个资源）</t>
    <phoneticPr fontId="13" type="noConversion"/>
  </si>
  <si>
    <t>黄金上限</t>
    <phoneticPr fontId="13" type="noConversion"/>
  </si>
  <si>
    <t>rice</t>
    <phoneticPr fontId="13" type="noConversion"/>
  </si>
  <si>
    <t>vegetable</t>
    <phoneticPr fontId="13" type="noConversion"/>
  </si>
  <si>
    <t>fruit</t>
    <phoneticPr fontId="13" type="noConversion"/>
  </si>
  <si>
    <t>fertilizer</t>
    <phoneticPr fontId="13" type="noConversion"/>
  </si>
  <si>
    <t>water</t>
    <phoneticPr fontId="13" type="noConversion"/>
  </si>
  <si>
    <t>wood</t>
    <phoneticPr fontId="13" type="noConversion"/>
  </si>
  <si>
    <t>cement</t>
    <phoneticPr fontId="13" type="noConversion"/>
  </si>
  <si>
    <t>grass</t>
    <phoneticPr fontId="13" type="noConversion"/>
  </si>
  <si>
    <t>crudeoil</t>
    <phoneticPr fontId="13" type="noConversion"/>
  </si>
  <si>
    <t>iron</t>
    <phoneticPr fontId="13" type="noConversion"/>
  </si>
  <si>
    <t>book</t>
    <phoneticPr fontId="13" type="noConversion"/>
  </si>
  <si>
    <t>weapondrawing</t>
    <phoneticPr fontId="13" type="noConversion"/>
  </si>
  <si>
    <t>water2</t>
    <phoneticPr fontId="13" type="noConversion"/>
  </si>
  <si>
    <t>fodder</t>
    <phoneticPr fontId="13" type="noConversion"/>
  </si>
  <si>
    <t>pork</t>
    <phoneticPr fontId="13" type="noConversion"/>
  </si>
  <si>
    <t>gasoline</t>
    <phoneticPr fontId="13" type="noConversion"/>
  </si>
  <si>
    <t>steel</t>
    <phoneticPr fontId="13" type="noConversion"/>
  </si>
  <si>
    <t>plank</t>
    <phoneticPr fontId="13" type="noConversion"/>
  </si>
  <si>
    <t>concrete</t>
    <phoneticPr fontId="13" type="noConversion"/>
  </si>
  <si>
    <t>key_name</t>
    <phoneticPr fontId="13" type="noConversion"/>
  </si>
  <si>
    <t>string</t>
    <phoneticPr fontId="13" type="noConversion"/>
  </si>
  <si>
    <t>optional</t>
    <phoneticPr fontId="13" type="noConversion"/>
  </si>
  <si>
    <t>int32</t>
    <phoneticPr fontId="13" type="noConversion"/>
  </si>
  <si>
    <t>图标名称</t>
    <phoneticPr fontId="13" type="noConversion"/>
  </si>
  <si>
    <t>event_icon</t>
    <phoneticPr fontId="13" type="noConversion"/>
  </si>
  <si>
    <t>对应key</t>
    <phoneticPr fontId="13" type="noConversion"/>
  </si>
  <si>
    <t>zombie_atk</t>
  </si>
  <si>
    <t>zombie_def</t>
  </si>
  <si>
    <t>zombie_hp</t>
  </si>
  <si>
    <t>zombie_num</t>
  </si>
  <si>
    <t>僵尸</t>
    <phoneticPr fontId="13" type="noConversion"/>
  </si>
  <si>
    <t>event_name</t>
    <phoneticPr fontId="13" type="noConversion"/>
  </si>
  <si>
    <t>事件名称</t>
    <phoneticPr fontId="13" type="noConversion"/>
  </si>
  <si>
    <t>内部描述</t>
    <phoneticPr fontId="13" type="noConversion"/>
  </si>
  <si>
    <t>event_desc</t>
    <phoneticPr fontId="13" type="noConversion"/>
  </si>
  <si>
    <t>僵尸聚集Ⅱ</t>
    <phoneticPr fontId="13" type="noConversion"/>
  </si>
  <si>
    <t>僵尸聚集Ⅲ</t>
    <phoneticPr fontId="13" type="noConversion"/>
  </si>
  <si>
    <t>僵尸变异Ⅱ</t>
    <phoneticPr fontId="13" type="noConversion"/>
  </si>
  <si>
    <t>僵尸变异Ⅲ</t>
    <phoneticPr fontId="13" type="noConversion"/>
  </si>
  <si>
    <t>僵尸事件→</t>
    <phoneticPr fontId="13" type="noConversion"/>
  </si>
  <si>
    <t>tax_coeff</t>
    <phoneticPr fontId="13" type="noConversion"/>
  </si>
  <si>
    <t>交易基础税率</t>
    <phoneticPr fontId="13" type="noConversion"/>
  </si>
  <si>
    <t>k1</t>
    <phoneticPr fontId="13" type="noConversion"/>
  </si>
  <si>
    <t>event_prob</t>
    <phoneticPr fontId="13" type="noConversion"/>
  </si>
  <si>
    <t>蝗灾Ⅰ</t>
    <phoneticPr fontId="13" type="noConversion"/>
  </si>
  <si>
    <t>蝗灾Ⅱ</t>
    <phoneticPr fontId="13" type="noConversion"/>
  </si>
  <si>
    <t>蝗灾Ⅲ</t>
    <phoneticPr fontId="13" type="noConversion"/>
  </si>
  <si>
    <t>旱灾Ⅰ</t>
    <phoneticPr fontId="13" type="noConversion"/>
  </si>
  <si>
    <t>旱灾Ⅱ</t>
    <phoneticPr fontId="13" type="noConversion"/>
  </si>
  <si>
    <t>旱灾Ⅲ</t>
    <phoneticPr fontId="13" type="noConversion"/>
  </si>
  <si>
    <t>持续时间（min）</t>
    <phoneticPr fontId="13" type="noConversion"/>
  </si>
  <si>
    <t>event_duration</t>
    <phoneticPr fontId="13" type="noConversion"/>
  </si>
  <si>
    <t>植物炭疽病Ⅰ</t>
    <phoneticPr fontId="13" type="noConversion"/>
  </si>
  <si>
    <t>植物炭疽病Ⅱ</t>
    <phoneticPr fontId="13" type="noConversion"/>
  </si>
  <si>
    <t>植物炭疽病Ⅲ</t>
    <phoneticPr fontId="13" type="noConversion"/>
  </si>
  <si>
    <t>流感Ⅰ</t>
    <phoneticPr fontId="13" type="noConversion"/>
  </si>
  <si>
    <t>流感Ⅱ</t>
    <phoneticPr fontId="13" type="noConversion"/>
  </si>
  <si>
    <t>流感Ⅲ</t>
    <phoneticPr fontId="13" type="noConversion"/>
  </si>
  <si>
    <t>player_attrkey</t>
    <phoneticPr fontId="13" type="noConversion"/>
  </si>
  <si>
    <t>healthkey</t>
    <phoneticPr fontId="13" type="noConversion"/>
  </si>
  <si>
    <t>moodkey</t>
    <phoneticPr fontId="13" type="noConversion"/>
  </si>
  <si>
    <t>leida_bldg</t>
  </si>
  <si>
    <t>功能类建筑→</t>
    <phoneticPr fontId="13" type="noConversion"/>
  </si>
  <si>
    <t>回复血量</t>
    <phoneticPr fontId="13" type="noConversion"/>
  </si>
  <si>
    <t>使用效果</t>
    <phoneticPr fontId="13" type="noConversion"/>
  </si>
  <si>
    <t>人最好不要吃，但可加工为猪饲料</t>
    <phoneticPr fontId="13" type="noConversion"/>
  </si>
  <si>
    <t>猪猪最喜欢吃了，不推荐人吃</t>
    <phoneticPr fontId="13" type="noConversion"/>
  </si>
  <si>
    <t>回复口渴*1000</t>
    <phoneticPr fontId="13" type="noConversion"/>
  </si>
  <si>
    <t>回复心情*1000</t>
    <phoneticPr fontId="13" type="noConversion"/>
  </si>
  <si>
    <t>回复健康*1000</t>
    <phoneticPr fontId="13" type="noConversion"/>
  </si>
  <si>
    <t>可回复健康上限（比例）*100</t>
    <phoneticPr fontId="13" type="noConversion"/>
  </si>
  <si>
    <t>价格*1000</t>
    <phoneticPr fontId="13" type="noConversion"/>
  </si>
  <si>
    <t>真实价格</t>
    <phoneticPr fontId="13" type="noConversion"/>
  </si>
  <si>
    <t>每个道具价值黄金</t>
    <phoneticPr fontId="13" type="noConversion"/>
  </si>
  <si>
    <t>dami_bldgcap</t>
  </si>
  <si>
    <t>shucai_bldgcap</t>
  </si>
  <si>
    <t>shuiguo_bldgcap</t>
  </si>
  <si>
    <t>jing_bldgcap</t>
  </si>
  <si>
    <t>lushui_bldgcap</t>
  </si>
  <si>
    <t>songshu_bldgcap</t>
  </si>
  <si>
    <t>dami_bldgspd</t>
  </si>
  <si>
    <t>shucai_bldgspd</t>
  </si>
  <si>
    <t>shuiguo_bldgspd</t>
  </si>
  <si>
    <t>jing_bldgspd</t>
  </si>
  <si>
    <t>lushui_bldgspd</t>
  </si>
  <si>
    <t>songshu_bldgspd</t>
  </si>
  <si>
    <t>交易相关→</t>
    <phoneticPr fontId="13" type="noConversion"/>
  </si>
  <si>
    <t>僵尸聚集Ⅰ</t>
    <phoneticPr fontId="13" type="noConversion"/>
  </si>
  <si>
    <t>僵尸大量死亡Ⅰ</t>
    <phoneticPr fontId="13" type="noConversion"/>
  </si>
  <si>
    <t>僵尸大量死亡Ⅱ</t>
    <phoneticPr fontId="13" type="noConversion"/>
  </si>
  <si>
    <t>僵尸大量死亡Ⅲ</t>
    <phoneticPr fontId="13" type="noConversion"/>
  </si>
  <si>
    <t>僵尸变异Ⅰ</t>
    <phoneticPr fontId="13" type="noConversion"/>
  </si>
  <si>
    <t>水灾Ⅰ</t>
    <phoneticPr fontId="13" type="noConversion"/>
  </si>
  <si>
    <t>水灾Ⅱ</t>
    <phoneticPr fontId="13" type="noConversion"/>
  </si>
  <si>
    <t>水灾Ⅲ</t>
    <phoneticPr fontId="13" type="noConversion"/>
  </si>
  <si>
    <t>太阳电磁暴Ⅱ</t>
    <phoneticPr fontId="13" type="noConversion"/>
  </si>
  <si>
    <t>太阳电磁暴Ⅲ</t>
    <phoneticPr fontId="13" type="noConversion"/>
  </si>
  <si>
    <t>稻瘟病Ⅰ</t>
    <phoneticPr fontId="13" type="noConversion"/>
  </si>
  <si>
    <t>稻瘟病Ⅱ</t>
    <phoneticPr fontId="13" type="noConversion"/>
  </si>
  <si>
    <t>稻瘟病Ⅲ</t>
    <phoneticPr fontId="13" type="noConversion"/>
  </si>
  <si>
    <t>雾霾Ⅰ</t>
    <phoneticPr fontId="13" type="noConversion"/>
  </si>
  <si>
    <t>雾霾Ⅱ</t>
    <phoneticPr fontId="13" type="noConversion"/>
  </si>
  <si>
    <t>雾霾Ⅲ</t>
    <phoneticPr fontId="13" type="noConversion"/>
  </si>
  <si>
    <t>事件类型，
程序不用看
（1=僵尸类，
2=战争类
3=自然灾害类，
4=人类）</t>
    <phoneticPr fontId="13" type="noConversion"/>
  </si>
  <si>
    <t>事件详细小分类（此处同类型不能同时出现）</t>
    <phoneticPr fontId="13" type="noConversion"/>
  </si>
  <si>
    <t>攻击系数*100</t>
    <phoneticPr fontId="13" type="noConversion"/>
  </si>
  <si>
    <t>防御系数*100</t>
    <phoneticPr fontId="13" type="noConversion"/>
  </si>
  <si>
    <t>血量系数*100</t>
    <phoneticPr fontId="13" type="noConversion"/>
  </si>
  <si>
    <t>僵尸数量系数*100</t>
    <phoneticPr fontId="13" type="noConversion"/>
  </si>
  <si>
    <t>健康系数*100</t>
    <phoneticPr fontId="13" type="noConversion"/>
  </si>
  <si>
    <t>心情系数*100</t>
    <phoneticPr fontId="13" type="noConversion"/>
  </si>
  <si>
    <t>水稻种植场系数*100</t>
    <phoneticPr fontId="13" type="noConversion"/>
  </si>
  <si>
    <t>蔬菜种植场系数*100</t>
    <phoneticPr fontId="13" type="noConversion"/>
  </si>
  <si>
    <t>水果园系数*100</t>
    <phoneticPr fontId="13" type="noConversion"/>
  </si>
  <si>
    <t>井系数*100</t>
    <phoneticPr fontId="13" type="noConversion"/>
  </si>
  <si>
    <t>露水收集器系数*100</t>
    <phoneticPr fontId="13" type="noConversion"/>
  </si>
  <si>
    <t>松树林系数*100</t>
    <phoneticPr fontId="13" type="noConversion"/>
  </si>
  <si>
    <t>领取类产速→</t>
    <phoneticPr fontId="13" type="noConversion"/>
  </si>
  <si>
    <t>水稻种植场产速系数*100</t>
    <phoneticPr fontId="13" type="noConversion"/>
  </si>
  <si>
    <t>蔬菜种植场产速系数*100</t>
    <phoneticPr fontId="13" type="noConversion"/>
  </si>
  <si>
    <t>水果园产速系数*100</t>
    <phoneticPr fontId="13" type="noConversion"/>
  </si>
  <si>
    <t>井产速系数*100</t>
    <phoneticPr fontId="13" type="noConversion"/>
  </si>
  <si>
    <t>露水收集器产速系数*100</t>
    <phoneticPr fontId="13" type="noConversion"/>
  </si>
  <si>
    <t>松树林产速系数*100</t>
    <phoneticPr fontId="13" type="noConversion"/>
  </si>
  <si>
    <t>wuxiandian_bldg</t>
    <phoneticPr fontId="13" type="noConversion"/>
  </si>
  <si>
    <t>无线电提前接收系数*100</t>
    <phoneticPr fontId="13" type="noConversion"/>
  </si>
  <si>
    <t>雷达提前接收系数*100</t>
    <phoneticPr fontId="13" type="noConversion"/>
  </si>
  <si>
    <t>风力发电机</t>
    <phoneticPr fontId="13" type="noConversion"/>
  </si>
  <si>
    <t>风力发电机（原太阳能）产速系数*100</t>
    <phoneticPr fontId="13" type="noConversion"/>
  </si>
  <si>
    <t>交易税率系数*100</t>
    <phoneticPr fontId="13" type="noConversion"/>
  </si>
  <si>
    <t>大米*100</t>
    <phoneticPr fontId="13" type="noConversion"/>
  </si>
  <si>
    <t>蔬菜*100</t>
    <phoneticPr fontId="13" type="noConversion"/>
  </si>
  <si>
    <t>水果*100</t>
    <phoneticPr fontId="13" type="noConversion"/>
  </si>
  <si>
    <t>化肥*100</t>
    <phoneticPr fontId="13" type="noConversion"/>
  </si>
  <si>
    <t>纯净水*100</t>
    <phoneticPr fontId="13" type="noConversion"/>
  </si>
  <si>
    <t>松木*100</t>
    <phoneticPr fontId="13" type="noConversion"/>
  </si>
  <si>
    <t>水泥*100</t>
    <phoneticPr fontId="13" type="noConversion"/>
  </si>
  <si>
    <t>草*100</t>
    <phoneticPr fontId="13" type="noConversion"/>
  </si>
  <si>
    <t>原油*100</t>
    <phoneticPr fontId="13" type="noConversion"/>
  </si>
  <si>
    <t>铁*100</t>
    <phoneticPr fontId="13" type="noConversion"/>
  </si>
  <si>
    <t>急救包*100</t>
    <phoneticPr fontId="13" type="noConversion"/>
  </si>
  <si>
    <t>庄园日志*100</t>
    <phoneticPr fontId="13" type="noConversion"/>
  </si>
  <si>
    <t>重机枪图纸*100</t>
    <phoneticPr fontId="13" type="noConversion"/>
  </si>
  <si>
    <t>狙击枪图纸*100</t>
    <phoneticPr fontId="13" type="noConversion"/>
  </si>
  <si>
    <t>机炮设计图*100</t>
    <phoneticPr fontId="13" type="noConversion"/>
  </si>
  <si>
    <t>《袁隆平传》*100</t>
    <phoneticPr fontId="13" type="noConversion"/>
  </si>
  <si>
    <t>《化肥工业概论》*100</t>
    <phoneticPr fontId="13" type="noConversion"/>
  </si>
  <si>
    <t>《论如何养猪》*100</t>
    <phoneticPr fontId="13" type="noConversion"/>
  </si>
  <si>
    <t>《仓储管理》*100</t>
    <phoneticPr fontId="13" type="noConversion"/>
  </si>
  <si>
    <t>《特斯拉传》*100</t>
    <phoneticPr fontId="13" type="noConversion"/>
  </si>
  <si>
    <t>《洛克菲勒传》*100</t>
    <phoneticPr fontId="13" type="noConversion"/>
  </si>
  <si>
    <t>《卡耐基传》*100</t>
    <phoneticPr fontId="13" type="noConversion"/>
  </si>
  <si>
    <t>《鲁班传》*100</t>
    <phoneticPr fontId="13" type="noConversion"/>
  </si>
  <si>
    <t>《土木工程概论》*100</t>
    <phoneticPr fontId="13" type="noConversion"/>
  </si>
  <si>
    <t>《防盗门技术》*100</t>
    <phoneticPr fontId="13" type="noConversion"/>
  </si>
  <si>
    <t>《马克沁传》*100</t>
    <phoneticPr fontId="13" type="noConversion"/>
  </si>
  <si>
    <t>《我的奋斗》*100</t>
    <phoneticPr fontId="13" type="noConversion"/>
  </si>
  <si>
    <t>《加特林传》*100</t>
    <phoneticPr fontId="13" type="noConversion"/>
  </si>
  <si>
    <t>《巴雷特的笔记》*100</t>
    <phoneticPr fontId="13" type="noConversion"/>
  </si>
  <si>
    <t>《官人吃鸡指南》*100</t>
    <phoneticPr fontId="13" type="noConversion"/>
  </si>
  <si>
    <t>1级头盔*100</t>
    <phoneticPr fontId="13" type="noConversion"/>
  </si>
  <si>
    <t>2级头盔*100</t>
    <phoneticPr fontId="13" type="noConversion"/>
  </si>
  <si>
    <t>3级头盔*100</t>
    <phoneticPr fontId="13" type="noConversion"/>
  </si>
  <si>
    <t>手枪*100</t>
    <phoneticPr fontId="13" type="noConversion"/>
  </si>
  <si>
    <t>步枪*100</t>
    <phoneticPr fontId="13" type="noConversion"/>
  </si>
  <si>
    <t>轻机枪*100</t>
    <phoneticPr fontId="13" type="noConversion"/>
  </si>
  <si>
    <t>1级防弹衣*100</t>
    <phoneticPr fontId="13" type="noConversion"/>
  </si>
  <si>
    <t>2级防弹衣*100</t>
    <phoneticPr fontId="13" type="noConversion"/>
  </si>
  <si>
    <t>混凝土*100</t>
    <phoneticPr fontId="13" type="noConversion"/>
  </si>
  <si>
    <t>松木板*100</t>
    <phoneticPr fontId="13" type="noConversion"/>
  </si>
  <si>
    <t>钢*100</t>
    <phoneticPr fontId="13" type="noConversion"/>
  </si>
  <si>
    <t>汽油*100</t>
    <phoneticPr fontId="13" type="noConversion"/>
  </si>
  <si>
    <t>猪肉*100</t>
    <phoneticPr fontId="13" type="noConversion"/>
  </si>
  <si>
    <t>饲料*100</t>
    <phoneticPr fontId="13" type="noConversion"/>
  </si>
  <si>
    <t>矿物质水*100</t>
    <phoneticPr fontId="13" type="noConversion"/>
  </si>
  <si>
    <t>3级越野靴*100</t>
    <phoneticPr fontId="13" type="noConversion"/>
  </si>
  <si>
    <t>2级越野靴*100</t>
    <phoneticPr fontId="13" type="noConversion"/>
  </si>
  <si>
    <t>1级越野靴*100</t>
    <phoneticPr fontId="13" type="noConversion"/>
  </si>
  <si>
    <t>3级作训裤*100</t>
    <phoneticPr fontId="13" type="noConversion"/>
  </si>
  <si>
    <t>2级作训裤*100</t>
    <phoneticPr fontId="13" type="noConversion"/>
  </si>
  <si>
    <t>1级作训裤*100</t>
    <phoneticPr fontId="13" type="noConversion"/>
  </si>
  <si>
    <t>3级防弹衣*100</t>
    <phoneticPr fontId="13" type="noConversion"/>
  </si>
  <si>
    <t>小规模战争</t>
    <phoneticPr fontId="13" type="noConversion"/>
  </si>
  <si>
    <t>战争</t>
    <phoneticPr fontId="13" type="noConversion"/>
  </si>
  <si>
    <t>大规模战争</t>
    <phoneticPr fontId="13" type="noConversion"/>
  </si>
  <si>
    <t>大量影响僵尸数量</t>
    <phoneticPr fontId="13" type="noConversion"/>
  </si>
  <si>
    <t>大量影响交易税率</t>
    <phoneticPr fontId="13" type="noConversion"/>
  </si>
  <si>
    <t>中量影响交易价格</t>
    <phoneticPr fontId="13" type="noConversion"/>
  </si>
  <si>
    <t>event_unlock</t>
    <phoneticPr fontId="13" type="noConversion"/>
  </si>
  <si>
    <t>int32</t>
    <phoneticPr fontId="13" type="noConversion"/>
  </si>
  <si>
    <t>庄园多少级可起作用和可见</t>
    <phoneticPr fontId="13" type="noConversion"/>
  </si>
  <si>
    <t>每分钟发生概率*100000</t>
    <phoneticPr fontId="13" type="noConversion"/>
  </si>
  <si>
    <t>领取类临时仓库→
（只减扣/增加一次）</t>
    <phoneticPr fontId="13" type="noConversion"/>
  </si>
  <si>
    <t>风调雨顺Ⅰ</t>
    <phoneticPr fontId="13" type="noConversion"/>
  </si>
  <si>
    <t>风调雨顺Ⅱ</t>
    <phoneticPr fontId="13" type="noConversion"/>
  </si>
  <si>
    <t>风调雨顺Ⅲ</t>
    <phoneticPr fontId="13" type="noConversion"/>
  </si>
  <si>
    <t>世界和平Ⅰ</t>
    <phoneticPr fontId="13" type="noConversion"/>
  </si>
  <si>
    <t>世界和平Ⅱ</t>
    <phoneticPr fontId="13" type="noConversion"/>
  </si>
  <si>
    <t>世界和平Ⅲ</t>
    <phoneticPr fontId="13" type="noConversion"/>
  </si>
  <si>
    <t>event_news</t>
    <phoneticPr fontId="13" type="noConversion"/>
  </si>
  <si>
    <t>event_newsdetail</t>
    <phoneticPr fontId="13" type="noConversion"/>
  </si>
  <si>
    <t>龙卷风Ⅰ</t>
    <phoneticPr fontId="13" type="noConversion"/>
  </si>
  <si>
    <t>龙卷风Ⅱ</t>
    <phoneticPr fontId="13" type="noConversion"/>
  </si>
  <si>
    <t>龙卷风Ⅲ</t>
    <phoneticPr fontId="13" type="noConversion"/>
  </si>
  <si>
    <t>con_prob</t>
    <phoneticPr fontId="13" type="noConversion"/>
  </si>
  <si>
    <t>每天平均发生次数</t>
    <phoneticPr fontId="13" type="noConversion"/>
  </si>
  <si>
    <t>时间持续期间平均发生次数</t>
    <phoneticPr fontId="13" type="noConversion"/>
  </si>
  <si>
    <t>人类病害★
（个人buff）
→</t>
    <phoneticPr fontId="13" type="noConversion"/>
  </si>
  <si>
    <t>个人buff发生条件</t>
    <phoneticPr fontId="13" type="noConversion"/>
  </si>
  <si>
    <t>条件成立个人buff每分钟发生概率*100000</t>
    <phoneticPr fontId="13" type="noConversion"/>
  </si>
  <si>
    <t>僵尸入侵概率系数*100</t>
    <phoneticPr fontId="13" type="noConversion"/>
  </si>
  <si>
    <t>inva_prob</t>
    <phoneticPr fontId="13" type="noConversion"/>
  </si>
  <si>
    <t>int32</t>
    <phoneticPr fontId="13" type="noConversion"/>
  </si>
  <si>
    <t>optional</t>
    <phoneticPr fontId="13" type="noConversion"/>
  </si>
  <si>
    <t>加工类资源价格系数→</t>
    <phoneticPr fontId="13" type="noConversion"/>
  </si>
  <si>
    <t>装备类价格系数→</t>
    <phoneticPr fontId="13" type="noConversion"/>
  </si>
  <si>
    <t>图纸类价格系数→</t>
    <phoneticPr fontId="13" type="noConversion"/>
  </si>
  <si>
    <t>领取类资源价格系数→</t>
    <phoneticPr fontId="13" type="noConversion"/>
  </si>
  <si>
    <t>optional</t>
    <phoneticPr fontId="13" type="noConversion"/>
  </si>
  <si>
    <t>int32</t>
    <phoneticPr fontId="13" type="noConversion"/>
  </si>
  <si>
    <t>bldg_visible</t>
    <phoneticPr fontId="13" type="noConversion"/>
  </si>
  <si>
    <t>可视等级</t>
    <phoneticPr fontId="13" type="noConversion"/>
  </si>
  <si>
    <t>发生该事件的概率</t>
    <phoneticPr fontId="13" type="noConversion"/>
  </si>
  <si>
    <t>在外探索（如果发生，只起一次作用，下同）</t>
    <phoneticPr fontId="13" type="noConversion"/>
  </si>
  <si>
    <t>在外探索</t>
    <phoneticPr fontId="13" type="noConversion"/>
  </si>
  <si>
    <t>buff名称</t>
    <phoneticPr fontId="13" type="noConversion"/>
  </si>
  <si>
    <t>buff描述</t>
    <phoneticPr fontId="13" type="noConversion"/>
  </si>
  <si>
    <t>感染H7N9</t>
    <phoneticPr fontId="13" type="noConversion"/>
  </si>
  <si>
    <t>轻度的H7N9流感病毒，影响健康和心情，此时身体极其脆弱，建议不要出门</t>
    <phoneticPr fontId="13" type="noConversion"/>
  </si>
  <si>
    <t>中度的H7N9流感病毒，影响健康和心情，此时身体极其脆弱，建议不要出门</t>
    <phoneticPr fontId="13" type="noConversion"/>
  </si>
  <si>
    <t>重度的H7N9流感病毒，影响健康和心情，此时身体极其脆弱，建议不要出门</t>
    <phoneticPr fontId="13" type="noConversion"/>
  </si>
  <si>
    <t>每天发生的概率</t>
    <phoneticPr fontId="13" type="noConversion"/>
  </si>
  <si>
    <t>黄金</t>
    <phoneticPr fontId="13" type="noConversion"/>
  </si>
  <si>
    <t>时间</t>
    <phoneticPr fontId="13" type="noConversion"/>
  </si>
  <si>
    <t>电力</t>
    <phoneticPr fontId="13" type="noConversion"/>
  </si>
  <si>
    <t>每级消耗资源价值（每级增加实力）复制</t>
    <phoneticPr fontId="13" type="noConversion"/>
  </si>
  <si>
    <t>等效等级</t>
    <phoneticPr fontId="13" type="noConversion"/>
  </si>
  <si>
    <t>松木板</t>
    <phoneticPr fontId="13" type="noConversion"/>
  </si>
  <si>
    <t>bldg_lv_lim</t>
    <phoneticPr fontId="13" type="noConversion"/>
  </si>
  <si>
    <t>int32</t>
    <phoneticPr fontId="13" type="noConversion"/>
  </si>
  <si>
    <t>optional</t>
    <phoneticPr fontId="13" type="noConversion"/>
  </si>
  <si>
    <t>GAU-8</t>
    <phoneticPr fontId="13" type="noConversion"/>
  </si>
  <si>
    <t>马克沁重机枪</t>
    <phoneticPr fontId="13" type="noConversion"/>
  </si>
  <si>
    <t>helmet1</t>
    <phoneticPr fontId="13" type="noConversion"/>
  </si>
  <si>
    <t>helmet2</t>
    <phoneticPr fontId="13" type="noConversion"/>
  </si>
  <si>
    <t>helmet3</t>
    <phoneticPr fontId="13" type="noConversion"/>
  </si>
  <si>
    <t>pistol1</t>
    <phoneticPr fontId="13" type="noConversion"/>
  </si>
  <si>
    <t>rifle1</t>
    <phoneticPr fontId="13" type="noConversion"/>
  </si>
  <si>
    <t>machinegun1</t>
    <phoneticPr fontId="13" type="noConversion"/>
  </si>
  <si>
    <t>bodyarmour1</t>
    <phoneticPr fontId="13" type="noConversion"/>
  </si>
  <si>
    <t>bodyarmour2</t>
  </si>
  <si>
    <t>bodyarmour3</t>
  </si>
  <si>
    <t>trousers1</t>
  </si>
  <si>
    <t>trousers2</t>
    <phoneticPr fontId="13" type="noConversion"/>
  </si>
  <si>
    <t>trousers3</t>
    <phoneticPr fontId="13" type="noConversion"/>
  </si>
  <si>
    <t>shoes1</t>
  </si>
  <si>
    <t>shoes2</t>
  </si>
  <si>
    <t>shoes3</t>
  </si>
  <si>
    <t>radiostation.prefab</t>
    <phoneticPr fontId="13" type="noConversion"/>
  </si>
  <si>
    <t>concretefactory.prefab</t>
    <phoneticPr fontId="13" type="noConversion"/>
  </si>
  <si>
    <t>kit2</t>
    <phoneticPr fontId="13" type="noConversion"/>
  </si>
  <si>
    <t>卡车</t>
    <phoneticPr fontId="13" type="noConversion"/>
  </si>
  <si>
    <t>五十铃牌小货车，不论是载货量还是速度，都比背着背包的你要强得多</t>
    <phoneticPr fontId="13" type="noConversion"/>
  </si>
  <si>
    <t>初始+健康/k1</t>
    <phoneticPr fontId="13" type="noConversion"/>
  </si>
  <si>
    <t>初始+心情/k1</t>
    <phoneticPr fontId="13" type="noConversion"/>
  </si>
  <si>
    <t>CHE1</t>
  </si>
  <si>
    <t>CHE1</t>
    <phoneticPr fontId="13" type="noConversion"/>
  </si>
  <si>
    <t>car.prefab</t>
    <phoneticPr fontId="13" type="noConversion"/>
  </si>
  <si>
    <t>car_bldgspd</t>
    <phoneticPr fontId="13" type="noConversion"/>
  </si>
  <si>
    <t>车辆速度系数*100</t>
    <phoneticPr fontId="13" type="noConversion"/>
  </si>
  <si>
    <t>int32</t>
    <phoneticPr fontId="13" type="noConversion"/>
  </si>
  <si>
    <t>optional</t>
    <phoneticPr fontId="13" type="noConversion"/>
  </si>
  <si>
    <t>大量僵尸在庄园周边集结，外部世界变得极度危险</t>
    <phoneticPr fontId="13" type="noConversion"/>
  </si>
  <si>
    <t>事件buff描述</t>
    <phoneticPr fontId="13" type="noConversion"/>
  </si>
  <si>
    <t>事件新闻界面内描述</t>
    <phoneticPr fontId="13" type="noConversion"/>
  </si>
  <si>
    <t>事件新闻界面内分析</t>
    <phoneticPr fontId="13" type="noConversion"/>
  </si>
  <si>
    <t>僵尸开始大量死亡，原因不明</t>
    <phoneticPr fontId="13" type="noConversion"/>
  </si>
  <si>
    <t>僵尸发生变异，变得更加有攻击性</t>
    <phoneticPr fontId="13" type="noConversion"/>
  </si>
  <si>
    <t>僵尸开始大量死亡，原因不明。是外出探索的好时机</t>
    <phoneticPr fontId="13" type="noConversion"/>
  </si>
  <si>
    <t>最大的两个人类幸存者部落正在发生战争</t>
    <phoneticPr fontId="13" type="noConversion"/>
  </si>
  <si>
    <t>多日滴水未降干旱，农作物的生长变得越来越困难</t>
    <phoneticPr fontId="13" type="noConversion"/>
  </si>
  <si>
    <t>太阳电磁暴Ⅰ</t>
    <phoneticPr fontId="13" type="noConversion"/>
  </si>
  <si>
    <t>太阳风暴爆发，强大的电磁辐射影响了许多与无线电相关的设备</t>
    <phoneticPr fontId="13" type="noConversion"/>
  </si>
  <si>
    <t>水稻重要病害之一，可引起大幅度减产和生长速度大幅下降</t>
    <phoneticPr fontId="13" type="noConversion"/>
  </si>
  <si>
    <t>风和日丽，一切都变得更好了！</t>
    <phoneticPr fontId="13" type="noConversion"/>
  </si>
  <si>
    <t>幸存者电台报道：大量僵尸正在Z城附近集结，郑重提示，非请不要出门！</t>
    <phoneticPr fontId="13" type="noConversion"/>
  </si>
  <si>
    <t>幸存者电台报道：大量僵尸开始无故死亡，很快将影响到Z城，届时是外出探索的好时机！</t>
    <phoneticPr fontId="13" type="noConversion"/>
  </si>
  <si>
    <t>幸存者电台报道：大僵尸开始变得更具攻击性，届时请幸存者务必要加倍小心！</t>
    <phoneticPr fontId="13" type="noConversion"/>
  </si>
  <si>
    <t>幸存者电台报道：最大的两个人类幸存者部落即将发生战争，请大家务必提前储备物资！</t>
    <phoneticPr fontId="13" type="noConversion"/>
  </si>
  <si>
    <t>幸存者电台报道：人类最大的两个幸存者部落即将签订停战协议，世界和平迎来曙光</t>
    <phoneticPr fontId="13" type="noConversion"/>
  </si>
  <si>
    <t>人类最大的两个幸存者部落签订了停战协议</t>
    <phoneticPr fontId="13" type="noConversion"/>
  </si>
  <si>
    <t>幸存者电台报道：大量的蝗虫正在朝Z城飞来，请幸存者们务必提前做好准备</t>
    <phoneticPr fontId="13" type="noConversion"/>
  </si>
  <si>
    <t>幸存者电台报道：由于多日连续降雨，不得不悲观的预计：“水灾即将到来”</t>
    <phoneticPr fontId="13" type="noConversion"/>
  </si>
  <si>
    <t>幸存者电台报道：多日滴水未降，不得不悲观的预计：“旱灾即将到来”</t>
    <phoneticPr fontId="13" type="noConversion"/>
  </si>
  <si>
    <t>幸存者电台报道：太阳最近极不稳定，预计将要发生太阳风暴</t>
    <phoneticPr fontId="13" type="noConversion"/>
  </si>
  <si>
    <t>幸存者电台报道：一种名叫“炭疽病”的植物病害正在世界范围内蔓延开来，预计马上会传到Z城</t>
    <phoneticPr fontId="13" type="noConversion"/>
  </si>
  <si>
    <t>幸存者电台报道：一种名叫“稻瘟病”的水稻病害正在世界范围内蔓延开来，预计马上会传到Z城</t>
    <phoneticPr fontId="13" type="noConversion"/>
  </si>
  <si>
    <t>幸存者电台报道：世界即将迎来一段时间的好天气！狂欢吧！</t>
    <phoneticPr fontId="13" type="noConversion"/>
  </si>
  <si>
    <t>有可能会影响到僵尸的强度、武器的价格</t>
    <phoneticPr fontId="13" type="noConversion"/>
  </si>
  <si>
    <t>铁</t>
  </si>
  <si>
    <t>钢</t>
  </si>
  <si>
    <t>fruitfarm1.prefab</t>
    <phoneticPr fontId="13" type="noConversion"/>
  </si>
  <si>
    <t>fruitfarm1.prefab</t>
    <phoneticPr fontId="13" type="noConversion"/>
  </si>
  <si>
    <t>fruitfarm3.prefab</t>
    <phoneticPr fontId="13" type="noConversion"/>
  </si>
  <si>
    <t>fruitfarm5.prefab</t>
    <phoneticPr fontId="13" type="noConversion"/>
  </si>
  <si>
    <t>fruitfarm5.prefab</t>
    <phoneticPr fontId="13" type="noConversion"/>
  </si>
  <si>
    <t>fruitfarm7.prefab</t>
    <phoneticPr fontId="13" type="noConversion"/>
  </si>
  <si>
    <t>grainfarm1.prefab</t>
    <phoneticPr fontId="13" type="noConversion"/>
  </si>
  <si>
    <t>grainfarm3.prefab</t>
    <phoneticPr fontId="13" type="noConversion"/>
  </si>
  <si>
    <t>grainfarm3.prefab</t>
    <phoneticPr fontId="13" type="noConversion"/>
  </si>
  <si>
    <t>grainfarm5.prefab</t>
    <phoneticPr fontId="13" type="noConversion"/>
  </si>
  <si>
    <t>grainfarm7.prefab</t>
    <phoneticPr fontId="13" type="noConversion"/>
  </si>
  <si>
    <t>grainfarm5.prefab</t>
    <phoneticPr fontId="13" type="noConversion"/>
  </si>
  <si>
    <t>vegfarm1.prefab</t>
    <phoneticPr fontId="13" type="noConversion"/>
  </si>
  <si>
    <t>vegfarm1.prefab</t>
    <phoneticPr fontId="13" type="noConversion"/>
  </si>
  <si>
    <t>vegfarm3.prefab</t>
    <phoneticPr fontId="13" type="noConversion"/>
  </si>
  <si>
    <t>vegfarm5.prefab</t>
    <phoneticPr fontId="13" type="noConversion"/>
  </si>
  <si>
    <t>vegfarm5.prefab</t>
    <phoneticPr fontId="13" type="noConversion"/>
  </si>
  <si>
    <t>vegfarm7.prefab</t>
    <phoneticPr fontId="13" type="noConversion"/>
  </si>
  <si>
    <t>fertilizer1.prefab</t>
    <phoneticPr fontId="13" type="noConversion"/>
  </si>
  <si>
    <t>fertilizer3.prefab</t>
    <phoneticPr fontId="13" type="noConversion"/>
  </si>
  <si>
    <t>fertilizer3.prefab</t>
    <phoneticPr fontId="13" type="noConversion"/>
  </si>
  <si>
    <t>fertilizer5.prefab</t>
    <phoneticPr fontId="13" type="noConversion"/>
  </si>
  <si>
    <t>fertilizer5.prefab</t>
    <phoneticPr fontId="13" type="noConversion"/>
  </si>
  <si>
    <t>fertilizer7.prefab</t>
    <phoneticPr fontId="13" type="noConversion"/>
  </si>
  <si>
    <t>well1.prefab</t>
    <phoneticPr fontId="13" type="noConversion"/>
  </si>
  <si>
    <t>well1.prefab</t>
    <phoneticPr fontId="13" type="noConversion"/>
  </si>
  <si>
    <t>well3.prefab</t>
    <phoneticPr fontId="13" type="noConversion"/>
  </si>
  <si>
    <t>well3.prefab</t>
    <phoneticPr fontId="13" type="noConversion"/>
  </si>
  <si>
    <t>well5.prefab</t>
    <phoneticPr fontId="13" type="noConversion"/>
  </si>
  <si>
    <t>well5.prefab</t>
    <phoneticPr fontId="13" type="noConversion"/>
  </si>
  <si>
    <t>well7.prefab</t>
    <phoneticPr fontId="13" type="noConversion"/>
  </si>
  <si>
    <t>watercollector1.prefab</t>
    <phoneticPr fontId="13" type="noConversion"/>
  </si>
  <si>
    <t>watercollector3.prefab</t>
    <phoneticPr fontId="13" type="noConversion"/>
  </si>
  <si>
    <t>watercollector3.prefab</t>
    <phoneticPr fontId="13" type="noConversion"/>
  </si>
  <si>
    <t>watercollector5.prefab</t>
    <phoneticPr fontId="13" type="noConversion"/>
  </si>
  <si>
    <t>watercollector5.prefab</t>
    <phoneticPr fontId="13" type="noConversion"/>
  </si>
  <si>
    <t>watercollector7.prefab</t>
    <phoneticPr fontId="13" type="noConversion"/>
  </si>
  <si>
    <t>radiostation.prefab</t>
    <phoneticPr fontId="13" type="noConversion"/>
  </si>
  <si>
    <t>radar1.prefab</t>
    <phoneticPr fontId="13" type="noConversion"/>
  </si>
  <si>
    <t>radar8.prefab</t>
    <phoneticPr fontId="13" type="noConversion"/>
  </si>
  <si>
    <t>radar10.prefab</t>
    <phoneticPr fontId="13" type="noConversion"/>
  </si>
  <si>
    <t>battery1.prefab</t>
    <phoneticPr fontId="13" type="noConversion"/>
  </si>
  <si>
    <t>battery1.prefab</t>
    <phoneticPr fontId="13" type="noConversion"/>
  </si>
  <si>
    <t>battery3.prefab</t>
    <phoneticPr fontId="13" type="noConversion"/>
  </si>
  <si>
    <t>battery5.prefab</t>
    <phoneticPr fontId="13" type="noConversion"/>
  </si>
  <si>
    <t>battery5.prefab</t>
    <phoneticPr fontId="13" type="noConversion"/>
  </si>
  <si>
    <t>battery7.prefab</t>
    <phoneticPr fontId="13" type="noConversion"/>
  </si>
  <si>
    <t>windpowerplant1.prefab</t>
    <phoneticPr fontId="13" type="noConversion"/>
  </si>
  <si>
    <t>windpowerplant1.prefab</t>
    <phoneticPr fontId="13" type="noConversion"/>
  </si>
  <si>
    <t>windpowerplant3.prefab</t>
    <phoneticPr fontId="13" type="noConversion"/>
  </si>
  <si>
    <t>windpowerplant3.prefab</t>
    <phoneticPr fontId="13" type="noConversion"/>
  </si>
  <si>
    <t>windpowerplant5.prefab</t>
    <phoneticPr fontId="13" type="noConversion"/>
  </si>
  <si>
    <t>windpowerplant5.prefab</t>
    <phoneticPr fontId="13" type="noConversion"/>
  </si>
  <si>
    <t>windpowerplant7.prefab</t>
    <phoneticPr fontId="13" type="noConversion"/>
  </si>
  <si>
    <t>pinewood1.prefab</t>
    <phoneticPr fontId="13" type="noConversion"/>
  </si>
  <si>
    <t>pinewood1.prefab</t>
    <phoneticPr fontId="13" type="noConversion"/>
  </si>
  <si>
    <t>pinewood3.prefab</t>
    <phoneticPr fontId="13" type="noConversion"/>
  </si>
  <si>
    <t>pinewood3.prefab</t>
    <phoneticPr fontId="13" type="noConversion"/>
  </si>
  <si>
    <t>pinewood5.prefab</t>
    <phoneticPr fontId="13" type="noConversion"/>
  </si>
  <si>
    <t>pinewood5.prefab</t>
    <phoneticPr fontId="13" type="noConversion"/>
  </si>
  <si>
    <t>pinewood7.prefab</t>
    <phoneticPr fontId="13" type="noConversion"/>
  </si>
  <si>
    <t>woodfactory1.prefab</t>
    <phoneticPr fontId="13" type="noConversion"/>
  </si>
  <si>
    <t>woodfactory3.prefab</t>
    <phoneticPr fontId="13" type="noConversion"/>
  </si>
  <si>
    <t>woodfactory3.prefab</t>
    <phoneticPr fontId="13" type="noConversion"/>
  </si>
  <si>
    <t>woodfactory5.prefab</t>
    <phoneticPr fontId="13" type="noConversion"/>
  </si>
  <si>
    <t>woodfactory5.prefab</t>
    <phoneticPr fontId="13" type="noConversion"/>
  </si>
  <si>
    <t>woodfactory7.prefab</t>
    <phoneticPr fontId="13" type="noConversion"/>
  </si>
  <si>
    <t>gate1.prefab</t>
    <phoneticPr fontId="13" type="noConversion"/>
  </si>
  <si>
    <t>gate3.prefab</t>
    <phoneticPr fontId="13" type="noConversion"/>
  </si>
  <si>
    <t>gate1.prefab</t>
    <phoneticPr fontId="13" type="noConversion"/>
  </si>
  <si>
    <t>gate5.prefab</t>
    <phoneticPr fontId="13" type="noConversion"/>
  </si>
  <si>
    <t>gate7.prefab</t>
    <phoneticPr fontId="13" type="noConversion"/>
  </si>
  <si>
    <t>weapon1_1.prefab</t>
    <phoneticPr fontId="13" type="noConversion"/>
  </si>
  <si>
    <t>weapon1_1.prefab</t>
    <phoneticPr fontId="13" type="noConversion"/>
  </si>
  <si>
    <t>weapon1_3.prefab</t>
    <phoneticPr fontId="13" type="noConversion"/>
  </si>
  <si>
    <t>weapon1_9.prefab</t>
    <phoneticPr fontId="13" type="noConversion"/>
  </si>
  <si>
    <t>weapon1_13.prefab</t>
    <phoneticPr fontId="13" type="noConversion"/>
  </si>
  <si>
    <t>weapon1_15.prefab</t>
    <phoneticPr fontId="13" type="noConversion"/>
  </si>
  <si>
    <t>weapon2_1.prefab</t>
    <phoneticPr fontId="13" type="noConversion"/>
  </si>
  <si>
    <t>weapon2_1.prefab</t>
    <phoneticPr fontId="13" type="noConversion"/>
  </si>
  <si>
    <t>weapon2_4.prefab</t>
    <phoneticPr fontId="13" type="noConversion"/>
  </si>
  <si>
    <t>weapon2_7.prefab</t>
    <phoneticPr fontId="13" type="noConversion"/>
  </si>
  <si>
    <t>weapon2_11.prefab</t>
    <phoneticPr fontId="13" type="noConversion"/>
  </si>
  <si>
    <t>required</t>
    <phoneticPr fontId="13" type="noConversion"/>
  </si>
  <si>
    <t>optional</t>
    <phoneticPr fontId="13" type="noConversion"/>
  </si>
  <si>
    <t>id</t>
    <phoneticPr fontId="13" type="noConversion"/>
  </si>
  <si>
    <t>manorcap_zombie</t>
    <phoneticPr fontId="13" type="noConversion"/>
  </si>
  <si>
    <t>zombie_atk</t>
    <phoneticPr fontId="13" type="noConversion"/>
  </si>
  <si>
    <t>zombie_def</t>
    <phoneticPr fontId="13" type="noConversion"/>
  </si>
  <si>
    <t>zombie_hp</t>
    <phoneticPr fontId="13" type="noConversion"/>
  </si>
  <si>
    <t>zombie_num</t>
    <phoneticPr fontId="13" type="noConversion"/>
  </si>
  <si>
    <t>属性id</t>
    <phoneticPr fontId="13" type="noConversion"/>
  </si>
  <si>
    <t>表示僵尸属性</t>
    <phoneticPr fontId="13" type="noConversion"/>
  </si>
  <si>
    <t>僵尸入侵匹配值</t>
    <phoneticPr fontId="13" type="noConversion"/>
  </si>
  <si>
    <t>攻击</t>
    <phoneticPr fontId="13" type="noConversion"/>
  </si>
  <si>
    <t>防御</t>
    <phoneticPr fontId="13" type="noConversion"/>
  </si>
  <si>
    <t>血量</t>
    <phoneticPr fontId="13" type="noConversion"/>
  </si>
  <si>
    <t>僵尸数量</t>
    <phoneticPr fontId="13" type="noConversion"/>
  </si>
  <si>
    <t>理想人类防御</t>
    <phoneticPr fontId="13" type="noConversion"/>
  </si>
  <si>
    <t>僵尸dps*血*数量</t>
    <phoneticPr fontId="13" type="noConversion"/>
  </si>
  <si>
    <t>water_rec</t>
    <phoneticPr fontId="13" type="noConversion"/>
  </si>
  <si>
    <t>health_rec</t>
    <phoneticPr fontId="13" type="noConversion"/>
  </si>
  <si>
    <t>if_available</t>
    <phoneticPr fontId="13" type="noConversion"/>
  </si>
  <si>
    <t>hp_rec</t>
    <phoneticPr fontId="13" type="noConversion"/>
  </si>
  <si>
    <t>starv_rec</t>
    <phoneticPr fontId="13" type="noConversion"/>
  </si>
  <si>
    <t>healthrec_lim</t>
    <phoneticPr fontId="13" type="noConversion"/>
  </si>
  <si>
    <t>mood_rec</t>
    <phoneticPr fontId="13" type="noConversion"/>
  </si>
  <si>
    <t>moodrec_lim</t>
    <phoneticPr fontId="13" type="noConversion"/>
  </si>
  <si>
    <t>回复饥饿*1000</t>
    <phoneticPr fontId="13" type="noConversion"/>
  </si>
  <si>
    <t>可回复心情上限*100</t>
    <phoneticPr fontId="13" type="noConversion"/>
  </si>
  <si>
    <t>dami</t>
  </si>
  <si>
    <t>shucai</t>
  </si>
  <si>
    <t>shuiguo</t>
  </si>
  <si>
    <t>huafei</t>
  </si>
  <si>
    <t>shui</t>
  </si>
  <si>
    <t>songmu</t>
  </si>
  <si>
    <t>shuini</t>
  </si>
  <si>
    <t>cao</t>
  </si>
  <si>
    <t>yuanyou</t>
  </si>
  <si>
    <t>tie</t>
  </si>
  <si>
    <t>jijiubao</t>
  </si>
  <si>
    <t>rizhi</t>
  </si>
  <si>
    <t>jiqiangtuzhi</t>
  </si>
  <si>
    <t>jujituzhi</t>
  </si>
  <si>
    <t>jipaotuzhi</t>
  </si>
  <si>
    <t>yuanlongping</t>
  </si>
  <si>
    <t>huafeigongye</t>
  </si>
  <si>
    <t>yangzhu</t>
  </si>
  <si>
    <t>cangchu</t>
  </si>
  <si>
    <t>tesila</t>
  </si>
  <si>
    <t>luokefeile</t>
  </si>
  <si>
    <t>kanaiji</t>
  </si>
  <si>
    <t>luban</t>
  </si>
  <si>
    <t>tumu</t>
  </si>
  <si>
    <t>fangdao</t>
  </si>
  <si>
    <t>makeqin</t>
  </si>
  <si>
    <t>wodefendou</t>
  </si>
  <si>
    <t>jiatelin</t>
  </si>
  <si>
    <t>wbaleite</t>
  </si>
  <si>
    <t>guanren</t>
  </si>
  <si>
    <t>toukui1</t>
  </si>
  <si>
    <t>toukui2</t>
  </si>
  <si>
    <t>toukui3</t>
  </si>
  <si>
    <t>shouqiang1</t>
  </si>
  <si>
    <t>buqiang1</t>
  </si>
  <si>
    <t>qingjiqiang1</t>
  </si>
  <si>
    <t>fangdanyi1</t>
  </si>
  <si>
    <t>fangdanyi2</t>
  </si>
  <si>
    <t>fangdanyi3</t>
  </si>
  <si>
    <t>kuzi1</t>
  </si>
  <si>
    <t>kuzi2</t>
  </si>
  <si>
    <t>kuzi3</t>
  </si>
  <si>
    <t>xiezi1</t>
  </si>
  <si>
    <t>xiezi2</t>
  </si>
  <si>
    <t>xiezi3</t>
  </si>
  <si>
    <t>kuangquanshui</t>
  </si>
  <si>
    <t>siliao</t>
  </si>
  <si>
    <t>zhurou</t>
  </si>
  <si>
    <t>qiyou</t>
  </si>
  <si>
    <t>gang</t>
  </si>
  <si>
    <t>songmuban</t>
  </si>
  <si>
    <t>hunningtu</t>
  </si>
  <si>
    <t>health</t>
  </si>
  <si>
    <t>mood</t>
  </si>
  <si>
    <t>[1+(n-1）*k3]*{1/n+[（（个人总贡献+k1）/（庄园内所有玩家总贡献+nk1））-1/n]*k2}</t>
    <phoneticPr fontId="13" type="noConversion"/>
  </si>
  <si>
    <t>股份算法</t>
    <phoneticPr fontId="13" type="noConversion"/>
  </si>
  <si>
    <t>装备效果</t>
    <phoneticPr fontId="13" type="noConversion"/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</si>
  <si>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</si>
  <si>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</si>
  <si>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</si>
  <si>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beibao1</t>
    <phoneticPr fontId="13" type="noConversion"/>
  </si>
  <si>
    <t>beibao2</t>
    <phoneticPr fontId="13" type="noConversion"/>
  </si>
  <si>
    <t>beibao3</t>
    <phoneticPr fontId="13" type="noConversion"/>
  </si>
  <si>
    <t>探索产出</t>
    <phoneticPr fontId="13" type="noConversion"/>
  </si>
  <si>
    <t>knapsack1</t>
    <phoneticPr fontId="13" type="noConversion"/>
  </si>
  <si>
    <t>knapsack2</t>
    <phoneticPr fontId="13" type="noConversion"/>
  </si>
  <si>
    <t>knapsack3</t>
    <phoneticPr fontId="13" type="noConversion"/>
  </si>
  <si>
    <t>亚麻布制造，值得信赖</t>
    <phoneticPr fontId="13" type="noConversion"/>
  </si>
  <si>
    <t>容量大得够装几个大西瓜</t>
    <phoneticPr fontId="13" type="noConversion"/>
  </si>
  <si>
    <t>凯夫拉纤维制造，不仅容量大，在一定程度上还能防止来自背后的攻击</t>
    <phoneticPr fontId="13" type="noConversion"/>
  </si>
  <si>
    <t>攻击</t>
    <phoneticPr fontId="13" type="noConversion"/>
  </si>
  <si>
    <t>防御</t>
    <phoneticPr fontId="13" type="noConversion"/>
  </si>
  <si>
    <t>移速</t>
    <phoneticPr fontId="13" type="noConversion"/>
  </si>
  <si>
    <t>负载</t>
    <phoneticPr fontId="13" type="noConversion"/>
  </si>
  <si>
    <t>atk_add</t>
    <phoneticPr fontId="13" type="noConversion"/>
  </si>
  <si>
    <t>def_add</t>
    <phoneticPr fontId="13" type="noConversion"/>
  </si>
  <si>
    <t>spd_add</t>
    <phoneticPr fontId="13" type="noConversion"/>
  </si>
  <si>
    <t>load_add</t>
    <phoneticPr fontId="13" type="noConversion"/>
  </si>
  <si>
    <t>敏捷</t>
    <phoneticPr fontId="13" type="noConversion"/>
  </si>
  <si>
    <t>agi_add</t>
    <phoneticPr fontId="13" type="noConversion"/>
  </si>
  <si>
    <t>int32</t>
    <phoneticPr fontId="13" type="noConversion"/>
  </si>
  <si>
    <t>是否可直接使用（1可用，0不可用）注意是否刚好抵消了</t>
    <phoneticPr fontId="13" type="noConversion"/>
  </si>
  <si>
    <t>化肥系数*100</t>
    <phoneticPr fontId="13" type="noConversion"/>
  </si>
  <si>
    <t>huafei_bldgcap</t>
    <phoneticPr fontId="13" type="noConversion"/>
  </si>
  <si>
    <t>int32</t>
    <phoneticPr fontId="13" type="noConversion"/>
  </si>
  <si>
    <t>optional</t>
    <phoneticPr fontId="13" type="noConversion"/>
  </si>
  <si>
    <t>化肥产速系数*100</t>
    <phoneticPr fontId="13" type="noConversion"/>
  </si>
  <si>
    <t>huafei_bldgspd</t>
    <phoneticPr fontId="13" type="noConversion"/>
  </si>
  <si>
    <t>风力发电机</t>
    <phoneticPr fontId="13" type="noConversion"/>
  </si>
  <si>
    <t>taiyangneng_bldgcap</t>
    <phoneticPr fontId="13" type="noConversion"/>
  </si>
  <si>
    <t>taiyangneng_bldgspd</t>
    <phoneticPr fontId="13" type="noConversion"/>
  </si>
  <si>
    <t>beibao1</t>
  </si>
  <si>
    <t>beibao2</t>
  </si>
  <si>
    <t>beibao3</t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</si>
  <si>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</si>
  <si>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</si>
  <si>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</si>
  <si>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storehouse1.prefab</t>
    <phoneticPr fontId="13" type="noConversion"/>
  </si>
  <si>
    <t>storehouse3.prefab</t>
    <phoneticPr fontId="13" type="noConversion"/>
  </si>
  <si>
    <t>storehouse5.prefab</t>
    <phoneticPr fontId="13" type="noConversion"/>
  </si>
  <si>
    <t>storehouse7.prefab</t>
    <phoneticPr fontId="13" type="noConversion"/>
  </si>
  <si>
    <t>storehouse9.prefab</t>
  </si>
  <si>
    <t>storehouse9.prefab</t>
    <phoneticPr fontId="13" type="noConversion"/>
  </si>
  <si>
    <t>storehouse9.prefab</t>
    <phoneticPr fontId="13" type="noConversion"/>
  </si>
  <si>
    <t>gathered1</t>
    <phoneticPr fontId="13" type="noConversion"/>
  </si>
  <si>
    <t>gathered2</t>
  </si>
  <si>
    <t>gathered3</t>
  </si>
  <si>
    <t>dead1</t>
    <phoneticPr fontId="13" type="noConversion"/>
  </si>
  <si>
    <t>dead2</t>
  </si>
  <si>
    <t>dead3</t>
  </si>
  <si>
    <t>variant1</t>
    <phoneticPr fontId="13" type="noConversion"/>
  </si>
  <si>
    <t>variant2</t>
  </si>
  <si>
    <t>variant3</t>
  </si>
  <si>
    <t>war1</t>
    <phoneticPr fontId="13" type="noConversion"/>
  </si>
  <si>
    <t>war2</t>
  </si>
  <si>
    <t>war3</t>
  </si>
  <si>
    <t>peace1</t>
    <phoneticPr fontId="13" type="noConversion"/>
  </si>
  <si>
    <t>peace2</t>
  </si>
  <si>
    <t>peace3</t>
  </si>
  <si>
    <t>locust1</t>
    <phoneticPr fontId="13" type="noConversion"/>
  </si>
  <si>
    <t>locust2</t>
  </si>
  <si>
    <t>locust3</t>
  </si>
  <si>
    <t>deought1</t>
    <phoneticPr fontId="13" type="noConversion"/>
  </si>
  <si>
    <t>deought3</t>
  </si>
  <si>
    <t>deought2</t>
  </si>
  <si>
    <t>flood1</t>
    <phoneticPr fontId="13" type="noConversion"/>
  </si>
  <si>
    <t>flood3</t>
  </si>
  <si>
    <t>flood2</t>
  </si>
  <si>
    <t>hurricane1</t>
    <phoneticPr fontId="13" type="noConversion"/>
  </si>
  <si>
    <t>hurricane3</t>
  </si>
  <si>
    <t>hurricane2</t>
  </si>
  <si>
    <t>幸存者电台报道：飓风即将来袭，请幸存者们做好准备</t>
    <phoneticPr fontId="13" type="noConversion"/>
  </si>
  <si>
    <t>sunstorm1</t>
    <phoneticPr fontId="13" type="noConversion"/>
  </si>
  <si>
    <t>sunstorm3</t>
  </si>
  <si>
    <t>sunstorm2</t>
  </si>
  <si>
    <t>anthrax1</t>
    <phoneticPr fontId="13" type="noConversion"/>
  </si>
  <si>
    <t>anthrax3</t>
  </si>
  <si>
    <t>anthrax2</t>
  </si>
  <si>
    <t>pyricularia1</t>
    <phoneticPr fontId="13" type="noConversion"/>
  </si>
  <si>
    <t>pyricularia3</t>
  </si>
  <si>
    <t>pyricularia2</t>
  </si>
  <si>
    <t>serenity1</t>
  </si>
  <si>
    <t>serenity2</t>
  </si>
  <si>
    <t>serenity3</t>
  </si>
  <si>
    <t>infuenza1</t>
    <phoneticPr fontId="13" type="noConversion"/>
  </si>
  <si>
    <t>infuenza2</t>
  </si>
  <si>
    <t>infuenza3</t>
  </si>
  <si>
    <t>haze1</t>
    <phoneticPr fontId="13" type="noConversion"/>
  </si>
  <si>
    <t>haze2</t>
  </si>
  <si>
    <t>haze3</t>
  </si>
  <si>
    <t>bgm</t>
    <phoneticPr fontId="13" type="noConversion"/>
  </si>
  <si>
    <t>旱稻种植场</t>
    <phoneticPr fontId="13" type="noConversion"/>
  </si>
  <si>
    <t>西瓜园</t>
    <phoneticPr fontId="13" type="noConversion"/>
  </si>
  <si>
    <t>临时复制保存</t>
    <phoneticPr fontId="13" type="noConversion"/>
  </si>
  <si>
    <t>记录</t>
    <phoneticPr fontId="13" type="noConversion"/>
  </si>
  <si>
    <t>松木</t>
    <phoneticPr fontId="13" type="noConversion"/>
  </si>
  <si>
    <t>松木板</t>
    <phoneticPr fontId="13" type="noConversion"/>
  </si>
  <si>
    <t>每修复大门一点耐久消耗黄金</t>
    <phoneticPr fontId="13" type="noConversion"/>
  </si>
  <si>
    <t>k5*（庄园等级*k1)^k2</t>
    <phoneticPr fontId="13" type="noConversion"/>
  </si>
  <si>
    <t>grainfarm1</t>
  </si>
  <si>
    <t>grainfarm3</t>
  </si>
  <si>
    <t>grainfarm5</t>
  </si>
  <si>
    <t>grainfarm7</t>
  </si>
  <si>
    <t>vegfarm1</t>
  </si>
  <si>
    <t>vegfarm3</t>
  </si>
  <si>
    <t>vegfarm5</t>
  </si>
  <si>
    <t>vegfarm7</t>
  </si>
  <si>
    <t>fruitfarm1</t>
  </si>
  <si>
    <t>fruitfarm3</t>
  </si>
  <si>
    <t>fruitfarm5</t>
  </si>
  <si>
    <t>fruitfarm7</t>
  </si>
  <si>
    <t>fertilizer1</t>
  </si>
  <si>
    <t>fertilizer3</t>
  </si>
  <si>
    <t>fertilizer5</t>
  </si>
  <si>
    <t>fertilizer7</t>
  </si>
  <si>
    <t>stockhouse</t>
  </si>
  <si>
    <t>feedfactory</t>
  </si>
  <si>
    <t>well1</t>
  </si>
  <si>
    <t>well3</t>
  </si>
  <si>
    <t>well5</t>
  </si>
  <si>
    <t>well7</t>
  </si>
  <si>
    <t>watercollector1</t>
  </si>
  <si>
    <t>watercollector3</t>
  </si>
  <si>
    <t>watercollector5</t>
  </si>
  <si>
    <t>watercollector7</t>
  </si>
  <si>
    <t>waterfactory</t>
  </si>
  <si>
    <t>radiostation</t>
  </si>
  <si>
    <t>radar1</t>
  </si>
  <si>
    <t>radar8</t>
  </si>
  <si>
    <t>radar10</t>
  </si>
  <si>
    <t>storehouse1</t>
  </si>
  <si>
    <t>storehouse3</t>
  </si>
  <si>
    <t>storehouse5</t>
  </si>
  <si>
    <t>storehouse7</t>
  </si>
  <si>
    <t>storehouse9</t>
  </si>
  <si>
    <t>battery1</t>
  </si>
  <si>
    <t>battery3</t>
  </si>
  <si>
    <t>battery5</t>
  </si>
  <si>
    <t>battery7</t>
  </si>
  <si>
    <t>car</t>
  </si>
  <si>
    <t>windpowerplant1</t>
  </si>
  <si>
    <t>windpowerplant3</t>
  </si>
  <si>
    <t>windpowerplant5</t>
  </si>
  <si>
    <t>windpowerplant7</t>
  </si>
  <si>
    <t>oilfactory</t>
  </si>
  <si>
    <t>steelfactory</t>
  </si>
  <si>
    <t>pinewood1</t>
  </si>
  <si>
    <t>pinewood3</t>
  </si>
  <si>
    <t>pinewood5</t>
  </si>
  <si>
    <t>pinewood7</t>
  </si>
  <si>
    <t>concretefactory</t>
  </si>
  <si>
    <t>woodfactory1</t>
  </si>
  <si>
    <t>woodfactory3</t>
  </si>
  <si>
    <t>woodfactory5</t>
  </si>
  <si>
    <t>woodfactory7</t>
  </si>
  <si>
    <t>gate1</t>
  </si>
  <si>
    <t>gate3</t>
  </si>
  <si>
    <t>gate5</t>
  </si>
  <si>
    <t>gate7</t>
  </si>
  <si>
    <t>weapon1_1</t>
  </si>
  <si>
    <t>weapon1_3</t>
  </si>
  <si>
    <t>weapon1_9</t>
  </si>
  <si>
    <t>weapon1_13</t>
  </si>
  <si>
    <t>weapon1_15</t>
  </si>
  <si>
    <t>weapon2_1</t>
  </si>
  <si>
    <t>weapon2_4</t>
  </si>
  <si>
    <t>weapon2_7</t>
  </si>
  <si>
    <t>weapon2_11</t>
  </si>
  <si>
    <t>grainfarm9.prefab</t>
  </si>
  <si>
    <t>grainfarm9.prefab</t>
    <phoneticPr fontId="13" type="noConversion"/>
  </si>
  <si>
    <t>grainfarm9</t>
  </si>
  <si>
    <t>grainfarm9</t>
    <phoneticPr fontId="13" type="noConversion"/>
  </si>
  <si>
    <t>vegfarm9.prefab</t>
  </si>
  <si>
    <t>vegfarm9.prefab</t>
    <phoneticPr fontId="13" type="noConversion"/>
  </si>
  <si>
    <t>vegfarm9</t>
  </si>
  <si>
    <t>vegfarm9</t>
    <phoneticPr fontId="13" type="noConversion"/>
  </si>
  <si>
    <t>fruitfarm9.prefab</t>
  </si>
  <si>
    <t>fruitfarm9.prefab</t>
    <phoneticPr fontId="13" type="noConversion"/>
  </si>
  <si>
    <t>fruitfarm9</t>
  </si>
  <si>
    <t>fruitfarm9</t>
    <phoneticPr fontId="13" type="noConversion"/>
  </si>
  <si>
    <t>well9.prefab</t>
  </si>
  <si>
    <t>well9.prefab</t>
    <phoneticPr fontId="13" type="noConversion"/>
  </si>
  <si>
    <t>well9</t>
  </si>
  <si>
    <t>well9</t>
    <phoneticPr fontId="13" type="noConversion"/>
  </si>
  <si>
    <t>watercollector9.prefab</t>
  </si>
  <si>
    <t>watercollector9.prefab</t>
    <phoneticPr fontId="13" type="noConversion"/>
  </si>
  <si>
    <t>watercollector9</t>
  </si>
  <si>
    <t>watercollector9</t>
    <phoneticPr fontId="13" type="noConversion"/>
  </si>
  <si>
    <t>radiostation.prefab</t>
    <phoneticPr fontId="13" type="noConversion"/>
  </si>
  <si>
    <t>battery9.prefab</t>
  </si>
  <si>
    <t>battery9.prefab</t>
    <phoneticPr fontId="13" type="noConversion"/>
  </si>
  <si>
    <t>battery9</t>
  </si>
  <si>
    <t>battery9</t>
    <phoneticPr fontId="13" type="noConversion"/>
  </si>
  <si>
    <t>windpowerplant9.prefab</t>
  </si>
  <si>
    <t>windpowerplant9.prefab</t>
    <phoneticPr fontId="13" type="noConversion"/>
  </si>
  <si>
    <t>windpowerplant9</t>
  </si>
  <si>
    <t>windpowerplant9</t>
    <phoneticPr fontId="13" type="noConversion"/>
  </si>
  <si>
    <t>pinewood9.prefab</t>
  </si>
  <si>
    <t>pinewood9.prefab</t>
    <phoneticPr fontId="13" type="noConversion"/>
  </si>
  <si>
    <t>pinewood9</t>
  </si>
  <si>
    <t>pinewood9</t>
    <phoneticPr fontId="13" type="noConversion"/>
  </si>
  <si>
    <t>woodfactory9.prefab</t>
  </si>
  <si>
    <t>woodfactory9.prefab</t>
    <phoneticPr fontId="13" type="noConversion"/>
  </si>
  <si>
    <t>woodfactory9</t>
  </si>
  <si>
    <t>woodfactory9</t>
    <phoneticPr fontId="13" type="noConversion"/>
  </si>
  <si>
    <t>gate9.prefab</t>
  </si>
  <si>
    <t>gate9.prefab</t>
    <phoneticPr fontId="13" type="noConversion"/>
  </si>
  <si>
    <t>gate9</t>
  </si>
  <si>
    <t>gate9</t>
    <phoneticPr fontId="13" type="noConversion"/>
  </si>
  <si>
    <t>铁</t>
    <phoneticPr fontId="13" type="noConversion"/>
  </si>
  <si>
    <t>钢</t>
    <phoneticPr fontId="13" type="noConversion"/>
  </si>
  <si>
    <t>所有建筑实力之和+所有个人战力</t>
    <phoneticPr fontId="13" type="noConversion"/>
  </si>
  <si>
    <t>所有建筑实力之和*我的股份+我的个人战力</t>
    <phoneticPr fontId="13" type="noConversion"/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</si>
  <si>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</si>
  <si>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</si>
  <si>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</si>
  <si>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纯净水</t>
    <phoneticPr fontId="13" type="noConversion"/>
  </si>
  <si>
    <t>beibao1</t>
    <phoneticPr fontId="13" type="noConversion"/>
  </si>
  <si>
    <t>beibao3</t>
    <phoneticPr fontId="13" type="noConversion"/>
  </si>
  <si>
    <t>beibao2</t>
    <phoneticPr fontId="13" type="noConversion"/>
  </si>
  <si>
    <t>id</t>
    <phoneticPr fontId="13" type="noConversion"/>
  </si>
  <si>
    <t>bar_time</t>
    <phoneticPr fontId="13" type="noConversion"/>
  </si>
  <si>
    <t>建筑等级</t>
    <phoneticPr fontId="13" type="noConversion"/>
  </si>
  <si>
    <t>条时间(s/次）*1000</t>
    <phoneticPr fontId="13" type="noConversion"/>
  </si>
  <si>
    <t>k1*除了武器以外的建筑实力+k2*武器实力+k3*战力最高个人战力</t>
    <phoneticPr fontId="13" type="noConversion"/>
  </si>
  <si>
    <t>西瓜</t>
    <phoneticPr fontId="13" type="noConversion"/>
  </si>
  <si>
    <t>哥吃的不是西瓜，是健康</t>
    <phoneticPr fontId="13" type="noConversion"/>
  </si>
  <si>
    <t>西瓜</t>
    <phoneticPr fontId="13" type="noConversion"/>
  </si>
  <si>
    <t>有了大米和蔬菜，你还差一个西瓜。吃了西瓜，不仅越来越健康，打僵尸都越来越有劲了！——尼古拉斯.赵四</t>
    <phoneticPr fontId="13" type="noConversion"/>
  </si>
  <si>
    <t>僵尸总血量</t>
    <phoneticPr fontId="13" type="noConversion"/>
  </si>
  <si>
    <t>大量僵尸在庄园周边集结，外部世界变得极度危险</t>
    <phoneticPr fontId="13" type="noConversion"/>
  </si>
  <si>
    <t>幸存者电台报道：大量僵尸正在Z城附近集结，郑重提示，非请不要出门！</t>
    <phoneticPr fontId="13" type="noConversion"/>
  </si>
  <si>
    <t>所到之处，寸草不生，请提前收好庄稼。</t>
    <phoneticPr fontId="13" type="noConversion"/>
  </si>
  <si>
    <t>多日滴水未降干旱，农作物的生长变得越来越困难</t>
    <phoneticPr fontId="13" type="noConversion"/>
  </si>
  <si>
    <t>连日降雨，这天杀的天气！作物的产量下降了。</t>
    <phoneticPr fontId="13" type="noConversion"/>
  </si>
  <si>
    <t>飓风肆虐，大量的作物被破坏</t>
    <phoneticPr fontId="13" type="noConversion"/>
  </si>
  <si>
    <t>一种由真菌引起的植物病害，作物的产量大大降低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</si>
</sst>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);[Red]\(0.00\)"/>
    <numFmt numFmtId="177" formatCode="0.0"/>
    <numFmt numFmtId="178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  <font>
      <sz val="11"/>
      <color theme="1"/>
      <name val="宋体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theme="5" tint="-0.499984740745262"/>
      </bottom>
      <diagonal/>
    </border>
    <border>
      <left style="thin">
        <color auto="1"/>
      </left>
      <right/>
      <top style="medium">
        <color theme="5" tint="-0.499984740745262"/>
      </top>
      <bottom/>
      <diagonal/>
    </border>
    <border>
      <left/>
      <right/>
      <top/>
      <bottom style="thin">
        <color auto="1"/>
      </bottom>
      <diagonal/>
    </border>
  </borders>
  <cellStyleXfs count="12">
    <xf numFmtId="0" fontId="0" fillId="0" borderId="0"/>
    <xf numFmtId="0" fontId="10" fillId="0" borderId="0"/>
    <xf numFmtId="0" fontId="4" fillId="0" borderId="0"/>
    <xf numFmtId="0" fontId="11" fillId="0" borderId="0">
      <alignment vertical="center"/>
    </xf>
    <xf numFmtId="0" fontId="4" fillId="0" borderId="0"/>
    <xf numFmtId="0" fontId="3" fillId="0" borderId="0"/>
    <xf numFmtId="0" fontId="1" fillId="0" borderId="0">
      <alignment vertical="center"/>
    </xf>
    <xf numFmtId="0" fontId="15" fillId="0" borderId="0"/>
    <xf numFmtId="0" fontId="1" fillId="0" borderId="0"/>
    <xf numFmtId="0" fontId="1" fillId="0" borderId="0"/>
    <xf numFmtId="0" fontId="1" fillId="0" borderId="0"/>
    <xf numFmtId="0" fontId="15" fillId="0" borderId="0"/>
  </cellStyleXfs>
  <cellXfs count="193">
    <xf numFmtId="0" fontId="0" fillId="0" borderId="0" xfId="0"/>
    <xf numFmtId="0" fontId="5" fillId="4" borderId="0" xfId="0" applyFont="1" applyFill="1" applyAlignment="1">
      <alignment horizontal="center" vertical="center"/>
    </xf>
    <xf numFmtId="0" fontId="5" fillId="4" borderId="2" xfId="0" applyFont="1" applyFill="1" applyBorder="1" applyAlignment="1">
      <alignment horizontal="center" vertical="center" wrapText="1"/>
    </xf>
    <xf numFmtId="0" fontId="6" fillId="5" borderId="0" xfId="0" applyFont="1" applyFill="1"/>
    <xf numFmtId="0" fontId="6" fillId="2" borderId="0" xfId="0" applyFont="1" applyFill="1"/>
    <xf numFmtId="0" fontId="7" fillId="5" borderId="0" xfId="0" applyFont="1" applyFill="1"/>
    <xf numFmtId="0" fontId="8" fillId="2" borderId="0" xfId="0" applyFont="1" applyFill="1"/>
    <xf numFmtId="0" fontId="5" fillId="8" borderId="0" xfId="0" applyFont="1" applyFill="1" applyAlignment="1">
      <alignment horizontal="center" vertical="center"/>
    </xf>
    <xf numFmtId="0" fontId="5" fillId="2" borderId="0" xfId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center"/>
    </xf>
    <xf numFmtId="0" fontId="5" fillId="8" borderId="0" xfId="1" applyFont="1" applyFill="1" applyBorder="1" applyAlignment="1">
      <alignment horizontal="center" vertical="center"/>
    </xf>
    <xf numFmtId="0" fontId="5" fillId="9" borderId="0" xfId="1" applyFont="1" applyFill="1" applyBorder="1" applyAlignment="1">
      <alignment horizontal="center" vertical="center"/>
    </xf>
    <xf numFmtId="0" fontId="5" fillId="6" borderId="0" xfId="1" applyFont="1" applyFill="1" applyBorder="1" applyAlignment="1">
      <alignment horizontal="center" vertical="center"/>
    </xf>
    <xf numFmtId="0" fontId="5" fillId="3" borderId="0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/>
    </xf>
    <xf numFmtId="0" fontId="5" fillId="4" borderId="1" xfId="1" applyFont="1" applyFill="1" applyBorder="1" applyAlignment="1">
      <alignment horizontal="center" vertical="center"/>
    </xf>
    <xf numFmtId="0" fontId="5" fillId="8" borderId="1" xfId="1" applyFont="1" applyFill="1" applyBorder="1" applyAlignment="1">
      <alignment horizontal="center" vertical="center"/>
    </xf>
    <xf numFmtId="0" fontId="5" fillId="9" borderId="1" xfId="1" applyFont="1" applyFill="1" applyBorder="1" applyAlignment="1">
      <alignment horizontal="center" vertical="center"/>
    </xf>
    <xf numFmtId="0" fontId="5" fillId="6" borderId="1" xfId="1" applyFont="1" applyFill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center" vertical="center" wrapText="1"/>
    </xf>
    <xf numFmtId="0" fontId="5" fillId="3" borderId="0" xfId="1" applyFont="1" applyFill="1" applyBorder="1" applyAlignment="1">
      <alignment horizontal="center" vertical="center" wrapText="1"/>
    </xf>
    <xf numFmtId="0" fontId="5" fillId="6" borderId="0" xfId="1" applyFont="1" applyFill="1" applyBorder="1" applyAlignment="1">
      <alignment horizontal="center" vertical="center" wrapText="1"/>
    </xf>
    <xf numFmtId="1" fontId="5" fillId="8" borderId="0" xfId="1" applyNumberFormat="1" applyFont="1" applyFill="1" applyAlignment="1">
      <alignment horizontal="center" vertical="center"/>
    </xf>
    <xf numFmtId="1" fontId="5" fillId="9" borderId="0" xfId="1" applyNumberFormat="1" applyFont="1" applyFill="1" applyAlignment="1">
      <alignment horizontal="center" vertical="center"/>
    </xf>
    <xf numFmtId="0" fontId="5" fillId="8" borderId="0" xfId="1" applyFont="1" applyFill="1" applyAlignment="1">
      <alignment horizontal="center" vertical="center"/>
    </xf>
    <xf numFmtId="0" fontId="5" fillId="9" borderId="0" xfId="1" applyFont="1" applyFill="1" applyAlignment="1">
      <alignment horizontal="center" vertical="center"/>
    </xf>
    <xf numFmtId="0" fontId="5" fillId="9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/>
    </xf>
    <xf numFmtId="0" fontId="5" fillId="8" borderId="0" xfId="2" applyFont="1" applyFill="1" applyAlignment="1">
      <alignment horizontal="center" vertical="center"/>
    </xf>
    <xf numFmtId="0" fontId="5" fillId="9" borderId="0" xfId="2" applyFont="1" applyFill="1" applyBorder="1" applyAlignment="1">
      <alignment horizontal="center" vertical="center"/>
    </xf>
    <xf numFmtId="0" fontId="5" fillId="7" borderId="0" xfId="2" applyFont="1" applyFill="1" applyBorder="1" applyAlignment="1">
      <alignment horizontal="center" vertical="center"/>
    </xf>
    <xf numFmtId="0" fontId="5" fillId="8" borderId="0" xfId="2" applyFont="1" applyFill="1" applyBorder="1" applyAlignment="1">
      <alignment horizontal="center" vertical="center"/>
    </xf>
    <xf numFmtId="0" fontId="6" fillId="9" borderId="0" xfId="1" applyFont="1" applyFill="1"/>
    <xf numFmtId="0" fontId="7" fillId="5" borderId="0" xfId="1" applyFont="1" applyFill="1"/>
    <xf numFmtId="0" fontId="6" fillId="5" borderId="0" xfId="1" applyFont="1" applyFill="1"/>
    <xf numFmtId="0" fontId="12" fillId="9" borderId="0" xfId="5" applyFont="1" applyFill="1"/>
    <xf numFmtId="0" fontId="12" fillId="5" borderId="0" xfId="5" applyFont="1" applyFill="1"/>
    <xf numFmtId="0" fontId="7" fillId="5" borderId="0" xfId="5" applyFont="1" applyFill="1"/>
    <xf numFmtId="0" fontId="12" fillId="9" borderId="3" xfId="5" applyFont="1" applyFill="1" applyBorder="1"/>
    <xf numFmtId="0" fontId="12" fillId="9" borderId="4" xfId="5" applyFont="1" applyFill="1" applyBorder="1"/>
    <xf numFmtId="0" fontId="12" fillId="9" borderId="5" xfId="5" applyFont="1" applyFill="1" applyBorder="1"/>
    <xf numFmtId="49" fontId="12" fillId="9" borderId="6" xfId="5" applyNumberFormat="1" applyFont="1" applyFill="1" applyBorder="1"/>
    <xf numFmtId="49" fontId="12" fillId="9" borderId="7" xfId="5" applyNumberFormat="1" applyFont="1" applyFill="1" applyBorder="1"/>
    <xf numFmtId="0" fontId="12" fillId="9" borderId="8" xfId="5" applyFont="1" applyFill="1" applyBorder="1"/>
    <xf numFmtId="0" fontId="12" fillId="9" borderId="9" xfId="5" applyFont="1" applyFill="1" applyBorder="1"/>
    <xf numFmtId="0" fontId="12" fillId="9" borderId="10" xfId="5" applyFont="1" applyFill="1" applyBorder="1"/>
    <xf numFmtId="0" fontId="12" fillId="9" borderId="11" xfId="5" applyFont="1" applyFill="1" applyBorder="1"/>
    <xf numFmtId="0" fontId="5" fillId="7" borderId="0" xfId="1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 vertical="center"/>
    </xf>
    <xf numFmtId="0" fontId="5" fillId="7" borderId="2" xfId="1" applyFont="1" applyFill="1" applyBorder="1" applyAlignment="1">
      <alignment horizontal="center" vertical="center" wrapText="1"/>
    </xf>
    <xf numFmtId="0" fontId="5" fillId="7" borderId="0" xfId="1" applyFont="1" applyFill="1" applyAlignment="1">
      <alignment horizontal="center" vertical="center"/>
    </xf>
    <xf numFmtId="1" fontId="5" fillId="7" borderId="0" xfId="1" applyNumberFormat="1" applyFont="1" applyFill="1" applyAlignment="1">
      <alignment horizontal="center" vertical="center"/>
    </xf>
    <xf numFmtId="1" fontId="5" fillId="7" borderId="2" xfId="1" applyNumberFormat="1" applyFont="1" applyFill="1" applyBorder="1" applyAlignment="1">
      <alignment horizontal="center" vertical="center" wrapText="1"/>
    </xf>
    <xf numFmtId="0" fontId="5" fillId="7" borderId="0" xfId="3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/>
    </xf>
    <xf numFmtId="1" fontId="5" fillId="8" borderId="0" xfId="1" applyNumberFormat="1" applyFont="1" applyFill="1" applyBorder="1" applyAlignment="1">
      <alignment horizontal="center" vertical="center" wrapText="1"/>
    </xf>
    <xf numFmtId="1" fontId="5" fillId="9" borderId="0" xfId="1" applyNumberFormat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0" fontId="5" fillId="9" borderId="0" xfId="3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4" fillId="10" borderId="2" xfId="0" applyFont="1" applyFill="1" applyBorder="1" applyAlignment="1">
      <alignment horizontal="center" vertical="center" wrapText="1"/>
    </xf>
    <xf numFmtId="0" fontId="14" fillId="10" borderId="1" xfId="2" applyFont="1" applyFill="1" applyBorder="1" applyAlignment="1">
      <alignment horizontal="center" vertical="center"/>
    </xf>
    <xf numFmtId="0" fontId="14" fillId="10" borderId="0" xfId="2" applyFont="1" applyFill="1" applyBorder="1" applyAlignment="1">
      <alignment horizontal="center" vertical="center"/>
    </xf>
    <xf numFmtId="0" fontId="14" fillId="10" borderId="2" xfId="2" applyFont="1" applyFill="1" applyBorder="1" applyAlignment="1">
      <alignment horizontal="center" vertical="center"/>
    </xf>
    <xf numFmtId="0" fontId="14" fillId="10" borderId="0" xfId="2" applyFont="1" applyFill="1" applyAlignment="1">
      <alignment horizontal="center" vertical="center"/>
    </xf>
    <xf numFmtId="0" fontId="14" fillId="10" borderId="0" xfId="3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/>
    </xf>
    <xf numFmtId="0" fontId="14" fillId="10" borderId="0" xfId="1" applyFont="1" applyFill="1" applyBorder="1" applyAlignment="1">
      <alignment horizontal="center" vertical="center" wrapText="1"/>
    </xf>
    <xf numFmtId="0" fontId="14" fillId="10" borderId="1" xfId="1" applyFont="1" applyFill="1" applyBorder="1" applyAlignment="1">
      <alignment horizontal="center"/>
    </xf>
    <xf numFmtId="0" fontId="5" fillId="9" borderId="2" xfId="2" applyFont="1" applyFill="1" applyBorder="1" applyAlignment="1">
      <alignment horizontal="center" vertical="center" wrapText="1"/>
    </xf>
    <xf numFmtId="0" fontId="5" fillId="8" borderId="2" xfId="2" applyFont="1" applyFill="1" applyBorder="1" applyAlignment="1">
      <alignment horizontal="center" vertical="center" wrapText="1"/>
    </xf>
    <xf numFmtId="0" fontId="5" fillId="7" borderId="2" xfId="2" applyFont="1" applyFill="1" applyBorder="1" applyAlignment="1">
      <alignment horizontal="center" vertical="center" wrapText="1"/>
    </xf>
    <xf numFmtId="0" fontId="5" fillId="8" borderId="2" xfId="0" applyNumberFormat="1" applyFont="1" applyFill="1" applyBorder="1" applyAlignment="1">
      <alignment horizontal="center" vertical="center" wrapText="1"/>
    </xf>
    <xf numFmtId="0" fontId="5" fillId="11" borderId="0" xfId="1" applyFont="1" applyFill="1" applyBorder="1" applyAlignment="1">
      <alignment horizontal="center" vertical="center"/>
    </xf>
    <xf numFmtId="0" fontId="5" fillId="11" borderId="0" xfId="1" applyFont="1" applyFill="1" applyBorder="1" applyAlignment="1">
      <alignment horizontal="center" vertical="center" wrapText="1"/>
    </xf>
    <xf numFmtId="0" fontId="5" fillId="11" borderId="1" xfId="1" applyFont="1" applyFill="1" applyBorder="1" applyAlignment="1">
      <alignment horizontal="center" vertical="center"/>
    </xf>
    <xf numFmtId="0" fontId="2" fillId="10" borderId="0" xfId="2" applyFont="1" applyFill="1" applyAlignment="1">
      <alignment horizontal="center" vertical="center"/>
    </xf>
    <xf numFmtId="0" fontId="5" fillId="9" borderId="0" xfId="1" applyFont="1" applyFill="1" applyBorder="1" applyAlignment="1">
      <alignment horizontal="center" vertical="center" wrapText="1"/>
    </xf>
    <xf numFmtId="0" fontId="5" fillId="7" borderId="0" xfId="1" applyFont="1" applyFill="1" applyBorder="1" applyAlignment="1">
      <alignment horizontal="center" vertical="center" wrapText="1"/>
    </xf>
    <xf numFmtId="0" fontId="5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5" fillId="7" borderId="2" xfId="1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7" borderId="0" xfId="0" applyFont="1" applyFill="1" applyBorder="1" applyAlignment="1">
      <alignment horizontal="center" vertical="center"/>
    </xf>
    <xf numFmtId="0" fontId="5" fillId="9" borderId="2" xfId="1" applyFont="1" applyFill="1" applyBorder="1" applyAlignment="1">
      <alignment horizontal="center" vertical="center"/>
    </xf>
    <xf numFmtId="0" fontId="5" fillId="9" borderId="13" xfId="1" applyFont="1" applyFill="1" applyBorder="1" applyAlignment="1">
      <alignment horizontal="center" vertical="center"/>
    </xf>
    <xf numFmtId="0" fontId="5" fillId="9" borderId="13" xfId="0" applyFont="1" applyFill="1" applyBorder="1" applyAlignment="1">
      <alignment horizontal="center" vertical="center"/>
    </xf>
    <xf numFmtId="0" fontId="5" fillId="9" borderId="13" xfId="0" quotePrefix="1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9" borderId="14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 wrapText="1"/>
    </xf>
    <xf numFmtId="0" fontId="5" fillId="13" borderId="1" xfId="1" applyFont="1" applyFill="1" applyBorder="1" applyAlignment="1">
      <alignment horizontal="center" vertical="center"/>
    </xf>
    <xf numFmtId="0" fontId="5" fillId="7" borderId="0" xfId="0" quotePrefix="1" applyFont="1" applyFill="1" applyBorder="1" applyAlignment="1">
      <alignment horizontal="center" vertical="center"/>
    </xf>
    <xf numFmtId="0" fontId="5" fillId="3" borderId="2" xfId="1" applyFont="1" applyFill="1" applyBorder="1" applyAlignment="1">
      <alignment horizontal="center" vertical="center" wrapText="1"/>
    </xf>
    <xf numFmtId="0" fontId="5" fillId="6" borderId="2" xfId="1" applyFont="1" applyFill="1" applyBorder="1" applyAlignment="1">
      <alignment horizontal="center" vertical="center" wrapText="1"/>
    </xf>
    <xf numFmtId="0" fontId="5" fillId="3" borderId="12" xfId="1" applyFont="1" applyFill="1" applyBorder="1" applyAlignment="1">
      <alignment horizontal="center" vertical="center"/>
    </xf>
    <xf numFmtId="0" fontId="5" fillId="6" borderId="12" xfId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0" fillId="7" borderId="0" xfId="0" applyFill="1"/>
    <xf numFmtId="0" fontId="5" fillId="13" borderId="0" xfId="2" applyFont="1" applyFill="1" applyBorder="1" applyAlignment="1">
      <alignment horizontal="center" vertical="center"/>
    </xf>
    <xf numFmtId="0" fontId="5" fillId="13" borderId="0" xfId="2" applyFont="1" applyFill="1" applyAlignment="1">
      <alignment horizontal="center" vertical="center"/>
    </xf>
    <xf numFmtId="0" fontId="5" fillId="14" borderId="0" xfId="2" applyFont="1" applyFill="1" applyAlignment="1">
      <alignment horizontal="center" vertical="center"/>
    </xf>
    <xf numFmtId="0" fontId="5" fillId="5" borderId="0" xfId="2" applyFont="1" applyFill="1" applyBorder="1" applyAlignment="1">
      <alignment horizontal="center" vertical="center"/>
    </xf>
    <xf numFmtId="0" fontId="5" fillId="16" borderId="0" xfId="2" applyFont="1" applyFill="1" applyBorder="1" applyAlignment="1">
      <alignment horizontal="center" vertical="center"/>
    </xf>
    <xf numFmtId="0" fontId="5" fillId="16" borderId="0" xfId="2" applyFont="1" applyFill="1" applyAlignment="1">
      <alignment horizontal="center" vertical="center"/>
    </xf>
    <xf numFmtId="0" fontId="5" fillId="5" borderId="0" xfId="2" applyFont="1" applyFill="1" applyAlignment="1">
      <alignment horizontal="center" vertical="center"/>
    </xf>
    <xf numFmtId="0" fontId="5" fillId="15" borderId="0" xfId="2" applyFont="1" applyFill="1" applyAlignment="1">
      <alignment horizontal="center" vertical="center"/>
    </xf>
    <xf numFmtId="0" fontId="5" fillId="17" borderId="0" xfId="2" applyFont="1" applyFill="1" applyAlignment="1">
      <alignment horizontal="center" vertical="center"/>
    </xf>
    <xf numFmtId="0" fontId="5" fillId="18" borderId="0" xfId="2" applyFont="1" applyFill="1" applyAlignment="1">
      <alignment horizontal="center" vertical="center"/>
    </xf>
    <xf numFmtId="0" fontId="5" fillId="8" borderId="0" xfId="0" applyFont="1" applyFill="1" applyAlignment="1">
      <alignment horizontal="center"/>
    </xf>
    <xf numFmtId="0" fontId="5" fillId="7" borderId="0" xfId="0" applyFont="1" applyFill="1" applyAlignment="1">
      <alignment horizontal="center"/>
    </xf>
    <xf numFmtId="0" fontId="5" fillId="8" borderId="1" xfId="0" applyFont="1" applyFill="1" applyBorder="1" applyAlignment="1">
      <alignment horizontal="center"/>
    </xf>
    <xf numFmtId="0" fontId="5" fillId="7" borderId="1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5" fillId="13" borderId="0" xfId="0" applyFont="1" applyFill="1" applyAlignment="1">
      <alignment horizontal="center"/>
    </xf>
    <xf numFmtId="0" fontId="5" fillId="8" borderId="13" xfId="0" applyFont="1" applyFill="1" applyBorder="1" applyAlignment="1">
      <alignment horizontal="center"/>
    </xf>
    <xf numFmtId="0" fontId="5" fillId="8" borderId="13" xfId="1" applyFont="1" applyFill="1" applyBorder="1" applyAlignment="1">
      <alignment horizontal="center" vertical="center" wrapText="1"/>
    </xf>
    <xf numFmtId="0" fontId="5" fillId="12" borderId="15" xfId="0" applyFont="1" applyFill="1" applyBorder="1" applyAlignment="1">
      <alignment horizontal="center"/>
    </xf>
    <xf numFmtId="0" fontId="5" fillId="12" borderId="13" xfId="0" applyFont="1" applyFill="1" applyBorder="1" applyAlignment="1">
      <alignment horizontal="center"/>
    </xf>
    <xf numFmtId="0" fontId="5" fillId="8" borderId="15" xfId="0" applyFont="1" applyFill="1" applyBorder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15" xfId="0" applyFont="1" applyFill="1" applyBorder="1" applyAlignment="1">
      <alignment horizontal="center"/>
    </xf>
    <xf numFmtId="0" fontId="5" fillId="9" borderId="13" xfId="0" quotePrefix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top"/>
    </xf>
    <xf numFmtId="0" fontId="5" fillId="19" borderId="1" xfId="1" applyFont="1" applyFill="1" applyBorder="1" applyAlignment="1">
      <alignment horizontal="center" vertical="center"/>
    </xf>
    <xf numFmtId="0" fontId="5" fillId="19" borderId="0" xfId="1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 wrapText="1"/>
    </xf>
    <xf numFmtId="0" fontId="5" fillId="7" borderId="13" xfId="2" applyFont="1" applyFill="1" applyBorder="1" applyAlignment="1">
      <alignment horizontal="center" vertical="center"/>
    </xf>
    <xf numFmtId="0" fontId="5" fillId="7" borderId="13" xfId="3" applyFont="1" applyFill="1" applyBorder="1" applyAlignment="1">
      <alignment horizontal="center" vertical="center"/>
    </xf>
    <xf numFmtId="0" fontId="5" fillId="8" borderId="0" xfId="3" applyFont="1" applyFill="1" applyBorder="1" applyAlignment="1">
      <alignment horizontal="center" vertical="center"/>
    </xf>
    <xf numFmtId="0" fontId="5" fillId="16" borderId="0" xfId="1" applyFont="1" applyFill="1" applyBorder="1" applyAlignment="1">
      <alignment horizontal="center" vertical="center"/>
    </xf>
    <xf numFmtId="0" fontId="5" fillId="16" borderId="1" xfId="1" applyFont="1" applyFill="1" applyBorder="1" applyAlignment="1">
      <alignment horizontal="center" vertical="center"/>
    </xf>
    <xf numFmtId="0" fontId="5" fillId="16" borderId="1" xfId="0" applyFont="1" applyFill="1" applyBorder="1" applyAlignment="1">
      <alignment horizontal="center" vertical="center"/>
    </xf>
    <xf numFmtId="0" fontId="5" fillId="16" borderId="0" xfId="0" applyFont="1" applyFill="1" applyAlignment="1">
      <alignment horizontal="center" vertical="center"/>
    </xf>
    <xf numFmtId="0" fontId="5" fillId="8" borderId="16" xfId="1" applyFont="1" applyFill="1" applyBorder="1" applyAlignment="1">
      <alignment horizontal="center" vertical="center"/>
    </xf>
    <xf numFmtId="0" fontId="5" fillId="16" borderId="0" xfId="0" applyFont="1" applyFill="1" applyBorder="1" applyAlignment="1">
      <alignment horizontal="center" vertical="center"/>
    </xf>
    <xf numFmtId="10" fontId="5" fillId="8" borderId="0" xfId="1" applyNumberFormat="1" applyFont="1" applyFill="1" applyBorder="1" applyAlignment="1">
      <alignment horizontal="center" vertical="center"/>
    </xf>
    <xf numFmtId="10" fontId="5" fillId="8" borderId="1" xfId="1" applyNumberFormat="1" applyFont="1" applyFill="1" applyBorder="1" applyAlignment="1">
      <alignment horizontal="center" vertical="center"/>
    </xf>
    <xf numFmtId="10" fontId="5" fillId="8" borderId="0" xfId="0" applyNumberFormat="1" applyFont="1" applyFill="1" applyAlignment="1">
      <alignment horizontal="center" vertical="center"/>
    </xf>
    <xf numFmtId="0" fontId="5" fillId="7" borderId="13" xfId="1" applyFont="1" applyFill="1" applyBorder="1" applyAlignment="1">
      <alignment horizontal="center" vertical="center"/>
    </xf>
    <xf numFmtId="0" fontId="5" fillId="7" borderId="14" xfId="1" applyFont="1" applyFill="1" applyBorder="1" applyAlignment="1">
      <alignment horizontal="center" vertical="center" wrapText="1"/>
    </xf>
    <xf numFmtId="0" fontId="5" fillId="7" borderId="15" xfId="1" applyFont="1" applyFill="1" applyBorder="1" applyAlignment="1">
      <alignment horizontal="center" vertical="center"/>
    </xf>
    <xf numFmtId="0" fontId="5" fillId="8" borderId="13" xfId="1" applyFont="1" applyFill="1" applyBorder="1" applyAlignment="1">
      <alignment horizontal="center" vertical="center"/>
    </xf>
    <xf numFmtId="0" fontId="5" fillId="8" borderId="15" xfId="1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5" fillId="9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/>
    </xf>
    <xf numFmtId="0" fontId="5" fillId="13" borderId="15" xfId="1" applyFont="1" applyFill="1" applyBorder="1" applyAlignment="1">
      <alignment horizontal="center" vertical="center"/>
    </xf>
    <xf numFmtId="0" fontId="5" fillId="20" borderId="13" xfId="1" applyFont="1" applyFill="1" applyBorder="1" applyAlignment="1">
      <alignment horizontal="center" vertical="center"/>
    </xf>
    <xf numFmtId="0" fontId="5" fillId="20" borderId="13" xfId="1" applyFont="1" applyFill="1" applyBorder="1" applyAlignment="1">
      <alignment horizontal="center" vertical="center" wrapText="1"/>
    </xf>
    <xf numFmtId="0" fontId="5" fillId="20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 wrapText="1"/>
    </xf>
    <xf numFmtId="176" fontId="5" fillId="8" borderId="0" xfId="1" applyNumberFormat="1" applyFont="1" applyFill="1" applyBorder="1" applyAlignment="1">
      <alignment horizontal="center" vertical="center"/>
    </xf>
    <xf numFmtId="176" fontId="5" fillId="8" borderId="1" xfId="1" applyNumberFormat="1" applyFont="1" applyFill="1" applyBorder="1" applyAlignment="1">
      <alignment horizontal="center" vertical="center"/>
    </xf>
    <xf numFmtId="176" fontId="5" fillId="8" borderId="0" xfId="0" applyNumberFormat="1" applyFont="1" applyFill="1" applyAlignment="1">
      <alignment horizontal="center" vertical="center"/>
    </xf>
    <xf numFmtId="177" fontId="5" fillId="8" borderId="1" xfId="1" applyNumberFormat="1" applyFont="1" applyFill="1" applyBorder="1" applyAlignment="1">
      <alignment horizontal="center" vertical="center"/>
    </xf>
    <xf numFmtId="177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 wrapText="1"/>
    </xf>
    <xf numFmtId="178" fontId="5" fillId="8" borderId="1" xfId="1" applyNumberFormat="1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 vertical="center"/>
    </xf>
    <xf numFmtId="0" fontId="5" fillId="7" borderId="0" xfId="11" applyFont="1" applyFill="1" applyBorder="1" applyAlignment="1">
      <alignment horizontal="center" vertical="center"/>
    </xf>
    <xf numFmtId="0" fontId="5" fillId="7" borderId="2" xfId="11" applyFont="1" applyFill="1" applyBorder="1" applyAlignment="1">
      <alignment horizontal="center" vertical="center"/>
    </xf>
    <xf numFmtId="0" fontId="5" fillId="7" borderId="1" xfId="11" applyFont="1" applyFill="1" applyBorder="1" applyAlignment="1">
      <alignment horizontal="center" vertical="center"/>
    </xf>
    <xf numFmtId="0" fontId="5" fillId="7" borderId="0" xfId="11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 wrapText="1"/>
    </xf>
    <xf numFmtId="0" fontId="5" fillId="9" borderId="1" xfId="0" applyFont="1" applyFill="1" applyBorder="1" applyAlignment="1">
      <alignment horizontal="center" vertical="center"/>
    </xf>
    <xf numFmtId="0" fontId="5" fillId="7" borderId="15" xfId="0" applyFont="1" applyFill="1" applyBorder="1" applyAlignment="1">
      <alignment horizontal="center" vertical="center"/>
    </xf>
    <xf numFmtId="0" fontId="5" fillId="21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 wrapText="1"/>
    </xf>
    <xf numFmtId="0" fontId="5" fillId="8" borderId="0" xfId="11" applyFont="1" applyFill="1" applyBorder="1" applyAlignment="1">
      <alignment horizontal="center" vertical="center"/>
    </xf>
    <xf numFmtId="0" fontId="5" fillId="8" borderId="2" xfId="11" applyFont="1" applyFill="1" applyBorder="1" applyAlignment="1">
      <alignment horizontal="center" vertical="center"/>
    </xf>
    <xf numFmtId="0" fontId="5" fillId="8" borderId="1" xfId="11" applyFont="1" applyFill="1" applyBorder="1" applyAlignment="1">
      <alignment horizontal="center" vertical="center"/>
    </xf>
    <xf numFmtId="0" fontId="5" fillId="8" borderId="0" xfId="11" quotePrefix="1" applyFont="1" applyFill="1" applyBorder="1" applyAlignment="1">
      <alignment horizontal="center" vertical="center"/>
    </xf>
  </cellXfs>
  <cellStyles count="12">
    <cellStyle name="常规" xfId="0" builtinId="0"/>
    <cellStyle name="常规 2" xfId="1"/>
    <cellStyle name="常规 2 2" xfId="2"/>
    <cellStyle name="常规 2 2 2" xfId="3"/>
    <cellStyle name="常规 2 2 3" xfId="8"/>
    <cellStyle name="常规 3" xfId="4"/>
    <cellStyle name="常规 3 2" xfId="9"/>
    <cellStyle name="常规 3 3" xfId="11"/>
    <cellStyle name="常规 4" xfId="5"/>
    <cellStyle name="常规 4 2" xfId="10"/>
    <cellStyle name="常规 5" xfId="7"/>
    <cellStyle name="常规 6" xfId="6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3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F18" sqref="F18"/>
    </sheetView>
  </sheetViews>
  <sheetFormatPr defaultColWidth="9.125" defaultRowHeight="13.5" x14ac:dyDescent="0.15"/>
  <cols>
    <col min="1" max="16384" width="9.125" style="43"/>
  </cols>
  <sheetData>
    <row r="1" spans="1:7" s="44" customFormat="1" x14ac:dyDescent="0.15">
      <c r="A1" s="45" t="s">
        <v>274</v>
      </c>
    </row>
    <row r="3" spans="1:7" x14ac:dyDescent="0.15">
      <c r="B3" s="43" t="s">
        <v>273</v>
      </c>
    </row>
    <row r="4" spans="1:7" ht="14.25" thickBot="1" x14ac:dyDescent="0.2"/>
    <row r="5" spans="1:7" x14ac:dyDescent="0.15">
      <c r="B5" s="54" t="s">
        <v>272</v>
      </c>
      <c r="C5" s="53" t="s">
        <v>271</v>
      </c>
      <c r="D5" s="53" t="s">
        <v>270</v>
      </c>
      <c r="E5" s="53" t="s">
        <v>269</v>
      </c>
      <c r="F5" s="53" t="s">
        <v>268</v>
      </c>
      <c r="G5" s="52" t="s">
        <v>267</v>
      </c>
    </row>
    <row r="6" spans="1:7" x14ac:dyDescent="0.15">
      <c r="B6" s="51" t="s">
        <v>266</v>
      </c>
      <c r="C6" s="50" t="s">
        <v>265</v>
      </c>
      <c r="D6" s="50" t="s">
        <v>293</v>
      </c>
      <c r="E6" s="50" t="s">
        <v>294</v>
      </c>
      <c r="F6" s="50" t="s">
        <v>294</v>
      </c>
      <c r="G6" s="49" t="s">
        <v>294</v>
      </c>
    </row>
    <row r="7" spans="1:7" ht="14.25" thickBot="1" x14ac:dyDescent="0.2">
      <c r="B7" s="48" t="s">
        <v>264</v>
      </c>
      <c r="C7" s="47" t="s">
        <v>263</v>
      </c>
      <c r="D7" s="47" t="s">
        <v>262</v>
      </c>
      <c r="E7" s="47" t="s">
        <v>261</v>
      </c>
      <c r="F7" s="47" t="s">
        <v>261</v>
      </c>
      <c r="G7" s="46" t="s">
        <v>261</v>
      </c>
    </row>
    <row r="9" spans="1:7" x14ac:dyDescent="0.15">
      <c r="B9" s="43" t="s">
        <v>295</v>
      </c>
    </row>
    <row r="10" spans="1:7" x14ac:dyDescent="0.15">
      <c r="B10" s="43" t="s">
        <v>296</v>
      </c>
    </row>
    <row r="13" spans="1:7" s="44" customFormat="1" x14ac:dyDescent="0.15">
      <c r="A13" s="45" t="s">
        <v>260</v>
      </c>
    </row>
    <row r="15" spans="1:7" x14ac:dyDescent="0.15">
      <c r="B15" s="43">
        <v>1</v>
      </c>
      <c r="D15" s="43" t="s">
        <v>259</v>
      </c>
      <c r="F15" s="43" t="s">
        <v>556</v>
      </c>
    </row>
    <row r="16" spans="1:7" x14ac:dyDescent="0.15">
      <c r="B16" s="43">
        <v>2</v>
      </c>
      <c r="D16" s="43" t="s">
        <v>258</v>
      </c>
      <c r="F16" s="43" t="s">
        <v>557</v>
      </c>
    </row>
    <row r="17" spans="2:6" x14ac:dyDescent="0.15">
      <c r="B17" s="43">
        <v>3</v>
      </c>
      <c r="D17" s="43" t="s">
        <v>257</v>
      </c>
      <c r="F17" s="43" t="s">
        <v>649</v>
      </c>
    </row>
    <row r="18" spans="2:6" x14ac:dyDescent="0.15">
      <c r="B18" s="43">
        <v>4</v>
      </c>
      <c r="D18" s="43" t="s">
        <v>256</v>
      </c>
    </row>
    <row r="19" spans="2:6" x14ac:dyDescent="0.15">
      <c r="B19" s="43">
        <v>5</v>
      </c>
    </row>
    <row r="20" spans="2:6" x14ac:dyDescent="0.15">
      <c r="B20" s="43">
        <v>6</v>
      </c>
      <c r="D20" s="43" t="s">
        <v>255</v>
      </c>
      <c r="F20" s="43" t="s">
        <v>574</v>
      </c>
    </row>
    <row r="21" spans="2:6" x14ac:dyDescent="0.15">
      <c r="B21" s="43">
        <v>7</v>
      </c>
    </row>
    <row r="22" spans="2:6" x14ac:dyDescent="0.15">
      <c r="B22" s="43">
        <v>8</v>
      </c>
    </row>
    <row r="23" spans="2:6" x14ac:dyDescent="0.15">
      <c r="B23" s="43">
        <v>9</v>
      </c>
    </row>
    <row r="24" spans="2:6" x14ac:dyDescent="0.15">
      <c r="B24" s="43">
        <v>10</v>
      </c>
    </row>
    <row r="25" spans="2:6" x14ac:dyDescent="0.15">
      <c r="B25" s="43">
        <v>11</v>
      </c>
      <c r="D25" s="43" t="s">
        <v>1</v>
      </c>
    </row>
    <row r="26" spans="2:6" x14ac:dyDescent="0.15">
      <c r="B26" s="43">
        <v>12</v>
      </c>
      <c r="D26" s="43" t="s">
        <v>345</v>
      </c>
    </row>
    <row r="27" spans="2:6" x14ac:dyDescent="0.15">
      <c r="B27" s="43">
        <v>13</v>
      </c>
    </row>
    <row r="28" spans="2:6" x14ac:dyDescent="0.15">
      <c r="B28" s="43">
        <v>14</v>
      </c>
    </row>
    <row r="29" spans="2:6" x14ac:dyDescent="0.15">
      <c r="B29" s="43">
        <v>15</v>
      </c>
    </row>
    <row r="30" spans="2:6" x14ac:dyDescent="0.15">
      <c r="B30" s="43">
        <v>16</v>
      </c>
    </row>
    <row r="31" spans="2:6" x14ac:dyDescent="0.15">
      <c r="B31" s="43">
        <v>17</v>
      </c>
    </row>
    <row r="32" spans="2:6" x14ac:dyDescent="0.15">
      <c r="B32" s="43">
        <v>18</v>
      </c>
    </row>
    <row r="33" spans="2:4" x14ac:dyDescent="0.15">
      <c r="B33" s="43">
        <v>19</v>
      </c>
    </row>
    <row r="34" spans="2:4" x14ac:dyDescent="0.15">
      <c r="B34" s="43">
        <v>20</v>
      </c>
    </row>
    <row r="35" spans="2:4" x14ac:dyDescent="0.15">
      <c r="B35" s="43">
        <v>21</v>
      </c>
      <c r="D35" s="43" t="s">
        <v>350</v>
      </c>
    </row>
    <row r="36" spans="2:4" x14ac:dyDescent="0.15">
      <c r="B36" s="43">
        <v>22</v>
      </c>
      <c r="D36" s="43" t="s">
        <v>254</v>
      </c>
    </row>
    <row r="37" spans="2:4" x14ac:dyDescent="0.15">
      <c r="B37" s="43">
        <v>23</v>
      </c>
      <c r="D37" s="43" t="s">
        <v>349</v>
      </c>
    </row>
    <row r="38" spans="2:4" x14ac:dyDescent="0.15">
      <c r="B38" s="43">
        <v>24</v>
      </c>
    </row>
    <row r="39" spans="2:4" x14ac:dyDescent="0.15">
      <c r="B39" s="43">
        <v>25</v>
      </c>
    </row>
    <row r="40" spans="2:4" x14ac:dyDescent="0.15">
      <c r="B40" s="43">
        <v>26</v>
      </c>
    </row>
    <row r="41" spans="2:4" x14ac:dyDescent="0.15">
      <c r="B41" s="43">
        <v>27</v>
      </c>
    </row>
    <row r="42" spans="2:4" x14ac:dyDescent="0.15">
      <c r="B42" s="43">
        <v>28</v>
      </c>
    </row>
    <row r="43" spans="2:4" x14ac:dyDescent="0.15">
      <c r="B43" s="43">
        <v>29</v>
      </c>
    </row>
    <row r="44" spans="2:4" x14ac:dyDescent="0.15">
      <c r="B44" s="43">
        <v>30</v>
      </c>
    </row>
    <row r="45" spans="2:4" x14ac:dyDescent="0.15">
      <c r="B45" s="43">
        <v>31</v>
      </c>
      <c r="D45" s="43" t="s">
        <v>474</v>
      </c>
    </row>
    <row r="46" spans="2:4" x14ac:dyDescent="0.15">
      <c r="B46" s="43">
        <v>32</v>
      </c>
    </row>
    <row r="47" spans="2:4" x14ac:dyDescent="0.15">
      <c r="B47" s="43">
        <v>33</v>
      </c>
    </row>
    <row r="48" spans="2:4" x14ac:dyDescent="0.15">
      <c r="B48" s="43">
        <v>34</v>
      </c>
    </row>
    <row r="49" spans="2:2" x14ac:dyDescent="0.15">
      <c r="B49" s="43">
        <v>35</v>
      </c>
    </row>
    <row r="50" spans="2:2" x14ac:dyDescent="0.15">
      <c r="B50" s="43">
        <v>36</v>
      </c>
    </row>
    <row r="51" spans="2:2" x14ac:dyDescent="0.15">
      <c r="B51" s="43">
        <v>37</v>
      </c>
    </row>
    <row r="52" spans="2:2" x14ac:dyDescent="0.15">
      <c r="B52" s="43">
        <v>38</v>
      </c>
    </row>
    <row r="53" spans="2:2" x14ac:dyDescent="0.15">
      <c r="B53" s="43">
        <v>39</v>
      </c>
    </row>
    <row r="54" spans="2:2" x14ac:dyDescent="0.15">
      <c r="B54" s="43">
        <v>40</v>
      </c>
    </row>
    <row r="55" spans="2:2" x14ac:dyDescent="0.15">
      <c r="B55" s="43">
        <v>41</v>
      </c>
    </row>
    <row r="56" spans="2:2" x14ac:dyDescent="0.15">
      <c r="B56" s="43">
        <v>42</v>
      </c>
    </row>
    <row r="57" spans="2:2" x14ac:dyDescent="0.15">
      <c r="B57" s="43">
        <v>43</v>
      </c>
    </row>
    <row r="58" spans="2:2" x14ac:dyDescent="0.15">
      <c r="B58" s="43">
        <v>44</v>
      </c>
    </row>
    <row r="59" spans="2:2" x14ac:dyDescent="0.15">
      <c r="B59" s="43">
        <v>45</v>
      </c>
    </row>
    <row r="60" spans="2:2" x14ac:dyDescent="0.15">
      <c r="B60" s="43">
        <v>46</v>
      </c>
    </row>
    <row r="61" spans="2:2" x14ac:dyDescent="0.15">
      <c r="B61" s="43">
        <v>47</v>
      </c>
    </row>
    <row r="62" spans="2:2" x14ac:dyDescent="0.15">
      <c r="B62" s="43">
        <v>48</v>
      </c>
    </row>
    <row r="63" spans="2:2" x14ac:dyDescent="0.15">
      <c r="B63" s="43">
        <v>49</v>
      </c>
    </row>
    <row r="64" spans="2:2" x14ac:dyDescent="0.15">
      <c r="B64" s="43">
        <v>50</v>
      </c>
    </row>
    <row r="65" spans="2:2" x14ac:dyDescent="0.15">
      <c r="B65" s="43">
        <v>51</v>
      </c>
    </row>
    <row r="66" spans="2:2" x14ac:dyDescent="0.15">
      <c r="B66" s="43">
        <v>52</v>
      </c>
    </row>
    <row r="67" spans="2:2" x14ac:dyDescent="0.15">
      <c r="B67" s="43">
        <v>53</v>
      </c>
    </row>
    <row r="68" spans="2:2" x14ac:dyDescent="0.15">
      <c r="B68" s="43">
        <v>54</v>
      </c>
    </row>
    <row r="69" spans="2:2" x14ac:dyDescent="0.15">
      <c r="B69" s="43">
        <v>55</v>
      </c>
    </row>
    <row r="70" spans="2:2" x14ac:dyDescent="0.15">
      <c r="B70" s="43">
        <v>56</v>
      </c>
    </row>
    <row r="71" spans="2:2" x14ac:dyDescent="0.15">
      <c r="B71" s="43">
        <v>57</v>
      </c>
    </row>
    <row r="72" spans="2:2" x14ac:dyDescent="0.15">
      <c r="B72" s="43">
        <v>58</v>
      </c>
    </row>
    <row r="73" spans="2:2" x14ac:dyDescent="0.15">
      <c r="B73" s="43">
        <v>59</v>
      </c>
    </row>
    <row r="74" spans="2:2" x14ac:dyDescent="0.15">
      <c r="B74" s="43">
        <v>60</v>
      </c>
    </row>
    <row r="75" spans="2:2" x14ac:dyDescent="0.15">
      <c r="B75" s="43">
        <v>61</v>
      </c>
    </row>
    <row r="76" spans="2:2" x14ac:dyDescent="0.15">
      <c r="B76" s="43">
        <v>62</v>
      </c>
    </row>
    <row r="77" spans="2:2" x14ac:dyDescent="0.15">
      <c r="B77" s="43">
        <v>63</v>
      </c>
    </row>
    <row r="78" spans="2:2" x14ac:dyDescent="0.15">
      <c r="B78" s="43">
        <v>64</v>
      </c>
    </row>
    <row r="79" spans="2:2" x14ac:dyDescent="0.15">
      <c r="B79" s="43">
        <v>65</v>
      </c>
    </row>
    <row r="80" spans="2:2" x14ac:dyDescent="0.15">
      <c r="B80" s="43">
        <v>66</v>
      </c>
    </row>
    <row r="81" spans="2:2" x14ac:dyDescent="0.15">
      <c r="B81" s="43">
        <v>67</v>
      </c>
    </row>
    <row r="82" spans="2:2" x14ac:dyDescent="0.15">
      <c r="B82" s="43">
        <v>68</v>
      </c>
    </row>
    <row r="83" spans="2:2" x14ac:dyDescent="0.15">
      <c r="B83" s="43">
        <v>69</v>
      </c>
    </row>
    <row r="84" spans="2:2" x14ac:dyDescent="0.15">
      <c r="B84" s="43">
        <v>70</v>
      </c>
    </row>
    <row r="85" spans="2:2" x14ac:dyDescent="0.15">
      <c r="B85" s="43">
        <v>71</v>
      </c>
    </row>
    <row r="86" spans="2:2" x14ac:dyDescent="0.15">
      <c r="B86" s="43">
        <v>72</v>
      </c>
    </row>
    <row r="87" spans="2:2" x14ac:dyDescent="0.15">
      <c r="B87" s="43">
        <v>73</v>
      </c>
    </row>
    <row r="88" spans="2:2" x14ac:dyDescent="0.15">
      <c r="B88" s="43">
        <v>74</v>
      </c>
    </row>
    <row r="89" spans="2:2" x14ac:dyDescent="0.15">
      <c r="B89" s="43">
        <v>75</v>
      </c>
    </row>
    <row r="90" spans="2:2" x14ac:dyDescent="0.15">
      <c r="B90" s="43">
        <v>76</v>
      </c>
    </row>
    <row r="91" spans="2:2" x14ac:dyDescent="0.15">
      <c r="B91" s="43">
        <v>77</v>
      </c>
    </row>
    <row r="92" spans="2:2" x14ac:dyDescent="0.15">
      <c r="B92" s="43">
        <v>78</v>
      </c>
    </row>
    <row r="93" spans="2:2" x14ac:dyDescent="0.15">
      <c r="B93" s="43">
        <v>79</v>
      </c>
    </row>
    <row r="94" spans="2:2" x14ac:dyDescent="0.15">
      <c r="B94" s="43">
        <v>80</v>
      </c>
    </row>
    <row r="95" spans="2:2" x14ac:dyDescent="0.15">
      <c r="B95" s="43">
        <v>81</v>
      </c>
    </row>
    <row r="96" spans="2:2" x14ac:dyDescent="0.15">
      <c r="B96" s="43">
        <v>82</v>
      </c>
    </row>
    <row r="97" spans="2:2" x14ac:dyDescent="0.15">
      <c r="B97" s="43">
        <v>83</v>
      </c>
    </row>
    <row r="98" spans="2:2" x14ac:dyDescent="0.15">
      <c r="B98" s="43">
        <v>84</v>
      </c>
    </row>
    <row r="99" spans="2:2" x14ac:dyDescent="0.15">
      <c r="B99" s="43">
        <v>85</v>
      </c>
    </row>
    <row r="100" spans="2:2" x14ac:dyDescent="0.15">
      <c r="B100" s="43">
        <v>86</v>
      </c>
    </row>
    <row r="101" spans="2:2" x14ac:dyDescent="0.15">
      <c r="B101" s="43">
        <v>87</v>
      </c>
    </row>
    <row r="102" spans="2:2" x14ac:dyDescent="0.15">
      <c r="B102" s="43">
        <v>88</v>
      </c>
    </row>
    <row r="103" spans="2:2" x14ac:dyDescent="0.15">
      <c r="B103" s="43">
        <v>89</v>
      </c>
    </row>
    <row r="104" spans="2:2" x14ac:dyDescent="0.15">
      <c r="B104" s="43">
        <v>90</v>
      </c>
    </row>
    <row r="105" spans="2:2" x14ac:dyDescent="0.15">
      <c r="B105" s="43">
        <v>91</v>
      </c>
    </row>
    <row r="106" spans="2:2" x14ac:dyDescent="0.15">
      <c r="B106" s="43">
        <v>92</v>
      </c>
    </row>
    <row r="107" spans="2:2" x14ac:dyDescent="0.15">
      <c r="B107" s="43">
        <v>93</v>
      </c>
    </row>
    <row r="108" spans="2:2" x14ac:dyDescent="0.15">
      <c r="B108" s="43">
        <v>94</v>
      </c>
    </row>
    <row r="109" spans="2:2" x14ac:dyDescent="0.15">
      <c r="B109" s="43">
        <v>95</v>
      </c>
    </row>
    <row r="110" spans="2:2" x14ac:dyDescent="0.15">
      <c r="B110" s="43">
        <v>96</v>
      </c>
    </row>
    <row r="111" spans="2:2" x14ac:dyDescent="0.15">
      <c r="B111" s="43">
        <v>97</v>
      </c>
    </row>
    <row r="112" spans="2:2" x14ac:dyDescent="0.15">
      <c r="B112" s="43">
        <v>98</v>
      </c>
    </row>
    <row r="113" spans="2:2" x14ac:dyDescent="0.15">
      <c r="B113" s="43">
        <v>99</v>
      </c>
    </row>
    <row r="114" spans="2:2" x14ac:dyDescent="0.15">
      <c r="B114" s="43">
        <v>100</v>
      </c>
    </row>
    <row r="115" spans="2:2" x14ac:dyDescent="0.15">
      <c r="B115" s="43">
        <v>101</v>
      </c>
    </row>
    <row r="116" spans="2:2" x14ac:dyDescent="0.15">
      <c r="B116" s="43">
        <v>102</v>
      </c>
    </row>
    <row r="117" spans="2:2" x14ac:dyDescent="0.15">
      <c r="B117" s="43">
        <v>103</v>
      </c>
    </row>
    <row r="118" spans="2:2" x14ac:dyDescent="0.15">
      <c r="B118" s="43">
        <v>104</v>
      </c>
    </row>
    <row r="119" spans="2:2" x14ac:dyDescent="0.15">
      <c r="B119" s="43">
        <v>105</v>
      </c>
    </row>
    <row r="120" spans="2:2" x14ac:dyDescent="0.15">
      <c r="B120" s="43">
        <v>106</v>
      </c>
    </row>
    <row r="121" spans="2:2" x14ac:dyDescent="0.15">
      <c r="B121" s="43">
        <v>107</v>
      </c>
    </row>
    <row r="122" spans="2:2" x14ac:dyDescent="0.15">
      <c r="B122" s="43">
        <v>108</v>
      </c>
    </row>
    <row r="123" spans="2:2" x14ac:dyDescent="0.15">
      <c r="B123" s="43">
        <v>109</v>
      </c>
    </row>
    <row r="124" spans="2:2" x14ac:dyDescent="0.15">
      <c r="B124" s="43">
        <v>110</v>
      </c>
    </row>
    <row r="125" spans="2:2" x14ac:dyDescent="0.15">
      <c r="B125" s="43">
        <v>111</v>
      </c>
    </row>
    <row r="126" spans="2:2" x14ac:dyDescent="0.15">
      <c r="B126" s="43">
        <v>112</v>
      </c>
    </row>
    <row r="127" spans="2:2" x14ac:dyDescent="0.15">
      <c r="B127" s="43">
        <v>113</v>
      </c>
    </row>
    <row r="128" spans="2:2" x14ac:dyDescent="0.15">
      <c r="B128" s="43">
        <v>114</v>
      </c>
    </row>
    <row r="129" spans="2:2" x14ac:dyDescent="0.15">
      <c r="B129" s="43">
        <v>115</v>
      </c>
    </row>
    <row r="130" spans="2:2" x14ac:dyDescent="0.15">
      <c r="B130" s="43">
        <v>116</v>
      </c>
    </row>
    <row r="131" spans="2:2" x14ac:dyDescent="0.15">
      <c r="B131" s="43">
        <v>117</v>
      </c>
    </row>
    <row r="132" spans="2:2" x14ac:dyDescent="0.15">
      <c r="B132" s="43">
        <v>118</v>
      </c>
    </row>
    <row r="133" spans="2:2" x14ac:dyDescent="0.15">
      <c r="B133" s="43">
        <v>119</v>
      </c>
    </row>
    <row r="134" spans="2:2" x14ac:dyDescent="0.15">
      <c r="B134" s="43">
        <v>120</v>
      </c>
    </row>
    <row r="135" spans="2:2" x14ac:dyDescent="0.15">
      <c r="B135" s="43">
        <v>121</v>
      </c>
    </row>
    <row r="136" spans="2:2" x14ac:dyDescent="0.15">
      <c r="B136" s="43">
        <v>122</v>
      </c>
    </row>
    <row r="137" spans="2:2" x14ac:dyDescent="0.15">
      <c r="B137" s="43">
        <v>123</v>
      </c>
    </row>
    <row r="138" spans="2:2" x14ac:dyDescent="0.15">
      <c r="B138" s="43">
        <v>124</v>
      </c>
    </row>
    <row r="139" spans="2:2" x14ac:dyDescent="0.15">
      <c r="B139" s="43">
        <v>125</v>
      </c>
    </row>
    <row r="140" spans="2:2" x14ac:dyDescent="0.15">
      <c r="B140" s="43">
        <v>126</v>
      </c>
    </row>
    <row r="141" spans="2:2" x14ac:dyDescent="0.15">
      <c r="B141" s="43">
        <v>127</v>
      </c>
    </row>
    <row r="142" spans="2:2" x14ac:dyDescent="0.15">
      <c r="B142" s="43">
        <v>128</v>
      </c>
    </row>
    <row r="143" spans="2:2" x14ac:dyDescent="0.15">
      <c r="B143" s="43">
        <v>129</v>
      </c>
    </row>
    <row r="144" spans="2:2" x14ac:dyDescent="0.15">
      <c r="B144" s="43">
        <v>130</v>
      </c>
    </row>
    <row r="145" spans="2:2" x14ac:dyDescent="0.15">
      <c r="B145" s="43">
        <v>131</v>
      </c>
    </row>
    <row r="146" spans="2:2" x14ac:dyDescent="0.15">
      <c r="B146" s="43">
        <v>132</v>
      </c>
    </row>
    <row r="147" spans="2:2" x14ac:dyDescent="0.15">
      <c r="B147" s="43">
        <v>133</v>
      </c>
    </row>
    <row r="148" spans="2:2" x14ac:dyDescent="0.15">
      <c r="B148" s="43">
        <v>134</v>
      </c>
    </row>
    <row r="149" spans="2:2" x14ac:dyDescent="0.15">
      <c r="B149" s="43">
        <v>135</v>
      </c>
    </row>
    <row r="150" spans="2:2" x14ac:dyDescent="0.15">
      <c r="B150" s="43">
        <v>136</v>
      </c>
    </row>
    <row r="151" spans="2:2" x14ac:dyDescent="0.15">
      <c r="B151" s="43">
        <v>137</v>
      </c>
    </row>
    <row r="152" spans="2:2" x14ac:dyDescent="0.15">
      <c r="B152" s="43">
        <v>138</v>
      </c>
    </row>
    <row r="153" spans="2:2" x14ac:dyDescent="0.15">
      <c r="B153" s="43">
        <v>139</v>
      </c>
    </row>
    <row r="154" spans="2:2" x14ac:dyDescent="0.15">
      <c r="B154" s="43">
        <v>140</v>
      </c>
    </row>
    <row r="155" spans="2:2" x14ac:dyDescent="0.15">
      <c r="B155" s="43">
        <v>141</v>
      </c>
    </row>
    <row r="156" spans="2:2" x14ac:dyDescent="0.15">
      <c r="B156" s="43">
        <v>142</v>
      </c>
    </row>
    <row r="157" spans="2:2" x14ac:dyDescent="0.15">
      <c r="B157" s="43">
        <v>143</v>
      </c>
    </row>
    <row r="158" spans="2:2" x14ac:dyDescent="0.15">
      <c r="B158" s="43">
        <v>144</v>
      </c>
    </row>
    <row r="159" spans="2:2" x14ac:dyDescent="0.15">
      <c r="B159" s="43">
        <v>145</v>
      </c>
    </row>
    <row r="160" spans="2:2" x14ac:dyDescent="0.15">
      <c r="B160" s="43">
        <v>146</v>
      </c>
    </row>
    <row r="161" spans="2:2" x14ac:dyDescent="0.15">
      <c r="B161" s="43">
        <v>147</v>
      </c>
    </row>
    <row r="162" spans="2:2" x14ac:dyDescent="0.15">
      <c r="B162" s="43">
        <v>148</v>
      </c>
    </row>
    <row r="163" spans="2:2" x14ac:dyDescent="0.15">
      <c r="B163" s="43">
        <v>149</v>
      </c>
    </row>
    <row r="164" spans="2:2" x14ac:dyDescent="0.15">
      <c r="B164" s="43">
        <v>150</v>
      </c>
    </row>
    <row r="165" spans="2:2" x14ac:dyDescent="0.15">
      <c r="B165" s="43">
        <v>151</v>
      </c>
    </row>
    <row r="166" spans="2:2" x14ac:dyDescent="0.15">
      <c r="B166" s="43">
        <v>152</v>
      </c>
    </row>
    <row r="167" spans="2:2" x14ac:dyDescent="0.15">
      <c r="B167" s="43">
        <v>153</v>
      </c>
    </row>
    <row r="168" spans="2:2" x14ac:dyDescent="0.15">
      <c r="B168" s="43">
        <v>154</v>
      </c>
    </row>
    <row r="169" spans="2:2" x14ac:dyDescent="0.15">
      <c r="B169" s="43">
        <v>155</v>
      </c>
    </row>
    <row r="170" spans="2:2" x14ac:dyDescent="0.15">
      <c r="B170" s="43">
        <v>156</v>
      </c>
    </row>
    <row r="171" spans="2:2" x14ac:dyDescent="0.15">
      <c r="B171" s="43">
        <v>157</v>
      </c>
    </row>
    <row r="172" spans="2:2" x14ac:dyDescent="0.15">
      <c r="B172" s="43">
        <v>158</v>
      </c>
    </row>
    <row r="173" spans="2:2" x14ac:dyDescent="0.15">
      <c r="B173" s="43">
        <v>159</v>
      </c>
    </row>
    <row r="174" spans="2:2" x14ac:dyDescent="0.15">
      <c r="B174" s="43">
        <v>160</v>
      </c>
    </row>
    <row r="175" spans="2:2" x14ac:dyDescent="0.15">
      <c r="B175" s="43">
        <v>161</v>
      </c>
    </row>
    <row r="176" spans="2:2" x14ac:dyDescent="0.15">
      <c r="B176" s="43">
        <v>162</v>
      </c>
    </row>
    <row r="177" spans="2:2" x14ac:dyDescent="0.15">
      <c r="B177" s="43">
        <v>163</v>
      </c>
    </row>
    <row r="178" spans="2:2" x14ac:dyDescent="0.15">
      <c r="B178" s="43">
        <v>164</v>
      </c>
    </row>
    <row r="179" spans="2:2" x14ac:dyDescent="0.15">
      <c r="B179" s="43">
        <v>165</v>
      </c>
    </row>
    <row r="180" spans="2:2" x14ac:dyDescent="0.15">
      <c r="B180" s="43">
        <v>166</v>
      </c>
    </row>
    <row r="181" spans="2:2" x14ac:dyDescent="0.15">
      <c r="B181" s="43">
        <v>167</v>
      </c>
    </row>
    <row r="182" spans="2:2" x14ac:dyDescent="0.15">
      <c r="B182" s="43">
        <v>168</v>
      </c>
    </row>
    <row r="183" spans="2:2" x14ac:dyDescent="0.15">
      <c r="B183" s="43">
        <v>169</v>
      </c>
    </row>
    <row r="184" spans="2:2" x14ac:dyDescent="0.15">
      <c r="B184" s="43">
        <v>170</v>
      </c>
    </row>
    <row r="185" spans="2:2" x14ac:dyDescent="0.15">
      <c r="B185" s="43">
        <v>171</v>
      </c>
    </row>
    <row r="186" spans="2:2" x14ac:dyDescent="0.15">
      <c r="B186" s="43">
        <v>172</v>
      </c>
    </row>
    <row r="187" spans="2:2" x14ac:dyDescent="0.15">
      <c r="B187" s="43">
        <v>173</v>
      </c>
    </row>
    <row r="188" spans="2:2" x14ac:dyDescent="0.15">
      <c r="B188" s="43">
        <v>174</v>
      </c>
    </row>
    <row r="189" spans="2:2" x14ac:dyDescent="0.15">
      <c r="B189" s="43">
        <v>175</v>
      </c>
    </row>
    <row r="190" spans="2:2" x14ac:dyDescent="0.15">
      <c r="B190" s="43">
        <v>176</v>
      </c>
    </row>
    <row r="191" spans="2:2" x14ac:dyDescent="0.15">
      <c r="B191" s="43">
        <v>177</v>
      </c>
    </row>
    <row r="192" spans="2:2" x14ac:dyDescent="0.15">
      <c r="B192" s="43">
        <v>178</v>
      </c>
    </row>
    <row r="193" spans="2:2" x14ac:dyDescent="0.15">
      <c r="B193" s="43">
        <v>179</v>
      </c>
    </row>
    <row r="194" spans="2:2" x14ac:dyDescent="0.15">
      <c r="B194" s="43">
        <v>180</v>
      </c>
    </row>
    <row r="195" spans="2:2" x14ac:dyDescent="0.15">
      <c r="B195" s="43">
        <v>181</v>
      </c>
    </row>
    <row r="196" spans="2:2" x14ac:dyDescent="0.15">
      <c r="B196" s="43">
        <v>182</v>
      </c>
    </row>
    <row r="197" spans="2:2" x14ac:dyDescent="0.15">
      <c r="B197" s="43">
        <v>183</v>
      </c>
    </row>
    <row r="198" spans="2:2" x14ac:dyDescent="0.15">
      <c r="B198" s="43">
        <v>184</v>
      </c>
    </row>
    <row r="199" spans="2:2" x14ac:dyDescent="0.15">
      <c r="B199" s="43">
        <v>185</v>
      </c>
    </row>
    <row r="200" spans="2:2" x14ac:dyDescent="0.15">
      <c r="B200" s="43">
        <v>186</v>
      </c>
    </row>
    <row r="201" spans="2:2" x14ac:dyDescent="0.15">
      <c r="B201" s="43">
        <v>187</v>
      </c>
    </row>
    <row r="202" spans="2:2" x14ac:dyDescent="0.15">
      <c r="B202" s="43">
        <v>188</v>
      </c>
    </row>
    <row r="203" spans="2:2" x14ac:dyDescent="0.15">
      <c r="B203" s="43">
        <v>189</v>
      </c>
    </row>
    <row r="204" spans="2:2" x14ac:dyDescent="0.15">
      <c r="B204" s="43">
        <v>190</v>
      </c>
    </row>
    <row r="205" spans="2:2" x14ac:dyDescent="0.15">
      <c r="B205" s="43">
        <v>191</v>
      </c>
    </row>
    <row r="206" spans="2:2" x14ac:dyDescent="0.15">
      <c r="B206" s="43">
        <v>192</v>
      </c>
    </row>
    <row r="207" spans="2:2" x14ac:dyDescent="0.15">
      <c r="B207" s="43">
        <v>193</v>
      </c>
    </row>
    <row r="208" spans="2:2" x14ac:dyDescent="0.15">
      <c r="B208" s="43">
        <v>194</v>
      </c>
    </row>
    <row r="209" spans="2:2" x14ac:dyDescent="0.15">
      <c r="B209" s="43">
        <v>195</v>
      </c>
    </row>
    <row r="210" spans="2:2" x14ac:dyDescent="0.15">
      <c r="B210" s="43">
        <v>196</v>
      </c>
    </row>
    <row r="211" spans="2:2" x14ac:dyDescent="0.15">
      <c r="B211" s="43">
        <v>197</v>
      </c>
    </row>
    <row r="212" spans="2:2" x14ac:dyDescent="0.15">
      <c r="B212" s="43">
        <v>198</v>
      </c>
    </row>
    <row r="213" spans="2:2" x14ac:dyDescent="0.15">
      <c r="B213" s="43">
        <v>199</v>
      </c>
    </row>
    <row r="214" spans="2:2" x14ac:dyDescent="0.15">
      <c r="B214" s="43">
        <v>200</v>
      </c>
    </row>
    <row r="215" spans="2:2" x14ac:dyDescent="0.15">
      <c r="B215" s="43">
        <v>201</v>
      </c>
    </row>
    <row r="216" spans="2:2" x14ac:dyDescent="0.15">
      <c r="B216" s="43">
        <v>202</v>
      </c>
    </row>
    <row r="217" spans="2:2" x14ac:dyDescent="0.15">
      <c r="B217" s="43">
        <v>203</v>
      </c>
    </row>
    <row r="218" spans="2:2" x14ac:dyDescent="0.15">
      <c r="B218" s="43">
        <v>204</v>
      </c>
    </row>
    <row r="219" spans="2:2" x14ac:dyDescent="0.15">
      <c r="B219" s="43">
        <v>205</v>
      </c>
    </row>
    <row r="220" spans="2:2" x14ac:dyDescent="0.15">
      <c r="B220" s="43">
        <v>206</v>
      </c>
    </row>
    <row r="221" spans="2:2" x14ac:dyDescent="0.15">
      <c r="B221" s="43">
        <v>207</v>
      </c>
    </row>
    <row r="222" spans="2:2" x14ac:dyDescent="0.15">
      <c r="B222" s="43">
        <v>208</v>
      </c>
    </row>
    <row r="223" spans="2:2" x14ac:dyDescent="0.15">
      <c r="B223" s="43">
        <v>209</v>
      </c>
    </row>
    <row r="224" spans="2:2" x14ac:dyDescent="0.15">
      <c r="B224" s="43">
        <v>210</v>
      </c>
    </row>
    <row r="225" spans="2:2" x14ac:dyDescent="0.15">
      <c r="B225" s="43">
        <v>211</v>
      </c>
    </row>
    <row r="226" spans="2:2" x14ac:dyDescent="0.15">
      <c r="B226" s="43">
        <v>212</v>
      </c>
    </row>
    <row r="227" spans="2:2" x14ac:dyDescent="0.15">
      <c r="B227" s="43">
        <v>213</v>
      </c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D55" sqref="D55"/>
    </sheetView>
  </sheetViews>
  <sheetFormatPr defaultColWidth="9.125" defaultRowHeight="13.5" x14ac:dyDescent="0.15"/>
  <cols>
    <col min="1" max="16384" width="9.125" style="40"/>
  </cols>
  <sheetData>
    <row r="1" spans="1:9" s="41" customFormat="1" x14ac:dyDescent="0.15">
      <c r="A1" s="41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0" t="s">
        <v>275</v>
      </c>
      <c r="D58" s="40" t="s">
        <v>276</v>
      </c>
      <c r="G58" s="40" t="s">
        <v>277</v>
      </c>
    </row>
    <row r="59" spans="2:7" x14ac:dyDescent="0.15">
      <c r="B59" s="40" t="s">
        <v>315</v>
      </c>
      <c r="D59" s="40" t="s">
        <v>316</v>
      </c>
      <c r="G59" s="40" t="s">
        <v>317</v>
      </c>
    </row>
    <row r="60" spans="2:7" x14ac:dyDescent="0.15">
      <c r="B60" s="40" t="s">
        <v>286</v>
      </c>
      <c r="D60" s="40" t="s">
        <v>287</v>
      </c>
      <c r="G60" s="40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0" t="s">
        <v>281</v>
      </c>
      <c r="D67" s="40" t="s">
        <v>282</v>
      </c>
      <c r="G67" s="40" t="s">
        <v>283</v>
      </c>
    </row>
    <row r="68" spans="2:7" x14ac:dyDescent="0.15">
      <c r="B68" s="40" t="s">
        <v>168</v>
      </c>
      <c r="D68" s="40" t="s">
        <v>299</v>
      </c>
      <c r="G68" s="40" t="s">
        <v>300</v>
      </c>
    </row>
    <row r="69" spans="2:7" x14ac:dyDescent="0.15">
      <c r="B69" s="40" t="s">
        <v>301</v>
      </c>
      <c r="D69" s="40" t="s">
        <v>302</v>
      </c>
      <c r="G69" s="40" t="s">
        <v>303</v>
      </c>
    </row>
    <row r="70" spans="2:7" x14ac:dyDescent="0.15">
      <c r="B70" s="40" t="s">
        <v>304</v>
      </c>
      <c r="D70" s="40" t="s">
        <v>305</v>
      </c>
      <c r="G70" s="40" t="s">
        <v>306</v>
      </c>
    </row>
    <row r="72" spans="2:7" x14ac:dyDescent="0.15">
      <c r="B72" s="40" t="s">
        <v>325</v>
      </c>
      <c r="D72" s="40" t="s">
        <v>326</v>
      </c>
      <c r="G72" s="40" t="s">
        <v>324</v>
      </c>
    </row>
    <row r="80" spans="2:7" s="4" customFormat="1" x14ac:dyDescent="0.15"/>
    <row r="81" s="4" customFormat="1" x14ac:dyDescent="0.15"/>
    <row r="82" s="4" customFormat="1" x14ac:dyDescent="0.15"/>
    <row r="83" s="42" customFormat="1" x14ac:dyDescent="0.15"/>
  </sheetData>
  <phoneticPr fontId="1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N505"/>
  <sheetViews>
    <sheetView topLeftCell="A481" zoomScale="130" zoomScaleNormal="130" workbookViewId="0">
      <pane xSplit="12" topLeftCell="AG1" activePane="topRight" state="frozen"/>
      <selection pane="topRight" activeCell="AJ506" sqref="AJ506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4" bestFit="1" customWidth="1"/>
    <col min="8" max="8" width="19.875" style="9" bestFit="1" customWidth="1"/>
    <col min="9" max="9" width="10" style="9" bestFit="1" customWidth="1"/>
    <col min="10" max="10" width="5.625" style="74" bestFit="1" customWidth="1"/>
    <col min="11" max="12" width="14.875" style="9" customWidth="1"/>
    <col min="13" max="13" width="10" style="9" bestFit="1" customWidth="1"/>
    <col min="14" max="14" width="14.875" style="9" bestFit="1" customWidth="1"/>
    <col min="15" max="15" width="22.125" style="9" bestFit="1" customWidth="1"/>
    <col min="16" max="16" width="35" style="55" bestFit="1" customWidth="1"/>
    <col min="17" max="17" width="29.375" style="9" customWidth="1"/>
    <col min="18" max="18" width="5.625" style="74" bestFit="1" customWidth="1"/>
    <col min="19" max="19" width="21.125" style="81" bestFit="1" customWidth="1"/>
    <col min="20" max="20" width="27.25" style="9" bestFit="1" customWidth="1"/>
    <col min="21" max="21" width="27.25" style="11" bestFit="1" customWidth="1"/>
    <col min="22" max="22" width="21.125" style="81" bestFit="1" customWidth="1"/>
    <col min="23" max="23" width="27.25" style="11" bestFit="1" customWidth="1"/>
    <col min="24" max="24" width="5.625" style="74" bestFit="1" customWidth="1"/>
    <col min="25" max="25" width="27.25" style="9" bestFit="1" customWidth="1"/>
    <col min="26" max="26" width="21.125" style="9" bestFit="1" customWidth="1"/>
    <col min="27" max="27" width="5.625" style="74" bestFit="1" customWidth="1"/>
    <col min="28" max="28" width="21.125" style="11" bestFit="1" customWidth="1"/>
    <col min="29" max="29" width="21.125" style="55" customWidth="1"/>
    <col min="30" max="30" width="5.625" style="74" bestFit="1" customWidth="1"/>
    <col min="31" max="31" width="21.125" style="11" bestFit="1" customWidth="1"/>
    <col min="32" max="32" width="21.125" style="10" bestFit="1" customWidth="1"/>
    <col min="33" max="33" width="21.125" style="176" bestFit="1" customWidth="1"/>
    <col min="34" max="34" width="5.625" style="74" bestFit="1" customWidth="1"/>
    <col min="35" max="35" width="11.375" style="11" bestFit="1" customWidth="1"/>
    <col min="36" max="36" width="15.625" style="10" bestFit="1" customWidth="1"/>
    <col min="37" max="37" width="11.375" style="11" bestFit="1" customWidth="1"/>
    <col min="38" max="38" width="15.625" style="10" bestFit="1" customWidth="1"/>
    <col min="39" max="39" width="11.375" style="11" bestFit="1" customWidth="1"/>
    <col min="40" max="40" width="15.625" style="10" bestFit="1" customWidth="1"/>
    <col min="41" max="41" width="12" style="55" bestFit="1" customWidth="1"/>
    <col min="42" max="42" width="17.125" style="11" bestFit="1" customWidth="1"/>
    <col min="43" max="43" width="12.875" style="11" bestFit="1" customWidth="1"/>
    <col min="44" max="44" width="10.25" style="10" bestFit="1" customWidth="1"/>
    <col min="45" max="45" width="16.375" style="11" bestFit="1" customWidth="1"/>
    <col min="46" max="46" width="15.625" style="10" bestFit="1" customWidth="1"/>
    <col min="47" max="47" width="17.125" style="11" bestFit="1" customWidth="1"/>
    <col min="48" max="48" width="12.875" style="11" bestFit="1" customWidth="1"/>
    <col min="49" max="49" width="10.25" style="10" bestFit="1" customWidth="1"/>
    <col min="50" max="50" width="16.375" style="11" bestFit="1" customWidth="1"/>
    <col min="51" max="51" width="15.625" style="10" bestFit="1" customWidth="1"/>
    <col min="52" max="52" width="17.125" style="11" bestFit="1" customWidth="1"/>
    <col min="53" max="53" width="12.875" style="11" bestFit="1" customWidth="1"/>
    <col min="54" max="54" width="10.25" style="10" bestFit="1" customWidth="1"/>
    <col min="55" max="55" width="16.375" style="11" bestFit="1" customWidth="1"/>
    <col min="56" max="56" width="15.625" style="10" bestFit="1" customWidth="1"/>
    <col min="57" max="57" width="17.125" style="11" bestFit="1" customWidth="1"/>
    <col min="58" max="58" width="12.875" style="11" bestFit="1" customWidth="1"/>
    <col min="59" max="59" width="10.25" style="10" bestFit="1" customWidth="1"/>
    <col min="60" max="60" width="16.375" style="11" bestFit="1" customWidth="1"/>
    <col min="61" max="61" width="15.625" style="10" bestFit="1" customWidth="1"/>
    <col min="62" max="62" width="17.125" style="11" bestFit="1" customWidth="1"/>
    <col min="63" max="63" width="10" style="11" bestFit="1" customWidth="1"/>
    <col min="64" max="64" width="9.875" style="10" bestFit="1" customWidth="1"/>
    <col min="65" max="65" width="16.375" style="11" bestFit="1" customWidth="1"/>
    <col min="66" max="66" width="9.875" style="10" bestFit="1" customWidth="1"/>
    <col min="67" max="16384" width="9.125" style="8"/>
  </cols>
  <sheetData>
    <row r="1" spans="1:66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976</v>
      </c>
      <c r="M1" s="9" t="s">
        <v>60</v>
      </c>
      <c r="N1" s="9" t="s">
        <v>60</v>
      </c>
      <c r="O1" s="9" t="s">
        <v>60</v>
      </c>
      <c r="P1" s="35" t="s">
        <v>60</v>
      </c>
      <c r="Q1" s="9" t="s">
        <v>60</v>
      </c>
      <c r="T1" s="9" t="s">
        <v>60</v>
      </c>
      <c r="U1" s="11" t="s">
        <v>60</v>
      </c>
      <c r="W1" s="11" t="s">
        <v>60</v>
      </c>
      <c r="Y1" s="9" t="s">
        <v>60</v>
      </c>
      <c r="Z1" s="9" t="s">
        <v>60</v>
      </c>
      <c r="AB1" s="11" t="s">
        <v>60</v>
      </c>
      <c r="AC1" s="55" t="s">
        <v>998</v>
      </c>
      <c r="AE1" s="11" t="s">
        <v>60</v>
      </c>
      <c r="AI1" s="33" t="s">
        <v>60</v>
      </c>
      <c r="AJ1" s="32"/>
      <c r="AK1" s="33" t="s">
        <v>60</v>
      </c>
      <c r="AL1" s="32"/>
      <c r="AM1" s="33" t="s">
        <v>60</v>
      </c>
      <c r="AN1" s="32"/>
      <c r="AO1" s="58" t="s">
        <v>64</v>
      </c>
      <c r="AP1" s="33" t="s">
        <v>251</v>
      </c>
      <c r="AQ1" s="33" t="s">
        <v>60</v>
      </c>
      <c r="AR1" s="32"/>
      <c r="AS1" s="33" t="s">
        <v>60</v>
      </c>
      <c r="AT1" s="32"/>
      <c r="AU1" s="33" t="s">
        <v>251</v>
      </c>
      <c r="AV1" s="33" t="s">
        <v>60</v>
      </c>
      <c r="AW1" s="32"/>
      <c r="AX1" s="33" t="s">
        <v>60</v>
      </c>
      <c r="AY1" s="32"/>
      <c r="AZ1" s="33" t="s">
        <v>251</v>
      </c>
      <c r="BA1" s="33" t="s">
        <v>60</v>
      </c>
      <c r="BB1" s="32"/>
      <c r="BC1" s="33" t="s">
        <v>60</v>
      </c>
      <c r="BD1" s="32"/>
      <c r="BE1" s="33" t="s">
        <v>251</v>
      </c>
      <c r="BF1" s="33" t="s">
        <v>60</v>
      </c>
      <c r="BG1" s="32"/>
      <c r="BH1" s="33" t="s">
        <v>60</v>
      </c>
      <c r="BI1" s="32"/>
      <c r="BJ1" s="33" t="s">
        <v>251</v>
      </c>
      <c r="BK1" s="33" t="s">
        <v>60</v>
      </c>
      <c r="BL1" s="32"/>
      <c r="BM1" s="33" t="s">
        <v>60</v>
      </c>
      <c r="BN1" s="32"/>
    </row>
    <row r="2" spans="1:66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977</v>
      </c>
      <c r="M2" s="9" t="s">
        <v>61</v>
      </c>
      <c r="N2" s="9" t="s">
        <v>61</v>
      </c>
      <c r="O2" s="9" t="s">
        <v>62</v>
      </c>
      <c r="P2" s="35" t="s">
        <v>62</v>
      </c>
      <c r="Q2" s="9" t="s">
        <v>470</v>
      </c>
      <c r="T2" s="9" t="s">
        <v>492</v>
      </c>
      <c r="U2" s="11" t="s">
        <v>61</v>
      </c>
      <c r="W2" s="11" t="s">
        <v>492</v>
      </c>
      <c r="Y2" s="9" t="s">
        <v>62</v>
      </c>
      <c r="Z2" s="9" t="s">
        <v>61</v>
      </c>
      <c r="AB2" s="11" t="s">
        <v>61</v>
      </c>
      <c r="AC2" s="55" t="s">
        <v>997</v>
      </c>
      <c r="AE2" s="11" t="s">
        <v>61</v>
      </c>
      <c r="AI2" s="31" t="s">
        <v>61</v>
      </c>
      <c r="AJ2" s="30"/>
      <c r="AK2" s="31" t="s">
        <v>61</v>
      </c>
      <c r="AL2" s="30"/>
      <c r="AM2" s="31" t="s">
        <v>61</v>
      </c>
      <c r="AN2" s="30"/>
      <c r="AO2" s="59">
        <v>5</v>
      </c>
      <c r="AP2" s="31">
        <v>4</v>
      </c>
      <c r="AQ2" s="31" t="s">
        <v>61</v>
      </c>
      <c r="AR2" s="30"/>
      <c r="AS2" s="31" t="s">
        <v>61</v>
      </c>
      <c r="AT2" s="30"/>
      <c r="AU2" s="31">
        <v>4</v>
      </c>
      <c r="AV2" s="31" t="s">
        <v>61</v>
      </c>
      <c r="AW2" s="30"/>
      <c r="AX2" s="31" t="s">
        <v>61</v>
      </c>
      <c r="AY2" s="30"/>
      <c r="AZ2" s="31">
        <v>4</v>
      </c>
      <c r="BA2" s="31" t="s">
        <v>61</v>
      </c>
      <c r="BB2" s="30"/>
      <c r="BC2" s="31" t="s">
        <v>61</v>
      </c>
      <c r="BD2" s="30"/>
      <c r="BE2" s="31">
        <v>4</v>
      </c>
      <c r="BF2" s="31" t="s">
        <v>61</v>
      </c>
      <c r="BG2" s="30"/>
      <c r="BH2" s="31" t="s">
        <v>61</v>
      </c>
      <c r="BI2" s="30"/>
      <c r="BJ2" s="31">
        <v>4</v>
      </c>
      <c r="BK2" s="31" t="s">
        <v>61</v>
      </c>
      <c r="BL2" s="30"/>
      <c r="BM2" s="31" t="s">
        <v>61</v>
      </c>
      <c r="BN2" s="30"/>
    </row>
    <row r="3" spans="1:66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978</v>
      </c>
      <c r="M3" s="9" t="s">
        <v>341</v>
      </c>
      <c r="N3" s="9" t="s">
        <v>321</v>
      </c>
      <c r="O3" s="9" t="s">
        <v>247</v>
      </c>
      <c r="P3" s="35" t="s">
        <v>322</v>
      </c>
      <c r="Q3" s="9" t="s">
        <v>472</v>
      </c>
      <c r="T3" s="9" t="s">
        <v>518</v>
      </c>
      <c r="U3" s="11" t="s">
        <v>541</v>
      </c>
      <c r="W3" s="11" t="s">
        <v>493</v>
      </c>
      <c r="Y3" s="9" t="s">
        <v>335</v>
      </c>
      <c r="Z3" s="9" t="s">
        <v>340</v>
      </c>
      <c r="AB3" s="11" t="s">
        <v>410</v>
      </c>
      <c r="AC3" s="55" t="s">
        <v>996</v>
      </c>
      <c r="AE3" s="11" t="s">
        <v>431</v>
      </c>
      <c r="AI3" s="31" t="s">
        <v>246</v>
      </c>
      <c r="AJ3" s="30"/>
      <c r="AK3" s="31" t="s">
        <v>412</v>
      </c>
      <c r="AL3" s="30"/>
      <c r="AM3" s="31" t="s">
        <v>473</v>
      </c>
      <c r="AN3" s="30"/>
      <c r="AO3" s="59" t="s">
        <v>252</v>
      </c>
      <c r="AP3" s="31" t="s">
        <v>253</v>
      </c>
      <c r="AQ3" s="31" t="s">
        <v>245</v>
      </c>
      <c r="AR3" s="30"/>
      <c r="AS3" s="31" t="s">
        <v>244</v>
      </c>
      <c r="AT3" s="30"/>
      <c r="AU3" s="31" t="s">
        <v>253</v>
      </c>
      <c r="AV3" s="31" t="s">
        <v>245</v>
      </c>
      <c r="AW3" s="30"/>
      <c r="AX3" s="31" t="s">
        <v>244</v>
      </c>
      <c r="AY3" s="30"/>
      <c r="AZ3" s="31" t="s">
        <v>253</v>
      </c>
      <c r="BA3" s="31" t="s">
        <v>245</v>
      </c>
      <c r="BB3" s="30"/>
      <c r="BC3" s="31" t="s">
        <v>244</v>
      </c>
      <c r="BD3" s="30"/>
      <c r="BE3" s="31" t="s">
        <v>253</v>
      </c>
      <c r="BF3" s="31" t="s">
        <v>245</v>
      </c>
      <c r="BG3" s="30"/>
      <c r="BH3" s="31" t="s">
        <v>244</v>
      </c>
      <c r="BI3" s="30"/>
      <c r="BJ3" s="31" t="s">
        <v>253</v>
      </c>
      <c r="BK3" s="31" t="s">
        <v>245</v>
      </c>
      <c r="BL3" s="30"/>
      <c r="BM3" s="31" t="s">
        <v>244</v>
      </c>
      <c r="BN3" s="30"/>
    </row>
    <row r="4" spans="1:66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5" t="s">
        <v>353</v>
      </c>
      <c r="H4" s="27" t="s">
        <v>542</v>
      </c>
      <c r="I4" s="27" t="s">
        <v>239</v>
      </c>
      <c r="J4" s="75" t="s">
        <v>352</v>
      </c>
      <c r="K4" s="27" t="s">
        <v>240</v>
      </c>
      <c r="L4" s="27" t="s">
        <v>979</v>
      </c>
      <c r="M4" s="27" t="s">
        <v>342</v>
      </c>
      <c r="N4" s="27" t="s">
        <v>354</v>
      </c>
      <c r="O4" s="27" t="s">
        <v>238</v>
      </c>
      <c r="P4" s="188" t="s">
        <v>323</v>
      </c>
      <c r="Q4" s="9" t="s">
        <v>471</v>
      </c>
      <c r="R4" s="75" t="s">
        <v>539</v>
      </c>
      <c r="S4" s="82" t="s">
        <v>522</v>
      </c>
      <c r="T4" s="27" t="s">
        <v>520</v>
      </c>
      <c r="U4" s="85" t="s">
        <v>549</v>
      </c>
      <c r="V4" s="82" t="s">
        <v>521</v>
      </c>
      <c r="W4" s="85" t="s">
        <v>519</v>
      </c>
      <c r="X4" s="75" t="s">
        <v>538</v>
      </c>
      <c r="Y4" s="27" t="s">
        <v>334</v>
      </c>
      <c r="Z4" s="27" t="s">
        <v>339</v>
      </c>
      <c r="AA4" s="75" t="s">
        <v>409</v>
      </c>
      <c r="AB4" s="85" t="s">
        <v>569</v>
      </c>
      <c r="AC4" s="86" t="s">
        <v>994</v>
      </c>
      <c r="AD4" s="75" t="s">
        <v>540</v>
      </c>
      <c r="AE4" s="85" t="s">
        <v>654</v>
      </c>
      <c r="AF4" s="87" t="s">
        <v>993</v>
      </c>
      <c r="AG4" s="177" t="s">
        <v>568</v>
      </c>
      <c r="AH4" s="75" t="s">
        <v>171</v>
      </c>
      <c r="AI4" s="64" t="s">
        <v>318</v>
      </c>
      <c r="AJ4" s="63" t="s">
        <v>991</v>
      </c>
      <c r="AK4" s="64" t="s">
        <v>411</v>
      </c>
      <c r="AL4" s="63" t="s">
        <v>990</v>
      </c>
      <c r="AM4" s="64" t="s">
        <v>418</v>
      </c>
      <c r="AN4" s="63" t="s">
        <v>992</v>
      </c>
      <c r="AO4" s="60"/>
      <c r="AP4" s="24" t="s">
        <v>252</v>
      </c>
      <c r="AQ4" s="24" t="s">
        <v>237</v>
      </c>
      <c r="AR4" s="23" t="s">
        <v>236</v>
      </c>
      <c r="AS4" s="25" t="s">
        <v>310</v>
      </c>
      <c r="AT4" s="26" t="s">
        <v>351</v>
      </c>
      <c r="AU4" s="24" t="s">
        <v>252</v>
      </c>
      <c r="AV4" s="24" t="s">
        <v>237</v>
      </c>
      <c r="AW4" s="23" t="s">
        <v>236</v>
      </c>
      <c r="AX4" s="25" t="s">
        <v>310</v>
      </c>
      <c r="AY4" s="26" t="s">
        <v>351</v>
      </c>
      <c r="AZ4" s="24" t="s">
        <v>252</v>
      </c>
      <c r="BA4" s="24" t="s">
        <v>237</v>
      </c>
      <c r="BB4" s="23" t="s">
        <v>236</v>
      </c>
      <c r="BC4" s="25" t="s">
        <v>310</v>
      </c>
      <c r="BD4" s="26" t="s">
        <v>351</v>
      </c>
      <c r="BE4" s="24" t="s">
        <v>252</v>
      </c>
      <c r="BF4" s="24" t="s">
        <v>237</v>
      </c>
      <c r="BG4" s="23" t="s">
        <v>236</v>
      </c>
      <c r="BH4" s="25" t="s">
        <v>310</v>
      </c>
      <c r="BI4" s="26" t="s">
        <v>351</v>
      </c>
      <c r="BJ4" s="24" t="s">
        <v>252</v>
      </c>
      <c r="BK4" s="24" t="s">
        <v>237</v>
      </c>
      <c r="BL4" s="23" t="s">
        <v>236</v>
      </c>
      <c r="BM4" s="25" t="s">
        <v>310</v>
      </c>
      <c r="BN4" s="26" t="s">
        <v>351</v>
      </c>
    </row>
    <row r="5" spans="1:66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76"/>
      <c r="H5" s="16">
        <v>1</v>
      </c>
      <c r="I5" s="16">
        <v>1</v>
      </c>
      <c r="J5" s="76"/>
      <c r="K5" s="16" t="s">
        <v>1320</v>
      </c>
      <c r="L5" s="16">
        <v>3</v>
      </c>
      <c r="M5" s="16">
        <v>1</v>
      </c>
      <c r="N5" s="16">
        <v>15</v>
      </c>
      <c r="O5" s="16" t="s">
        <v>1065</v>
      </c>
      <c r="P5" s="56" t="s">
        <v>1328</v>
      </c>
      <c r="Q5" s="16" t="s">
        <v>666</v>
      </c>
      <c r="R5" s="76"/>
      <c r="S5" s="83"/>
      <c r="T5" s="16">
        <f ca="1">IFERROR(OFFSET(ITEM_RES!$A$5,MATCH(BUILDING!S5,ITEM_RES!$J$5:$J$229,0)-1,0),0)</f>
        <v>0</v>
      </c>
      <c r="U5" s="18"/>
      <c r="V5" s="83" t="s">
        <v>523</v>
      </c>
      <c r="W5" s="18">
        <f ca="1">IFERROR(OFFSET(ITEM_RES!$A$5,MATCH(BUILDING!V5,ITEM_RES!$J$5:$J$229,0)-1,0),0)</f>
        <v>211010101</v>
      </c>
      <c r="X5" s="76"/>
      <c r="Y5" s="16" t="s">
        <v>494</v>
      </c>
      <c r="Z5" s="16">
        <v>1</v>
      </c>
      <c r="AA5" s="76"/>
      <c r="AB5" s="18">
        <f ca="1">IFERROR(OFFSET(MANOR_LEVEL!$B$1,MATCH(AC5-1,MANOR_LEVEL!$A:$A,0)-1,0),0)</f>
        <v>2300</v>
      </c>
      <c r="AC5" s="56">
        <v>3</v>
      </c>
      <c r="AD5" s="76"/>
      <c r="AE5" s="18">
        <f t="shared" ref="AE5:AE24" ca="1" si="3">ROUND(AF5,0)</f>
        <v>1025</v>
      </c>
      <c r="AF5" s="174">
        <f ca="1">AK5+AM5+(IFERROR(OFFSET(ITEM_RES!$R$1,MATCH(AQ5,ITEM_RES!$A:$A,0)-1,0),0)*AS5+IFERROR(OFFSET(ITEM_RES!$R$1,MATCH(AV5,ITEM_RES!$A:$A,0)-1,0),0)*AX5+IFERROR(OFFSET(ITEM_RES!$R$1,MATCH(BA5,ITEM_RES!$A:$A,0)-1,0),0)*BC5+IFERROR(OFFSET(ITEM_RES!$R$1,MATCH(BF5,ITEM_RES!$A:$A,0)-1,0),0)*BH5+IFERROR(OFFSET(ITEM_RES!$R$1,MATCH(BK5,ITEM_RES!$A:$A,0)-1,0),0)*BM5)/1000</f>
        <v>1025</v>
      </c>
      <c r="AG5" s="178">
        <f ca="1">AE5</f>
        <v>1025</v>
      </c>
      <c r="AH5" s="76"/>
      <c r="AI5" s="18">
        <f t="shared" ref="AI5:AI68" si="4">ROUND(AJ5,0)</f>
        <v>2</v>
      </c>
      <c r="AJ5" s="17">
        <v>2</v>
      </c>
      <c r="AK5" s="18">
        <f>ROUND(AL5,0)</f>
        <v>0</v>
      </c>
      <c r="AL5" s="17">
        <v>0</v>
      </c>
      <c r="AM5" s="18">
        <f>ROUND(AN5,0)</f>
        <v>0</v>
      </c>
      <c r="AN5" s="17">
        <v>0</v>
      </c>
      <c r="AO5" s="56">
        <f>(AS5&gt;0)*1+(AX5&gt;0)*1+(BC5&gt;0)*1+(BH5&gt;0)*1+(BM5&gt;0)*1</f>
        <v>2</v>
      </c>
      <c r="AP5" s="18"/>
      <c r="AQ5" s="18">
        <f ca="1">IFERROR(OFFSET(ITEM_RES!$A$1,MATCH(AR5,ITEM_RES!$J:$J,0)-1,0),0)</f>
        <v>211010501</v>
      </c>
      <c r="AR5" s="17" t="s">
        <v>419</v>
      </c>
      <c r="AS5" s="18">
        <v>25</v>
      </c>
      <c r="AT5" s="17"/>
      <c r="AU5" s="18"/>
      <c r="AV5" s="18">
        <f ca="1">IFERROR(OFFSET(ITEM_RES!$A$1,MATCH(AW5,ITEM_RES!$J:$J,0)-1,0),0)</f>
        <v>0</v>
      </c>
      <c r="AW5" s="17"/>
      <c r="AX5" s="18"/>
      <c r="AY5" s="17"/>
      <c r="AZ5" s="18"/>
      <c r="BA5" s="18">
        <f ca="1">IFERROR(OFFSET(ITEM_RES!$A$1,MATCH(BB5,ITEM_RES!$J:$J,0)-1,0),0)</f>
        <v>213010101</v>
      </c>
      <c r="BB5" s="17" t="s">
        <v>440</v>
      </c>
      <c r="BC5" s="18">
        <v>1</v>
      </c>
      <c r="BD5" s="17"/>
      <c r="BE5" s="18"/>
      <c r="BF5" s="18">
        <f ca="1">IFERROR(OFFSET(ITEM_RES!$A$1,MATCH(BG5,ITEM_RES!$J:$J,0)-1,0),0)</f>
        <v>0</v>
      </c>
      <c r="BG5" s="17"/>
      <c r="BH5" s="18"/>
      <c r="BI5" s="17"/>
      <c r="BJ5" s="18"/>
      <c r="BK5" s="18">
        <f ca="1">IFERROR(OFFSET(ITEM_RES!$A$1,MATCH(BL5,ITEM_RES!$J:$J,0)-1,0),0)</f>
        <v>0</v>
      </c>
      <c r="BL5" s="17"/>
      <c r="BM5" s="18">
        <f t="shared" ref="BM5:BM88" si="5">IF(BN5&lt;100,ROUND(BN5,1-LEN(ROUND(BN5,0))),ROUND(BN5,2-LEN(ROUND(BN5,0))))</f>
        <v>0</v>
      </c>
      <c r="BN5" s="17"/>
    </row>
    <row r="6" spans="1:66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1320</v>
      </c>
      <c r="M6" s="9">
        <v>1</v>
      </c>
      <c r="N6" s="9">
        <v>15</v>
      </c>
      <c r="O6" s="9" t="s">
        <v>1065</v>
      </c>
      <c r="P6" s="55" t="s">
        <v>1328</v>
      </c>
      <c r="Q6" s="9" t="s">
        <v>661</v>
      </c>
      <c r="T6" s="9">
        <f ca="1">IFERROR(OFFSET(ITEM_RES!$A$5,MATCH(BUILDING!S6,ITEM_RES!$J$5:$J$229,0)-1,0),0)</f>
        <v>0</v>
      </c>
      <c r="V6" s="81" t="s">
        <v>523</v>
      </c>
      <c r="W6" s="11">
        <f ca="1">IFERROR(OFFSET(ITEM_RES!$A$5,MATCH(BUILDING!V6,ITEM_RES!$J$5:$J$229,0)-1,0),0)</f>
        <v>211010101</v>
      </c>
      <c r="Y6" s="9" t="s">
        <v>494</v>
      </c>
      <c r="Z6" s="9">
        <v>2</v>
      </c>
      <c r="AB6" s="11">
        <f ca="1">IFERROR(OFFSET(MANOR_LEVEL!$B$1,MATCH(AC6-1,MANOR_LEVEL!$A:$A,0)-1,0),0)</f>
        <v>2300</v>
      </c>
      <c r="AC6" s="55">
        <v>3</v>
      </c>
      <c r="AE6" s="11">
        <f t="shared" ca="1" si="3"/>
        <v>50</v>
      </c>
      <c r="AF6" s="10">
        <f ca="1">AK6+AM6+(IFERROR(OFFSET(ITEM_RES!$R$1,MATCH(AQ6,ITEM_RES!$A:$A,0)-1,0),0)*AS6+IFERROR(OFFSET(ITEM_RES!$R$1,MATCH(AV6,ITEM_RES!$A:$A,0)-1,0),0)*AX6+IFERROR(OFFSET(ITEM_RES!$R$1,MATCH(BA6,ITEM_RES!$A:$A,0)-1,0),0)*BC6+IFERROR(OFFSET(ITEM_RES!$R$1,MATCH(BF6,ITEM_RES!$A:$A,0)-1,0),0)*BH6+IFERROR(OFFSET(ITEM_RES!$R$1,MATCH(BK6,ITEM_RES!$A:$A,0)-1,0),0)*BM6)/1000</f>
        <v>50</v>
      </c>
      <c r="AG6" s="176">
        <f ca="1">AG5+AE6</f>
        <v>1075</v>
      </c>
      <c r="AI6" s="11">
        <f t="shared" si="4"/>
        <v>2</v>
      </c>
      <c r="AJ6" s="10">
        <v>2</v>
      </c>
      <c r="AK6" s="11">
        <f t="shared" ref="AK6:AK89" si="6">ROUND(AL6,0)</f>
        <v>0</v>
      </c>
      <c r="AL6" s="10">
        <v>0</v>
      </c>
      <c r="AM6" s="11">
        <f t="shared" ref="AM6:AM69" si="7">ROUND(AN6,0)</f>
        <v>0</v>
      </c>
      <c r="AN6" s="10">
        <v>0</v>
      </c>
      <c r="AO6" s="55">
        <f t="shared" ref="AO6:AO69" si="8">(AS6&gt;0)*1+(AX6&gt;0)*1+(BC6&gt;0)*1+(BH6&gt;0)*1+(BM6&gt;0)*1</f>
        <v>1</v>
      </c>
      <c r="AQ6" s="11">
        <f ca="1">IFERROR(OFFSET(ITEM_RES!$A$1,MATCH(AR6,ITEM_RES!$J:$J,0)-1,0),0)</f>
        <v>211010501</v>
      </c>
      <c r="AR6" s="10" t="s">
        <v>419</v>
      </c>
      <c r="AS6" s="11">
        <v>50</v>
      </c>
      <c r="AV6" s="11">
        <f ca="1">IFERROR(OFFSET(ITEM_RES!$A$1,MATCH(AW6,ITEM_RES!$J:$J,0)-1,0),0)</f>
        <v>0</v>
      </c>
      <c r="BA6" s="11">
        <f ca="1">IFERROR(OFFSET(ITEM_RES!$A$1,MATCH(BB6,ITEM_RES!$J:$J,0)-1,0),0)</f>
        <v>0</v>
      </c>
      <c r="BF6" s="11">
        <f ca="1">IFERROR(OFFSET(ITEM_RES!$A$1,MATCH(BG6,ITEM_RES!$J:$J,0)-1,0),0)</f>
        <v>0</v>
      </c>
      <c r="BK6" s="11">
        <f ca="1">IFERROR(OFFSET(ITEM_RES!$A$1,MATCH(BL6,ITEM_RES!$J:$J,0)-1,0),0)</f>
        <v>0</v>
      </c>
      <c r="BM6" s="11">
        <f t="shared" si="5"/>
        <v>0</v>
      </c>
    </row>
    <row r="7" spans="1:66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1320</v>
      </c>
      <c r="M7" s="9">
        <v>1</v>
      </c>
      <c r="N7" s="9">
        <v>15</v>
      </c>
      <c r="O7" s="9" t="s">
        <v>1066</v>
      </c>
      <c r="P7" s="55" t="s">
        <v>1329</v>
      </c>
      <c r="Q7" s="9" t="s">
        <v>661</v>
      </c>
      <c r="T7" s="9">
        <f ca="1">IFERROR(OFFSET(ITEM_RES!$A$5,MATCH(BUILDING!S7,ITEM_RES!$J$5:$J$229,0)-1,0),0)</f>
        <v>0</v>
      </c>
      <c r="V7" s="81" t="s">
        <v>523</v>
      </c>
      <c r="W7" s="11">
        <f ca="1">IFERROR(OFFSET(ITEM_RES!$A$5,MATCH(BUILDING!V7,ITEM_RES!$J$5:$J$229,0)-1,0),0)</f>
        <v>211010101</v>
      </c>
      <c r="Y7" s="9" t="s">
        <v>494</v>
      </c>
      <c r="Z7" s="9">
        <v>3</v>
      </c>
      <c r="AB7" s="11">
        <f ca="1">IFERROR(OFFSET(MANOR_LEVEL!$B$1,MATCH(AC7-1,MANOR_LEVEL!$A:$A,0)-1,0),0)</f>
        <v>2300</v>
      </c>
      <c r="AC7" s="55">
        <v>3</v>
      </c>
      <c r="AE7" s="11">
        <f t="shared" ca="1" si="3"/>
        <v>75</v>
      </c>
      <c r="AF7" s="175">
        <f ca="1">AK7+AM7+(IFERROR(OFFSET(ITEM_RES!$R$1,MATCH(AQ7,ITEM_RES!$A:$A,0)-1,0),0)*AS7+IFERROR(OFFSET(ITEM_RES!$R$1,MATCH(AV7,ITEM_RES!$A:$A,0)-1,0),0)*AX7+IFERROR(OFFSET(ITEM_RES!$R$1,MATCH(BA7,ITEM_RES!$A:$A,0)-1,0),0)*BC7+IFERROR(OFFSET(ITEM_RES!$R$1,MATCH(BF7,ITEM_RES!$A:$A,0)-1,0),0)*BH7+IFERROR(OFFSET(ITEM_RES!$R$1,MATCH(BK7,ITEM_RES!$A:$A,0)-1,0),0)*BM7)/1000</f>
        <v>75</v>
      </c>
      <c r="AG7" s="176">
        <f t="shared" ref="AG7:AG24" ca="1" si="9">AG6+AE7</f>
        <v>1150</v>
      </c>
      <c r="AI7" s="11">
        <f t="shared" si="4"/>
        <v>3</v>
      </c>
      <c r="AJ7" s="10">
        <v>3</v>
      </c>
      <c r="AK7" s="11">
        <f t="shared" si="6"/>
        <v>0</v>
      </c>
      <c r="AL7" s="10">
        <v>0</v>
      </c>
      <c r="AM7" s="11">
        <f t="shared" si="7"/>
        <v>0</v>
      </c>
      <c r="AN7" s="10">
        <v>0</v>
      </c>
      <c r="AO7" s="55">
        <f t="shared" si="8"/>
        <v>1</v>
      </c>
      <c r="AQ7" s="11">
        <f ca="1">IFERROR(OFFSET(ITEM_RES!$A$1,MATCH(AR7,ITEM_RES!$J:$J,0)-1,0),0)</f>
        <v>211010501</v>
      </c>
      <c r="AR7" s="10" t="s">
        <v>419</v>
      </c>
      <c r="AS7" s="11">
        <v>75</v>
      </c>
      <c r="AV7" s="11">
        <f ca="1">IFERROR(OFFSET(ITEM_RES!$A$1,MATCH(AW7,ITEM_RES!$J:$J,0)-1,0),0)</f>
        <v>0</v>
      </c>
      <c r="BA7" s="11">
        <f ca="1">IFERROR(OFFSET(ITEM_RES!$A$1,MATCH(BB7,ITEM_RES!$J:$J,0)-1,0),0)</f>
        <v>0</v>
      </c>
      <c r="BF7" s="11">
        <f ca="1">IFERROR(OFFSET(ITEM_RES!$A$1,MATCH(BG7,ITEM_RES!$J:$J,0)-1,0),0)</f>
        <v>0</v>
      </c>
      <c r="BK7" s="11">
        <f ca="1">IFERROR(OFFSET(ITEM_RES!$A$1,MATCH(BL7,ITEM_RES!$J:$J,0)-1,0),0)</f>
        <v>0</v>
      </c>
      <c r="BM7" s="11">
        <f t="shared" si="5"/>
        <v>0</v>
      </c>
    </row>
    <row r="8" spans="1:66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1320</v>
      </c>
      <c r="M8" s="9">
        <v>1</v>
      </c>
      <c r="N8" s="9">
        <v>15</v>
      </c>
      <c r="O8" s="9" t="s">
        <v>1067</v>
      </c>
      <c r="P8" s="55" t="s">
        <v>1329</v>
      </c>
      <c r="Q8" s="9" t="s">
        <v>662</v>
      </c>
      <c r="T8" s="9">
        <f ca="1">IFERROR(OFFSET(ITEM_RES!$A$5,MATCH(BUILDING!S8,ITEM_RES!$J$5:$J$229,0)-1,0),0)</f>
        <v>0</v>
      </c>
      <c r="V8" s="81" t="s">
        <v>523</v>
      </c>
      <c r="W8" s="11">
        <f ca="1">IFERROR(OFFSET(ITEM_RES!$A$5,MATCH(BUILDING!V8,ITEM_RES!$J$5:$J$229,0)-1,0),0)</f>
        <v>211010101</v>
      </c>
      <c r="Y8" s="9" t="s">
        <v>494</v>
      </c>
      <c r="Z8" s="9">
        <v>4</v>
      </c>
      <c r="AB8" s="11">
        <f ca="1">IFERROR(OFFSET(MANOR_LEVEL!$B$1,MATCH(AC8-1,MANOR_LEVEL!$A:$A,0)-1,0),0)</f>
        <v>2300</v>
      </c>
      <c r="AC8" s="55">
        <v>3</v>
      </c>
      <c r="AE8" s="11">
        <f t="shared" ca="1" si="3"/>
        <v>300</v>
      </c>
      <c r="AF8" s="10">
        <f ca="1">AK8+AM8+(IFERROR(OFFSET(ITEM_RES!$R$1,MATCH(AQ8,ITEM_RES!$A:$A,0)-1,0),0)*AS8+IFERROR(OFFSET(ITEM_RES!$R$1,MATCH(AV8,ITEM_RES!$A:$A,0)-1,0),0)*AX8+IFERROR(OFFSET(ITEM_RES!$R$1,MATCH(BA8,ITEM_RES!$A:$A,0)-1,0),0)*BC8+IFERROR(OFFSET(ITEM_RES!$R$1,MATCH(BF8,ITEM_RES!$A:$A,0)-1,0),0)*BH8+IFERROR(OFFSET(ITEM_RES!$R$1,MATCH(BK8,ITEM_RES!$A:$A,0)-1,0),0)*BM8)/1000</f>
        <v>300</v>
      </c>
      <c r="AG8" s="176">
        <f t="shared" ca="1" si="9"/>
        <v>1450</v>
      </c>
      <c r="AI8" s="11">
        <f t="shared" si="4"/>
        <v>5</v>
      </c>
      <c r="AJ8" s="10">
        <v>5</v>
      </c>
      <c r="AK8" s="11">
        <f t="shared" si="6"/>
        <v>0</v>
      </c>
      <c r="AL8" s="10">
        <v>0</v>
      </c>
      <c r="AM8" s="11">
        <f t="shared" si="7"/>
        <v>0</v>
      </c>
      <c r="AN8" s="10">
        <v>0</v>
      </c>
      <c r="AO8" s="55">
        <f t="shared" si="8"/>
        <v>1</v>
      </c>
      <c r="AQ8" s="11">
        <f ca="1">IFERROR(OFFSET(ITEM_RES!$A$1,MATCH(AR8,ITEM_RES!$J:$J,0)-1,0),0)</f>
        <v>211010501</v>
      </c>
      <c r="AR8" s="10" t="s">
        <v>419</v>
      </c>
      <c r="AS8" s="11">
        <v>300</v>
      </c>
      <c r="AV8" s="11">
        <f ca="1">IFERROR(OFFSET(ITEM_RES!$A$1,MATCH(AW8,ITEM_RES!$J:$J,0)-1,0),0)</f>
        <v>0</v>
      </c>
      <c r="BA8" s="11">
        <f ca="1">IFERROR(OFFSET(ITEM_RES!$A$1,MATCH(BB8,ITEM_RES!$J:$J,0)-1,0),0)</f>
        <v>0</v>
      </c>
      <c r="BF8" s="11">
        <f ca="1">IFERROR(OFFSET(ITEM_RES!$A$1,MATCH(BG8,ITEM_RES!$J:$J,0)-1,0),0)</f>
        <v>0</v>
      </c>
      <c r="BK8" s="11">
        <f ca="1">IFERROR(OFFSET(ITEM_RES!$A$1,MATCH(BL8,ITEM_RES!$J:$J,0)-1,0),0)</f>
        <v>0</v>
      </c>
      <c r="BM8" s="11">
        <f t="shared" si="5"/>
        <v>0</v>
      </c>
    </row>
    <row r="9" spans="1:66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1320</v>
      </c>
      <c r="M9" s="9">
        <v>1</v>
      </c>
      <c r="N9" s="9">
        <v>15</v>
      </c>
      <c r="O9" s="9" t="s">
        <v>1068</v>
      </c>
      <c r="P9" s="55" t="s">
        <v>1330</v>
      </c>
      <c r="Q9" s="9" t="s">
        <v>662</v>
      </c>
      <c r="T9" s="9">
        <f ca="1">IFERROR(OFFSET(ITEM_RES!$A$5,MATCH(BUILDING!S9,ITEM_RES!$J$5:$J$229,0)-1,0),0)</f>
        <v>0</v>
      </c>
      <c r="V9" s="81" t="s">
        <v>523</v>
      </c>
      <c r="W9" s="11">
        <f ca="1">IFERROR(OFFSET(ITEM_RES!$A$5,MATCH(BUILDING!V9,ITEM_RES!$J$5:$J$229,0)-1,0),0)</f>
        <v>211010101</v>
      </c>
      <c r="Y9" s="9" t="s">
        <v>494</v>
      </c>
      <c r="Z9" s="9">
        <v>5</v>
      </c>
      <c r="AB9" s="11">
        <f ca="1">IFERROR(OFFSET(MANOR_LEVEL!$B$1,MATCH(AC9-1,MANOR_LEVEL!$A:$A,0)-1,0),0)</f>
        <v>7000</v>
      </c>
      <c r="AC9" s="55">
        <v>4</v>
      </c>
      <c r="AE9" s="11">
        <f t="shared" ca="1" si="3"/>
        <v>1350</v>
      </c>
      <c r="AF9" s="10">
        <f ca="1">AK9+AM9+(IFERROR(OFFSET(ITEM_RES!$R$1,MATCH(AQ9,ITEM_RES!$A:$A,0)-1,0),0)*AS9+IFERROR(OFFSET(ITEM_RES!$R$1,MATCH(AV9,ITEM_RES!$A:$A,0)-1,0),0)*AX9+IFERROR(OFFSET(ITEM_RES!$R$1,MATCH(BA9,ITEM_RES!$A:$A,0)-1,0),0)*BC9+IFERROR(OFFSET(ITEM_RES!$R$1,MATCH(BF9,ITEM_RES!$A:$A,0)-1,0),0)*BH9+IFERROR(OFFSET(ITEM_RES!$R$1,MATCH(BK9,ITEM_RES!$A:$A,0)-1,0),0)*BM9)/1000</f>
        <v>1350</v>
      </c>
      <c r="AG9" s="176">
        <f t="shared" ca="1" si="9"/>
        <v>2800</v>
      </c>
      <c r="AI9" s="11">
        <f t="shared" si="4"/>
        <v>8</v>
      </c>
      <c r="AJ9" s="10">
        <v>8</v>
      </c>
      <c r="AK9" s="11">
        <f t="shared" si="6"/>
        <v>0</v>
      </c>
      <c r="AL9" s="10">
        <v>0</v>
      </c>
      <c r="AM9" s="11">
        <f t="shared" si="7"/>
        <v>0</v>
      </c>
      <c r="AN9" s="10">
        <v>0</v>
      </c>
      <c r="AO9" s="55">
        <f t="shared" si="8"/>
        <v>1</v>
      </c>
      <c r="AQ9" s="11">
        <f ca="1">IFERROR(OFFSET(ITEM_RES!$A$1,MATCH(AR9,ITEM_RES!$J:$J,0)-1,0),0)</f>
        <v>211010501</v>
      </c>
      <c r="AR9" s="10" t="s">
        <v>419</v>
      </c>
      <c r="AS9" s="11">
        <v>1350</v>
      </c>
      <c r="AV9" s="11">
        <f ca="1">IFERROR(OFFSET(ITEM_RES!$A$1,MATCH(AW9,ITEM_RES!$J:$J,0)-1,0),0)</f>
        <v>0</v>
      </c>
      <c r="BA9" s="11">
        <f ca="1">IFERROR(OFFSET(ITEM_RES!$A$1,MATCH(BB9,ITEM_RES!$J:$J,0)-1,0),0)</f>
        <v>0</v>
      </c>
      <c r="BF9" s="11">
        <f ca="1">IFERROR(OFFSET(ITEM_RES!$A$1,MATCH(BG9,ITEM_RES!$J:$J,0)-1,0),0)</f>
        <v>0</v>
      </c>
      <c r="BK9" s="11">
        <f ca="1">IFERROR(OFFSET(ITEM_RES!$A$1,MATCH(BL9,ITEM_RES!$J:$J,0)-1,0),0)</f>
        <v>0</v>
      </c>
      <c r="BM9" s="11">
        <f t="shared" si="5"/>
        <v>0</v>
      </c>
    </row>
    <row r="10" spans="1:66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1320</v>
      </c>
      <c r="M10" s="9">
        <v>1</v>
      </c>
      <c r="N10" s="9">
        <v>15</v>
      </c>
      <c r="O10" s="9" t="s">
        <v>1070</v>
      </c>
      <c r="P10" s="55" t="s">
        <v>1330</v>
      </c>
      <c r="Q10" s="9" t="s">
        <v>662</v>
      </c>
      <c r="T10" s="9">
        <f ca="1">IFERROR(OFFSET(ITEM_RES!$A$5,MATCH(BUILDING!S10,ITEM_RES!$J$5:$J$229,0)-1,0),0)</f>
        <v>0</v>
      </c>
      <c r="V10" s="81" t="s">
        <v>523</v>
      </c>
      <c r="W10" s="11">
        <f ca="1">IFERROR(OFFSET(ITEM_RES!$A$5,MATCH(BUILDING!V10,ITEM_RES!$J$5:$J$229,0)-1,0),0)</f>
        <v>211010101</v>
      </c>
      <c r="Y10" s="9" t="s">
        <v>494</v>
      </c>
      <c r="Z10" s="9">
        <v>6</v>
      </c>
      <c r="AB10" s="11">
        <f ca="1">IFERROR(OFFSET(MANOR_LEVEL!$B$1,MATCH(AC10-1,MANOR_LEVEL!$A:$A,0)-1,0),0)</f>
        <v>7000</v>
      </c>
      <c r="AC10" s="55">
        <v>4</v>
      </c>
      <c r="AE10" s="11">
        <f t="shared" ca="1" si="3"/>
        <v>4501</v>
      </c>
      <c r="AF10" s="10">
        <f ca="1">AK10+AM10+(IFERROR(OFFSET(ITEM_RES!$R$1,MATCH(AQ10,ITEM_RES!$A:$A,0)-1,0),0)*AS10+IFERROR(OFFSET(ITEM_RES!$R$1,MATCH(AV10,ITEM_RES!$A:$A,0)-1,0),0)*AX10+IFERROR(OFFSET(ITEM_RES!$R$1,MATCH(BA10,ITEM_RES!$A:$A,0)-1,0),0)*BC10+IFERROR(OFFSET(ITEM_RES!$R$1,MATCH(BF10,ITEM_RES!$A:$A,0)-1,0),0)*BH10+IFERROR(OFFSET(ITEM_RES!$R$1,MATCH(BK10,ITEM_RES!$A:$A,0)-1,0),0)*BM10)/1000</f>
        <v>4500.5</v>
      </c>
      <c r="AG10" s="176">
        <f t="shared" ca="1" si="9"/>
        <v>7301</v>
      </c>
      <c r="AI10" s="11">
        <f t="shared" si="4"/>
        <v>10</v>
      </c>
      <c r="AJ10" s="10">
        <v>10</v>
      </c>
      <c r="AK10" s="11">
        <f t="shared" si="6"/>
        <v>0</v>
      </c>
      <c r="AL10" s="10">
        <v>0</v>
      </c>
      <c r="AM10" s="11">
        <f t="shared" si="7"/>
        <v>0</v>
      </c>
      <c r="AN10" s="10">
        <v>0</v>
      </c>
      <c r="AO10" s="55">
        <f t="shared" si="8"/>
        <v>2</v>
      </c>
      <c r="AQ10" s="11">
        <f ca="1">IFERROR(OFFSET(ITEM_RES!$A$1,MATCH(AR10,ITEM_RES!$J:$J,0)-1,0),0)</f>
        <v>211010501</v>
      </c>
      <c r="AR10" s="10" t="s">
        <v>419</v>
      </c>
      <c r="AS10" s="11">
        <v>4500</v>
      </c>
      <c r="AV10" s="11">
        <f ca="1">IFERROR(OFFSET(ITEM_RES!$A$1,MATCH(AW10,ITEM_RES!$J:$J,0)-1,0),0)</f>
        <v>211020101</v>
      </c>
      <c r="AW10" s="10" t="s">
        <v>436</v>
      </c>
      <c r="AX10" s="11">
        <v>1</v>
      </c>
      <c r="BA10" s="11">
        <f ca="1">IFERROR(OFFSET(ITEM_RES!$A$1,MATCH(BB10,ITEM_RES!$J:$J,0)-1,0),0)</f>
        <v>0</v>
      </c>
      <c r="BF10" s="11">
        <f ca="1">IFERROR(OFFSET(ITEM_RES!$A$1,MATCH(BG10,ITEM_RES!$J:$J,0)-1,0),0)</f>
        <v>0</v>
      </c>
      <c r="BK10" s="11">
        <f ca="1">IFERROR(OFFSET(ITEM_RES!$A$1,MATCH(BL10,ITEM_RES!$J:$J,0)-1,0),0)</f>
        <v>0</v>
      </c>
      <c r="BM10" s="11">
        <f t="shared" si="5"/>
        <v>0</v>
      </c>
    </row>
    <row r="11" spans="1:66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1320</v>
      </c>
      <c r="M11" s="9">
        <v>1</v>
      </c>
      <c r="N11" s="9">
        <v>15</v>
      </c>
      <c r="O11" s="9" t="s">
        <v>1069</v>
      </c>
      <c r="P11" s="55" t="s">
        <v>1331</v>
      </c>
      <c r="Q11" s="9" t="s">
        <v>662</v>
      </c>
      <c r="T11" s="9">
        <f ca="1">IFERROR(OFFSET(ITEM_RES!$A$5,MATCH(BUILDING!S11,ITEM_RES!$J$5:$J$229,0)-1,0),0)</f>
        <v>0</v>
      </c>
      <c r="V11" s="81" t="s">
        <v>523</v>
      </c>
      <c r="W11" s="11">
        <f ca="1">IFERROR(OFFSET(ITEM_RES!$A$5,MATCH(BUILDING!V11,ITEM_RES!$J$5:$J$229,0)-1,0),0)</f>
        <v>211010101</v>
      </c>
      <c r="Y11" s="9" t="s">
        <v>494</v>
      </c>
      <c r="Z11" s="9">
        <v>7</v>
      </c>
      <c r="AB11" s="11">
        <f ca="1">IFERROR(OFFSET(MANOR_LEVEL!$B$1,MATCH(AC11-1,MANOR_LEVEL!$A:$A,0)-1,0),0)</f>
        <v>7000</v>
      </c>
      <c r="AC11" s="55">
        <v>4</v>
      </c>
      <c r="AE11" s="11">
        <f t="shared" ca="1" si="3"/>
        <v>10005</v>
      </c>
      <c r="AF11" s="10">
        <f ca="1">AK11+AM11+(IFERROR(OFFSET(ITEM_RES!$R$1,MATCH(AQ11,ITEM_RES!$A:$A,0)-1,0),0)*AS11+IFERROR(OFFSET(ITEM_RES!$R$1,MATCH(AV11,ITEM_RES!$A:$A,0)-1,0),0)*AX11+IFERROR(OFFSET(ITEM_RES!$R$1,MATCH(BA11,ITEM_RES!$A:$A,0)-1,0),0)*BC11+IFERROR(OFFSET(ITEM_RES!$R$1,MATCH(BF11,ITEM_RES!$A:$A,0)-1,0),0)*BH11+IFERROR(OFFSET(ITEM_RES!$R$1,MATCH(BK11,ITEM_RES!$A:$A,0)-1,0),0)*BM11)/1000</f>
        <v>10005</v>
      </c>
      <c r="AG11" s="176">
        <f t="shared" ca="1" si="9"/>
        <v>17306</v>
      </c>
      <c r="AI11" s="11">
        <f t="shared" si="4"/>
        <v>15</v>
      </c>
      <c r="AJ11" s="10">
        <v>15</v>
      </c>
      <c r="AK11" s="11">
        <f t="shared" si="6"/>
        <v>0</v>
      </c>
      <c r="AL11" s="10">
        <v>0</v>
      </c>
      <c r="AM11" s="11">
        <f t="shared" si="7"/>
        <v>0</v>
      </c>
      <c r="AN11" s="10">
        <v>0</v>
      </c>
      <c r="AO11" s="55">
        <f t="shared" si="8"/>
        <v>2</v>
      </c>
      <c r="AQ11" s="11">
        <f ca="1">IFERROR(OFFSET(ITEM_RES!$A$1,MATCH(AR11,ITEM_RES!$J:$J,0)-1,0),0)</f>
        <v>211010501</v>
      </c>
      <c r="AR11" s="10" t="s">
        <v>419</v>
      </c>
      <c r="AS11" s="11">
        <v>10000</v>
      </c>
      <c r="AV11" s="11">
        <f ca="1">IFERROR(OFFSET(ITEM_RES!$A$1,MATCH(AW11,ITEM_RES!$J:$J,0)-1,0),0)</f>
        <v>211020101</v>
      </c>
      <c r="AW11" s="10" t="s">
        <v>436</v>
      </c>
      <c r="AX11" s="11">
        <v>10</v>
      </c>
      <c r="BA11" s="11">
        <f ca="1">IFERROR(OFFSET(ITEM_RES!$A$1,MATCH(BB11,ITEM_RES!$J:$J,0)-1,0),0)</f>
        <v>0</v>
      </c>
      <c r="BF11" s="11">
        <f ca="1">IFERROR(OFFSET(ITEM_RES!$A$1,MATCH(BG11,ITEM_RES!$J:$J,0)-1,0),0)</f>
        <v>0</v>
      </c>
      <c r="BK11" s="11">
        <f ca="1">IFERROR(OFFSET(ITEM_RES!$A$1,MATCH(BL11,ITEM_RES!$J:$J,0)-1,0),0)</f>
        <v>0</v>
      </c>
      <c r="BM11" s="11">
        <f t="shared" si="5"/>
        <v>0</v>
      </c>
    </row>
    <row r="12" spans="1:66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1320</v>
      </c>
      <c r="M12" s="9">
        <v>1</v>
      </c>
      <c r="N12" s="9">
        <v>15</v>
      </c>
      <c r="O12" s="9" t="s">
        <v>1069</v>
      </c>
      <c r="P12" s="55" t="s">
        <v>1331</v>
      </c>
      <c r="Q12" s="9" t="s">
        <v>662</v>
      </c>
      <c r="T12" s="9">
        <f ca="1">IFERROR(OFFSET(ITEM_RES!$A$5,MATCH(BUILDING!S12,ITEM_RES!$J$5:$J$229,0)-1,0),0)</f>
        <v>0</v>
      </c>
      <c r="V12" s="81" t="s">
        <v>523</v>
      </c>
      <c r="W12" s="11">
        <f ca="1">IFERROR(OFFSET(ITEM_RES!$A$5,MATCH(BUILDING!V12,ITEM_RES!$J$5:$J$229,0)-1,0),0)</f>
        <v>211010101</v>
      </c>
      <c r="Y12" s="9" t="s">
        <v>494</v>
      </c>
      <c r="Z12" s="9">
        <v>8</v>
      </c>
      <c r="AB12" s="11">
        <f ca="1">IFERROR(OFFSET(MANOR_LEVEL!$B$1,MATCH(AC12-1,MANOR_LEVEL!$A:$A,0)-1,0),0)</f>
        <v>11000</v>
      </c>
      <c r="AC12" s="55">
        <v>5</v>
      </c>
      <c r="AE12" s="11">
        <f t="shared" ca="1" si="3"/>
        <v>21025</v>
      </c>
      <c r="AF12" s="10">
        <f ca="1">AK12+AM12+(IFERROR(OFFSET(ITEM_RES!$R$1,MATCH(AQ12,ITEM_RES!$A:$A,0)-1,0),0)*AS12+IFERROR(OFFSET(ITEM_RES!$R$1,MATCH(AV12,ITEM_RES!$A:$A,0)-1,0),0)*AX12+IFERROR(OFFSET(ITEM_RES!$R$1,MATCH(BA12,ITEM_RES!$A:$A,0)-1,0),0)*BC12+IFERROR(OFFSET(ITEM_RES!$R$1,MATCH(BF12,ITEM_RES!$A:$A,0)-1,0),0)*BH12+IFERROR(OFFSET(ITEM_RES!$R$1,MATCH(BK12,ITEM_RES!$A:$A,0)-1,0),0)*BM12)/1000</f>
        <v>21025</v>
      </c>
      <c r="AG12" s="176">
        <f t="shared" ca="1" si="9"/>
        <v>38331</v>
      </c>
      <c r="AI12" s="11">
        <f t="shared" si="4"/>
        <v>30</v>
      </c>
      <c r="AJ12" s="10">
        <v>30</v>
      </c>
      <c r="AK12" s="11">
        <f t="shared" si="6"/>
        <v>0</v>
      </c>
      <c r="AL12" s="10">
        <v>0</v>
      </c>
      <c r="AM12" s="11">
        <f t="shared" si="7"/>
        <v>0</v>
      </c>
      <c r="AN12" s="10">
        <v>0</v>
      </c>
      <c r="AO12" s="55">
        <f t="shared" si="8"/>
        <v>2</v>
      </c>
      <c r="AQ12" s="11">
        <f ca="1">IFERROR(OFFSET(ITEM_RES!$A$1,MATCH(AR12,ITEM_RES!$J:$J,0)-1,0),0)</f>
        <v>211010501</v>
      </c>
      <c r="AR12" s="10" t="s">
        <v>419</v>
      </c>
      <c r="AS12" s="11">
        <v>21000</v>
      </c>
      <c r="AV12" s="11">
        <f ca="1">IFERROR(OFFSET(ITEM_RES!$A$1,MATCH(AW12,ITEM_RES!$J:$J,0)-1,0),0)</f>
        <v>211020101</v>
      </c>
      <c r="AW12" s="10" t="s">
        <v>436</v>
      </c>
      <c r="AX12" s="11">
        <v>50</v>
      </c>
      <c r="BA12" s="11">
        <f ca="1">IFERROR(OFFSET(ITEM_RES!$A$1,MATCH(BB12,ITEM_RES!$J:$J,0)-1,0),0)</f>
        <v>0</v>
      </c>
      <c r="BF12" s="11">
        <f ca="1">IFERROR(OFFSET(ITEM_RES!$A$1,MATCH(BG12,ITEM_RES!$J:$J,0)-1,0),0)</f>
        <v>0</v>
      </c>
      <c r="BK12" s="11">
        <f ca="1">IFERROR(OFFSET(ITEM_RES!$A$1,MATCH(BL12,ITEM_RES!$J:$J,0)-1,0),0)</f>
        <v>0</v>
      </c>
      <c r="BM12" s="11">
        <f t="shared" si="5"/>
        <v>0</v>
      </c>
    </row>
    <row r="13" spans="1:66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1320</v>
      </c>
      <c r="M13" s="9">
        <v>1</v>
      </c>
      <c r="N13" s="9">
        <v>15</v>
      </c>
      <c r="O13" s="9" t="s">
        <v>1398</v>
      </c>
      <c r="P13" s="55" t="s">
        <v>1400</v>
      </c>
      <c r="Q13" s="9" t="s">
        <v>663</v>
      </c>
      <c r="T13" s="9">
        <f ca="1">IFERROR(OFFSET(ITEM_RES!$A$5,MATCH(BUILDING!S13,ITEM_RES!$J$5:$J$229,0)-1,0),0)</f>
        <v>0</v>
      </c>
      <c r="V13" s="81" t="s">
        <v>523</v>
      </c>
      <c r="W13" s="11">
        <f ca="1">IFERROR(OFFSET(ITEM_RES!$A$5,MATCH(BUILDING!V13,ITEM_RES!$J$5:$J$229,0)-1,0),0)</f>
        <v>211010101</v>
      </c>
      <c r="Y13" s="9" t="s">
        <v>494</v>
      </c>
      <c r="Z13" s="9">
        <v>9</v>
      </c>
      <c r="AB13" s="11">
        <f ca="1">IFERROR(OFFSET(MANOR_LEVEL!$B$1,MATCH(AC13-1,MANOR_LEVEL!$A:$A,0)-1,0),0)</f>
        <v>17000</v>
      </c>
      <c r="AC13" s="55">
        <v>6</v>
      </c>
      <c r="AE13" s="11">
        <f t="shared" ca="1" si="3"/>
        <v>39250</v>
      </c>
      <c r="AF13" s="10">
        <f ca="1">AK13+AM13+(IFERROR(OFFSET(ITEM_RES!$R$1,MATCH(AQ13,ITEM_RES!$A:$A,0)-1,0),0)*AS13+IFERROR(OFFSET(ITEM_RES!$R$1,MATCH(AV13,ITEM_RES!$A:$A,0)-1,0),0)*AX13+IFERROR(OFFSET(ITEM_RES!$R$1,MATCH(BA13,ITEM_RES!$A:$A,0)-1,0),0)*BC13+IFERROR(OFFSET(ITEM_RES!$R$1,MATCH(BF13,ITEM_RES!$A:$A,0)-1,0),0)*BH13+IFERROR(OFFSET(ITEM_RES!$R$1,MATCH(BK13,ITEM_RES!$A:$A,0)-1,0),0)*BM13)/1000</f>
        <v>39250</v>
      </c>
      <c r="AG13" s="176">
        <f t="shared" ca="1" si="9"/>
        <v>77581</v>
      </c>
      <c r="AI13" s="11">
        <f t="shared" si="4"/>
        <v>60</v>
      </c>
      <c r="AJ13" s="10">
        <v>60</v>
      </c>
      <c r="AK13" s="11">
        <f t="shared" si="6"/>
        <v>0</v>
      </c>
      <c r="AL13" s="10">
        <v>0</v>
      </c>
      <c r="AM13" s="11">
        <f t="shared" si="7"/>
        <v>0</v>
      </c>
      <c r="AN13" s="10">
        <v>0</v>
      </c>
      <c r="AO13" s="55">
        <f t="shared" si="8"/>
        <v>2</v>
      </c>
      <c r="AQ13" s="11">
        <f ca="1">IFERROR(OFFSET(ITEM_RES!$A$1,MATCH(AR13,ITEM_RES!$J:$J,0)-1,0),0)</f>
        <v>211010501</v>
      </c>
      <c r="AR13" s="10" t="s">
        <v>419</v>
      </c>
      <c r="AS13" s="11">
        <v>39000</v>
      </c>
      <c r="AV13" s="11">
        <f ca="1">IFERROR(OFFSET(ITEM_RES!$A$1,MATCH(AW13,ITEM_RES!$J:$J,0)-1,0),0)</f>
        <v>211020101</v>
      </c>
      <c r="AW13" s="10" t="s">
        <v>436</v>
      </c>
      <c r="AX13" s="11">
        <v>500</v>
      </c>
      <c r="BA13" s="11">
        <f ca="1">IFERROR(OFFSET(ITEM_RES!$A$1,MATCH(BB13,ITEM_RES!$J:$J,0)-1,0),0)</f>
        <v>0</v>
      </c>
      <c r="BF13" s="11">
        <f ca="1">IFERROR(OFFSET(ITEM_RES!$A$1,MATCH(BG13,ITEM_RES!$J:$J,0)-1,0),0)</f>
        <v>0</v>
      </c>
      <c r="BK13" s="11">
        <f ca="1">IFERROR(OFFSET(ITEM_RES!$A$1,MATCH(BL13,ITEM_RES!$J:$J,0)-1,0),0)</f>
        <v>0</v>
      </c>
      <c r="BM13" s="11">
        <f t="shared" si="5"/>
        <v>0</v>
      </c>
    </row>
    <row r="14" spans="1:66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1320</v>
      </c>
      <c r="M14" s="9">
        <v>1</v>
      </c>
      <c r="N14" s="9">
        <v>15</v>
      </c>
      <c r="O14" s="9" t="s">
        <v>1398</v>
      </c>
      <c r="P14" s="55" t="s">
        <v>1400</v>
      </c>
      <c r="Q14" s="9" t="s">
        <v>663</v>
      </c>
      <c r="T14" s="9">
        <f ca="1">IFERROR(OFFSET(ITEM_RES!$A$5,MATCH(BUILDING!S14,ITEM_RES!$J$5:$J$229,0)-1,0),0)</f>
        <v>0</v>
      </c>
      <c r="V14" s="81" t="s">
        <v>523</v>
      </c>
      <c r="W14" s="11">
        <f ca="1">IFERROR(OFFSET(ITEM_RES!$A$5,MATCH(BUILDING!V14,ITEM_RES!$J$5:$J$229,0)-1,0),0)</f>
        <v>211010101</v>
      </c>
      <c r="Y14" s="9" t="s">
        <v>494</v>
      </c>
      <c r="Z14" s="9">
        <v>10</v>
      </c>
      <c r="AB14" s="11">
        <f ca="1">IFERROR(OFFSET(MANOR_LEVEL!$B$1,MATCH(AC14-1,MANOR_LEVEL!$A:$A,0)-1,0),0)</f>
        <v>40000</v>
      </c>
      <c r="AC14" s="55">
        <v>7</v>
      </c>
      <c r="AE14" s="11">
        <f t="shared" ca="1" si="3"/>
        <v>67350</v>
      </c>
      <c r="AF14" s="10">
        <f ca="1">AK14+AM14+(IFERROR(OFFSET(ITEM_RES!$R$1,MATCH(AQ14,ITEM_RES!$A:$A,0)-1,0),0)*AS14+IFERROR(OFFSET(ITEM_RES!$R$1,MATCH(AV14,ITEM_RES!$A:$A,0)-1,0),0)*AX14+IFERROR(OFFSET(ITEM_RES!$R$1,MATCH(BA14,ITEM_RES!$A:$A,0)-1,0),0)*BC14+IFERROR(OFFSET(ITEM_RES!$R$1,MATCH(BF14,ITEM_RES!$A:$A,0)-1,0),0)*BH14+IFERROR(OFFSET(ITEM_RES!$R$1,MATCH(BK14,ITEM_RES!$A:$A,0)-1,0),0)*BM14)/1000</f>
        <v>67350</v>
      </c>
      <c r="AG14" s="176">
        <f t="shared" ca="1" si="9"/>
        <v>144931</v>
      </c>
      <c r="AI14" s="11">
        <f t="shared" si="4"/>
        <v>180</v>
      </c>
      <c r="AJ14" s="10">
        <v>180</v>
      </c>
      <c r="AK14" s="11">
        <f t="shared" si="6"/>
        <v>0</v>
      </c>
      <c r="AL14" s="10">
        <v>0</v>
      </c>
      <c r="AM14" s="11">
        <f t="shared" si="7"/>
        <v>0</v>
      </c>
      <c r="AN14" s="10">
        <v>0</v>
      </c>
      <c r="AO14" s="55">
        <f t="shared" si="8"/>
        <v>3</v>
      </c>
      <c r="AQ14" s="11">
        <f ca="1">IFERROR(OFFSET(ITEM_RES!$A$1,MATCH(AR14,ITEM_RES!$J:$J,0)-1,0),0)</f>
        <v>211010501</v>
      </c>
      <c r="AR14" s="10" t="s">
        <v>419</v>
      </c>
      <c r="AS14" s="11">
        <v>65000</v>
      </c>
      <c r="AV14" s="11">
        <f ca="1">IFERROR(OFFSET(ITEM_RES!$A$1,MATCH(AW14,ITEM_RES!$J:$J,0)-1,0),0)</f>
        <v>211020101</v>
      </c>
      <c r="AW14" s="10" t="s">
        <v>436</v>
      </c>
      <c r="AX14" s="11">
        <v>2700</v>
      </c>
      <c r="BA14" s="11">
        <f ca="1">IFERROR(OFFSET(ITEM_RES!$A$1,MATCH(BB14,ITEM_RES!$J:$J,0)-1,0),0)</f>
        <v>0</v>
      </c>
      <c r="BF14" s="11">
        <f ca="1">IFERROR(OFFSET(ITEM_RES!$A$1,MATCH(BG14,ITEM_RES!$J:$J,0)-1,0),0)</f>
        <v>213010501</v>
      </c>
      <c r="BG14" s="10" t="s">
        <v>447</v>
      </c>
      <c r="BH14" s="11">
        <v>1</v>
      </c>
      <c r="BK14" s="11">
        <f ca="1">IFERROR(OFFSET(ITEM_RES!$A$1,MATCH(BL14,ITEM_RES!$J:$J,0)-1,0),0)</f>
        <v>0</v>
      </c>
      <c r="BM14" s="11">
        <f t="shared" si="5"/>
        <v>0</v>
      </c>
    </row>
    <row r="15" spans="1:66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1320</v>
      </c>
      <c r="M15" s="9">
        <v>1</v>
      </c>
      <c r="N15" s="9">
        <v>15</v>
      </c>
      <c r="O15" s="9" t="s">
        <v>1397</v>
      </c>
      <c r="P15" s="55" t="s">
        <v>1399</v>
      </c>
      <c r="Q15" s="9" t="s">
        <v>663</v>
      </c>
      <c r="T15" s="9">
        <f ca="1">IFERROR(OFFSET(ITEM_RES!$A$5,MATCH(BUILDING!S15,ITEM_RES!$J$5:$J$229,0)-1,0),0)</f>
        <v>0</v>
      </c>
      <c r="V15" s="81" t="s">
        <v>523</v>
      </c>
      <c r="W15" s="11">
        <f ca="1">IFERROR(OFFSET(ITEM_RES!$A$5,MATCH(BUILDING!V15,ITEM_RES!$J$5:$J$229,0)-1,0),0)</f>
        <v>211010101</v>
      </c>
      <c r="Y15" s="9" t="s">
        <v>494</v>
      </c>
      <c r="Z15" s="9">
        <v>11</v>
      </c>
      <c r="AB15" s="11">
        <f ca="1">IFERROR(OFFSET(MANOR_LEVEL!$B$1,MATCH(AC15-1,MANOR_LEVEL!$A:$A,0)-1,0),0)</f>
        <v>100000</v>
      </c>
      <c r="AC15" s="55">
        <v>8</v>
      </c>
      <c r="AE15" s="11">
        <f t="shared" ca="1" si="3"/>
        <v>114500</v>
      </c>
      <c r="AF15" s="10">
        <f ca="1">AK15+AM15+(IFERROR(OFFSET(ITEM_RES!$R$1,MATCH(AQ15,ITEM_RES!$A:$A,0)-1,0),0)*AS15+IFERROR(OFFSET(ITEM_RES!$R$1,MATCH(AV15,ITEM_RES!$A:$A,0)-1,0),0)*AX15+IFERROR(OFFSET(ITEM_RES!$R$1,MATCH(BA15,ITEM_RES!$A:$A,0)-1,0),0)*BC15+IFERROR(OFFSET(ITEM_RES!$R$1,MATCH(BF15,ITEM_RES!$A:$A,0)-1,0),0)*BH15+IFERROR(OFFSET(ITEM_RES!$R$1,MATCH(BK15,ITEM_RES!$A:$A,0)-1,0),0)*BM15)/1000</f>
        <v>114500</v>
      </c>
      <c r="AG15" s="176">
        <f t="shared" ca="1" si="9"/>
        <v>259431</v>
      </c>
      <c r="AI15" s="11">
        <f t="shared" si="4"/>
        <v>360</v>
      </c>
      <c r="AJ15" s="10">
        <v>360</v>
      </c>
      <c r="AK15" s="11">
        <f t="shared" si="6"/>
        <v>0</v>
      </c>
      <c r="AL15" s="10">
        <v>0</v>
      </c>
      <c r="AM15" s="11">
        <f t="shared" si="7"/>
        <v>0</v>
      </c>
      <c r="AN15" s="10">
        <v>0</v>
      </c>
      <c r="AO15" s="55">
        <f t="shared" si="8"/>
        <v>2</v>
      </c>
      <c r="AQ15" s="11">
        <f ca="1">IFERROR(OFFSET(ITEM_RES!$A$1,MATCH(AR15,ITEM_RES!$J:$J,0)-1,0),0)</f>
        <v>211010501</v>
      </c>
      <c r="AR15" s="10" t="s">
        <v>419</v>
      </c>
      <c r="AS15" s="11">
        <v>110000</v>
      </c>
      <c r="AV15" s="11">
        <f ca="1">IFERROR(OFFSET(ITEM_RES!$A$1,MATCH(AW15,ITEM_RES!$J:$J,0)-1,0),0)</f>
        <v>211020101</v>
      </c>
      <c r="AW15" s="10" t="s">
        <v>436</v>
      </c>
      <c r="AX15" s="11">
        <v>9000</v>
      </c>
      <c r="BA15" s="11">
        <f ca="1">IFERROR(OFFSET(ITEM_RES!$A$1,MATCH(BB15,ITEM_RES!$J:$J,0)-1,0),0)</f>
        <v>0</v>
      </c>
      <c r="BF15" s="11">
        <f ca="1">IFERROR(OFFSET(ITEM_RES!$A$1,MATCH(BG15,ITEM_RES!$J:$J,0)-1,0),0)</f>
        <v>0</v>
      </c>
      <c r="BK15" s="11">
        <f ca="1">IFERROR(OFFSET(ITEM_RES!$A$1,MATCH(BL15,ITEM_RES!$J:$J,0)-1,0),0)</f>
        <v>0</v>
      </c>
      <c r="BM15" s="11">
        <f t="shared" si="5"/>
        <v>0</v>
      </c>
    </row>
    <row r="16" spans="1:66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1320</v>
      </c>
      <c r="M16" s="9">
        <v>1</v>
      </c>
      <c r="N16" s="9">
        <v>15</v>
      </c>
      <c r="O16" s="9" t="s">
        <v>1397</v>
      </c>
      <c r="P16" s="55" t="s">
        <v>1399</v>
      </c>
      <c r="Q16" s="9" t="s">
        <v>663</v>
      </c>
      <c r="T16" s="9">
        <f ca="1">IFERROR(OFFSET(ITEM_RES!$A$5,MATCH(BUILDING!S16,ITEM_RES!$J$5:$J$229,0)-1,0),0)</f>
        <v>0</v>
      </c>
      <c r="V16" s="81" t="s">
        <v>523</v>
      </c>
      <c r="W16" s="11">
        <f ca="1">IFERROR(OFFSET(ITEM_RES!$A$5,MATCH(BUILDING!V16,ITEM_RES!$J$5:$J$229,0)-1,0),0)</f>
        <v>211010101</v>
      </c>
      <c r="Y16" s="9" t="s">
        <v>494</v>
      </c>
      <c r="Z16" s="9">
        <v>12</v>
      </c>
      <c r="AB16" s="11">
        <f ca="1">IFERROR(OFFSET(MANOR_LEVEL!$B$1,MATCH(AC16-1,MANOR_LEVEL!$A:$A,0)-1,0),0)</f>
        <v>300000</v>
      </c>
      <c r="AC16" s="55">
        <v>9</v>
      </c>
      <c r="AE16" s="11">
        <f t="shared" ca="1" si="3"/>
        <v>195000</v>
      </c>
      <c r="AF16" s="10">
        <f ca="1">AK16+AM16+(IFERROR(OFFSET(ITEM_RES!$R$1,MATCH(AQ16,ITEM_RES!$A:$A,0)-1,0),0)*AS16+IFERROR(OFFSET(ITEM_RES!$R$1,MATCH(AV16,ITEM_RES!$A:$A,0)-1,0),0)*AX16+IFERROR(OFFSET(ITEM_RES!$R$1,MATCH(BA16,ITEM_RES!$A:$A,0)-1,0),0)*BC16+IFERROR(OFFSET(ITEM_RES!$R$1,MATCH(BF16,ITEM_RES!$A:$A,0)-1,0),0)*BH16+IFERROR(OFFSET(ITEM_RES!$R$1,MATCH(BK16,ITEM_RES!$A:$A,0)-1,0),0)*BM16)/1000</f>
        <v>195000</v>
      </c>
      <c r="AG16" s="176">
        <f t="shared" ca="1" si="9"/>
        <v>454431</v>
      </c>
      <c r="AI16" s="11">
        <f t="shared" si="4"/>
        <v>540</v>
      </c>
      <c r="AJ16" s="10">
        <v>540</v>
      </c>
      <c r="AK16" s="11">
        <f t="shared" si="6"/>
        <v>0</v>
      </c>
      <c r="AL16" s="10">
        <v>0</v>
      </c>
      <c r="AM16" s="11">
        <f t="shared" si="7"/>
        <v>0</v>
      </c>
      <c r="AN16" s="10">
        <v>0</v>
      </c>
      <c r="AO16" s="55">
        <f t="shared" si="8"/>
        <v>2</v>
      </c>
      <c r="AQ16" s="11">
        <f ca="1">IFERROR(OFFSET(ITEM_RES!$A$1,MATCH(AR16,ITEM_RES!$J:$J,0)-1,0),0)</f>
        <v>211010501</v>
      </c>
      <c r="AR16" s="10" t="s">
        <v>419</v>
      </c>
      <c r="AS16" s="11">
        <v>185000</v>
      </c>
      <c r="AV16" s="11">
        <f ca="1">IFERROR(OFFSET(ITEM_RES!$A$1,MATCH(AW16,ITEM_RES!$J:$J,0)-1,0),0)</f>
        <v>211020101</v>
      </c>
      <c r="AW16" s="10" t="s">
        <v>436</v>
      </c>
      <c r="AX16" s="11">
        <v>20000</v>
      </c>
      <c r="BA16" s="11">
        <f ca="1">IFERROR(OFFSET(ITEM_RES!$A$1,MATCH(BB16,ITEM_RES!$J:$J,0)-1,0),0)</f>
        <v>0</v>
      </c>
      <c r="BF16" s="11">
        <f ca="1">IFERROR(OFFSET(ITEM_RES!$A$1,MATCH(BG16,ITEM_RES!$J:$J,0)-1,0),0)</f>
        <v>0</v>
      </c>
      <c r="BK16" s="11">
        <f ca="1">IFERROR(OFFSET(ITEM_RES!$A$1,MATCH(BL16,ITEM_RES!$J:$J,0)-1,0),0)</f>
        <v>0</v>
      </c>
      <c r="BM16" s="11">
        <f t="shared" si="5"/>
        <v>0</v>
      </c>
    </row>
    <row r="17" spans="1:66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1320</v>
      </c>
      <c r="M17" s="9">
        <v>1</v>
      </c>
      <c r="N17" s="9">
        <v>15</v>
      </c>
      <c r="O17" s="9" t="s">
        <v>1397</v>
      </c>
      <c r="P17" s="55" t="s">
        <v>1399</v>
      </c>
      <c r="Q17" s="9" t="s">
        <v>663</v>
      </c>
      <c r="T17" s="9">
        <f ca="1">IFERROR(OFFSET(ITEM_RES!$A$5,MATCH(BUILDING!S17,ITEM_RES!$J$5:$J$229,0)-1,0),0)</f>
        <v>0</v>
      </c>
      <c r="V17" s="81" t="s">
        <v>523</v>
      </c>
      <c r="W17" s="11">
        <f ca="1">IFERROR(OFFSET(ITEM_RES!$A$5,MATCH(BUILDING!V17,ITEM_RES!$J$5:$J$229,0)-1,0),0)</f>
        <v>211010101</v>
      </c>
      <c r="Y17" s="9" t="s">
        <v>494</v>
      </c>
      <c r="Z17" s="9">
        <v>13</v>
      </c>
      <c r="AB17" s="11">
        <f ca="1">IFERROR(OFFSET(MANOR_LEVEL!$B$1,MATCH(AC17-1,MANOR_LEVEL!$A:$A,0)-1,0),0)</f>
        <v>600000</v>
      </c>
      <c r="AC17" s="55">
        <v>10</v>
      </c>
      <c r="AE17" s="11">
        <f t="shared" ca="1" si="3"/>
        <v>331000</v>
      </c>
      <c r="AF17" s="10">
        <f ca="1">AK17+AM17+(IFERROR(OFFSET(ITEM_RES!$R$1,MATCH(AQ17,ITEM_RES!$A:$A,0)-1,0),0)*AS17+IFERROR(OFFSET(ITEM_RES!$R$1,MATCH(AV17,ITEM_RES!$A:$A,0)-1,0),0)*AX17+IFERROR(OFFSET(ITEM_RES!$R$1,MATCH(BA17,ITEM_RES!$A:$A,0)-1,0),0)*BC17+IFERROR(OFFSET(ITEM_RES!$R$1,MATCH(BF17,ITEM_RES!$A:$A,0)-1,0),0)*BH17+IFERROR(OFFSET(ITEM_RES!$R$1,MATCH(BK17,ITEM_RES!$A:$A,0)-1,0),0)*BM17)/1000</f>
        <v>331000</v>
      </c>
      <c r="AG17" s="176">
        <f t="shared" ca="1" si="9"/>
        <v>785431</v>
      </c>
      <c r="AI17" s="11">
        <f t="shared" si="4"/>
        <v>720</v>
      </c>
      <c r="AJ17" s="10">
        <v>720</v>
      </c>
      <c r="AK17" s="11">
        <f t="shared" si="6"/>
        <v>0</v>
      </c>
      <c r="AL17" s="10">
        <v>0</v>
      </c>
      <c r="AM17" s="11">
        <f t="shared" si="7"/>
        <v>0</v>
      </c>
      <c r="AN17" s="10">
        <v>0</v>
      </c>
      <c r="AO17" s="55">
        <f t="shared" si="8"/>
        <v>2</v>
      </c>
      <c r="AQ17" s="11">
        <f ca="1">IFERROR(OFFSET(ITEM_RES!$A$1,MATCH(AR17,ITEM_RES!$J:$J,0)-1,0),0)</f>
        <v>211010501</v>
      </c>
      <c r="AR17" s="10" t="s">
        <v>419</v>
      </c>
      <c r="AS17" s="11">
        <v>310000</v>
      </c>
      <c r="AV17" s="11">
        <f ca="1">IFERROR(OFFSET(ITEM_RES!$A$1,MATCH(AW17,ITEM_RES!$J:$J,0)-1,0),0)</f>
        <v>211020101</v>
      </c>
      <c r="AW17" s="10" t="s">
        <v>436</v>
      </c>
      <c r="AX17" s="11">
        <v>42000</v>
      </c>
      <c r="BA17" s="11">
        <f ca="1">IFERROR(OFFSET(ITEM_RES!$A$1,MATCH(BB17,ITEM_RES!$J:$J,0)-1,0),0)</f>
        <v>0</v>
      </c>
      <c r="BF17" s="11">
        <f ca="1">IFERROR(OFFSET(ITEM_RES!$A$1,MATCH(BG17,ITEM_RES!$J:$J,0)-1,0),0)</f>
        <v>0</v>
      </c>
      <c r="BK17" s="11">
        <f ca="1">IFERROR(OFFSET(ITEM_RES!$A$1,MATCH(BL17,ITEM_RES!$J:$J,0)-1,0),0)</f>
        <v>0</v>
      </c>
      <c r="BM17" s="11">
        <f t="shared" si="5"/>
        <v>0</v>
      </c>
    </row>
    <row r="18" spans="1:66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1320</v>
      </c>
      <c r="M18" s="9">
        <v>1</v>
      </c>
      <c r="N18" s="9">
        <v>15</v>
      </c>
      <c r="O18" s="9" t="s">
        <v>1397</v>
      </c>
      <c r="P18" s="55" t="s">
        <v>1399</v>
      </c>
      <c r="Q18" s="9" t="s">
        <v>663</v>
      </c>
      <c r="T18" s="9">
        <f ca="1">IFERROR(OFFSET(ITEM_RES!$A$5,MATCH(BUILDING!S18,ITEM_RES!$J$5:$J$229,0)-1,0),0)</f>
        <v>0</v>
      </c>
      <c r="V18" s="81" t="s">
        <v>523</v>
      </c>
      <c r="W18" s="11">
        <f ca="1">IFERROR(OFFSET(ITEM_RES!$A$5,MATCH(BUILDING!V18,ITEM_RES!$J$5:$J$229,0)-1,0),0)</f>
        <v>211010101</v>
      </c>
      <c r="Y18" s="9" t="s">
        <v>494</v>
      </c>
      <c r="Z18" s="9">
        <v>14</v>
      </c>
      <c r="AB18" s="11">
        <f ca="1">IFERROR(OFFSET(MANOR_LEVEL!$B$1,MATCH(AC18-1,MANOR_LEVEL!$A:$A,0)-1,0),0)</f>
        <v>1200000</v>
      </c>
      <c r="AC18" s="55">
        <v>11</v>
      </c>
      <c r="AE18" s="11">
        <f t="shared" ca="1" si="3"/>
        <v>524000</v>
      </c>
      <c r="AF18" s="10">
        <f ca="1">AK18+AM18+(IFERROR(OFFSET(ITEM_RES!$R$1,MATCH(AQ18,ITEM_RES!$A:$A,0)-1,0),0)*AS18+IFERROR(OFFSET(ITEM_RES!$R$1,MATCH(AV18,ITEM_RES!$A:$A,0)-1,0),0)*AX18+IFERROR(OFFSET(ITEM_RES!$R$1,MATCH(BA18,ITEM_RES!$A:$A,0)-1,0),0)*BC18+IFERROR(OFFSET(ITEM_RES!$R$1,MATCH(BF18,ITEM_RES!$A:$A,0)-1,0),0)*BH18+IFERROR(OFFSET(ITEM_RES!$R$1,MATCH(BK18,ITEM_RES!$A:$A,0)-1,0),0)*BM18)/1000</f>
        <v>524000</v>
      </c>
      <c r="AG18" s="176">
        <f t="shared" ca="1" si="9"/>
        <v>1309431</v>
      </c>
      <c r="AI18" s="11">
        <f t="shared" si="4"/>
        <v>900</v>
      </c>
      <c r="AJ18" s="10">
        <v>900</v>
      </c>
      <c r="AK18" s="11">
        <f t="shared" si="6"/>
        <v>0</v>
      </c>
      <c r="AL18" s="10">
        <v>0</v>
      </c>
      <c r="AM18" s="11">
        <f t="shared" si="7"/>
        <v>0</v>
      </c>
      <c r="AN18" s="10">
        <v>0</v>
      </c>
      <c r="AO18" s="55">
        <f t="shared" si="8"/>
        <v>2</v>
      </c>
      <c r="AQ18" s="11">
        <f ca="1">IFERROR(OFFSET(ITEM_RES!$A$1,MATCH(AR18,ITEM_RES!$J:$J,0)-1,0),0)</f>
        <v>211010501</v>
      </c>
      <c r="AR18" s="10" t="s">
        <v>419</v>
      </c>
      <c r="AS18" s="11">
        <v>485000</v>
      </c>
      <c r="AV18" s="11">
        <f ca="1">IFERROR(OFFSET(ITEM_RES!$A$1,MATCH(AW18,ITEM_RES!$J:$J,0)-1,0),0)</f>
        <v>211020101</v>
      </c>
      <c r="AW18" s="10" t="s">
        <v>436</v>
      </c>
      <c r="AX18" s="11">
        <v>78000</v>
      </c>
      <c r="BA18" s="11">
        <f ca="1">IFERROR(OFFSET(ITEM_RES!$A$1,MATCH(BB18,ITEM_RES!$J:$J,0)-1,0),0)</f>
        <v>0</v>
      </c>
      <c r="BF18" s="11">
        <f ca="1">IFERROR(OFFSET(ITEM_RES!$A$1,MATCH(BG18,ITEM_RES!$J:$J,0)-1,0),0)</f>
        <v>0</v>
      </c>
      <c r="BK18" s="11">
        <f ca="1">IFERROR(OFFSET(ITEM_RES!$A$1,MATCH(BL18,ITEM_RES!$J:$J,0)-1,0),0)</f>
        <v>0</v>
      </c>
      <c r="BM18" s="11">
        <f t="shared" si="5"/>
        <v>0</v>
      </c>
    </row>
    <row r="19" spans="1:66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1320</v>
      </c>
      <c r="M19" s="9">
        <v>1</v>
      </c>
      <c r="N19" s="9">
        <v>15</v>
      </c>
      <c r="O19" s="9" t="s">
        <v>1397</v>
      </c>
      <c r="P19" s="55" t="s">
        <v>1399</v>
      </c>
      <c r="Q19" s="9" t="s">
        <v>663</v>
      </c>
      <c r="T19" s="9">
        <f ca="1">IFERROR(OFFSET(ITEM_RES!$A$5,MATCH(BUILDING!S19,ITEM_RES!$J$5:$J$229,0)-1,0),0)</f>
        <v>0</v>
      </c>
      <c r="V19" s="81" t="s">
        <v>523</v>
      </c>
      <c r="W19" s="11">
        <f ca="1">IFERROR(OFFSET(ITEM_RES!$A$5,MATCH(BUILDING!V19,ITEM_RES!$J$5:$J$229,0)-1,0),0)</f>
        <v>211010101</v>
      </c>
      <c r="Y19" s="9" t="s">
        <v>494</v>
      </c>
      <c r="Z19" s="9">
        <v>15</v>
      </c>
      <c r="AB19" s="11">
        <f ca="1">IFERROR(OFFSET(MANOR_LEVEL!$B$1,MATCH(AC19-1,MANOR_LEVEL!$A:$A,0)-1,0),0)</f>
        <v>3500000</v>
      </c>
      <c r="AC19" s="55">
        <v>12</v>
      </c>
      <c r="AE19" s="11">
        <f t="shared" ca="1" si="3"/>
        <v>1115000</v>
      </c>
      <c r="AF19" s="10">
        <f ca="1">AK19+AM19+(IFERROR(OFFSET(ITEM_RES!$R$1,MATCH(AQ19,ITEM_RES!$A:$A,0)-1,0),0)*AS19+IFERROR(OFFSET(ITEM_RES!$R$1,MATCH(AV19,ITEM_RES!$A:$A,0)-1,0),0)*AX19+IFERROR(OFFSET(ITEM_RES!$R$1,MATCH(BA19,ITEM_RES!$A:$A,0)-1,0),0)*BC19+IFERROR(OFFSET(ITEM_RES!$R$1,MATCH(BF19,ITEM_RES!$A:$A,0)-1,0),0)*BH19+IFERROR(OFFSET(ITEM_RES!$R$1,MATCH(BK19,ITEM_RES!$A:$A,0)-1,0),0)*BM19)/1000</f>
        <v>1115000</v>
      </c>
      <c r="AG19" s="176">
        <f t="shared" ca="1" si="9"/>
        <v>2424431</v>
      </c>
      <c r="AI19" s="11">
        <f t="shared" si="4"/>
        <v>1080</v>
      </c>
      <c r="AJ19" s="10">
        <v>1080</v>
      </c>
      <c r="AK19" s="11">
        <f t="shared" si="6"/>
        <v>0</v>
      </c>
      <c r="AL19" s="10">
        <v>0</v>
      </c>
      <c r="AM19" s="11">
        <f t="shared" si="7"/>
        <v>0</v>
      </c>
      <c r="AN19" s="10">
        <v>0</v>
      </c>
      <c r="AO19" s="55">
        <f t="shared" si="8"/>
        <v>2</v>
      </c>
      <c r="AQ19" s="11">
        <f ca="1">IFERROR(OFFSET(ITEM_RES!$A$1,MATCH(AR19,ITEM_RES!$J:$J,0)-1,0),0)</f>
        <v>211010501</v>
      </c>
      <c r="AR19" s="10" t="s">
        <v>419</v>
      </c>
      <c r="AS19" s="11">
        <v>1050000</v>
      </c>
      <c r="AV19" s="11">
        <f ca="1">IFERROR(OFFSET(ITEM_RES!$A$1,MATCH(AW19,ITEM_RES!$J:$J,0)-1,0),0)</f>
        <v>211020101</v>
      </c>
      <c r="AW19" s="10" t="s">
        <v>436</v>
      </c>
      <c r="AX19" s="11">
        <v>130000</v>
      </c>
      <c r="BA19" s="11">
        <f ca="1">IFERROR(OFFSET(ITEM_RES!$A$1,MATCH(BB19,ITEM_RES!$J:$J,0)-1,0),0)</f>
        <v>0</v>
      </c>
      <c r="BF19" s="11">
        <f ca="1">IFERROR(OFFSET(ITEM_RES!$A$1,MATCH(BG19,ITEM_RES!$J:$J,0)-1,0),0)</f>
        <v>0</v>
      </c>
      <c r="BK19" s="11">
        <f ca="1">IFERROR(OFFSET(ITEM_RES!$A$1,MATCH(BL19,ITEM_RES!$J:$J,0)-1,0),0)</f>
        <v>0</v>
      </c>
      <c r="BM19" s="11">
        <f t="shared" si="5"/>
        <v>0</v>
      </c>
    </row>
    <row r="20" spans="1:66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1320</v>
      </c>
      <c r="M20" s="9">
        <v>0</v>
      </c>
      <c r="N20" s="9">
        <v>15</v>
      </c>
      <c r="O20" s="9" t="s">
        <v>1397</v>
      </c>
      <c r="P20" s="55" t="s">
        <v>1399</v>
      </c>
      <c r="Q20" s="9" t="s">
        <v>664</v>
      </c>
      <c r="T20" s="9">
        <f ca="1">IFERROR(OFFSET(ITEM_RES!$A$5,MATCH(BUILDING!S20,ITEM_RES!$J$5:$J$229,0)-1,0),0)</f>
        <v>0</v>
      </c>
      <c r="V20" s="81" t="s">
        <v>523</v>
      </c>
      <c r="W20" s="11">
        <f ca="1">IFERROR(OFFSET(ITEM_RES!$A$5,MATCH(BUILDING!V20,ITEM_RES!$J$5:$J$229,0)-1,0),0)</f>
        <v>211010101</v>
      </c>
      <c r="Y20" s="9" t="s">
        <v>494</v>
      </c>
      <c r="Z20" s="9">
        <v>16</v>
      </c>
      <c r="AB20" s="11">
        <f ca="1">IFERROR(OFFSET(MANOR_LEVEL!$B$1,MATCH(AC20-1,MANOR_LEVEL!$A:$A,0)-1,0),0)</f>
        <v>6000000</v>
      </c>
      <c r="AC20" s="55">
        <v>13</v>
      </c>
      <c r="AE20" s="11">
        <f t="shared" ca="1" si="3"/>
        <v>3550000</v>
      </c>
      <c r="AF20" s="10">
        <f ca="1">AK20+AM20+(IFERROR(OFFSET(ITEM_RES!$R$1,MATCH(AQ20,ITEM_RES!$A:$A,0)-1,0),0)*AS20+IFERROR(OFFSET(ITEM_RES!$R$1,MATCH(AV20,ITEM_RES!$A:$A,0)-1,0),0)*AX20+IFERROR(OFFSET(ITEM_RES!$R$1,MATCH(BA20,ITEM_RES!$A:$A,0)-1,0),0)*BC20+IFERROR(OFFSET(ITEM_RES!$R$1,MATCH(BF20,ITEM_RES!$A:$A,0)-1,0),0)*BH20+IFERROR(OFFSET(ITEM_RES!$R$1,MATCH(BK20,ITEM_RES!$A:$A,0)-1,0),0)*BM20)/1000</f>
        <v>3550000</v>
      </c>
      <c r="AG20" s="176">
        <f t="shared" ca="1" si="9"/>
        <v>5974431</v>
      </c>
      <c r="AI20" s="11">
        <f t="shared" si="4"/>
        <v>1260</v>
      </c>
      <c r="AJ20" s="10">
        <v>1260</v>
      </c>
      <c r="AK20" s="11">
        <f t="shared" si="6"/>
        <v>0</v>
      </c>
      <c r="AL20" s="10">
        <v>0</v>
      </c>
      <c r="AM20" s="11">
        <f t="shared" si="7"/>
        <v>0</v>
      </c>
      <c r="AN20" s="10">
        <v>0</v>
      </c>
      <c r="AO20" s="55">
        <f t="shared" si="8"/>
        <v>2</v>
      </c>
      <c r="AQ20" s="11">
        <f ca="1">IFERROR(OFFSET(ITEM_RES!$A$1,MATCH(AR20,ITEM_RES!$J:$J,0)-1,0),0)</f>
        <v>211010601</v>
      </c>
      <c r="AR20" s="10" t="s">
        <v>432</v>
      </c>
      <c r="AS20" s="11">
        <v>2150000</v>
      </c>
      <c r="AV20" s="11">
        <f ca="1">IFERROR(OFFSET(ITEM_RES!$A$1,MATCH(AW20,ITEM_RES!$J:$J,0)-1,0),0)</f>
        <v>211020101</v>
      </c>
      <c r="AW20" s="10" t="s">
        <v>436</v>
      </c>
      <c r="AX20" s="11">
        <v>220000</v>
      </c>
      <c r="BA20" s="11">
        <f ca="1">IFERROR(OFFSET(ITEM_RES!$A$1,MATCH(BB20,ITEM_RES!$J:$J,0)-1,0),0)</f>
        <v>0</v>
      </c>
      <c r="BF20" s="11">
        <f ca="1">IFERROR(OFFSET(ITEM_RES!$A$1,MATCH(BG20,ITEM_RES!$J:$J,0)-1,0),0)</f>
        <v>0</v>
      </c>
      <c r="BK20" s="11">
        <f ca="1">IFERROR(OFFSET(ITEM_RES!$A$1,MATCH(BL20,ITEM_RES!$J:$J,0)-1,0),0)</f>
        <v>0</v>
      </c>
      <c r="BM20" s="11">
        <f t="shared" si="5"/>
        <v>0</v>
      </c>
    </row>
    <row r="21" spans="1:66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1320</v>
      </c>
      <c r="M21" s="9">
        <v>0</v>
      </c>
      <c r="N21" s="9">
        <v>15</v>
      </c>
      <c r="O21" s="9" t="s">
        <v>1397</v>
      </c>
      <c r="P21" s="55" t="s">
        <v>1399</v>
      </c>
      <c r="Q21" s="9" t="s">
        <v>664</v>
      </c>
      <c r="T21" s="9">
        <f ca="1">IFERROR(OFFSET(ITEM_RES!$A$5,MATCH(BUILDING!S21,ITEM_RES!$J$5:$J$229,0)-1,0),0)</f>
        <v>0</v>
      </c>
      <c r="V21" s="81" t="s">
        <v>523</v>
      </c>
      <c r="W21" s="11">
        <f ca="1">IFERROR(OFFSET(ITEM_RES!$A$5,MATCH(BUILDING!V21,ITEM_RES!$J$5:$J$229,0)-1,0),0)</f>
        <v>211010101</v>
      </c>
      <c r="Y21" s="9" t="s">
        <v>494</v>
      </c>
      <c r="Z21" s="9">
        <v>17</v>
      </c>
      <c r="AB21" s="11">
        <f ca="1">IFERROR(OFFSET(MANOR_LEVEL!$B$1,MATCH(AC21-1,MANOR_LEVEL!$A:$A,0)-1,0),0)</f>
        <v>10000000</v>
      </c>
      <c r="AC21" s="55">
        <v>14</v>
      </c>
      <c r="AE21" s="11">
        <f t="shared" ca="1" si="3"/>
        <v>6585000</v>
      </c>
      <c r="AF21" s="10">
        <f ca="1">AK21+AM21+(IFERROR(OFFSET(ITEM_RES!$R$1,MATCH(AQ21,ITEM_RES!$A:$A,0)-1,0),0)*AS21+IFERROR(OFFSET(ITEM_RES!$R$1,MATCH(AV21,ITEM_RES!$A:$A,0)-1,0),0)*AX21+IFERROR(OFFSET(ITEM_RES!$R$1,MATCH(BA21,ITEM_RES!$A:$A,0)-1,0),0)*BC21+IFERROR(OFFSET(ITEM_RES!$R$1,MATCH(BF21,ITEM_RES!$A:$A,0)-1,0),0)*BH21+IFERROR(OFFSET(ITEM_RES!$R$1,MATCH(BK21,ITEM_RES!$A:$A,0)-1,0),0)*BM21)/1000</f>
        <v>6585000</v>
      </c>
      <c r="AG21" s="176">
        <f t="shared" ca="1" si="9"/>
        <v>12559431</v>
      </c>
      <c r="AI21" s="11">
        <f t="shared" si="4"/>
        <v>1440</v>
      </c>
      <c r="AJ21" s="10">
        <v>1440</v>
      </c>
      <c r="AK21" s="11">
        <f t="shared" si="6"/>
        <v>0</v>
      </c>
      <c r="AL21" s="10">
        <v>0</v>
      </c>
      <c r="AM21" s="11">
        <f t="shared" si="7"/>
        <v>0</v>
      </c>
      <c r="AN21" s="10">
        <v>0</v>
      </c>
      <c r="AO21" s="55">
        <f t="shared" si="8"/>
        <v>2</v>
      </c>
      <c r="AQ21" s="11">
        <f ca="1">IFERROR(OFFSET(ITEM_RES!$A$1,MATCH(AR21,ITEM_RES!$J:$J,0)-1,0),0)</f>
        <v>211010601</v>
      </c>
      <c r="AR21" s="10" t="s">
        <v>432</v>
      </c>
      <c r="AS21" s="11">
        <v>4000000</v>
      </c>
      <c r="AV21" s="11">
        <f ca="1">IFERROR(OFFSET(ITEM_RES!$A$1,MATCH(AW21,ITEM_RES!$J:$J,0)-1,0),0)</f>
        <v>211020101</v>
      </c>
      <c r="AW21" s="10" t="s">
        <v>436</v>
      </c>
      <c r="AX21" s="11">
        <v>370000</v>
      </c>
      <c r="BA21" s="11">
        <f ca="1">IFERROR(OFFSET(ITEM_RES!$A$1,MATCH(BB21,ITEM_RES!$J:$J,0)-1,0),0)</f>
        <v>0</v>
      </c>
      <c r="BF21" s="11">
        <f ca="1">IFERROR(OFFSET(ITEM_RES!$A$1,MATCH(BG21,ITEM_RES!$J:$J,0)-1,0),0)</f>
        <v>0</v>
      </c>
      <c r="BK21" s="11">
        <f ca="1">IFERROR(OFFSET(ITEM_RES!$A$1,MATCH(BL21,ITEM_RES!$J:$J,0)-1,0),0)</f>
        <v>0</v>
      </c>
      <c r="BM21" s="11">
        <f t="shared" si="5"/>
        <v>0</v>
      </c>
    </row>
    <row r="22" spans="1:66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1320</v>
      </c>
      <c r="M22" s="9">
        <v>0</v>
      </c>
      <c r="N22" s="9">
        <v>15</v>
      </c>
      <c r="O22" s="9" t="s">
        <v>1397</v>
      </c>
      <c r="P22" s="55" t="s">
        <v>1399</v>
      </c>
      <c r="Q22" s="9" t="s">
        <v>664</v>
      </c>
      <c r="T22" s="9">
        <f ca="1">IFERROR(OFFSET(ITEM_RES!$A$5,MATCH(BUILDING!S22,ITEM_RES!$J$5:$J$229,0)-1,0),0)</f>
        <v>0</v>
      </c>
      <c r="V22" s="81" t="s">
        <v>523</v>
      </c>
      <c r="W22" s="11">
        <f ca="1">IFERROR(OFFSET(ITEM_RES!$A$5,MATCH(BUILDING!V22,ITEM_RES!$J$5:$J$229,0)-1,0),0)</f>
        <v>211010101</v>
      </c>
      <c r="Y22" s="9" t="s">
        <v>494</v>
      </c>
      <c r="Z22" s="9">
        <v>18</v>
      </c>
      <c r="AB22" s="11">
        <f ca="1">IFERROR(OFFSET(MANOR_LEVEL!$B$1,MATCH(AC22-1,MANOR_LEVEL!$A:$A,0)-1,0),0)</f>
        <v>17000000</v>
      </c>
      <c r="AC22" s="55">
        <v>15</v>
      </c>
      <c r="AE22" s="11">
        <f t="shared" ca="1" si="3"/>
        <v>10710000</v>
      </c>
      <c r="AF22" s="10">
        <f ca="1">AK22+AM22+(IFERROR(OFFSET(ITEM_RES!$R$1,MATCH(AQ22,ITEM_RES!$A:$A,0)-1,0),0)*AS22+IFERROR(OFFSET(ITEM_RES!$R$1,MATCH(AV22,ITEM_RES!$A:$A,0)-1,0),0)*AX22+IFERROR(OFFSET(ITEM_RES!$R$1,MATCH(BA22,ITEM_RES!$A:$A,0)-1,0),0)*BC22+IFERROR(OFFSET(ITEM_RES!$R$1,MATCH(BF22,ITEM_RES!$A:$A,0)-1,0),0)*BH22+IFERROR(OFFSET(ITEM_RES!$R$1,MATCH(BK22,ITEM_RES!$A:$A,0)-1,0),0)*BM22)/1000</f>
        <v>10710000</v>
      </c>
      <c r="AG22" s="176">
        <f t="shared" ca="1" si="9"/>
        <v>23269431</v>
      </c>
      <c r="AI22" s="11">
        <f t="shared" si="4"/>
        <v>1620</v>
      </c>
      <c r="AJ22" s="10">
        <v>1620</v>
      </c>
      <c r="AK22" s="11">
        <f t="shared" si="6"/>
        <v>0</v>
      </c>
      <c r="AL22" s="10">
        <v>0</v>
      </c>
      <c r="AM22" s="11">
        <f t="shared" si="7"/>
        <v>0</v>
      </c>
      <c r="AN22" s="10">
        <v>0</v>
      </c>
      <c r="AO22" s="55">
        <f t="shared" si="8"/>
        <v>2</v>
      </c>
      <c r="AQ22" s="11">
        <f ca="1">IFERROR(OFFSET(ITEM_RES!$A$1,MATCH(AR22,ITEM_RES!$J:$J,0)-1,0),0)</f>
        <v>211010601</v>
      </c>
      <c r="AR22" s="10" t="s">
        <v>432</v>
      </c>
      <c r="AS22" s="11">
        <v>6500000</v>
      </c>
      <c r="AV22" s="11">
        <f ca="1">IFERROR(OFFSET(ITEM_RES!$A$1,MATCH(AW22,ITEM_RES!$J:$J,0)-1,0),0)</f>
        <v>211020101</v>
      </c>
      <c r="AW22" s="10" t="s">
        <v>436</v>
      </c>
      <c r="AX22" s="11">
        <v>620000</v>
      </c>
      <c r="BA22" s="11">
        <f ca="1">IFERROR(OFFSET(ITEM_RES!$A$1,MATCH(BB22,ITEM_RES!$J:$J,0)-1,0),0)</f>
        <v>0</v>
      </c>
      <c r="BF22" s="11">
        <f ca="1">IFERROR(OFFSET(ITEM_RES!$A$1,MATCH(BG22,ITEM_RES!$J:$J,0)-1,0),0)</f>
        <v>0</v>
      </c>
      <c r="BK22" s="11">
        <f ca="1">IFERROR(OFFSET(ITEM_RES!$A$1,MATCH(BL22,ITEM_RES!$J:$J,0)-1,0),0)</f>
        <v>0</v>
      </c>
      <c r="BM22" s="11">
        <f t="shared" si="5"/>
        <v>0</v>
      </c>
    </row>
    <row r="23" spans="1:66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1320</v>
      </c>
      <c r="M23" s="9">
        <v>0</v>
      </c>
      <c r="N23" s="9">
        <v>15</v>
      </c>
      <c r="O23" s="9" t="s">
        <v>1397</v>
      </c>
      <c r="P23" s="55" t="s">
        <v>1399</v>
      </c>
      <c r="Q23" s="9" t="s">
        <v>664</v>
      </c>
      <c r="T23" s="9">
        <f ca="1">IFERROR(OFFSET(ITEM_RES!$A$5,MATCH(BUILDING!S23,ITEM_RES!$J$5:$J$229,0)-1,0),0)</f>
        <v>0</v>
      </c>
      <c r="V23" s="81" t="s">
        <v>523</v>
      </c>
      <c r="W23" s="11">
        <f ca="1">IFERROR(OFFSET(ITEM_RES!$A$5,MATCH(BUILDING!V23,ITEM_RES!$J$5:$J$229,0)-1,0),0)</f>
        <v>211010101</v>
      </c>
      <c r="Y23" s="9" t="s">
        <v>494</v>
      </c>
      <c r="Z23" s="9">
        <v>19</v>
      </c>
      <c r="AB23" s="11">
        <f ca="1">IFERROR(OFFSET(MANOR_LEVEL!$B$1,MATCH(AC23-1,MANOR_LEVEL!$A:$A,0)-1,0),0)</f>
        <v>37000000</v>
      </c>
      <c r="AC23" s="55">
        <v>16</v>
      </c>
      <c r="AE23" s="11">
        <f t="shared" ca="1" si="3"/>
        <v>16485000</v>
      </c>
      <c r="AF23" s="10">
        <f ca="1">AK23+AM23+(IFERROR(OFFSET(ITEM_RES!$R$1,MATCH(AQ23,ITEM_RES!$A:$A,0)-1,0),0)*AS23+IFERROR(OFFSET(ITEM_RES!$R$1,MATCH(AV23,ITEM_RES!$A:$A,0)-1,0),0)*AX23+IFERROR(OFFSET(ITEM_RES!$R$1,MATCH(BA23,ITEM_RES!$A:$A,0)-1,0),0)*BC23+IFERROR(OFFSET(ITEM_RES!$R$1,MATCH(BF23,ITEM_RES!$A:$A,0)-1,0),0)*BH23+IFERROR(OFFSET(ITEM_RES!$R$1,MATCH(BK23,ITEM_RES!$A:$A,0)-1,0),0)*BM23)/1000</f>
        <v>16485000</v>
      </c>
      <c r="AG23" s="176">
        <f t="shared" ca="1" si="9"/>
        <v>39754431</v>
      </c>
      <c r="AI23" s="11">
        <f t="shared" si="4"/>
        <v>1800</v>
      </c>
      <c r="AJ23" s="10">
        <v>1800</v>
      </c>
      <c r="AK23" s="11">
        <f t="shared" si="6"/>
        <v>0</v>
      </c>
      <c r="AL23" s="10">
        <v>0</v>
      </c>
      <c r="AM23" s="11">
        <f t="shared" si="7"/>
        <v>0</v>
      </c>
      <c r="AN23" s="10">
        <v>0</v>
      </c>
      <c r="AO23" s="55">
        <f t="shared" si="8"/>
        <v>2</v>
      </c>
      <c r="AQ23" s="11">
        <f ca="1">IFERROR(OFFSET(ITEM_RES!$A$1,MATCH(AR23,ITEM_RES!$J:$J,0)-1,0),0)</f>
        <v>211010601</v>
      </c>
      <c r="AR23" s="10" t="s">
        <v>432</v>
      </c>
      <c r="AS23" s="11">
        <v>10000000</v>
      </c>
      <c r="AV23" s="11">
        <f ca="1">IFERROR(OFFSET(ITEM_RES!$A$1,MATCH(AW23,ITEM_RES!$J:$J,0)-1,0),0)</f>
        <v>211020101</v>
      </c>
      <c r="AW23" s="10" t="s">
        <v>436</v>
      </c>
      <c r="AX23" s="11">
        <v>970000</v>
      </c>
      <c r="BA23" s="11">
        <f ca="1">IFERROR(OFFSET(ITEM_RES!$A$1,MATCH(BB23,ITEM_RES!$J:$J,0)-1,0),0)</f>
        <v>0</v>
      </c>
      <c r="BF23" s="11">
        <f ca="1">IFERROR(OFFSET(ITEM_RES!$A$1,MATCH(BG23,ITEM_RES!$J:$J,0)-1,0),0)</f>
        <v>0</v>
      </c>
      <c r="BK23" s="11">
        <f ca="1">IFERROR(OFFSET(ITEM_RES!$A$1,MATCH(BL23,ITEM_RES!$J:$J,0)-1,0),0)</f>
        <v>0</v>
      </c>
      <c r="BM23" s="11">
        <f t="shared" si="5"/>
        <v>0</v>
      </c>
    </row>
    <row r="24" spans="1:66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1320</v>
      </c>
      <c r="M24" s="9">
        <v>0</v>
      </c>
      <c r="N24" s="9">
        <v>15</v>
      </c>
      <c r="O24" s="9" t="s">
        <v>1397</v>
      </c>
      <c r="P24" s="55" t="s">
        <v>1399</v>
      </c>
      <c r="Q24" s="9" t="s">
        <v>665</v>
      </c>
      <c r="T24" s="9">
        <f ca="1">IFERROR(OFFSET(ITEM_RES!$A$5,MATCH(BUILDING!S24,ITEM_RES!$J$5:$J$229,0)-1,0),0)</f>
        <v>0</v>
      </c>
      <c r="V24" s="81" t="s">
        <v>523</v>
      </c>
      <c r="W24" s="11">
        <f ca="1">IFERROR(OFFSET(ITEM_RES!$A$5,MATCH(BUILDING!V24,ITEM_RES!$J$5:$J$229,0)-1,0),0)</f>
        <v>211010101</v>
      </c>
      <c r="Y24" s="9" t="s">
        <v>494</v>
      </c>
      <c r="Z24" s="9">
        <v>20</v>
      </c>
      <c r="AB24" s="11">
        <f ca="1">IFERROR(OFFSET(MANOR_LEVEL!$B$1,MATCH(AC24-1,MANOR_LEVEL!$A:$A,0)-1,0),0)</f>
        <v>85000000</v>
      </c>
      <c r="AC24" s="55">
        <v>17</v>
      </c>
      <c r="AE24" s="11">
        <f t="shared" ca="1" si="3"/>
        <v>26650000</v>
      </c>
      <c r="AF24" s="10">
        <f ca="1">AK24+AM24+(IFERROR(OFFSET(ITEM_RES!$R$1,MATCH(AQ24,ITEM_RES!$A:$A,0)-1,0),0)*AS24+IFERROR(OFFSET(ITEM_RES!$R$1,MATCH(AV24,ITEM_RES!$A:$A,0)-1,0),0)*AX24+IFERROR(OFFSET(ITEM_RES!$R$1,MATCH(BA24,ITEM_RES!$A:$A,0)-1,0),0)*BC24+IFERROR(OFFSET(ITEM_RES!$R$1,MATCH(BF24,ITEM_RES!$A:$A,0)-1,0),0)*BH24+IFERROR(OFFSET(ITEM_RES!$R$1,MATCH(BK24,ITEM_RES!$A:$A,0)-1,0),0)*BM24)/1000</f>
        <v>26650000</v>
      </c>
      <c r="AG24" s="176">
        <f t="shared" ca="1" si="9"/>
        <v>66404431</v>
      </c>
      <c r="AI24" s="11">
        <f t="shared" si="4"/>
        <v>1980</v>
      </c>
      <c r="AJ24" s="10">
        <v>1980</v>
      </c>
      <c r="AK24" s="11">
        <f t="shared" si="6"/>
        <v>0</v>
      </c>
      <c r="AL24" s="10">
        <v>0</v>
      </c>
      <c r="AM24" s="11">
        <f t="shared" si="7"/>
        <v>0</v>
      </c>
      <c r="AN24" s="10">
        <v>0</v>
      </c>
      <c r="AO24" s="55">
        <f t="shared" si="8"/>
        <v>2</v>
      </c>
      <c r="AQ24" s="11">
        <f ca="1">IFERROR(OFFSET(ITEM_RES!$A$1,MATCH(AR24,ITEM_RES!$J:$J,0)-1,0),0)</f>
        <v>211010601</v>
      </c>
      <c r="AR24" s="10" t="s">
        <v>432</v>
      </c>
      <c r="AS24" s="11">
        <v>16000000</v>
      </c>
      <c r="AV24" s="11">
        <f ca="1">IFERROR(OFFSET(ITEM_RES!$A$1,MATCH(AW24,ITEM_RES!$J:$J,0)-1,0),0)</f>
        <v>211020101</v>
      </c>
      <c r="AW24" s="10" t="s">
        <v>436</v>
      </c>
      <c r="AX24" s="11">
        <v>2100000</v>
      </c>
      <c r="BA24" s="11">
        <f ca="1">IFERROR(OFFSET(ITEM_RES!$A$1,MATCH(BB24,ITEM_RES!$J:$J,0)-1,0),0)</f>
        <v>0</v>
      </c>
      <c r="BF24" s="11">
        <f ca="1">IFERROR(OFFSET(ITEM_RES!$A$1,MATCH(BG24,ITEM_RES!$J:$J,0)-1,0),0)</f>
        <v>0</v>
      </c>
      <c r="BK24" s="11">
        <f ca="1">IFERROR(OFFSET(ITEM_RES!$A$1,MATCH(BL24,ITEM_RES!$J:$J,0)-1,0),0)</f>
        <v>0</v>
      </c>
      <c r="BM24" s="11">
        <f t="shared" si="5"/>
        <v>0</v>
      </c>
    </row>
    <row r="25" spans="1:66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76"/>
      <c r="H25" s="16">
        <v>1</v>
      </c>
      <c r="I25" s="16">
        <v>1</v>
      </c>
      <c r="J25" s="76"/>
      <c r="K25" s="16" t="s">
        <v>550</v>
      </c>
      <c r="L25" s="16">
        <v>4</v>
      </c>
      <c r="M25" s="16">
        <v>1</v>
      </c>
      <c r="N25" s="16">
        <v>15</v>
      </c>
      <c r="O25" s="16" t="s">
        <v>1071</v>
      </c>
      <c r="P25" s="56" t="s">
        <v>1332</v>
      </c>
      <c r="Q25" s="16" t="s">
        <v>667</v>
      </c>
      <c r="R25" s="76"/>
      <c r="S25" s="83"/>
      <c r="T25" s="16">
        <f ca="1">IFERROR(OFFSET(ITEM_RES!$A$5,MATCH(BUILDING!S25,ITEM_RES!$J$5:$J$229,0)-1,0),0)</f>
        <v>0</v>
      </c>
      <c r="U25" s="18"/>
      <c r="V25" s="83" t="s">
        <v>524</v>
      </c>
      <c r="W25" s="18">
        <f ca="1">IFERROR(OFFSET(ITEM_RES!$A$5,MATCH(BUILDING!V25,ITEM_RES!$J$5:$J$229,0)-1,0),0)</f>
        <v>211010201</v>
      </c>
      <c r="X25" s="76"/>
      <c r="Y25" s="16" t="s">
        <v>495</v>
      </c>
      <c r="Z25" s="16">
        <v>1</v>
      </c>
      <c r="AA25" s="76"/>
      <c r="AB25" s="18">
        <f ca="1">IFERROR(OFFSET(MANOR_LEVEL!$B$1,MATCH(AC25-1,MANOR_LEVEL!$A:$A,0)-1,0),0)</f>
        <v>11000</v>
      </c>
      <c r="AC25" s="56">
        <v>5</v>
      </c>
      <c r="AD25" s="76"/>
      <c r="AE25" s="18">
        <f ca="1">ROUND(AF25,0)</f>
        <v>1050</v>
      </c>
      <c r="AF25" s="17">
        <f ca="1">AK25+AM25+(IFERROR(OFFSET(ITEM_RES!$R$1,MATCH(AQ25,ITEM_RES!$A:$A,0)-1,0),0)*AS25+IFERROR(OFFSET(ITEM_RES!$R$1,MATCH(AV25,ITEM_RES!$A:$A,0)-1,0),0)*AX25+IFERROR(OFFSET(ITEM_RES!$R$1,MATCH(BA25,ITEM_RES!$A:$A,0)-1,0),0)*BC25+IFERROR(OFFSET(ITEM_RES!$R$1,MATCH(BF25,ITEM_RES!$A:$A,0)-1,0),0)*BH25+IFERROR(OFFSET(ITEM_RES!$R$1,MATCH(BK25,ITEM_RES!$A:$A,0)-1,0),0)*BM25)/1000</f>
        <v>1050</v>
      </c>
      <c r="AG25" s="178">
        <f ca="1">AE25</f>
        <v>1050</v>
      </c>
      <c r="AH25" s="76"/>
      <c r="AI25" s="18">
        <f t="shared" si="4"/>
        <v>2</v>
      </c>
      <c r="AJ25" s="17">
        <v>2</v>
      </c>
      <c r="AK25" s="18">
        <f t="shared" si="6"/>
        <v>0</v>
      </c>
      <c r="AL25" s="17">
        <v>0</v>
      </c>
      <c r="AM25" s="18">
        <f t="shared" si="7"/>
        <v>0</v>
      </c>
      <c r="AN25" s="17">
        <v>0</v>
      </c>
      <c r="AO25" s="56">
        <f t="shared" si="8"/>
        <v>2</v>
      </c>
      <c r="AP25" s="18"/>
      <c r="AQ25" s="18">
        <f ca="1">IFERROR(OFFSET(ITEM_RES!$A$1,MATCH(AR25,ITEM_RES!$J:$J,0)-1,0),0)</f>
        <v>211010501</v>
      </c>
      <c r="AR25" s="17" t="s">
        <v>420</v>
      </c>
      <c r="AS25" s="18">
        <v>50</v>
      </c>
      <c r="AT25" s="17"/>
      <c r="AU25" s="18"/>
      <c r="AV25" s="18">
        <f ca="1">IFERROR(OFFSET(ITEM_RES!$A$1,MATCH(AW25,ITEM_RES!$J:$J,0)-1,0),0)</f>
        <v>0</v>
      </c>
      <c r="AW25" s="17"/>
      <c r="AX25" s="18"/>
      <c r="AY25" s="17"/>
      <c r="AZ25" s="18"/>
      <c r="BA25" s="18">
        <f ca="1">IFERROR(OFFSET(ITEM_RES!$A$1,MATCH(BB25,ITEM_RES!$J:$J,0)-1,0),0)</f>
        <v>213010101</v>
      </c>
      <c r="BB25" s="17" t="s">
        <v>440</v>
      </c>
      <c r="BC25" s="18">
        <v>1</v>
      </c>
      <c r="BD25" s="17"/>
      <c r="BE25" s="18"/>
      <c r="BF25" s="18">
        <f ca="1">IFERROR(OFFSET(ITEM_RES!$A$1,MATCH(BG25,ITEM_RES!$J:$J,0)-1,0),0)</f>
        <v>0</v>
      </c>
      <c r="BG25" s="17"/>
      <c r="BH25" s="18"/>
      <c r="BI25" s="17"/>
      <c r="BJ25" s="18"/>
      <c r="BK25" s="18">
        <f ca="1">IFERROR(OFFSET(ITEM_RES!$A$1,MATCH(BL25,ITEM_RES!$J:$J,0)-1,0),0)</f>
        <v>0</v>
      </c>
      <c r="BL25" s="17"/>
      <c r="BM25" s="18">
        <f t="shared" si="5"/>
        <v>0</v>
      </c>
      <c r="BN25" s="17"/>
    </row>
    <row r="26" spans="1:66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355</v>
      </c>
      <c r="M26" s="9">
        <v>1</v>
      </c>
      <c r="N26" s="9">
        <v>15</v>
      </c>
      <c r="O26" s="9" t="s">
        <v>1072</v>
      </c>
      <c r="P26" s="55" t="s">
        <v>1332</v>
      </c>
      <c r="Q26" s="9" t="s">
        <v>667</v>
      </c>
      <c r="T26" s="9">
        <f ca="1">IFERROR(OFFSET(ITEM_RES!$A$5,MATCH(BUILDING!S26,ITEM_RES!$J$5:$J$229,0)-1,0),0)</f>
        <v>0</v>
      </c>
      <c r="V26" s="81" t="s">
        <v>524</v>
      </c>
      <c r="W26" s="11">
        <f ca="1">IFERROR(OFFSET(ITEM_RES!$A$5,MATCH(BUILDING!V26,ITEM_RES!$J$5:$J$229,0)-1,0),0)</f>
        <v>211010201</v>
      </c>
      <c r="Y26" s="9" t="s">
        <v>495</v>
      </c>
      <c r="Z26" s="9">
        <v>2</v>
      </c>
      <c r="AB26" s="11">
        <f ca="1">IFERROR(OFFSET(MANOR_LEVEL!$B$1,MATCH(AC26-1,MANOR_LEVEL!$A:$A,0)-1,0),0)</f>
        <v>17000</v>
      </c>
      <c r="AC26" s="55">
        <v>6</v>
      </c>
      <c r="AE26" s="11">
        <f t="shared" ref="AE26:AE89" ca="1" si="10">ROUND(AF26,0)</f>
        <v>100</v>
      </c>
      <c r="AF26" s="10">
        <f ca="1">AK26+AM26+(IFERROR(OFFSET(ITEM_RES!$R$1,MATCH(AQ26,ITEM_RES!$A:$A,0)-1,0),0)*AS26+IFERROR(OFFSET(ITEM_RES!$R$1,MATCH(AV26,ITEM_RES!$A:$A,0)-1,0),0)*AX26+IFERROR(OFFSET(ITEM_RES!$R$1,MATCH(BA26,ITEM_RES!$A:$A,0)-1,0),0)*BC26+IFERROR(OFFSET(ITEM_RES!$R$1,MATCH(BF26,ITEM_RES!$A:$A,0)-1,0),0)*BH26+IFERROR(OFFSET(ITEM_RES!$R$1,MATCH(BK26,ITEM_RES!$A:$A,0)-1,0),0)*BM26)/1000</f>
        <v>100</v>
      </c>
      <c r="AG26" s="176">
        <f ca="1">AE25+AE26</f>
        <v>1150</v>
      </c>
      <c r="AI26" s="11">
        <f t="shared" si="4"/>
        <v>2</v>
      </c>
      <c r="AJ26" s="10">
        <v>2</v>
      </c>
      <c r="AK26" s="11">
        <f t="shared" si="6"/>
        <v>0</v>
      </c>
      <c r="AL26" s="10">
        <v>0</v>
      </c>
      <c r="AM26" s="11">
        <f t="shared" si="7"/>
        <v>0</v>
      </c>
      <c r="AN26" s="10">
        <v>0</v>
      </c>
      <c r="AO26" s="55">
        <f t="shared" si="8"/>
        <v>1</v>
      </c>
      <c r="AQ26" s="11">
        <f ca="1">IFERROR(OFFSET(ITEM_RES!$A$1,MATCH(AR26,ITEM_RES!$J:$J,0)-1,0),0)</f>
        <v>211010501</v>
      </c>
      <c r="AR26" s="10" t="s">
        <v>420</v>
      </c>
      <c r="AS26" s="11">
        <v>100</v>
      </c>
      <c r="AV26" s="11">
        <f ca="1">IFERROR(OFFSET(ITEM_RES!$A$1,MATCH(AW26,ITEM_RES!$J:$J,0)-1,0),0)</f>
        <v>0</v>
      </c>
      <c r="BA26" s="11">
        <f ca="1">IFERROR(OFFSET(ITEM_RES!$A$1,MATCH(BB26,ITEM_RES!$J:$J,0)-1,0),0)</f>
        <v>0</v>
      </c>
      <c r="BF26" s="11">
        <f ca="1">IFERROR(OFFSET(ITEM_RES!$A$1,MATCH(BG26,ITEM_RES!$J:$J,0)-1,0),0)</f>
        <v>0</v>
      </c>
      <c r="BK26" s="11">
        <f ca="1">IFERROR(OFFSET(ITEM_RES!$A$1,MATCH(BL26,ITEM_RES!$J:$J,0)-1,0),0)</f>
        <v>0</v>
      </c>
      <c r="BM26" s="11">
        <f t="shared" si="5"/>
        <v>0</v>
      </c>
    </row>
    <row r="27" spans="1:66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355</v>
      </c>
      <c r="M27" s="9">
        <v>1</v>
      </c>
      <c r="N27" s="9">
        <v>15</v>
      </c>
      <c r="O27" s="9" t="s">
        <v>1073</v>
      </c>
      <c r="P27" s="55" t="s">
        <v>1333</v>
      </c>
      <c r="Q27" s="9" t="s">
        <v>667</v>
      </c>
      <c r="T27" s="9">
        <f ca="1">IFERROR(OFFSET(ITEM_RES!$A$5,MATCH(BUILDING!S27,ITEM_RES!$J$5:$J$229,0)-1,0),0)</f>
        <v>0</v>
      </c>
      <c r="V27" s="81" t="s">
        <v>524</v>
      </c>
      <c r="W27" s="11">
        <f ca="1">IFERROR(OFFSET(ITEM_RES!$A$5,MATCH(BUILDING!V27,ITEM_RES!$J$5:$J$229,0)-1,0),0)</f>
        <v>211010201</v>
      </c>
      <c r="Y27" s="9" t="s">
        <v>495</v>
      </c>
      <c r="Z27" s="9">
        <v>3</v>
      </c>
      <c r="AB27" s="11">
        <f ca="1">IFERROR(OFFSET(MANOR_LEVEL!$B$1,MATCH(AC27-1,MANOR_LEVEL!$A:$A,0)-1,0),0)</f>
        <v>40000</v>
      </c>
      <c r="AC27" s="55">
        <v>7</v>
      </c>
      <c r="AE27" s="11">
        <f t="shared" ca="1" si="10"/>
        <v>150</v>
      </c>
      <c r="AF27" s="10">
        <f ca="1">AK27+AM27+(IFERROR(OFFSET(ITEM_RES!$R$1,MATCH(AQ27,ITEM_RES!$A:$A,0)-1,0),0)*AS27+IFERROR(OFFSET(ITEM_RES!$R$1,MATCH(AV27,ITEM_RES!$A:$A,0)-1,0),0)*AX27+IFERROR(OFFSET(ITEM_RES!$R$1,MATCH(BA27,ITEM_RES!$A:$A,0)-1,0),0)*BC27+IFERROR(OFFSET(ITEM_RES!$R$1,MATCH(BF27,ITEM_RES!$A:$A,0)-1,0),0)*BH27+IFERROR(OFFSET(ITEM_RES!$R$1,MATCH(BK27,ITEM_RES!$A:$A,0)-1,0),0)*BM27)/1000</f>
        <v>150</v>
      </c>
      <c r="AG27" s="176">
        <f t="shared" ref="AG27:AG44" ca="1" si="11">AE26+AE27</f>
        <v>250</v>
      </c>
      <c r="AI27" s="11">
        <f t="shared" si="4"/>
        <v>3</v>
      </c>
      <c r="AJ27" s="10">
        <v>3</v>
      </c>
      <c r="AK27" s="11">
        <f t="shared" si="6"/>
        <v>0</v>
      </c>
      <c r="AL27" s="10">
        <v>0</v>
      </c>
      <c r="AM27" s="11">
        <f t="shared" si="7"/>
        <v>0</v>
      </c>
      <c r="AN27" s="10">
        <v>0</v>
      </c>
      <c r="AO27" s="55">
        <f t="shared" si="8"/>
        <v>1</v>
      </c>
      <c r="AQ27" s="11">
        <f ca="1">IFERROR(OFFSET(ITEM_RES!$A$1,MATCH(AR27,ITEM_RES!$J:$J,0)-1,0),0)</f>
        <v>211010501</v>
      </c>
      <c r="AR27" s="10" t="s">
        <v>420</v>
      </c>
      <c r="AS27" s="11">
        <v>150</v>
      </c>
      <c r="AV27" s="11">
        <f ca="1">IFERROR(OFFSET(ITEM_RES!$A$1,MATCH(AW27,ITEM_RES!$J:$J,0)-1,0),0)</f>
        <v>0</v>
      </c>
      <c r="BA27" s="11">
        <f ca="1">IFERROR(OFFSET(ITEM_RES!$A$1,MATCH(BB27,ITEM_RES!$J:$J,0)-1,0),0)</f>
        <v>0</v>
      </c>
      <c r="BF27" s="11">
        <f ca="1">IFERROR(OFFSET(ITEM_RES!$A$1,MATCH(BG27,ITEM_RES!$J:$J,0)-1,0),0)</f>
        <v>0</v>
      </c>
      <c r="BK27" s="11">
        <f ca="1">IFERROR(OFFSET(ITEM_RES!$A$1,MATCH(BL27,ITEM_RES!$J:$J,0)-1,0),0)</f>
        <v>0</v>
      </c>
      <c r="BM27" s="11">
        <f t="shared" si="5"/>
        <v>0</v>
      </c>
    </row>
    <row r="28" spans="1:66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355</v>
      </c>
      <c r="M28" s="9">
        <v>1</v>
      </c>
      <c r="N28" s="9">
        <v>15</v>
      </c>
      <c r="O28" s="9" t="s">
        <v>1073</v>
      </c>
      <c r="P28" s="55" t="s">
        <v>1333</v>
      </c>
      <c r="Q28" s="9" t="s">
        <v>667</v>
      </c>
      <c r="T28" s="9">
        <f ca="1">IFERROR(OFFSET(ITEM_RES!$A$5,MATCH(BUILDING!S28,ITEM_RES!$J$5:$J$229,0)-1,0),0)</f>
        <v>0</v>
      </c>
      <c r="V28" s="81" t="s">
        <v>524</v>
      </c>
      <c r="W28" s="11">
        <f ca="1">IFERROR(OFFSET(ITEM_RES!$A$5,MATCH(BUILDING!V28,ITEM_RES!$J$5:$J$229,0)-1,0),0)</f>
        <v>211010201</v>
      </c>
      <c r="Y28" s="9" t="s">
        <v>495</v>
      </c>
      <c r="Z28" s="9">
        <v>4</v>
      </c>
      <c r="AB28" s="11">
        <f ca="1">IFERROR(OFFSET(MANOR_LEVEL!$B$1,MATCH(AC28-1,MANOR_LEVEL!$A:$A,0)-1,0),0)</f>
        <v>40000</v>
      </c>
      <c r="AC28" s="55">
        <v>7</v>
      </c>
      <c r="AE28" s="11">
        <f t="shared" ca="1" si="10"/>
        <v>600</v>
      </c>
      <c r="AF28" s="10">
        <f ca="1">AK28+AM28+(IFERROR(OFFSET(ITEM_RES!$R$1,MATCH(AQ28,ITEM_RES!$A:$A,0)-1,0),0)*AS28+IFERROR(OFFSET(ITEM_RES!$R$1,MATCH(AV28,ITEM_RES!$A:$A,0)-1,0),0)*AX28+IFERROR(OFFSET(ITEM_RES!$R$1,MATCH(BA28,ITEM_RES!$A:$A,0)-1,0),0)*BC28+IFERROR(OFFSET(ITEM_RES!$R$1,MATCH(BF28,ITEM_RES!$A:$A,0)-1,0),0)*BH28+IFERROR(OFFSET(ITEM_RES!$R$1,MATCH(BK28,ITEM_RES!$A:$A,0)-1,0),0)*BM28)/1000</f>
        <v>600</v>
      </c>
      <c r="AG28" s="176">
        <f t="shared" ca="1" si="11"/>
        <v>750</v>
      </c>
      <c r="AI28" s="11">
        <f t="shared" si="4"/>
        <v>5</v>
      </c>
      <c r="AJ28" s="10">
        <v>5</v>
      </c>
      <c r="AK28" s="11">
        <f t="shared" si="6"/>
        <v>0</v>
      </c>
      <c r="AL28" s="10">
        <v>0</v>
      </c>
      <c r="AM28" s="11">
        <f t="shared" si="7"/>
        <v>0</v>
      </c>
      <c r="AN28" s="10">
        <v>0</v>
      </c>
      <c r="AO28" s="55">
        <f t="shared" si="8"/>
        <v>1</v>
      </c>
      <c r="AQ28" s="11">
        <f ca="1">IFERROR(OFFSET(ITEM_RES!$A$1,MATCH(AR28,ITEM_RES!$J:$J,0)-1,0),0)</f>
        <v>211010501</v>
      </c>
      <c r="AR28" s="10" t="s">
        <v>420</v>
      </c>
      <c r="AS28" s="11">
        <v>600</v>
      </c>
      <c r="AV28" s="11">
        <f ca="1">IFERROR(OFFSET(ITEM_RES!$A$1,MATCH(AW28,ITEM_RES!$J:$J,0)-1,0),0)</f>
        <v>0</v>
      </c>
      <c r="BA28" s="11">
        <f ca="1">IFERROR(OFFSET(ITEM_RES!$A$1,MATCH(BB28,ITEM_RES!$J:$J,0)-1,0),0)</f>
        <v>0</v>
      </c>
      <c r="BF28" s="11">
        <f ca="1">IFERROR(OFFSET(ITEM_RES!$A$1,MATCH(BG28,ITEM_RES!$J:$J,0)-1,0),0)</f>
        <v>0</v>
      </c>
      <c r="BK28" s="11">
        <f ca="1">IFERROR(OFFSET(ITEM_RES!$A$1,MATCH(BL28,ITEM_RES!$J:$J,0)-1,0),0)</f>
        <v>0</v>
      </c>
      <c r="BM28" s="11">
        <f t="shared" si="5"/>
        <v>0</v>
      </c>
    </row>
    <row r="29" spans="1:66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355</v>
      </c>
      <c r="M29" s="9">
        <v>1</v>
      </c>
      <c r="N29" s="9">
        <v>15</v>
      </c>
      <c r="O29" s="9" t="s">
        <v>1074</v>
      </c>
      <c r="P29" s="55" t="s">
        <v>1334</v>
      </c>
      <c r="Q29" s="9" t="s">
        <v>667</v>
      </c>
      <c r="T29" s="9">
        <f ca="1">IFERROR(OFFSET(ITEM_RES!$A$5,MATCH(BUILDING!S29,ITEM_RES!$J$5:$J$229,0)-1,0),0)</f>
        <v>0</v>
      </c>
      <c r="V29" s="81" t="s">
        <v>524</v>
      </c>
      <c r="W29" s="11">
        <f ca="1">IFERROR(OFFSET(ITEM_RES!$A$5,MATCH(BUILDING!V29,ITEM_RES!$J$5:$J$229,0)-1,0),0)</f>
        <v>211010201</v>
      </c>
      <c r="Y29" s="9" t="s">
        <v>495</v>
      </c>
      <c r="Z29" s="9">
        <v>5</v>
      </c>
      <c r="AB29" s="11">
        <f ca="1">IFERROR(OFFSET(MANOR_LEVEL!$B$1,MATCH(AC29-1,MANOR_LEVEL!$A:$A,0)-1,0),0)</f>
        <v>40000</v>
      </c>
      <c r="AC29" s="55">
        <v>7</v>
      </c>
      <c r="AE29" s="11">
        <f t="shared" ca="1" si="10"/>
        <v>2700</v>
      </c>
      <c r="AF29" s="10">
        <f ca="1">AK29+AM29+(IFERROR(OFFSET(ITEM_RES!$R$1,MATCH(AQ29,ITEM_RES!$A:$A,0)-1,0),0)*AS29+IFERROR(OFFSET(ITEM_RES!$R$1,MATCH(AV29,ITEM_RES!$A:$A,0)-1,0),0)*AX29+IFERROR(OFFSET(ITEM_RES!$R$1,MATCH(BA29,ITEM_RES!$A:$A,0)-1,0),0)*BC29+IFERROR(OFFSET(ITEM_RES!$R$1,MATCH(BF29,ITEM_RES!$A:$A,0)-1,0),0)*BH29+IFERROR(OFFSET(ITEM_RES!$R$1,MATCH(BK29,ITEM_RES!$A:$A,0)-1,0),0)*BM29)/1000</f>
        <v>2700</v>
      </c>
      <c r="AG29" s="176">
        <f t="shared" ca="1" si="11"/>
        <v>3300</v>
      </c>
      <c r="AI29" s="11">
        <f t="shared" si="4"/>
        <v>8</v>
      </c>
      <c r="AJ29" s="10">
        <v>8</v>
      </c>
      <c r="AK29" s="11">
        <f t="shared" si="6"/>
        <v>0</v>
      </c>
      <c r="AL29" s="10">
        <v>0</v>
      </c>
      <c r="AM29" s="11">
        <f t="shared" si="7"/>
        <v>0</v>
      </c>
      <c r="AN29" s="10">
        <v>0</v>
      </c>
      <c r="AO29" s="55">
        <f t="shared" si="8"/>
        <v>1</v>
      </c>
      <c r="AQ29" s="11">
        <f ca="1">IFERROR(OFFSET(ITEM_RES!$A$1,MATCH(AR29,ITEM_RES!$J:$J,0)-1,0),0)</f>
        <v>211010501</v>
      </c>
      <c r="AR29" s="10" t="s">
        <v>420</v>
      </c>
      <c r="AS29" s="11">
        <v>2700</v>
      </c>
      <c r="AV29" s="11">
        <f ca="1">IFERROR(OFFSET(ITEM_RES!$A$1,MATCH(AW29,ITEM_RES!$J:$J,0)-1,0),0)</f>
        <v>0</v>
      </c>
      <c r="BA29" s="11">
        <f ca="1">IFERROR(OFFSET(ITEM_RES!$A$1,MATCH(BB29,ITEM_RES!$J:$J,0)-1,0),0)</f>
        <v>0</v>
      </c>
      <c r="BF29" s="11">
        <f ca="1">IFERROR(OFFSET(ITEM_RES!$A$1,MATCH(BG29,ITEM_RES!$J:$J,0)-1,0),0)</f>
        <v>0</v>
      </c>
      <c r="BK29" s="11">
        <f ca="1">IFERROR(OFFSET(ITEM_RES!$A$1,MATCH(BL29,ITEM_RES!$J:$J,0)-1,0),0)</f>
        <v>0</v>
      </c>
      <c r="BM29" s="11">
        <f t="shared" si="5"/>
        <v>0</v>
      </c>
    </row>
    <row r="30" spans="1:66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355</v>
      </c>
      <c r="M30" s="9">
        <v>1</v>
      </c>
      <c r="N30" s="9">
        <v>15</v>
      </c>
      <c r="O30" s="9" t="s">
        <v>1075</v>
      </c>
      <c r="P30" s="55" t="s">
        <v>1334</v>
      </c>
      <c r="Q30" s="9" t="s">
        <v>667</v>
      </c>
      <c r="T30" s="9">
        <f ca="1">IFERROR(OFFSET(ITEM_RES!$A$5,MATCH(BUILDING!S30,ITEM_RES!$J$5:$J$229,0)-1,0),0)</f>
        <v>0</v>
      </c>
      <c r="V30" s="81" t="s">
        <v>524</v>
      </c>
      <c r="W30" s="11">
        <f ca="1">IFERROR(OFFSET(ITEM_RES!$A$5,MATCH(BUILDING!V30,ITEM_RES!$J$5:$J$229,0)-1,0),0)</f>
        <v>211010201</v>
      </c>
      <c r="Y30" s="9" t="s">
        <v>495</v>
      </c>
      <c r="Z30" s="9">
        <v>6</v>
      </c>
      <c r="AB30" s="11">
        <f ca="1">IFERROR(OFFSET(MANOR_LEVEL!$B$1,MATCH(AC30-1,MANOR_LEVEL!$A:$A,0)-1,0),0)</f>
        <v>40000</v>
      </c>
      <c r="AC30" s="55">
        <v>7</v>
      </c>
      <c r="AE30" s="11">
        <f t="shared" ca="1" si="10"/>
        <v>9005</v>
      </c>
      <c r="AF30" s="10">
        <f ca="1">AK30+AM30+(IFERROR(OFFSET(ITEM_RES!$R$1,MATCH(AQ30,ITEM_RES!$A:$A,0)-1,0),0)*AS30+IFERROR(OFFSET(ITEM_RES!$R$1,MATCH(AV30,ITEM_RES!$A:$A,0)-1,0),0)*AX30+IFERROR(OFFSET(ITEM_RES!$R$1,MATCH(BA30,ITEM_RES!$A:$A,0)-1,0),0)*BC30+IFERROR(OFFSET(ITEM_RES!$R$1,MATCH(BF30,ITEM_RES!$A:$A,0)-1,0),0)*BH30+IFERROR(OFFSET(ITEM_RES!$R$1,MATCH(BK30,ITEM_RES!$A:$A,0)-1,0),0)*BM30)/1000</f>
        <v>9005</v>
      </c>
      <c r="AG30" s="176">
        <f t="shared" ca="1" si="11"/>
        <v>11705</v>
      </c>
      <c r="AI30" s="11">
        <f t="shared" si="4"/>
        <v>10</v>
      </c>
      <c r="AJ30" s="10">
        <v>10</v>
      </c>
      <c r="AK30" s="11">
        <f t="shared" si="6"/>
        <v>0</v>
      </c>
      <c r="AL30" s="10">
        <v>0</v>
      </c>
      <c r="AM30" s="11">
        <f t="shared" si="7"/>
        <v>0</v>
      </c>
      <c r="AN30" s="10">
        <v>0</v>
      </c>
      <c r="AO30" s="55">
        <f t="shared" si="8"/>
        <v>2</v>
      </c>
      <c r="AQ30" s="11">
        <f ca="1">IFERROR(OFFSET(ITEM_RES!$A$1,MATCH(AR30,ITEM_RES!$J:$J,0)-1,0),0)</f>
        <v>211010501</v>
      </c>
      <c r="AR30" s="10" t="s">
        <v>420</v>
      </c>
      <c r="AS30" s="11">
        <v>9000</v>
      </c>
      <c r="AV30" s="11">
        <f ca="1">IFERROR(OFFSET(ITEM_RES!$A$1,MATCH(AW30,ITEM_RES!$J:$J,0)-1,0),0)</f>
        <v>211020101</v>
      </c>
      <c r="AW30" s="10" t="s">
        <v>436</v>
      </c>
      <c r="AX30" s="11">
        <v>10</v>
      </c>
      <c r="BA30" s="11">
        <f ca="1">IFERROR(OFFSET(ITEM_RES!$A$1,MATCH(BB30,ITEM_RES!$J:$J,0)-1,0),0)</f>
        <v>0</v>
      </c>
      <c r="BF30" s="11">
        <f ca="1">IFERROR(OFFSET(ITEM_RES!$A$1,MATCH(BG30,ITEM_RES!$J:$J,0)-1,0),0)</f>
        <v>0</v>
      </c>
      <c r="BK30" s="11">
        <f ca="1">IFERROR(OFFSET(ITEM_RES!$A$1,MATCH(BL30,ITEM_RES!$J:$J,0)-1,0),0)</f>
        <v>0</v>
      </c>
      <c r="BM30" s="11">
        <f t="shared" si="5"/>
        <v>0</v>
      </c>
    </row>
    <row r="31" spans="1:66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355</v>
      </c>
      <c r="M31" s="9">
        <v>1</v>
      </c>
      <c r="N31" s="9">
        <v>15</v>
      </c>
      <c r="O31" s="9" t="s">
        <v>1076</v>
      </c>
      <c r="P31" s="55" t="s">
        <v>1335</v>
      </c>
      <c r="Q31" s="9" t="s">
        <v>667</v>
      </c>
      <c r="T31" s="9">
        <f ca="1">IFERROR(OFFSET(ITEM_RES!$A$5,MATCH(BUILDING!S31,ITEM_RES!$J$5:$J$229,0)-1,0),0)</f>
        <v>0</v>
      </c>
      <c r="V31" s="81" t="s">
        <v>524</v>
      </c>
      <c r="W31" s="11">
        <f ca="1">IFERROR(OFFSET(ITEM_RES!$A$5,MATCH(BUILDING!V31,ITEM_RES!$J$5:$J$229,0)-1,0),0)</f>
        <v>211010201</v>
      </c>
      <c r="Y31" s="9" t="s">
        <v>495</v>
      </c>
      <c r="Z31" s="9">
        <v>7</v>
      </c>
      <c r="AB31" s="11">
        <f ca="1">IFERROR(OFFSET(MANOR_LEVEL!$B$1,MATCH(AC31-1,MANOR_LEVEL!$A:$A,0)-1,0),0)</f>
        <v>40000</v>
      </c>
      <c r="AC31" s="55">
        <v>7</v>
      </c>
      <c r="AE31" s="11">
        <f t="shared" ca="1" si="10"/>
        <v>20010</v>
      </c>
      <c r="AF31" s="10">
        <f ca="1">AK31+AM31+(IFERROR(OFFSET(ITEM_RES!$R$1,MATCH(AQ31,ITEM_RES!$A:$A,0)-1,0),0)*AS31+IFERROR(OFFSET(ITEM_RES!$R$1,MATCH(AV31,ITEM_RES!$A:$A,0)-1,0),0)*AX31+IFERROR(OFFSET(ITEM_RES!$R$1,MATCH(BA31,ITEM_RES!$A:$A,0)-1,0),0)*BC31+IFERROR(OFFSET(ITEM_RES!$R$1,MATCH(BF31,ITEM_RES!$A:$A,0)-1,0),0)*BH31+IFERROR(OFFSET(ITEM_RES!$R$1,MATCH(BK31,ITEM_RES!$A:$A,0)-1,0),0)*BM31)/1000</f>
        <v>20010</v>
      </c>
      <c r="AG31" s="176">
        <f t="shared" ca="1" si="11"/>
        <v>29015</v>
      </c>
      <c r="AI31" s="11">
        <f t="shared" si="4"/>
        <v>15</v>
      </c>
      <c r="AJ31" s="10">
        <v>15</v>
      </c>
      <c r="AK31" s="11">
        <f t="shared" si="6"/>
        <v>0</v>
      </c>
      <c r="AL31" s="10">
        <v>0</v>
      </c>
      <c r="AM31" s="11">
        <f t="shared" si="7"/>
        <v>0</v>
      </c>
      <c r="AN31" s="10">
        <v>0</v>
      </c>
      <c r="AO31" s="55">
        <f t="shared" si="8"/>
        <v>2</v>
      </c>
      <c r="AQ31" s="11">
        <f ca="1">IFERROR(OFFSET(ITEM_RES!$A$1,MATCH(AR31,ITEM_RES!$J:$J,0)-1,0),0)</f>
        <v>211010501</v>
      </c>
      <c r="AR31" s="10" t="s">
        <v>420</v>
      </c>
      <c r="AS31" s="11">
        <v>20000</v>
      </c>
      <c r="AV31" s="11">
        <f ca="1">IFERROR(OFFSET(ITEM_RES!$A$1,MATCH(AW31,ITEM_RES!$J:$J,0)-1,0),0)</f>
        <v>211020101</v>
      </c>
      <c r="AW31" s="10" t="s">
        <v>436</v>
      </c>
      <c r="AX31" s="11">
        <v>20</v>
      </c>
      <c r="BA31" s="11">
        <f ca="1">IFERROR(OFFSET(ITEM_RES!$A$1,MATCH(BB31,ITEM_RES!$J:$J,0)-1,0),0)</f>
        <v>0</v>
      </c>
      <c r="BF31" s="11">
        <f ca="1">IFERROR(OFFSET(ITEM_RES!$A$1,MATCH(BG31,ITEM_RES!$J:$J,0)-1,0),0)</f>
        <v>0</v>
      </c>
      <c r="BK31" s="11">
        <f ca="1">IFERROR(OFFSET(ITEM_RES!$A$1,MATCH(BL31,ITEM_RES!$J:$J,0)-1,0),0)</f>
        <v>0</v>
      </c>
      <c r="BM31" s="11">
        <f t="shared" si="5"/>
        <v>0</v>
      </c>
    </row>
    <row r="32" spans="1:66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355</v>
      </c>
      <c r="M32" s="9">
        <v>1</v>
      </c>
      <c r="N32" s="9">
        <v>15</v>
      </c>
      <c r="O32" s="9" t="s">
        <v>1076</v>
      </c>
      <c r="P32" s="55" t="s">
        <v>1335</v>
      </c>
      <c r="Q32" s="9" t="s">
        <v>667</v>
      </c>
      <c r="T32" s="9">
        <f ca="1">IFERROR(OFFSET(ITEM_RES!$A$5,MATCH(BUILDING!S32,ITEM_RES!$J$5:$J$229,0)-1,0),0)</f>
        <v>0</v>
      </c>
      <c r="V32" s="81" t="s">
        <v>524</v>
      </c>
      <c r="W32" s="11">
        <f ca="1">IFERROR(OFFSET(ITEM_RES!$A$5,MATCH(BUILDING!V32,ITEM_RES!$J$5:$J$229,0)-1,0),0)</f>
        <v>211010201</v>
      </c>
      <c r="Y32" s="9" t="s">
        <v>495</v>
      </c>
      <c r="Z32" s="9">
        <v>8</v>
      </c>
      <c r="AB32" s="11">
        <f ca="1">IFERROR(OFFSET(MANOR_LEVEL!$B$1,MATCH(AC32-1,MANOR_LEVEL!$A:$A,0)-1,0),0)</f>
        <v>100000</v>
      </c>
      <c r="AC32" s="55">
        <v>8</v>
      </c>
      <c r="AE32" s="11">
        <f t="shared" ca="1" si="10"/>
        <v>42075</v>
      </c>
      <c r="AF32" s="10">
        <f ca="1">AK32+AM32+(IFERROR(OFFSET(ITEM_RES!$R$1,MATCH(AQ32,ITEM_RES!$A:$A,0)-1,0),0)*AS32+IFERROR(OFFSET(ITEM_RES!$R$1,MATCH(AV32,ITEM_RES!$A:$A,0)-1,0),0)*AX32+IFERROR(OFFSET(ITEM_RES!$R$1,MATCH(BA32,ITEM_RES!$A:$A,0)-1,0),0)*BC32+IFERROR(OFFSET(ITEM_RES!$R$1,MATCH(BF32,ITEM_RES!$A:$A,0)-1,0),0)*BH32+IFERROR(OFFSET(ITEM_RES!$R$1,MATCH(BK32,ITEM_RES!$A:$A,0)-1,0),0)*BM32)/1000</f>
        <v>42075</v>
      </c>
      <c r="AG32" s="176">
        <f t="shared" ca="1" si="11"/>
        <v>62085</v>
      </c>
      <c r="AI32" s="11">
        <f t="shared" si="4"/>
        <v>30</v>
      </c>
      <c r="AJ32" s="10">
        <v>30</v>
      </c>
      <c r="AK32" s="11">
        <f t="shared" si="6"/>
        <v>0</v>
      </c>
      <c r="AL32" s="10">
        <v>0</v>
      </c>
      <c r="AM32" s="11">
        <f t="shared" si="7"/>
        <v>0</v>
      </c>
      <c r="AN32" s="10">
        <v>0</v>
      </c>
      <c r="AO32" s="55">
        <f t="shared" si="8"/>
        <v>2</v>
      </c>
      <c r="AQ32" s="11">
        <f ca="1">IFERROR(OFFSET(ITEM_RES!$A$1,MATCH(AR32,ITEM_RES!$J:$J,0)-1,0),0)</f>
        <v>211010501</v>
      </c>
      <c r="AR32" s="10" t="s">
        <v>420</v>
      </c>
      <c r="AS32" s="11">
        <v>42000</v>
      </c>
      <c r="AV32" s="11">
        <f ca="1">IFERROR(OFFSET(ITEM_RES!$A$1,MATCH(AW32,ITEM_RES!$J:$J,0)-1,0),0)</f>
        <v>211020101</v>
      </c>
      <c r="AW32" s="10" t="s">
        <v>436</v>
      </c>
      <c r="AX32" s="11">
        <v>150</v>
      </c>
      <c r="BA32" s="11">
        <f ca="1">IFERROR(OFFSET(ITEM_RES!$A$1,MATCH(BB32,ITEM_RES!$J:$J,0)-1,0),0)</f>
        <v>0</v>
      </c>
      <c r="BF32" s="11">
        <f ca="1">IFERROR(OFFSET(ITEM_RES!$A$1,MATCH(BG32,ITEM_RES!$J:$J,0)-1,0),0)</f>
        <v>0</v>
      </c>
      <c r="BK32" s="11">
        <f ca="1">IFERROR(OFFSET(ITEM_RES!$A$1,MATCH(BL32,ITEM_RES!$J:$J,0)-1,0),0)</f>
        <v>0</v>
      </c>
      <c r="BM32" s="11">
        <f t="shared" si="5"/>
        <v>0</v>
      </c>
    </row>
    <row r="33" spans="1:66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355</v>
      </c>
      <c r="M33" s="9">
        <v>1</v>
      </c>
      <c r="N33" s="9">
        <v>15</v>
      </c>
      <c r="O33" s="9" t="s">
        <v>1402</v>
      </c>
      <c r="P33" s="55" t="s">
        <v>1404</v>
      </c>
      <c r="Q33" s="9" t="s">
        <v>667</v>
      </c>
      <c r="T33" s="9">
        <f ca="1">IFERROR(OFFSET(ITEM_RES!$A$5,MATCH(BUILDING!S33,ITEM_RES!$J$5:$J$229,0)-1,0),0)</f>
        <v>0</v>
      </c>
      <c r="V33" s="81" t="s">
        <v>524</v>
      </c>
      <c r="W33" s="11">
        <f ca="1">IFERROR(OFFSET(ITEM_RES!$A$5,MATCH(BUILDING!V33,ITEM_RES!$J$5:$J$229,0)-1,0),0)</f>
        <v>211010201</v>
      </c>
      <c r="Y33" s="9" t="s">
        <v>495</v>
      </c>
      <c r="Z33" s="9">
        <v>9</v>
      </c>
      <c r="AB33" s="11">
        <f ca="1">IFERROR(OFFSET(MANOR_LEVEL!$B$1,MATCH(AC33-1,MANOR_LEVEL!$A:$A,0)-1,0),0)</f>
        <v>100000</v>
      </c>
      <c r="AC33" s="55">
        <v>8</v>
      </c>
      <c r="AE33" s="11">
        <f t="shared" ca="1" si="10"/>
        <v>78300</v>
      </c>
      <c r="AF33" s="10">
        <f ca="1">AK33+AM33+(IFERROR(OFFSET(ITEM_RES!$R$1,MATCH(AQ33,ITEM_RES!$A:$A,0)-1,0),0)*AS33+IFERROR(OFFSET(ITEM_RES!$R$1,MATCH(AV33,ITEM_RES!$A:$A,0)-1,0),0)*AX33+IFERROR(OFFSET(ITEM_RES!$R$1,MATCH(BA33,ITEM_RES!$A:$A,0)-1,0),0)*BC33+IFERROR(OFFSET(ITEM_RES!$R$1,MATCH(BF33,ITEM_RES!$A:$A,0)-1,0),0)*BH33+IFERROR(OFFSET(ITEM_RES!$R$1,MATCH(BK33,ITEM_RES!$A:$A,0)-1,0),0)*BM33)/1000</f>
        <v>78300</v>
      </c>
      <c r="AG33" s="176">
        <f t="shared" ca="1" si="11"/>
        <v>120375</v>
      </c>
      <c r="AI33" s="11">
        <f t="shared" si="4"/>
        <v>60</v>
      </c>
      <c r="AJ33" s="10">
        <v>60</v>
      </c>
      <c r="AK33" s="11">
        <f t="shared" si="6"/>
        <v>0</v>
      </c>
      <c r="AL33" s="10">
        <v>0</v>
      </c>
      <c r="AM33" s="11">
        <f t="shared" si="7"/>
        <v>0</v>
      </c>
      <c r="AN33" s="10">
        <v>0</v>
      </c>
      <c r="AO33" s="55">
        <f t="shared" si="8"/>
        <v>2</v>
      </c>
      <c r="AQ33" s="11">
        <f ca="1">IFERROR(OFFSET(ITEM_RES!$A$1,MATCH(AR33,ITEM_RES!$J:$J,0)-1,0),0)</f>
        <v>211010501</v>
      </c>
      <c r="AR33" s="10" t="s">
        <v>420</v>
      </c>
      <c r="AS33" s="11">
        <v>78000</v>
      </c>
      <c r="AV33" s="11">
        <f ca="1">IFERROR(OFFSET(ITEM_RES!$A$1,MATCH(AW33,ITEM_RES!$J:$J,0)-1,0),0)</f>
        <v>211020101</v>
      </c>
      <c r="AW33" s="10" t="s">
        <v>436</v>
      </c>
      <c r="AX33" s="11">
        <v>600</v>
      </c>
      <c r="BA33" s="11">
        <f ca="1">IFERROR(OFFSET(ITEM_RES!$A$1,MATCH(BB33,ITEM_RES!$J:$J,0)-1,0),0)</f>
        <v>0</v>
      </c>
      <c r="BF33" s="11">
        <f ca="1">IFERROR(OFFSET(ITEM_RES!$A$1,MATCH(BG33,ITEM_RES!$J:$J,0)-1,0),0)</f>
        <v>0</v>
      </c>
      <c r="BK33" s="11">
        <f ca="1">IFERROR(OFFSET(ITEM_RES!$A$1,MATCH(BL33,ITEM_RES!$J:$J,0)-1,0),0)</f>
        <v>0</v>
      </c>
      <c r="BM33" s="11">
        <f t="shared" si="5"/>
        <v>0</v>
      </c>
    </row>
    <row r="34" spans="1:66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355</v>
      </c>
      <c r="M34" s="9">
        <v>1</v>
      </c>
      <c r="N34" s="9">
        <v>15</v>
      </c>
      <c r="O34" s="9" t="s">
        <v>1402</v>
      </c>
      <c r="P34" s="55" t="s">
        <v>1404</v>
      </c>
      <c r="Q34" s="9" t="s">
        <v>667</v>
      </c>
      <c r="T34" s="9">
        <f ca="1">IFERROR(OFFSET(ITEM_RES!$A$5,MATCH(BUILDING!S34,ITEM_RES!$J$5:$J$229,0)-1,0),0)</f>
        <v>0</v>
      </c>
      <c r="V34" s="81" t="s">
        <v>524</v>
      </c>
      <c r="W34" s="11">
        <f ca="1">IFERROR(OFFSET(ITEM_RES!$A$5,MATCH(BUILDING!V34,ITEM_RES!$J$5:$J$229,0)-1,0),0)</f>
        <v>211010201</v>
      </c>
      <c r="Y34" s="9" t="s">
        <v>495</v>
      </c>
      <c r="Z34" s="9">
        <v>10</v>
      </c>
      <c r="AB34" s="11">
        <f ca="1">IFERROR(OFFSET(MANOR_LEVEL!$B$1,MATCH(AC34-1,MANOR_LEVEL!$A:$A,0)-1,0),0)</f>
        <v>100000</v>
      </c>
      <c r="AC34" s="55">
        <v>8</v>
      </c>
      <c r="AE34" s="11">
        <f t="shared" ca="1" si="10"/>
        <v>131350</v>
      </c>
      <c r="AF34" s="10">
        <f ca="1">AK34+AM34+(IFERROR(OFFSET(ITEM_RES!$R$1,MATCH(AQ34,ITEM_RES!$A:$A,0)-1,0),0)*AS34+IFERROR(OFFSET(ITEM_RES!$R$1,MATCH(AV34,ITEM_RES!$A:$A,0)-1,0),0)*AX34+IFERROR(OFFSET(ITEM_RES!$R$1,MATCH(BA34,ITEM_RES!$A:$A,0)-1,0),0)*BC34+IFERROR(OFFSET(ITEM_RES!$R$1,MATCH(BF34,ITEM_RES!$A:$A,0)-1,0),0)*BH34+IFERROR(OFFSET(ITEM_RES!$R$1,MATCH(BK34,ITEM_RES!$A:$A,0)-1,0),0)*BM34)/1000</f>
        <v>131350</v>
      </c>
      <c r="AG34" s="176">
        <f t="shared" ca="1" si="11"/>
        <v>209650</v>
      </c>
      <c r="AI34" s="11">
        <f t="shared" si="4"/>
        <v>180</v>
      </c>
      <c r="AJ34" s="10">
        <v>180</v>
      </c>
      <c r="AK34" s="11">
        <f t="shared" si="6"/>
        <v>0</v>
      </c>
      <c r="AL34" s="10">
        <v>0</v>
      </c>
      <c r="AM34" s="11">
        <f t="shared" si="7"/>
        <v>0</v>
      </c>
      <c r="AN34" s="10">
        <v>0</v>
      </c>
      <c r="AO34" s="55">
        <f t="shared" si="8"/>
        <v>2</v>
      </c>
      <c r="AQ34" s="11">
        <f ca="1">IFERROR(OFFSET(ITEM_RES!$A$1,MATCH(AR34,ITEM_RES!$J:$J,0)-1,0),0)</f>
        <v>211010501</v>
      </c>
      <c r="AR34" s="10" t="s">
        <v>420</v>
      </c>
      <c r="AS34" s="11">
        <v>130000</v>
      </c>
      <c r="AV34" s="11">
        <f ca="1">IFERROR(OFFSET(ITEM_RES!$A$1,MATCH(AW34,ITEM_RES!$J:$J,0)-1,0),0)</f>
        <v>211020101</v>
      </c>
      <c r="AW34" s="10" t="s">
        <v>436</v>
      </c>
      <c r="AX34" s="11">
        <v>2700</v>
      </c>
      <c r="BA34" s="11">
        <f ca="1">IFERROR(OFFSET(ITEM_RES!$A$1,MATCH(BB34,ITEM_RES!$J:$J,0)-1,0),0)</f>
        <v>0</v>
      </c>
      <c r="BF34" s="11">
        <f ca="1">IFERROR(OFFSET(ITEM_RES!$A$1,MATCH(BG34,ITEM_RES!$J:$J,0)-1,0),0)</f>
        <v>0</v>
      </c>
      <c r="BK34" s="11">
        <f ca="1">IFERROR(OFFSET(ITEM_RES!$A$1,MATCH(BL34,ITEM_RES!$J:$J,0)-1,0),0)</f>
        <v>0</v>
      </c>
      <c r="BM34" s="11">
        <f t="shared" si="5"/>
        <v>0</v>
      </c>
    </row>
    <row r="35" spans="1:66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370</v>
      </c>
      <c r="M35" s="9">
        <v>1</v>
      </c>
      <c r="N35" s="9">
        <v>15</v>
      </c>
      <c r="O35" s="9" t="s">
        <v>1401</v>
      </c>
      <c r="P35" s="55" t="s">
        <v>1403</v>
      </c>
      <c r="Q35" s="9" t="s">
        <v>667</v>
      </c>
      <c r="T35" s="9">
        <f ca="1">IFERROR(OFFSET(ITEM_RES!$A$5,MATCH(BUILDING!S35,ITEM_RES!$J$5:$J$229,0)-1,0),0)</f>
        <v>0</v>
      </c>
      <c r="V35" s="81" t="s">
        <v>524</v>
      </c>
      <c r="W35" s="11">
        <f ca="1">IFERROR(OFFSET(ITEM_RES!$A$5,MATCH(BUILDING!V35,ITEM_RES!$J$5:$J$229,0)-1,0),0)</f>
        <v>211010201</v>
      </c>
      <c r="Y35" s="9" t="s">
        <v>495</v>
      </c>
      <c r="Z35" s="9">
        <v>11</v>
      </c>
      <c r="AB35" s="11">
        <f ca="1">IFERROR(OFFSET(MANOR_LEVEL!$B$1,MATCH(AC35-1,MANOR_LEVEL!$A:$A,0)-1,0),0)</f>
        <v>100000</v>
      </c>
      <c r="AC35" s="55">
        <v>8</v>
      </c>
      <c r="AE35" s="11">
        <f t="shared" ca="1" si="10"/>
        <v>224500</v>
      </c>
      <c r="AF35" s="10">
        <f ca="1">AK35+AM35+(IFERROR(OFFSET(ITEM_RES!$R$1,MATCH(AQ35,ITEM_RES!$A:$A,0)-1,0),0)*AS35+IFERROR(OFFSET(ITEM_RES!$R$1,MATCH(AV35,ITEM_RES!$A:$A,0)-1,0),0)*AX35+IFERROR(OFFSET(ITEM_RES!$R$1,MATCH(BA35,ITEM_RES!$A:$A,0)-1,0),0)*BC35+IFERROR(OFFSET(ITEM_RES!$R$1,MATCH(BF35,ITEM_RES!$A:$A,0)-1,0),0)*BH35+IFERROR(OFFSET(ITEM_RES!$R$1,MATCH(BK35,ITEM_RES!$A:$A,0)-1,0),0)*BM35)/1000</f>
        <v>224500</v>
      </c>
      <c r="AG35" s="176">
        <f t="shared" ca="1" si="11"/>
        <v>355850</v>
      </c>
      <c r="AI35" s="11">
        <f t="shared" si="4"/>
        <v>360</v>
      </c>
      <c r="AJ35" s="10">
        <v>360</v>
      </c>
      <c r="AK35" s="11">
        <f t="shared" si="6"/>
        <v>0</v>
      </c>
      <c r="AL35" s="10">
        <v>0</v>
      </c>
      <c r="AM35" s="11">
        <f t="shared" si="7"/>
        <v>0</v>
      </c>
      <c r="AN35" s="10">
        <v>0</v>
      </c>
      <c r="AO35" s="55">
        <f t="shared" si="8"/>
        <v>2</v>
      </c>
      <c r="AQ35" s="11">
        <f ca="1">IFERROR(OFFSET(ITEM_RES!$A$1,MATCH(AR35,ITEM_RES!$J:$J,0)-1,0),0)</f>
        <v>211010501</v>
      </c>
      <c r="AR35" s="10" t="s">
        <v>420</v>
      </c>
      <c r="AS35" s="11">
        <v>220000</v>
      </c>
      <c r="AV35" s="11">
        <f ca="1">IFERROR(OFFSET(ITEM_RES!$A$1,MATCH(AW35,ITEM_RES!$J:$J,0)-1,0),0)</f>
        <v>211020101</v>
      </c>
      <c r="AW35" s="10" t="s">
        <v>436</v>
      </c>
      <c r="AX35" s="11">
        <v>9000</v>
      </c>
      <c r="BA35" s="11">
        <f ca="1">IFERROR(OFFSET(ITEM_RES!$A$1,MATCH(BB35,ITEM_RES!$J:$J,0)-1,0),0)</f>
        <v>0</v>
      </c>
      <c r="BF35" s="11">
        <f ca="1">IFERROR(OFFSET(ITEM_RES!$A$1,MATCH(BG35,ITEM_RES!$J:$J,0)-1,0),0)</f>
        <v>0</v>
      </c>
      <c r="BK35" s="11">
        <f ca="1">IFERROR(OFFSET(ITEM_RES!$A$1,MATCH(BL35,ITEM_RES!$J:$J,0)-1,0),0)</f>
        <v>0</v>
      </c>
      <c r="BM35" s="11">
        <f t="shared" si="5"/>
        <v>0</v>
      </c>
    </row>
    <row r="36" spans="1:66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355</v>
      </c>
      <c r="M36" s="9">
        <v>1</v>
      </c>
      <c r="N36" s="9">
        <v>15</v>
      </c>
      <c r="O36" s="9" t="s">
        <v>1401</v>
      </c>
      <c r="P36" s="55" t="s">
        <v>1403</v>
      </c>
      <c r="Q36" s="9" t="s">
        <v>667</v>
      </c>
      <c r="T36" s="9">
        <f ca="1">IFERROR(OFFSET(ITEM_RES!$A$5,MATCH(BUILDING!S36,ITEM_RES!$J$5:$J$229,0)-1,0),0)</f>
        <v>0</v>
      </c>
      <c r="V36" s="81" t="s">
        <v>524</v>
      </c>
      <c r="W36" s="11">
        <f ca="1">IFERROR(OFFSET(ITEM_RES!$A$5,MATCH(BUILDING!V36,ITEM_RES!$J$5:$J$229,0)-1,0),0)</f>
        <v>211010201</v>
      </c>
      <c r="Y36" s="9" t="s">
        <v>495</v>
      </c>
      <c r="Z36" s="9">
        <v>12</v>
      </c>
      <c r="AB36" s="11">
        <f ca="1">IFERROR(OFFSET(MANOR_LEVEL!$B$1,MATCH(AC36-1,MANOR_LEVEL!$A:$A,0)-1,0),0)</f>
        <v>100000</v>
      </c>
      <c r="AC36" s="55">
        <v>8</v>
      </c>
      <c r="AE36" s="11">
        <f t="shared" ca="1" si="10"/>
        <v>380000</v>
      </c>
      <c r="AF36" s="10">
        <f ca="1">AK36+AM36+(IFERROR(OFFSET(ITEM_RES!$R$1,MATCH(AQ36,ITEM_RES!$A:$A,0)-1,0),0)*AS36+IFERROR(OFFSET(ITEM_RES!$R$1,MATCH(AV36,ITEM_RES!$A:$A,0)-1,0),0)*AX36+IFERROR(OFFSET(ITEM_RES!$R$1,MATCH(BA36,ITEM_RES!$A:$A,0)-1,0),0)*BC36+IFERROR(OFFSET(ITEM_RES!$R$1,MATCH(BF36,ITEM_RES!$A:$A,0)-1,0),0)*BH36+IFERROR(OFFSET(ITEM_RES!$R$1,MATCH(BK36,ITEM_RES!$A:$A,0)-1,0),0)*BM36)/1000</f>
        <v>380000</v>
      </c>
      <c r="AG36" s="176">
        <f t="shared" ca="1" si="11"/>
        <v>604500</v>
      </c>
      <c r="AI36" s="11">
        <f t="shared" si="4"/>
        <v>540</v>
      </c>
      <c r="AJ36" s="10">
        <v>540</v>
      </c>
      <c r="AK36" s="11">
        <f t="shared" si="6"/>
        <v>0</v>
      </c>
      <c r="AL36" s="10">
        <v>0</v>
      </c>
      <c r="AM36" s="11">
        <f t="shared" si="7"/>
        <v>0</v>
      </c>
      <c r="AN36" s="10">
        <v>0</v>
      </c>
      <c r="AO36" s="55">
        <f t="shared" si="8"/>
        <v>2</v>
      </c>
      <c r="AQ36" s="11">
        <f ca="1">IFERROR(OFFSET(ITEM_RES!$A$1,MATCH(AR36,ITEM_RES!$J:$J,0)-1,0),0)</f>
        <v>211010501</v>
      </c>
      <c r="AR36" s="10" t="s">
        <v>420</v>
      </c>
      <c r="AS36" s="11">
        <v>370000</v>
      </c>
      <c r="AV36" s="11">
        <f ca="1">IFERROR(OFFSET(ITEM_RES!$A$1,MATCH(AW36,ITEM_RES!$J:$J,0)-1,0),0)</f>
        <v>211020101</v>
      </c>
      <c r="AW36" s="10" t="s">
        <v>436</v>
      </c>
      <c r="AX36" s="11">
        <v>20000</v>
      </c>
      <c r="BA36" s="11">
        <f ca="1">IFERROR(OFFSET(ITEM_RES!$A$1,MATCH(BB36,ITEM_RES!$J:$J,0)-1,0),0)</f>
        <v>0</v>
      </c>
      <c r="BF36" s="11">
        <f ca="1">IFERROR(OFFSET(ITEM_RES!$A$1,MATCH(BG36,ITEM_RES!$J:$J,0)-1,0),0)</f>
        <v>0</v>
      </c>
      <c r="BK36" s="11">
        <f ca="1">IFERROR(OFFSET(ITEM_RES!$A$1,MATCH(BL36,ITEM_RES!$J:$J,0)-1,0),0)</f>
        <v>0</v>
      </c>
      <c r="BM36" s="11">
        <f t="shared" si="5"/>
        <v>0</v>
      </c>
    </row>
    <row r="37" spans="1:66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355</v>
      </c>
      <c r="M37" s="9">
        <v>1</v>
      </c>
      <c r="N37" s="9">
        <v>15</v>
      </c>
      <c r="O37" s="9" t="s">
        <v>1401</v>
      </c>
      <c r="P37" s="55" t="s">
        <v>1403</v>
      </c>
      <c r="Q37" s="9" t="s">
        <v>667</v>
      </c>
      <c r="T37" s="9">
        <f ca="1">IFERROR(OFFSET(ITEM_RES!$A$5,MATCH(BUILDING!S37,ITEM_RES!$J$5:$J$229,0)-1,0),0)</f>
        <v>0</v>
      </c>
      <c r="V37" s="81" t="s">
        <v>524</v>
      </c>
      <c r="W37" s="11">
        <f ca="1">IFERROR(OFFSET(ITEM_RES!$A$5,MATCH(BUILDING!V37,ITEM_RES!$J$5:$J$229,0)-1,0),0)</f>
        <v>211010201</v>
      </c>
      <c r="Y37" s="9" t="s">
        <v>495</v>
      </c>
      <c r="Z37" s="9">
        <v>13</v>
      </c>
      <c r="AB37" s="11">
        <f ca="1">IFERROR(OFFSET(MANOR_LEVEL!$B$1,MATCH(AC37-1,MANOR_LEVEL!$A:$A,0)-1,0),0)</f>
        <v>100000</v>
      </c>
      <c r="AC37" s="55">
        <v>8</v>
      </c>
      <c r="AE37" s="11">
        <f t="shared" ca="1" si="10"/>
        <v>641000</v>
      </c>
      <c r="AF37" s="10">
        <f ca="1">AK37+AM37+(IFERROR(OFFSET(ITEM_RES!$R$1,MATCH(AQ37,ITEM_RES!$A:$A,0)-1,0),0)*AS37+IFERROR(OFFSET(ITEM_RES!$R$1,MATCH(AV37,ITEM_RES!$A:$A,0)-1,0),0)*AX37+IFERROR(OFFSET(ITEM_RES!$R$1,MATCH(BA37,ITEM_RES!$A:$A,0)-1,0),0)*BC37+IFERROR(OFFSET(ITEM_RES!$R$1,MATCH(BF37,ITEM_RES!$A:$A,0)-1,0),0)*BH37+IFERROR(OFFSET(ITEM_RES!$R$1,MATCH(BK37,ITEM_RES!$A:$A,0)-1,0),0)*BM37)/1000</f>
        <v>641000</v>
      </c>
      <c r="AG37" s="176">
        <f t="shared" ca="1" si="11"/>
        <v>1021000</v>
      </c>
      <c r="AI37" s="11">
        <f t="shared" si="4"/>
        <v>720</v>
      </c>
      <c r="AJ37" s="10">
        <v>720</v>
      </c>
      <c r="AK37" s="11">
        <f t="shared" si="6"/>
        <v>0</v>
      </c>
      <c r="AL37" s="10">
        <v>0</v>
      </c>
      <c r="AM37" s="11">
        <f t="shared" si="7"/>
        <v>0</v>
      </c>
      <c r="AN37" s="10">
        <v>0</v>
      </c>
      <c r="AO37" s="55">
        <f t="shared" si="8"/>
        <v>2</v>
      </c>
      <c r="AQ37" s="11">
        <f ca="1">IFERROR(OFFSET(ITEM_RES!$A$1,MATCH(AR37,ITEM_RES!$J:$J,0)-1,0),0)</f>
        <v>211010501</v>
      </c>
      <c r="AR37" s="10" t="s">
        <v>420</v>
      </c>
      <c r="AS37" s="11">
        <v>620000</v>
      </c>
      <c r="AV37" s="11">
        <f ca="1">IFERROR(OFFSET(ITEM_RES!$A$1,MATCH(AW37,ITEM_RES!$J:$J,0)-1,0),0)</f>
        <v>211020101</v>
      </c>
      <c r="AW37" s="10" t="s">
        <v>436</v>
      </c>
      <c r="AX37" s="11">
        <v>42000</v>
      </c>
      <c r="BA37" s="11">
        <f ca="1">IFERROR(OFFSET(ITEM_RES!$A$1,MATCH(BB37,ITEM_RES!$J:$J,0)-1,0),0)</f>
        <v>0</v>
      </c>
      <c r="BF37" s="11">
        <f ca="1">IFERROR(OFFSET(ITEM_RES!$A$1,MATCH(BG37,ITEM_RES!$J:$J,0)-1,0),0)</f>
        <v>0</v>
      </c>
      <c r="BK37" s="11">
        <f ca="1">IFERROR(OFFSET(ITEM_RES!$A$1,MATCH(BL37,ITEM_RES!$J:$J,0)-1,0),0)</f>
        <v>0</v>
      </c>
      <c r="BM37" s="11">
        <f t="shared" si="5"/>
        <v>0</v>
      </c>
    </row>
    <row r="38" spans="1:66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355</v>
      </c>
      <c r="M38" s="9">
        <v>1</v>
      </c>
      <c r="N38" s="9">
        <v>15</v>
      </c>
      <c r="O38" s="9" t="s">
        <v>1401</v>
      </c>
      <c r="P38" s="55" t="s">
        <v>1403</v>
      </c>
      <c r="Q38" s="9" t="s">
        <v>667</v>
      </c>
      <c r="T38" s="9">
        <f ca="1">IFERROR(OFFSET(ITEM_RES!$A$5,MATCH(BUILDING!S38,ITEM_RES!$J$5:$J$229,0)-1,0),0)</f>
        <v>0</v>
      </c>
      <c r="V38" s="81" t="s">
        <v>524</v>
      </c>
      <c r="W38" s="11">
        <f ca="1">IFERROR(OFFSET(ITEM_RES!$A$5,MATCH(BUILDING!V38,ITEM_RES!$J$5:$J$229,0)-1,0),0)</f>
        <v>211010201</v>
      </c>
      <c r="Y38" s="9" t="s">
        <v>495</v>
      </c>
      <c r="Z38" s="9">
        <v>14</v>
      </c>
      <c r="AB38" s="11">
        <f ca="1">IFERROR(OFFSET(MANOR_LEVEL!$B$1,MATCH(AC38-1,MANOR_LEVEL!$A:$A,0)-1,0),0)</f>
        <v>100000</v>
      </c>
      <c r="AC38" s="55">
        <v>8</v>
      </c>
      <c r="AE38" s="11">
        <f t="shared" ca="1" si="10"/>
        <v>1009000</v>
      </c>
      <c r="AF38" s="10">
        <f ca="1">AK38+AM38+(IFERROR(OFFSET(ITEM_RES!$R$1,MATCH(AQ38,ITEM_RES!$A:$A,0)-1,0),0)*AS38+IFERROR(OFFSET(ITEM_RES!$R$1,MATCH(AV38,ITEM_RES!$A:$A,0)-1,0),0)*AX38+IFERROR(OFFSET(ITEM_RES!$R$1,MATCH(BA38,ITEM_RES!$A:$A,0)-1,0),0)*BC38+IFERROR(OFFSET(ITEM_RES!$R$1,MATCH(BF38,ITEM_RES!$A:$A,0)-1,0),0)*BH38+IFERROR(OFFSET(ITEM_RES!$R$1,MATCH(BK38,ITEM_RES!$A:$A,0)-1,0),0)*BM38)/1000</f>
        <v>1009000</v>
      </c>
      <c r="AG38" s="176">
        <f t="shared" ca="1" si="11"/>
        <v>1650000</v>
      </c>
      <c r="AI38" s="11">
        <f t="shared" si="4"/>
        <v>900</v>
      </c>
      <c r="AJ38" s="10">
        <v>900</v>
      </c>
      <c r="AK38" s="11">
        <f t="shared" si="6"/>
        <v>0</v>
      </c>
      <c r="AL38" s="10">
        <v>0</v>
      </c>
      <c r="AM38" s="11">
        <f t="shared" si="7"/>
        <v>0</v>
      </c>
      <c r="AN38" s="10">
        <v>0</v>
      </c>
      <c r="AO38" s="55">
        <f t="shared" si="8"/>
        <v>2</v>
      </c>
      <c r="AQ38" s="11">
        <f ca="1">IFERROR(OFFSET(ITEM_RES!$A$1,MATCH(AR38,ITEM_RES!$J:$J,0)-1,0),0)</f>
        <v>211010501</v>
      </c>
      <c r="AR38" s="10" t="s">
        <v>420</v>
      </c>
      <c r="AS38" s="11">
        <v>970000</v>
      </c>
      <c r="AV38" s="11">
        <f ca="1">IFERROR(OFFSET(ITEM_RES!$A$1,MATCH(AW38,ITEM_RES!$J:$J,0)-1,0),0)</f>
        <v>211020101</v>
      </c>
      <c r="AW38" s="10" t="s">
        <v>436</v>
      </c>
      <c r="AX38" s="11">
        <v>78000</v>
      </c>
      <c r="BA38" s="11">
        <f ca="1">IFERROR(OFFSET(ITEM_RES!$A$1,MATCH(BB38,ITEM_RES!$J:$J,0)-1,0),0)</f>
        <v>0</v>
      </c>
      <c r="BF38" s="11">
        <f ca="1">IFERROR(OFFSET(ITEM_RES!$A$1,MATCH(BG38,ITEM_RES!$J:$J,0)-1,0),0)</f>
        <v>0</v>
      </c>
      <c r="BK38" s="11">
        <f ca="1">IFERROR(OFFSET(ITEM_RES!$A$1,MATCH(BL38,ITEM_RES!$J:$J,0)-1,0),0)</f>
        <v>0</v>
      </c>
      <c r="BM38" s="11">
        <f t="shared" si="5"/>
        <v>0</v>
      </c>
    </row>
    <row r="39" spans="1:66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355</v>
      </c>
      <c r="M39" s="9">
        <v>1</v>
      </c>
      <c r="N39" s="9">
        <v>15</v>
      </c>
      <c r="O39" s="9" t="s">
        <v>1401</v>
      </c>
      <c r="P39" s="55" t="s">
        <v>1403</v>
      </c>
      <c r="Q39" s="9" t="s">
        <v>667</v>
      </c>
      <c r="T39" s="9">
        <f ca="1">IFERROR(OFFSET(ITEM_RES!$A$5,MATCH(BUILDING!S39,ITEM_RES!$J$5:$J$229,0)-1,0),0)</f>
        <v>0</v>
      </c>
      <c r="V39" s="81" t="s">
        <v>524</v>
      </c>
      <c r="W39" s="11">
        <f ca="1">IFERROR(OFFSET(ITEM_RES!$A$5,MATCH(BUILDING!V39,ITEM_RES!$J$5:$J$229,0)-1,0),0)</f>
        <v>211010201</v>
      </c>
      <c r="Y39" s="9" t="s">
        <v>495</v>
      </c>
      <c r="Z39" s="9">
        <v>15</v>
      </c>
      <c r="AB39" s="11">
        <f ca="1">IFERROR(OFFSET(MANOR_LEVEL!$B$1,MATCH(AC39-1,MANOR_LEVEL!$A:$A,0)-1,0),0)</f>
        <v>100000</v>
      </c>
      <c r="AC39" s="55">
        <v>8</v>
      </c>
      <c r="AE39" s="11">
        <f t="shared" ca="1" si="10"/>
        <v>3425000</v>
      </c>
      <c r="AF39" s="10">
        <f ca="1">AK39+AM39+(IFERROR(OFFSET(ITEM_RES!$R$1,MATCH(AQ39,ITEM_RES!$A:$A,0)-1,0),0)*AS39+IFERROR(OFFSET(ITEM_RES!$R$1,MATCH(AV39,ITEM_RES!$A:$A,0)-1,0),0)*AX39+IFERROR(OFFSET(ITEM_RES!$R$1,MATCH(BA39,ITEM_RES!$A:$A,0)-1,0),0)*BC39+IFERROR(OFFSET(ITEM_RES!$R$1,MATCH(BF39,ITEM_RES!$A:$A,0)-1,0),0)*BH39+IFERROR(OFFSET(ITEM_RES!$R$1,MATCH(BK39,ITEM_RES!$A:$A,0)-1,0),0)*BM39)/1000</f>
        <v>3425000</v>
      </c>
      <c r="AG39" s="176">
        <f t="shared" ca="1" si="11"/>
        <v>4434000</v>
      </c>
      <c r="AI39" s="11">
        <f t="shared" si="4"/>
        <v>1080</v>
      </c>
      <c r="AJ39" s="10">
        <v>1080</v>
      </c>
      <c r="AK39" s="11">
        <f t="shared" si="6"/>
        <v>0</v>
      </c>
      <c r="AL39" s="10">
        <v>0</v>
      </c>
      <c r="AM39" s="11">
        <f t="shared" si="7"/>
        <v>0</v>
      </c>
      <c r="AN39" s="10">
        <v>0</v>
      </c>
      <c r="AO39" s="55">
        <f t="shared" si="8"/>
        <v>2</v>
      </c>
      <c r="AQ39" s="11">
        <f ca="1">IFERROR(OFFSET(ITEM_RES!$A$1,MATCH(AR39,ITEM_RES!$J:$J,0)-1,0),0)</f>
        <v>211010601</v>
      </c>
      <c r="AR39" s="10" t="s">
        <v>432</v>
      </c>
      <c r="AS39" s="11">
        <v>2100000</v>
      </c>
      <c r="AV39" s="11">
        <f ca="1">IFERROR(OFFSET(ITEM_RES!$A$1,MATCH(AW39,ITEM_RES!$J:$J,0)-1,0),0)</f>
        <v>211020101</v>
      </c>
      <c r="AW39" s="10" t="s">
        <v>436</v>
      </c>
      <c r="AX39" s="11">
        <v>130000</v>
      </c>
      <c r="BA39" s="11">
        <f ca="1">IFERROR(OFFSET(ITEM_RES!$A$1,MATCH(BB39,ITEM_RES!$J:$J,0)-1,0),0)</f>
        <v>0</v>
      </c>
      <c r="BF39" s="11">
        <f ca="1">IFERROR(OFFSET(ITEM_RES!$A$1,MATCH(BG39,ITEM_RES!$J:$J,0)-1,0),0)</f>
        <v>0</v>
      </c>
      <c r="BK39" s="11">
        <f ca="1">IFERROR(OFFSET(ITEM_RES!$A$1,MATCH(BL39,ITEM_RES!$J:$J,0)-1,0),0)</f>
        <v>0</v>
      </c>
      <c r="BM39" s="11">
        <f t="shared" si="5"/>
        <v>0</v>
      </c>
    </row>
    <row r="40" spans="1:66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355</v>
      </c>
      <c r="M40" s="9">
        <v>0</v>
      </c>
      <c r="N40" s="9">
        <v>15</v>
      </c>
      <c r="O40" s="9" t="s">
        <v>1401</v>
      </c>
      <c r="P40" s="55" t="s">
        <v>1403</v>
      </c>
      <c r="Q40" s="9" t="s">
        <v>667</v>
      </c>
      <c r="T40" s="9">
        <f ca="1">IFERROR(OFFSET(ITEM_RES!$A$5,MATCH(BUILDING!S40,ITEM_RES!$J$5:$J$229,0)-1,0),0)</f>
        <v>0</v>
      </c>
      <c r="V40" s="81" t="s">
        <v>524</v>
      </c>
      <c r="W40" s="11">
        <f ca="1">IFERROR(OFFSET(ITEM_RES!$A$5,MATCH(BUILDING!V40,ITEM_RES!$J$5:$J$229,0)-1,0),0)</f>
        <v>211010201</v>
      </c>
      <c r="Y40" s="9" t="s">
        <v>495</v>
      </c>
      <c r="Z40" s="9">
        <v>16</v>
      </c>
      <c r="AB40" s="11">
        <f ca="1">IFERROR(OFFSET(MANOR_LEVEL!$B$1,MATCH(AC40-1,MANOR_LEVEL!$A:$A,0)-1,0),0)</f>
        <v>300000</v>
      </c>
      <c r="AC40" s="55">
        <v>9</v>
      </c>
      <c r="AE40" s="11">
        <f t="shared" ca="1" si="10"/>
        <v>6990000</v>
      </c>
      <c r="AF40" s="10">
        <f ca="1">AK40+AM40+(IFERROR(OFFSET(ITEM_RES!$R$1,MATCH(AQ40,ITEM_RES!$A:$A,0)-1,0),0)*AS40+IFERROR(OFFSET(ITEM_RES!$R$1,MATCH(AV40,ITEM_RES!$A:$A,0)-1,0),0)*AX40+IFERROR(OFFSET(ITEM_RES!$R$1,MATCH(BA40,ITEM_RES!$A:$A,0)-1,0),0)*BC40+IFERROR(OFFSET(ITEM_RES!$R$1,MATCH(BF40,ITEM_RES!$A:$A,0)-1,0),0)*BH40+IFERROR(OFFSET(ITEM_RES!$R$1,MATCH(BK40,ITEM_RES!$A:$A,0)-1,0),0)*BM40)/1000</f>
        <v>6990000</v>
      </c>
      <c r="AG40" s="176">
        <f t="shared" ca="1" si="11"/>
        <v>10415000</v>
      </c>
      <c r="AI40" s="11">
        <f t="shared" si="4"/>
        <v>1260</v>
      </c>
      <c r="AJ40" s="10">
        <v>1260</v>
      </c>
      <c r="AK40" s="11">
        <f t="shared" si="6"/>
        <v>0</v>
      </c>
      <c r="AL40" s="10">
        <v>0</v>
      </c>
      <c r="AM40" s="11">
        <f t="shared" si="7"/>
        <v>0</v>
      </c>
      <c r="AN40" s="10">
        <v>0</v>
      </c>
      <c r="AO40" s="55">
        <f t="shared" si="8"/>
        <v>2</v>
      </c>
      <c r="AQ40" s="11">
        <f ca="1">IFERROR(OFFSET(ITEM_RES!$A$1,MATCH(AR40,ITEM_RES!$J:$J,0)-1,0),0)</f>
        <v>211010601</v>
      </c>
      <c r="AR40" s="10" t="s">
        <v>432</v>
      </c>
      <c r="AS40" s="11">
        <v>4300000</v>
      </c>
      <c r="AV40" s="11">
        <f ca="1">IFERROR(OFFSET(ITEM_RES!$A$1,MATCH(AW40,ITEM_RES!$J:$J,0)-1,0),0)</f>
        <v>211020101</v>
      </c>
      <c r="AW40" s="10" t="s">
        <v>436</v>
      </c>
      <c r="AX40" s="11">
        <v>220000</v>
      </c>
      <c r="BA40" s="11">
        <f ca="1">IFERROR(OFFSET(ITEM_RES!$A$1,MATCH(BB40,ITEM_RES!$J:$J,0)-1,0),0)</f>
        <v>0</v>
      </c>
      <c r="BF40" s="11">
        <f ca="1">IFERROR(OFFSET(ITEM_RES!$A$1,MATCH(BG40,ITEM_RES!$J:$J,0)-1,0),0)</f>
        <v>0</v>
      </c>
      <c r="BK40" s="11">
        <f ca="1">IFERROR(OFFSET(ITEM_RES!$A$1,MATCH(BL40,ITEM_RES!$J:$J,0)-1,0),0)</f>
        <v>0</v>
      </c>
      <c r="BM40" s="11">
        <f t="shared" si="5"/>
        <v>0</v>
      </c>
    </row>
    <row r="41" spans="1:66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355</v>
      </c>
      <c r="M41" s="9">
        <v>0</v>
      </c>
      <c r="N41" s="9">
        <v>15</v>
      </c>
      <c r="O41" s="9" t="s">
        <v>1401</v>
      </c>
      <c r="P41" s="55" t="s">
        <v>1403</v>
      </c>
      <c r="Q41" s="9" t="s">
        <v>667</v>
      </c>
      <c r="T41" s="9">
        <f ca="1">IFERROR(OFFSET(ITEM_RES!$A$5,MATCH(BUILDING!S41,ITEM_RES!$J$5:$J$229,0)-1,0),0)</f>
        <v>0</v>
      </c>
      <c r="V41" s="81" t="s">
        <v>524</v>
      </c>
      <c r="W41" s="11">
        <f ca="1">IFERROR(OFFSET(ITEM_RES!$A$5,MATCH(BUILDING!V41,ITEM_RES!$J$5:$J$229,0)-1,0),0)</f>
        <v>211010201</v>
      </c>
      <c r="Y41" s="9" t="s">
        <v>495</v>
      </c>
      <c r="Z41" s="9">
        <v>17</v>
      </c>
      <c r="AB41" s="11">
        <f ca="1">IFERROR(OFFSET(MANOR_LEVEL!$B$1,MATCH(AC41-1,MANOR_LEVEL!$A:$A,0)-1,0),0)</f>
        <v>600000</v>
      </c>
      <c r="AC41" s="55">
        <v>10</v>
      </c>
      <c r="AE41" s="11">
        <f t="shared" ca="1" si="10"/>
        <v>12985000</v>
      </c>
      <c r="AF41" s="10">
        <f ca="1">AK41+AM41+(IFERROR(OFFSET(ITEM_RES!$R$1,MATCH(AQ41,ITEM_RES!$A:$A,0)-1,0),0)*AS41+IFERROR(OFFSET(ITEM_RES!$R$1,MATCH(AV41,ITEM_RES!$A:$A,0)-1,0),0)*AX41+IFERROR(OFFSET(ITEM_RES!$R$1,MATCH(BA41,ITEM_RES!$A:$A,0)-1,0),0)*BC41+IFERROR(OFFSET(ITEM_RES!$R$1,MATCH(BF41,ITEM_RES!$A:$A,0)-1,0),0)*BH41+IFERROR(OFFSET(ITEM_RES!$R$1,MATCH(BK41,ITEM_RES!$A:$A,0)-1,0),0)*BM41)/1000</f>
        <v>12985000</v>
      </c>
      <c r="AG41" s="176">
        <f t="shared" ca="1" si="11"/>
        <v>19975000</v>
      </c>
      <c r="AI41" s="11">
        <f t="shared" si="4"/>
        <v>1440</v>
      </c>
      <c r="AJ41" s="10">
        <v>1440</v>
      </c>
      <c r="AK41" s="11">
        <f t="shared" si="6"/>
        <v>0</v>
      </c>
      <c r="AL41" s="10">
        <v>0</v>
      </c>
      <c r="AM41" s="11">
        <f t="shared" si="7"/>
        <v>0</v>
      </c>
      <c r="AN41" s="10">
        <v>0</v>
      </c>
      <c r="AO41" s="55">
        <f t="shared" si="8"/>
        <v>2</v>
      </c>
      <c r="AQ41" s="11">
        <f ca="1">IFERROR(OFFSET(ITEM_RES!$A$1,MATCH(AR41,ITEM_RES!$J:$J,0)-1,0),0)</f>
        <v>211010601</v>
      </c>
      <c r="AR41" s="10" t="s">
        <v>432</v>
      </c>
      <c r="AS41" s="11">
        <v>8000000</v>
      </c>
      <c r="AV41" s="11">
        <f ca="1">IFERROR(OFFSET(ITEM_RES!$A$1,MATCH(AW41,ITEM_RES!$J:$J,0)-1,0),0)</f>
        <v>211020101</v>
      </c>
      <c r="AW41" s="10" t="s">
        <v>436</v>
      </c>
      <c r="AX41" s="11">
        <v>370000</v>
      </c>
      <c r="BA41" s="11">
        <f ca="1">IFERROR(OFFSET(ITEM_RES!$A$1,MATCH(BB41,ITEM_RES!$J:$J,0)-1,0),0)</f>
        <v>0</v>
      </c>
      <c r="BF41" s="11">
        <f ca="1">IFERROR(OFFSET(ITEM_RES!$A$1,MATCH(BG41,ITEM_RES!$J:$J,0)-1,0),0)</f>
        <v>0</v>
      </c>
      <c r="BK41" s="11">
        <f ca="1">IFERROR(OFFSET(ITEM_RES!$A$1,MATCH(BL41,ITEM_RES!$J:$J,0)-1,0),0)</f>
        <v>0</v>
      </c>
      <c r="BM41" s="11">
        <f t="shared" si="5"/>
        <v>0</v>
      </c>
    </row>
    <row r="42" spans="1:66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355</v>
      </c>
      <c r="M42" s="9">
        <v>0</v>
      </c>
      <c r="N42" s="9">
        <v>15</v>
      </c>
      <c r="O42" s="9" t="s">
        <v>1401</v>
      </c>
      <c r="P42" s="55" t="s">
        <v>1403</v>
      </c>
      <c r="Q42" s="9" t="s">
        <v>667</v>
      </c>
      <c r="T42" s="9">
        <f ca="1">IFERROR(OFFSET(ITEM_RES!$A$5,MATCH(BUILDING!S42,ITEM_RES!$J$5:$J$229,0)-1,0),0)</f>
        <v>0</v>
      </c>
      <c r="V42" s="81" t="s">
        <v>524</v>
      </c>
      <c r="W42" s="11">
        <f ca="1">IFERROR(OFFSET(ITEM_RES!$A$5,MATCH(BUILDING!V42,ITEM_RES!$J$5:$J$229,0)-1,0),0)</f>
        <v>211010201</v>
      </c>
      <c r="Y42" s="9" t="s">
        <v>495</v>
      </c>
      <c r="Z42" s="9">
        <v>18</v>
      </c>
      <c r="AB42" s="11">
        <f ca="1">IFERROR(OFFSET(MANOR_LEVEL!$B$1,MATCH(AC42-1,MANOR_LEVEL!$A:$A,0)-1,0),0)</f>
        <v>1200000</v>
      </c>
      <c r="AC42" s="55">
        <v>11</v>
      </c>
      <c r="AE42" s="11">
        <f t="shared" ca="1" si="10"/>
        <v>21110000</v>
      </c>
      <c r="AF42" s="10">
        <f ca="1">AK42+AM42+(IFERROR(OFFSET(ITEM_RES!$R$1,MATCH(AQ42,ITEM_RES!$A:$A,0)-1,0),0)*AS42+IFERROR(OFFSET(ITEM_RES!$R$1,MATCH(AV42,ITEM_RES!$A:$A,0)-1,0),0)*AX42+IFERROR(OFFSET(ITEM_RES!$R$1,MATCH(BA42,ITEM_RES!$A:$A,0)-1,0),0)*BC42+IFERROR(OFFSET(ITEM_RES!$R$1,MATCH(BF42,ITEM_RES!$A:$A,0)-1,0),0)*BH42+IFERROR(OFFSET(ITEM_RES!$R$1,MATCH(BK42,ITEM_RES!$A:$A,0)-1,0),0)*BM42)/1000</f>
        <v>21110000</v>
      </c>
      <c r="AG42" s="176">
        <f t="shared" ca="1" si="11"/>
        <v>34095000</v>
      </c>
      <c r="AI42" s="11">
        <f t="shared" si="4"/>
        <v>1620</v>
      </c>
      <c r="AJ42" s="10">
        <v>1620</v>
      </c>
      <c r="AK42" s="11">
        <f t="shared" si="6"/>
        <v>0</v>
      </c>
      <c r="AL42" s="10">
        <v>0</v>
      </c>
      <c r="AM42" s="11">
        <f t="shared" si="7"/>
        <v>0</v>
      </c>
      <c r="AN42" s="10">
        <v>0</v>
      </c>
      <c r="AO42" s="55">
        <f t="shared" si="8"/>
        <v>2</v>
      </c>
      <c r="AQ42" s="11">
        <f ca="1">IFERROR(OFFSET(ITEM_RES!$A$1,MATCH(AR42,ITEM_RES!$J:$J,0)-1,0),0)</f>
        <v>211010601</v>
      </c>
      <c r="AR42" s="10" t="s">
        <v>432</v>
      </c>
      <c r="AS42" s="11">
        <v>13000000</v>
      </c>
      <c r="AV42" s="11">
        <f ca="1">IFERROR(OFFSET(ITEM_RES!$A$1,MATCH(AW42,ITEM_RES!$J:$J,0)-1,0),0)</f>
        <v>211020101</v>
      </c>
      <c r="AW42" s="10" t="s">
        <v>436</v>
      </c>
      <c r="AX42" s="11">
        <v>620000</v>
      </c>
      <c r="BA42" s="11">
        <f ca="1">IFERROR(OFFSET(ITEM_RES!$A$1,MATCH(BB42,ITEM_RES!$J:$J,0)-1,0),0)</f>
        <v>0</v>
      </c>
      <c r="BF42" s="11">
        <f ca="1">IFERROR(OFFSET(ITEM_RES!$A$1,MATCH(BG42,ITEM_RES!$J:$J,0)-1,0),0)</f>
        <v>0</v>
      </c>
      <c r="BK42" s="11">
        <f ca="1">IFERROR(OFFSET(ITEM_RES!$A$1,MATCH(BL42,ITEM_RES!$J:$J,0)-1,0),0)</f>
        <v>0</v>
      </c>
      <c r="BM42" s="11">
        <f t="shared" si="5"/>
        <v>0</v>
      </c>
    </row>
    <row r="43" spans="1:66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355</v>
      </c>
      <c r="M43" s="9">
        <v>0</v>
      </c>
      <c r="N43" s="9">
        <v>15</v>
      </c>
      <c r="O43" s="9" t="s">
        <v>1401</v>
      </c>
      <c r="P43" s="55" t="s">
        <v>1403</v>
      </c>
      <c r="Q43" s="9" t="s">
        <v>667</v>
      </c>
      <c r="T43" s="9">
        <f ca="1">IFERROR(OFFSET(ITEM_RES!$A$5,MATCH(BUILDING!S43,ITEM_RES!$J$5:$J$229,0)-1,0),0)</f>
        <v>0</v>
      </c>
      <c r="V43" s="81" t="s">
        <v>524</v>
      </c>
      <c r="W43" s="11">
        <f ca="1">IFERROR(OFFSET(ITEM_RES!$A$5,MATCH(BUILDING!V43,ITEM_RES!$J$5:$J$229,0)-1,0),0)</f>
        <v>211010201</v>
      </c>
      <c r="Y43" s="9" t="s">
        <v>495</v>
      </c>
      <c r="Z43" s="9">
        <v>19</v>
      </c>
      <c r="AB43" s="11">
        <f ca="1">IFERROR(OFFSET(MANOR_LEVEL!$B$1,MATCH(AC43-1,MANOR_LEVEL!$A:$A,0)-1,0),0)</f>
        <v>3500000</v>
      </c>
      <c r="AC43" s="55">
        <v>12</v>
      </c>
      <c r="AE43" s="11">
        <f t="shared" ca="1" si="10"/>
        <v>32485000</v>
      </c>
      <c r="AF43" s="10">
        <f ca="1">AK43+AM43+(IFERROR(OFFSET(ITEM_RES!$R$1,MATCH(AQ43,ITEM_RES!$A:$A,0)-1,0),0)*AS43+IFERROR(OFFSET(ITEM_RES!$R$1,MATCH(AV43,ITEM_RES!$A:$A,0)-1,0),0)*AX43+IFERROR(OFFSET(ITEM_RES!$R$1,MATCH(BA43,ITEM_RES!$A:$A,0)-1,0),0)*BC43+IFERROR(OFFSET(ITEM_RES!$R$1,MATCH(BF43,ITEM_RES!$A:$A,0)-1,0),0)*BH43+IFERROR(OFFSET(ITEM_RES!$R$1,MATCH(BK43,ITEM_RES!$A:$A,0)-1,0),0)*BM43)/1000</f>
        <v>32485000</v>
      </c>
      <c r="AG43" s="176">
        <f t="shared" ca="1" si="11"/>
        <v>53595000</v>
      </c>
      <c r="AI43" s="11">
        <f t="shared" si="4"/>
        <v>1800</v>
      </c>
      <c r="AJ43" s="10">
        <v>1800</v>
      </c>
      <c r="AK43" s="11">
        <f t="shared" si="6"/>
        <v>0</v>
      </c>
      <c r="AL43" s="10">
        <v>0</v>
      </c>
      <c r="AM43" s="11">
        <f t="shared" si="7"/>
        <v>0</v>
      </c>
      <c r="AN43" s="10">
        <v>0</v>
      </c>
      <c r="AO43" s="55">
        <f t="shared" si="8"/>
        <v>2</v>
      </c>
      <c r="AQ43" s="11">
        <f ca="1">IFERROR(OFFSET(ITEM_RES!$A$1,MATCH(AR43,ITEM_RES!$J:$J,0)-1,0),0)</f>
        <v>211010601</v>
      </c>
      <c r="AR43" s="10" t="s">
        <v>432</v>
      </c>
      <c r="AS43" s="11">
        <v>20000000</v>
      </c>
      <c r="AV43" s="11">
        <f ca="1">IFERROR(OFFSET(ITEM_RES!$A$1,MATCH(AW43,ITEM_RES!$J:$J,0)-1,0),0)</f>
        <v>211020101</v>
      </c>
      <c r="AW43" s="10" t="s">
        <v>436</v>
      </c>
      <c r="AX43" s="11">
        <v>970000</v>
      </c>
      <c r="BA43" s="11">
        <f ca="1">IFERROR(OFFSET(ITEM_RES!$A$1,MATCH(BB43,ITEM_RES!$J:$J,0)-1,0),0)</f>
        <v>0</v>
      </c>
      <c r="BF43" s="11">
        <f ca="1">IFERROR(OFFSET(ITEM_RES!$A$1,MATCH(BG43,ITEM_RES!$J:$J,0)-1,0),0)</f>
        <v>0</v>
      </c>
      <c r="BK43" s="11">
        <f ca="1">IFERROR(OFFSET(ITEM_RES!$A$1,MATCH(BL43,ITEM_RES!$J:$J,0)-1,0),0)</f>
        <v>0</v>
      </c>
      <c r="BM43" s="11">
        <f t="shared" si="5"/>
        <v>0</v>
      </c>
    </row>
    <row r="44" spans="1:66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355</v>
      </c>
      <c r="M44" s="9">
        <v>0</v>
      </c>
      <c r="N44" s="9">
        <v>15</v>
      </c>
      <c r="O44" s="9" t="s">
        <v>1401</v>
      </c>
      <c r="P44" s="55" t="s">
        <v>1403</v>
      </c>
      <c r="Q44" s="9" t="s">
        <v>667</v>
      </c>
      <c r="T44" s="9">
        <f ca="1">IFERROR(OFFSET(ITEM_RES!$A$5,MATCH(BUILDING!S44,ITEM_RES!$J$5:$J$229,0)-1,0),0)</f>
        <v>0</v>
      </c>
      <c r="V44" s="81" t="s">
        <v>524</v>
      </c>
      <c r="W44" s="11">
        <f ca="1">IFERROR(OFFSET(ITEM_RES!$A$5,MATCH(BUILDING!V44,ITEM_RES!$J$5:$J$229,0)-1,0),0)</f>
        <v>211010201</v>
      </c>
      <c r="Y44" s="9" t="s">
        <v>495</v>
      </c>
      <c r="Z44" s="9">
        <v>20</v>
      </c>
      <c r="AB44" s="11">
        <f ca="1">IFERROR(OFFSET(MANOR_LEVEL!$B$1,MATCH(AC44-1,MANOR_LEVEL!$A:$A,0)-1,0),0)</f>
        <v>6000000</v>
      </c>
      <c r="AC44" s="55">
        <v>13</v>
      </c>
      <c r="AE44" s="11">
        <f t="shared" ca="1" si="10"/>
        <v>52250000</v>
      </c>
      <c r="AF44" s="10">
        <f ca="1">AK44+AM44+(IFERROR(OFFSET(ITEM_RES!$R$1,MATCH(AQ44,ITEM_RES!$A:$A,0)-1,0),0)*AS44+IFERROR(OFFSET(ITEM_RES!$R$1,MATCH(AV44,ITEM_RES!$A:$A,0)-1,0),0)*AX44+IFERROR(OFFSET(ITEM_RES!$R$1,MATCH(BA44,ITEM_RES!$A:$A,0)-1,0),0)*BC44+IFERROR(OFFSET(ITEM_RES!$R$1,MATCH(BF44,ITEM_RES!$A:$A,0)-1,0),0)*BH44+IFERROR(OFFSET(ITEM_RES!$R$1,MATCH(BK44,ITEM_RES!$A:$A,0)-1,0),0)*BM44)/1000</f>
        <v>52250000</v>
      </c>
      <c r="AG44" s="176">
        <f t="shared" ca="1" si="11"/>
        <v>84735000</v>
      </c>
      <c r="AI44" s="11">
        <f t="shared" si="4"/>
        <v>1980</v>
      </c>
      <c r="AJ44" s="10">
        <v>1980</v>
      </c>
      <c r="AK44" s="11">
        <f t="shared" si="6"/>
        <v>0</v>
      </c>
      <c r="AL44" s="10">
        <v>0</v>
      </c>
      <c r="AM44" s="11">
        <f t="shared" si="7"/>
        <v>0</v>
      </c>
      <c r="AN44" s="10">
        <v>0</v>
      </c>
      <c r="AO44" s="55">
        <f t="shared" si="8"/>
        <v>2</v>
      </c>
      <c r="AQ44" s="11">
        <f ca="1">IFERROR(OFFSET(ITEM_RES!$A$1,MATCH(AR44,ITEM_RES!$J:$J,0)-1,0),0)</f>
        <v>211010601</v>
      </c>
      <c r="AR44" s="10" t="s">
        <v>432</v>
      </c>
      <c r="AS44" s="11">
        <v>32000000</v>
      </c>
      <c r="AV44" s="11">
        <f ca="1">IFERROR(OFFSET(ITEM_RES!$A$1,MATCH(AW44,ITEM_RES!$J:$J,0)-1,0),0)</f>
        <v>211020101</v>
      </c>
      <c r="AW44" s="10" t="s">
        <v>436</v>
      </c>
      <c r="AX44" s="11">
        <v>2100000</v>
      </c>
      <c r="BA44" s="11">
        <f ca="1">IFERROR(OFFSET(ITEM_RES!$A$1,MATCH(BB44,ITEM_RES!$J:$J,0)-1,0),0)</f>
        <v>0</v>
      </c>
      <c r="BF44" s="11">
        <f ca="1">IFERROR(OFFSET(ITEM_RES!$A$1,MATCH(BG44,ITEM_RES!$J:$J,0)-1,0),0)</f>
        <v>0</v>
      </c>
      <c r="BK44" s="11">
        <f ca="1">IFERROR(OFFSET(ITEM_RES!$A$1,MATCH(BL44,ITEM_RES!$J:$J,0)-1,0),0)</f>
        <v>0</v>
      </c>
      <c r="BM44" s="11">
        <f t="shared" si="5"/>
        <v>0</v>
      </c>
    </row>
    <row r="45" spans="1:66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76"/>
      <c r="H45" s="16">
        <v>1</v>
      </c>
      <c r="I45" s="16">
        <v>1</v>
      </c>
      <c r="J45" s="76"/>
      <c r="K45" s="16" t="s">
        <v>1321</v>
      </c>
      <c r="L45" s="16">
        <v>4</v>
      </c>
      <c r="M45" s="16">
        <v>1</v>
      </c>
      <c r="N45" s="16">
        <v>15</v>
      </c>
      <c r="O45" s="16" t="s">
        <v>1059</v>
      </c>
      <c r="P45" s="56" t="s">
        <v>1336</v>
      </c>
      <c r="Q45" s="16" t="s">
        <v>1457</v>
      </c>
      <c r="R45" s="76"/>
      <c r="S45" s="83"/>
      <c r="T45" s="16">
        <f ca="1">IFERROR(OFFSET(ITEM_RES!$A$5,MATCH(BUILDING!S45,ITEM_RES!$J$5:$J$229,0)-1,0),0)</f>
        <v>0</v>
      </c>
      <c r="U45" s="18"/>
      <c r="V45" s="83" t="s">
        <v>1456</v>
      </c>
      <c r="W45" s="18">
        <f ca="1">IFERROR(OFFSET(ITEM_RES!$A$5,MATCH(BUILDING!V45,ITEM_RES!$J$5:$J$229,0)-1,0),0)</f>
        <v>211010301</v>
      </c>
      <c r="X45" s="76"/>
      <c r="Y45" s="16" t="s">
        <v>496</v>
      </c>
      <c r="Z45" s="16">
        <v>1</v>
      </c>
      <c r="AA45" s="76"/>
      <c r="AB45" s="18">
        <f ca="1">IFERROR(OFFSET(MANOR_LEVEL!$B$1,MATCH(AC45-1,MANOR_LEVEL!$A:$A,0)-1,0),0)</f>
        <v>11000</v>
      </c>
      <c r="AC45" s="56">
        <v>5</v>
      </c>
      <c r="AD45" s="76"/>
      <c r="AE45" s="18">
        <f t="shared" ca="1" si="10"/>
        <v>1050</v>
      </c>
      <c r="AF45" s="17">
        <f ca="1">AK45+AM45+(IFERROR(OFFSET(ITEM_RES!$R$1,MATCH(AQ45,ITEM_RES!$A:$A,0)-1,0),0)*AS45+IFERROR(OFFSET(ITEM_RES!$R$1,MATCH(AV45,ITEM_RES!$A:$A,0)-1,0),0)*AX45+IFERROR(OFFSET(ITEM_RES!$R$1,MATCH(BA45,ITEM_RES!$A:$A,0)-1,0),0)*BC45+IFERROR(OFFSET(ITEM_RES!$R$1,MATCH(BF45,ITEM_RES!$A:$A,0)-1,0),0)*BH45+IFERROR(OFFSET(ITEM_RES!$R$1,MATCH(BK45,ITEM_RES!$A:$A,0)-1,0),0)*BM45)/1000</f>
        <v>1050</v>
      </c>
      <c r="AG45" s="178">
        <f ca="1">AE45</f>
        <v>1050</v>
      </c>
      <c r="AH45" s="76"/>
      <c r="AI45" s="18">
        <f t="shared" si="4"/>
        <v>2</v>
      </c>
      <c r="AJ45" s="17">
        <v>2</v>
      </c>
      <c r="AK45" s="18">
        <f t="shared" si="6"/>
        <v>0</v>
      </c>
      <c r="AL45" s="17">
        <v>0</v>
      </c>
      <c r="AM45" s="18">
        <f t="shared" si="7"/>
        <v>0</v>
      </c>
      <c r="AN45" s="17">
        <v>0</v>
      </c>
      <c r="AO45" s="56">
        <f t="shared" si="8"/>
        <v>2</v>
      </c>
      <c r="AP45" s="18"/>
      <c r="AQ45" s="18">
        <f ca="1">IFERROR(OFFSET(ITEM_RES!$A$1,MATCH(AR45,ITEM_RES!$J:$J,0)-1,0),0)</f>
        <v>211010501</v>
      </c>
      <c r="AR45" s="17" t="s">
        <v>421</v>
      </c>
      <c r="AS45" s="18">
        <v>50</v>
      </c>
      <c r="AT45" s="17"/>
      <c r="AU45" s="18"/>
      <c r="AV45" s="18">
        <f ca="1">IFERROR(OFFSET(ITEM_RES!$A$1,MATCH(AW45,ITEM_RES!$J:$J,0)-1,0),0)</f>
        <v>0</v>
      </c>
      <c r="AW45" s="17"/>
      <c r="AX45" s="18"/>
      <c r="AY45" s="17"/>
      <c r="AZ45" s="18"/>
      <c r="BA45" s="18">
        <f ca="1">IFERROR(OFFSET(ITEM_RES!$A$1,MATCH(BB45,ITEM_RES!$J:$J,0)-1,0),0)</f>
        <v>213010101</v>
      </c>
      <c r="BB45" s="17" t="s">
        <v>440</v>
      </c>
      <c r="BC45" s="18">
        <v>1</v>
      </c>
      <c r="BD45" s="17"/>
      <c r="BE45" s="18"/>
      <c r="BF45" s="18">
        <f ca="1">IFERROR(OFFSET(ITEM_RES!$A$1,MATCH(BG45,ITEM_RES!$J:$J,0)-1,0),0)</f>
        <v>0</v>
      </c>
      <c r="BG45" s="17"/>
      <c r="BH45" s="18"/>
      <c r="BI45" s="17"/>
      <c r="BJ45" s="18"/>
      <c r="BK45" s="18">
        <f ca="1">IFERROR(OFFSET(ITEM_RES!$A$1,MATCH(BL45,ITEM_RES!$J:$J,0)-1,0),0)</f>
        <v>0</v>
      </c>
      <c r="BL45" s="17"/>
      <c r="BM45" s="18">
        <f t="shared" si="5"/>
        <v>0</v>
      </c>
      <c r="BN45" s="17"/>
    </row>
    <row r="46" spans="1:66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1321</v>
      </c>
      <c r="M46" s="9">
        <v>1</v>
      </c>
      <c r="N46" s="9">
        <v>15</v>
      </c>
      <c r="O46" s="9" t="s">
        <v>1060</v>
      </c>
      <c r="P46" s="55" t="s">
        <v>1336</v>
      </c>
      <c r="Q46" s="9" t="s">
        <v>1457</v>
      </c>
      <c r="T46" s="9">
        <f ca="1">IFERROR(OFFSET(ITEM_RES!$A$5,MATCH(BUILDING!S46,ITEM_RES!$J$5:$J$229,0)-1,0),0)</f>
        <v>0</v>
      </c>
      <c r="V46" s="81" t="s">
        <v>1456</v>
      </c>
      <c r="W46" s="11">
        <f ca="1">IFERROR(OFFSET(ITEM_RES!$A$5,MATCH(BUILDING!V46,ITEM_RES!$J$5:$J$229,0)-1,0),0)</f>
        <v>211010301</v>
      </c>
      <c r="Y46" s="9" t="s">
        <v>496</v>
      </c>
      <c r="Z46" s="9">
        <v>2</v>
      </c>
      <c r="AB46" s="11">
        <f ca="1">IFERROR(OFFSET(MANOR_LEVEL!$B$1,MATCH(AC46-1,MANOR_LEVEL!$A:$A,0)-1,0),0)</f>
        <v>17000</v>
      </c>
      <c r="AC46" s="55">
        <v>6</v>
      </c>
      <c r="AE46" s="11">
        <f t="shared" ca="1" si="10"/>
        <v>100</v>
      </c>
      <c r="AF46" s="10">
        <f ca="1">AK46+AM46+(IFERROR(OFFSET(ITEM_RES!$R$1,MATCH(AQ46,ITEM_RES!$A:$A,0)-1,0),0)*AS46+IFERROR(OFFSET(ITEM_RES!$R$1,MATCH(AV46,ITEM_RES!$A:$A,0)-1,0),0)*AX46+IFERROR(OFFSET(ITEM_RES!$R$1,MATCH(BA46,ITEM_RES!$A:$A,0)-1,0),0)*BC46+IFERROR(OFFSET(ITEM_RES!$R$1,MATCH(BF46,ITEM_RES!$A:$A,0)-1,0),0)*BH46+IFERROR(OFFSET(ITEM_RES!$R$1,MATCH(BK46,ITEM_RES!$A:$A,0)-1,0),0)*BM46)/1000</f>
        <v>100</v>
      </c>
      <c r="AG46" s="176">
        <f ca="1">AE45+AE46</f>
        <v>1150</v>
      </c>
      <c r="AI46" s="11">
        <f t="shared" si="4"/>
        <v>2</v>
      </c>
      <c r="AJ46" s="10">
        <v>2</v>
      </c>
      <c r="AK46" s="11">
        <f t="shared" si="6"/>
        <v>0</v>
      </c>
      <c r="AL46" s="10">
        <v>0</v>
      </c>
      <c r="AM46" s="11">
        <f t="shared" si="7"/>
        <v>0</v>
      </c>
      <c r="AN46" s="10">
        <v>0</v>
      </c>
      <c r="AO46" s="55">
        <f t="shared" si="8"/>
        <v>1</v>
      </c>
      <c r="AQ46" s="11">
        <f ca="1">IFERROR(OFFSET(ITEM_RES!$A$1,MATCH(AR46,ITEM_RES!$J:$J,0)-1,0),0)</f>
        <v>211010501</v>
      </c>
      <c r="AR46" s="10" t="s">
        <v>421</v>
      </c>
      <c r="AS46" s="11">
        <v>100</v>
      </c>
      <c r="AV46" s="11">
        <f ca="1">IFERROR(OFFSET(ITEM_RES!$A$1,MATCH(AW46,ITEM_RES!$J:$J,0)-1,0),0)</f>
        <v>0</v>
      </c>
      <c r="BA46" s="11">
        <f ca="1">IFERROR(OFFSET(ITEM_RES!$A$1,MATCH(BB46,ITEM_RES!$J:$J,0)-1,0),0)</f>
        <v>0</v>
      </c>
      <c r="BF46" s="11">
        <f ca="1">IFERROR(OFFSET(ITEM_RES!$A$1,MATCH(BG46,ITEM_RES!$J:$J,0)-1,0),0)</f>
        <v>0</v>
      </c>
      <c r="BK46" s="11">
        <f ca="1">IFERROR(OFFSET(ITEM_RES!$A$1,MATCH(BL46,ITEM_RES!$J:$J,0)-1,0),0)</f>
        <v>0</v>
      </c>
      <c r="BM46" s="11">
        <f t="shared" si="5"/>
        <v>0</v>
      </c>
    </row>
    <row r="47" spans="1:66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1321</v>
      </c>
      <c r="M47" s="9">
        <v>1</v>
      </c>
      <c r="N47" s="9">
        <v>15</v>
      </c>
      <c r="O47" s="9" t="s">
        <v>1061</v>
      </c>
      <c r="P47" s="55" t="s">
        <v>1337</v>
      </c>
      <c r="Q47" s="9" t="s">
        <v>1457</v>
      </c>
      <c r="T47" s="9">
        <f ca="1">IFERROR(OFFSET(ITEM_RES!$A$5,MATCH(BUILDING!S47,ITEM_RES!$J$5:$J$229,0)-1,0),0)</f>
        <v>0</v>
      </c>
      <c r="V47" s="81" t="s">
        <v>1456</v>
      </c>
      <c r="W47" s="11">
        <f ca="1">IFERROR(OFFSET(ITEM_RES!$A$5,MATCH(BUILDING!V47,ITEM_RES!$J$5:$J$229,0)-1,0),0)</f>
        <v>211010301</v>
      </c>
      <c r="Y47" s="9" t="s">
        <v>496</v>
      </c>
      <c r="Z47" s="9">
        <v>3</v>
      </c>
      <c r="AB47" s="11">
        <f ca="1">IFERROR(OFFSET(MANOR_LEVEL!$B$1,MATCH(AC47-1,MANOR_LEVEL!$A:$A,0)-1,0),0)</f>
        <v>17000</v>
      </c>
      <c r="AC47" s="55">
        <v>6</v>
      </c>
      <c r="AE47" s="11">
        <f t="shared" ca="1" si="10"/>
        <v>150</v>
      </c>
      <c r="AF47" s="10">
        <f ca="1">AK47+AM47+(IFERROR(OFFSET(ITEM_RES!$R$1,MATCH(AQ47,ITEM_RES!$A:$A,0)-1,0),0)*AS47+IFERROR(OFFSET(ITEM_RES!$R$1,MATCH(AV47,ITEM_RES!$A:$A,0)-1,0),0)*AX47+IFERROR(OFFSET(ITEM_RES!$R$1,MATCH(BA47,ITEM_RES!$A:$A,0)-1,0),0)*BC47+IFERROR(OFFSET(ITEM_RES!$R$1,MATCH(BF47,ITEM_RES!$A:$A,0)-1,0),0)*BH47+IFERROR(OFFSET(ITEM_RES!$R$1,MATCH(BK47,ITEM_RES!$A:$A,0)-1,0),0)*BM47)/1000</f>
        <v>150</v>
      </c>
      <c r="AG47" s="176">
        <f t="shared" ref="AG47:AG64" ca="1" si="12">AE46+AE47</f>
        <v>250</v>
      </c>
      <c r="AI47" s="11">
        <f t="shared" si="4"/>
        <v>3</v>
      </c>
      <c r="AJ47" s="10">
        <v>3</v>
      </c>
      <c r="AK47" s="11">
        <f t="shared" si="6"/>
        <v>0</v>
      </c>
      <c r="AL47" s="10">
        <v>0</v>
      </c>
      <c r="AM47" s="11">
        <f t="shared" si="7"/>
        <v>0</v>
      </c>
      <c r="AN47" s="10">
        <v>0</v>
      </c>
      <c r="AO47" s="55">
        <f t="shared" si="8"/>
        <v>1</v>
      </c>
      <c r="AQ47" s="11">
        <f ca="1">IFERROR(OFFSET(ITEM_RES!$A$1,MATCH(AR47,ITEM_RES!$J:$J,0)-1,0),0)</f>
        <v>211010501</v>
      </c>
      <c r="AR47" s="10" t="s">
        <v>421</v>
      </c>
      <c r="AS47" s="11">
        <v>150</v>
      </c>
      <c r="AV47" s="11">
        <f ca="1">IFERROR(OFFSET(ITEM_RES!$A$1,MATCH(AW47,ITEM_RES!$J:$J,0)-1,0),0)</f>
        <v>0</v>
      </c>
      <c r="BA47" s="11">
        <f ca="1">IFERROR(OFFSET(ITEM_RES!$A$1,MATCH(BB47,ITEM_RES!$J:$J,0)-1,0),0)</f>
        <v>0</v>
      </c>
      <c r="BF47" s="11">
        <f ca="1">IFERROR(OFFSET(ITEM_RES!$A$1,MATCH(BG47,ITEM_RES!$J:$J,0)-1,0),0)</f>
        <v>0</v>
      </c>
      <c r="BK47" s="11">
        <f ca="1">IFERROR(OFFSET(ITEM_RES!$A$1,MATCH(BL47,ITEM_RES!$J:$J,0)-1,0),0)</f>
        <v>0</v>
      </c>
      <c r="BM47" s="11">
        <f t="shared" si="5"/>
        <v>0</v>
      </c>
    </row>
    <row r="48" spans="1:66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1321</v>
      </c>
      <c r="M48" s="9">
        <v>1</v>
      </c>
      <c r="N48" s="9">
        <v>15</v>
      </c>
      <c r="O48" s="9" t="s">
        <v>1061</v>
      </c>
      <c r="P48" s="55" t="s">
        <v>1337</v>
      </c>
      <c r="Q48" s="9" t="s">
        <v>1457</v>
      </c>
      <c r="T48" s="9">
        <f ca="1">IFERROR(OFFSET(ITEM_RES!$A$5,MATCH(BUILDING!S48,ITEM_RES!$J$5:$J$229,0)-1,0),0)</f>
        <v>0</v>
      </c>
      <c r="V48" s="81" t="s">
        <v>1456</v>
      </c>
      <c r="W48" s="11">
        <f ca="1">IFERROR(OFFSET(ITEM_RES!$A$5,MATCH(BUILDING!V48,ITEM_RES!$J$5:$J$229,0)-1,0),0)</f>
        <v>211010301</v>
      </c>
      <c r="Y48" s="9" t="s">
        <v>496</v>
      </c>
      <c r="Z48" s="9">
        <v>4</v>
      </c>
      <c r="AB48" s="11">
        <f ca="1">IFERROR(OFFSET(MANOR_LEVEL!$B$1,MATCH(AC48-1,MANOR_LEVEL!$A:$A,0)-1,0),0)</f>
        <v>17000</v>
      </c>
      <c r="AC48" s="55">
        <v>6</v>
      </c>
      <c r="AE48" s="11">
        <f t="shared" ca="1" si="10"/>
        <v>600</v>
      </c>
      <c r="AF48" s="10">
        <f ca="1">AK48+AM48+(IFERROR(OFFSET(ITEM_RES!$R$1,MATCH(AQ48,ITEM_RES!$A:$A,0)-1,0),0)*AS48+IFERROR(OFFSET(ITEM_RES!$R$1,MATCH(AV48,ITEM_RES!$A:$A,0)-1,0),0)*AX48+IFERROR(OFFSET(ITEM_RES!$R$1,MATCH(BA48,ITEM_RES!$A:$A,0)-1,0),0)*BC48+IFERROR(OFFSET(ITEM_RES!$R$1,MATCH(BF48,ITEM_RES!$A:$A,0)-1,0),0)*BH48+IFERROR(OFFSET(ITEM_RES!$R$1,MATCH(BK48,ITEM_RES!$A:$A,0)-1,0),0)*BM48)/1000</f>
        <v>600</v>
      </c>
      <c r="AG48" s="176">
        <f t="shared" ca="1" si="12"/>
        <v>750</v>
      </c>
      <c r="AI48" s="11">
        <f t="shared" si="4"/>
        <v>5</v>
      </c>
      <c r="AJ48" s="10">
        <v>5</v>
      </c>
      <c r="AK48" s="11">
        <f t="shared" si="6"/>
        <v>0</v>
      </c>
      <c r="AL48" s="10">
        <v>0</v>
      </c>
      <c r="AM48" s="11">
        <f t="shared" si="7"/>
        <v>0</v>
      </c>
      <c r="AN48" s="10">
        <v>0</v>
      </c>
      <c r="AO48" s="55">
        <f t="shared" si="8"/>
        <v>1</v>
      </c>
      <c r="AQ48" s="11">
        <f ca="1">IFERROR(OFFSET(ITEM_RES!$A$1,MATCH(AR48,ITEM_RES!$J:$J,0)-1,0),0)</f>
        <v>211010501</v>
      </c>
      <c r="AR48" s="10" t="s">
        <v>421</v>
      </c>
      <c r="AS48" s="11">
        <v>600</v>
      </c>
      <c r="AV48" s="11">
        <f ca="1">IFERROR(OFFSET(ITEM_RES!$A$1,MATCH(AW48,ITEM_RES!$J:$J,0)-1,0),0)</f>
        <v>0</v>
      </c>
      <c r="BA48" s="11">
        <f ca="1">IFERROR(OFFSET(ITEM_RES!$A$1,MATCH(BB48,ITEM_RES!$J:$J,0)-1,0),0)</f>
        <v>0</v>
      </c>
      <c r="BF48" s="11">
        <f ca="1">IFERROR(OFFSET(ITEM_RES!$A$1,MATCH(BG48,ITEM_RES!$J:$J,0)-1,0),0)</f>
        <v>0</v>
      </c>
      <c r="BK48" s="11">
        <f ca="1">IFERROR(OFFSET(ITEM_RES!$A$1,MATCH(BL48,ITEM_RES!$J:$J,0)-1,0),0)</f>
        <v>0</v>
      </c>
      <c r="BM48" s="11">
        <f t="shared" si="5"/>
        <v>0</v>
      </c>
    </row>
    <row r="49" spans="1:65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1321</v>
      </c>
      <c r="M49" s="9">
        <v>1</v>
      </c>
      <c r="N49" s="9">
        <v>15</v>
      </c>
      <c r="O49" s="9" t="s">
        <v>1062</v>
      </c>
      <c r="P49" s="55" t="s">
        <v>1338</v>
      </c>
      <c r="Q49" s="9" t="s">
        <v>1457</v>
      </c>
      <c r="T49" s="9">
        <f ca="1">IFERROR(OFFSET(ITEM_RES!$A$5,MATCH(BUILDING!S49,ITEM_RES!$J$5:$J$229,0)-1,0),0)</f>
        <v>0</v>
      </c>
      <c r="V49" s="81" t="s">
        <v>1456</v>
      </c>
      <c r="W49" s="11">
        <f ca="1">IFERROR(OFFSET(ITEM_RES!$A$5,MATCH(BUILDING!V49,ITEM_RES!$J$5:$J$229,0)-1,0),0)</f>
        <v>211010301</v>
      </c>
      <c r="Y49" s="9" t="s">
        <v>496</v>
      </c>
      <c r="Z49" s="9">
        <v>5</v>
      </c>
      <c r="AB49" s="11">
        <f ca="1">IFERROR(OFFSET(MANOR_LEVEL!$B$1,MATCH(AC49-1,MANOR_LEVEL!$A:$A,0)-1,0),0)</f>
        <v>17000</v>
      </c>
      <c r="AC49" s="55">
        <v>6</v>
      </c>
      <c r="AE49" s="11">
        <f t="shared" ca="1" si="10"/>
        <v>2700</v>
      </c>
      <c r="AF49" s="10">
        <f ca="1">AK49+AM49+(IFERROR(OFFSET(ITEM_RES!$R$1,MATCH(AQ49,ITEM_RES!$A:$A,0)-1,0),0)*AS49+IFERROR(OFFSET(ITEM_RES!$R$1,MATCH(AV49,ITEM_RES!$A:$A,0)-1,0),0)*AX49+IFERROR(OFFSET(ITEM_RES!$R$1,MATCH(BA49,ITEM_RES!$A:$A,0)-1,0),0)*BC49+IFERROR(OFFSET(ITEM_RES!$R$1,MATCH(BF49,ITEM_RES!$A:$A,0)-1,0),0)*BH49+IFERROR(OFFSET(ITEM_RES!$R$1,MATCH(BK49,ITEM_RES!$A:$A,0)-1,0),0)*BM49)/1000</f>
        <v>2700</v>
      </c>
      <c r="AG49" s="176">
        <f t="shared" ca="1" si="12"/>
        <v>3300</v>
      </c>
      <c r="AI49" s="11">
        <f t="shared" si="4"/>
        <v>8</v>
      </c>
      <c r="AJ49" s="10">
        <v>8</v>
      </c>
      <c r="AK49" s="11">
        <f t="shared" si="6"/>
        <v>0</v>
      </c>
      <c r="AL49" s="10">
        <v>0</v>
      </c>
      <c r="AM49" s="11">
        <f t="shared" si="7"/>
        <v>0</v>
      </c>
      <c r="AN49" s="10">
        <v>0</v>
      </c>
      <c r="AO49" s="55">
        <f t="shared" si="8"/>
        <v>1</v>
      </c>
      <c r="AQ49" s="11">
        <f ca="1">IFERROR(OFFSET(ITEM_RES!$A$1,MATCH(AR49,ITEM_RES!$J:$J,0)-1,0),0)</f>
        <v>211010501</v>
      </c>
      <c r="AR49" s="10" t="s">
        <v>421</v>
      </c>
      <c r="AS49" s="11">
        <v>2700</v>
      </c>
      <c r="AV49" s="11">
        <f ca="1">IFERROR(OFFSET(ITEM_RES!$A$1,MATCH(AW49,ITEM_RES!$J:$J,0)-1,0),0)</f>
        <v>0</v>
      </c>
      <c r="BA49" s="11">
        <f ca="1">IFERROR(OFFSET(ITEM_RES!$A$1,MATCH(BB49,ITEM_RES!$J:$J,0)-1,0),0)</f>
        <v>0</v>
      </c>
      <c r="BF49" s="11">
        <f ca="1">IFERROR(OFFSET(ITEM_RES!$A$1,MATCH(BG49,ITEM_RES!$J:$J,0)-1,0),0)</f>
        <v>0</v>
      </c>
      <c r="BK49" s="11">
        <f ca="1">IFERROR(OFFSET(ITEM_RES!$A$1,MATCH(BL49,ITEM_RES!$J:$J,0)-1,0),0)</f>
        <v>0</v>
      </c>
      <c r="BM49" s="11">
        <f t="shared" si="5"/>
        <v>0</v>
      </c>
    </row>
    <row r="50" spans="1:65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1321</v>
      </c>
      <c r="M50" s="9">
        <v>1</v>
      </c>
      <c r="N50" s="9">
        <v>15</v>
      </c>
      <c r="O50" s="9" t="s">
        <v>1063</v>
      </c>
      <c r="P50" s="55" t="s">
        <v>1338</v>
      </c>
      <c r="Q50" s="9" t="s">
        <v>1457</v>
      </c>
      <c r="T50" s="9">
        <f ca="1">IFERROR(OFFSET(ITEM_RES!$A$5,MATCH(BUILDING!S50,ITEM_RES!$J$5:$J$229,0)-1,0),0)</f>
        <v>0</v>
      </c>
      <c r="V50" s="81" t="s">
        <v>1456</v>
      </c>
      <c r="W50" s="11">
        <f ca="1">IFERROR(OFFSET(ITEM_RES!$A$5,MATCH(BUILDING!V50,ITEM_RES!$J$5:$J$229,0)-1,0),0)</f>
        <v>211010301</v>
      </c>
      <c r="Y50" s="9" t="s">
        <v>496</v>
      </c>
      <c r="Z50" s="9">
        <v>6</v>
      </c>
      <c r="AB50" s="11">
        <f ca="1">IFERROR(OFFSET(MANOR_LEVEL!$B$1,MATCH(AC50-1,MANOR_LEVEL!$A:$A,0)-1,0),0)</f>
        <v>17000</v>
      </c>
      <c r="AC50" s="55">
        <v>6</v>
      </c>
      <c r="AE50" s="11">
        <f t="shared" ca="1" si="10"/>
        <v>9003</v>
      </c>
      <c r="AF50" s="10">
        <f ca="1">AK50+AM50+(IFERROR(OFFSET(ITEM_RES!$R$1,MATCH(AQ50,ITEM_RES!$A:$A,0)-1,0),0)*AS50+IFERROR(OFFSET(ITEM_RES!$R$1,MATCH(AV50,ITEM_RES!$A:$A,0)-1,0),0)*AX50+IFERROR(OFFSET(ITEM_RES!$R$1,MATCH(BA50,ITEM_RES!$A:$A,0)-1,0),0)*BC50+IFERROR(OFFSET(ITEM_RES!$R$1,MATCH(BF50,ITEM_RES!$A:$A,0)-1,0),0)*BH50+IFERROR(OFFSET(ITEM_RES!$R$1,MATCH(BK50,ITEM_RES!$A:$A,0)-1,0),0)*BM50)/1000</f>
        <v>9002.5</v>
      </c>
      <c r="AG50" s="176">
        <f t="shared" ca="1" si="12"/>
        <v>11703</v>
      </c>
      <c r="AI50" s="11">
        <f t="shared" si="4"/>
        <v>10</v>
      </c>
      <c r="AJ50" s="10">
        <v>10</v>
      </c>
      <c r="AK50" s="11">
        <f t="shared" si="6"/>
        <v>0</v>
      </c>
      <c r="AL50" s="10">
        <v>0</v>
      </c>
      <c r="AM50" s="11">
        <f t="shared" si="7"/>
        <v>0</v>
      </c>
      <c r="AN50" s="10">
        <v>0</v>
      </c>
      <c r="AO50" s="55">
        <f t="shared" si="8"/>
        <v>2</v>
      </c>
      <c r="AQ50" s="11">
        <f ca="1">IFERROR(OFFSET(ITEM_RES!$A$1,MATCH(AR50,ITEM_RES!$J:$J,0)-1,0),0)</f>
        <v>211010501</v>
      </c>
      <c r="AR50" s="10" t="s">
        <v>421</v>
      </c>
      <c r="AS50" s="11">
        <v>9000</v>
      </c>
      <c r="AV50" s="11">
        <f ca="1">IFERROR(OFFSET(ITEM_RES!$A$1,MATCH(AW50,ITEM_RES!$J:$J,0)-1,0),0)</f>
        <v>211020101</v>
      </c>
      <c r="AW50" s="10" t="s">
        <v>436</v>
      </c>
      <c r="AX50" s="11">
        <v>5</v>
      </c>
      <c r="BA50" s="11">
        <f ca="1">IFERROR(OFFSET(ITEM_RES!$A$1,MATCH(BB50,ITEM_RES!$J:$J,0)-1,0),0)</f>
        <v>0</v>
      </c>
      <c r="BF50" s="11">
        <f ca="1">IFERROR(OFFSET(ITEM_RES!$A$1,MATCH(BG50,ITEM_RES!$J:$J,0)-1,0),0)</f>
        <v>0</v>
      </c>
      <c r="BK50" s="11">
        <f ca="1">IFERROR(OFFSET(ITEM_RES!$A$1,MATCH(BL50,ITEM_RES!$J:$J,0)-1,0),0)</f>
        <v>0</v>
      </c>
      <c r="BM50" s="11">
        <f t="shared" si="5"/>
        <v>0</v>
      </c>
    </row>
    <row r="51" spans="1:65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1321</v>
      </c>
      <c r="M51" s="9">
        <v>1</v>
      </c>
      <c r="N51" s="9">
        <v>15</v>
      </c>
      <c r="O51" s="9" t="s">
        <v>1064</v>
      </c>
      <c r="P51" s="55" t="s">
        <v>1339</v>
      </c>
      <c r="Q51" s="9" t="s">
        <v>1457</v>
      </c>
      <c r="T51" s="9">
        <f ca="1">IFERROR(OFFSET(ITEM_RES!$A$5,MATCH(BUILDING!S51,ITEM_RES!$J$5:$J$229,0)-1,0),0)</f>
        <v>0</v>
      </c>
      <c r="V51" s="81" t="s">
        <v>1456</v>
      </c>
      <c r="W51" s="11">
        <f ca="1">IFERROR(OFFSET(ITEM_RES!$A$5,MATCH(BUILDING!V51,ITEM_RES!$J$5:$J$229,0)-1,0),0)</f>
        <v>211010301</v>
      </c>
      <c r="Y51" s="9" t="s">
        <v>496</v>
      </c>
      <c r="Z51" s="9">
        <v>7</v>
      </c>
      <c r="AB51" s="11">
        <f ca="1">IFERROR(OFFSET(MANOR_LEVEL!$B$1,MATCH(AC51-1,MANOR_LEVEL!$A:$A,0)-1,0),0)</f>
        <v>17000</v>
      </c>
      <c r="AC51" s="55">
        <v>6</v>
      </c>
      <c r="AE51" s="11">
        <f t="shared" ca="1" si="10"/>
        <v>20005</v>
      </c>
      <c r="AF51" s="10">
        <f ca="1">AK51+AM51+(IFERROR(OFFSET(ITEM_RES!$R$1,MATCH(AQ51,ITEM_RES!$A:$A,0)-1,0),0)*AS51+IFERROR(OFFSET(ITEM_RES!$R$1,MATCH(AV51,ITEM_RES!$A:$A,0)-1,0),0)*AX51+IFERROR(OFFSET(ITEM_RES!$R$1,MATCH(BA51,ITEM_RES!$A:$A,0)-1,0),0)*BC51+IFERROR(OFFSET(ITEM_RES!$R$1,MATCH(BF51,ITEM_RES!$A:$A,0)-1,0),0)*BH51+IFERROR(OFFSET(ITEM_RES!$R$1,MATCH(BK51,ITEM_RES!$A:$A,0)-1,0),0)*BM51)/1000</f>
        <v>20005</v>
      </c>
      <c r="AG51" s="176">
        <f t="shared" ca="1" si="12"/>
        <v>29008</v>
      </c>
      <c r="AI51" s="11">
        <f t="shared" si="4"/>
        <v>15</v>
      </c>
      <c r="AJ51" s="10">
        <v>15</v>
      </c>
      <c r="AK51" s="11">
        <f t="shared" si="6"/>
        <v>0</v>
      </c>
      <c r="AL51" s="10">
        <v>0</v>
      </c>
      <c r="AM51" s="11">
        <f t="shared" si="7"/>
        <v>0</v>
      </c>
      <c r="AN51" s="10">
        <v>0</v>
      </c>
      <c r="AO51" s="55">
        <f t="shared" si="8"/>
        <v>2</v>
      </c>
      <c r="AQ51" s="11">
        <f ca="1">IFERROR(OFFSET(ITEM_RES!$A$1,MATCH(AR51,ITEM_RES!$J:$J,0)-1,0),0)</f>
        <v>211010501</v>
      </c>
      <c r="AR51" s="10" t="s">
        <v>421</v>
      </c>
      <c r="AS51" s="11">
        <v>20000</v>
      </c>
      <c r="AV51" s="11">
        <f ca="1">IFERROR(OFFSET(ITEM_RES!$A$1,MATCH(AW51,ITEM_RES!$J:$J,0)-1,0),0)</f>
        <v>211020101</v>
      </c>
      <c r="AW51" s="10" t="s">
        <v>436</v>
      </c>
      <c r="AX51" s="11">
        <v>10</v>
      </c>
      <c r="BA51" s="11">
        <f ca="1">IFERROR(OFFSET(ITEM_RES!$A$1,MATCH(BB51,ITEM_RES!$J:$J,0)-1,0),0)</f>
        <v>0</v>
      </c>
      <c r="BF51" s="11">
        <f ca="1">IFERROR(OFFSET(ITEM_RES!$A$1,MATCH(BG51,ITEM_RES!$J:$J,0)-1,0),0)</f>
        <v>0</v>
      </c>
      <c r="BK51" s="11">
        <f ca="1">IFERROR(OFFSET(ITEM_RES!$A$1,MATCH(BL51,ITEM_RES!$J:$J,0)-1,0),0)</f>
        <v>0</v>
      </c>
      <c r="BM51" s="11">
        <f t="shared" si="5"/>
        <v>0</v>
      </c>
    </row>
    <row r="52" spans="1:65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1321</v>
      </c>
      <c r="M52" s="9">
        <v>1</v>
      </c>
      <c r="N52" s="9">
        <v>15</v>
      </c>
      <c r="O52" s="9" t="s">
        <v>1064</v>
      </c>
      <c r="P52" s="55" t="s">
        <v>1339</v>
      </c>
      <c r="Q52" s="9" t="s">
        <v>1457</v>
      </c>
      <c r="T52" s="9">
        <f ca="1">IFERROR(OFFSET(ITEM_RES!$A$5,MATCH(BUILDING!S52,ITEM_RES!$J$5:$J$229,0)-1,0),0)</f>
        <v>0</v>
      </c>
      <c r="V52" s="81" t="s">
        <v>1456</v>
      </c>
      <c r="W52" s="11">
        <f ca="1">IFERROR(OFFSET(ITEM_RES!$A$5,MATCH(BUILDING!V52,ITEM_RES!$J$5:$J$229,0)-1,0),0)</f>
        <v>211010301</v>
      </c>
      <c r="Y52" s="9" t="s">
        <v>496</v>
      </c>
      <c r="Z52" s="9">
        <v>8</v>
      </c>
      <c r="AB52" s="11">
        <f ca="1">IFERROR(OFFSET(MANOR_LEVEL!$B$1,MATCH(AC52-1,MANOR_LEVEL!$A:$A,0)-1,0),0)</f>
        <v>40000</v>
      </c>
      <c r="AC52" s="55">
        <v>7</v>
      </c>
      <c r="AE52" s="11">
        <f t="shared" ca="1" si="10"/>
        <v>42075</v>
      </c>
      <c r="AF52" s="10">
        <f ca="1">AK52+AM52+(IFERROR(OFFSET(ITEM_RES!$R$1,MATCH(AQ52,ITEM_RES!$A:$A,0)-1,0),0)*AS52+IFERROR(OFFSET(ITEM_RES!$R$1,MATCH(AV52,ITEM_RES!$A:$A,0)-1,0),0)*AX52+IFERROR(OFFSET(ITEM_RES!$R$1,MATCH(BA52,ITEM_RES!$A:$A,0)-1,0),0)*BC52+IFERROR(OFFSET(ITEM_RES!$R$1,MATCH(BF52,ITEM_RES!$A:$A,0)-1,0),0)*BH52+IFERROR(OFFSET(ITEM_RES!$R$1,MATCH(BK52,ITEM_RES!$A:$A,0)-1,0),0)*BM52)/1000</f>
        <v>42075</v>
      </c>
      <c r="AG52" s="176">
        <f t="shared" ca="1" si="12"/>
        <v>62080</v>
      </c>
      <c r="AI52" s="11">
        <f t="shared" si="4"/>
        <v>30</v>
      </c>
      <c r="AJ52" s="10">
        <v>30</v>
      </c>
      <c r="AK52" s="11">
        <f t="shared" si="6"/>
        <v>0</v>
      </c>
      <c r="AL52" s="10">
        <v>0</v>
      </c>
      <c r="AM52" s="11">
        <f t="shared" si="7"/>
        <v>0</v>
      </c>
      <c r="AN52" s="10">
        <v>0</v>
      </c>
      <c r="AO52" s="55">
        <f t="shared" si="8"/>
        <v>2</v>
      </c>
      <c r="AQ52" s="11">
        <f ca="1">IFERROR(OFFSET(ITEM_RES!$A$1,MATCH(AR52,ITEM_RES!$J:$J,0)-1,0),0)</f>
        <v>211010501</v>
      </c>
      <c r="AR52" s="10" t="s">
        <v>421</v>
      </c>
      <c r="AS52" s="11">
        <v>42000</v>
      </c>
      <c r="AV52" s="11">
        <f ca="1">IFERROR(OFFSET(ITEM_RES!$A$1,MATCH(AW52,ITEM_RES!$J:$J,0)-1,0),0)</f>
        <v>211020101</v>
      </c>
      <c r="AW52" s="10" t="s">
        <v>436</v>
      </c>
      <c r="AX52" s="11">
        <v>150</v>
      </c>
      <c r="BA52" s="11">
        <f ca="1">IFERROR(OFFSET(ITEM_RES!$A$1,MATCH(BB52,ITEM_RES!$J:$J,0)-1,0),0)</f>
        <v>0</v>
      </c>
      <c r="BF52" s="11">
        <f ca="1">IFERROR(OFFSET(ITEM_RES!$A$1,MATCH(BG52,ITEM_RES!$J:$J,0)-1,0),0)</f>
        <v>0</v>
      </c>
      <c r="BK52" s="11">
        <f ca="1">IFERROR(OFFSET(ITEM_RES!$A$1,MATCH(BL52,ITEM_RES!$J:$J,0)-1,0),0)</f>
        <v>0</v>
      </c>
      <c r="BM52" s="11">
        <f t="shared" si="5"/>
        <v>0</v>
      </c>
    </row>
    <row r="53" spans="1:65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1321</v>
      </c>
      <c r="M53" s="9">
        <v>1</v>
      </c>
      <c r="N53" s="9">
        <v>15</v>
      </c>
      <c r="O53" s="9" t="s">
        <v>1406</v>
      </c>
      <c r="P53" s="55" t="s">
        <v>1408</v>
      </c>
      <c r="Q53" s="9" t="s">
        <v>1457</v>
      </c>
      <c r="T53" s="9">
        <f ca="1">IFERROR(OFFSET(ITEM_RES!$A$5,MATCH(BUILDING!S53,ITEM_RES!$J$5:$J$229,0)-1,0),0)</f>
        <v>0</v>
      </c>
      <c r="V53" s="81" t="s">
        <v>1456</v>
      </c>
      <c r="W53" s="11">
        <f ca="1">IFERROR(OFFSET(ITEM_RES!$A$5,MATCH(BUILDING!V53,ITEM_RES!$J$5:$J$229,0)-1,0),0)</f>
        <v>211010301</v>
      </c>
      <c r="Y53" s="9" t="s">
        <v>496</v>
      </c>
      <c r="Z53" s="9">
        <v>9</v>
      </c>
      <c r="AB53" s="11">
        <f ca="1">IFERROR(OFFSET(MANOR_LEVEL!$B$1,MATCH(AC53-1,MANOR_LEVEL!$A:$A,0)-1,0),0)</f>
        <v>40000</v>
      </c>
      <c r="AC53" s="55">
        <v>7</v>
      </c>
      <c r="AE53" s="11">
        <f t="shared" ca="1" si="10"/>
        <v>78300</v>
      </c>
      <c r="AF53" s="10">
        <f ca="1">AK53+AM53+(IFERROR(OFFSET(ITEM_RES!$R$1,MATCH(AQ53,ITEM_RES!$A:$A,0)-1,0),0)*AS53+IFERROR(OFFSET(ITEM_RES!$R$1,MATCH(AV53,ITEM_RES!$A:$A,0)-1,0),0)*AX53+IFERROR(OFFSET(ITEM_RES!$R$1,MATCH(BA53,ITEM_RES!$A:$A,0)-1,0),0)*BC53+IFERROR(OFFSET(ITEM_RES!$R$1,MATCH(BF53,ITEM_RES!$A:$A,0)-1,0),0)*BH53+IFERROR(OFFSET(ITEM_RES!$R$1,MATCH(BK53,ITEM_RES!$A:$A,0)-1,0),0)*BM53)/1000</f>
        <v>78300</v>
      </c>
      <c r="AG53" s="176">
        <f t="shared" ca="1" si="12"/>
        <v>120375</v>
      </c>
      <c r="AI53" s="11">
        <f t="shared" si="4"/>
        <v>60</v>
      </c>
      <c r="AJ53" s="10">
        <v>60</v>
      </c>
      <c r="AK53" s="11">
        <f t="shared" si="6"/>
        <v>0</v>
      </c>
      <c r="AL53" s="10">
        <v>0</v>
      </c>
      <c r="AM53" s="11">
        <f t="shared" si="7"/>
        <v>0</v>
      </c>
      <c r="AN53" s="10">
        <v>0</v>
      </c>
      <c r="AO53" s="55">
        <f t="shared" si="8"/>
        <v>2</v>
      </c>
      <c r="AQ53" s="11">
        <f ca="1">IFERROR(OFFSET(ITEM_RES!$A$1,MATCH(AR53,ITEM_RES!$J:$J,0)-1,0),0)</f>
        <v>211010501</v>
      </c>
      <c r="AR53" s="10" t="s">
        <v>421</v>
      </c>
      <c r="AS53" s="11">
        <v>78000</v>
      </c>
      <c r="AV53" s="11">
        <f ca="1">IFERROR(OFFSET(ITEM_RES!$A$1,MATCH(AW53,ITEM_RES!$J:$J,0)-1,0),0)</f>
        <v>211020101</v>
      </c>
      <c r="AW53" s="10" t="s">
        <v>436</v>
      </c>
      <c r="AX53" s="11">
        <v>600</v>
      </c>
      <c r="BA53" s="11">
        <f ca="1">IFERROR(OFFSET(ITEM_RES!$A$1,MATCH(BB53,ITEM_RES!$J:$J,0)-1,0),0)</f>
        <v>0</v>
      </c>
      <c r="BF53" s="11">
        <f ca="1">IFERROR(OFFSET(ITEM_RES!$A$1,MATCH(BG53,ITEM_RES!$J:$J,0)-1,0),0)</f>
        <v>0</v>
      </c>
      <c r="BK53" s="11">
        <f ca="1">IFERROR(OFFSET(ITEM_RES!$A$1,MATCH(BL53,ITEM_RES!$J:$J,0)-1,0),0)</f>
        <v>0</v>
      </c>
      <c r="BM53" s="11">
        <f t="shared" si="5"/>
        <v>0</v>
      </c>
    </row>
    <row r="54" spans="1:65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1321</v>
      </c>
      <c r="M54" s="9">
        <v>1</v>
      </c>
      <c r="N54" s="9">
        <v>15</v>
      </c>
      <c r="O54" s="9" t="s">
        <v>1406</v>
      </c>
      <c r="P54" s="55" t="s">
        <v>1408</v>
      </c>
      <c r="Q54" s="9" t="s">
        <v>1457</v>
      </c>
      <c r="T54" s="9">
        <f ca="1">IFERROR(OFFSET(ITEM_RES!$A$5,MATCH(BUILDING!S54,ITEM_RES!$J$5:$J$229,0)-1,0),0)</f>
        <v>0</v>
      </c>
      <c r="V54" s="81" t="s">
        <v>1456</v>
      </c>
      <c r="W54" s="11">
        <f ca="1">IFERROR(OFFSET(ITEM_RES!$A$5,MATCH(BUILDING!V54,ITEM_RES!$J$5:$J$229,0)-1,0),0)</f>
        <v>211010301</v>
      </c>
      <c r="Y54" s="9" t="s">
        <v>496</v>
      </c>
      <c r="Z54" s="9">
        <v>10</v>
      </c>
      <c r="AB54" s="11">
        <f ca="1">IFERROR(OFFSET(MANOR_LEVEL!$B$1,MATCH(AC54-1,MANOR_LEVEL!$A:$A,0)-1,0),0)</f>
        <v>40000</v>
      </c>
      <c r="AC54" s="55">
        <v>7</v>
      </c>
      <c r="AE54" s="11">
        <f t="shared" ca="1" si="10"/>
        <v>131350</v>
      </c>
      <c r="AF54" s="10">
        <f ca="1">AK54+AM54+(IFERROR(OFFSET(ITEM_RES!$R$1,MATCH(AQ54,ITEM_RES!$A:$A,0)-1,0),0)*AS54+IFERROR(OFFSET(ITEM_RES!$R$1,MATCH(AV54,ITEM_RES!$A:$A,0)-1,0),0)*AX54+IFERROR(OFFSET(ITEM_RES!$R$1,MATCH(BA54,ITEM_RES!$A:$A,0)-1,0),0)*BC54+IFERROR(OFFSET(ITEM_RES!$R$1,MATCH(BF54,ITEM_RES!$A:$A,0)-1,0),0)*BH54+IFERROR(OFFSET(ITEM_RES!$R$1,MATCH(BK54,ITEM_RES!$A:$A,0)-1,0),0)*BM54)/1000</f>
        <v>131350</v>
      </c>
      <c r="AG54" s="176">
        <f t="shared" ca="1" si="12"/>
        <v>209650</v>
      </c>
      <c r="AI54" s="11">
        <f t="shared" si="4"/>
        <v>180</v>
      </c>
      <c r="AJ54" s="10">
        <v>180</v>
      </c>
      <c r="AK54" s="11">
        <f t="shared" si="6"/>
        <v>0</v>
      </c>
      <c r="AL54" s="10">
        <v>0</v>
      </c>
      <c r="AM54" s="11">
        <f t="shared" si="7"/>
        <v>0</v>
      </c>
      <c r="AN54" s="10">
        <v>0</v>
      </c>
      <c r="AO54" s="55">
        <f t="shared" si="8"/>
        <v>2</v>
      </c>
      <c r="AQ54" s="11">
        <f ca="1">IFERROR(OFFSET(ITEM_RES!$A$1,MATCH(AR54,ITEM_RES!$J:$J,0)-1,0),0)</f>
        <v>211010501</v>
      </c>
      <c r="AR54" s="10" t="s">
        <v>421</v>
      </c>
      <c r="AS54" s="11">
        <v>130000</v>
      </c>
      <c r="AV54" s="11">
        <f ca="1">IFERROR(OFFSET(ITEM_RES!$A$1,MATCH(AW54,ITEM_RES!$J:$J,0)-1,0),0)</f>
        <v>211020101</v>
      </c>
      <c r="AW54" s="10" t="s">
        <v>436</v>
      </c>
      <c r="AX54" s="11">
        <v>2700</v>
      </c>
      <c r="BA54" s="11">
        <f ca="1">IFERROR(OFFSET(ITEM_RES!$A$1,MATCH(BB54,ITEM_RES!$J:$J,0)-1,0),0)</f>
        <v>0</v>
      </c>
      <c r="BF54" s="11">
        <f ca="1">IFERROR(OFFSET(ITEM_RES!$A$1,MATCH(BG54,ITEM_RES!$J:$J,0)-1,0),0)</f>
        <v>0</v>
      </c>
      <c r="BK54" s="11">
        <f ca="1">IFERROR(OFFSET(ITEM_RES!$A$1,MATCH(BL54,ITEM_RES!$J:$J,0)-1,0),0)</f>
        <v>0</v>
      </c>
      <c r="BM54" s="11">
        <f t="shared" si="5"/>
        <v>0</v>
      </c>
    </row>
    <row r="55" spans="1:65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1321</v>
      </c>
      <c r="M55" s="9">
        <v>1</v>
      </c>
      <c r="N55" s="9">
        <v>15</v>
      </c>
      <c r="O55" s="9" t="s">
        <v>1405</v>
      </c>
      <c r="P55" s="55" t="s">
        <v>1407</v>
      </c>
      <c r="Q55" s="9" t="s">
        <v>1457</v>
      </c>
      <c r="T55" s="9">
        <f ca="1">IFERROR(OFFSET(ITEM_RES!$A$5,MATCH(BUILDING!S55,ITEM_RES!$J$5:$J$229,0)-1,0),0)</f>
        <v>0</v>
      </c>
      <c r="V55" s="81" t="s">
        <v>1456</v>
      </c>
      <c r="W55" s="11">
        <f ca="1">IFERROR(OFFSET(ITEM_RES!$A$5,MATCH(BUILDING!V55,ITEM_RES!$J$5:$J$229,0)-1,0),0)</f>
        <v>211010301</v>
      </c>
      <c r="Y55" s="9" t="s">
        <v>496</v>
      </c>
      <c r="Z55" s="9">
        <v>11</v>
      </c>
      <c r="AB55" s="11">
        <f ca="1">IFERROR(OFFSET(MANOR_LEVEL!$B$1,MATCH(AC55-1,MANOR_LEVEL!$A:$A,0)-1,0),0)</f>
        <v>40000</v>
      </c>
      <c r="AC55" s="55">
        <v>7</v>
      </c>
      <c r="AE55" s="11">
        <f t="shared" ca="1" si="10"/>
        <v>224500</v>
      </c>
      <c r="AF55" s="10">
        <f ca="1">AK55+AM55+(IFERROR(OFFSET(ITEM_RES!$R$1,MATCH(AQ55,ITEM_RES!$A:$A,0)-1,0),0)*AS55+IFERROR(OFFSET(ITEM_RES!$R$1,MATCH(AV55,ITEM_RES!$A:$A,0)-1,0),0)*AX55+IFERROR(OFFSET(ITEM_RES!$R$1,MATCH(BA55,ITEM_RES!$A:$A,0)-1,0),0)*BC55+IFERROR(OFFSET(ITEM_RES!$R$1,MATCH(BF55,ITEM_RES!$A:$A,0)-1,0),0)*BH55+IFERROR(OFFSET(ITEM_RES!$R$1,MATCH(BK55,ITEM_RES!$A:$A,0)-1,0),0)*BM55)/1000</f>
        <v>224500</v>
      </c>
      <c r="AG55" s="176">
        <f t="shared" ca="1" si="12"/>
        <v>355850</v>
      </c>
      <c r="AI55" s="11">
        <f t="shared" si="4"/>
        <v>360</v>
      </c>
      <c r="AJ55" s="10">
        <v>360</v>
      </c>
      <c r="AK55" s="11">
        <f t="shared" si="6"/>
        <v>0</v>
      </c>
      <c r="AL55" s="10">
        <v>0</v>
      </c>
      <c r="AM55" s="11">
        <f t="shared" si="7"/>
        <v>0</v>
      </c>
      <c r="AN55" s="10">
        <v>0</v>
      </c>
      <c r="AO55" s="55">
        <f t="shared" si="8"/>
        <v>2</v>
      </c>
      <c r="AQ55" s="11">
        <f ca="1">IFERROR(OFFSET(ITEM_RES!$A$1,MATCH(AR55,ITEM_RES!$J:$J,0)-1,0),0)</f>
        <v>211010501</v>
      </c>
      <c r="AR55" s="10" t="s">
        <v>421</v>
      </c>
      <c r="AS55" s="11">
        <v>220000</v>
      </c>
      <c r="AV55" s="11">
        <f ca="1">IFERROR(OFFSET(ITEM_RES!$A$1,MATCH(AW55,ITEM_RES!$J:$J,0)-1,0),0)</f>
        <v>211020101</v>
      </c>
      <c r="AW55" s="10" t="s">
        <v>436</v>
      </c>
      <c r="AX55" s="11">
        <v>9000</v>
      </c>
      <c r="BA55" s="11">
        <f ca="1">IFERROR(OFFSET(ITEM_RES!$A$1,MATCH(BB55,ITEM_RES!$J:$J,0)-1,0),0)</f>
        <v>0</v>
      </c>
      <c r="BF55" s="11">
        <f ca="1">IFERROR(OFFSET(ITEM_RES!$A$1,MATCH(BG55,ITEM_RES!$J:$J,0)-1,0),0)</f>
        <v>0</v>
      </c>
      <c r="BK55" s="11">
        <f ca="1">IFERROR(OFFSET(ITEM_RES!$A$1,MATCH(BL55,ITEM_RES!$J:$J,0)-1,0),0)</f>
        <v>0</v>
      </c>
      <c r="BM55" s="11">
        <f t="shared" si="5"/>
        <v>0</v>
      </c>
    </row>
    <row r="56" spans="1:65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1321</v>
      </c>
      <c r="M56" s="9">
        <v>1</v>
      </c>
      <c r="N56" s="9">
        <v>15</v>
      </c>
      <c r="O56" s="9" t="s">
        <v>1405</v>
      </c>
      <c r="P56" s="55" t="s">
        <v>1407</v>
      </c>
      <c r="Q56" s="9" t="s">
        <v>1457</v>
      </c>
      <c r="T56" s="9">
        <f ca="1">IFERROR(OFFSET(ITEM_RES!$A$5,MATCH(BUILDING!S56,ITEM_RES!$J$5:$J$229,0)-1,0),0)</f>
        <v>0</v>
      </c>
      <c r="V56" s="81" t="s">
        <v>1456</v>
      </c>
      <c r="W56" s="11">
        <f ca="1">IFERROR(OFFSET(ITEM_RES!$A$5,MATCH(BUILDING!V56,ITEM_RES!$J$5:$J$229,0)-1,0),0)</f>
        <v>211010301</v>
      </c>
      <c r="Y56" s="9" t="s">
        <v>496</v>
      </c>
      <c r="Z56" s="9">
        <v>12</v>
      </c>
      <c r="AB56" s="11">
        <f ca="1">IFERROR(OFFSET(MANOR_LEVEL!$B$1,MATCH(AC56-1,MANOR_LEVEL!$A:$A,0)-1,0),0)</f>
        <v>100000</v>
      </c>
      <c r="AC56" s="55">
        <v>8</v>
      </c>
      <c r="AE56" s="11">
        <f t="shared" ca="1" si="10"/>
        <v>380000</v>
      </c>
      <c r="AF56" s="10">
        <f ca="1">AK56+AM56+(IFERROR(OFFSET(ITEM_RES!$R$1,MATCH(AQ56,ITEM_RES!$A:$A,0)-1,0),0)*AS56+IFERROR(OFFSET(ITEM_RES!$R$1,MATCH(AV56,ITEM_RES!$A:$A,0)-1,0),0)*AX56+IFERROR(OFFSET(ITEM_RES!$R$1,MATCH(BA56,ITEM_RES!$A:$A,0)-1,0),0)*BC56+IFERROR(OFFSET(ITEM_RES!$R$1,MATCH(BF56,ITEM_RES!$A:$A,0)-1,0),0)*BH56+IFERROR(OFFSET(ITEM_RES!$R$1,MATCH(BK56,ITEM_RES!$A:$A,0)-1,0),0)*BM56)/1000</f>
        <v>380000</v>
      </c>
      <c r="AG56" s="176">
        <f t="shared" ca="1" si="12"/>
        <v>604500</v>
      </c>
      <c r="AI56" s="11">
        <f t="shared" si="4"/>
        <v>540</v>
      </c>
      <c r="AJ56" s="10">
        <v>540</v>
      </c>
      <c r="AK56" s="11">
        <f t="shared" si="6"/>
        <v>0</v>
      </c>
      <c r="AL56" s="10">
        <v>0</v>
      </c>
      <c r="AM56" s="11">
        <f t="shared" si="7"/>
        <v>0</v>
      </c>
      <c r="AN56" s="10">
        <v>0</v>
      </c>
      <c r="AO56" s="55">
        <f t="shared" si="8"/>
        <v>2</v>
      </c>
      <c r="AQ56" s="11">
        <f ca="1">IFERROR(OFFSET(ITEM_RES!$A$1,MATCH(AR56,ITEM_RES!$J:$J,0)-1,0),0)</f>
        <v>211010501</v>
      </c>
      <c r="AR56" s="10" t="s">
        <v>421</v>
      </c>
      <c r="AS56" s="11">
        <v>370000</v>
      </c>
      <c r="AV56" s="11">
        <f ca="1">IFERROR(OFFSET(ITEM_RES!$A$1,MATCH(AW56,ITEM_RES!$J:$J,0)-1,0),0)</f>
        <v>211020101</v>
      </c>
      <c r="AW56" s="10" t="s">
        <v>436</v>
      </c>
      <c r="AX56" s="11">
        <v>20000</v>
      </c>
      <c r="BA56" s="11">
        <f ca="1">IFERROR(OFFSET(ITEM_RES!$A$1,MATCH(BB56,ITEM_RES!$J:$J,0)-1,0),0)</f>
        <v>0</v>
      </c>
      <c r="BF56" s="11">
        <f ca="1">IFERROR(OFFSET(ITEM_RES!$A$1,MATCH(BG56,ITEM_RES!$J:$J,0)-1,0),0)</f>
        <v>0</v>
      </c>
      <c r="BK56" s="11">
        <f ca="1">IFERROR(OFFSET(ITEM_RES!$A$1,MATCH(BL56,ITEM_RES!$J:$J,0)-1,0),0)</f>
        <v>0</v>
      </c>
      <c r="BM56" s="11">
        <f t="shared" si="5"/>
        <v>0</v>
      </c>
    </row>
    <row r="57" spans="1:65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1321</v>
      </c>
      <c r="M57" s="9">
        <v>1</v>
      </c>
      <c r="N57" s="9">
        <v>15</v>
      </c>
      <c r="O57" s="9" t="s">
        <v>1405</v>
      </c>
      <c r="P57" s="55" t="s">
        <v>1407</v>
      </c>
      <c r="Q57" s="9" t="s">
        <v>1457</v>
      </c>
      <c r="T57" s="9">
        <f ca="1">IFERROR(OFFSET(ITEM_RES!$A$5,MATCH(BUILDING!S57,ITEM_RES!$J$5:$J$229,0)-1,0),0)</f>
        <v>0</v>
      </c>
      <c r="V57" s="81" t="s">
        <v>1456</v>
      </c>
      <c r="W57" s="11">
        <f ca="1">IFERROR(OFFSET(ITEM_RES!$A$5,MATCH(BUILDING!V57,ITEM_RES!$J$5:$J$229,0)-1,0),0)</f>
        <v>211010301</v>
      </c>
      <c r="Y57" s="9" t="s">
        <v>496</v>
      </c>
      <c r="Z57" s="9">
        <v>13</v>
      </c>
      <c r="AB57" s="11">
        <f ca="1">IFERROR(OFFSET(MANOR_LEVEL!$B$1,MATCH(AC57-1,MANOR_LEVEL!$A:$A,0)-1,0),0)</f>
        <v>300000</v>
      </c>
      <c r="AC57" s="55">
        <v>9</v>
      </c>
      <c r="AE57" s="11">
        <f t="shared" ca="1" si="10"/>
        <v>641000</v>
      </c>
      <c r="AF57" s="10">
        <f ca="1">AK57+AM57+(IFERROR(OFFSET(ITEM_RES!$R$1,MATCH(AQ57,ITEM_RES!$A:$A,0)-1,0),0)*AS57+IFERROR(OFFSET(ITEM_RES!$R$1,MATCH(AV57,ITEM_RES!$A:$A,0)-1,0),0)*AX57+IFERROR(OFFSET(ITEM_RES!$R$1,MATCH(BA57,ITEM_RES!$A:$A,0)-1,0),0)*BC57+IFERROR(OFFSET(ITEM_RES!$R$1,MATCH(BF57,ITEM_RES!$A:$A,0)-1,0),0)*BH57+IFERROR(OFFSET(ITEM_RES!$R$1,MATCH(BK57,ITEM_RES!$A:$A,0)-1,0),0)*BM57)/1000</f>
        <v>641000</v>
      </c>
      <c r="AG57" s="176">
        <f t="shared" ca="1" si="12"/>
        <v>1021000</v>
      </c>
      <c r="AI57" s="11">
        <f t="shared" si="4"/>
        <v>720</v>
      </c>
      <c r="AJ57" s="10">
        <v>720</v>
      </c>
      <c r="AK57" s="11">
        <f t="shared" si="6"/>
        <v>0</v>
      </c>
      <c r="AL57" s="10">
        <v>0</v>
      </c>
      <c r="AM57" s="11">
        <f t="shared" si="7"/>
        <v>0</v>
      </c>
      <c r="AN57" s="10">
        <v>0</v>
      </c>
      <c r="AO57" s="55">
        <f t="shared" si="8"/>
        <v>2</v>
      </c>
      <c r="AQ57" s="11">
        <f ca="1">IFERROR(OFFSET(ITEM_RES!$A$1,MATCH(AR57,ITEM_RES!$J:$J,0)-1,0),0)</f>
        <v>211010501</v>
      </c>
      <c r="AR57" s="10" t="s">
        <v>421</v>
      </c>
      <c r="AS57" s="11">
        <v>620000</v>
      </c>
      <c r="AV57" s="11">
        <f ca="1">IFERROR(OFFSET(ITEM_RES!$A$1,MATCH(AW57,ITEM_RES!$J:$J,0)-1,0),0)</f>
        <v>211020101</v>
      </c>
      <c r="AW57" s="10" t="s">
        <v>436</v>
      </c>
      <c r="AX57" s="11">
        <v>42000</v>
      </c>
      <c r="BA57" s="11">
        <f ca="1">IFERROR(OFFSET(ITEM_RES!$A$1,MATCH(BB57,ITEM_RES!$J:$J,0)-1,0),0)</f>
        <v>0</v>
      </c>
      <c r="BF57" s="11">
        <f ca="1">IFERROR(OFFSET(ITEM_RES!$A$1,MATCH(BG57,ITEM_RES!$J:$J,0)-1,0),0)</f>
        <v>0</v>
      </c>
      <c r="BK57" s="11">
        <f ca="1">IFERROR(OFFSET(ITEM_RES!$A$1,MATCH(BL57,ITEM_RES!$J:$J,0)-1,0),0)</f>
        <v>0</v>
      </c>
      <c r="BM57" s="11">
        <f t="shared" si="5"/>
        <v>0</v>
      </c>
    </row>
    <row r="58" spans="1:65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1321</v>
      </c>
      <c r="M58" s="9">
        <v>1</v>
      </c>
      <c r="N58" s="9">
        <v>15</v>
      </c>
      <c r="O58" s="9" t="s">
        <v>1405</v>
      </c>
      <c r="P58" s="55" t="s">
        <v>1407</v>
      </c>
      <c r="Q58" s="9" t="s">
        <v>1457</v>
      </c>
      <c r="T58" s="9">
        <f ca="1">IFERROR(OFFSET(ITEM_RES!$A$5,MATCH(BUILDING!S58,ITEM_RES!$J$5:$J$229,0)-1,0),0)</f>
        <v>0</v>
      </c>
      <c r="V58" s="81" t="s">
        <v>1456</v>
      </c>
      <c r="W58" s="11">
        <f ca="1">IFERROR(OFFSET(ITEM_RES!$A$5,MATCH(BUILDING!V58,ITEM_RES!$J$5:$J$229,0)-1,0),0)</f>
        <v>211010301</v>
      </c>
      <c r="Y58" s="9" t="s">
        <v>496</v>
      </c>
      <c r="Z58" s="9">
        <v>14</v>
      </c>
      <c r="AB58" s="11">
        <f ca="1">IFERROR(OFFSET(MANOR_LEVEL!$B$1,MATCH(AC58-1,MANOR_LEVEL!$A:$A,0)-1,0),0)</f>
        <v>600000</v>
      </c>
      <c r="AC58" s="55">
        <v>10</v>
      </c>
      <c r="AE58" s="11">
        <f t="shared" ca="1" si="10"/>
        <v>1591000</v>
      </c>
      <c r="AF58" s="10">
        <f ca="1">AK58+AM58+(IFERROR(OFFSET(ITEM_RES!$R$1,MATCH(AQ58,ITEM_RES!$A:$A,0)-1,0),0)*AS58+IFERROR(OFFSET(ITEM_RES!$R$1,MATCH(AV58,ITEM_RES!$A:$A,0)-1,0),0)*AX58+IFERROR(OFFSET(ITEM_RES!$R$1,MATCH(BA58,ITEM_RES!$A:$A,0)-1,0),0)*BC58+IFERROR(OFFSET(ITEM_RES!$R$1,MATCH(BF58,ITEM_RES!$A:$A,0)-1,0),0)*BH58+IFERROR(OFFSET(ITEM_RES!$R$1,MATCH(BK58,ITEM_RES!$A:$A,0)-1,0),0)*BM58)/1000</f>
        <v>1591000</v>
      </c>
      <c r="AG58" s="176">
        <f t="shared" ca="1" si="12"/>
        <v>2232000</v>
      </c>
      <c r="AI58" s="11">
        <f t="shared" si="4"/>
        <v>900</v>
      </c>
      <c r="AJ58" s="10">
        <v>900</v>
      </c>
      <c r="AK58" s="11">
        <f t="shared" si="6"/>
        <v>0</v>
      </c>
      <c r="AL58" s="10">
        <v>0</v>
      </c>
      <c r="AM58" s="11">
        <f t="shared" si="7"/>
        <v>0</v>
      </c>
      <c r="AN58" s="10">
        <v>0</v>
      </c>
      <c r="AO58" s="55">
        <f t="shared" si="8"/>
        <v>2</v>
      </c>
      <c r="AQ58" s="11">
        <f ca="1">IFERROR(OFFSET(ITEM_RES!$A$1,MATCH(AR58,ITEM_RES!$J:$J,0)-1,0),0)</f>
        <v>211010601</v>
      </c>
      <c r="AR58" s="10" t="s">
        <v>432</v>
      </c>
      <c r="AS58" s="11">
        <v>970000</v>
      </c>
      <c r="AV58" s="11">
        <f ca="1">IFERROR(OFFSET(ITEM_RES!$A$1,MATCH(AW58,ITEM_RES!$J:$J,0)-1,0),0)</f>
        <v>211020101</v>
      </c>
      <c r="AW58" s="10" t="s">
        <v>436</v>
      </c>
      <c r="AX58" s="11">
        <v>78000</v>
      </c>
      <c r="BA58" s="11">
        <f ca="1">IFERROR(OFFSET(ITEM_RES!$A$1,MATCH(BB58,ITEM_RES!$J:$J,0)-1,0),0)</f>
        <v>0</v>
      </c>
      <c r="BF58" s="11">
        <f ca="1">IFERROR(OFFSET(ITEM_RES!$A$1,MATCH(BG58,ITEM_RES!$J:$J,0)-1,0),0)</f>
        <v>0</v>
      </c>
      <c r="BK58" s="11">
        <f ca="1">IFERROR(OFFSET(ITEM_RES!$A$1,MATCH(BL58,ITEM_RES!$J:$J,0)-1,0),0)</f>
        <v>0</v>
      </c>
      <c r="BM58" s="11">
        <f t="shared" si="5"/>
        <v>0</v>
      </c>
    </row>
    <row r="59" spans="1:65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1321</v>
      </c>
      <c r="M59" s="9">
        <v>1</v>
      </c>
      <c r="N59" s="9">
        <v>15</v>
      </c>
      <c r="O59" s="9" t="s">
        <v>1405</v>
      </c>
      <c r="P59" s="55" t="s">
        <v>1407</v>
      </c>
      <c r="Q59" s="9" t="s">
        <v>1457</v>
      </c>
      <c r="T59" s="9">
        <f ca="1">IFERROR(OFFSET(ITEM_RES!$A$5,MATCH(BUILDING!S59,ITEM_RES!$J$5:$J$229,0)-1,0),0)</f>
        <v>0</v>
      </c>
      <c r="V59" s="81" t="s">
        <v>1456</v>
      </c>
      <c r="W59" s="11">
        <f ca="1">IFERROR(OFFSET(ITEM_RES!$A$5,MATCH(BUILDING!V59,ITEM_RES!$J$5:$J$229,0)-1,0),0)</f>
        <v>211010301</v>
      </c>
      <c r="Y59" s="9" t="s">
        <v>496</v>
      </c>
      <c r="Z59" s="9">
        <v>15</v>
      </c>
      <c r="AB59" s="11">
        <f ca="1">IFERROR(OFFSET(MANOR_LEVEL!$B$1,MATCH(AC59-1,MANOR_LEVEL!$A:$A,0)-1,0),0)</f>
        <v>1200000</v>
      </c>
      <c r="AC59" s="55">
        <v>11</v>
      </c>
      <c r="AE59" s="11">
        <f t="shared" ca="1" si="10"/>
        <v>3425000</v>
      </c>
      <c r="AF59" s="10">
        <f ca="1">AK59+AM59+(IFERROR(OFFSET(ITEM_RES!$R$1,MATCH(AQ59,ITEM_RES!$A:$A,0)-1,0),0)*AS59+IFERROR(OFFSET(ITEM_RES!$R$1,MATCH(AV59,ITEM_RES!$A:$A,0)-1,0),0)*AX59+IFERROR(OFFSET(ITEM_RES!$R$1,MATCH(BA59,ITEM_RES!$A:$A,0)-1,0),0)*BC59+IFERROR(OFFSET(ITEM_RES!$R$1,MATCH(BF59,ITEM_RES!$A:$A,0)-1,0),0)*BH59+IFERROR(OFFSET(ITEM_RES!$R$1,MATCH(BK59,ITEM_RES!$A:$A,0)-1,0),0)*BM59)/1000</f>
        <v>3425000</v>
      </c>
      <c r="AG59" s="176">
        <f t="shared" ca="1" si="12"/>
        <v>5016000</v>
      </c>
      <c r="AI59" s="11">
        <f t="shared" si="4"/>
        <v>1080</v>
      </c>
      <c r="AJ59" s="10">
        <v>1080</v>
      </c>
      <c r="AK59" s="11">
        <f t="shared" si="6"/>
        <v>0</v>
      </c>
      <c r="AL59" s="10">
        <v>0</v>
      </c>
      <c r="AM59" s="11">
        <f t="shared" si="7"/>
        <v>0</v>
      </c>
      <c r="AN59" s="10">
        <v>0</v>
      </c>
      <c r="AO59" s="55">
        <f t="shared" si="8"/>
        <v>2</v>
      </c>
      <c r="AQ59" s="11">
        <f ca="1">IFERROR(OFFSET(ITEM_RES!$A$1,MATCH(AR59,ITEM_RES!$J:$J,0)-1,0),0)</f>
        <v>211010601</v>
      </c>
      <c r="AR59" s="10" t="s">
        <v>432</v>
      </c>
      <c r="AS59" s="11">
        <v>2100000</v>
      </c>
      <c r="AV59" s="11">
        <f ca="1">IFERROR(OFFSET(ITEM_RES!$A$1,MATCH(AW59,ITEM_RES!$J:$J,0)-1,0),0)</f>
        <v>211020101</v>
      </c>
      <c r="AW59" s="10" t="s">
        <v>436</v>
      </c>
      <c r="AX59" s="11">
        <v>130000</v>
      </c>
      <c r="BA59" s="11">
        <f ca="1">IFERROR(OFFSET(ITEM_RES!$A$1,MATCH(BB59,ITEM_RES!$J:$J,0)-1,0),0)</f>
        <v>0</v>
      </c>
      <c r="BF59" s="11">
        <f ca="1">IFERROR(OFFSET(ITEM_RES!$A$1,MATCH(BG59,ITEM_RES!$J:$J,0)-1,0),0)</f>
        <v>0</v>
      </c>
      <c r="BK59" s="11">
        <f ca="1">IFERROR(OFFSET(ITEM_RES!$A$1,MATCH(BL59,ITEM_RES!$J:$J,0)-1,0),0)</f>
        <v>0</v>
      </c>
      <c r="BM59" s="11">
        <f t="shared" si="5"/>
        <v>0</v>
      </c>
    </row>
    <row r="60" spans="1:65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1321</v>
      </c>
      <c r="M60" s="9">
        <v>0</v>
      </c>
      <c r="N60" s="9">
        <v>15</v>
      </c>
      <c r="O60" s="9" t="s">
        <v>1405</v>
      </c>
      <c r="P60" s="55" t="s">
        <v>1407</v>
      </c>
      <c r="Q60" s="9" t="s">
        <v>1457</v>
      </c>
      <c r="T60" s="9">
        <f ca="1">IFERROR(OFFSET(ITEM_RES!$A$5,MATCH(BUILDING!S60,ITEM_RES!$J$5:$J$229,0)-1,0),0)</f>
        <v>0</v>
      </c>
      <c r="V60" s="81" t="s">
        <v>1456</v>
      </c>
      <c r="W60" s="11">
        <f ca="1">IFERROR(OFFSET(ITEM_RES!$A$5,MATCH(BUILDING!V60,ITEM_RES!$J$5:$J$229,0)-1,0),0)</f>
        <v>211010301</v>
      </c>
      <c r="Y60" s="9" t="s">
        <v>496</v>
      </c>
      <c r="Z60" s="9">
        <v>16</v>
      </c>
      <c r="AB60" s="11">
        <f ca="1">IFERROR(OFFSET(MANOR_LEVEL!$B$1,MATCH(AC60-1,MANOR_LEVEL!$A:$A,0)-1,0),0)</f>
        <v>3500000</v>
      </c>
      <c r="AC60" s="55">
        <v>12</v>
      </c>
      <c r="AE60" s="11">
        <f t="shared" ca="1" si="10"/>
        <v>6990000</v>
      </c>
      <c r="AF60" s="10">
        <f ca="1">AK60+AM60+(IFERROR(OFFSET(ITEM_RES!$R$1,MATCH(AQ60,ITEM_RES!$A:$A,0)-1,0),0)*AS60+IFERROR(OFFSET(ITEM_RES!$R$1,MATCH(AV60,ITEM_RES!$A:$A,0)-1,0),0)*AX60+IFERROR(OFFSET(ITEM_RES!$R$1,MATCH(BA60,ITEM_RES!$A:$A,0)-1,0),0)*BC60+IFERROR(OFFSET(ITEM_RES!$R$1,MATCH(BF60,ITEM_RES!$A:$A,0)-1,0),0)*BH60+IFERROR(OFFSET(ITEM_RES!$R$1,MATCH(BK60,ITEM_RES!$A:$A,0)-1,0),0)*BM60)/1000</f>
        <v>6990000</v>
      </c>
      <c r="AG60" s="176">
        <f t="shared" ca="1" si="12"/>
        <v>10415000</v>
      </c>
      <c r="AI60" s="11">
        <f t="shared" si="4"/>
        <v>1260</v>
      </c>
      <c r="AJ60" s="10">
        <v>1260</v>
      </c>
      <c r="AK60" s="11">
        <f t="shared" si="6"/>
        <v>0</v>
      </c>
      <c r="AL60" s="10">
        <v>0</v>
      </c>
      <c r="AM60" s="11">
        <f t="shared" si="7"/>
        <v>0</v>
      </c>
      <c r="AN60" s="10">
        <v>0</v>
      </c>
      <c r="AO60" s="55">
        <f t="shared" si="8"/>
        <v>2</v>
      </c>
      <c r="AQ60" s="11">
        <f ca="1">IFERROR(OFFSET(ITEM_RES!$A$1,MATCH(AR60,ITEM_RES!$J:$J,0)-1,0),0)</f>
        <v>211010601</v>
      </c>
      <c r="AR60" s="10" t="s">
        <v>432</v>
      </c>
      <c r="AS60" s="11">
        <v>4300000</v>
      </c>
      <c r="AV60" s="11">
        <f ca="1">IFERROR(OFFSET(ITEM_RES!$A$1,MATCH(AW60,ITEM_RES!$J:$J,0)-1,0),0)</f>
        <v>211020101</v>
      </c>
      <c r="AW60" s="10" t="s">
        <v>436</v>
      </c>
      <c r="AX60" s="11">
        <v>220000</v>
      </c>
      <c r="BA60" s="11">
        <f ca="1">IFERROR(OFFSET(ITEM_RES!$A$1,MATCH(BB60,ITEM_RES!$J:$J,0)-1,0),0)</f>
        <v>0</v>
      </c>
      <c r="BF60" s="11">
        <f ca="1">IFERROR(OFFSET(ITEM_RES!$A$1,MATCH(BG60,ITEM_RES!$J:$J,0)-1,0),0)</f>
        <v>0</v>
      </c>
      <c r="BK60" s="11">
        <f ca="1">IFERROR(OFFSET(ITEM_RES!$A$1,MATCH(BL60,ITEM_RES!$J:$J,0)-1,0),0)</f>
        <v>0</v>
      </c>
      <c r="BM60" s="11">
        <f t="shared" si="5"/>
        <v>0</v>
      </c>
    </row>
    <row r="61" spans="1:65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1321</v>
      </c>
      <c r="M61" s="9">
        <v>0</v>
      </c>
      <c r="N61" s="9">
        <v>15</v>
      </c>
      <c r="O61" s="9" t="s">
        <v>1405</v>
      </c>
      <c r="P61" s="55" t="s">
        <v>1407</v>
      </c>
      <c r="Q61" s="9" t="s">
        <v>1457</v>
      </c>
      <c r="T61" s="9">
        <f ca="1">IFERROR(OFFSET(ITEM_RES!$A$5,MATCH(BUILDING!S61,ITEM_RES!$J$5:$J$229,0)-1,0),0)</f>
        <v>0</v>
      </c>
      <c r="V61" s="81" t="s">
        <v>1456</v>
      </c>
      <c r="W61" s="11">
        <f ca="1">IFERROR(OFFSET(ITEM_RES!$A$5,MATCH(BUILDING!V61,ITEM_RES!$J$5:$J$229,0)-1,0),0)</f>
        <v>211010301</v>
      </c>
      <c r="Y61" s="9" t="s">
        <v>496</v>
      </c>
      <c r="Z61" s="9">
        <v>17</v>
      </c>
      <c r="AB61" s="11">
        <f ca="1">IFERROR(OFFSET(MANOR_LEVEL!$B$1,MATCH(AC61-1,MANOR_LEVEL!$A:$A,0)-1,0),0)</f>
        <v>6000000</v>
      </c>
      <c r="AC61" s="55">
        <v>13</v>
      </c>
      <c r="AE61" s="11">
        <f t="shared" ca="1" si="10"/>
        <v>12985000</v>
      </c>
      <c r="AF61" s="10">
        <f ca="1">AK61+AM61+(IFERROR(OFFSET(ITEM_RES!$R$1,MATCH(AQ61,ITEM_RES!$A:$A,0)-1,0),0)*AS61+IFERROR(OFFSET(ITEM_RES!$R$1,MATCH(AV61,ITEM_RES!$A:$A,0)-1,0),0)*AX61+IFERROR(OFFSET(ITEM_RES!$R$1,MATCH(BA61,ITEM_RES!$A:$A,0)-1,0),0)*BC61+IFERROR(OFFSET(ITEM_RES!$R$1,MATCH(BF61,ITEM_RES!$A:$A,0)-1,0),0)*BH61+IFERROR(OFFSET(ITEM_RES!$R$1,MATCH(BK61,ITEM_RES!$A:$A,0)-1,0),0)*BM61)/1000</f>
        <v>12985000</v>
      </c>
      <c r="AG61" s="176">
        <f t="shared" ca="1" si="12"/>
        <v>19975000</v>
      </c>
      <c r="AI61" s="11">
        <f t="shared" si="4"/>
        <v>1440</v>
      </c>
      <c r="AJ61" s="10">
        <v>1440</v>
      </c>
      <c r="AK61" s="11">
        <f t="shared" si="6"/>
        <v>0</v>
      </c>
      <c r="AL61" s="10">
        <v>0</v>
      </c>
      <c r="AM61" s="11">
        <f t="shared" si="7"/>
        <v>0</v>
      </c>
      <c r="AN61" s="10">
        <v>0</v>
      </c>
      <c r="AO61" s="55">
        <f t="shared" si="8"/>
        <v>2</v>
      </c>
      <c r="AQ61" s="11">
        <f ca="1">IFERROR(OFFSET(ITEM_RES!$A$1,MATCH(AR61,ITEM_RES!$J:$J,0)-1,0),0)</f>
        <v>211010601</v>
      </c>
      <c r="AR61" s="10" t="s">
        <v>432</v>
      </c>
      <c r="AS61" s="11">
        <v>8000000</v>
      </c>
      <c r="AV61" s="11">
        <f ca="1">IFERROR(OFFSET(ITEM_RES!$A$1,MATCH(AW61,ITEM_RES!$J:$J,0)-1,0),0)</f>
        <v>211020101</v>
      </c>
      <c r="AW61" s="10" t="s">
        <v>436</v>
      </c>
      <c r="AX61" s="11">
        <v>370000</v>
      </c>
      <c r="BA61" s="11">
        <f ca="1">IFERROR(OFFSET(ITEM_RES!$A$1,MATCH(BB61,ITEM_RES!$J:$J,0)-1,0),0)</f>
        <v>0</v>
      </c>
      <c r="BF61" s="11">
        <f ca="1">IFERROR(OFFSET(ITEM_RES!$A$1,MATCH(BG61,ITEM_RES!$J:$J,0)-1,0),0)</f>
        <v>0</v>
      </c>
      <c r="BK61" s="11">
        <f ca="1">IFERROR(OFFSET(ITEM_RES!$A$1,MATCH(BL61,ITEM_RES!$J:$J,0)-1,0),0)</f>
        <v>0</v>
      </c>
      <c r="BM61" s="11">
        <f t="shared" si="5"/>
        <v>0</v>
      </c>
    </row>
    <row r="62" spans="1:65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1321</v>
      </c>
      <c r="M62" s="9">
        <v>0</v>
      </c>
      <c r="N62" s="9">
        <v>15</v>
      </c>
      <c r="O62" s="9" t="s">
        <v>1405</v>
      </c>
      <c r="P62" s="55" t="s">
        <v>1407</v>
      </c>
      <c r="Q62" s="9" t="s">
        <v>1457</v>
      </c>
      <c r="T62" s="9">
        <f ca="1">IFERROR(OFFSET(ITEM_RES!$A$5,MATCH(BUILDING!S62,ITEM_RES!$J$5:$J$229,0)-1,0),0)</f>
        <v>0</v>
      </c>
      <c r="V62" s="81" t="s">
        <v>1456</v>
      </c>
      <c r="W62" s="11">
        <f ca="1">IFERROR(OFFSET(ITEM_RES!$A$5,MATCH(BUILDING!V62,ITEM_RES!$J$5:$J$229,0)-1,0),0)</f>
        <v>211010301</v>
      </c>
      <c r="Y62" s="9" t="s">
        <v>496</v>
      </c>
      <c r="Z62" s="9">
        <v>18</v>
      </c>
      <c r="AB62" s="11">
        <f ca="1">IFERROR(OFFSET(MANOR_LEVEL!$B$1,MATCH(AC62-1,MANOR_LEVEL!$A:$A,0)-1,0),0)</f>
        <v>10000000</v>
      </c>
      <c r="AC62" s="55">
        <v>14</v>
      </c>
      <c r="AE62" s="11">
        <f t="shared" ca="1" si="10"/>
        <v>21110000</v>
      </c>
      <c r="AF62" s="10">
        <f ca="1">AK62+AM62+(IFERROR(OFFSET(ITEM_RES!$R$1,MATCH(AQ62,ITEM_RES!$A:$A,0)-1,0),0)*AS62+IFERROR(OFFSET(ITEM_RES!$R$1,MATCH(AV62,ITEM_RES!$A:$A,0)-1,0),0)*AX62+IFERROR(OFFSET(ITEM_RES!$R$1,MATCH(BA62,ITEM_RES!$A:$A,0)-1,0),0)*BC62+IFERROR(OFFSET(ITEM_RES!$R$1,MATCH(BF62,ITEM_RES!$A:$A,0)-1,0),0)*BH62+IFERROR(OFFSET(ITEM_RES!$R$1,MATCH(BK62,ITEM_RES!$A:$A,0)-1,0),0)*BM62)/1000</f>
        <v>21110000</v>
      </c>
      <c r="AG62" s="176">
        <f t="shared" ca="1" si="12"/>
        <v>34095000</v>
      </c>
      <c r="AI62" s="11">
        <f t="shared" si="4"/>
        <v>1620</v>
      </c>
      <c r="AJ62" s="10">
        <v>1620</v>
      </c>
      <c r="AK62" s="11">
        <f t="shared" si="6"/>
        <v>0</v>
      </c>
      <c r="AL62" s="10">
        <v>0</v>
      </c>
      <c r="AM62" s="11">
        <f t="shared" si="7"/>
        <v>0</v>
      </c>
      <c r="AN62" s="10">
        <v>0</v>
      </c>
      <c r="AO62" s="55">
        <f t="shared" si="8"/>
        <v>2</v>
      </c>
      <c r="AQ62" s="11">
        <f ca="1">IFERROR(OFFSET(ITEM_RES!$A$1,MATCH(AR62,ITEM_RES!$J:$J,0)-1,0),0)</f>
        <v>211010601</v>
      </c>
      <c r="AR62" s="10" t="s">
        <v>432</v>
      </c>
      <c r="AS62" s="11">
        <v>13000000</v>
      </c>
      <c r="AV62" s="11">
        <f ca="1">IFERROR(OFFSET(ITEM_RES!$A$1,MATCH(AW62,ITEM_RES!$J:$J,0)-1,0),0)</f>
        <v>211020101</v>
      </c>
      <c r="AW62" s="10" t="s">
        <v>436</v>
      </c>
      <c r="AX62" s="11">
        <v>620000</v>
      </c>
      <c r="BA62" s="11">
        <f ca="1">IFERROR(OFFSET(ITEM_RES!$A$1,MATCH(BB62,ITEM_RES!$J:$J,0)-1,0),0)</f>
        <v>0</v>
      </c>
      <c r="BF62" s="11">
        <f ca="1">IFERROR(OFFSET(ITEM_RES!$A$1,MATCH(BG62,ITEM_RES!$J:$J,0)-1,0),0)</f>
        <v>0</v>
      </c>
      <c r="BK62" s="11">
        <f ca="1">IFERROR(OFFSET(ITEM_RES!$A$1,MATCH(BL62,ITEM_RES!$J:$J,0)-1,0),0)</f>
        <v>0</v>
      </c>
      <c r="BM62" s="11">
        <f t="shared" si="5"/>
        <v>0</v>
      </c>
    </row>
    <row r="63" spans="1:65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1321</v>
      </c>
      <c r="M63" s="9">
        <v>0</v>
      </c>
      <c r="N63" s="9">
        <v>15</v>
      </c>
      <c r="O63" s="9" t="s">
        <v>1405</v>
      </c>
      <c r="P63" s="55" t="s">
        <v>1407</v>
      </c>
      <c r="Q63" s="9" t="s">
        <v>1457</v>
      </c>
      <c r="T63" s="9">
        <f ca="1">IFERROR(OFFSET(ITEM_RES!$A$5,MATCH(BUILDING!S63,ITEM_RES!$J$5:$J$229,0)-1,0),0)</f>
        <v>0</v>
      </c>
      <c r="V63" s="81" t="s">
        <v>1456</v>
      </c>
      <c r="W63" s="11">
        <f ca="1">IFERROR(OFFSET(ITEM_RES!$A$5,MATCH(BUILDING!V63,ITEM_RES!$J$5:$J$229,0)-1,0),0)</f>
        <v>211010301</v>
      </c>
      <c r="Y63" s="9" t="s">
        <v>496</v>
      </c>
      <c r="Z63" s="9">
        <v>19</v>
      </c>
      <c r="AB63" s="11">
        <f ca="1">IFERROR(OFFSET(MANOR_LEVEL!$B$1,MATCH(AC63-1,MANOR_LEVEL!$A:$A,0)-1,0),0)</f>
        <v>17000000</v>
      </c>
      <c r="AC63" s="55">
        <v>15</v>
      </c>
      <c r="AE63" s="11">
        <f t="shared" ca="1" si="10"/>
        <v>32485000</v>
      </c>
      <c r="AF63" s="10">
        <f ca="1">AK63+AM63+(IFERROR(OFFSET(ITEM_RES!$R$1,MATCH(AQ63,ITEM_RES!$A:$A,0)-1,0),0)*AS63+IFERROR(OFFSET(ITEM_RES!$R$1,MATCH(AV63,ITEM_RES!$A:$A,0)-1,0),0)*AX63+IFERROR(OFFSET(ITEM_RES!$R$1,MATCH(BA63,ITEM_RES!$A:$A,0)-1,0),0)*BC63+IFERROR(OFFSET(ITEM_RES!$R$1,MATCH(BF63,ITEM_RES!$A:$A,0)-1,0),0)*BH63+IFERROR(OFFSET(ITEM_RES!$R$1,MATCH(BK63,ITEM_RES!$A:$A,0)-1,0),0)*BM63)/1000</f>
        <v>32485000</v>
      </c>
      <c r="AG63" s="176">
        <f t="shared" ca="1" si="12"/>
        <v>53595000</v>
      </c>
      <c r="AI63" s="11">
        <f t="shared" si="4"/>
        <v>1800</v>
      </c>
      <c r="AJ63" s="10">
        <v>1800</v>
      </c>
      <c r="AK63" s="11">
        <f t="shared" si="6"/>
        <v>0</v>
      </c>
      <c r="AL63" s="10">
        <v>0</v>
      </c>
      <c r="AM63" s="11">
        <f t="shared" si="7"/>
        <v>0</v>
      </c>
      <c r="AN63" s="10">
        <v>0</v>
      </c>
      <c r="AO63" s="55">
        <f t="shared" si="8"/>
        <v>2</v>
      </c>
      <c r="AQ63" s="11">
        <f ca="1">IFERROR(OFFSET(ITEM_RES!$A$1,MATCH(AR63,ITEM_RES!$J:$J,0)-1,0),0)</f>
        <v>211010601</v>
      </c>
      <c r="AR63" s="10" t="s">
        <v>432</v>
      </c>
      <c r="AS63" s="11">
        <v>20000000</v>
      </c>
      <c r="AV63" s="11">
        <f ca="1">IFERROR(OFFSET(ITEM_RES!$A$1,MATCH(AW63,ITEM_RES!$J:$J,0)-1,0),0)</f>
        <v>211020101</v>
      </c>
      <c r="AW63" s="10" t="s">
        <v>436</v>
      </c>
      <c r="AX63" s="11">
        <v>970000</v>
      </c>
      <c r="BA63" s="11">
        <f ca="1">IFERROR(OFFSET(ITEM_RES!$A$1,MATCH(BB63,ITEM_RES!$J:$J,0)-1,0),0)</f>
        <v>0</v>
      </c>
      <c r="BF63" s="11">
        <f ca="1">IFERROR(OFFSET(ITEM_RES!$A$1,MATCH(BG63,ITEM_RES!$J:$J,0)-1,0),0)</f>
        <v>0</v>
      </c>
      <c r="BK63" s="11">
        <f ca="1">IFERROR(OFFSET(ITEM_RES!$A$1,MATCH(BL63,ITEM_RES!$J:$J,0)-1,0),0)</f>
        <v>0</v>
      </c>
      <c r="BM63" s="11">
        <f t="shared" si="5"/>
        <v>0</v>
      </c>
    </row>
    <row r="64" spans="1:65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1321</v>
      </c>
      <c r="M64" s="9">
        <v>0</v>
      </c>
      <c r="N64" s="9">
        <v>15</v>
      </c>
      <c r="O64" s="9" t="s">
        <v>1405</v>
      </c>
      <c r="P64" s="55" t="s">
        <v>1407</v>
      </c>
      <c r="Q64" s="9" t="s">
        <v>1457</v>
      </c>
      <c r="T64" s="9">
        <f ca="1">IFERROR(OFFSET(ITEM_RES!$A$5,MATCH(BUILDING!S64,ITEM_RES!$J$5:$J$229,0)-1,0),0)</f>
        <v>0</v>
      </c>
      <c r="V64" s="81" t="s">
        <v>1456</v>
      </c>
      <c r="W64" s="11">
        <f ca="1">IFERROR(OFFSET(ITEM_RES!$A$5,MATCH(BUILDING!V64,ITEM_RES!$J$5:$J$229,0)-1,0),0)</f>
        <v>211010301</v>
      </c>
      <c r="Y64" s="9" t="s">
        <v>496</v>
      </c>
      <c r="Z64" s="9">
        <v>20</v>
      </c>
      <c r="AB64" s="11">
        <f ca="1">IFERROR(OFFSET(MANOR_LEVEL!$B$1,MATCH(AC64-1,MANOR_LEVEL!$A:$A,0)-1,0),0)</f>
        <v>37000000</v>
      </c>
      <c r="AC64" s="55">
        <v>16</v>
      </c>
      <c r="AE64" s="11">
        <f t="shared" ca="1" si="10"/>
        <v>52250000</v>
      </c>
      <c r="AF64" s="10">
        <f ca="1">AK64+AM64+(IFERROR(OFFSET(ITEM_RES!$R$1,MATCH(AQ64,ITEM_RES!$A:$A,0)-1,0),0)*AS64+IFERROR(OFFSET(ITEM_RES!$R$1,MATCH(AV64,ITEM_RES!$A:$A,0)-1,0),0)*AX64+IFERROR(OFFSET(ITEM_RES!$R$1,MATCH(BA64,ITEM_RES!$A:$A,0)-1,0),0)*BC64+IFERROR(OFFSET(ITEM_RES!$R$1,MATCH(BF64,ITEM_RES!$A:$A,0)-1,0),0)*BH64+IFERROR(OFFSET(ITEM_RES!$R$1,MATCH(BK64,ITEM_RES!$A:$A,0)-1,0),0)*BM64)/1000</f>
        <v>52250000</v>
      </c>
      <c r="AG64" s="176">
        <f t="shared" ca="1" si="12"/>
        <v>84735000</v>
      </c>
      <c r="AI64" s="11">
        <f t="shared" si="4"/>
        <v>1980</v>
      </c>
      <c r="AJ64" s="10">
        <v>1980</v>
      </c>
      <c r="AK64" s="11">
        <f t="shared" si="6"/>
        <v>0</v>
      </c>
      <c r="AL64" s="10">
        <v>0</v>
      </c>
      <c r="AM64" s="11">
        <f t="shared" si="7"/>
        <v>0</v>
      </c>
      <c r="AN64" s="10">
        <v>0</v>
      </c>
      <c r="AO64" s="55">
        <f t="shared" si="8"/>
        <v>2</v>
      </c>
      <c r="AQ64" s="11">
        <f ca="1">IFERROR(OFFSET(ITEM_RES!$A$1,MATCH(AR64,ITEM_RES!$J:$J,0)-1,0),0)</f>
        <v>211010601</v>
      </c>
      <c r="AR64" s="10" t="s">
        <v>432</v>
      </c>
      <c r="AS64" s="11">
        <v>32000000</v>
      </c>
      <c r="AV64" s="11">
        <f ca="1">IFERROR(OFFSET(ITEM_RES!$A$1,MATCH(AW64,ITEM_RES!$J:$J,0)-1,0),0)</f>
        <v>211020101</v>
      </c>
      <c r="AW64" s="10" t="s">
        <v>436</v>
      </c>
      <c r="AX64" s="11">
        <v>2100000</v>
      </c>
      <c r="BA64" s="11">
        <f ca="1">IFERROR(OFFSET(ITEM_RES!$A$1,MATCH(BB64,ITEM_RES!$J:$J,0)-1,0),0)</f>
        <v>0</v>
      </c>
      <c r="BF64" s="11">
        <f ca="1">IFERROR(OFFSET(ITEM_RES!$A$1,MATCH(BG64,ITEM_RES!$J:$J,0)-1,0),0)</f>
        <v>0</v>
      </c>
      <c r="BK64" s="11">
        <f ca="1">IFERROR(OFFSET(ITEM_RES!$A$1,MATCH(BL64,ITEM_RES!$J:$J,0)-1,0),0)</f>
        <v>0</v>
      </c>
      <c r="BM64" s="11">
        <f t="shared" si="5"/>
        <v>0</v>
      </c>
    </row>
    <row r="65" spans="1:66" s="15" customFormat="1" x14ac:dyDescent="0.3">
      <c r="A65" s="21">
        <f t="shared" ref="A65:A84" si="13">B65*10000000+C65*1000000+D65*10000+E65*100+F65</f>
        <v>111040001</v>
      </c>
      <c r="B65" s="20">
        <v>11</v>
      </c>
      <c r="C65" s="19">
        <f t="shared" ref="C65:C84" si="14">H65</f>
        <v>1</v>
      </c>
      <c r="D65" s="20">
        <v>4</v>
      </c>
      <c r="E65" s="20">
        <v>0</v>
      </c>
      <c r="F65" s="19">
        <f t="shared" ref="F65:F84" si="15">I65</f>
        <v>1</v>
      </c>
      <c r="G65" s="76"/>
      <c r="H65" s="16">
        <v>1</v>
      </c>
      <c r="I65" s="16">
        <v>1</v>
      </c>
      <c r="J65" s="76"/>
      <c r="K65" s="16" t="s">
        <v>429</v>
      </c>
      <c r="L65" s="16">
        <v>5</v>
      </c>
      <c r="M65" s="16">
        <v>1</v>
      </c>
      <c r="N65" s="16">
        <v>15</v>
      </c>
      <c r="O65" s="16" t="s">
        <v>1077</v>
      </c>
      <c r="P65" s="56" t="s">
        <v>1340</v>
      </c>
      <c r="Q65" s="16" t="s">
        <v>668</v>
      </c>
      <c r="R65" s="76"/>
      <c r="S65" s="83"/>
      <c r="T65" s="16">
        <f ca="1">IFERROR(OFFSET(ITEM_RES!$A$5,MATCH(BUILDING!S65,ITEM_RES!$J$5:$J$229,0)-1,0),0)</f>
        <v>0</v>
      </c>
      <c r="U65" s="18"/>
      <c r="V65" s="83" t="s">
        <v>525</v>
      </c>
      <c r="W65" s="18">
        <f ca="1">IFERROR(OFFSET(ITEM_RES!$A$5,MATCH(BUILDING!V65,ITEM_RES!$J$5:$J$229,0)-1,0),0)</f>
        <v>211020101</v>
      </c>
      <c r="X65" s="76"/>
      <c r="Y65" s="16" t="s">
        <v>497</v>
      </c>
      <c r="Z65" s="16">
        <v>8</v>
      </c>
      <c r="AA65" s="76"/>
      <c r="AB65" s="18">
        <f ca="1">IFERROR(OFFSET(MANOR_LEVEL!$B$1,MATCH(AC65-1,MANOR_LEVEL!$A:$A,0)-1,0),0)</f>
        <v>17000</v>
      </c>
      <c r="AC65" s="56">
        <v>6</v>
      </c>
      <c r="AD65" s="76"/>
      <c r="AE65" s="18">
        <f t="shared" ca="1" si="10"/>
        <v>1120</v>
      </c>
      <c r="AF65" s="17">
        <f ca="1">AK65+AM65+(IFERROR(OFFSET(ITEM_RES!$R$1,MATCH(AQ65,ITEM_RES!$A:$A,0)-1,0),0)*AS65+IFERROR(OFFSET(ITEM_RES!$R$1,MATCH(AV65,ITEM_RES!$A:$A,0)-1,0),0)*AX65+IFERROR(OFFSET(ITEM_RES!$R$1,MATCH(BA65,ITEM_RES!$A:$A,0)-1,0),0)*BC65+IFERROR(OFFSET(ITEM_RES!$R$1,MATCH(BF65,ITEM_RES!$A:$A,0)-1,0),0)*BH65+IFERROR(OFFSET(ITEM_RES!$R$1,MATCH(BK65,ITEM_RES!$A:$A,0)-1,0),0)*BM65)/1000</f>
        <v>1120</v>
      </c>
      <c r="AG65" s="178">
        <f ca="1">AE65</f>
        <v>1120</v>
      </c>
      <c r="AH65" s="76"/>
      <c r="AI65" s="18">
        <f t="shared" si="4"/>
        <v>2</v>
      </c>
      <c r="AJ65" s="17">
        <v>2</v>
      </c>
      <c r="AK65" s="18">
        <f t="shared" ref="AK65" si="16">ROUND(AL65,0)</f>
        <v>0</v>
      </c>
      <c r="AL65" s="17">
        <v>0</v>
      </c>
      <c r="AM65" s="18">
        <f t="shared" si="7"/>
        <v>0</v>
      </c>
      <c r="AN65" s="17">
        <v>0</v>
      </c>
      <c r="AO65" s="56">
        <f t="shared" si="8"/>
        <v>2</v>
      </c>
      <c r="AP65" s="18"/>
      <c r="AQ65" s="18">
        <f ca="1">IFERROR(OFFSET(ITEM_RES!$A$1,MATCH(AR65,ITEM_RES!$J:$J,0)-1,0),0)</f>
        <v>211020801</v>
      </c>
      <c r="AR65" s="17" t="s">
        <v>427</v>
      </c>
      <c r="AS65" s="18">
        <v>20</v>
      </c>
      <c r="AT65" s="17"/>
      <c r="AU65" s="18"/>
      <c r="AV65" s="18">
        <f ca="1">IFERROR(OFFSET(ITEM_RES!$A$1,MATCH(AW65,ITEM_RES!$J:$J,0)-1,0),0)</f>
        <v>0</v>
      </c>
      <c r="AW65" s="17"/>
      <c r="AX65" s="18"/>
      <c r="AY65" s="17"/>
      <c r="AZ65" s="18"/>
      <c r="BA65" s="18">
        <f ca="1">IFERROR(OFFSET(ITEM_RES!$A$1,MATCH(BB65,ITEM_RES!$J:$J,0)-1,0),0)</f>
        <v>213010101</v>
      </c>
      <c r="BB65" s="17" t="s">
        <v>440</v>
      </c>
      <c r="BC65" s="18">
        <v>1</v>
      </c>
      <c r="BD65" s="17"/>
      <c r="BE65" s="18"/>
      <c r="BF65" s="18">
        <f ca="1">IFERROR(OFFSET(ITEM_RES!$A$1,MATCH(BG65,ITEM_RES!$J:$J,0)-1,0),0)</f>
        <v>0</v>
      </c>
      <c r="BG65" s="17"/>
      <c r="BH65" s="18"/>
      <c r="BI65" s="17"/>
      <c r="BJ65" s="18"/>
      <c r="BK65" s="18">
        <f ca="1">IFERROR(OFFSET(ITEM_RES!$A$1,MATCH(BL65,ITEM_RES!$J:$J,0)-1,0),0)</f>
        <v>0</v>
      </c>
      <c r="BL65" s="17"/>
      <c r="BM65" s="18">
        <f t="shared" si="5"/>
        <v>0</v>
      </c>
      <c r="BN65" s="17"/>
    </row>
    <row r="66" spans="1:66" x14ac:dyDescent="0.3">
      <c r="A66" s="14">
        <f t="shared" si="13"/>
        <v>111040002</v>
      </c>
      <c r="B66" s="13">
        <v>11</v>
      </c>
      <c r="C66" s="12">
        <f t="shared" si="14"/>
        <v>1</v>
      </c>
      <c r="D66" s="13">
        <v>4</v>
      </c>
      <c r="E66" s="13">
        <v>0</v>
      </c>
      <c r="F66" s="12">
        <f t="shared" si="15"/>
        <v>2</v>
      </c>
      <c r="H66" s="9">
        <v>1</v>
      </c>
      <c r="I66" s="9">
        <v>2</v>
      </c>
      <c r="K66" s="9" t="s">
        <v>429</v>
      </c>
      <c r="M66" s="9">
        <v>1</v>
      </c>
      <c r="N66" s="9">
        <v>15</v>
      </c>
      <c r="O66" s="9" t="s">
        <v>1077</v>
      </c>
      <c r="P66" s="55" t="s">
        <v>1340</v>
      </c>
      <c r="Q66" s="9" t="s">
        <v>668</v>
      </c>
      <c r="T66" s="9">
        <f ca="1">IFERROR(OFFSET(ITEM_RES!$A$5,MATCH(BUILDING!S66,ITEM_RES!$J$5:$J$229,0)-1,0),0)</f>
        <v>0</v>
      </c>
      <c r="V66" s="81" t="s">
        <v>525</v>
      </c>
      <c r="W66" s="11">
        <f ca="1">IFERROR(OFFSET(ITEM_RES!$A$5,MATCH(BUILDING!V66,ITEM_RES!$J$5:$J$229,0)-1,0),0)</f>
        <v>211020101</v>
      </c>
      <c r="Y66" s="9" t="s">
        <v>497</v>
      </c>
      <c r="Z66" s="9">
        <v>8</v>
      </c>
      <c r="AB66" s="11">
        <f ca="1">IFERROR(OFFSET(MANOR_LEVEL!$B$1,MATCH(AC66-1,MANOR_LEVEL!$A:$A,0)-1,0),0)</f>
        <v>40000</v>
      </c>
      <c r="AC66" s="55">
        <v>7</v>
      </c>
      <c r="AE66" s="11">
        <f t="shared" ca="1" si="10"/>
        <v>240</v>
      </c>
      <c r="AF66" s="10">
        <f ca="1">AK66+AM66+(IFERROR(OFFSET(ITEM_RES!$R$1,MATCH(AQ66,ITEM_RES!$A:$A,0)-1,0),0)*AS66+IFERROR(OFFSET(ITEM_RES!$R$1,MATCH(AV66,ITEM_RES!$A:$A,0)-1,0),0)*AX66+IFERROR(OFFSET(ITEM_RES!$R$1,MATCH(BA66,ITEM_RES!$A:$A,0)-1,0),0)*BC66+IFERROR(OFFSET(ITEM_RES!$R$1,MATCH(BF66,ITEM_RES!$A:$A,0)-1,0),0)*BH66+IFERROR(OFFSET(ITEM_RES!$R$1,MATCH(BK66,ITEM_RES!$A:$A,0)-1,0),0)*BM66)/1000</f>
        <v>240</v>
      </c>
      <c r="AG66" s="176">
        <f ca="1">AE65+AE66</f>
        <v>1360</v>
      </c>
      <c r="AI66" s="11">
        <f t="shared" si="4"/>
        <v>2</v>
      </c>
      <c r="AJ66" s="10">
        <v>2</v>
      </c>
      <c r="AK66" s="11">
        <f t="shared" ref="AK66" si="17">ROUND(AL66,0)</f>
        <v>0</v>
      </c>
      <c r="AL66" s="10">
        <v>0</v>
      </c>
      <c r="AM66" s="11">
        <f t="shared" si="7"/>
        <v>0</v>
      </c>
      <c r="AN66" s="10">
        <v>0</v>
      </c>
      <c r="AO66" s="55">
        <f t="shared" si="8"/>
        <v>1</v>
      </c>
      <c r="AQ66" s="11">
        <f ca="1">IFERROR(OFFSET(ITEM_RES!$A$1,MATCH(AR66,ITEM_RES!$J:$J,0)-1,0),0)</f>
        <v>211020801</v>
      </c>
      <c r="AR66" s="10" t="s">
        <v>427</v>
      </c>
      <c r="AS66" s="11">
        <v>40</v>
      </c>
      <c r="AV66" s="11">
        <f ca="1">IFERROR(OFFSET(ITEM_RES!$A$1,MATCH(AW66,ITEM_RES!$J:$J,0)-1,0),0)</f>
        <v>0</v>
      </c>
      <c r="BA66" s="11">
        <f ca="1">IFERROR(OFFSET(ITEM_RES!$A$1,MATCH(BB66,ITEM_RES!$J:$J,0)-1,0),0)</f>
        <v>0</v>
      </c>
      <c r="BF66" s="11">
        <f ca="1">IFERROR(OFFSET(ITEM_RES!$A$1,MATCH(BG66,ITEM_RES!$J:$J,0)-1,0),0)</f>
        <v>0</v>
      </c>
      <c r="BK66" s="11">
        <f ca="1">IFERROR(OFFSET(ITEM_RES!$A$1,MATCH(BL66,ITEM_RES!$J:$J,0)-1,0),0)</f>
        <v>0</v>
      </c>
      <c r="BM66" s="11">
        <f t="shared" si="5"/>
        <v>0</v>
      </c>
    </row>
    <row r="67" spans="1:66" x14ac:dyDescent="0.3">
      <c r="A67" s="14">
        <f t="shared" si="13"/>
        <v>111040003</v>
      </c>
      <c r="B67" s="13">
        <v>11</v>
      </c>
      <c r="C67" s="12">
        <f t="shared" si="14"/>
        <v>1</v>
      </c>
      <c r="D67" s="13">
        <v>4</v>
      </c>
      <c r="E67" s="13">
        <v>0</v>
      </c>
      <c r="F67" s="12">
        <f t="shared" si="15"/>
        <v>3</v>
      </c>
      <c r="H67" s="9">
        <v>1</v>
      </c>
      <c r="I67" s="9">
        <v>3</v>
      </c>
      <c r="K67" s="9" t="s">
        <v>429</v>
      </c>
      <c r="M67" s="9">
        <v>1</v>
      </c>
      <c r="N67" s="9">
        <v>15</v>
      </c>
      <c r="O67" s="9" t="s">
        <v>1078</v>
      </c>
      <c r="P67" s="55" t="s">
        <v>1341</v>
      </c>
      <c r="Q67" s="9" t="s">
        <v>668</v>
      </c>
      <c r="T67" s="9">
        <f ca="1">IFERROR(OFFSET(ITEM_RES!$A$5,MATCH(BUILDING!S67,ITEM_RES!$J$5:$J$229,0)-1,0),0)</f>
        <v>0</v>
      </c>
      <c r="V67" s="81" t="s">
        <v>525</v>
      </c>
      <c r="W67" s="11">
        <f ca="1">IFERROR(OFFSET(ITEM_RES!$A$5,MATCH(BUILDING!V67,ITEM_RES!$J$5:$J$229,0)-1,0),0)</f>
        <v>211020101</v>
      </c>
      <c r="Y67" s="9" t="s">
        <v>497</v>
      </c>
      <c r="Z67" s="9">
        <v>8</v>
      </c>
      <c r="AB67" s="11">
        <f ca="1">IFERROR(OFFSET(MANOR_LEVEL!$B$1,MATCH(AC67-1,MANOR_LEVEL!$A:$A,0)-1,0),0)</f>
        <v>40000</v>
      </c>
      <c r="AC67" s="55">
        <v>7</v>
      </c>
      <c r="AE67" s="11">
        <f t="shared" ca="1" si="10"/>
        <v>360</v>
      </c>
      <c r="AF67" s="10">
        <f ca="1">AK67+AM67+(IFERROR(OFFSET(ITEM_RES!$R$1,MATCH(AQ67,ITEM_RES!$A:$A,0)-1,0),0)*AS67+IFERROR(OFFSET(ITEM_RES!$R$1,MATCH(AV67,ITEM_RES!$A:$A,0)-1,0),0)*AX67+IFERROR(OFFSET(ITEM_RES!$R$1,MATCH(BA67,ITEM_RES!$A:$A,0)-1,0),0)*BC67+IFERROR(OFFSET(ITEM_RES!$R$1,MATCH(BF67,ITEM_RES!$A:$A,0)-1,0),0)*BH67+IFERROR(OFFSET(ITEM_RES!$R$1,MATCH(BK67,ITEM_RES!$A:$A,0)-1,0),0)*BM67)/1000</f>
        <v>360</v>
      </c>
      <c r="AG67" s="176">
        <f t="shared" ref="AG67:AG84" ca="1" si="18">AE66+AE67</f>
        <v>600</v>
      </c>
      <c r="AI67" s="11">
        <f t="shared" si="4"/>
        <v>3</v>
      </c>
      <c r="AJ67" s="10">
        <v>3</v>
      </c>
      <c r="AK67" s="11">
        <f t="shared" ref="AK67" si="19">ROUND(AL67,0)</f>
        <v>0</v>
      </c>
      <c r="AL67" s="10">
        <v>0</v>
      </c>
      <c r="AM67" s="11">
        <f t="shared" si="7"/>
        <v>0</v>
      </c>
      <c r="AN67" s="10">
        <v>0</v>
      </c>
      <c r="AO67" s="55">
        <f t="shared" si="8"/>
        <v>1</v>
      </c>
      <c r="AQ67" s="11">
        <f ca="1">IFERROR(OFFSET(ITEM_RES!$A$1,MATCH(AR67,ITEM_RES!$J:$J,0)-1,0),0)</f>
        <v>211020801</v>
      </c>
      <c r="AR67" s="10" t="s">
        <v>427</v>
      </c>
      <c r="AS67" s="11">
        <v>60</v>
      </c>
      <c r="AV67" s="11">
        <f ca="1">IFERROR(OFFSET(ITEM_RES!$A$1,MATCH(AW67,ITEM_RES!$J:$J,0)-1,0),0)</f>
        <v>0</v>
      </c>
      <c r="BA67" s="11">
        <f ca="1">IFERROR(OFFSET(ITEM_RES!$A$1,MATCH(BB67,ITEM_RES!$J:$J,0)-1,0),0)</f>
        <v>0</v>
      </c>
      <c r="BF67" s="11">
        <f ca="1">IFERROR(OFFSET(ITEM_RES!$A$1,MATCH(BG67,ITEM_RES!$J:$J,0)-1,0),0)</f>
        <v>0</v>
      </c>
      <c r="BK67" s="11">
        <f ca="1">IFERROR(OFFSET(ITEM_RES!$A$1,MATCH(BL67,ITEM_RES!$J:$J,0)-1,0),0)</f>
        <v>0</v>
      </c>
      <c r="BM67" s="11">
        <f t="shared" si="5"/>
        <v>0</v>
      </c>
    </row>
    <row r="68" spans="1:66" x14ac:dyDescent="0.3">
      <c r="A68" s="14">
        <f t="shared" si="13"/>
        <v>111040004</v>
      </c>
      <c r="B68" s="13">
        <v>11</v>
      </c>
      <c r="C68" s="12">
        <f t="shared" si="14"/>
        <v>1</v>
      </c>
      <c r="D68" s="13">
        <v>4</v>
      </c>
      <c r="E68" s="13">
        <v>0</v>
      </c>
      <c r="F68" s="12">
        <f t="shared" si="15"/>
        <v>4</v>
      </c>
      <c r="H68" s="9">
        <v>1</v>
      </c>
      <c r="I68" s="9">
        <v>4</v>
      </c>
      <c r="K68" s="9" t="s">
        <v>429</v>
      </c>
      <c r="M68" s="9">
        <v>1</v>
      </c>
      <c r="N68" s="9">
        <v>15</v>
      </c>
      <c r="O68" s="9" t="s">
        <v>1079</v>
      </c>
      <c r="P68" s="55" t="s">
        <v>1341</v>
      </c>
      <c r="Q68" s="9" t="s">
        <v>668</v>
      </c>
      <c r="T68" s="9">
        <f ca="1">IFERROR(OFFSET(ITEM_RES!$A$5,MATCH(BUILDING!S68,ITEM_RES!$J$5:$J$229,0)-1,0),0)</f>
        <v>0</v>
      </c>
      <c r="V68" s="81" t="s">
        <v>525</v>
      </c>
      <c r="W68" s="11">
        <f ca="1">IFERROR(OFFSET(ITEM_RES!$A$5,MATCH(BUILDING!V68,ITEM_RES!$J$5:$J$229,0)-1,0),0)</f>
        <v>211020101</v>
      </c>
      <c r="Y68" s="9" t="s">
        <v>497</v>
      </c>
      <c r="Z68" s="9">
        <v>8</v>
      </c>
      <c r="AB68" s="11">
        <f ca="1">IFERROR(OFFSET(MANOR_LEVEL!$B$1,MATCH(AC68-1,MANOR_LEVEL!$A:$A,0)-1,0),0)</f>
        <v>40000</v>
      </c>
      <c r="AC68" s="55">
        <v>7</v>
      </c>
      <c r="AE68" s="11">
        <f t="shared" ca="1" si="10"/>
        <v>1440</v>
      </c>
      <c r="AF68" s="10">
        <f ca="1">AK68+AM68+(IFERROR(OFFSET(ITEM_RES!$R$1,MATCH(AQ68,ITEM_RES!$A:$A,0)-1,0),0)*AS68+IFERROR(OFFSET(ITEM_RES!$R$1,MATCH(AV68,ITEM_RES!$A:$A,0)-1,0),0)*AX68+IFERROR(OFFSET(ITEM_RES!$R$1,MATCH(BA68,ITEM_RES!$A:$A,0)-1,0),0)*BC68+IFERROR(OFFSET(ITEM_RES!$R$1,MATCH(BF68,ITEM_RES!$A:$A,0)-1,0),0)*BH68+IFERROR(OFFSET(ITEM_RES!$R$1,MATCH(BK68,ITEM_RES!$A:$A,0)-1,0),0)*BM68)/1000</f>
        <v>1440</v>
      </c>
      <c r="AG68" s="176">
        <f t="shared" ca="1" si="18"/>
        <v>1800</v>
      </c>
      <c r="AI68" s="11">
        <f t="shared" si="4"/>
        <v>5</v>
      </c>
      <c r="AJ68" s="10">
        <v>5</v>
      </c>
      <c r="AK68" s="11">
        <f t="shared" ref="AK68" si="20">ROUND(AL68,0)</f>
        <v>0</v>
      </c>
      <c r="AL68" s="10">
        <v>0</v>
      </c>
      <c r="AM68" s="11">
        <f t="shared" si="7"/>
        <v>0</v>
      </c>
      <c r="AN68" s="10">
        <v>0</v>
      </c>
      <c r="AO68" s="55">
        <f t="shared" si="8"/>
        <v>1</v>
      </c>
      <c r="AQ68" s="11">
        <f ca="1">IFERROR(OFFSET(ITEM_RES!$A$1,MATCH(AR68,ITEM_RES!$J:$J,0)-1,0),0)</f>
        <v>211020801</v>
      </c>
      <c r="AR68" s="10" t="s">
        <v>427</v>
      </c>
      <c r="AS68" s="11">
        <v>240</v>
      </c>
      <c r="AV68" s="11">
        <f ca="1">IFERROR(OFFSET(ITEM_RES!$A$1,MATCH(AW68,ITEM_RES!$J:$J,0)-1,0),0)</f>
        <v>0</v>
      </c>
      <c r="BA68" s="11">
        <f ca="1">IFERROR(OFFSET(ITEM_RES!$A$1,MATCH(BB68,ITEM_RES!$J:$J,0)-1,0),0)</f>
        <v>0</v>
      </c>
      <c r="BF68" s="11">
        <f ca="1">IFERROR(OFFSET(ITEM_RES!$A$1,MATCH(BG68,ITEM_RES!$J:$J,0)-1,0),0)</f>
        <v>0</v>
      </c>
      <c r="BK68" s="11">
        <f ca="1">IFERROR(OFFSET(ITEM_RES!$A$1,MATCH(BL68,ITEM_RES!$J:$J,0)-1,0),0)</f>
        <v>0</v>
      </c>
      <c r="BM68" s="11">
        <f t="shared" si="5"/>
        <v>0</v>
      </c>
    </row>
    <row r="69" spans="1:66" x14ac:dyDescent="0.3">
      <c r="A69" s="14">
        <f t="shared" si="13"/>
        <v>111040005</v>
      </c>
      <c r="B69" s="13">
        <v>11</v>
      </c>
      <c r="C69" s="12">
        <f t="shared" si="14"/>
        <v>1</v>
      </c>
      <c r="D69" s="13">
        <v>4</v>
      </c>
      <c r="E69" s="13">
        <v>0</v>
      </c>
      <c r="F69" s="12">
        <f t="shared" si="15"/>
        <v>5</v>
      </c>
      <c r="H69" s="9">
        <v>1</v>
      </c>
      <c r="I69" s="9">
        <v>5</v>
      </c>
      <c r="K69" s="9" t="s">
        <v>429</v>
      </c>
      <c r="M69" s="9">
        <v>1</v>
      </c>
      <c r="N69" s="9">
        <v>15</v>
      </c>
      <c r="O69" s="9" t="s">
        <v>1080</v>
      </c>
      <c r="P69" s="55" t="s">
        <v>1342</v>
      </c>
      <c r="Q69" s="9" t="s">
        <v>668</v>
      </c>
      <c r="T69" s="9">
        <f ca="1">IFERROR(OFFSET(ITEM_RES!$A$5,MATCH(BUILDING!S69,ITEM_RES!$J$5:$J$229,0)-1,0),0)</f>
        <v>0</v>
      </c>
      <c r="V69" s="81" t="s">
        <v>525</v>
      </c>
      <c r="W69" s="11">
        <f ca="1">IFERROR(OFFSET(ITEM_RES!$A$5,MATCH(BUILDING!V69,ITEM_RES!$J$5:$J$229,0)-1,0),0)</f>
        <v>211020101</v>
      </c>
      <c r="Y69" s="9" t="s">
        <v>497</v>
      </c>
      <c r="Z69" s="9">
        <v>8</v>
      </c>
      <c r="AB69" s="11">
        <f ca="1">IFERROR(OFFSET(MANOR_LEVEL!$B$1,MATCH(AC69-1,MANOR_LEVEL!$A:$A,0)-1,0),0)</f>
        <v>40000</v>
      </c>
      <c r="AC69" s="55">
        <v>7</v>
      </c>
      <c r="AE69" s="11">
        <f t="shared" ca="1" si="10"/>
        <v>6480</v>
      </c>
      <c r="AF69" s="10">
        <f ca="1">AK69+AM69+(IFERROR(OFFSET(ITEM_RES!$R$1,MATCH(AQ69,ITEM_RES!$A:$A,0)-1,0),0)*AS69+IFERROR(OFFSET(ITEM_RES!$R$1,MATCH(AV69,ITEM_RES!$A:$A,0)-1,0),0)*AX69+IFERROR(OFFSET(ITEM_RES!$R$1,MATCH(BA69,ITEM_RES!$A:$A,0)-1,0),0)*BC69+IFERROR(OFFSET(ITEM_RES!$R$1,MATCH(BF69,ITEM_RES!$A:$A,0)-1,0),0)*BH69+IFERROR(OFFSET(ITEM_RES!$R$1,MATCH(BK69,ITEM_RES!$A:$A,0)-1,0),0)*BM69)/1000</f>
        <v>6480</v>
      </c>
      <c r="AG69" s="176">
        <f t="shared" ca="1" si="18"/>
        <v>7920</v>
      </c>
      <c r="AI69" s="11">
        <f t="shared" ref="AI69:AI132" si="21">ROUND(AJ69,0)</f>
        <v>8</v>
      </c>
      <c r="AJ69" s="10">
        <v>8</v>
      </c>
      <c r="AK69" s="11">
        <f t="shared" ref="AK69" si="22">ROUND(AL69,0)</f>
        <v>0</v>
      </c>
      <c r="AL69" s="10">
        <v>0</v>
      </c>
      <c r="AM69" s="11">
        <f t="shared" si="7"/>
        <v>0</v>
      </c>
      <c r="AN69" s="10">
        <v>0</v>
      </c>
      <c r="AO69" s="55">
        <f t="shared" si="8"/>
        <v>1</v>
      </c>
      <c r="AQ69" s="11">
        <f ca="1">IFERROR(OFFSET(ITEM_RES!$A$1,MATCH(AR69,ITEM_RES!$J:$J,0)-1,0),0)</f>
        <v>211020801</v>
      </c>
      <c r="AR69" s="10" t="s">
        <v>427</v>
      </c>
      <c r="AS69" s="11">
        <v>1080</v>
      </c>
      <c r="AV69" s="11">
        <f ca="1">IFERROR(OFFSET(ITEM_RES!$A$1,MATCH(AW69,ITEM_RES!$J:$J,0)-1,0),0)</f>
        <v>0</v>
      </c>
      <c r="BA69" s="11">
        <f ca="1">IFERROR(OFFSET(ITEM_RES!$A$1,MATCH(BB69,ITEM_RES!$J:$J,0)-1,0),0)</f>
        <v>0</v>
      </c>
      <c r="BF69" s="11">
        <f ca="1">IFERROR(OFFSET(ITEM_RES!$A$1,MATCH(BG69,ITEM_RES!$J:$J,0)-1,0),0)</f>
        <v>0</v>
      </c>
      <c r="BK69" s="11">
        <f ca="1">IFERROR(OFFSET(ITEM_RES!$A$1,MATCH(BL69,ITEM_RES!$J:$J,0)-1,0),0)</f>
        <v>0</v>
      </c>
      <c r="BM69" s="11">
        <f t="shared" si="5"/>
        <v>0</v>
      </c>
    </row>
    <row r="70" spans="1:66" x14ac:dyDescent="0.3">
      <c r="A70" s="14">
        <f t="shared" si="13"/>
        <v>111040006</v>
      </c>
      <c r="B70" s="13">
        <v>11</v>
      </c>
      <c r="C70" s="12">
        <f t="shared" si="14"/>
        <v>1</v>
      </c>
      <c r="D70" s="13">
        <v>4</v>
      </c>
      <c r="E70" s="13">
        <v>0</v>
      </c>
      <c r="F70" s="12">
        <f t="shared" si="15"/>
        <v>6</v>
      </c>
      <c r="H70" s="9">
        <v>1</v>
      </c>
      <c r="I70" s="9">
        <v>6</v>
      </c>
      <c r="K70" s="9" t="s">
        <v>429</v>
      </c>
      <c r="M70" s="9">
        <v>1</v>
      </c>
      <c r="N70" s="9">
        <v>15</v>
      </c>
      <c r="O70" s="9" t="s">
        <v>1081</v>
      </c>
      <c r="P70" s="55" t="s">
        <v>1342</v>
      </c>
      <c r="Q70" s="9" t="s">
        <v>668</v>
      </c>
      <c r="T70" s="9">
        <f ca="1">IFERROR(OFFSET(ITEM_RES!$A$5,MATCH(BUILDING!S70,ITEM_RES!$J$5:$J$229,0)-1,0),0)</f>
        <v>0</v>
      </c>
      <c r="V70" s="81" t="s">
        <v>525</v>
      </c>
      <c r="W70" s="11">
        <f ca="1">IFERROR(OFFSET(ITEM_RES!$A$5,MATCH(BUILDING!V70,ITEM_RES!$J$5:$J$229,0)-1,0),0)</f>
        <v>211020101</v>
      </c>
      <c r="Y70" s="9" t="s">
        <v>497</v>
      </c>
      <c r="Z70" s="9">
        <v>9</v>
      </c>
      <c r="AB70" s="11">
        <f ca="1">IFERROR(OFFSET(MANOR_LEVEL!$B$1,MATCH(AC70-1,MANOR_LEVEL!$A:$A,0)-1,0),0)</f>
        <v>40000</v>
      </c>
      <c r="AC70" s="55">
        <v>7</v>
      </c>
      <c r="AE70" s="11">
        <f t="shared" ca="1" si="10"/>
        <v>21600</v>
      </c>
      <c r="AF70" s="10">
        <f ca="1">AK70+AM70+(IFERROR(OFFSET(ITEM_RES!$R$1,MATCH(AQ70,ITEM_RES!$A:$A,0)-1,0),0)*AS70+IFERROR(OFFSET(ITEM_RES!$R$1,MATCH(AV70,ITEM_RES!$A:$A,0)-1,0),0)*AX70+IFERROR(OFFSET(ITEM_RES!$R$1,MATCH(BA70,ITEM_RES!$A:$A,0)-1,0),0)*BC70+IFERROR(OFFSET(ITEM_RES!$R$1,MATCH(BF70,ITEM_RES!$A:$A,0)-1,0),0)*BH70+IFERROR(OFFSET(ITEM_RES!$R$1,MATCH(BK70,ITEM_RES!$A:$A,0)-1,0),0)*BM70)/1000</f>
        <v>21600</v>
      </c>
      <c r="AG70" s="176">
        <f t="shared" ca="1" si="18"/>
        <v>28080</v>
      </c>
      <c r="AI70" s="11">
        <f t="shared" si="21"/>
        <v>10</v>
      </c>
      <c r="AJ70" s="10">
        <v>10</v>
      </c>
      <c r="AK70" s="11">
        <f t="shared" ref="AK70" si="23">ROUND(AL70,0)</f>
        <v>0</v>
      </c>
      <c r="AL70" s="10">
        <v>0</v>
      </c>
      <c r="AM70" s="11">
        <f t="shared" ref="AM70:AM133" si="24">ROUND(AN70,0)</f>
        <v>0</v>
      </c>
      <c r="AN70" s="10">
        <v>0</v>
      </c>
      <c r="AO70" s="55">
        <f t="shared" ref="AO70:AO133" si="25">(AS70&gt;0)*1+(AX70&gt;0)*1+(BC70&gt;0)*1+(BH70&gt;0)*1+(BM70&gt;0)*1</f>
        <v>1</v>
      </c>
      <c r="AQ70" s="11">
        <f ca="1">IFERROR(OFFSET(ITEM_RES!$A$1,MATCH(AR70,ITEM_RES!$J:$J,0)-1,0),0)</f>
        <v>211020801</v>
      </c>
      <c r="AR70" s="10" t="s">
        <v>427</v>
      </c>
      <c r="AS70" s="11">
        <v>3600</v>
      </c>
      <c r="AV70" s="11">
        <f ca="1">IFERROR(OFFSET(ITEM_RES!$A$1,MATCH(AW70,ITEM_RES!$J:$J,0)-1,0),0)</f>
        <v>0</v>
      </c>
      <c r="BA70" s="11">
        <f ca="1">IFERROR(OFFSET(ITEM_RES!$A$1,MATCH(BB70,ITEM_RES!$J:$J,0)-1,0),0)</f>
        <v>0</v>
      </c>
      <c r="BF70" s="11">
        <f ca="1">IFERROR(OFFSET(ITEM_RES!$A$1,MATCH(BG70,ITEM_RES!$J:$J,0)-1,0),0)</f>
        <v>0</v>
      </c>
      <c r="BK70" s="11">
        <f ca="1">IFERROR(OFFSET(ITEM_RES!$A$1,MATCH(BL70,ITEM_RES!$J:$J,0)-1,0),0)</f>
        <v>0</v>
      </c>
      <c r="BM70" s="11">
        <f t="shared" si="5"/>
        <v>0</v>
      </c>
    </row>
    <row r="71" spans="1:66" x14ac:dyDescent="0.3">
      <c r="A71" s="14">
        <f t="shared" si="13"/>
        <v>111040007</v>
      </c>
      <c r="B71" s="13">
        <v>11</v>
      </c>
      <c r="C71" s="12">
        <f t="shared" si="14"/>
        <v>1</v>
      </c>
      <c r="D71" s="13">
        <v>4</v>
      </c>
      <c r="E71" s="13">
        <v>0</v>
      </c>
      <c r="F71" s="12">
        <f t="shared" si="15"/>
        <v>7</v>
      </c>
      <c r="H71" s="9">
        <v>1</v>
      </c>
      <c r="I71" s="9">
        <v>7</v>
      </c>
      <c r="K71" s="9" t="s">
        <v>429</v>
      </c>
      <c r="M71" s="9">
        <v>1</v>
      </c>
      <c r="N71" s="9">
        <v>15</v>
      </c>
      <c r="O71" s="9" t="s">
        <v>1082</v>
      </c>
      <c r="P71" s="55" t="s">
        <v>1343</v>
      </c>
      <c r="Q71" s="9" t="s">
        <v>668</v>
      </c>
      <c r="T71" s="9">
        <f ca="1">IFERROR(OFFSET(ITEM_RES!$A$5,MATCH(BUILDING!S71,ITEM_RES!$J$5:$J$229,0)-1,0),0)</f>
        <v>0</v>
      </c>
      <c r="V71" s="81" t="s">
        <v>525</v>
      </c>
      <c r="W71" s="11">
        <f ca="1">IFERROR(OFFSET(ITEM_RES!$A$5,MATCH(BUILDING!V71,ITEM_RES!$J$5:$J$229,0)-1,0),0)</f>
        <v>211020101</v>
      </c>
      <c r="Y71" s="9" t="s">
        <v>497</v>
      </c>
      <c r="Z71" s="9">
        <v>9</v>
      </c>
      <c r="AB71" s="11">
        <f ca="1">IFERROR(OFFSET(MANOR_LEVEL!$B$1,MATCH(AC71-1,MANOR_LEVEL!$A:$A,0)-1,0),0)</f>
        <v>40000</v>
      </c>
      <c r="AC71" s="55">
        <v>7</v>
      </c>
      <c r="AE71" s="11">
        <f t="shared" ca="1" si="10"/>
        <v>48000</v>
      </c>
      <c r="AF71" s="10">
        <f ca="1">AK71+AM71+(IFERROR(OFFSET(ITEM_RES!$R$1,MATCH(AQ71,ITEM_RES!$A:$A,0)-1,0),0)*AS71+IFERROR(OFFSET(ITEM_RES!$R$1,MATCH(AV71,ITEM_RES!$A:$A,0)-1,0),0)*AX71+IFERROR(OFFSET(ITEM_RES!$R$1,MATCH(BA71,ITEM_RES!$A:$A,0)-1,0),0)*BC71+IFERROR(OFFSET(ITEM_RES!$R$1,MATCH(BF71,ITEM_RES!$A:$A,0)-1,0),0)*BH71+IFERROR(OFFSET(ITEM_RES!$R$1,MATCH(BK71,ITEM_RES!$A:$A,0)-1,0),0)*BM71)/1000</f>
        <v>48000</v>
      </c>
      <c r="AG71" s="176">
        <f t="shared" ca="1" si="18"/>
        <v>69600</v>
      </c>
      <c r="AI71" s="11">
        <f t="shared" si="21"/>
        <v>15</v>
      </c>
      <c r="AJ71" s="10">
        <v>15</v>
      </c>
      <c r="AK71" s="11">
        <f t="shared" ref="AK71" si="26">ROUND(AL71,0)</f>
        <v>0</v>
      </c>
      <c r="AL71" s="10">
        <v>0</v>
      </c>
      <c r="AM71" s="11">
        <f t="shared" si="24"/>
        <v>0</v>
      </c>
      <c r="AN71" s="10">
        <v>0</v>
      </c>
      <c r="AO71" s="55">
        <f t="shared" si="25"/>
        <v>1</v>
      </c>
      <c r="AQ71" s="11">
        <f ca="1">IFERROR(OFFSET(ITEM_RES!$A$1,MATCH(AR71,ITEM_RES!$J:$J,0)-1,0),0)</f>
        <v>211020801</v>
      </c>
      <c r="AR71" s="10" t="s">
        <v>427</v>
      </c>
      <c r="AS71" s="11">
        <v>8000</v>
      </c>
      <c r="AV71" s="11">
        <f ca="1">IFERROR(OFFSET(ITEM_RES!$A$1,MATCH(AW71,ITEM_RES!$J:$J,0)-1,0),0)</f>
        <v>0</v>
      </c>
      <c r="BA71" s="11">
        <f ca="1">IFERROR(OFFSET(ITEM_RES!$A$1,MATCH(BB71,ITEM_RES!$J:$J,0)-1,0),0)</f>
        <v>0</v>
      </c>
      <c r="BF71" s="11">
        <f ca="1">IFERROR(OFFSET(ITEM_RES!$A$1,MATCH(BG71,ITEM_RES!$J:$J,0)-1,0),0)</f>
        <v>0</v>
      </c>
      <c r="BK71" s="11">
        <f ca="1">IFERROR(OFFSET(ITEM_RES!$A$1,MATCH(BL71,ITEM_RES!$J:$J,0)-1,0),0)</f>
        <v>0</v>
      </c>
      <c r="BM71" s="11">
        <f t="shared" si="5"/>
        <v>0</v>
      </c>
    </row>
    <row r="72" spans="1:66" x14ac:dyDescent="0.3">
      <c r="A72" s="14">
        <f t="shared" si="13"/>
        <v>111040008</v>
      </c>
      <c r="B72" s="13">
        <v>11</v>
      </c>
      <c r="C72" s="12">
        <f t="shared" si="14"/>
        <v>1</v>
      </c>
      <c r="D72" s="13">
        <v>4</v>
      </c>
      <c r="E72" s="13">
        <v>0</v>
      </c>
      <c r="F72" s="12">
        <f t="shared" si="15"/>
        <v>8</v>
      </c>
      <c r="H72" s="9">
        <v>1</v>
      </c>
      <c r="I72" s="9">
        <v>8</v>
      </c>
      <c r="K72" s="9" t="s">
        <v>429</v>
      </c>
      <c r="M72" s="9">
        <v>1</v>
      </c>
      <c r="N72" s="9">
        <v>15</v>
      </c>
      <c r="O72" s="9" t="s">
        <v>1082</v>
      </c>
      <c r="P72" s="55" t="s">
        <v>1343</v>
      </c>
      <c r="Q72" s="9" t="s">
        <v>668</v>
      </c>
      <c r="T72" s="9">
        <f ca="1">IFERROR(OFFSET(ITEM_RES!$A$5,MATCH(BUILDING!S72,ITEM_RES!$J$5:$J$229,0)-1,0),0)</f>
        <v>0</v>
      </c>
      <c r="V72" s="81" t="s">
        <v>525</v>
      </c>
      <c r="W72" s="11">
        <f ca="1">IFERROR(OFFSET(ITEM_RES!$A$5,MATCH(BUILDING!V72,ITEM_RES!$J$5:$J$229,0)-1,0),0)</f>
        <v>211020101</v>
      </c>
      <c r="Y72" s="9" t="s">
        <v>497</v>
      </c>
      <c r="Z72" s="9">
        <v>9</v>
      </c>
      <c r="AB72" s="11">
        <f ca="1">IFERROR(OFFSET(MANOR_LEVEL!$B$1,MATCH(AC72-1,MANOR_LEVEL!$A:$A,0)-1,0),0)</f>
        <v>40000</v>
      </c>
      <c r="AC72" s="55">
        <v>7</v>
      </c>
      <c r="AE72" s="11">
        <f t="shared" ca="1" si="10"/>
        <v>100800</v>
      </c>
      <c r="AF72" s="10">
        <f ca="1">AK72+AM72+(IFERROR(OFFSET(ITEM_RES!$R$1,MATCH(AQ72,ITEM_RES!$A:$A,0)-1,0),0)*AS72+IFERROR(OFFSET(ITEM_RES!$R$1,MATCH(AV72,ITEM_RES!$A:$A,0)-1,0),0)*AX72+IFERROR(OFFSET(ITEM_RES!$R$1,MATCH(BA72,ITEM_RES!$A:$A,0)-1,0),0)*BC72+IFERROR(OFFSET(ITEM_RES!$R$1,MATCH(BF72,ITEM_RES!$A:$A,0)-1,0),0)*BH72+IFERROR(OFFSET(ITEM_RES!$R$1,MATCH(BK72,ITEM_RES!$A:$A,0)-1,0),0)*BM72)/1000</f>
        <v>100800</v>
      </c>
      <c r="AG72" s="176">
        <f t="shared" ca="1" si="18"/>
        <v>148800</v>
      </c>
      <c r="AI72" s="11">
        <f t="shared" si="21"/>
        <v>30</v>
      </c>
      <c r="AJ72" s="10">
        <v>30</v>
      </c>
      <c r="AK72" s="11">
        <f t="shared" ref="AK72" si="27">ROUND(AL72,0)</f>
        <v>0</v>
      </c>
      <c r="AL72" s="10">
        <v>0</v>
      </c>
      <c r="AM72" s="11">
        <f t="shared" si="24"/>
        <v>0</v>
      </c>
      <c r="AN72" s="10">
        <v>0</v>
      </c>
      <c r="AO72" s="55">
        <f t="shared" si="25"/>
        <v>1</v>
      </c>
      <c r="AQ72" s="11">
        <f ca="1">IFERROR(OFFSET(ITEM_RES!$A$1,MATCH(AR72,ITEM_RES!$J:$J,0)-1,0),0)</f>
        <v>211020801</v>
      </c>
      <c r="AR72" s="10" t="s">
        <v>427</v>
      </c>
      <c r="AS72" s="11">
        <v>16800</v>
      </c>
      <c r="AV72" s="11">
        <f ca="1">IFERROR(OFFSET(ITEM_RES!$A$1,MATCH(AW72,ITEM_RES!$J:$J,0)-1,0),0)</f>
        <v>0</v>
      </c>
      <c r="BA72" s="11">
        <f ca="1">IFERROR(OFFSET(ITEM_RES!$A$1,MATCH(BB72,ITEM_RES!$J:$J,0)-1,0),0)</f>
        <v>0</v>
      </c>
      <c r="BF72" s="11">
        <f ca="1">IFERROR(OFFSET(ITEM_RES!$A$1,MATCH(BG72,ITEM_RES!$J:$J,0)-1,0),0)</f>
        <v>0</v>
      </c>
      <c r="BK72" s="11">
        <f ca="1">IFERROR(OFFSET(ITEM_RES!$A$1,MATCH(BL72,ITEM_RES!$J:$J,0)-1,0),0)</f>
        <v>0</v>
      </c>
      <c r="BM72" s="11">
        <f t="shared" si="5"/>
        <v>0</v>
      </c>
    </row>
    <row r="73" spans="1:66" x14ac:dyDescent="0.3">
      <c r="A73" s="14">
        <f t="shared" si="13"/>
        <v>111040009</v>
      </c>
      <c r="B73" s="13">
        <v>11</v>
      </c>
      <c r="C73" s="12">
        <f t="shared" si="14"/>
        <v>1</v>
      </c>
      <c r="D73" s="13">
        <v>4</v>
      </c>
      <c r="E73" s="13">
        <v>0</v>
      </c>
      <c r="F73" s="12">
        <f t="shared" si="15"/>
        <v>9</v>
      </c>
      <c r="H73" s="9">
        <v>1</v>
      </c>
      <c r="I73" s="9">
        <v>9</v>
      </c>
      <c r="K73" s="9" t="s">
        <v>429</v>
      </c>
      <c r="M73" s="9">
        <v>1</v>
      </c>
      <c r="N73" s="9">
        <v>15</v>
      </c>
      <c r="O73" s="9" t="s">
        <v>1082</v>
      </c>
      <c r="P73" s="55" t="s">
        <v>1343</v>
      </c>
      <c r="Q73" s="9" t="s">
        <v>668</v>
      </c>
      <c r="T73" s="9">
        <f ca="1">IFERROR(OFFSET(ITEM_RES!$A$5,MATCH(BUILDING!S73,ITEM_RES!$J$5:$J$229,0)-1,0),0)</f>
        <v>0</v>
      </c>
      <c r="V73" s="81" t="s">
        <v>525</v>
      </c>
      <c r="W73" s="11">
        <f ca="1">IFERROR(OFFSET(ITEM_RES!$A$5,MATCH(BUILDING!V73,ITEM_RES!$J$5:$J$229,0)-1,0),0)</f>
        <v>211020101</v>
      </c>
      <c r="Y73" s="9" t="s">
        <v>497</v>
      </c>
      <c r="Z73" s="9">
        <v>9</v>
      </c>
      <c r="AB73" s="11">
        <f ca="1">IFERROR(OFFSET(MANOR_LEVEL!$B$1,MATCH(AC73-1,MANOR_LEVEL!$A:$A,0)-1,0),0)</f>
        <v>40000</v>
      </c>
      <c r="AC73" s="55">
        <v>7</v>
      </c>
      <c r="AE73" s="11">
        <f t="shared" ca="1" si="10"/>
        <v>187200</v>
      </c>
      <c r="AF73" s="10">
        <f ca="1">AK73+AM73+(IFERROR(OFFSET(ITEM_RES!$R$1,MATCH(AQ73,ITEM_RES!$A:$A,0)-1,0),0)*AS73+IFERROR(OFFSET(ITEM_RES!$R$1,MATCH(AV73,ITEM_RES!$A:$A,0)-1,0),0)*AX73+IFERROR(OFFSET(ITEM_RES!$R$1,MATCH(BA73,ITEM_RES!$A:$A,0)-1,0),0)*BC73+IFERROR(OFFSET(ITEM_RES!$R$1,MATCH(BF73,ITEM_RES!$A:$A,0)-1,0),0)*BH73+IFERROR(OFFSET(ITEM_RES!$R$1,MATCH(BK73,ITEM_RES!$A:$A,0)-1,0),0)*BM73)/1000</f>
        <v>187200</v>
      </c>
      <c r="AG73" s="176">
        <f t="shared" ca="1" si="18"/>
        <v>288000</v>
      </c>
      <c r="AI73" s="11">
        <f t="shared" si="21"/>
        <v>60</v>
      </c>
      <c r="AJ73" s="10">
        <v>60</v>
      </c>
      <c r="AK73" s="11">
        <f t="shared" ref="AK73" si="28">ROUND(AL73,0)</f>
        <v>0</v>
      </c>
      <c r="AL73" s="10">
        <v>0</v>
      </c>
      <c r="AM73" s="11">
        <f t="shared" si="24"/>
        <v>0</v>
      </c>
      <c r="AN73" s="10">
        <v>0</v>
      </c>
      <c r="AO73" s="55">
        <f t="shared" si="25"/>
        <v>1</v>
      </c>
      <c r="AQ73" s="11">
        <f ca="1">IFERROR(OFFSET(ITEM_RES!$A$1,MATCH(AR73,ITEM_RES!$J:$J,0)-1,0),0)</f>
        <v>211020801</v>
      </c>
      <c r="AR73" s="10" t="s">
        <v>427</v>
      </c>
      <c r="AS73" s="11">
        <v>31200</v>
      </c>
      <c r="AV73" s="11">
        <f ca="1">IFERROR(OFFSET(ITEM_RES!$A$1,MATCH(AW73,ITEM_RES!$J:$J,0)-1,0),0)</f>
        <v>0</v>
      </c>
      <c r="BA73" s="11">
        <f ca="1">IFERROR(OFFSET(ITEM_RES!$A$1,MATCH(BB73,ITEM_RES!$J:$J,0)-1,0),0)</f>
        <v>0</v>
      </c>
      <c r="BF73" s="11">
        <f ca="1">IFERROR(OFFSET(ITEM_RES!$A$1,MATCH(BG73,ITEM_RES!$J:$J,0)-1,0),0)</f>
        <v>0</v>
      </c>
      <c r="BK73" s="11">
        <f ca="1">IFERROR(OFFSET(ITEM_RES!$A$1,MATCH(BL73,ITEM_RES!$J:$J,0)-1,0),0)</f>
        <v>0</v>
      </c>
      <c r="BM73" s="11">
        <f t="shared" si="5"/>
        <v>0</v>
      </c>
    </row>
    <row r="74" spans="1:66" x14ac:dyDescent="0.3">
      <c r="A74" s="14">
        <f t="shared" si="13"/>
        <v>111040010</v>
      </c>
      <c r="B74" s="13">
        <v>11</v>
      </c>
      <c r="C74" s="12">
        <f t="shared" si="14"/>
        <v>1</v>
      </c>
      <c r="D74" s="13">
        <v>4</v>
      </c>
      <c r="E74" s="13">
        <v>0</v>
      </c>
      <c r="F74" s="12">
        <f t="shared" si="15"/>
        <v>10</v>
      </c>
      <c r="H74" s="9">
        <v>1</v>
      </c>
      <c r="I74" s="9">
        <v>10</v>
      </c>
      <c r="K74" s="9" t="s">
        <v>429</v>
      </c>
      <c r="M74" s="9">
        <v>1</v>
      </c>
      <c r="N74" s="9">
        <v>15</v>
      </c>
      <c r="O74" s="9" t="s">
        <v>1082</v>
      </c>
      <c r="P74" s="55" t="s">
        <v>1343</v>
      </c>
      <c r="Q74" s="9" t="s">
        <v>668</v>
      </c>
      <c r="T74" s="9">
        <f ca="1">IFERROR(OFFSET(ITEM_RES!$A$5,MATCH(BUILDING!S74,ITEM_RES!$J$5:$J$229,0)-1,0),0)</f>
        <v>0</v>
      </c>
      <c r="V74" s="81" t="s">
        <v>525</v>
      </c>
      <c r="W74" s="11">
        <f ca="1">IFERROR(OFFSET(ITEM_RES!$A$5,MATCH(BUILDING!V74,ITEM_RES!$J$5:$J$229,0)-1,0),0)</f>
        <v>211020101</v>
      </c>
      <c r="Y74" s="9" t="s">
        <v>497</v>
      </c>
      <c r="Z74" s="9">
        <v>10</v>
      </c>
      <c r="AB74" s="11">
        <f ca="1">IFERROR(OFFSET(MANOR_LEVEL!$B$1,MATCH(AC74-1,MANOR_LEVEL!$A:$A,0)-1,0),0)</f>
        <v>40000</v>
      </c>
      <c r="AC74" s="55">
        <v>7</v>
      </c>
      <c r="AE74" s="11">
        <f t="shared" ca="1" si="10"/>
        <v>312000</v>
      </c>
      <c r="AF74" s="10">
        <f ca="1">AK74+AM74+(IFERROR(OFFSET(ITEM_RES!$R$1,MATCH(AQ74,ITEM_RES!$A:$A,0)-1,0),0)*AS74+IFERROR(OFFSET(ITEM_RES!$R$1,MATCH(AV74,ITEM_RES!$A:$A,0)-1,0),0)*AX74+IFERROR(OFFSET(ITEM_RES!$R$1,MATCH(BA74,ITEM_RES!$A:$A,0)-1,0),0)*BC74+IFERROR(OFFSET(ITEM_RES!$R$1,MATCH(BF74,ITEM_RES!$A:$A,0)-1,0),0)*BH74+IFERROR(OFFSET(ITEM_RES!$R$1,MATCH(BK74,ITEM_RES!$A:$A,0)-1,0),0)*BM74)/1000</f>
        <v>312000</v>
      </c>
      <c r="AG74" s="176">
        <f t="shared" ca="1" si="18"/>
        <v>499200</v>
      </c>
      <c r="AI74" s="11">
        <f t="shared" si="21"/>
        <v>180</v>
      </c>
      <c r="AJ74" s="10">
        <v>180</v>
      </c>
      <c r="AK74" s="11">
        <f t="shared" ref="AK74" si="29">ROUND(AL74,0)</f>
        <v>0</v>
      </c>
      <c r="AL74" s="10">
        <v>0</v>
      </c>
      <c r="AM74" s="11">
        <f t="shared" si="24"/>
        <v>0</v>
      </c>
      <c r="AN74" s="10">
        <v>0</v>
      </c>
      <c r="AO74" s="55">
        <f t="shared" si="25"/>
        <v>1</v>
      </c>
      <c r="AQ74" s="11">
        <f ca="1">IFERROR(OFFSET(ITEM_RES!$A$1,MATCH(AR74,ITEM_RES!$J:$J,0)-1,0),0)</f>
        <v>211020801</v>
      </c>
      <c r="AR74" s="10" t="s">
        <v>427</v>
      </c>
      <c r="AS74" s="11">
        <v>52000</v>
      </c>
      <c r="AV74" s="11">
        <f ca="1">IFERROR(OFFSET(ITEM_RES!$A$1,MATCH(AW74,ITEM_RES!$J:$J,0)-1,0),0)</f>
        <v>0</v>
      </c>
      <c r="BA74" s="11">
        <f ca="1">IFERROR(OFFSET(ITEM_RES!$A$1,MATCH(BB74,ITEM_RES!$J:$J,0)-1,0),0)</f>
        <v>0</v>
      </c>
      <c r="BF74" s="11">
        <f ca="1">IFERROR(OFFSET(ITEM_RES!$A$1,MATCH(BG74,ITEM_RES!$J:$J,0)-1,0),0)</f>
        <v>0</v>
      </c>
      <c r="BK74" s="11">
        <f ca="1">IFERROR(OFFSET(ITEM_RES!$A$1,MATCH(BL74,ITEM_RES!$J:$J,0)-1,0),0)</f>
        <v>0</v>
      </c>
      <c r="BM74" s="11">
        <f t="shared" si="5"/>
        <v>0</v>
      </c>
    </row>
    <row r="75" spans="1:66" x14ac:dyDescent="0.3">
      <c r="A75" s="14">
        <f t="shared" si="13"/>
        <v>111040011</v>
      </c>
      <c r="B75" s="13">
        <v>11</v>
      </c>
      <c r="C75" s="12">
        <f t="shared" si="14"/>
        <v>1</v>
      </c>
      <c r="D75" s="13">
        <v>4</v>
      </c>
      <c r="E75" s="13">
        <v>0</v>
      </c>
      <c r="F75" s="12">
        <f t="shared" si="15"/>
        <v>11</v>
      </c>
      <c r="H75" s="9">
        <v>1</v>
      </c>
      <c r="I75" s="9">
        <v>11</v>
      </c>
      <c r="K75" s="9" t="s">
        <v>429</v>
      </c>
      <c r="M75" s="9">
        <v>1</v>
      </c>
      <c r="N75" s="9">
        <v>15</v>
      </c>
      <c r="O75" s="9" t="s">
        <v>1082</v>
      </c>
      <c r="P75" s="55" t="s">
        <v>1343</v>
      </c>
      <c r="Q75" s="9" t="s">
        <v>668</v>
      </c>
      <c r="T75" s="9">
        <f ca="1">IFERROR(OFFSET(ITEM_RES!$A$5,MATCH(BUILDING!S75,ITEM_RES!$J$5:$J$229,0)-1,0),0)</f>
        <v>0</v>
      </c>
      <c r="V75" s="81" t="s">
        <v>525</v>
      </c>
      <c r="W75" s="11">
        <f ca="1">IFERROR(OFFSET(ITEM_RES!$A$5,MATCH(BUILDING!V75,ITEM_RES!$J$5:$J$229,0)-1,0),0)</f>
        <v>211020101</v>
      </c>
      <c r="Y75" s="9" t="s">
        <v>497</v>
      </c>
      <c r="Z75" s="9">
        <v>11</v>
      </c>
      <c r="AB75" s="11">
        <f ca="1">IFERROR(OFFSET(MANOR_LEVEL!$B$1,MATCH(AC75-1,MANOR_LEVEL!$A:$A,0)-1,0),0)</f>
        <v>100000</v>
      </c>
      <c r="AC75" s="55">
        <v>8</v>
      </c>
      <c r="AE75" s="11">
        <f t="shared" ca="1" si="10"/>
        <v>529000</v>
      </c>
      <c r="AF75" s="10">
        <f ca="1">AK75+AM75+(IFERROR(OFFSET(ITEM_RES!$R$1,MATCH(AQ75,ITEM_RES!$A:$A,0)-1,0),0)*AS75+IFERROR(OFFSET(ITEM_RES!$R$1,MATCH(AV75,ITEM_RES!$A:$A,0)-1,0),0)*AX75+IFERROR(OFFSET(ITEM_RES!$R$1,MATCH(BA75,ITEM_RES!$A:$A,0)-1,0),0)*BC75+IFERROR(OFFSET(ITEM_RES!$R$1,MATCH(BF75,ITEM_RES!$A:$A,0)-1,0),0)*BH75+IFERROR(OFFSET(ITEM_RES!$R$1,MATCH(BK75,ITEM_RES!$A:$A,0)-1,0),0)*BM75)/1000</f>
        <v>529000</v>
      </c>
      <c r="AG75" s="176">
        <f t="shared" ca="1" si="18"/>
        <v>841000</v>
      </c>
      <c r="AI75" s="11">
        <f t="shared" si="21"/>
        <v>360</v>
      </c>
      <c r="AJ75" s="10">
        <v>360</v>
      </c>
      <c r="AK75" s="11">
        <f t="shared" ref="AK75" si="30">ROUND(AL75,0)</f>
        <v>0</v>
      </c>
      <c r="AL75" s="10">
        <v>0</v>
      </c>
      <c r="AM75" s="11">
        <f t="shared" si="24"/>
        <v>0</v>
      </c>
      <c r="AN75" s="10">
        <v>0</v>
      </c>
      <c r="AO75" s="55">
        <f t="shared" si="25"/>
        <v>2</v>
      </c>
      <c r="AQ75" s="11">
        <f ca="1">IFERROR(OFFSET(ITEM_RES!$A$1,MATCH(AR75,ITEM_RES!$J:$J,0)-1,0),0)</f>
        <v>211020801</v>
      </c>
      <c r="AR75" s="10" t="s">
        <v>427</v>
      </c>
      <c r="AS75" s="11">
        <v>88000</v>
      </c>
      <c r="AV75" s="11">
        <f ca="1">IFERROR(OFFSET(ITEM_RES!$A$1,MATCH(AW75,ITEM_RES!$J:$J,0)-1,0),0)</f>
        <v>0</v>
      </c>
      <c r="BA75" s="11">
        <f ca="1">IFERROR(OFFSET(ITEM_RES!$A$1,MATCH(BB75,ITEM_RES!$J:$J,0)-1,0),0)</f>
        <v>0</v>
      </c>
      <c r="BF75" s="11">
        <f ca="1">IFERROR(OFFSET(ITEM_RES!$A$1,MATCH(BG75,ITEM_RES!$J:$J,0)-1,0),0)</f>
        <v>213010601</v>
      </c>
      <c r="BG75" s="10" t="s">
        <v>448</v>
      </c>
      <c r="BH75" s="11">
        <v>1</v>
      </c>
      <c r="BK75" s="11">
        <f ca="1">IFERROR(OFFSET(ITEM_RES!$A$1,MATCH(BL75,ITEM_RES!$J:$J,0)-1,0),0)</f>
        <v>0</v>
      </c>
      <c r="BM75" s="11">
        <f t="shared" si="5"/>
        <v>0</v>
      </c>
    </row>
    <row r="76" spans="1:66" x14ac:dyDescent="0.3">
      <c r="A76" s="14">
        <f t="shared" si="13"/>
        <v>111040012</v>
      </c>
      <c r="B76" s="13">
        <v>11</v>
      </c>
      <c r="C76" s="12">
        <f t="shared" si="14"/>
        <v>1</v>
      </c>
      <c r="D76" s="13">
        <v>4</v>
      </c>
      <c r="E76" s="13">
        <v>0</v>
      </c>
      <c r="F76" s="12">
        <f t="shared" si="15"/>
        <v>12</v>
      </c>
      <c r="H76" s="9">
        <v>1</v>
      </c>
      <c r="I76" s="9">
        <v>12</v>
      </c>
      <c r="K76" s="9" t="s">
        <v>429</v>
      </c>
      <c r="M76" s="9">
        <v>1</v>
      </c>
      <c r="N76" s="9">
        <v>15</v>
      </c>
      <c r="O76" s="9" t="s">
        <v>1082</v>
      </c>
      <c r="P76" s="55" t="s">
        <v>1343</v>
      </c>
      <c r="Q76" s="9" t="s">
        <v>668</v>
      </c>
      <c r="T76" s="9">
        <f ca="1">IFERROR(OFFSET(ITEM_RES!$A$5,MATCH(BUILDING!S76,ITEM_RES!$J$5:$J$229,0)-1,0),0)</f>
        <v>0</v>
      </c>
      <c r="V76" s="81" t="s">
        <v>525</v>
      </c>
      <c r="W76" s="11">
        <f ca="1">IFERROR(OFFSET(ITEM_RES!$A$5,MATCH(BUILDING!V76,ITEM_RES!$J$5:$J$229,0)-1,0),0)</f>
        <v>211020101</v>
      </c>
      <c r="Y76" s="9" t="s">
        <v>497</v>
      </c>
      <c r="Z76" s="9">
        <v>12</v>
      </c>
      <c r="AB76" s="11">
        <f ca="1">IFERROR(OFFSET(MANOR_LEVEL!$B$1,MATCH(AC76-1,MANOR_LEVEL!$A:$A,0)-1,0),0)</f>
        <v>300000</v>
      </c>
      <c r="AC76" s="55">
        <v>9</v>
      </c>
      <c r="AE76" s="11">
        <f t="shared" ca="1" si="10"/>
        <v>888000</v>
      </c>
      <c r="AF76" s="10">
        <f ca="1">AK76+AM76+(IFERROR(OFFSET(ITEM_RES!$R$1,MATCH(AQ76,ITEM_RES!$A:$A,0)-1,0),0)*AS76+IFERROR(OFFSET(ITEM_RES!$R$1,MATCH(AV76,ITEM_RES!$A:$A,0)-1,0),0)*AX76+IFERROR(OFFSET(ITEM_RES!$R$1,MATCH(BA76,ITEM_RES!$A:$A,0)-1,0),0)*BC76+IFERROR(OFFSET(ITEM_RES!$R$1,MATCH(BF76,ITEM_RES!$A:$A,0)-1,0),0)*BH76+IFERROR(OFFSET(ITEM_RES!$R$1,MATCH(BK76,ITEM_RES!$A:$A,0)-1,0),0)*BM76)/1000</f>
        <v>888000</v>
      </c>
      <c r="AG76" s="176">
        <f t="shared" ca="1" si="18"/>
        <v>1417000</v>
      </c>
      <c r="AI76" s="11">
        <f t="shared" si="21"/>
        <v>540</v>
      </c>
      <c r="AJ76" s="10">
        <v>540</v>
      </c>
      <c r="AK76" s="11">
        <f t="shared" ref="AK76" si="31">ROUND(AL76,0)</f>
        <v>0</v>
      </c>
      <c r="AL76" s="10">
        <v>0</v>
      </c>
      <c r="AM76" s="11">
        <f t="shared" si="24"/>
        <v>0</v>
      </c>
      <c r="AN76" s="10">
        <v>0</v>
      </c>
      <c r="AO76" s="55">
        <f t="shared" si="25"/>
        <v>1</v>
      </c>
      <c r="AQ76" s="11">
        <f ca="1">IFERROR(OFFSET(ITEM_RES!$A$1,MATCH(AR76,ITEM_RES!$J:$J,0)-1,0),0)</f>
        <v>211020801</v>
      </c>
      <c r="AR76" s="10" t="s">
        <v>427</v>
      </c>
      <c r="AS76" s="11">
        <v>148000</v>
      </c>
      <c r="AV76" s="11">
        <f ca="1">IFERROR(OFFSET(ITEM_RES!$A$1,MATCH(AW76,ITEM_RES!$J:$J,0)-1,0),0)</f>
        <v>0</v>
      </c>
      <c r="BA76" s="11">
        <f ca="1">IFERROR(OFFSET(ITEM_RES!$A$1,MATCH(BB76,ITEM_RES!$J:$J,0)-1,0),0)</f>
        <v>0</v>
      </c>
      <c r="BF76" s="11">
        <f ca="1">IFERROR(OFFSET(ITEM_RES!$A$1,MATCH(BG76,ITEM_RES!$J:$J,0)-1,0),0)</f>
        <v>0</v>
      </c>
      <c r="BK76" s="11">
        <f ca="1">IFERROR(OFFSET(ITEM_RES!$A$1,MATCH(BL76,ITEM_RES!$J:$J,0)-1,0),0)</f>
        <v>0</v>
      </c>
      <c r="BM76" s="11">
        <f t="shared" si="5"/>
        <v>0</v>
      </c>
    </row>
    <row r="77" spans="1:66" x14ac:dyDescent="0.3">
      <c r="A77" s="14">
        <f t="shared" si="13"/>
        <v>111040013</v>
      </c>
      <c r="B77" s="13">
        <v>11</v>
      </c>
      <c r="C77" s="12">
        <f t="shared" si="14"/>
        <v>1</v>
      </c>
      <c r="D77" s="13">
        <v>4</v>
      </c>
      <c r="E77" s="13">
        <v>0</v>
      </c>
      <c r="F77" s="12">
        <f t="shared" si="15"/>
        <v>13</v>
      </c>
      <c r="H77" s="9">
        <v>1</v>
      </c>
      <c r="I77" s="9">
        <v>13</v>
      </c>
      <c r="K77" s="9" t="s">
        <v>429</v>
      </c>
      <c r="M77" s="9">
        <v>1</v>
      </c>
      <c r="N77" s="9">
        <v>15</v>
      </c>
      <c r="O77" s="9" t="s">
        <v>1082</v>
      </c>
      <c r="P77" s="55" t="s">
        <v>1343</v>
      </c>
      <c r="Q77" s="9" t="s">
        <v>668</v>
      </c>
      <c r="T77" s="9">
        <f ca="1">IFERROR(OFFSET(ITEM_RES!$A$5,MATCH(BUILDING!S77,ITEM_RES!$J$5:$J$229,0)-1,0),0)</f>
        <v>0</v>
      </c>
      <c r="V77" s="81" t="s">
        <v>525</v>
      </c>
      <c r="W77" s="11">
        <f ca="1">IFERROR(OFFSET(ITEM_RES!$A$5,MATCH(BUILDING!V77,ITEM_RES!$J$5:$J$229,0)-1,0),0)</f>
        <v>211020101</v>
      </c>
      <c r="Y77" s="9" t="s">
        <v>497</v>
      </c>
      <c r="Z77" s="9">
        <v>13</v>
      </c>
      <c r="AB77" s="11">
        <f ca="1">IFERROR(OFFSET(MANOR_LEVEL!$B$1,MATCH(AC77-1,MANOR_LEVEL!$A:$A,0)-1,0),0)</f>
        <v>600000</v>
      </c>
      <c r="AC77" s="55">
        <v>10</v>
      </c>
      <c r="AE77" s="11">
        <f t="shared" ca="1" si="10"/>
        <v>1488000</v>
      </c>
      <c r="AF77" s="10">
        <f ca="1">AK77+AM77+(IFERROR(OFFSET(ITEM_RES!$R$1,MATCH(AQ77,ITEM_RES!$A:$A,0)-1,0),0)*AS77+IFERROR(OFFSET(ITEM_RES!$R$1,MATCH(AV77,ITEM_RES!$A:$A,0)-1,0),0)*AX77+IFERROR(OFFSET(ITEM_RES!$R$1,MATCH(BA77,ITEM_RES!$A:$A,0)-1,0),0)*BC77+IFERROR(OFFSET(ITEM_RES!$R$1,MATCH(BF77,ITEM_RES!$A:$A,0)-1,0),0)*BH77+IFERROR(OFFSET(ITEM_RES!$R$1,MATCH(BK77,ITEM_RES!$A:$A,0)-1,0),0)*BM77)/1000</f>
        <v>1488000</v>
      </c>
      <c r="AG77" s="176">
        <f t="shared" ca="1" si="18"/>
        <v>2376000</v>
      </c>
      <c r="AI77" s="11">
        <f t="shared" si="21"/>
        <v>720</v>
      </c>
      <c r="AJ77" s="10">
        <v>720</v>
      </c>
      <c r="AK77" s="11">
        <f t="shared" ref="AK77" si="32">ROUND(AL77,0)</f>
        <v>0</v>
      </c>
      <c r="AL77" s="10">
        <v>0</v>
      </c>
      <c r="AM77" s="11">
        <f t="shared" si="24"/>
        <v>0</v>
      </c>
      <c r="AN77" s="10">
        <v>0</v>
      </c>
      <c r="AO77" s="55">
        <f t="shared" si="25"/>
        <v>1</v>
      </c>
      <c r="AQ77" s="11">
        <f ca="1">IFERROR(OFFSET(ITEM_RES!$A$1,MATCH(AR77,ITEM_RES!$J:$J,0)-1,0),0)</f>
        <v>211020801</v>
      </c>
      <c r="AR77" s="10" t="s">
        <v>427</v>
      </c>
      <c r="AS77" s="11">
        <v>248000</v>
      </c>
      <c r="AV77" s="11">
        <f ca="1">IFERROR(OFFSET(ITEM_RES!$A$1,MATCH(AW77,ITEM_RES!$J:$J,0)-1,0),0)</f>
        <v>0</v>
      </c>
      <c r="BA77" s="11">
        <f ca="1">IFERROR(OFFSET(ITEM_RES!$A$1,MATCH(BB77,ITEM_RES!$J:$J,0)-1,0),0)</f>
        <v>0</v>
      </c>
      <c r="BF77" s="11">
        <f ca="1">IFERROR(OFFSET(ITEM_RES!$A$1,MATCH(BG77,ITEM_RES!$J:$J,0)-1,0),0)</f>
        <v>0</v>
      </c>
      <c r="BK77" s="11">
        <f ca="1">IFERROR(OFFSET(ITEM_RES!$A$1,MATCH(BL77,ITEM_RES!$J:$J,0)-1,0),0)</f>
        <v>0</v>
      </c>
      <c r="BM77" s="11">
        <f t="shared" si="5"/>
        <v>0</v>
      </c>
    </row>
    <row r="78" spans="1:66" x14ac:dyDescent="0.3">
      <c r="A78" s="14">
        <f t="shared" si="13"/>
        <v>111040014</v>
      </c>
      <c r="B78" s="13">
        <v>11</v>
      </c>
      <c r="C78" s="12">
        <f t="shared" si="14"/>
        <v>1</v>
      </c>
      <c r="D78" s="13">
        <v>4</v>
      </c>
      <c r="E78" s="13">
        <v>0</v>
      </c>
      <c r="F78" s="12">
        <f t="shared" si="15"/>
        <v>14</v>
      </c>
      <c r="H78" s="9">
        <v>1</v>
      </c>
      <c r="I78" s="9">
        <v>14</v>
      </c>
      <c r="K78" s="9" t="s">
        <v>429</v>
      </c>
      <c r="M78" s="9">
        <v>1</v>
      </c>
      <c r="N78" s="9">
        <v>15</v>
      </c>
      <c r="O78" s="9" t="s">
        <v>1082</v>
      </c>
      <c r="P78" s="55" t="s">
        <v>1343</v>
      </c>
      <c r="Q78" s="9" t="s">
        <v>668</v>
      </c>
      <c r="T78" s="9">
        <f ca="1">IFERROR(OFFSET(ITEM_RES!$A$5,MATCH(BUILDING!S78,ITEM_RES!$J$5:$J$229,0)-1,0),0)</f>
        <v>0</v>
      </c>
      <c r="V78" s="81" t="s">
        <v>525</v>
      </c>
      <c r="W78" s="11">
        <f ca="1">IFERROR(OFFSET(ITEM_RES!$A$5,MATCH(BUILDING!V78,ITEM_RES!$J$5:$J$229,0)-1,0),0)</f>
        <v>211020101</v>
      </c>
      <c r="Y78" s="9" t="s">
        <v>497</v>
      </c>
      <c r="Z78" s="9">
        <v>14</v>
      </c>
      <c r="AB78" s="11">
        <f ca="1">IFERROR(OFFSET(MANOR_LEVEL!$B$1,MATCH(AC78-1,MANOR_LEVEL!$A:$A,0)-1,0),0)</f>
        <v>1200000</v>
      </c>
      <c r="AC78" s="55">
        <v>11</v>
      </c>
      <c r="AE78" s="11">
        <f t="shared" ca="1" si="10"/>
        <v>3880000</v>
      </c>
      <c r="AF78" s="10">
        <f ca="1">AK78+AM78+(IFERROR(OFFSET(ITEM_RES!$R$1,MATCH(AQ78,ITEM_RES!$A:$A,0)-1,0),0)*AS78+IFERROR(OFFSET(ITEM_RES!$R$1,MATCH(AV78,ITEM_RES!$A:$A,0)-1,0),0)*AX78+IFERROR(OFFSET(ITEM_RES!$R$1,MATCH(BA78,ITEM_RES!$A:$A,0)-1,0),0)*BC78+IFERROR(OFFSET(ITEM_RES!$R$1,MATCH(BF78,ITEM_RES!$A:$A,0)-1,0),0)*BH78+IFERROR(OFFSET(ITEM_RES!$R$1,MATCH(BK78,ITEM_RES!$A:$A,0)-1,0),0)*BM78)/1000</f>
        <v>3880000</v>
      </c>
      <c r="AG78" s="176">
        <f t="shared" ca="1" si="18"/>
        <v>5368000</v>
      </c>
      <c r="AI78" s="11">
        <f t="shared" si="21"/>
        <v>900</v>
      </c>
      <c r="AJ78" s="10">
        <v>900</v>
      </c>
      <c r="AK78" s="11">
        <f t="shared" ref="AK78" si="33">ROUND(AL78,0)</f>
        <v>0</v>
      </c>
      <c r="AL78" s="10">
        <v>0</v>
      </c>
      <c r="AM78" s="11">
        <f t="shared" si="24"/>
        <v>0</v>
      </c>
      <c r="AN78" s="10">
        <v>0</v>
      </c>
      <c r="AO78" s="55">
        <f t="shared" si="25"/>
        <v>1</v>
      </c>
      <c r="AQ78" s="11">
        <f ca="1">IFERROR(OFFSET(ITEM_RES!$A$1,MATCH(AR78,ITEM_RES!$J:$J,0)-1,0),0)</f>
        <v>211020901</v>
      </c>
      <c r="AR78" s="10" t="s">
        <v>434</v>
      </c>
      <c r="AS78" s="11">
        <v>388000</v>
      </c>
      <c r="AV78" s="11">
        <f ca="1">IFERROR(OFFSET(ITEM_RES!$A$1,MATCH(AW78,ITEM_RES!$J:$J,0)-1,0),0)</f>
        <v>0</v>
      </c>
      <c r="BA78" s="11">
        <f ca="1">IFERROR(OFFSET(ITEM_RES!$A$1,MATCH(BB78,ITEM_RES!$J:$J,0)-1,0),0)</f>
        <v>0</v>
      </c>
      <c r="BF78" s="11">
        <f ca="1">IFERROR(OFFSET(ITEM_RES!$A$1,MATCH(BG78,ITEM_RES!$J:$J,0)-1,0),0)</f>
        <v>0</v>
      </c>
      <c r="BK78" s="11">
        <f ca="1">IFERROR(OFFSET(ITEM_RES!$A$1,MATCH(BL78,ITEM_RES!$J:$J,0)-1,0),0)</f>
        <v>0</v>
      </c>
      <c r="BM78" s="11">
        <f t="shared" si="5"/>
        <v>0</v>
      </c>
    </row>
    <row r="79" spans="1:66" x14ac:dyDescent="0.3">
      <c r="A79" s="14">
        <f t="shared" si="13"/>
        <v>111040015</v>
      </c>
      <c r="B79" s="13">
        <v>11</v>
      </c>
      <c r="C79" s="12">
        <f t="shared" si="14"/>
        <v>1</v>
      </c>
      <c r="D79" s="13">
        <v>4</v>
      </c>
      <c r="E79" s="13">
        <v>0</v>
      </c>
      <c r="F79" s="12">
        <f t="shared" si="15"/>
        <v>15</v>
      </c>
      <c r="H79" s="9">
        <v>1</v>
      </c>
      <c r="I79" s="9">
        <v>15</v>
      </c>
      <c r="K79" s="9" t="s">
        <v>429</v>
      </c>
      <c r="M79" s="9">
        <v>1</v>
      </c>
      <c r="N79" s="9">
        <v>15</v>
      </c>
      <c r="O79" s="9" t="s">
        <v>1082</v>
      </c>
      <c r="P79" s="55" t="s">
        <v>1343</v>
      </c>
      <c r="Q79" s="9" t="s">
        <v>668</v>
      </c>
      <c r="T79" s="9">
        <f ca="1">IFERROR(OFFSET(ITEM_RES!$A$5,MATCH(BUILDING!S79,ITEM_RES!$J$5:$J$229,0)-1,0),0)</f>
        <v>0</v>
      </c>
      <c r="V79" s="81" t="s">
        <v>525</v>
      </c>
      <c r="W79" s="11">
        <f ca="1">IFERROR(OFFSET(ITEM_RES!$A$5,MATCH(BUILDING!V79,ITEM_RES!$J$5:$J$229,0)-1,0),0)</f>
        <v>211020101</v>
      </c>
      <c r="Y79" s="9" t="s">
        <v>497</v>
      </c>
      <c r="Z79" s="9">
        <v>15</v>
      </c>
      <c r="AB79" s="11">
        <f ca="1">IFERROR(OFFSET(MANOR_LEVEL!$B$1,MATCH(AC79-1,MANOR_LEVEL!$A:$A,0)-1,0),0)</f>
        <v>3500000</v>
      </c>
      <c r="AC79" s="55">
        <v>12</v>
      </c>
      <c r="AE79" s="11">
        <f t="shared" ca="1" si="10"/>
        <v>8400000</v>
      </c>
      <c r="AF79" s="10">
        <f ca="1">AK79+AM79+(IFERROR(OFFSET(ITEM_RES!$R$1,MATCH(AQ79,ITEM_RES!$A:$A,0)-1,0),0)*AS79+IFERROR(OFFSET(ITEM_RES!$R$1,MATCH(AV79,ITEM_RES!$A:$A,0)-1,0),0)*AX79+IFERROR(OFFSET(ITEM_RES!$R$1,MATCH(BA79,ITEM_RES!$A:$A,0)-1,0),0)*BC79+IFERROR(OFFSET(ITEM_RES!$R$1,MATCH(BF79,ITEM_RES!$A:$A,0)-1,0),0)*BH79+IFERROR(OFFSET(ITEM_RES!$R$1,MATCH(BK79,ITEM_RES!$A:$A,0)-1,0),0)*BM79)/1000</f>
        <v>8400000</v>
      </c>
      <c r="AG79" s="176">
        <f t="shared" ca="1" si="18"/>
        <v>12280000</v>
      </c>
      <c r="AI79" s="11">
        <f t="shared" si="21"/>
        <v>1080</v>
      </c>
      <c r="AJ79" s="10">
        <v>1080</v>
      </c>
      <c r="AK79" s="11">
        <f t="shared" ref="AK79" si="34">ROUND(AL79,0)</f>
        <v>0</v>
      </c>
      <c r="AL79" s="10">
        <v>0</v>
      </c>
      <c r="AM79" s="11">
        <f t="shared" si="24"/>
        <v>0</v>
      </c>
      <c r="AN79" s="10">
        <v>0</v>
      </c>
      <c r="AO79" s="55">
        <f t="shared" si="25"/>
        <v>1</v>
      </c>
      <c r="AQ79" s="11">
        <f ca="1">IFERROR(OFFSET(ITEM_RES!$A$1,MATCH(AR79,ITEM_RES!$J:$J,0)-1,0),0)</f>
        <v>211020901</v>
      </c>
      <c r="AR79" s="10" t="s">
        <v>434</v>
      </c>
      <c r="AS79" s="11">
        <v>840000</v>
      </c>
      <c r="AV79" s="11">
        <f ca="1">IFERROR(OFFSET(ITEM_RES!$A$1,MATCH(AW79,ITEM_RES!$J:$J,0)-1,0),0)</f>
        <v>0</v>
      </c>
      <c r="BA79" s="11">
        <f ca="1">IFERROR(OFFSET(ITEM_RES!$A$1,MATCH(BB79,ITEM_RES!$J:$J,0)-1,0),0)</f>
        <v>0</v>
      </c>
      <c r="BF79" s="11">
        <f ca="1">IFERROR(OFFSET(ITEM_RES!$A$1,MATCH(BG79,ITEM_RES!$J:$J,0)-1,0),0)</f>
        <v>0</v>
      </c>
      <c r="BK79" s="11">
        <f ca="1">IFERROR(OFFSET(ITEM_RES!$A$1,MATCH(BL79,ITEM_RES!$J:$J,0)-1,0),0)</f>
        <v>0</v>
      </c>
      <c r="BM79" s="11">
        <f t="shared" si="5"/>
        <v>0</v>
      </c>
    </row>
    <row r="80" spans="1:66" x14ac:dyDescent="0.3">
      <c r="A80" s="14">
        <f t="shared" si="13"/>
        <v>111040016</v>
      </c>
      <c r="B80" s="13">
        <v>11</v>
      </c>
      <c r="C80" s="12">
        <f t="shared" si="14"/>
        <v>1</v>
      </c>
      <c r="D80" s="13">
        <v>4</v>
      </c>
      <c r="E80" s="13">
        <v>0</v>
      </c>
      <c r="F80" s="12">
        <f t="shared" si="15"/>
        <v>16</v>
      </c>
      <c r="H80" s="9">
        <v>1</v>
      </c>
      <c r="I80" s="9">
        <v>16</v>
      </c>
      <c r="K80" s="9" t="s">
        <v>429</v>
      </c>
      <c r="M80" s="9">
        <v>0</v>
      </c>
      <c r="N80" s="9">
        <v>15</v>
      </c>
      <c r="O80" s="9" t="s">
        <v>1082</v>
      </c>
      <c r="P80" s="55" t="s">
        <v>1343</v>
      </c>
      <c r="Q80" s="9" t="s">
        <v>668</v>
      </c>
      <c r="T80" s="9">
        <f ca="1">IFERROR(OFFSET(ITEM_RES!$A$5,MATCH(BUILDING!S80,ITEM_RES!$J$5:$J$229,0)-1,0),0)</f>
        <v>0</v>
      </c>
      <c r="V80" s="81" t="s">
        <v>525</v>
      </c>
      <c r="W80" s="11">
        <f ca="1">IFERROR(OFFSET(ITEM_RES!$A$5,MATCH(BUILDING!V80,ITEM_RES!$J$5:$J$229,0)-1,0),0)</f>
        <v>211020101</v>
      </c>
      <c r="Y80" s="9" t="s">
        <v>497</v>
      </c>
      <c r="Z80" s="9">
        <v>16</v>
      </c>
      <c r="AB80" s="11">
        <f ca="1">IFERROR(OFFSET(MANOR_LEVEL!$B$1,MATCH(AC80-1,MANOR_LEVEL!$A:$A,0)-1,0),0)</f>
        <v>6000000</v>
      </c>
      <c r="AC80" s="55">
        <v>13</v>
      </c>
      <c r="AE80" s="11">
        <f t="shared" ca="1" si="10"/>
        <v>17200000</v>
      </c>
      <c r="AF80" s="10">
        <f ca="1">AK80+AM80+(IFERROR(OFFSET(ITEM_RES!$R$1,MATCH(AQ80,ITEM_RES!$A:$A,0)-1,0),0)*AS80+IFERROR(OFFSET(ITEM_RES!$R$1,MATCH(AV80,ITEM_RES!$A:$A,0)-1,0),0)*AX80+IFERROR(OFFSET(ITEM_RES!$R$1,MATCH(BA80,ITEM_RES!$A:$A,0)-1,0),0)*BC80+IFERROR(OFFSET(ITEM_RES!$R$1,MATCH(BF80,ITEM_RES!$A:$A,0)-1,0),0)*BH80+IFERROR(OFFSET(ITEM_RES!$R$1,MATCH(BK80,ITEM_RES!$A:$A,0)-1,0),0)*BM80)/1000</f>
        <v>17200000</v>
      </c>
      <c r="AG80" s="176">
        <f t="shared" ca="1" si="18"/>
        <v>25600000</v>
      </c>
      <c r="AI80" s="11">
        <f t="shared" si="21"/>
        <v>1260</v>
      </c>
      <c r="AJ80" s="10">
        <v>1260</v>
      </c>
      <c r="AK80" s="11">
        <f t="shared" ref="AK80" si="35">ROUND(AL80,0)</f>
        <v>0</v>
      </c>
      <c r="AL80" s="10">
        <v>0</v>
      </c>
      <c r="AM80" s="11">
        <f t="shared" si="24"/>
        <v>0</v>
      </c>
      <c r="AN80" s="10">
        <v>0</v>
      </c>
      <c r="AO80" s="55">
        <f t="shared" si="25"/>
        <v>1</v>
      </c>
      <c r="AQ80" s="11">
        <f ca="1">IFERROR(OFFSET(ITEM_RES!$A$1,MATCH(AR80,ITEM_RES!$J:$J,0)-1,0),0)</f>
        <v>211020901</v>
      </c>
      <c r="AR80" s="10" t="s">
        <v>434</v>
      </c>
      <c r="AS80" s="11">
        <v>1720000</v>
      </c>
      <c r="AV80" s="11">
        <f ca="1">IFERROR(OFFSET(ITEM_RES!$A$1,MATCH(AW80,ITEM_RES!$J:$J,0)-1,0),0)</f>
        <v>0</v>
      </c>
      <c r="BA80" s="11">
        <f ca="1">IFERROR(OFFSET(ITEM_RES!$A$1,MATCH(BB80,ITEM_RES!$J:$J,0)-1,0),0)</f>
        <v>0</v>
      </c>
      <c r="BF80" s="11">
        <f ca="1">IFERROR(OFFSET(ITEM_RES!$A$1,MATCH(BG80,ITEM_RES!$J:$J,0)-1,0),0)</f>
        <v>0</v>
      </c>
      <c r="BK80" s="11">
        <f ca="1">IFERROR(OFFSET(ITEM_RES!$A$1,MATCH(BL80,ITEM_RES!$J:$J,0)-1,0),0)</f>
        <v>0</v>
      </c>
      <c r="BM80" s="11">
        <f t="shared" si="5"/>
        <v>0</v>
      </c>
    </row>
    <row r="81" spans="1:66" x14ac:dyDescent="0.3">
      <c r="A81" s="14">
        <f t="shared" si="13"/>
        <v>111040017</v>
      </c>
      <c r="B81" s="13">
        <v>11</v>
      </c>
      <c r="C81" s="12">
        <f t="shared" si="14"/>
        <v>1</v>
      </c>
      <c r="D81" s="13">
        <v>4</v>
      </c>
      <c r="E81" s="13">
        <v>0</v>
      </c>
      <c r="F81" s="12">
        <f t="shared" si="15"/>
        <v>17</v>
      </c>
      <c r="H81" s="9">
        <v>1</v>
      </c>
      <c r="I81" s="9">
        <v>17</v>
      </c>
      <c r="K81" s="9" t="s">
        <v>429</v>
      </c>
      <c r="M81" s="9">
        <v>0</v>
      </c>
      <c r="N81" s="9">
        <v>15</v>
      </c>
      <c r="O81" s="9" t="s">
        <v>1082</v>
      </c>
      <c r="P81" s="55" t="s">
        <v>1343</v>
      </c>
      <c r="Q81" s="9" t="s">
        <v>668</v>
      </c>
      <c r="T81" s="9">
        <f ca="1">IFERROR(OFFSET(ITEM_RES!$A$5,MATCH(BUILDING!S81,ITEM_RES!$J$5:$J$229,0)-1,0),0)</f>
        <v>0</v>
      </c>
      <c r="V81" s="81" t="s">
        <v>525</v>
      </c>
      <c r="W81" s="11">
        <f ca="1">IFERROR(OFFSET(ITEM_RES!$A$5,MATCH(BUILDING!V81,ITEM_RES!$J$5:$J$229,0)-1,0),0)</f>
        <v>211020101</v>
      </c>
      <c r="Y81" s="9" t="s">
        <v>497</v>
      </c>
      <c r="Z81" s="9">
        <v>17</v>
      </c>
      <c r="AB81" s="11">
        <f ca="1">IFERROR(OFFSET(MANOR_LEVEL!$B$1,MATCH(AC81-1,MANOR_LEVEL!$A:$A,0)-1,0),0)</f>
        <v>10000000</v>
      </c>
      <c r="AC81" s="55">
        <v>14</v>
      </c>
      <c r="AE81" s="11">
        <f t="shared" ca="1" si="10"/>
        <v>32000000</v>
      </c>
      <c r="AF81" s="10">
        <f ca="1">AK81+AM81+(IFERROR(OFFSET(ITEM_RES!$R$1,MATCH(AQ81,ITEM_RES!$A:$A,0)-1,0),0)*AS81+IFERROR(OFFSET(ITEM_RES!$R$1,MATCH(AV81,ITEM_RES!$A:$A,0)-1,0),0)*AX81+IFERROR(OFFSET(ITEM_RES!$R$1,MATCH(BA81,ITEM_RES!$A:$A,0)-1,0),0)*BC81+IFERROR(OFFSET(ITEM_RES!$R$1,MATCH(BF81,ITEM_RES!$A:$A,0)-1,0),0)*BH81+IFERROR(OFFSET(ITEM_RES!$R$1,MATCH(BK81,ITEM_RES!$A:$A,0)-1,0),0)*BM81)/1000</f>
        <v>32000000</v>
      </c>
      <c r="AG81" s="176">
        <f t="shared" ca="1" si="18"/>
        <v>49200000</v>
      </c>
      <c r="AI81" s="11">
        <f t="shared" si="21"/>
        <v>1440</v>
      </c>
      <c r="AJ81" s="10">
        <v>1440</v>
      </c>
      <c r="AK81" s="11">
        <f t="shared" ref="AK81" si="36">ROUND(AL81,0)</f>
        <v>0</v>
      </c>
      <c r="AL81" s="10">
        <v>0</v>
      </c>
      <c r="AM81" s="11">
        <f t="shared" si="24"/>
        <v>0</v>
      </c>
      <c r="AN81" s="10">
        <v>0</v>
      </c>
      <c r="AO81" s="55">
        <f t="shared" si="25"/>
        <v>1</v>
      </c>
      <c r="AQ81" s="11">
        <f ca="1">IFERROR(OFFSET(ITEM_RES!$A$1,MATCH(AR81,ITEM_RES!$J:$J,0)-1,0),0)</f>
        <v>211020901</v>
      </c>
      <c r="AR81" s="10" t="s">
        <v>434</v>
      </c>
      <c r="AS81" s="11">
        <v>3200000</v>
      </c>
      <c r="AV81" s="11">
        <f ca="1">IFERROR(OFFSET(ITEM_RES!$A$1,MATCH(AW81,ITEM_RES!$J:$J,0)-1,0),0)</f>
        <v>0</v>
      </c>
      <c r="BA81" s="11">
        <f ca="1">IFERROR(OFFSET(ITEM_RES!$A$1,MATCH(BB81,ITEM_RES!$J:$J,0)-1,0),0)</f>
        <v>0</v>
      </c>
      <c r="BF81" s="11">
        <f ca="1">IFERROR(OFFSET(ITEM_RES!$A$1,MATCH(BG81,ITEM_RES!$J:$J,0)-1,0),0)</f>
        <v>0</v>
      </c>
      <c r="BK81" s="11">
        <f ca="1">IFERROR(OFFSET(ITEM_RES!$A$1,MATCH(BL81,ITEM_RES!$J:$J,0)-1,0),0)</f>
        <v>0</v>
      </c>
      <c r="BM81" s="11">
        <f t="shared" si="5"/>
        <v>0</v>
      </c>
    </row>
    <row r="82" spans="1:66" x14ac:dyDescent="0.3">
      <c r="A82" s="14">
        <f t="shared" si="13"/>
        <v>111040018</v>
      </c>
      <c r="B82" s="13">
        <v>11</v>
      </c>
      <c r="C82" s="12">
        <f t="shared" si="14"/>
        <v>1</v>
      </c>
      <c r="D82" s="13">
        <v>4</v>
      </c>
      <c r="E82" s="13">
        <v>0</v>
      </c>
      <c r="F82" s="12">
        <f t="shared" si="15"/>
        <v>18</v>
      </c>
      <c r="H82" s="9">
        <v>1</v>
      </c>
      <c r="I82" s="9">
        <v>18</v>
      </c>
      <c r="K82" s="9" t="s">
        <v>429</v>
      </c>
      <c r="M82" s="9">
        <v>0</v>
      </c>
      <c r="N82" s="9">
        <v>15</v>
      </c>
      <c r="O82" s="9" t="s">
        <v>1082</v>
      </c>
      <c r="P82" s="55" t="s">
        <v>1343</v>
      </c>
      <c r="Q82" s="9" t="s">
        <v>668</v>
      </c>
      <c r="T82" s="9">
        <f ca="1">IFERROR(OFFSET(ITEM_RES!$A$5,MATCH(BUILDING!S82,ITEM_RES!$J$5:$J$229,0)-1,0),0)</f>
        <v>0</v>
      </c>
      <c r="V82" s="81" t="s">
        <v>525</v>
      </c>
      <c r="W82" s="11">
        <f ca="1">IFERROR(OFFSET(ITEM_RES!$A$5,MATCH(BUILDING!V82,ITEM_RES!$J$5:$J$229,0)-1,0),0)</f>
        <v>211020101</v>
      </c>
      <c r="Y82" s="9" t="s">
        <v>497</v>
      </c>
      <c r="Z82" s="9">
        <v>18</v>
      </c>
      <c r="AB82" s="11">
        <f ca="1">IFERROR(OFFSET(MANOR_LEVEL!$B$1,MATCH(AC82-1,MANOR_LEVEL!$A:$A,0)-1,0),0)</f>
        <v>17000000</v>
      </c>
      <c r="AC82" s="55">
        <v>15</v>
      </c>
      <c r="AE82" s="11">
        <f t="shared" ca="1" si="10"/>
        <v>52000000</v>
      </c>
      <c r="AF82" s="10">
        <f ca="1">AK82+AM82+(IFERROR(OFFSET(ITEM_RES!$R$1,MATCH(AQ82,ITEM_RES!$A:$A,0)-1,0),0)*AS82+IFERROR(OFFSET(ITEM_RES!$R$1,MATCH(AV82,ITEM_RES!$A:$A,0)-1,0),0)*AX82+IFERROR(OFFSET(ITEM_RES!$R$1,MATCH(BA82,ITEM_RES!$A:$A,0)-1,0),0)*BC82+IFERROR(OFFSET(ITEM_RES!$R$1,MATCH(BF82,ITEM_RES!$A:$A,0)-1,0),0)*BH82+IFERROR(OFFSET(ITEM_RES!$R$1,MATCH(BK82,ITEM_RES!$A:$A,0)-1,0),0)*BM82)/1000</f>
        <v>52000000</v>
      </c>
      <c r="AG82" s="176">
        <f t="shared" ca="1" si="18"/>
        <v>84000000</v>
      </c>
      <c r="AI82" s="11">
        <f t="shared" si="21"/>
        <v>1620</v>
      </c>
      <c r="AJ82" s="10">
        <v>1620</v>
      </c>
      <c r="AK82" s="11">
        <f t="shared" ref="AK82" si="37">ROUND(AL82,0)</f>
        <v>0</v>
      </c>
      <c r="AL82" s="10">
        <v>0</v>
      </c>
      <c r="AM82" s="11">
        <f t="shared" si="24"/>
        <v>0</v>
      </c>
      <c r="AN82" s="10">
        <v>0</v>
      </c>
      <c r="AO82" s="55">
        <f t="shared" si="25"/>
        <v>1</v>
      </c>
      <c r="AQ82" s="11">
        <f ca="1">IFERROR(OFFSET(ITEM_RES!$A$1,MATCH(AR82,ITEM_RES!$J:$J,0)-1,0),0)</f>
        <v>211020901</v>
      </c>
      <c r="AR82" s="10" t="s">
        <v>434</v>
      </c>
      <c r="AS82" s="11">
        <v>5200000</v>
      </c>
      <c r="AV82" s="11">
        <f ca="1">IFERROR(OFFSET(ITEM_RES!$A$1,MATCH(AW82,ITEM_RES!$J:$J,0)-1,0),0)</f>
        <v>0</v>
      </c>
      <c r="BA82" s="11">
        <f ca="1">IFERROR(OFFSET(ITEM_RES!$A$1,MATCH(BB82,ITEM_RES!$J:$J,0)-1,0),0)</f>
        <v>0</v>
      </c>
      <c r="BF82" s="11">
        <f ca="1">IFERROR(OFFSET(ITEM_RES!$A$1,MATCH(BG82,ITEM_RES!$J:$J,0)-1,0),0)</f>
        <v>0</v>
      </c>
      <c r="BK82" s="11">
        <f ca="1">IFERROR(OFFSET(ITEM_RES!$A$1,MATCH(BL82,ITEM_RES!$J:$J,0)-1,0),0)</f>
        <v>0</v>
      </c>
      <c r="BM82" s="11">
        <f t="shared" si="5"/>
        <v>0</v>
      </c>
    </row>
    <row r="83" spans="1:66" x14ac:dyDescent="0.3">
      <c r="A83" s="14">
        <f t="shared" si="13"/>
        <v>111040019</v>
      </c>
      <c r="B83" s="13">
        <v>11</v>
      </c>
      <c r="C83" s="12">
        <f t="shared" si="14"/>
        <v>1</v>
      </c>
      <c r="D83" s="13">
        <v>4</v>
      </c>
      <c r="E83" s="13">
        <v>0</v>
      </c>
      <c r="F83" s="12">
        <f t="shared" si="15"/>
        <v>19</v>
      </c>
      <c r="H83" s="9">
        <v>1</v>
      </c>
      <c r="I83" s="9">
        <v>19</v>
      </c>
      <c r="K83" s="9" t="s">
        <v>429</v>
      </c>
      <c r="M83" s="9">
        <v>0</v>
      </c>
      <c r="N83" s="9">
        <v>15</v>
      </c>
      <c r="O83" s="9" t="s">
        <v>1082</v>
      </c>
      <c r="P83" s="55" t="s">
        <v>1343</v>
      </c>
      <c r="Q83" s="9" t="s">
        <v>668</v>
      </c>
      <c r="T83" s="9">
        <f ca="1">IFERROR(OFFSET(ITEM_RES!$A$5,MATCH(BUILDING!S83,ITEM_RES!$J$5:$J$229,0)-1,0),0)</f>
        <v>0</v>
      </c>
      <c r="V83" s="81" t="s">
        <v>525</v>
      </c>
      <c r="W83" s="11">
        <f ca="1">IFERROR(OFFSET(ITEM_RES!$A$5,MATCH(BUILDING!V83,ITEM_RES!$J$5:$J$229,0)-1,0),0)</f>
        <v>211020101</v>
      </c>
      <c r="Y83" s="9" t="s">
        <v>497</v>
      </c>
      <c r="Z83" s="9">
        <v>19</v>
      </c>
      <c r="AB83" s="11">
        <f ca="1">IFERROR(OFFSET(MANOR_LEVEL!$B$1,MATCH(AC83-1,MANOR_LEVEL!$A:$A,0)-1,0),0)</f>
        <v>37000000</v>
      </c>
      <c r="AC83" s="55">
        <v>16</v>
      </c>
      <c r="AE83" s="11">
        <f t="shared" ca="1" si="10"/>
        <v>80000000</v>
      </c>
      <c r="AF83" s="10">
        <f ca="1">AK83+AM83+(IFERROR(OFFSET(ITEM_RES!$R$1,MATCH(AQ83,ITEM_RES!$A:$A,0)-1,0),0)*AS83+IFERROR(OFFSET(ITEM_RES!$R$1,MATCH(AV83,ITEM_RES!$A:$A,0)-1,0),0)*AX83+IFERROR(OFFSET(ITEM_RES!$R$1,MATCH(BA83,ITEM_RES!$A:$A,0)-1,0),0)*BC83+IFERROR(OFFSET(ITEM_RES!$R$1,MATCH(BF83,ITEM_RES!$A:$A,0)-1,0),0)*BH83+IFERROR(OFFSET(ITEM_RES!$R$1,MATCH(BK83,ITEM_RES!$A:$A,0)-1,0),0)*BM83)/1000</f>
        <v>80000000</v>
      </c>
      <c r="AG83" s="176">
        <f t="shared" ca="1" si="18"/>
        <v>132000000</v>
      </c>
      <c r="AI83" s="11">
        <f t="shared" si="21"/>
        <v>1800</v>
      </c>
      <c r="AJ83" s="10">
        <v>1800</v>
      </c>
      <c r="AK83" s="11">
        <f t="shared" ref="AK83" si="38">ROUND(AL83,0)</f>
        <v>0</v>
      </c>
      <c r="AL83" s="10">
        <v>0</v>
      </c>
      <c r="AM83" s="11">
        <f t="shared" si="24"/>
        <v>0</v>
      </c>
      <c r="AN83" s="10">
        <v>0</v>
      </c>
      <c r="AO83" s="55">
        <f t="shared" si="25"/>
        <v>1</v>
      </c>
      <c r="AQ83" s="11">
        <f ca="1">IFERROR(OFFSET(ITEM_RES!$A$1,MATCH(AR83,ITEM_RES!$J:$J,0)-1,0),0)</f>
        <v>211020901</v>
      </c>
      <c r="AR83" s="10" t="s">
        <v>434</v>
      </c>
      <c r="AS83" s="11">
        <v>8000000</v>
      </c>
      <c r="AV83" s="11">
        <f ca="1">IFERROR(OFFSET(ITEM_RES!$A$1,MATCH(AW83,ITEM_RES!$J:$J,0)-1,0),0)</f>
        <v>0</v>
      </c>
      <c r="BA83" s="11">
        <f ca="1">IFERROR(OFFSET(ITEM_RES!$A$1,MATCH(BB83,ITEM_RES!$J:$J,0)-1,0),0)</f>
        <v>0</v>
      </c>
      <c r="BF83" s="11">
        <f ca="1">IFERROR(OFFSET(ITEM_RES!$A$1,MATCH(BG83,ITEM_RES!$J:$J,0)-1,0),0)</f>
        <v>0</v>
      </c>
      <c r="BK83" s="11">
        <f ca="1">IFERROR(OFFSET(ITEM_RES!$A$1,MATCH(BL83,ITEM_RES!$J:$J,0)-1,0),0)</f>
        <v>0</v>
      </c>
      <c r="BM83" s="11">
        <f t="shared" si="5"/>
        <v>0</v>
      </c>
    </row>
    <row r="84" spans="1:66" ht="17.25" thickBot="1" x14ac:dyDescent="0.35">
      <c r="A84" s="14">
        <f t="shared" si="13"/>
        <v>111040020</v>
      </c>
      <c r="B84" s="13">
        <v>11</v>
      </c>
      <c r="C84" s="12">
        <f t="shared" si="14"/>
        <v>1</v>
      </c>
      <c r="D84" s="13">
        <v>4</v>
      </c>
      <c r="E84" s="13">
        <v>0</v>
      </c>
      <c r="F84" s="12">
        <f t="shared" si="15"/>
        <v>20</v>
      </c>
      <c r="H84" s="9">
        <v>1</v>
      </c>
      <c r="I84" s="9">
        <v>20</v>
      </c>
      <c r="K84" s="9" t="s">
        <v>429</v>
      </c>
      <c r="M84" s="9">
        <v>0</v>
      </c>
      <c r="N84" s="9">
        <v>15</v>
      </c>
      <c r="O84" s="9" t="s">
        <v>1082</v>
      </c>
      <c r="P84" s="55" t="s">
        <v>1343</v>
      </c>
      <c r="Q84" s="9" t="s">
        <v>668</v>
      </c>
      <c r="T84" s="9">
        <f ca="1">IFERROR(OFFSET(ITEM_RES!$A$5,MATCH(BUILDING!S84,ITEM_RES!$J$5:$J$229,0)-1,0),0)</f>
        <v>0</v>
      </c>
      <c r="V84" s="81" t="s">
        <v>525</v>
      </c>
      <c r="W84" s="11">
        <f ca="1">IFERROR(OFFSET(ITEM_RES!$A$5,MATCH(BUILDING!V84,ITEM_RES!$J$5:$J$229,0)-1,0),0)</f>
        <v>211020101</v>
      </c>
      <c r="Y84" s="9" t="s">
        <v>497</v>
      </c>
      <c r="Z84" s="9">
        <v>20</v>
      </c>
      <c r="AB84" s="11">
        <f ca="1">IFERROR(OFFSET(MANOR_LEVEL!$B$1,MATCH(AC84-1,MANOR_LEVEL!$A:$A,0)-1,0),0)</f>
        <v>85000000</v>
      </c>
      <c r="AC84" s="55">
        <v>17</v>
      </c>
      <c r="AE84" s="11">
        <f t="shared" ca="1" si="10"/>
        <v>128000000</v>
      </c>
      <c r="AF84" s="10">
        <f ca="1">AK84+AM84+(IFERROR(OFFSET(ITEM_RES!$R$1,MATCH(AQ84,ITEM_RES!$A:$A,0)-1,0),0)*AS84+IFERROR(OFFSET(ITEM_RES!$R$1,MATCH(AV84,ITEM_RES!$A:$A,0)-1,0),0)*AX84+IFERROR(OFFSET(ITEM_RES!$R$1,MATCH(BA84,ITEM_RES!$A:$A,0)-1,0),0)*BC84+IFERROR(OFFSET(ITEM_RES!$R$1,MATCH(BF84,ITEM_RES!$A:$A,0)-1,0),0)*BH84+IFERROR(OFFSET(ITEM_RES!$R$1,MATCH(BK84,ITEM_RES!$A:$A,0)-1,0),0)*BM84)/1000</f>
        <v>128000000</v>
      </c>
      <c r="AG84" s="176">
        <f t="shared" ca="1" si="18"/>
        <v>208000000</v>
      </c>
      <c r="AI84" s="11">
        <f t="shared" si="21"/>
        <v>1980</v>
      </c>
      <c r="AJ84" s="10">
        <v>1980</v>
      </c>
      <c r="AK84" s="11">
        <f t="shared" ref="AK84" si="39">ROUND(AL84,0)</f>
        <v>0</v>
      </c>
      <c r="AL84" s="10">
        <v>0</v>
      </c>
      <c r="AM84" s="11">
        <f t="shared" si="24"/>
        <v>0</v>
      </c>
      <c r="AN84" s="10">
        <v>0</v>
      </c>
      <c r="AO84" s="55">
        <f t="shared" si="25"/>
        <v>1</v>
      </c>
      <c r="AQ84" s="11">
        <f ca="1">IFERROR(OFFSET(ITEM_RES!$A$1,MATCH(AR84,ITEM_RES!$J:$J,0)-1,0),0)</f>
        <v>211020901</v>
      </c>
      <c r="AR84" s="10" t="s">
        <v>434</v>
      </c>
      <c r="AS84" s="11">
        <v>12800000</v>
      </c>
      <c r="AV84" s="11">
        <f ca="1">IFERROR(OFFSET(ITEM_RES!$A$1,MATCH(AW84,ITEM_RES!$J:$J,0)-1,0),0)</f>
        <v>0</v>
      </c>
      <c r="BA84" s="11">
        <f ca="1">IFERROR(OFFSET(ITEM_RES!$A$1,MATCH(BB84,ITEM_RES!$J:$J,0)-1,0),0)</f>
        <v>0</v>
      </c>
      <c r="BF84" s="11">
        <f ca="1">IFERROR(OFFSET(ITEM_RES!$A$1,MATCH(BG84,ITEM_RES!$J:$J,0)-1,0),0)</f>
        <v>0</v>
      </c>
      <c r="BK84" s="11">
        <f ca="1">IFERROR(OFFSET(ITEM_RES!$A$1,MATCH(BL84,ITEM_RES!$J:$J,0)-1,0),0)</f>
        <v>0</v>
      </c>
      <c r="BM84" s="11">
        <f t="shared" si="5"/>
        <v>0</v>
      </c>
    </row>
    <row r="85" spans="1:66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76"/>
      <c r="H85" s="16">
        <v>2</v>
      </c>
      <c r="I85" s="16">
        <v>1</v>
      </c>
      <c r="J85" s="76"/>
      <c r="K85" s="65" t="s">
        <v>366</v>
      </c>
      <c r="L85" s="65">
        <v>6</v>
      </c>
      <c r="M85" s="16">
        <v>1</v>
      </c>
      <c r="N85" s="16">
        <v>15</v>
      </c>
      <c r="O85" s="16" t="s">
        <v>742</v>
      </c>
      <c r="P85" s="56" t="s">
        <v>1344</v>
      </c>
      <c r="Q85" s="16" t="s">
        <v>688</v>
      </c>
      <c r="R85" s="76"/>
      <c r="S85" s="83" t="s">
        <v>527</v>
      </c>
      <c r="T85" s="16">
        <f ca="1">IFERROR(OFFSET(ITEM_RES!$A$5,MATCH(BUILDING!S85,ITEM_RES!$J$5:$J$229,0)-1,0),0)</f>
        <v>211021101</v>
      </c>
      <c r="U85" s="18">
        <v>10</v>
      </c>
      <c r="V85" s="83" t="s">
        <v>526</v>
      </c>
      <c r="W85" s="18">
        <f ca="1">IFERROR(OFFSET(ITEM_RES!$A$5,MATCH(BUILDING!V85,ITEM_RES!$J$5:$J$229,0)-1,0),0)</f>
        <v>211010401</v>
      </c>
      <c r="X85" s="76"/>
      <c r="Y85" s="16" t="s">
        <v>498</v>
      </c>
      <c r="Z85" s="16">
        <v>1</v>
      </c>
      <c r="AA85" s="76"/>
      <c r="AB85" s="18">
        <f ca="1">IFERROR(OFFSET(MANOR_LEVEL!$B$1,MATCH(AC85-1,MANOR_LEVEL!$A:$A,0)-1,0),0)</f>
        <v>1200000</v>
      </c>
      <c r="AC85" s="56">
        <v>11</v>
      </c>
      <c r="AD85" s="76"/>
      <c r="AE85" s="18">
        <f t="shared" ca="1" si="10"/>
        <v>1375</v>
      </c>
      <c r="AF85" s="17">
        <f ca="1">AK85+AM85+(IFERROR(OFFSET(ITEM_RES!$R$1,MATCH(AQ85,ITEM_RES!$A:$A,0)-1,0),0)*AS85+IFERROR(OFFSET(ITEM_RES!$R$1,MATCH(AV85,ITEM_RES!$A:$A,0)-1,0),0)*AX85+IFERROR(OFFSET(ITEM_RES!$R$1,MATCH(BA85,ITEM_RES!$A:$A,0)-1,0),0)*BC85+IFERROR(OFFSET(ITEM_RES!$R$1,MATCH(BF85,ITEM_RES!$A:$A,0)-1,0),0)*BH85+IFERROR(OFFSET(ITEM_RES!$R$1,MATCH(BK85,ITEM_RES!$A:$A,0)-1,0),0)*BM85)/1000</f>
        <v>1375</v>
      </c>
      <c r="AG85" s="178">
        <f ca="1">AE85</f>
        <v>1375</v>
      </c>
      <c r="AH85" s="76"/>
      <c r="AI85" s="18">
        <f t="shared" si="21"/>
        <v>2</v>
      </c>
      <c r="AJ85" s="17">
        <v>2</v>
      </c>
      <c r="AK85" s="18">
        <f t="shared" si="6"/>
        <v>0</v>
      </c>
      <c r="AL85" s="17">
        <v>0</v>
      </c>
      <c r="AM85" s="18">
        <f t="shared" si="24"/>
        <v>0</v>
      </c>
      <c r="AN85" s="17">
        <v>0</v>
      </c>
      <c r="AO85" s="56">
        <f t="shared" si="25"/>
        <v>3</v>
      </c>
      <c r="AP85" s="18"/>
      <c r="AQ85" s="18">
        <f ca="1">IFERROR(OFFSET(ITEM_RES!$A$1,MATCH(AR85,ITEM_RES!$J:$J,0)-1,0),0)</f>
        <v>211020201</v>
      </c>
      <c r="AR85" s="17" t="s">
        <v>422</v>
      </c>
      <c r="AS85" s="18">
        <v>50</v>
      </c>
      <c r="AT85" s="17"/>
      <c r="AU85" s="18"/>
      <c r="AV85" s="18">
        <f ca="1">IFERROR(OFFSET(ITEM_RES!$A$1,MATCH(AW85,ITEM_RES!$J:$J,0)-1,0),0)</f>
        <v>211020401</v>
      </c>
      <c r="AW85" s="17" t="s">
        <v>426</v>
      </c>
      <c r="AX85" s="18">
        <v>25</v>
      </c>
      <c r="AY85" s="17"/>
      <c r="AZ85" s="18"/>
      <c r="BA85" s="18">
        <f ca="1">IFERROR(OFFSET(ITEM_RES!$A$1,MATCH(BB85,ITEM_RES!$J:$J,0)-1,0),0)</f>
        <v>213010101</v>
      </c>
      <c r="BB85" s="17" t="s">
        <v>440</v>
      </c>
      <c r="BC85" s="18">
        <v>1</v>
      </c>
      <c r="BD85" s="17"/>
      <c r="BE85" s="18"/>
      <c r="BF85" s="18">
        <f ca="1">IFERROR(OFFSET(ITEM_RES!$A$1,MATCH(BG85,ITEM_RES!$J:$J,0)-1,0),0)</f>
        <v>0</v>
      </c>
      <c r="BG85" s="17"/>
      <c r="BH85" s="18"/>
      <c r="BI85" s="17"/>
      <c r="BJ85" s="18"/>
      <c r="BK85" s="18">
        <f ca="1">IFERROR(OFFSET(ITEM_RES!$A$1,MATCH(BL85,ITEM_RES!$J:$J,0)-1,0),0)</f>
        <v>0</v>
      </c>
      <c r="BL85" s="17"/>
      <c r="BM85" s="18">
        <f t="shared" si="5"/>
        <v>0</v>
      </c>
      <c r="BN85" s="17"/>
    </row>
    <row r="86" spans="1:66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366</v>
      </c>
      <c r="M86" s="9">
        <v>1</v>
      </c>
      <c r="N86" s="9">
        <v>15</v>
      </c>
      <c r="O86" s="9" t="s">
        <v>742</v>
      </c>
      <c r="P86" s="55" t="s">
        <v>1344</v>
      </c>
      <c r="Q86" s="9" t="s">
        <v>688</v>
      </c>
      <c r="S86" s="81" t="s">
        <v>527</v>
      </c>
      <c r="T86" s="9">
        <f ca="1">IFERROR(OFFSET(ITEM_RES!$A$5,MATCH(BUILDING!S86,ITEM_RES!$J$5:$J$229,0)-1,0),0)</f>
        <v>211021101</v>
      </c>
      <c r="U86" s="11">
        <v>10</v>
      </c>
      <c r="V86" s="81" t="s">
        <v>526</v>
      </c>
      <c r="W86" s="11">
        <f ca="1">IFERROR(OFFSET(ITEM_RES!$A$5,MATCH(BUILDING!V86,ITEM_RES!$J$5:$J$229,0)-1,0),0)</f>
        <v>211010401</v>
      </c>
      <c r="Y86" s="9" t="s">
        <v>498</v>
      </c>
      <c r="Z86" s="9">
        <v>2</v>
      </c>
      <c r="AB86" s="11">
        <f ca="1">IFERROR(OFFSET(MANOR_LEVEL!$B$1,MATCH(AC86-1,MANOR_LEVEL!$A:$A,0)-1,0),0)</f>
        <v>1200000</v>
      </c>
      <c r="AC86" s="55">
        <v>11</v>
      </c>
      <c r="AE86" s="11">
        <f t="shared" ca="1" si="10"/>
        <v>750</v>
      </c>
      <c r="AF86" s="10">
        <f ca="1">AK86+AM86+(IFERROR(OFFSET(ITEM_RES!$R$1,MATCH(AQ86,ITEM_RES!$A:$A,0)-1,0),0)*AS86+IFERROR(OFFSET(ITEM_RES!$R$1,MATCH(AV86,ITEM_RES!$A:$A,0)-1,0),0)*AX86+IFERROR(OFFSET(ITEM_RES!$R$1,MATCH(BA86,ITEM_RES!$A:$A,0)-1,0),0)*BC86+IFERROR(OFFSET(ITEM_RES!$R$1,MATCH(BF86,ITEM_RES!$A:$A,0)-1,0),0)*BH86+IFERROR(OFFSET(ITEM_RES!$R$1,MATCH(BK86,ITEM_RES!$A:$A,0)-1,0),0)*BM86)/1000</f>
        <v>750</v>
      </c>
      <c r="AG86" s="176">
        <f ca="1">AE85+AE86</f>
        <v>2125</v>
      </c>
      <c r="AI86" s="11">
        <f t="shared" si="21"/>
        <v>2</v>
      </c>
      <c r="AJ86" s="10">
        <v>2</v>
      </c>
      <c r="AK86" s="11">
        <f t="shared" si="6"/>
        <v>0</v>
      </c>
      <c r="AL86" s="10">
        <v>0</v>
      </c>
      <c r="AM86" s="11">
        <f t="shared" si="24"/>
        <v>0</v>
      </c>
      <c r="AN86" s="10">
        <v>0</v>
      </c>
      <c r="AO86" s="55">
        <f t="shared" si="25"/>
        <v>2</v>
      </c>
      <c r="AQ86" s="11">
        <f ca="1">IFERROR(OFFSET(ITEM_RES!$A$1,MATCH(AR86,ITEM_RES!$J:$J,0)-1,0),0)</f>
        <v>211020201</v>
      </c>
      <c r="AR86" s="10" t="s">
        <v>423</v>
      </c>
      <c r="AS86" s="11">
        <v>100</v>
      </c>
      <c r="AV86" s="11">
        <f ca="1">IFERROR(OFFSET(ITEM_RES!$A$1,MATCH(AW86,ITEM_RES!$J:$J,0)-1,0),0)</f>
        <v>211020401</v>
      </c>
      <c r="AW86" s="10" t="s">
        <v>426</v>
      </c>
      <c r="AX86" s="11">
        <v>50</v>
      </c>
      <c r="BA86" s="11">
        <f ca="1">IFERROR(OFFSET(ITEM_RES!$A$1,MATCH(BB86,ITEM_RES!$J:$J,0)-1,0),0)</f>
        <v>0</v>
      </c>
      <c r="BF86" s="11">
        <f ca="1">IFERROR(OFFSET(ITEM_RES!$A$1,MATCH(BG86,ITEM_RES!$J:$J,0)-1,0),0)</f>
        <v>0</v>
      </c>
      <c r="BK86" s="11">
        <f ca="1">IFERROR(OFFSET(ITEM_RES!$A$1,MATCH(BL86,ITEM_RES!$J:$J,0)-1,0),0)</f>
        <v>0</v>
      </c>
      <c r="BM86" s="11">
        <f t="shared" si="5"/>
        <v>0</v>
      </c>
    </row>
    <row r="87" spans="1:66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366</v>
      </c>
      <c r="M87" s="9">
        <v>1</v>
      </c>
      <c r="N87" s="9">
        <v>15</v>
      </c>
      <c r="O87" s="9" t="s">
        <v>742</v>
      </c>
      <c r="P87" s="55" t="s">
        <v>1344</v>
      </c>
      <c r="Q87" s="9" t="s">
        <v>688</v>
      </c>
      <c r="S87" s="81" t="s">
        <v>527</v>
      </c>
      <c r="T87" s="9">
        <f ca="1">IFERROR(OFFSET(ITEM_RES!$A$5,MATCH(BUILDING!S87,ITEM_RES!$J$5:$J$229,0)-1,0),0)</f>
        <v>211021101</v>
      </c>
      <c r="U87" s="11">
        <v>10</v>
      </c>
      <c r="V87" s="81" t="s">
        <v>526</v>
      </c>
      <c r="W87" s="11">
        <f ca="1">IFERROR(OFFSET(ITEM_RES!$A$5,MATCH(BUILDING!V87,ITEM_RES!$J$5:$J$229,0)-1,0),0)</f>
        <v>211010401</v>
      </c>
      <c r="Y87" s="9" t="s">
        <v>498</v>
      </c>
      <c r="Z87" s="9">
        <v>3</v>
      </c>
      <c r="AB87" s="11">
        <f ca="1">IFERROR(OFFSET(MANOR_LEVEL!$B$1,MATCH(AC87-1,MANOR_LEVEL!$A:$A,0)-1,0),0)</f>
        <v>1200000</v>
      </c>
      <c r="AC87" s="55">
        <v>11</v>
      </c>
      <c r="AE87" s="11">
        <f t="shared" ca="1" si="10"/>
        <v>1125</v>
      </c>
      <c r="AF87" s="10">
        <f ca="1">AK87+AM87+(IFERROR(OFFSET(ITEM_RES!$R$1,MATCH(AQ87,ITEM_RES!$A:$A,0)-1,0),0)*AS87+IFERROR(OFFSET(ITEM_RES!$R$1,MATCH(AV87,ITEM_RES!$A:$A,0)-1,0),0)*AX87+IFERROR(OFFSET(ITEM_RES!$R$1,MATCH(BA87,ITEM_RES!$A:$A,0)-1,0),0)*BC87+IFERROR(OFFSET(ITEM_RES!$R$1,MATCH(BF87,ITEM_RES!$A:$A,0)-1,0),0)*BH87+IFERROR(OFFSET(ITEM_RES!$R$1,MATCH(BK87,ITEM_RES!$A:$A,0)-1,0),0)*BM87)/1000</f>
        <v>1125</v>
      </c>
      <c r="AG87" s="176">
        <f t="shared" ref="AG87:AG104" ca="1" si="40">AE86+AE87</f>
        <v>1875</v>
      </c>
      <c r="AI87" s="11">
        <f t="shared" si="21"/>
        <v>3</v>
      </c>
      <c r="AJ87" s="10">
        <v>3</v>
      </c>
      <c r="AK87" s="11">
        <f t="shared" si="6"/>
        <v>0</v>
      </c>
      <c r="AL87" s="10">
        <v>0</v>
      </c>
      <c r="AM87" s="11">
        <f t="shared" si="24"/>
        <v>0</v>
      </c>
      <c r="AN87" s="10">
        <v>0</v>
      </c>
      <c r="AO87" s="55">
        <f t="shared" si="25"/>
        <v>2</v>
      </c>
      <c r="AQ87" s="11">
        <f ca="1">IFERROR(OFFSET(ITEM_RES!$A$1,MATCH(AR87,ITEM_RES!$J:$J,0)-1,0),0)</f>
        <v>211020201</v>
      </c>
      <c r="AR87" s="10" t="s">
        <v>422</v>
      </c>
      <c r="AS87" s="11">
        <v>150</v>
      </c>
      <c r="AV87" s="11">
        <f ca="1">IFERROR(OFFSET(ITEM_RES!$A$1,MATCH(AW87,ITEM_RES!$J:$J,0)-1,0),0)</f>
        <v>211020401</v>
      </c>
      <c r="AW87" s="10" t="s">
        <v>426</v>
      </c>
      <c r="AX87" s="11">
        <v>75</v>
      </c>
      <c r="BA87" s="11">
        <f ca="1">IFERROR(OFFSET(ITEM_RES!$A$1,MATCH(BB87,ITEM_RES!$J:$J,0)-1,0),0)</f>
        <v>0</v>
      </c>
      <c r="BF87" s="11">
        <f ca="1">IFERROR(OFFSET(ITEM_RES!$A$1,MATCH(BG87,ITEM_RES!$J:$J,0)-1,0),0)</f>
        <v>0</v>
      </c>
      <c r="BK87" s="11">
        <f ca="1">IFERROR(OFFSET(ITEM_RES!$A$1,MATCH(BL87,ITEM_RES!$J:$J,0)-1,0),0)</f>
        <v>0</v>
      </c>
      <c r="BM87" s="11">
        <f t="shared" si="5"/>
        <v>0</v>
      </c>
    </row>
    <row r="88" spans="1:66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366</v>
      </c>
      <c r="M88" s="9">
        <v>1</v>
      </c>
      <c r="N88" s="9">
        <v>15</v>
      </c>
      <c r="O88" s="9" t="s">
        <v>742</v>
      </c>
      <c r="P88" s="55" t="s">
        <v>1344</v>
      </c>
      <c r="Q88" s="9" t="s">
        <v>688</v>
      </c>
      <c r="S88" s="81" t="s">
        <v>527</v>
      </c>
      <c r="T88" s="9">
        <f ca="1">IFERROR(OFFSET(ITEM_RES!$A$5,MATCH(BUILDING!S88,ITEM_RES!$J$5:$J$229,0)-1,0),0)</f>
        <v>211021101</v>
      </c>
      <c r="U88" s="11">
        <v>10</v>
      </c>
      <c r="V88" s="81" t="s">
        <v>526</v>
      </c>
      <c r="W88" s="11">
        <f ca="1">IFERROR(OFFSET(ITEM_RES!$A$5,MATCH(BUILDING!V88,ITEM_RES!$J$5:$J$229,0)-1,0),0)</f>
        <v>211010401</v>
      </c>
      <c r="Y88" s="9" t="s">
        <v>498</v>
      </c>
      <c r="Z88" s="9">
        <v>4</v>
      </c>
      <c r="AB88" s="11">
        <f ca="1">IFERROR(OFFSET(MANOR_LEVEL!$B$1,MATCH(AC88-1,MANOR_LEVEL!$A:$A,0)-1,0),0)</f>
        <v>3500000</v>
      </c>
      <c r="AC88" s="55">
        <v>12</v>
      </c>
      <c r="AE88" s="11">
        <f t="shared" ca="1" si="10"/>
        <v>4500</v>
      </c>
      <c r="AF88" s="10">
        <f ca="1">AK88+AM88+(IFERROR(OFFSET(ITEM_RES!$R$1,MATCH(AQ88,ITEM_RES!$A:$A,0)-1,0),0)*AS88+IFERROR(OFFSET(ITEM_RES!$R$1,MATCH(AV88,ITEM_RES!$A:$A,0)-1,0),0)*AX88+IFERROR(OFFSET(ITEM_RES!$R$1,MATCH(BA88,ITEM_RES!$A:$A,0)-1,0),0)*BC88+IFERROR(OFFSET(ITEM_RES!$R$1,MATCH(BF88,ITEM_RES!$A:$A,0)-1,0),0)*BH88+IFERROR(OFFSET(ITEM_RES!$R$1,MATCH(BK88,ITEM_RES!$A:$A,0)-1,0),0)*BM88)/1000</f>
        <v>4500</v>
      </c>
      <c r="AG88" s="176">
        <f t="shared" ca="1" si="40"/>
        <v>5625</v>
      </c>
      <c r="AI88" s="11">
        <f t="shared" si="21"/>
        <v>5</v>
      </c>
      <c r="AJ88" s="10">
        <v>5</v>
      </c>
      <c r="AK88" s="11">
        <f t="shared" si="6"/>
        <v>0</v>
      </c>
      <c r="AL88" s="10">
        <v>0</v>
      </c>
      <c r="AM88" s="11">
        <f t="shared" si="24"/>
        <v>0</v>
      </c>
      <c r="AN88" s="10">
        <v>0</v>
      </c>
      <c r="AO88" s="55">
        <f t="shared" si="25"/>
        <v>2</v>
      </c>
      <c r="AQ88" s="11">
        <f ca="1">IFERROR(OFFSET(ITEM_RES!$A$1,MATCH(AR88,ITEM_RES!$J:$J,0)-1,0),0)</f>
        <v>211020201</v>
      </c>
      <c r="AR88" s="10" t="s">
        <v>423</v>
      </c>
      <c r="AS88" s="11">
        <v>600</v>
      </c>
      <c r="AV88" s="11">
        <f ca="1">IFERROR(OFFSET(ITEM_RES!$A$1,MATCH(AW88,ITEM_RES!$J:$J,0)-1,0),0)</f>
        <v>211020401</v>
      </c>
      <c r="AW88" s="10" t="s">
        <v>426</v>
      </c>
      <c r="AX88" s="11">
        <v>300</v>
      </c>
      <c r="BA88" s="11">
        <f ca="1">IFERROR(OFFSET(ITEM_RES!$A$1,MATCH(BB88,ITEM_RES!$J:$J,0)-1,0),0)</f>
        <v>0</v>
      </c>
      <c r="BF88" s="11">
        <f ca="1">IFERROR(OFFSET(ITEM_RES!$A$1,MATCH(BG88,ITEM_RES!$J:$J,0)-1,0),0)</f>
        <v>0</v>
      </c>
      <c r="BK88" s="11">
        <f ca="1">IFERROR(OFFSET(ITEM_RES!$A$1,MATCH(BL88,ITEM_RES!$J:$J,0)-1,0),0)</f>
        <v>0</v>
      </c>
      <c r="BM88" s="11">
        <f t="shared" si="5"/>
        <v>0</v>
      </c>
    </row>
    <row r="89" spans="1:66" x14ac:dyDescent="0.3">
      <c r="A89" s="14">
        <f t="shared" ref="A89:A152" si="41">B89*10000000+C89*1000000+D89*10000+E89*100+F89</f>
        <v>112010005</v>
      </c>
      <c r="B89" s="13">
        <v>11</v>
      </c>
      <c r="C89" s="12">
        <f t="shared" ref="C89:C152" si="42">H89</f>
        <v>2</v>
      </c>
      <c r="D89" s="13">
        <v>1</v>
      </c>
      <c r="E89" s="13">
        <v>0</v>
      </c>
      <c r="F89" s="12">
        <f t="shared" ref="F89:F152" si="43">I89</f>
        <v>5</v>
      </c>
      <c r="H89" s="9">
        <v>2</v>
      </c>
      <c r="I89" s="9">
        <v>5</v>
      </c>
      <c r="K89" s="9" t="s">
        <v>366</v>
      </c>
      <c r="M89" s="9">
        <v>1</v>
      </c>
      <c r="N89" s="9">
        <v>15</v>
      </c>
      <c r="O89" s="9" t="s">
        <v>742</v>
      </c>
      <c r="P89" s="55" t="s">
        <v>1344</v>
      </c>
      <c r="Q89" s="9" t="s">
        <v>688</v>
      </c>
      <c r="S89" s="81" t="s">
        <v>527</v>
      </c>
      <c r="T89" s="9">
        <f ca="1">IFERROR(OFFSET(ITEM_RES!$A$5,MATCH(BUILDING!S89,ITEM_RES!$J$5:$J$229,0)-1,0),0)</f>
        <v>211021101</v>
      </c>
      <c r="U89" s="11">
        <v>10</v>
      </c>
      <c r="V89" s="81" t="s">
        <v>526</v>
      </c>
      <c r="W89" s="11">
        <f ca="1">IFERROR(OFFSET(ITEM_RES!$A$5,MATCH(BUILDING!V89,ITEM_RES!$J$5:$J$229,0)-1,0),0)</f>
        <v>211010401</v>
      </c>
      <c r="Y89" s="9" t="s">
        <v>498</v>
      </c>
      <c r="Z89" s="9">
        <v>5</v>
      </c>
      <c r="AB89" s="11">
        <f ca="1">IFERROR(OFFSET(MANOR_LEVEL!$B$1,MATCH(AC89-1,MANOR_LEVEL!$A:$A,0)-1,0),0)</f>
        <v>3500000</v>
      </c>
      <c r="AC89" s="55">
        <v>12</v>
      </c>
      <c r="AE89" s="11">
        <f t="shared" ca="1" si="10"/>
        <v>20250</v>
      </c>
      <c r="AF89" s="10">
        <f ca="1">AK89+AM89+(IFERROR(OFFSET(ITEM_RES!$R$1,MATCH(AQ89,ITEM_RES!$A:$A,0)-1,0),0)*AS89+IFERROR(OFFSET(ITEM_RES!$R$1,MATCH(AV89,ITEM_RES!$A:$A,0)-1,0),0)*AX89+IFERROR(OFFSET(ITEM_RES!$R$1,MATCH(BA89,ITEM_RES!$A:$A,0)-1,0),0)*BC89+IFERROR(OFFSET(ITEM_RES!$R$1,MATCH(BF89,ITEM_RES!$A:$A,0)-1,0),0)*BH89+IFERROR(OFFSET(ITEM_RES!$R$1,MATCH(BK89,ITEM_RES!$A:$A,0)-1,0),0)*BM89)/1000</f>
        <v>20250</v>
      </c>
      <c r="AG89" s="176">
        <f t="shared" ca="1" si="40"/>
        <v>24750</v>
      </c>
      <c r="AI89" s="11">
        <f t="shared" si="21"/>
        <v>8</v>
      </c>
      <c r="AJ89" s="10">
        <v>8</v>
      </c>
      <c r="AK89" s="11">
        <f t="shared" si="6"/>
        <v>0</v>
      </c>
      <c r="AL89" s="10">
        <v>0</v>
      </c>
      <c r="AM89" s="11">
        <f t="shared" si="24"/>
        <v>0</v>
      </c>
      <c r="AN89" s="10">
        <v>0</v>
      </c>
      <c r="AO89" s="55">
        <f t="shared" si="25"/>
        <v>2</v>
      </c>
      <c r="AQ89" s="11">
        <f ca="1">IFERROR(OFFSET(ITEM_RES!$A$1,MATCH(AR89,ITEM_RES!$J:$J,0)-1,0),0)</f>
        <v>211020201</v>
      </c>
      <c r="AR89" s="10" t="s">
        <v>422</v>
      </c>
      <c r="AS89" s="11">
        <v>2700</v>
      </c>
      <c r="AV89" s="11">
        <f ca="1">IFERROR(OFFSET(ITEM_RES!$A$1,MATCH(AW89,ITEM_RES!$J:$J,0)-1,0),0)</f>
        <v>211020401</v>
      </c>
      <c r="AW89" s="10" t="s">
        <v>426</v>
      </c>
      <c r="AX89" s="11">
        <v>1350</v>
      </c>
      <c r="BA89" s="11">
        <f ca="1">IFERROR(OFFSET(ITEM_RES!$A$1,MATCH(BB89,ITEM_RES!$J:$J,0)-1,0),0)</f>
        <v>0</v>
      </c>
      <c r="BF89" s="11">
        <f ca="1">IFERROR(OFFSET(ITEM_RES!$A$1,MATCH(BG89,ITEM_RES!$J:$J,0)-1,0),0)</f>
        <v>0</v>
      </c>
      <c r="BK89" s="11">
        <f ca="1">IFERROR(OFFSET(ITEM_RES!$A$1,MATCH(BL89,ITEM_RES!$J:$J,0)-1,0),0)</f>
        <v>0</v>
      </c>
      <c r="BM89" s="11">
        <f t="shared" ref="BM89:BM152" si="44">IF(BN89&lt;100,ROUND(BN89,1-LEN(ROUND(BN89,0))),ROUND(BN89,2-LEN(ROUND(BN89,0))))</f>
        <v>0</v>
      </c>
    </row>
    <row r="90" spans="1:66" x14ac:dyDescent="0.3">
      <c r="A90" s="14">
        <f t="shared" si="41"/>
        <v>112010006</v>
      </c>
      <c r="B90" s="13">
        <v>11</v>
      </c>
      <c r="C90" s="12">
        <f t="shared" si="42"/>
        <v>2</v>
      </c>
      <c r="D90" s="13">
        <v>1</v>
      </c>
      <c r="E90" s="13">
        <v>0</v>
      </c>
      <c r="F90" s="12">
        <f t="shared" si="43"/>
        <v>6</v>
      </c>
      <c r="H90" s="9">
        <v>2</v>
      </c>
      <c r="I90" s="9">
        <v>6</v>
      </c>
      <c r="K90" s="9" t="s">
        <v>366</v>
      </c>
      <c r="M90" s="9">
        <v>1</v>
      </c>
      <c r="N90" s="9">
        <v>15</v>
      </c>
      <c r="O90" s="9" t="s">
        <v>742</v>
      </c>
      <c r="P90" s="55" t="s">
        <v>1344</v>
      </c>
      <c r="Q90" s="9" t="s">
        <v>688</v>
      </c>
      <c r="S90" s="81" t="s">
        <v>527</v>
      </c>
      <c r="T90" s="9">
        <f ca="1">IFERROR(OFFSET(ITEM_RES!$A$5,MATCH(BUILDING!S90,ITEM_RES!$J$5:$J$229,0)-1,0),0)</f>
        <v>211021101</v>
      </c>
      <c r="U90" s="11">
        <v>10</v>
      </c>
      <c r="V90" s="81" t="s">
        <v>526</v>
      </c>
      <c r="W90" s="11">
        <f ca="1">IFERROR(OFFSET(ITEM_RES!$A$5,MATCH(BUILDING!V90,ITEM_RES!$J$5:$J$229,0)-1,0),0)</f>
        <v>211010401</v>
      </c>
      <c r="Y90" s="9" t="s">
        <v>498</v>
      </c>
      <c r="Z90" s="9">
        <v>6</v>
      </c>
      <c r="AB90" s="11">
        <f ca="1">IFERROR(OFFSET(MANOR_LEVEL!$B$1,MATCH(AC90-1,MANOR_LEVEL!$A:$A,0)-1,0),0)</f>
        <v>3500000</v>
      </c>
      <c r="AC90" s="55">
        <v>12</v>
      </c>
      <c r="AE90" s="11">
        <f t="shared" ref="AE90:AE153" ca="1" si="45">ROUND(AF90,0)</f>
        <v>67500</v>
      </c>
      <c r="AF90" s="10">
        <f ca="1">AK90+AM90+(IFERROR(OFFSET(ITEM_RES!$R$1,MATCH(AQ90,ITEM_RES!$A:$A,0)-1,0),0)*AS90+IFERROR(OFFSET(ITEM_RES!$R$1,MATCH(AV90,ITEM_RES!$A:$A,0)-1,0),0)*AX90+IFERROR(OFFSET(ITEM_RES!$R$1,MATCH(BA90,ITEM_RES!$A:$A,0)-1,0),0)*BC90+IFERROR(OFFSET(ITEM_RES!$R$1,MATCH(BF90,ITEM_RES!$A:$A,0)-1,0),0)*BH90+IFERROR(OFFSET(ITEM_RES!$R$1,MATCH(BK90,ITEM_RES!$A:$A,0)-1,0),0)*BM90)/1000</f>
        <v>67500</v>
      </c>
      <c r="AG90" s="176">
        <f t="shared" ca="1" si="40"/>
        <v>87750</v>
      </c>
      <c r="AI90" s="11">
        <f t="shared" si="21"/>
        <v>10</v>
      </c>
      <c r="AJ90" s="10">
        <v>10</v>
      </c>
      <c r="AK90" s="11">
        <f t="shared" ref="AK90:AK153" si="46">ROUND(AL90,0)</f>
        <v>0</v>
      </c>
      <c r="AL90" s="10">
        <v>0</v>
      </c>
      <c r="AM90" s="11">
        <f t="shared" si="24"/>
        <v>0</v>
      </c>
      <c r="AN90" s="10">
        <v>0</v>
      </c>
      <c r="AO90" s="55">
        <f t="shared" si="25"/>
        <v>2</v>
      </c>
      <c r="AQ90" s="11">
        <f ca="1">IFERROR(OFFSET(ITEM_RES!$A$1,MATCH(AR90,ITEM_RES!$J:$J,0)-1,0),0)</f>
        <v>211020201</v>
      </c>
      <c r="AR90" s="10" t="s">
        <v>423</v>
      </c>
      <c r="AS90" s="11">
        <v>9000</v>
      </c>
      <c r="AV90" s="11">
        <f ca="1">IFERROR(OFFSET(ITEM_RES!$A$1,MATCH(AW90,ITEM_RES!$J:$J,0)-1,0),0)</f>
        <v>211020401</v>
      </c>
      <c r="AW90" s="10" t="s">
        <v>426</v>
      </c>
      <c r="AX90" s="11">
        <v>4500</v>
      </c>
      <c r="BA90" s="11">
        <f ca="1">IFERROR(OFFSET(ITEM_RES!$A$1,MATCH(BB90,ITEM_RES!$J:$J,0)-1,0),0)</f>
        <v>0</v>
      </c>
      <c r="BF90" s="11">
        <f ca="1">IFERROR(OFFSET(ITEM_RES!$A$1,MATCH(BG90,ITEM_RES!$J:$J,0)-1,0),0)</f>
        <v>0</v>
      </c>
      <c r="BK90" s="11">
        <f ca="1">IFERROR(OFFSET(ITEM_RES!$A$1,MATCH(BL90,ITEM_RES!$J:$J,0)-1,0),0)</f>
        <v>0</v>
      </c>
      <c r="BM90" s="11">
        <f t="shared" si="44"/>
        <v>0</v>
      </c>
    </row>
    <row r="91" spans="1:66" x14ac:dyDescent="0.3">
      <c r="A91" s="14">
        <f t="shared" si="41"/>
        <v>112010007</v>
      </c>
      <c r="B91" s="13">
        <v>11</v>
      </c>
      <c r="C91" s="12">
        <f t="shared" si="42"/>
        <v>2</v>
      </c>
      <c r="D91" s="13">
        <v>1</v>
      </c>
      <c r="E91" s="13">
        <v>0</v>
      </c>
      <c r="F91" s="12">
        <f t="shared" si="43"/>
        <v>7</v>
      </c>
      <c r="H91" s="9">
        <v>2</v>
      </c>
      <c r="I91" s="9">
        <v>7</v>
      </c>
      <c r="K91" s="9" t="s">
        <v>366</v>
      </c>
      <c r="M91" s="9">
        <v>1</v>
      </c>
      <c r="N91" s="9">
        <v>15</v>
      </c>
      <c r="O91" s="9" t="s">
        <v>742</v>
      </c>
      <c r="P91" s="55" t="s">
        <v>1344</v>
      </c>
      <c r="Q91" s="9" t="s">
        <v>688</v>
      </c>
      <c r="S91" s="81" t="s">
        <v>527</v>
      </c>
      <c r="T91" s="9">
        <f ca="1">IFERROR(OFFSET(ITEM_RES!$A$5,MATCH(BUILDING!S91,ITEM_RES!$J$5:$J$229,0)-1,0),0)</f>
        <v>211021101</v>
      </c>
      <c r="U91" s="11">
        <v>10</v>
      </c>
      <c r="V91" s="81" t="s">
        <v>526</v>
      </c>
      <c r="W91" s="11">
        <f ca="1">IFERROR(OFFSET(ITEM_RES!$A$5,MATCH(BUILDING!V91,ITEM_RES!$J$5:$J$229,0)-1,0),0)</f>
        <v>211010401</v>
      </c>
      <c r="Y91" s="9" t="s">
        <v>498</v>
      </c>
      <c r="Z91" s="9">
        <v>7</v>
      </c>
      <c r="AB91" s="11">
        <f ca="1">IFERROR(OFFSET(MANOR_LEVEL!$B$1,MATCH(AC91-1,MANOR_LEVEL!$A:$A,0)-1,0),0)</f>
        <v>3500000</v>
      </c>
      <c r="AC91" s="55">
        <v>12</v>
      </c>
      <c r="AE91" s="11">
        <f t="shared" ca="1" si="45"/>
        <v>230000</v>
      </c>
      <c r="AF91" s="10">
        <f ca="1">AK91+AM91+(IFERROR(OFFSET(ITEM_RES!$R$1,MATCH(AQ91,ITEM_RES!$A:$A,0)-1,0),0)*AS91+IFERROR(OFFSET(ITEM_RES!$R$1,MATCH(AV91,ITEM_RES!$A:$A,0)-1,0),0)*AX91+IFERROR(OFFSET(ITEM_RES!$R$1,MATCH(BA91,ITEM_RES!$A:$A,0)-1,0),0)*BC91+IFERROR(OFFSET(ITEM_RES!$R$1,MATCH(BF91,ITEM_RES!$A:$A,0)-1,0),0)*BH91+IFERROR(OFFSET(ITEM_RES!$R$1,MATCH(BK91,ITEM_RES!$A:$A,0)-1,0),0)*BM91)/1000</f>
        <v>230000</v>
      </c>
      <c r="AG91" s="176">
        <f t="shared" ca="1" si="40"/>
        <v>297500</v>
      </c>
      <c r="AI91" s="11">
        <f t="shared" si="21"/>
        <v>15</v>
      </c>
      <c r="AJ91" s="10">
        <v>15</v>
      </c>
      <c r="AK91" s="11">
        <f t="shared" si="46"/>
        <v>0</v>
      </c>
      <c r="AL91" s="10">
        <v>0</v>
      </c>
      <c r="AM91" s="11">
        <f t="shared" si="24"/>
        <v>0</v>
      </c>
      <c r="AN91" s="10">
        <v>0</v>
      </c>
      <c r="AO91" s="55">
        <f t="shared" si="25"/>
        <v>2</v>
      </c>
      <c r="AQ91" s="11">
        <f ca="1">IFERROR(OFFSET(ITEM_RES!$A$1,MATCH(AR91,ITEM_RES!$J:$J,0)-1,0),0)</f>
        <v>211020301</v>
      </c>
      <c r="AR91" s="10" t="s">
        <v>386</v>
      </c>
      <c r="AS91" s="11">
        <v>20000</v>
      </c>
      <c r="AV91" s="11">
        <f ca="1">IFERROR(OFFSET(ITEM_RES!$A$1,MATCH(AW91,ITEM_RES!$J:$J,0)-1,0),0)</f>
        <v>211020401</v>
      </c>
      <c r="AW91" s="10" t="s">
        <v>426</v>
      </c>
      <c r="AX91" s="11">
        <v>10000</v>
      </c>
      <c r="BA91" s="11">
        <f ca="1">IFERROR(OFFSET(ITEM_RES!$A$1,MATCH(BB91,ITEM_RES!$J:$J,0)-1,0),0)</f>
        <v>0</v>
      </c>
      <c r="BF91" s="11">
        <f ca="1">IFERROR(OFFSET(ITEM_RES!$A$1,MATCH(BG91,ITEM_RES!$J:$J,0)-1,0),0)</f>
        <v>0</v>
      </c>
      <c r="BK91" s="11">
        <f ca="1">IFERROR(OFFSET(ITEM_RES!$A$1,MATCH(BL91,ITEM_RES!$J:$J,0)-1,0),0)</f>
        <v>0</v>
      </c>
      <c r="BM91" s="11">
        <f t="shared" si="44"/>
        <v>0</v>
      </c>
    </row>
    <row r="92" spans="1:66" x14ac:dyDescent="0.3">
      <c r="A92" s="14">
        <f t="shared" si="41"/>
        <v>112010008</v>
      </c>
      <c r="B92" s="13">
        <v>11</v>
      </c>
      <c r="C92" s="12">
        <f t="shared" si="42"/>
        <v>2</v>
      </c>
      <c r="D92" s="13">
        <v>1</v>
      </c>
      <c r="E92" s="13">
        <v>0</v>
      </c>
      <c r="F92" s="12">
        <f t="shared" si="43"/>
        <v>8</v>
      </c>
      <c r="H92" s="9">
        <v>2</v>
      </c>
      <c r="I92" s="9">
        <v>8</v>
      </c>
      <c r="K92" s="9" t="s">
        <v>366</v>
      </c>
      <c r="M92" s="9">
        <v>1</v>
      </c>
      <c r="N92" s="9">
        <v>15</v>
      </c>
      <c r="O92" s="9" t="s">
        <v>742</v>
      </c>
      <c r="P92" s="55" t="s">
        <v>1344</v>
      </c>
      <c r="Q92" s="9" t="s">
        <v>688</v>
      </c>
      <c r="S92" s="81" t="s">
        <v>527</v>
      </c>
      <c r="T92" s="9">
        <f ca="1">IFERROR(OFFSET(ITEM_RES!$A$5,MATCH(BUILDING!S92,ITEM_RES!$J$5:$J$229,0)-1,0),0)</f>
        <v>211021101</v>
      </c>
      <c r="U92" s="11">
        <v>10</v>
      </c>
      <c r="V92" s="81" t="s">
        <v>526</v>
      </c>
      <c r="W92" s="11">
        <f ca="1">IFERROR(OFFSET(ITEM_RES!$A$5,MATCH(BUILDING!V92,ITEM_RES!$J$5:$J$229,0)-1,0),0)</f>
        <v>211010401</v>
      </c>
      <c r="Y92" s="9" t="s">
        <v>498</v>
      </c>
      <c r="Z92" s="9">
        <v>8</v>
      </c>
      <c r="AB92" s="11">
        <f ca="1">IFERROR(OFFSET(MANOR_LEVEL!$B$1,MATCH(AC92-1,MANOR_LEVEL!$A:$A,0)-1,0),0)</f>
        <v>3500000</v>
      </c>
      <c r="AC92" s="55">
        <v>12</v>
      </c>
      <c r="AE92" s="11">
        <f t="shared" ca="1" si="45"/>
        <v>483000</v>
      </c>
      <c r="AF92" s="10">
        <f ca="1">AK92+AM92+(IFERROR(OFFSET(ITEM_RES!$R$1,MATCH(AQ92,ITEM_RES!$A:$A,0)-1,0),0)*AS92+IFERROR(OFFSET(ITEM_RES!$R$1,MATCH(AV92,ITEM_RES!$A:$A,0)-1,0),0)*AX92+IFERROR(OFFSET(ITEM_RES!$R$1,MATCH(BA92,ITEM_RES!$A:$A,0)-1,0),0)*BC92+IFERROR(OFFSET(ITEM_RES!$R$1,MATCH(BF92,ITEM_RES!$A:$A,0)-1,0),0)*BH92+IFERROR(OFFSET(ITEM_RES!$R$1,MATCH(BK92,ITEM_RES!$A:$A,0)-1,0),0)*BM92)/1000</f>
        <v>483000</v>
      </c>
      <c r="AG92" s="176">
        <f t="shared" ca="1" si="40"/>
        <v>713000</v>
      </c>
      <c r="AI92" s="11">
        <f t="shared" si="21"/>
        <v>30</v>
      </c>
      <c r="AJ92" s="10">
        <v>30</v>
      </c>
      <c r="AK92" s="11">
        <f t="shared" si="46"/>
        <v>0</v>
      </c>
      <c r="AL92" s="10">
        <v>0</v>
      </c>
      <c r="AM92" s="11">
        <f t="shared" si="24"/>
        <v>0</v>
      </c>
      <c r="AN92" s="10">
        <v>0</v>
      </c>
      <c r="AO92" s="55">
        <f t="shared" si="25"/>
        <v>2</v>
      </c>
      <c r="AQ92" s="11">
        <f ca="1">IFERROR(OFFSET(ITEM_RES!$A$1,MATCH(AR92,ITEM_RES!$J:$J,0)-1,0),0)</f>
        <v>211020301</v>
      </c>
      <c r="AR92" s="10" t="s">
        <v>386</v>
      </c>
      <c r="AS92" s="11">
        <v>42000</v>
      </c>
      <c r="AV92" s="11">
        <f ca="1">IFERROR(OFFSET(ITEM_RES!$A$1,MATCH(AW92,ITEM_RES!$J:$J,0)-1,0),0)</f>
        <v>211020401</v>
      </c>
      <c r="AW92" s="10" t="s">
        <v>426</v>
      </c>
      <c r="AX92" s="11">
        <v>21000</v>
      </c>
      <c r="BA92" s="11">
        <f ca="1">IFERROR(OFFSET(ITEM_RES!$A$1,MATCH(BB92,ITEM_RES!$J:$J,0)-1,0),0)</f>
        <v>0</v>
      </c>
      <c r="BF92" s="11">
        <f ca="1">IFERROR(OFFSET(ITEM_RES!$A$1,MATCH(BG92,ITEM_RES!$J:$J,0)-1,0),0)</f>
        <v>0</v>
      </c>
      <c r="BK92" s="11">
        <f ca="1">IFERROR(OFFSET(ITEM_RES!$A$1,MATCH(BL92,ITEM_RES!$J:$J,0)-1,0),0)</f>
        <v>0</v>
      </c>
      <c r="BM92" s="11">
        <f t="shared" si="44"/>
        <v>0</v>
      </c>
    </row>
    <row r="93" spans="1:66" x14ac:dyDescent="0.3">
      <c r="A93" s="14">
        <f t="shared" si="41"/>
        <v>112010009</v>
      </c>
      <c r="B93" s="13">
        <v>11</v>
      </c>
      <c r="C93" s="12">
        <f t="shared" si="42"/>
        <v>2</v>
      </c>
      <c r="D93" s="13">
        <v>1</v>
      </c>
      <c r="E93" s="13">
        <v>0</v>
      </c>
      <c r="F93" s="12">
        <f t="shared" si="43"/>
        <v>9</v>
      </c>
      <c r="H93" s="9">
        <v>2</v>
      </c>
      <c r="I93" s="9">
        <v>9</v>
      </c>
      <c r="K93" s="9" t="s">
        <v>366</v>
      </c>
      <c r="M93" s="9">
        <v>1</v>
      </c>
      <c r="N93" s="9">
        <v>15</v>
      </c>
      <c r="O93" s="9" t="s">
        <v>742</v>
      </c>
      <c r="P93" s="55" t="s">
        <v>1344</v>
      </c>
      <c r="Q93" s="9" t="s">
        <v>688</v>
      </c>
      <c r="S93" s="81" t="s">
        <v>527</v>
      </c>
      <c r="T93" s="9">
        <f ca="1">IFERROR(OFFSET(ITEM_RES!$A$5,MATCH(BUILDING!S93,ITEM_RES!$J$5:$J$229,0)-1,0),0)</f>
        <v>211021101</v>
      </c>
      <c r="U93" s="11">
        <v>10</v>
      </c>
      <c r="V93" s="81" t="s">
        <v>526</v>
      </c>
      <c r="W93" s="11">
        <f ca="1">IFERROR(OFFSET(ITEM_RES!$A$5,MATCH(BUILDING!V93,ITEM_RES!$J$5:$J$229,0)-1,0),0)</f>
        <v>211010401</v>
      </c>
      <c r="Y93" s="9" t="s">
        <v>498</v>
      </c>
      <c r="Z93" s="9">
        <v>9</v>
      </c>
      <c r="AB93" s="11">
        <f ca="1">IFERROR(OFFSET(MANOR_LEVEL!$B$1,MATCH(AC93-1,MANOR_LEVEL!$A:$A,0)-1,0),0)</f>
        <v>3500000</v>
      </c>
      <c r="AC93" s="55">
        <v>12</v>
      </c>
      <c r="AE93" s="11">
        <f t="shared" ca="1" si="45"/>
        <v>897000</v>
      </c>
      <c r="AF93" s="10">
        <f ca="1">AK93+AM93+(IFERROR(OFFSET(ITEM_RES!$R$1,MATCH(AQ93,ITEM_RES!$A:$A,0)-1,0),0)*AS93+IFERROR(OFFSET(ITEM_RES!$R$1,MATCH(AV93,ITEM_RES!$A:$A,0)-1,0),0)*AX93+IFERROR(OFFSET(ITEM_RES!$R$1,MATCH(BA93,ITEM_RES!$A:$A,0)-1,0),0)*BC93+IFERROR(OFFSET(ITEM_RES!$R$1,MATCH(BF93,ITEM_RES!$A:$A,0)-1,0),0)*BH93+IFERROR(OFFSET(ITEM_RES!$R$1,MATCH(BK93,ITEM_RES!$A:$A,0)-1,0),0)*BM93)/1000</f>
        <v>897000</v>
      </c>
      <c r="AG93" s="176">
        <f t="shared" ca="1" si="40"/>
        <v>1380000</v>
      </c>
      <c r="AI93" s="11">
        <f t="shared" si="21"/>
        <v>60</v>
      </c>
      <c r="AJ93" s="10">
        <v>60</v>
      </c>
      <c r="AK93" s="11">
        <f t="shared" si="46"/>
        <v>0</v>
      </c>
      <c r="AL93" s="10">
        <v>0</v>
      </c>
      <c r="AM93" s="11">
        <f t="shared" si="24"/>
        <v>0</v>
      </c>
      <c r="AN93" s="10">
        <v>0</v>
      </c>
      <c r="AO93" s="55">
        <f t="shared" si="25"/>
        <v>2</v>
      </c>
      <c r="AQ93" s="11">
        <f ca="1">IFERROR(OFFSET(ITEM_RES!$A$1,MATCH(AR93,ITEM_RES!$J:$J,0)-1,0),0)</f>
        <v>211020301</v>
      </c>
      <c r="AR93" s="10" t="s">
        <v>386</v>
      </c>
      <c r="AS93" s="11">
        <v>78000</v>
      </c>
      <c r="AV93" s="11">
        <f ca="1">IFERROR(OFFSET(ITEM_RES!$A$1,MATCH(AW93,ITEM_RES!$J:$J,0)-1,0),0)</f>
        <v>211020401</v>
      </c>
      <c r="AW93" s="10" t="s">
        <v>426</v>
      </c>
      <c r="AX93" s="11">
        <v>39000</v>
      </c>
      <c r="BA93" s="11">
        <f ca="1">IFERROR(OFFSET(ITEM_RES!$A$1,MATCH(BB93,ITEM_RES!$J:$J,0)-1,0),0)</f>
        <v>0</v>
      </c>
      <c r="BF93" s="11">
        <f ca="1">IFERROR(OFFSET(ITEM_RES!$A$1,MATCH(BG93,ITEM_RES!$J:$J,0)-1,0),0)</f>
        <v>0</v>
      </c>
      <c r="BK93" s="11">
        <f ca="1">IFERROR(OFFSET(ITEM_RES!$A$1,MATCH(BL93,ITEM_RES!$J:$J,0)-1,0),0)</f>
        <v>0</v>
      </c>
      <c r="BM93" s="11">
        <f t="shared" si="44"/>
        <v>0</v>
      </c>
    </row>
    <row r="94" spans="1:66" x14ac:dyDescent="0.3">
      <c r="A94" s="14">
        <f t="shared" si="41"/>
        <v>112010010</v>
      </c>
      <c r="B94" s="13">
        <v>11</v>
      </c>
      <c r="C94" s="12">
        <f t="shared" si="42"/>
        <v>2</v>
      </c>
      <c r="D94" s="13">
        <v>1</v>
      </c>
      <c r="E94" s="13">
        <v>0</v>
      </c>
      <c r="F94" s="12">
        <f t="shared" si="43"/>
        <v>10</v>
      </c>
      <c r="H94" s="9">
        <v>2</v>
      </c>
      <c r="I94" s="9">
        <v>10</v>
      </c>
      <c r="K94" s="9" t="s">
        <v>366</v>
      </c>
      <c r="M94" s="9">
        <v>1</v>
      </c>
      <c r="N94" s="9">
        <v>15</v>
      </c>
      <c r="O94" s="9" t="s">
        <v>742</v>
      </c>
      <c r="P94" s="55" t="s">
        <v>1344</v>
      </c>
      <c r="Q94" s="9" t="s">
        <v>688</v>
      </c>
      <c r="S94" s="81" t="s">
        <v>527</v>
      </c>
      <c r="T94" s="9">
        <f ca="1">IFERROR(OFFSET(ITEM_RES!$A$5,MATCH(BUILDING!S94,ITEM_RES!$J$5:$J$229,0)-1,0),0)</f>
        <v>211021101</v>
      </c>
      <c r="U94" s="11">
        <v>10</v>
      </c>
      <c r="V94" s="81" t="s">
        <v>526</v>
      </c>
      <c r="W94" s="11">
        <f ca="1">IFERROR(OFFSET(ITEM_RES!$A$5,MATCH(BUILDING!V94,ITEM_RES!$J$5:$J$229,0)-1,0),0)</f>
        <v>211010401</v>
      </c>
      <c r="Y94" s="9" t="s">
        <v>498</v>
      </c>
      <c r="Z94" s="9">
        <v>10</v>
      </c>
      <c r="AB94" s="11">
        <f ca="1">IFERROR(OFFSET(MANOR_LEVEL!$B$1,MATCH(AC94-1,MANOR_LEVEL!$A:$A,0)-1,0),0)</f>
        <v>3500000</v>
      </c>
      <c r="AC94" s="55">
        <v>12</v>
      </c>
      <c r="AE94" s="11">
        <f t="shared" ca="1" si="45"/>
        <v>1495000</v>
      </c>
      <c r="AF94" s="10">
        <f ca="1">AK94+AM94+(IFERROR(OFFSET(ITEM_RES!$R$1,MATCH(AQ94,ITEM_RES!$A:$A,0)-1,0),0)*AS94+IFERROR(OFFSET(ITEM_RES!$R$1,MATCH(AV94,ITEM_RES!$A:$A,0)-1,0),0)*AX94+IFERROR(OFFSET(ITEM_RES!$R$1,MATCH(BA94,ITEM_RES!$A:$A,0)-1,0),0)*BC94+IFERROR(OFFSET(ITEM_RES!$R$1,MATCH(BF94,ITEM_RES!$A:$A,0)-1,0),0)*BH94+IFERROR(OFFSET(ITEM_RES!$R$1,MATCH(BK94,ITEM_RES!$A:$A,0)-1,0),0)*BM94)/1000</f>
        <v>1495000</v>
      </c>
      <c r="AG94" s="176">
        <f t="shared" ca="1" si="40"/>
        <v>2392000</v>
      </c>
      <c r="AI94" s="11">
        <f t="shared" si="21"/>
        <v>180</v>
      </c>
      <c r="AJ94" s="10">
        <v>180</v>
      </c>
      <c r="AK94" s="11">
        <f t="shared" si="46"/>
        <v>0</v>
      </c>
      <c r="AL94" s="10">
        <v>0</v>
      </c>
      <c r="AM94" s="11">
        <f t="shared" si="24"/>
        <v>0</v>
      </c>
      <c r="AN94" s="10">
        <v>0</v>
      </c>
      <c r="AO94" s="55">
        <f t="shared" si="25"/>
        <v>2</v>
      </c>
      <c r="AQ94" s="11">
        <f ca="1">IFERROR(OFFSET(ITEM_RES!$A$1,MATCH(AR94,ITEM_RES!$J:$J,0)-1,0),0)</f>
        <v>211020301</v>
      </c>
      <c r="AR94" s="10" t="s">
        <v>386</v>
      </c>
      <c r="AS94" s="11">
        <v>130000</v>
      </c>
      <c r="AV94" s="11">
        <f ca="1">IFERROR(OFFSET(ITEM_RES!$A$1,MATCH(AW94,ITEM_RES!$J:$J,0)-1,0),0)</f>
        <v>211020401</v>
      </c>
      <c r="AW94" s="10" t="s">
        <v>426</v>
      </c>
      <c r="AX94" s="11">
        <v>65000</v>
      </c>
      <c r="BA94" s="11">
        <f ca="1">IFERROR(OFFSET(ITEM_RES!$A$1,MATCH(BB94,ITEM_RES!$J:$J,0)-1,0),0)</f>
        <v>0</v>
      </c>
      <c r="BF94" s="11">
        <f ca="1">IFERROR(OFFSET(ITEM_RES!$A$1,MATCH(BG94,ITEM_RES!$J:$J,0)-1,0),0)</f>
        <v>0</v>
      </c>
      <c r="BK94" s="11">
        <f ca="1">IFERROR(OFFSET(ITEM_RES!$A$1,MATCH(BL94,ITEM_RES!$J:$J,0)-1,0),0)</f>
        <v>0</v>
      </c>
      <c r="BM94" s="11">
        <f t="shared" si="44"/>
        <v>0</v>
      </c>
    </row>
    <row r="95" spans="1:66" x14ac:dyDescent="0.3">
      <c r="A95" s="14">
        <f t="shared" si="41"/>
        <v>112010011</v>
      </c>
      <c r="B95" s="13">
        <v>11</v>
      </c>
      <c r="C95" s="12">
        <f t="shared" si="42"/>
        <v>2</v>
      </c>
      <c r="D95" s="13">
        <v>1</v>
      </c>
      <c r="E95" s="13">
        <v>0</v>
      </c>
      <c r="F95" s="12">
        <f t="shared" si="43"/>
        <v>11</v>
      </c>
      <c r="H95" s="9">
        <v>2</v>
      </c>
      <c r="I95" s="9">
        <v>11</v>
      </c>
      <c r="K95" s="9" t="s">
        <v>366</v>
      </c>
      <c r="M95" s="9">
        <v>1</v>
      </c>
      <c r="N95" s="9">
        <v>15</v>
      </c>
      <c r="O95" s="9" t="s">
        <v>742</v>
      </c>
      <c r="P95" s="55" t="s">
        <v>1344</v>
      </c>
      <c r="Q95" s="9" t="s">
        <v>688</v>
      </c>
      <c r="S95" s="81" t="s">
        <v>527</v>
      </c>
      <c r="T95" s="9">
        <f ca="1">IFERROR(OFFSET(ITEM_RES!$A$5,MATCH(BUILDING!S95,ITEM_RES!$J$5:$J$229,0)-1,0),0)</f>
        <v>211021101</v>
      </c>
      <c r="U95" s="11">
        <v>10</v>
      </c>
      <c r="V95" s="81" t="s">
        <v>526</v>
      </c>
      <c r="W95" s="11">
        <f ca="1">IFERROR(OFFSET(ITEM_RES!$A$5,MATCH(BUILDING!V95,ITEM_RES!$J$5:$J$229,0)-1,0),0)</f>
        <v>211010401</v>
      </c>
      <c r="Y95" s="9" t="s">
        <v>498</v>
      </c>
      <c r="Z95" s="9">
        <v>11</v>
      </c>
      <c r="AB95" s="11">
        <f ca="1">IFERROR(OFFSET(MANOR_LEVEL!$B$1,MATCH(AC95-1,MANOR_LEVEL!$A:$A,0)-1,0),0)</f>
        <v>3500000</v>
      </c>
      <c r="AC95" s="55">
        <v>12</v>
      </c>
      <c r="AE95" s="11">
        <f t="shared" ca="1" si="45"/>
        <v>2530000</v>
      </c>
      <c r="AF95" s="10">
        <f ca="1">AK95+AM95+(IFERROR(OFFSET(ITEM_RES!$R$1,MATCH(AQ95,ITEM_RES!$A:$A,0)-1,0),0)*AS95+IFERROR(OFFSET(ITEM_RES!$R$1,MATCH(AV95,ITEM_RES!$A:$A,0)-1,0),0)*AX95+IFERROR(OFFSET(ITEM_RES!$R$1,MATCH(BA95,ITEM_RES!$A:$A,0)-1,0),0)*BC95+IFERROR(OFFSET(ITEM_RES!$R$1,MATCH(BF95,ITEM_RES!$A:$A,0)-1,0),0)*BH95+IFERROR(OFFSET(ITEM_RES!$R$1,MATCH(BK95,ITEM_RES!$A:$A,0)-1,0),0)*BM95)/1000</f>
        <v>2530000</v>
      </c>
      <c r="AG95" s="176">
        <f t="shared" ca="1" si="40"/>
        <v>4025000</v>
      </c>
      <c r="AI95" s="11">
        <f t="shared" si="21"/>
        <v>360</v>
      </c>
      <c r="AJ95" s="10">
        <v>360</v>
      </c>
      <c r="AK95" s="11">
        <f t="shared" si="46"/>
        <v>0</v>
      </c>
      <c r="AL95" s="10">
        <v>0</v>
      </c>
      <c r="AM95" s="11">
        <f t="shared" si="24"/>
        <v>0</v>
      </c>
      <c r="AN95" s="10">
        <v>0</v>
      </c>
      <c r="AO95" s="55">
        <f t="shared" si="25"/>
        <v>2</v>
      </c>
      <c r="AQ95" s="11">
        <f ca="1">IFERROR(OFFSET(ITEM_RES!$A$1,MATCH(AR95,ITEM_RES!$J:$J,0)-1,0),0)</f>
        <v>211020301</v>
      </c>
      <c r="AR95" s="10" t="s">
        <v>386</v>
      </c>
      <c r="AS95" s="11">
        <v>220000</v>
      </c>
      <c r="AV95" s="11">
        <f ca="1">IFERROR(OFFSET(ITEM_RES!$A$1,MATCH(AW95,ITEM_RES!$J:$J,0)-1,0),0)</f>
        <v>211020401</v>
      </c>
      <c r="AW95" s="10" t="s">
        <v>426</v>
      </c>
      <c r="AX95" s="11">
        <v>110000</v>
      </c>
      <c r="BA95" s="11">
        <f ca="1">IFERROR(OFFSET(ITEM_RES!$A$1,MATCH(BB95,ITEM_RES!$J:$J,0)-1,0),0)</f>
        <v>0</v>
      </c>
      <c r="BF95" s="11">
        <f ca="1">IFERROR(OFFSET(ITEM_RES!$A$1,MATCH(BG95,ITEM_RES!$J:$J,0)-1,0),0)</f>
        <v>0</v>
      </c>
      <c r="BK95" s="11">
        <f ca="1">IFERROR(OFFSET(ITEM_RES!$A$1,MATCH(BL95,ITEM_RES!$J:$J,0)-1,0),0)</f>
        <v>0</v>
      </c>
      <c r="BM95" s="11">
        <f t="shared" si="44"/>
        <v>0</v>
      </c>
    </row>
    <row r="96" spans="1:66" x14ac:dyDescent="0.3">
      <c r="A96" s="14">
        <f t="shared" si="41"/>
        <v>112010012</v>
      </c>
      <c r="B96" s="13">
        <v>11</v>
      </c>
      <c r="C96" s="12">
        <f t="shared" si="42"/>
        <v>2</v>
      </c>
      <c r="D96" s="13">
        <v>1</v>
      </c>
      <c r="E96" s="13">
        <v>0</v>
      </c>
      <c r="F96" s="12">
        <f t="shared" si="43"/>
        <v>12</v>
      </c>
      <c r="H96" s="9">
        <v>2</v>
      </c>
      <c r="I96" s="9">
        <v>12</v>
      </c>
      <c r="K96" s="9" t="s">
        <v>366</v>
      </c>
      <c r="M96" s="9">
        <v>1</v>
      </c>
      <c r="N96" s="9">
        <v>15</v>
      </c>
      <c r="O96" s="9" t="s">
        <v>742</v>
      </c>
      <c r="P96" s="55" t="s">
        <v>1344</v>
      </c>
      <c r="Q96" s="9" t="s">
        <v>688</v>
      </c>
      <c r="S96" s="81" t="s">
        <v>527</v>
      </c>
      <c r="T96" s="9">
        <f ca="1">IFERROR(OFFSET(ITEM_RES!$A$5,MATCH(BUILDING!S96,ITEM_RES!$J$5:$J$229,0)-1,0),0)</f>
        <v>211021101</v>
      </c>
      <c r="U96" s="11">
        <v>10</v>
      </c>
      <c r="V96" s="81" t="s">
        <v>526</v>
      </c>
      <c r="W96" s="11">
        <f ca="1">IFERROR(OFFSET(ITEM_RES!$A$5,MATCH(BUILDING!V96,ITEM_RES!$J$5:$J$229,0)-1,0),0)</f>
        <v>211010401</v>
      </c>
      <c r="Y96" s="9" t="s">
        <v>498</v>
      </c>
      <c r="Z96" s="9">
        <v>12</v>
      </c>
      <c r="AB96" s="11">
        <f ca="1">IFERROR(OFFSET(MANOR_LEVEL!$B$1,MATCH(AC96-1,MANOR_LEVEL!$A:$A,0)-1,0),0)</f>
        <v>3500000</v>
      </c>
      <c r="AC96" s="55">
        <v>12</v>
      </c>
      <c r="AE96" s="11">
        <f t="shared" ca="1" si="45"/>
        <v>4260000</v>
      </c>
      <c r="AF96" s="10">
        <f ca="1">AK96+AM96+(IFERROR(OFFSET(ITEM_RES!$R$1,MATCH(AQ96,ITEM_RES!$A:$A,0)-1,0),0)*AS96+IFERROR(OFFSET(ITEM_RES!$R$1,MATCH(AV96,ITEM_RES!$A:$A,0)-1,0),0)*AX96+IFERROR(OFFSET(ITEM_RES!$R$1,MATCH(BA96,ITEM_RES!$A:$A,0)-1,0),0)*BC96+IFERROR(OFFSET(ITEM_RES!$R$1,MATCH(BF96,ITEM_RES!$A:$A,0)-1,0),0)*BH96+IFERROR(OFFSET(ITEM_RES!$R$1,MATCH(BK96,ITEM_RES!$A:$A,0)-1,0),0)*BM96)/1000</f>
        <v>4260000</v>
      </c>
      <c r="AG96" s="176">
        <f t="shared" ca="1" si="40"/>
        <v>6790000</v>
      </c>
      <c r="AI96" s="11">
        <f t="shared" si="21"/>
        <v>540</v>
      </c>
      <c r="AJ96" s="10">
        <v>540</v>
      </c>
      <c r="AK96" s="11">
        <f t="shared" si="46"/>
        <v>0</v>
      </c>
      <c r="AL96" s="10">
        <v>0</v>
      </c>
      <c r="AM96" s="11">
        <f t="shared" si="24"/>
        <v>0</v>
      </c>
      <c r="AN96" s="10">
        <v>0</v>
      </c>
      <c r="AO96" s="55">
        <f t="shared" si="25"/>
        <v>3</v>
      </c>
      <c r="AQ96" s="11">
        <f ca="1">IFERROR(OFFSET(ITEM_RES!$A$1,MATCH(AR96,ITEM_RES!$J:$J,0)-1,0),0)</f>
        <v>211020301</v>
      </c>
      <c r="AR96" s="10" t="s">
        <v>386</v>
      </c>
      <c r="AS96" s="11">
        <v>370000</v>
      </c>
      <c r="AV96" s="11">
        <f ca="1">IFERROR(OFFSET(ITEM_RES!$A$1,MATCH(AW96,ITEM_RES!$J:$J,0)-1,0),0)</f>
        <v>211020401</v>
      </c>
      <c r="AW96" s="10" t="s">
        <v>426</v>
      </c>
      <c r="AX96" s="11">
        <v>185000</v>
      </c>
      <c r="BA96" s="11">
        <f ca="1">IFERROR(OFFSET(ITEM_RES!$A$1,MATCH(BB96,ITEM_RES!$J:$J,0)-1,0),0)</f>
        <v>0</v>
      </c>
      <c r="BF96" s="11">
        <f ca="1">IFERROR(OFFSET(ITEM_RES!$A$1,MATCH(BG96,ITEM_RES!$J:$J,0)-1,0),0)</f>
        <v>213010701</v>
      </c>
      <c r="BG96" s="10" t="s">
        <v>449</v>
      </c>
      <c r="BH96" s="11">
        <v>1</v>
      </c>
      <c r="BK96" s="11">
        <f ca="1">IFERROR(OFFSET(ITEM_RES!$A$1,MATCH(BL96,ITEM_RES!$J:$J,0)-1,0),0)</f>
        <v>0</v>
      </c>
      <c r="BM96" s="11">
        <f t="shared" si="44"/>
        <v>0</v>
      </c>
    </row>
    <row r="97" spans="1:66" x14ac:dyDescent="0.3">
      <c r="A97" s="14">
        <f t="shared" si="41"/>
        <v>112010013</v>
      </c>
      <c r="B97" s="13">
        <v>11</v>
      </c>
      <c r="C97" s="12">
        <f t="shared" si="42"/>
        <v>2</v>
      </c>
      <c r="D97" s="13">
        <v>1</v>
      </c>
      <c r="E97" s="13">
        <v>0</v>
      </c>
      <c r="F97" s="12">
        <f t="shared" si="43"/>
        <v>13</v>
      </c>
      <c r="H97" s="9">
        <v>2</v>
      </c>
      <c r="I97" s="9">
        <v>13</v>
      </c>
      <c r="K97" s="9" t="s">
        <v>366</v>
      </c>
      <c r="M97" s="9">
        <v>1</v>
      </c>
      <c r="N97" s="9">
        <v>15</v>
      </c>
      <c r="O97" s="9" t="s">
        <v>742</v>
      </c>
      <c r="P97" s="55" t="s">
        <v>1344</v>
      </c>
      <c r="Q97" s="9" t="s">
        <v>688</v>
      </c>
      <c r="S97" s="81" t="s">
        <v>527</v>
      </c>
      <c r="T97" s="9">
        <f ca="1">IFERROR(OFFSET(ITEM_RES!$A$5,MATCH(BUILDING!S97,ITEM_RES!$J$5:$J$229,0)-1,0),0)</f>
        <v>211021101</v>
      </c>
      <c r="U97" s="11">
        <v>10</v>
      </c>
      <c r="V97" s="81" t="s">
        <v>526</v>
      </c>
      <c r="W97" s="11">
        <f ca="1">IFERROR(OFFSET(ITEM_RES!$A$5,MATCH(BUILDING!V97,ITEM_RES!$J$5:$J$229,0)-1,0),0)</f>
        <v>211010401</v>
      </c>
      <c r="Y97" s="9" t="s">
        <v>498</v>
      </c>
      <c r="Z97" s="9">
        <v>13</v>
      </c>
      <c r="AB97" s="11">
        <f ca="1">IFERROR(OFFSET(MANOR_LEVEL!$B$1,MATCH(AC97-1,MANOR_LEVEL!$A:$A,0)-1,0),0)</f>
        <v>3500000</v>
      </c>
      <c r="AC97" s="55">
        <v>12</v>
      </c>
      <c r="AE97" s="11">
        <f t="shared" ca="1" si="45"/>
        <v>7130000</v>
      </c>
      <c r="AF97" s="10">
        <f ca="1">AK97+AM97+(IFERROR(OFFSET(ITEM_RES!$R$1,MATCH(AQ97,ITEM_RES!$A:$A,0)-1,0),0)*AS97+IFERROR(OFFSET(ITEM_RES!$R$1,MATCH(AV97,ITEM_RES!$A:$A,0)-1,0),0)*AX97+IFERROR(OFFSET(ITEM_RES!$R$1,MATCH(BA97,ITEM_RES!$A:$A,0)-1,0),0)*BC97+IFERROR(OFFSET(ITEM_RES!$R$1,MATCH(BF97,ITEM_RES!$A:$A,0)-1,0),0)*BH97+IFERROR(OFFSET(ITEM_RES!$R$1,MATCH(BK97,ITEM_RES!$A:$A,0)-1,0),0)*BM97)/1000</f>
        <v>7130000</v>
      </c>
      <c r="AG97" s="176">
        <f t="shared" ca="1" si="40"/>
        <v>11390000</v>
      </c>
      <c r="AI97" s="11">
        <f t="shared" si="21"/>
        <v>720</v>
      </c>
      <c r="AJ97" s="10">
        <v>720</v>
      </c>
      <c r="AK97" s="11">
        <f t="shared" si="46"/>
        <v>0</v>
      </c>
      <c r="AL97" s="10">
        <v>0</v>
      </c>
      <c r="AM97" s="11">
        <f t="shared" si="24"/>
        <v>0</v>
      </c>
      <c r="AN97" s="10">
        <v>0</v>
      </c>
      <c r="AO97" s="55">
        <f t="shared" si="25"/>
        <v>2</v>
      </c>
      <c r="AQ97" s="11">
        <f ca="1">IFERROR(OFFSET(ITEM_RES!$A$1,MATCH(AR97,ITEM_RES!$J:$J,0)-1,0),0)</f>
        <v>211020301</v>
      </c>
      <c r="AR97" s="10" t="s">
        <v>386</v>
      </c>
      <c r="AS97" s="11">
        <v>620000</v>
      </c>
      <c r="AV97" s="11">
        <f ca="1">IFERROR(OFFSET(ITEM_RES!$A$1,MATCH(AW97,ITEM_RES!$J:$J,0)-1,0),0)</f>
        <v>211020401</v>
      </c>
      <c r="AW97" s="10" t="s">
        <v>426</v>
      </c>
      <c r="AX97" s="11">
        <v>310000</v>
      </c>
      <c r="BA97" s="11">
        <f ca="1">IFERROR(OFFSET(ITEM_RES!$A$1,MATCH(BB97,ITEM_RES!$J:$J,0)-1,0),0)</f>
        <v>0</v>
      </c>
      <c r="BF97" s="11">
        <f ca="1">IFERROR(OFFSET(ITEM_RES!$A$1,MATCH(BG97,ITEM_RES!$J:$J,0)-1,0),0)</f>
        <v>0</v>
      </c>
      <c r="BK97" s="11">
        <f ca="1">IFERROR(OFFSET(ITEM_RES!$A$1,MATCH(BL97,ITEM_RES!$J:$J,0)-1,0),0)</f>
        <v>0</v>
      </c>
      <c r="BM97" s="11">
        <f t="shared" si="44"/>
        <v>0</v>
      </c>
    </row>
    <row r="98" spans="1:66" x14ac:dyDescent="0.3">
      <c r="A98" s="14">
        <f t="shared" si="41"/>
        <v>112010014</v>
      </c>
      <c r="B98" s="13">
        <v>11</v>
      </c>
      <c r="C98" s="12">
        <f t="shared" si="42"/>
        <v>2</v>
      </c>
      <c r="D98" s="13">
        <v>1</v>
      </c>
      <c r="E98" s="13">
        <v>0</v>
      </c>
      <c r="F98" s="12">
        <f t="shared" si="43"/>
        <v>14</v>
      </c>
      <c r="H98" s="9">
        <v>2</v>
      </c>
      <c r="I98" s="9">
        <v>14</v>
      </c>
      <c r="K98" s="9" t="s">
        <v>366</v>
      </c>
      <c r="M98" s="9">
        <v>1</v>
      </c>
      <c r="N98" s="9">
        <v>15</v>
      </c>
      <c r="O98" s="9" t="s">
        <v>742</v>
      </c>
      <c r="P98" s="55" t="s">
        <v>1344</v>
      </c>
      <c r="Q98" s="9" t="s">
        <v>688</v>
      </c>
      <c r="S98" s="81" t="s">
        <v>527</v>
      </c>
      <c r="T98" s="9">
        <f ca="1">IFERROR(OFFSET(ITEM_RES!$A$5,MATCH(BUILDING!S98,ITEM_RES!$J$5:$J$229,0)-1,0),0)</f>
        <v>211021101</v>
      </c>
      <c r="U98" s="11">
        <v>10</v>
      </c>
      <c r="V98" s="81" t="s">
        <v>526</v>
      </c>
      <c r="W98" s="11">
        <f ca="1">IFERROR(OFFSET(ITEM_RES!$A$5,MATCH(BUILDING!V98,ITEM_RES!$J$5:$J$229,0)-1,0),0)</f>
        <v>211010401</v>
      </c>
      <c r="Y98" s="9" t="s">
        <v>498</v>
      </c>
      <c r="Z98" s="9">
        <v>14</v>
      </c>
      <c r="AB98" s="11">
        <f ca="1">IFERROR(OFFSET(MANOR_LEVEL!$B$1,MATCH(AC98-1,MANOR_LEVEL!$A:$A,0)-1,0),0)</f>
        <v>3500000</v>
      </c>
      <c r="AC98" s="55">
        <v>12</v>
      </c>
      <c r="AE98" s="11">
        <f t="shared" ca="1" si="45"/>
        <v>11155000</v>
      </c>
      <c r="AF98" s="10">
        <f ca="1">AK98+AM98+(IFERROR(OFFSET(ITEM_RES!$R$1,MATCH(AQ98,ITEM_RES!$A:$A,0)-1,0),0)*AS98+IFERROR(OFFSET(ITEM_RES!$R$1,MATCH(AV98,ITEM_RES!$A:$A,0)-1,0),0)*AX98+IFERROR(OFFSET(ITEM_RES!$R$1,MATCH(BA98,ITEM_RES!$A:$A,0)-1,0),0)*BC98+IFERROR(OFFSET(ITEM_RES!$R$1,MATCH(BF98,ITEM_RES!$A:$A,0)-1,0),0)*BH98+IFERROR(OFFSET(ITEM_RES!$R$1,MATCH(BK98,ITEM_RES!$A:$A,0)-1,0),0)*BM98)/1000</f>
        <v>11155000</v>
      </c>
      <c r="AG98" s="176">
        <f t="shared" ca="1" si="40"/>
        <v>18285000</v>
      </c>
      <c r="AI98" s="11">
        <f t="shared" si="21"/>
        <v>900</v>
      </c>
      <c r="AJ98" s="10">
        <v>900</v>
      </c>
      <c r="AK98" s="11">
        <f t="shared" si="46"/>
        <v>0</v>
      </c>
      <c r="AL98" s="10">
        <v>0</v>
      </c>
      <c r="AM98" s="11">
        <f t="shared" si="24"/>
        <v>0</v>
      </c>
      <c r="AN98" s="10">
        <v>0</v>
      </c>
      <c r="AO98" s="55">
        <f t="shared" si="25"/>
        <v>2</v>
      </c>
      <c r="AQ98" s="11">
        <f ca="1">IFERROR(OFFSET(ITEM_RES!$A$1,MATCH(AR98,ITEM_RES!$J:$J,0)-1,0),0)</f>
        <v>211020301</v>
      </c>
      <c r="AR98" s="10" t="s">
        <v>386</v>
      </c>
      <c r="AS98" s="11">
        <v>970000</v>
      </c>
      <c r="AV98" s="11">
        <f ca="1">IFERROR(OFFSET(ITEM_RES!$A$1,MATCH(AW98,ITEM_RES!$J:$J,0)-1,0),0)</f>
        <v>211020401</v>
      </c>
      <c r="AW98" s="10" t="s">
        <v>426</v>
      </c>
      <c r="AX98" s="11">
        <v>485000</v>
      </c>
      <c r="BA98" s="11">
        <f ca="1">IFERROR(OFFSET(ITEM_RES!$A$1,MATCH(BB98,ITEM_RES!$J:$J,0)-1,0),0)</f>
        <v>0</v>
      </c>
      <c r="BF98" s="11">
        <f ca="1">IFERROR(OFFSET(ITEM_RES!$A$1,MATCH(BG98,ITEM_RES!$J:$J,0)-1,0),0)</f>
        <v>0</v>
      </c>
      <c r="BK98" s="11">
        <f ca="1">IFERROR(OFFSET(ITEM_RES!$A$1,MATCH(BL98,ITEM_RES!$J:$J,0)-1,0),0)</f>
        <v>0</v>
      </c>
      <c r="BM98" s="11">
        <f t="shared" si="44"/>
        <v>0</v>
      </c>
    </row>
    <row r="99" spans="1:66" x14ac:dyDescent="0.3">
      <c r="A99" s="14">
        <f t="shared" si="41"/>
        <v>112010015</v>
      </c>
      <c r="B99" s="13">
        <v>11</v>
      </c>
      <c r="C99" s="12">
        <f t="shared" si="42"/>
        <v>2</v>
      </c>
      <c r="D99" s="13">
        <v>1</v>
      </c>
      <c r="E99" s="13">
        <v>0</v>
      </c>
      <c r="F99" s="12">
        <f t="shared" si="43"/>
        <v>15</v>
      </c>
      <c r="H99" s="9">
        <v>2</v>
      </c>
      <c r="I99" s="9">
        <v>15</v>
      </c>
      <c r="K99" s="9" t="s">
        <v>366</v>
      </c>
      <c r="M99" s="9">
        <v>1</v>
      </c>
      <c r="N99" s="9">
        <v>15</v>
      </c>
      <c r="O99" s="9" t="s">
        <v>742</v>
      </c>
      <c r="P99" s="55" t="s">
        <v>1344</v>
      </c>
      <c r="Q99" s="9" t="s">
        <v>688</v>
      </c>
      <c r="S99" s="81" t="s">
        <v>527</v>
      </c>
      <c r="T99" s="9">
        <f ca="1">IFERROR(OFFSET(ITEM_RES!$A$5,MATCH(BUILDING!S99,ITEM_RES!$J$5:$J$229,0)-1,0),0)</f>
        <v>211021101</v>
      </c>
      <c r="U99" s="11">
        <v>10</v>
      </c>
      <c r="V99" s="81" t="s">
        <v>526</v>
      </c>
      <c r="W99" s="11">
        <f ca="1">IFERROR(OFFSET(ITEM_RES!$A$5,MATCH(BUILDING!V99,ITEM_RES!$J$5:$J$229,0)-1,0),0)</f>
        <v>211010401</v>
      </c>
      <c r="Y99" s="9" t="s">
        <v>498</v>
      </c>
      <c r="Z99" s="9">
        <v>15</v>
      </c>
      <c r="AB99" s="11">
        <f ca="1">IFERROR(OFFSET(MANOR_LEVEL!$B$1,MATCH(AC99-1,MANOR_LEVEL!$A:$A,0)-1,0),0)</f>
        <v>3500000</v>
      </c>
      <c r="AC99" s="55">
        <v>12</v>
      </c>
      <c r="AE99" s="11">
        <f t="shared" ca="1" si="45"/>
        <v>26250000</v>
      </c>
      <c r="AF99" s="10">
        <f ca="1">AK99+AM99+(IFERROR(OFFSET(ITEM_RES!$R$1,MATCH(AQ99,ITEM_RES!$A:$A,0)-1,0),0)*AS99+IFERROR(OFFSET(ITEM_RES!$R$1,MATCH(AV99,ITEM_RES!$A:$A,0)-1,0),0)*AX99+IFERROR(OFFSET(ITEM_RES!$R$1,MATCH(BA99,ITEM_RES!$A:$A,0)-1,0),0)*BC99+IFERROR(OFFSET(ITEM_RES!$R$1,MATCH(BF99,ITEM_RES!$A:$A,0)-1,0),0)*BH99+IFERROR(OFFSET(ITEM_RES!$R$1,MATCH(BK99,ITEM_RES!$A:$A,0)-1,0),0)*BM99)/1000</f>
        <v>26250000</v>
      </c>
      <c r="AG99" s="176">
        <f t="shared" ca="1" si="40"/>
        <v>37405000</v>
      </c>
      <c r="AI99" s="11">
        <f t="shared" si="21"/>
        <v>1080</v>
      </c>
      <c r="AJ99" s="10">
        <v>1080</v>
      </c>
      <c r="AK99" s="11">
        <f t="shared" si="46"/>
        <v>0</v>
      </c>
      <c r="AL99" s="10">
        <v>0</v>
      </c>
      <c r="AM99" s="11">
        <f t="shared" si="24"/>
        <v>0</v>
      </c>
      <c r="AN99" s="10">
        <v>0</v>
      </c>
      <c r="AO99" s="55">
        <f t="shared" si="25"/>
        <v>2</v>
      </c>
      <c r="AQ99" s="11">
        <f ca="1">IFERROR(OFFSET(ITEM_RES!$A$1,MATCH(AR99,ITEM_RES!$J:$J,0)-1,0),0)</f>
        <v>211020301</v>
      </c>
      <c r="AR99" s="10" t="s">
        <v>386</v>
      </c>
      <c r="AS99" s="11">
        <v>2100000</v>
      </c>
      <c r="AV99" s="11">
        <f ca="1">IFERROR(OFFSET(ITEM_RES!$A$1,MATCH(AW99,ITEM_RES!$J:$J,0)-1,0),0)</f>
        <v>211020501</v>
      </c>
      <c r="AW99" s="10" t="s">
        <v>424</v>
      </c>
      <c r="AX99" s="11">
        <v>1050000</v>
      </c>
      <c r="BA99" s="11">
        <f ca="1">IFERROR(OFFSET(ITEM_RES!$A$1,MATCH(BB99,ITEM_RES!$J:$J,0)-1,0),0)</f>
        <v>0</v>
      </c>
      <c r="BF99" s="11">
        <f ca="1">IFERROR(OFFSET(ITEM_RES!$A$1,MATCH(BG99,ITEM_RES!$J:$J,0)-1,0),0)</f>
        <v>0</v>
      </c>
      <c r="BK99" s="11">
        <f ca="1">IFERROR(OFFSET(ITEM_RES!$A$1,MATCH(BL99,ITEM_RES!$J:$J,0)-1,0),0)</f>
        <v>0</v>
      </c>
      <c r="BM99" s="11">
        <f t="shared" si="44"/>
        <v>0</v>
      </c>
    </row>
    <row r="100" spans="1:66" x14ac:dyDescent="0.3">
      <c r="A100" s="14">
        <f t="shared" si="41"/>
        <v>112010016</v>
      </c>
      <c r="B100" s="13">
        <v>11</v>
      </c>
      <c r="C100" s="12">
        <f t="shared" si="42"/>
        <v>2</v>
      </c>
      <c r="D100" s="13">
        <v>1</v>
      </c>
      <c r="E100" s="13">
        <v>0</v>
      </c>
      <c r="F100" s="12">
        <f t="shared" si="43"/>
        <v>16</v>
      </c>
      <c r="H100" s="9">
        <v>2</v>
      </c>
      <c r="I100" s="9">
        <v>16</v>
      </c>
      <c r="K100" s="9" t="s">
        <v>366</v>
      </c>
      <c r="M100" s="9">
        <v>0</v>
      </c>
      <c r="N100" s="9">
        <v>15</v>
      </c>
      <c r="O100" s="9" t="s">
        <v>742</v>
      </c>
      <c r="P100" s="55" t="s">
        <v>1344</v>
      </c>
      <c r="Q100" s="9" t="s">
        <v>688</v>
      </c>
      <c r="S100" s="81" t="s">
        <v>527</v>
      </c>
      <c r="T100" s="9">
        <f ca="1">IFERROR(OFFSET(ITEM_RES!$A$5,MATCH(BUILDING!S100,ITEM_RES!$J$5:$J$229,0)-1,0),0)</f>
        <v>211021101</v>
      </c>
      <c r="U100" s="11">
        <v>10</v>
      </c>
      <c r="V100" s="81" t="s">
        <v>526</v>
      </c>
      <c r="W100" s="11">
        <f ca="1">IFERROR(OFFSET(ITEM_RES!$A$5,MATCH(BUILDING!V100,ITEM_RES!$J$5:$J$229,0)-1,0),0)</f>
        <v>211010401</v>
      </c>
      <c r="Y100" s="9" t="s">
        <v>498</v>
      </c>
      <c r="Z100" s="9">
        <v>16</v>
      </c>
      <c r="AB100" s="11">
        <f ca="1">IFERROR(OFFSET(MANOR_LEVEL!$B$1,MATCH(AC100-1,MANOR_LEVEL!$A:$A,0)-1,0),0)</f>
        <v>3500000</v>
      </c>
      <c r="AC100" s="55">
        <v>12</v>
      </c>
      <c r="AE100" s="11">
        <f t="shared" ca="1" si="45"/>
        <v>53750000</v>
      </c>
      <c r="AF100" s="10">
        <f ca="1">AK100+AM100+(IFERROR(OFFSET(ITEM_RES!$R$1,MATCH(AQ100,ITEM_RES!$A:$A,0)-1,0),0)*AS100+IFERROR(OFFSET(ITEM_RES!$R$1,MATCH(AV100,ITEM_RES!$A:$A,0)-1,0),0)*AX100+IFERROR(OFFSET(ITEM_RES!$R$1,MATCH(BA100,ITEM_RES!$A:$A,0)-1,0),0)*BC100+IFERROR(OFFSET(ITEM_RES!$R$1,MATCH(BF100,ITEM_RES!$A:$A,0)-1,0),0)*BH100+IFERROR(OFFSET(ITEM_RES!$R$1,MATCH(BK100,ITEM_RES!$A:$A,0)-1,0),0)*BM100)/1000</f>
        <v>53750000</v>
      </c>
      <c r="AG100" s="176">
        <f t="shared" ca="1" si="40"/>
        <v>80000000</v>
      </c>
      <c r="AI100" s="11">
        <f t="shared" si="21"/>
        <v>1260</v>
      </c>
      <c r="AJ100" s="10">
        <v>1260</v>
      </c>
      <c r="AK100" s="11">
        <f t="shared" si="46"/>
        <v>0</v>
      </c>
      <c r="AL100" s="10">
        <v>0</v>
      </c>
      <c r="AM100" s="11">
        <f t="shared" si="24"/>
        <v>0</v>
      </c>
      <c r="AN100" s="10">
        <v>0</v>
      </c>
      <c r="AO100" s="55">
        <f t="shared" si="25"/>
        <v>2</v>
      </c>
      <c r="AQ100" s="11">
        <f ca="1">IFERROR(OFFSET(ITEM_RES!$A$1,MATCH(AR100,ITEM_RES!$J:$J,0)-1,0),0)</f>
        <v>211020301</v>
      </c>
      <c r="AR100" s="10" t="s">
        <v>386</v>
      </c>
      <c r="AS100" s="11">
        <v>4300000</v>
      </c>
      <c r="AV100" s="11">
        <f ca="1">IFERROR(OFFSET(ITEM_RES!$A$1,MATCH(AW100,ITEM_RES!$J:$J,0)-1,0),0)</f>
        <v>211020501</v>
      </c>
      <c r="AW100" s="10" t="s">
        <v>424</v>
      </c>
      <c r="AX100" s="11">
        <v>2150000</v>
      </c>
      <c r="BA100" s="11">
        <f ca="1">IFERROR(OFFSET(ITEM_RES!$A$1,MATCH(BB100,ITEM_RES!$J:$J,0)-1,0),0)</f>
        <v>0</v>
      </c>
      <c r="BF100" s="11">
        <f ca="1">IFERROR(OFFSET(ITEM_RES!$A$1,MATCH(BG100,ITEM_RES!$J:$J,0)-1,0),0)</f>
        <v>0</v>
      </c>
      <c r="BK100" s="11">
        <f ca="1">IFERROR(OFFSET(ITEM_RES!$A$1,MATCH(BL100,ITEM_RES!$J:$J,0)-1,0),0)</f>
        <v>0</v>
      </c>
      <c r="BM100" s="11">
        <f t="shared" si="44"/>
        <v>0</v>
      </c>
    </row>
    <row r="101" spans="1:66" x14ac:dyDescent="0.3">
      <c r="A101" s="14">
        <f t="shared" si="41"/>
        <v>112010017</v>
      </c>
      <c r="B101" s="13">
        <v>11</v>
      </c>
      <c r="C101" s="12">
        <f t="shared" si="42"/>
        <v>2</v>
      </c>
      <c r="D101" s="13">
        <v>1</v>
      </c>
      <c r="E101" s="13">
        <v>0</v>
      </c>
      <c r="F101" s="12">
        <f t="shared" si="43"/>
        <v>17</v>
      </c>
      <c r="H101" s="9">
        <v>2</v>
      </c>
      <c r="I101" s="9">
        <v>17</v>
      </c>
      <c r="K101" s="9" t="s">
        <v>366</v>
      </c>
      <c r="M101" s="9">
        <v>0</v>
      </c>
      <c r="N101" s="9">
        <v>15</v>
      </c>
      <c r="O101" s="9" t="s">
        <v>742</v>
      </c>
      <c r="P101" s="55" t="s">
        <v>1344</v>
      </c>
      <c r="Q101" s="9" t="s">
        <v>688</v>
      </c>
      <c r="S101" s="81" t="s">
        <v>527</v>
      </c>
      <c r="T101" s="9">
        <f ca="1">IFERROR(OFFSET(ITEM_RES!$A$5,MATCH(BUILDING!S101,ITEM_RES!$J$5:$J$229,0)-1,0),0)</f>
        <v>211021101</v>
      </c>
      <c r="U101" s="11">
        <v>10</v>
      </c>
      <c r="V101" s="81" t="s">
        <v>526</v>
      </c>
      <c r="W101" s="11">
        <f ca="1">IFERROR(OFFSET(ITEM_RES!$A$5,MATCH(BUILDING!V101,ITEM_RES!$J$5:$J$229,0)-1,0),0)</f>
        <v>211010401</v>
      </c>
      <c r="Y101" s="9" t="s">
        <v>498</v>
      </c>
      <c r="Z101" s="9">
        <v>17</v>
      </c>
      <c r="AB101" s="11">
        <f ca="1">IFERROR(OFFSET(MANOR_LEVEL!$B$1,MATCH(AC101-1,MANOR_LEVEL!$A:$A,0)-1,0),0)</f>
        <v>3500000</v>
      </c>
      <c r="AC101" s="55">
        <v>12</v>
      </c>
      <c r="AE101" s="11">
        <f t="shared" ca="1" si="45"/>
        <v>100000000</v>
      </c>
      <c r="AF101" s="10">
        <f ca="1">AK101+AM101+(IFERROR(OFFSET(ITEM_RES!$R$1,MATCH(AQ101,ITEM_RES!$A:$A,0)-1,0),0)*AS101+IFERROR(OFFSET(ITEM_RES!$R$1,MATCH(AV101,ITEM_RES!$A:$A,0)-1,0),0)*AX101+IFERROR(OFFSET(ITEM_RES!$R$1,MATCH(BA101,ITEM_RES!$A:$A,0)-1,0),0)*BC101+IFERROR(OFFSET(ITEM_RES!$R$1,MATCH(BF101,ITEM_RES!$A:$A,0)-1,0),0)*BH101+IFERROR(OFFSET(ITEM_RES!$R$1,MATCH(BK101,ITEM_RES!$A:$A,0)-1,0),0)*BM101)/1000</f>
        <v>100000000</v>
      </c>
      <c r="AG101" s="176">
        <f t="shared" ca="1" si="40"/>
        <v>153750000</v>
      </c>
      <c r="AI101" s="11">
        <f t="shared" si="21"/>
        <v>1440</v>
      </c>
      <c r="AJ101" s="10">
        <v>1440</v>
      </c>
      <c r="AK101" s="11">
        <f t="shared" si="46"/>
        <v>0</v>
      </c>
      <c r="AL101" s="10">
        <v>0</v>
      </c>
      <c r="AM101" s="11">
        <f t="shared" si="24"/>
        <v>0</v>
      </c>
      <c r="AN101" s="10">
        <v>0</v>
      </c>
      <c r="AO101" s="55">
        <f t="shared" si="25"/>
        <v>2</v>
      </c>
      <c r="AQ101" s="11">
        <f ca="1">IFERROR(OFFSET(ITEM_RES!$A$1,MATCH(AR101,ITEM_RES!$J:$J,0)-1,0),0)</f>
        <v>211020301</v>
      </c>
      <c r="AR101" s="10" t="s">
        <v>995</v>
      </c>
      <c r="AS101" s="11">
        <v>8000000</v>
      </c>
      <c r="AV101" s="11">
        <f ca="1">IFERROR(OFFSET(ITEM_RES!$A$1,MATCH(AW101,ITEM_RES!$J:$J,0)-1,0),0)</f>
        <v>211020501</v>
      </c>
      <c r="AW101" s="10" t="s">
        <v>424</v>
      </c>
      <c r="AX101" s="11">
        <v>4000000</v>
      </c>
      <c r="BA101" s="11">
        <f ca="1">IFERROR(OFFSET(ITEM_RES!$A$1,MATCH(BB101,ITEM_RES!$J:$J,0)-1,0),0)</f>
        <v>0</v>
      </c>
      <c r="BF101" s="11">
        <f ca="1">IFERROR(OFFSET(ITEM_RES!$A$1,MATCH(BG101,ITEM_RES!$J:$J,0)-1,0),0)</f>
        <v>0</v>
      </c>
      <c r="BK101" s="11">
        <f ca="1">IFERROR(OFFSET(ITEM_RES!$A$1,MATCH(BL101,ITEM_RES!$J:$J,0)-1,0),0)</f>
        <v>0</v>
      </c>
      <c r="BM101" s="11">
        <f t="shared" si="44"/>
        <v>0</v>
      </c>
    </row>
    <row r="102" spans="1:66" x14ac:dyDescent="0.3">
      <c r="A102" s="14">
        <f t="shared" si="41"/>
        <v>112010018</v>
      </c>
      <c r="B102" s="13">
        <v>11</v>
      </c>
      <c r="C102" s="12">
        <f t="shared" si="42"/>
        <v>2</v>
      </c>
      <c r="D102" s="13">
        <v>1</v>
      </c>
      <c r="E102" s="13">
        <v>0</v>
      </c>
      <c r="F102" s="12">
        <f t="shared" si="43"/>
        <v>18</v>
      </c>
      <c r="H102" s="9">
        <v>2</v>
      </c>
      <c r="I102" s="9">
        <v>18</v>
      </c>
      <c r="K102" s="9" t="s">
        <v>366</v>
      </c>
      <c r="M102" s="9">
        <v>0</v>
      </c>
      <c r="N102" s="9">
        <v>15</v>
      </c>
      <c r="O102" s="9" t="s">
        <v>742</v>
      </c>
      <c r="P102" s="55" t="s">
        <v>1344</v>
      </c>
      <c r="Q102" s="9" t="s">
        <v>688</v>
      </c>
      <c r="S102" s="81" t="s">
        <v>527</v>
      </c>
      <c r="T102" s="9">
        <f ca="1">IFERROR(OFFSET(ITEM_RES!$A$5,MATCH(BUILDING!S102,ITEM_RES!$J$5:$J$229,0)-1,0),0)</f>
        <v>211021101</v>
      </c>
      <c r="U102" s="11">
        <v>10</v>
      </c>
      <c r="V102" s="81" t="s">
        <v>526</v>
      </c>
      <c r="W102" s="11">
        <f ca="1">IFERROR(OFFSET(ITEM_RES!$A$5,MATCH(BUILDING!V102,ITEM_RES!$J$5:$J$229,0)-1,0),0)</f>
        <v>211010401</v>
      </c>
      <c r="Y102" s="9" t="s">
        <v>498</v>
      </c>
      <c r="Z102" s="9">
        <v>18</v>
      </c>
      <c r="AB102" s="11">
        <f ca="1">IFERROR(OFFSET(MANOR_LEVEL!$B$1,MATCH(AC102-1,MANOR_LEVEL!$A:$A,0)-1,0),0)</f>
        <v>3500000</v>
      </c>
      <c r="AC102" s="55">
        <v>12</v>
      </c>
      <c r="AE102" s="11">
        <f t="shared" ca="1" si="45"/>
        <v>162500000</v>
      </c>
      <c r="AF102" s="10">
        <f ca="1">AK102+AM102+(IFERROR(OFFSET(ITEM_RES!$R$1,MATCH(AQ102,ITEM_RES!$A:$A,0)-1,0),0)*AS102+IFERROR(OFFSET(ITEM_RES!$R$1,MATCH(AV102,ITEM_RES!$A:$A,0)-1,0),0)*AX102+IFERROR(OFFSET(ITEM_RES!$R$1,MATCH(BA102,ITEM_RES!$A:$A,0)-1,0),0)*BC102+IFERROR(OFFSET(ITEM_RES!$R$1,MATCH(BF102,ITEM_RES!$A:$A,0)-1,0),0)*BH102+IFERROR(OFFSET(ITEM_RES!$R$1,MATCH(BK102,ITEM_RES!$A:$A,0)-1,0),0)*BM102)/1000</f>
        <v>162500000</v>
      </c>
      <c r="AG102" s="176">
        <f t="shared" ca="1" si="40"/>
        <v>262500000</v>
      </c>
      <c r="AI102" s="11">
        <f t="shared" si="21"/>
        <v>1620</v>
      </c>
      <c r="AJ102" s="10">
        <v>1620</v>
      </c>
      <c r="AK102" s="11">
        <f t="shared" si="46"/>
        <v>0</v>
      </c>
      <c r="AL102" s="10">
        <v>0</v>
      </c>
      <c r="AM102" s="11">
        <f t="shared" si="24"/>
        <v>0</v>
      </c>
      <c r="AN102" s="10">
        <v>0</v>
      </c>
      <c r="AO102" s="55">
        <f t="shared" si="25"/>
        <v>2</v>
      </c>
      <c r="AQ102" s="11">
        <f ca="1">IFERROR(OFFSET(ITEM_RES!$A$1,MATCH(AR102,ITEM_RES!$J:$J,0)-1,0),0)</f>
        <v>211020301</v>
      </c>
      <c r="AR102" s="10" t="s">
        <v>995</v>
      </c>
      <c r="AS102" s="11">
        <v>13000000</v>
      </c>
      <c r="AV102" s="11">
        <f ca="1">IFERROR(OFFSET(ITEM_RES!$A$1,MATCH(AW102,ITEM_RES!$J:$J,0)-1,0),0)</f>
        <v>211020501</v>
      </c>
      <c r="AW102" s="10" t="s">
        <v>424</v>
      </c>
      <c r="AX102" s="11">
        <v>6500000</v>
      </c>
      <c r="BA102" s="11">
        <f ca="1">IFERROR(OFFSET(ITEM_RES!$A$1,MATCH(BB102,ITEM_RES!$J:$J,0)-1,0),0)</f>
        <v>0</v>
      </c>
      <c r="BF102" s="11">
        <f ca="1">IFERROR(OFFSET(ITEM_RES!$A$1,MATCH(BG102,ITEM_RES!$J:$J,0)-1,0),0)</f>
        <v>0</v>
      </c>
      <c r="BK102" s="11">
        <f ca="1">IFERROR(OFFSET(ITEM_RES!$A$1,MATCH(BL102,ITEM_RES!$J:$J,0)-1,0),0)</f>
        <v>0</v>
      </c>
      <c r="BM102" s="11">
        <f t="shared" si="44"/>
        <v>0</v>
      </c>
    </row>
    <row r="103" spans="1:66" x14ac:dyDescent="0.3">
      <c r="A103" s="14">
        <f t="shared" si="41"/>
        <v>112010019</v>
      </c>
      <c r="B103" s="13">
        <v>11</v>
      </c>
      <c r="C103" s="12">
        <f t="shared" si="42"/>
        <v>2</v>
      </c>
      <c r="D103" s="13">
        <v>1</v>
      </c>
      <c r="E103" s="13">
        <v>0</v>
      </c>
      <c r="F103" s="12">
        <f t="shared" si="43"/>
        <v>19</v>
      </c>
      <c r="H103" s="9">
        <v>2</v>
      </c>
      <c r="I103" s="9">
        <v>19</v>
      </c>
      <c r="K103" s="9" t="s">
        <v>366</v>
      </c>
      <c r="M103" s="9">
        <v>0</v>
      </c>
      <c r="N103" s="9">
        <v>15</v>
      </c>
      <c r="O103" s="9" t="s">
        <v>742</v>
      </c>
      <c r="P103" s="55" t="s">
        <v>1344</v>
      </c>
      <c r="Q103" s="9" t="s">
        <v>688</v>
      </c>
      <c r="S103" s="81" t="s">
        <v>527</v>
      </c>
      <c r="T103" s="9">
        <f ca="1">IFERROR(OFFSET(ITEM_RES!$A$5,MATCH(BUILDING!S103,ITEM_RES!$J$5:$J$229,0)-1,0),0)</f>
        <v>211021101</v>
      </c>
      <c r="U103" s="11">
        <v>10</v>
      </c>
      <c r="V103" s="81" t="s">
        <v>526</v>
      </c>
      <c r="W103" s="11">
        <f ca="1">IFERROR(OFFSET(ITEM_RES!$A$5,MATCH(BUILDING!V103,ITEM_RES!$J$5:$J$229,0)-1,0),0)</f>
        <v>211010401</v>
      </c>
      <c r="Y103" s="9" t="s">
        <v>498</v>
      </c>
      <c r="Z103" s="9">
        <v>19</v>
      </c>
      <c r="AB103" s="11">
        <f ca="1">IFERROR(OFFSET(MANOR_LEVEL!$B$1,MATCH(AC103-1,MANOR_LEVEL!$A:$A,0)-1,0),0)</f>
        <v>3500000</v>
      </c>
      <c r="AC103" s="55">
        <v>12</v>
      </c>
      <c r="AE103" s="11">
        <f t="shared" ca="1" si="45"/>
        <v>250000000</v>
      </c>
      <c r="AF103" s="10">
        <f ca="1">AK103+AM103+(IFERROR(OFFSET(ITEM_RES!$R$1,MATCH(AQ103,ITEM_RES!$A:$A,0)-1,0),0)*AS103+IFERROR(OFFSET(ITEM_RES!$R$1,MATCH(AV103,ITEM_RES!$A:$A,0)-1,0),0)*AX103+IFERROR(OFFSET(ITEM_RES!$R$1,MATCH(BA103,ITEM_RES!$A:$A,0)-1,0),0)*BC103+IFERROR(OFFSET(ITEM_RES!$R$1,MATCH(BF103,ITEM_RES!$A:$A,0)-1,0),0)*BH103+IFERROR(OFFSET(ITEM_RES!$R$1,MATCH(BK103,ITEM_RES!$A:$A,0)-1,0),0)*BM103)/1000</f>
        <v>250000000</v>
      </c>
      <c r="AG103" s="176">
        <f t="shared" ca="1" si="40"/>
        <v>412500000</v>
      </c>
      <c r="AI103" s="11">
        <f t="shared" si="21"/>
        <v>1800</v>
      </c>
      <c r="AJ103" s="10">
        <v>1800</v>
      </c>
      <c r="AK103" s="11">
        <f t="shared" si="46"/>
        <v>0</v>
      </c>
      <c r="AL103" s="10">
        <v>0</v>
      </c>
      <c r="AM103" s="11">
        <f t="shared" si="24"/>
        <v>0</v>
      </c>
      <c r="AN103" s="10">
        <v>0</v>
      </c>
      <c r="AO103" s="55">
        <f t="shared" si="25"/>
        <v>2</v>
      </c>
      <c r="AQ103" s="11">
        <f ca="1">IFERROR(OFFSET(ITEM_RES!$A$1,MATCH(AR103,ITEM_RES!$J:$J,0)-1,0),0)</f>
        <v>211020301</v>
      </c>
      <c r="AR103" s="10" t="s">
        <v>995</v>
      </c>
      <c r="AS103" s="11">
        <v>20000000</v>
      </c>
      <c r="AV103" s="11">
        <f ca="1">IFERROR(OFFSET(ITEM_RES!$A$1,MATCH(AW103,ITEM_RES!$J:$J,0)-1,0),0)</f>
        <v>211020501</v>
      </c>
      <c r="AW103" s="10" t="s">
        <v>424</v>
      </c>
      <c r="AX103" s="11">
        <v>10000000</v>
      </c>
      <c r="BA103" s="11">
        <f ca="1">IFERROR(OFFSET(ITEM_RES!$A$1,MATCH(BB103,ITEM_RES!$J:$J,0)-1,0),0)</f>
        <v>0</v>
      </c>
      <c r="BF103" s="11">
        <f ca="1">IFERROR(OFFSET(ITEM_RES!$A$1,MATCH(BG103,ITEM_RES!$J:$J,0)-1,0),0)</f>
        <v>0</v>
      </c>
      <c r="BK103" s="11">
        <f ca="1">IFERROR(OFFSET(ITEM_RES!$A$1,MATCH(BL103,ITEM_RES!$J:$J,0)-1,0),0)</f>
        <v>0</v>
      </c>
      <c r="BM103" s="11">
        <f t="shared" si="44"/>
        <v>0</v>
      </c>
    </row>
    <row r="104" spans="1:66" ht="17.25" thickBot="1" x14ac:dyDescent="0.35">
      <c r="A104" s="14">
        <f t="shared" si="41"/>
        <v>112010020</v>
      </c>
      <c r="B104" s="13">
        <v>11</v>
      </c>
      <c r="C104" s="12">
        <f t="shared" si="42"/>
        <v>2</v>
      </c>
      <c r="D104" s="13">
        <v>1</v>
      </c>
      <c r="E104" s="13">
        <v>0</v>
      </c>
      <c r="F104" s="12">
        <f t="shared" si="43"/>
        <v>20</v>
      </c>
      <c r="H104" s="9">
        <v>2</v>
      </c>
      <c r="I104" s="9">
        <v>20</v>
      </c>
      <c r="K104" s="9" t="s">
        <v>366</v>
      </c>
      <c r="M104" s="9">
        <v>0</v>
      </c>
      <c r="N104" s="9">
        <v>15</v>
      </c>
      <c r="O104" s="9" t="s">
        <v>742</v>
      </c>
      <c r="P104" s="55" t="s">
        <v>1344</v>
      </c>
      <c r="Q104" s="9" t="s">
        <v>688</v>
      </c>
      <c r="S104" s="81" t="s">
        <v>527</v>
      </c>
      <c r="T104" s="9">
        <f ca="1">IFERROR(OFFSET(ITEM_RES!$A$5,MATCH(BUILDING!S104,ITEM_RES!$J$5:$J$229,0)-1,0),0)</f>
        <v>211021101</v>
      </c>
      <c r="U104" s="11">
        <v>10</v>
      </c>
      <c r="V104" s="81" t="s">
        <v>526</v>
      </c>
      <c r="W104" s="11">
        <f ca="1">IFERROR(OFFSET(ITEM_RES!$A$5,MATCH(BUILDING!V104,ITEM_RES!$J$5:$J$229,0)-1,0),0)</f>
        <v>211010401</v>
      </c>
      <c r="Y104" s="9" t="s">
        <v>498</v>
      </c>
      <c r="Z104" s="9">
        <v>20</v>
      </c>
      <c r="AB104" s="11">
        <f ca="1">IFERROR(OFFSET(MANOR_LEVEL!$B$1,MATCH(AC104-1,MANOR_LEVEL!$A:$A,0)-1,0),0)</f>
        <v>3500000</v>
      </c>
      <c r="AC104" s="55">
        <v>12</v>
      </c>
      <c r="AE104" s="11">
        <f t="shared" ca="1" si="45"/>
        <v>400000000</v>
      </c>
      <c r="AF104" s="10">
        <f ca="1">AK104+AM104+(IFERROR(OFFSET(ITEM_RES!$R$1,MATCH(AQ104,ITEM_RES!$A:$A,0)-1,0),0)*AS104+IFERROR(OFFSET(ITEM_RES!$R$1,MATCH(AV104,ITEM_RES!$A:$A,0)-1,0),0)*AX104+IFERROR(OFFSET(ITEM_RES!$R$1,MATCH(BA104,ITEM_RES!$A:$A,0)-1,0),0)*BC104+IFERROR(OFFSET(ITEM_RES!$R$1,MATCH(BF104,ITEM_RES!$A:$A,0)-1,0),0)*BH104+IFERROR(OFFSET(ITEM_RES!$R$1,MATCH(BK104,ITEM_RES!$A:$A,0)-1,0),0)*BM104)/1000</f>
        <v>400000000</v>
      </c>
      <c r="AG104" s="176">
        <f t="shared" ca="1" si="40"/>
        <v>650000000</v>
      </c>
      <c r="AI104" s="11">
        <f t="shared" si="21"/>
        <v>1980</v>
      </c>
      <c r="AJ104" s="10">
        <v>1980</v>
      </c>
      <c r="AK104" s="11">
        <f t="shared" si="46"/>
        <v>0</v>
      </c>
      <c r="AL104" s="10">
        <v>0</v>
      </c>
      <c r="AM104" s="11">
        <f t="shared" si="24"/>
        <v>0</v>
      </c>
      <c r="AN104" s="10">
        <v>0</v>
      </c>
      <c r="AO104" s="55">
        <f t="shared" si="25"/>
        <v>2</v>
      </c>
      <c r="AQ104" s="11">
        <f ca="1">IFERROR(OFFSET(ITEM_RES!$A$1,MATCH(AR104,ITEM_RES!$J:$J,0)-1,0),0)</f>
        <v>211020301</v>
      </c>
      <c r="AR104" s="10" t="s">
        <v>995</v>
      </c>
      <c r="AS104" s="11">
        <v>32000000</v>
      </c>
      <c r="AV104" s="11">
        <f ca="1">IFERROR(OFFSET(ITEM_RES!$A$1,MATCH(AW104,ITEM_RES!$J:$J,0)-1,0),0)</f>
        <v>211020501</v>
      </c>
      <c r="AW104" s="10" t="s">
        <v>424</v>
      </c>
      <c r="AX104" s="11">
        <v>16000000</v>
      </c>
      <c r="BA104" s="11">
        <f ca="1">IFERROR(OFFSET(ITEM_RES!$A$1,MATCH(BB104,ITEM_RES!$J:$J,0)-1,0),0)</f>
        <v>0</v>
      </c>
      <c r="BF104" s="11">
        <f ca="1">IFERROR(OFFSET(ITEM_RES!$A$1,MATCH(BG104,ITEM_RES!$J:$J,0)-1,0),0)</f>
        <v>0</v>
      </c>
      <c r="BK104" s="11">
        <f ca="1">IFERROR(OFFSET(ITEM_RES!$A$1,MATCH(BL104,ITEM_RES!$J:$J,0)-1,0),0)</f>
        <v>0</v>
      </c>
      <c r="BM104" s="11">
        <f t="shared" si="44"/>
        <v>0</v>
      </c>
    </row>
    <row r="105" spans="1:66" s="15" customFormat="1" x14ac:dyDescent="0.3">
      <c r="A105" s="21">
        <f t="shared" si="41"/>
        <v>112020001</v>
      </c>
      <c r="B105" s="20">
        <v>11</v>
      </c>
      <c r="C105" s="19">
        <f t="shared" si="42"/>
        <v>2</v>
      </c>
      <c r="D105" s="20">
        <v>2</v>
      </c>
      <c r="E105" s="20">
        <v>0</v>
      </c>
      <c r="F105" s="19">
        <f t="shared" si="43"/>
        <v>1</v>
      </c>
      <c r="G105" s="76"/>
      <c r="H105" s="16">
        <v>2</v>
      </c>
      <c r="I105" s="16">
        <v>1</v>
      </c>
      <c r="J105" s="76"/>
      <c r="K105" s="65" t="s">
        <v>739</v>
      </c>
      <c r="L105" s="65">
        <v>6</v>
      </c>
      <c r="M105" s="16">
        <v>1</v>
      </c>
      <c r="N105" s="16">
        <v>15</v>
      </c>
      <c r="O105" s="16" t="s">
        <v>741</v>
      </c>
      <c r="P105" s="56" t="s">
        <v>1345</v>
      </c>
      <c r="Q105" s="16" t="s">
        <v>740</v>
      </c>
      <c r="R105" s="76"/>
      <c r="S105" s="83" t="s">
        <v>534</v>
      </c>
      <c r="T105" s="16">
        <f ca="1">IFERROR(OFFSET(ITEM_RES!$A$5,MATCH(BUILDING!S105,ITEM_RES!$J$5:$J$229,0)-1,0),0)</f>
        <v>211021001</v>
      </c>
      <c r="U105" s="18">
        <v>10</v>
      </c>
      <c r="V105" s="83" t="s">
        <v>527</v>
      </c>
      <c r="W105" s="18">
        <f ca="1">IFERROR(OFFSET(ITEM_RES!$A$5,MATCH(BUILDING!V105,ITEM_RES!$J$5:$J$229,0)-1,0),0)</f>
        <v>211021101</v>
      </c>
      <c r="X105" s="76"/>
      <c r="Y105" s="16" t="s">
        <v>499</v>
      </c>
      <c r="Z105" s="16">
        <v>1</v>
      </c>
      <c r="AA105" s="76"/>
      <c r="AB105" s="18">
        <f ca="1">IFERROR(OFFSET(MANOR_LEVEL!$B$1,MATCH(AC105-1,MANOR_LEVEL!$A:$A,0)-1,0),0)</f>
        <v>1200000</v>
      </c>
      <c r="AC105" s="56">
        <v>11</v>
      </c>
      <c r="AD105" s="76"/>
      <c r="AE105" s="18">
        <f t="shared" ca="1" si="45"/>
        <v>1180</v>
      </c>
      <c r="AF105" s="17">
        <f ca="1">AK105+AM105+(IFERROR(OFFSET(ITEM_RES!$R$1,MATCH(AQ105,ITEM_RES!$A:$A,0)-1,0),0)*AS105+IFERROR(OFFSET(ITEM_RES!$R$1,MATCH(AV105,ITEM_RES!$A:$A,0)-1,0),0)*AX105+IFERROR(OFFSET(ITEM_RES!$R$1,MATCH(BA105,ITEM_RES!$A:$A,0)-1,0),0)*BC105+IFERROR(OFFSET(ITEM_RES!$R$1,MATCH(BF105,ITEM_RES!$A:$A,0)-1,0),0)*BH105+IFERROR(OFFSET(ITEM_RES!$R$1,MATCH(BK105,ITEM_RES!$A:$A,0)-1,0),0)*BM105)/1000</f>
        <v>1180</v>
      </c>
      <c r="AG105" s="178">
        <f ca="1">AE105</f>
        <v>1180</v>
      </c>
      <c r="AH105" s="76"/>
      <c r="AI105" s="18">
        <f t="shared" si="21"/>
        <v>2</v>
      </c>
      <c r="AJ105" s="17">
        <v>2</v>
      </c>
      <c r="AK105" s="18">
        <f t="shared" si="46"/>
        <v>0</v>
      </c>
      <c r="AL105" s="17">
        <v>0</v>
      </c>
      <c r="AM105" s="18">
        <f t="shared" si="24"/>
        <v>0</v>
      </c>
      <c r="AN105" s="17">
        <v>0</v>
      </c>
      <c r="AO105" s="56">
        <f t="shared" si="25"/>
        <v>3</v>
      </c>
      <c r="AP105" s="18"/>
      <c r="AQ105" s="18">
        <f ca="1">IFERROR(OFFSET(ITEM_RES!$A$1,MATCH(AR105,ITEM_RES!$J:$J,0)-1,0),0)</f>
        <v>211020201</v>
      </c>
      <c r="AR105" s="17" t="s">
        <v>422</v>
      </c>
      <c r="AS105" s="18">
        <v>20</v>
      </c>
      <c r="AT105" s="17"/>
      <c r="AU105" s="18"/>
      <c r="AV105" s="18">
        <f ca="1">IFERROR(OFFSET(ITEM_RES!$A$1,MATCH(AW105,ITEM_RES!$J:$J,0)-1,0),0)</f>
        <v>211020401</v>
      </c>
      <c r="AW105" s="17" t="s">
        <v>415</v>
      </c>
      <c r="AX105" s="18">
        <v>20</v>
      </c>
      <c r="AY105" s="17"/>
      <c r="AZ105" s="18"/>
      <c r="BA105" s="18">
        <f ca="1">IFERROR(OFFSET(ITEM_RES!$A$1,MATCH(BB105,ITEM_RES!$J:$J,0)-1,0),0)</f>
        <v>213010101</v>
      </c>
      <c r="BB105" s="17" t="s">
        <v>440</v>
      </c>
      <c r="BC105" s="18">
        <v>1</v>
      </c>
      <c r="BD105" s="17"/>
      <c r="BE105" s="18"/>
      <c r="BF105" s="18">
        <f ca="1">IFERROR(OFFSET(ITEM_RES!$A$1,MATCH(BG105,ITEM_RES!$J:$J,0)-1,0),0)</f>
        <v>0</v>
      </c>
      <c r="BG105" s="17"/>
      <c r="BH105" s="18"/>
      <c r="BI105" s="17"/>
      <c r="BJ105" s="18"/>
      <c r="BK105" s="18">
        <f ca="1">IFERROR(OFFSET(ITEM_RES!$A$1,MATCH(BL105,ITEM_RES!$J:$J,0)-1,0),0)</f>
        <v>0</v>
      </c>
      <c r="BL105" s="17"/>
      <c r="BM105" s="18">
        <f t="shared" si="44"/>
        <v>0</v>
      </c>
      <c r="BN105" s="17"/>
    </row>
    <row r="106" spans="1:66" x14ac:dyDescent="0.3">
      <c r="A106" s="14">
        <f t="shared" si="41"/>
        <v>112020002</v>
      </c>
      <c r="B106" s="13">
        <v>11</v>
      </c>
      <c r="C106" s="12">
        <f t="shared" si="42"/>
        <v>2</v>
      </c>
      <c r="D106" s="13">
        <v>2</v>
      </c>
      <c r="E106" s="13">
        <v>0</v>
      </c>
      <c r="F106" s="12">
        <f t="shared" si="43"/>
        <v>2</v>
      </c>
      <c r="H106" s="9">
        <v>2</v>
      </c>
      <c r="I106" s="9">
        <v>2</v>
      </c>
      <c r="K106" s="9" t="s">
        <v>739</v>
      </c>
      <c r="M106" s="9">
        <v>1</v>
      </c>
      <c r="N106" s="9">
        <v>15</v>
      </c>
      <c r="O106" s="9" t="s">
        <v>741</v>
      </c>
      <c r="P106" s="55" t="s">
        <v>1345</v>
      </c>
      <c r="Q106" s="9" t="s">
        <v>740</v>
      </c>
      <c r="S106" s="81" t="s">
        <v>397</v>
      </c>
      <c r="T106" s="9">
        <f ca="1">IFERROR(OFFSET(ITEM_RES!$A$5,MATCH(BUILDING!S106,ITEM_RES!$J$5:$J$229,0)-1,0),0)</f>
        <v>211021001</v>
      </c>
      <c r="U106" s="11">
        <v>10</v>
      </c>
      <c r="V106" s="81" t="s">
        <v>527</v>
      </c>
      <c r="W106" s="11">
        <f ca="1">IFERROR(OFFSET(ITEM_RES!$A$5,MATCH(BUILDING!V106,ITEM_RES!$J$5:$J$229,0)-1,0),0)</f>
        <v>211021101</v>
      </c>
      <c r="Y106" s="9" t="s">
        <v>499</v>
      </c>
      <c r="Z106" s="9">
        <v>2</v>
      </c>
      <c r="AB106" s="11">
        <f ca="1">IFERROR(OFFSET(MANOR_LEVEL!$B$1,MATCH(AC106-1,MANOR_LEVEL!$A:$A,0)-1,0),0)</f>
        <v>1200000</v>
      </c>
      <c r="AC106" s="55">
        <v>11</v>
      </c>
      <c r="AE106" s="11">
        <f t="shared" ca="1" si="45"/>
        <v>360</v>
      </c>
      <c r="AF106" s="10">
        <f ca="1">AK106+AM106+(IFERROR(OFFSET(ITEM_RES!$R$1,MATCH(AQ106,ITEM_RES!$A:$A,0)-1,0),0)*AS106+IFERROR(OFFSET(ITEM_RES!$R$1,MATCH(AV106,ITEM_RES!$A:$A,0)-1,0),0)*AX106+IFERROR(OFFSET(ITEM_RES!$R$1,MATCH(BA106,ITEM_RES!$A:$A,0)-1,0),0)*BC106+IFERROR(OFFSET(ITEM_RES!$R$1,MATCH(BF106,ITEM_RES!$A:$A,0)-1,0),0)*BH106+IFERROR(OFFSET(ITEM_RES!$R$1,MATCH(BK106,ITEM_RES!$A:$A,0)-1,0),0)*BM106)/1000</f>
        <v>360</v>
      </c>
      <c r="AG106" s="176">
        <f ca="1">AE105+AE106</f>
        <v>1540</v>
      </c>
      <c r="AI106" s="11">
        <f t="shared" si="21"/>
        <v>2</v>
      </c>
      <c r="AJ106" s="10">
        <v>2</v>
      </c>
      <c r="AK106" s="11">
        <f t="shared" si="46"/>
        <v>0</v>
      </c>
      <c r="AL106" s="10">
        <v>0</v>
      </c>
      <c r="AM106" s="11">
        <f t="shared" si="24"/>
        <v>0</v>
      </c>
      <c r="AN106" s="10">
        <v>0</v>
      </c>
      <c r="AO106" s="55">
        <f t="shared" si="25"/>
        <v>2</v>
      </c>
      <c r="AQ106" s="11">
        <f ca="1">IFERROR(OFFSET(ITEM_RES!$A$1,MATCH(AR106,ITEM_RES!$J:$J,0)-1,0),0)</f>
        <v>211020201</v>
      </c>
      <c r="AR106" s="10" t="s">
        <v>423</v>
      </c>
      <c r="AS106" s="11">
        <v>40</v>
      </c>
      <c r="AV106" s="11">
        <f ca="1">IFERROR(OFFSET(ITEM_RES!$A$1,MATCH(AW106,ITEM_RES!$J:$J,0)-1,0),0)</f>
        <v>211020401</v>
      </c>
      <c r="AW106" s="10" t="s">
        <v>415</v>
      </c>
      <c r="AX106" s="11">
        <v>40</v>
      </c>
      <c r="BA106" s="11">
        <f ca="1">IFERROR(OFFSET(ITEM_RES!$A$1,MATCH(BB106,ITEM_RES!$J:$J,0)-1,0),0)</f>
        <v>0</v>
      </c>
      <c r="BF106" s="11">
        <f ca="1">IFERROR(OFFSET(ITEM_RES!$A$1,MATCH(BG106,ITEM_RES!$J:$J,0)-1,0),0)</f>
        <v>0</v>
      </c>
      <c r="BK106" s="11">
        <f ca="1">IFERROR(OFFSET(ITEM_RES!$A$1,MATCH(BL106,ITEM_RES!$J:$J,0)-1,0),0)</f>
        <v>0</v>
      </c>
      <c r="BM106" s="11">
        <f t="shared" si="44"/>
        <v>0</v>
      </c>
    </row>
    <row r="107" spans="1:66" x14ac:dyDescent="0.3">
      <c r="A107" s="14">
        <f t="shared" si="41"/>
        <v>112020003</v>
      </c>
      <c r="B107" s="13">
        <v>11</v>
      </c>
      <c r="C107" s="12">
        <f t="shared" si="42"/>
        <v>2</v>
      </c>
      <c r="D107" s="13">
        <v>2</v>
      </c>
      <c r="E107" s="13">
        <v>0</v>
      </c>
      <c r="F107" s="12">
        <f t="shared" si="43"/>
        <v>3</v>
      </c>
      <c r="H107" s="9">
        <v>2</v>
      </c>
      <c r="I107" s="9">
        <v>3</v>
      </c>
      <c r="K107" s="9" t="s">
        <v>739</v>
      </c>
      <c r="M107" s="9">
        <v>1</v>
      </c>
      <c r="N107" s="9">
        <v>15</v>
      </c>
      <c r="O107" s="9" t="s">
        <v>741</v>
      </c>
      <c r="P107" s="55" t="s">
        <v>1345</v>
      </c>
      <c r="Q107" s="9" t="s">
        <v>740</v>
      </c>
      <c r="S107" s="81" t="s">
        <v>397</v>
      </c>
      <c r="T107" s="9">
        <f ca="1">IFERROR(OFFSET(ITEM_RES!$A$5,MATCH(BUILDING!S107,ITEM_RES!$J$5:$J$229,0)-1,0),0)</f>
        <v>211021001</v>
      </c>
      <c r="U107" s="11">
        <v>10</v>
      </c>
      <c r="V107" s="81" t="s">
        <v>527</v>
      </c>
      <c r="W107" s="11">
        <f ca="1">IFERROR(OFFSET(ITEM_RES!$A$5,MATCH(BUILDING!V107,ITEM_RES!$J$5:$J$229,0)-1,0),0)</f>
        <v>211021101</v>
      </c>
      <c r="Y107" s="9" t="s">
        <v>499</v>
      </c>
      <c r="Z107" s="9">
        <v>3</v>
      </c>
      <c r="AB107" s="11">
        <f ca="1">IFERROR(OFFSET(MANOR_LEVEL!$B$1,MATCH(AC107-1,MANOR_LEVEL!$A:$A,0)-1,0),0)</f>
        <v>1200000</v>
      </c>
      <c r="AC107" s="55">
        <v>11</v>
      </c>
      <c r="AE107" s="11">
        <f t="shared" ca="1" si="45"/>
        <v>540</v>
      </c>
      <c r="AF107" s="10">
        <f ca="1">AK107+AM107+(IFERROR(OFFSET(ITEM_RES!$R$1,MATCH(AQ107,ITEM_RES!$A:$A,0)-1,0),0)*AS107+IFERROR(OFFSET(ITEM_RES!$R$1,MATCH(AV107,ITEM_RES!$A:$A,0)-1,0),0)*AX107+IFERROR(OFFSET(ITEM_RES!$R$1,MATCH(BA107,ITEM_RES!$A:$A,0)-1,0),0)*BC107+IFERROR(OFFSET(ITEM_RES!$R$1,MATCH(BF107,ITEM_RES!$A:$A,0)-1,0),0)*BH107+IFERROR(OFFSET(ITEM_RES!$R$1,MATCH(BK107,ITEM_RES!$A:$A,0)-1,0),0)*BM107)/1000</f>
        <v>540</v>
      </c>
      <c r="AG107" s="176">
        <f t="shared" ref="AG107:AG124" ca="1" si="47">AE106+AE107</f>
        <v>900</v>
      </c>
      <c r="AI107" s="11">
        <f t="shared" si="21"/>
        <v>3</v>
      </c>
      <c r="AJ107" s="10">
        <v>3</v>
      </c>
      <c r="AK107" s="11">
        <f t="shared" si="46"/>
        <v>0</v>
      </c>
      <c r="AL107" s="10">
        <v>0</v>
      </c>
      <c r="AM107" s="11">
        <f t="shared" si="24"/>
        <v>0</v>
      </c>
      <c r="AN107" s="10">
        <v>0</v>
      </c>
      <c r="AO107" s="55">
        <f t="shared" si="25"/>
        <v>2</v>
      </c>
      <c r="AQ107" s="11">
        <f ca="1">IFERROR(OFFSET(ITEM_RES!$A$1,MATCH(AR107,ITEM_RES!$J:$J,0)-1,0),0)</f>
        <v>211020201</v>
      </c>
      <c r="AR107" s="10" t="s">
        <v>422</v>
      </c>
      <c r="AS107" s="11">
        <v>60</v>
      </c>
      <c r="AV107" s="11">
        <f ca="1">IFERROR(OFFSET(ITEM_RES!$A$1,MATCH(AW107,ITEM_RES!$J:$J,0)-1,0),0)</f>
        <v>211020401</v>
      </c>
      <c r="AW107" s="10" t="s">
        <v>415</v>
      </c>
      <c r="AX107" s="11">
        <v>60</v>
      </c>
      <c r="BA107" s="11">
        <f ca="1">IFERROR(OFFSET(ITEM_RES!$A$1,MATCH(BB107,ITEM_RES!$J:$J,0)-1,0),0)</f>
        <v>0</v>
      </c>
      <c r="BF107" s="11">
        <f ca="1">IFERROR(OFFSET(ITEM_RES!$A$1,MATCH(BG107,ITEM_RES!$J:$J,0)-1,0),0)</f>
        <v>0</v>
      </c>
      <c r="BK107" s="11">
        <f ca="1">IFERROR(OFFSET(ITEM_RES!$A$1,MATCH(BL107,ITEM_RES!$J:$J,0)-1,0),0)</f>
        <v>0</v>
      </c>
      <c r="BM107" s="11">
        <f t="shared" si="44"/>
        <v>0</v>
      </c>
    </row>
    <row r="108" spans="1:66" x14ac:dyDescent="0.3">
      <c r="A108" s="14">
        <f t="shared" si="41"/>
        <v>112020004</v>
      </c>
      <c r="B108" s="13">
        <v>11</v>
      </c>
      <c r="C108" s="12">
        <f t="shared" si="42"/>
        <v>2</v>
      </c>
      <c r="D108" s="13">
        <v>2</v>
      </c>
      <c r="E108" s="13">
        <v>0</v>
      </c>
      <c r="F108" s="12">
        <f t="shared" si="43"/>
        <v>4</v>
      </c>
      <c r="H108" s="9">
        <v>2</v>
      </c>
      <c r="I108" s="9">
        <v>4</v>
      </c>
      <c r="K108" s="9" t="s">
        <v>739</v>
      </c>
      <c r="M108" s="9">
        <v>1</v>
      </c>
      <c r="N108" s="9">
        <v>15</v>
      </c>
      <c r="O108" s="9" t="s">
        <v>741</v>
      </c>
      <c r="P108" s="55" t="s">
        <v>1345</v>
      </c>
      <c r="Q108" s="9" t="s">
        <v>740</v>
      </c>
      <c r="S108" s="81" t="s">
        <v>397</v>
      </c>
      <c r="T108" s="9">
        <f ca="1">IFERROR(OFFSET(ITEM_RES!$A$5,MATCH(BUILDING!S108,ITEM_RES!$J$5:$J$229,0)-1,0),0)</f>
        <v>211021001</v>
      </c>
      <c r="U108" s="11">
        <v>10</v>
      </c>
      <c r="V108" s="81" t="s">
        <v>527</v>
      </c>
      <c r="W108" s="11">
        <f ca="1">IFERROR(OFFSET(ITEM_RES!$A$5,MATCH(BUILDING!V108,ITEM_RES!$J$5:$J$229,0)-1,0),0)</f>
        <v>211021101</v>
      </c>
      <c r="Y108" s="9" t="s">
        <v>499</v>
      </c>
      <c r="Z108" s="9">
        <v>4</v>
      </c>
      <c r="AB108" s="11">
        <f ca="1">IFERROR(OFFSET(MANOR_LEVEL!$B$1,MATCH(AC108-1,MANOR_LEVEL!$A:$A,0)-1,0),0)</f>
        <v>3500000</v>
      </c>
      <c r="AC108" s="55">
        <v>12</v>
      </c>
      <c r="AE108" s="11">
        <f t="shared" ca="1" si="45"/>
        <v>2160</v>
      </c>
      <c r="AF108" s="10">
        <f ca="1">AK108+AM108+(IFERROR(OFFSET(ITEM_RES!$R$1,MATCH(AQ108,ITEM_RES!$A:$A,0)-1,0),0)*AS108+IFERROR(OFFSET(ITEM_RES!$R$1,MATCH(AV108,ITEM_RES!$A:$A,0)-1,0),0)*AX108+IFERROR(OFFSET(ITEM_RES!$R$1,MATCH(BA108,ITEM_RES!$A:$A,0)-1,0),0)*BC108+IFERROR(OFFSET(ITEM_RES!$R$1,MATCH(BF108,ITEM_RES!$A:$A,0)-1,0),0)*BH108+IFERROR(OFFSET(ITEM_RES!$R$1,MATCH(BK108,ITEM_RES!$A:$A,0)-1,0),0)*BM108)/1000</f>
        <v>2160</v>
      </c>
      <c r="AG108" s="176">
        <f t="shared" ca="1" si="47"/>
        <v>2700</v>
      </c>
      <c r="AI108" s="11">
        <f t="shared" si="21"/>
        <v>5</v>
      </c>
      <c r="AJ108" s="10">
        <v>5</v>
      </c>
      <c r="AK108" s="11">
        <f t="shared" si="46"/>
        <v>0</v>
      </c>
      <c r="AL108" s="10">
        <v>0</v>
      </c>
      <c r="AM108" s="11">
        <f t="shared" si="24"/>
        <v>0</v>
      </c>
      <c r="AN108" s="10">
        <v>0</v>
      </c>
      <c r="AO108" s="55">
        <f t="shared" si="25"/>
        <v>2</v>
      </c>
      <c r="AQ108" s="11">
        <f ca="1">IFERROR(OFFSET(ITEM_RES!$A$1,MATCH(AR108,ITEM_RES!$J:$J,0)-1,0),0)</f>
        <v>211020201</v>
      </c>
      <c r="AR108" s="10" t="s">
        <v>422</v>
      </c>
      <c r="AS108" s="11">
        <v>240</v>
      </c>
      <c r="AV108" s="11">
        <f ca="1">IFERROR(OFFSET(ITEM_RES!$A$1,MATCH(AW108,ITEM_RES!$J:$J,0)-1,0),0)</f>
        <v>211020401</v>
      </c>
      <c r="AW108" s="10" t="s">
        <v>415</v>
      </c>
      <c r="AX108" s="11">
        <v>240</v>
      </c>
      <c r="BA108" s="11">
        <f ca="1">IFERROR(OFFSET(ITEM_RES!$A$1,MATCH(BB108,ITEM_RES!$J:$J,0)-1,0),0)</f>
        <v>0</v>
      </c>
      <c r="BF108" s="11">
        <f ca="1">IFERROR(OFFSET(ITEM_RES!$A$1,MATCH(BG108,ITEM_RES!$J:$J,0)-1,0),0)</f>
        <v>0</v>
      </c>
      <c r="BK108" s="11">
        <f ca="1">IFERROR(OFFSET(ITEM_RES!$A$1,MATCH(BL108,ITEM_RES!$J:$J,0)-1,0),0)</f>
        <v>0</v>
      </c>
      <c r="BM108" s="11">
        <f t="shared" si="44"/>
        <v>0</v>
      </c>
    </row>
    <row r="109" spans="1:66" x14ac:dyDescent="0.3">
      <c r="A109" s="14">
        <f t="shared" si="41"/>
        <v>112020005</v>
      </c>
      <c r="B109" s="13">
        <v>11</v>
      </c>
      <c r="C109" s="12">
        <f t="shared" si="42"/>
        <v>2</v>
      </c>
      <c r="D109" s="13">
        <v>2</v>
      </c>
      <c r="E109" s="13">
        <v>0</v>
      </c>
      <c r="F109" s="12">
        <f t="shared" si="43"/>
        <v>5</v>
      </c>
      <c r="H109" s="9">
        <v>2</v>
      </c>
      <c r="I109" s="9">
        <v>5</v>
      </c>
      <c r="K109" s="9" t="s">
        <v>739</v>
      </c>
      <c r="M109" s="9">
        <v>1</v>
      </c>
      <c r="N109" s="9">
        <v>15</v>
      </c>
      <c r="O109" s="9" t="s">
        <v>741</v>
      </c>
      <c r="P109" s="55" t="s">
        <v>1345</v>
      </c>
      <c r="Q109" s="9" t="s">
        <v>740</v>
      </c>
      <c r="S109" s="81" t="s">
        <v>397</v>
      </c>
      <c r="T109" s="9">
        <f ca="1">IFERROR(OFFSET(ITEM_RES!$A$5,MATCH(BUILDING!S109,ITEM_RES!$J$5:$J$229,0)-1,0),0)</f>
        <v>211021001</v>
      </c>
      <c r="U109" s="11">
        <v>10</v>
      </c>
      <c r="V109" s="81" t="s">
        <v>527</v>
      </c>
      <c r="W109" s="11">
        <f ca="1">IFERROR(OFFSET(ITEM_RES!$A$5,MATCH(BUILDING!V109,ITEM_RES!$J$5:$J$229,0)-1,0),0)</f>
        <v>211021101</v>
      </c>
      <c r="Y109" s="9" t="s">
        <v>499</v>
      </c>
      <c r="Z109" s="9">
        <v>5</v>
      </c>
      <c r="AB109" s="11">
        <f ca="1">IFERROR(OFFSET(MANOR_LEVEL!$B$1,MATCH(AC109-1,MANOR_LEVEL!$A:$A,0)-1,0),0)</f>
        <v>3500000</v>
      </c>
      <c r="AC109" s="55">
        <v>12</v>
      </c>
      <c r="AE109" s="11">
        <f t="shared" ca="1" si="45"/>
        <v>9720</v>
      </c>
      <c r="AF109" s="10">
        <f ca="1">AK109+AM109+(IFERROR(OFFSET(ITEM_RES!$R$1,MATCH(AQ109,ITEM_RES!$A:$A,0)-1,0),0)*AS109+IFERROR(OFFSET(ITEM_RES!$R$1,MATCH(AV109,ITEM_RES!$A:$A,0)-1,0),0)*AX109+IFERROR(OFFSET(ITEM_RES!$R$1,MATCH(BA109,ITEM_RES!$A:$A,0)-1,0),0)*BC109+IFERROR(OFFSET(ITEM_RES!$R$1,MATCH(BF109,ITEM_RES!$A:$A,0)-1,0),0)*BH109+IFERROR(OFFSET(ITEM_RES!$R$1,MATCH(BK109,ITEM_RES!$A:$A,0)-1,0),0)*BM109)/1000</f>
        <v>9720</v>
      </c>
      <c r="AG109" s="176">
        <f t="shared" ca="1" si="47"/>
        <v>11880</v>
      </c>
      <c r="AI109" s="11">
        <f t="shared" si="21"/>
        <v>8</v>
      </c>
      <c r="AJ109" s="10">
        <v>8</v>
      </c>
      <c r="AK109" s="11">
        <f t="shared" si="46"/>
        <v>0</v>
      </c>
      <c r="AL109" s="10">
        <v>0</v>
      </c>
      <c r="AM109" s="11">
        <f t="shared" si="24"/>
        <v>0</v>
      </c>
      <c r="AN109" s="10">
        <v>0</v>
      </c>
      <c r="AO109" s="55">
        <f t="shared" si="25"/>
        <v>2</v>
      </c>
      <c r="AQ109" s="11">
        <f ca="1">IFERROR(OFFSET(ITEM_RES!$A$1,MATCH(AR109,ITEM_RES!$J:$J,0)-1,0),0)</f>
        <v>211020201</v>
      </c>
      <c r="AR109" s="10" t="s">
        <v>422</v>
      </c>
      <c r="AS109" s="11">
        <v>1080</v>
      </c>
      <c r="AV109" s="11">
        <f ca="1">IFERROR(OFFSET(ITEM_RES!$A$1,MATCH(AW109,ITEM_RES!$J:$J,0)-1,0),0)</f>
        <v>211020401</v>
      </c>
      <c r="AW109" s="10" t="s">
        <v>415</v>
      </c>
      <c r="AX109" s="11">
        <v>1080</v>
      </c>
      <c r="BA109" s="11">
        <f ca="1">IFERROR(OFFSET(ITEM_RES!$A$1,MATCH(BB109,ITEM_RES!$J:$J,0)-1,0),0)</f>
        <v>0</v>
      </c>
      <c r="BF109" s="11">
        <f ca="1">IFERROR(OFFSET(ITEM_RES!$A$1,MATCH(BG109,ITEM_RES!$J:$J,0)-1,0),0)</f>
        <v>0</v>
      </c>
      <c r="BK109" s="11">
        <f ca="1">IFERROR(OFFSET(ITEM_RES!$A$1,MATCH(BL109,ITEM_RES!$J:$J,0)-1,0),0)</f>
        <v>0</v>
      </c>
      <c r="BM109" s="11">
        <f t="shared" si="44"/>
        <v>0</v>
      </c>
    </row>
    <row r="110" spans="1:66" x14ac:dyDescent="0.3">
      <c r="A110" s="14">
        <f t="shared" si="41"/>
        <v>112020006</v>
      </c>
      <c r="B110" s="13">
        <v>11</v>
      </c>
      <c r="C110" s="12">
        <f t="shared" si="42"/>
        <v>2</v>
      </c>
      <c r="D110" s="13">
        <v>2</v>
      </c>
      <c r="E110" s="13">
        <v>0</v>
      </c>
      <c r="F110" s="12">
        <f t="shared" si="43"/>
        <v>6</v>
      </c>
      <c r="H110" s="9">
        <v>2</v>
      </c>
      <c r="I110" s="9">
        <v>6</v>
      </c>
      <c r="K110" s="9" t="s">
        <v>739</v>
      </c>
      <c r="M110" s="9">
        <v>1</v>
      </c>
      <c r="N110" s="9">
        <v>15</v>
      </c>
      <c r="O110" s="9" t="s">
        <v>741</v>
      </c>
      <c r="P110" s="55" t="s">
        <v>1345</v>
      </c>
      <c r="Q110" s="9" t="s">
        <v>740</v>
      </c>
      <c r="S110" s="81" t="s">
        <v>397</v>
      </c>
      <c r="T110" s="9">
        <f ca="1">IFERROR(OFFSET(ITEM_RES!$A$5,MATCH(BUILDING!S110,ITEM_RES!$J$5:$J$229,0)-1,0),0)</f>
        <v>211021001</v>
      </c>
      <c r="U110" s="11">
        <v>10</v>
      </c>
      <c r="V110" s="81" t="s">
        <v>527</v>
      </c>
      <c r="W110" s="11">
        <f ca="1">IFERROR(OFFSET(ITEM_RES!$A$5,MATCH(BUILDING!V110,ITEM_RES!$J$5:$J$229,0)-1,0),0)</f>
        <v>211021101</v>
      </c>
      <c r="Y110" s="9" t="s">
        <v>499</v>
      </c>
      <c r="Z110" s="9">
        <v>6</v>
      </c>
      <c r="AB110" s="11">
        <f ca="1">IFERROR(OFFSET(MANOR_LEVEL!$B$1,MATCH(AC110-1,MANOR_LEVEL!$A:$A,0)-1,0),0)</f>
        <v>3500000</v>
      </c>
      <c r="AC110" s="55">
        <v>12</v>
      </c>
      <c r="AE110" s="11">
        <f t="shared" ca="1" si="45"/>
        <v>32400</v>
      </c>
      <c r="AF110" s="10">
        <f ca="1">AK110+AM110+(IFERROR(OFFSET(ITEM_RES!$R$1,MATCH(AQ110,ITEM_RES!$A:$A,0)-1,0),0)*AS110+IFERROR(OFFSET(ITEM_RES!$R$1,MATCH(AV110,ITEM_RES!$A:$A,0)-1,0),0)*AX110+IFERROR(OFFSET(ITEM_RES!$R$1,MATCH(BA110,ITEM_RES!$A:$A,0)-1,0),0)*BC110+IFERROR(OFFSET(ITEM_RES!$R$1,MATCH(BF110,ITEM_RES!$A:$A,0)-1,0),0)*BH110+IFERROR(OFFSET(ITEM_RES!$R$1,MATCH(BK110,ITEM_RES!$A:$A,0)-1,0),0)*BM110)/1000</f>
        <v>32400</v>
      </c>
      <c r="AG110" s="176">
        <f t="shared" ca="1" si="47"/>
        <v>42120</v>
      </c>
      <c r="AI110" s="11">
        <f t="shared" si="21"/>
        <v>10</v>
      </c>
      <c r="AJ110" s="10">
        <v>10</v>
      </c>
      <c r="AK110" s="11">
        <f t="shared" si="46"/>
        <v>0</v>
      </c>
      <c r="AL110" s="10">
        <v>0</v>
      </c>
      <c r="AM110" s="11">
        <f t="shared" si="24"/>
        <v>0</v>
      </c>
      <c r="AN110" s="10">
        <v>0</v>
      </c>
      <c r="AO110" s="55">
        <f t="shared" si="25"/>
        <v>2</v>
      </c>
      <c r="AQ110" s="11">
        <f ca="1">IFERROR(OFFSET(ITEM_RES!$A$1,MATCH(AR110,ITEM_RES!$J:$J,0)-1,0),0)</f>
        <v>211020201</v>
      </c>
      <c r="AR110" s="10" t="s">
        <v>422</v>
      </c>
      <c r="AS110" s="11">
        <v>3600</v>
      </c>
      <c r="AV110" s="11">
        <f ca="1">IFERROR(OFFSET(ITEM_RES!$A$1,MATCH(AW110,ITEM_RES!$J:$J,0)-1,0),0)</f>
        <v>211020401</v>
      </c>
      <c r="AW110" s="10" t="s">
        <v>415</v>
      </c>
      <c r="AX110" s="11">
        <v>3600</v>
      </c>
      <c r="BA110" s="11">
        <f ca="1">IFERROR(OFFSET(ITEM_RES!$A$1,MATCH(BB110,ITEM_RES!$J:$J,0)-1,0),0)</f>
        <v>0</v>
      </c>
      <c r="BF110" s="11">
        <f ca="1">IFERROR(OFFSET(ITEM_RES!$A$1,MATCH(BG110,ITEM_RES!$J:$J,0)-1,0),0)</f>
        <v>0</v>
      </c>
      <c r="BK110" s="11">
        <f ca="1">IFERROR(OFFSET(ITEM_RES!$A$1,MATCH(BL110,ITEM_RES!$J:$J,0)-1,0),0)</f>
        <v>0</v>
      </c>
      <c r="BM110" s="11">
        <f t="shared" si="44"/>
        <v>0</v>
      </c>
    </row>
    <row r="111" spans="1:66" x14ac:dyDescent="0.3">
      <c r="A111" s="14">
        <f t="shared" si="41"/>
        <v>112020007</v>
      </c>
      <c r="B111" s="13">
        <v>11</v>
      </c>
      <c r="C111" s="12">
        <f t="shared" si="42"/>
        <v>2</v>
      </c>
      <c r="D111" s="13">
        <v>2</v>
      </c>
      <c r="E111" s="13">
        <v>0</v>
      </c>
      <c r="F111" s="12">
        <f t="shared" si="43"/>
        <v>7</v>
      </c>
      <c r="H111" s="9">
        <v>2</v>
      </c>
      <c r="I111" s="9">
        <v>7</v>
      </c>
      <c r="K111" s="9" t="s">
        <v>739</v>
      </c>
      <c r="M111" s="9">
        <v>1</v>
      </c>
      <c r="N111" s="9">
        <v>15</v>
      </c>
      <c r="O111" s="9" t="s">
        <v>741</v>
      </c>
      <c r="P111" s="55" t="s">
        <v>1345</v>
      </c>
      <c r="Q111" s="9" t="s">
        <v>740</v>
      </c>
      <c r="S111" s="81" t="s">
        <v>397</v>
      </c>
      <c r="T111" s="9">
        <f ca="1">IFERROR(OFFSET(ITEM_RES!$A$5,MATCH(BUILDING!S111,ITEM_RES!$J$5:$J$229,0)-1,0),0)</f>
        <v>211021001</v>
      </c>
      <c r="U111" s="11">
        <v>10</v>
      </c>
      <c r="V111" s="81" t="s">
        <v>527</v>
      </c>
      <c r="W111" s="11">
        <f ca="1">IFERROR(OFFSET(ITEM_RES!$A$5,MATCH(BUILDING!V111,ITEM_RES!$J$5:$J$229,0)-1,0),0)</f>
        <v>211021101</v>
      </c>
      <c r="Y111" s="9" t="s">
        <v>499</v>
      </c>
      <c r="Z111" s="9">
        <v>7</v>
      </c>
      <c r="AB111" s="11">
        <f ca="1">IFERROR(OFFSET(MANOR_LEVEL!$B$1,MATCH(AC111-1,MANOR_LEVEL!$A:$A,0)-1,0),0)</f>
        <v>3500000</v>
      </c>
      <c r="AC111" s="55">
        <v>12</v>
      </c>
      <c r="AE111" s="11">
        <f t="shared" ca="1" si="45"/>
        <v>72000</v>
      </c>
      <c r="AF111" s="10">
        <f ca="1">AK111+AM111+(IFERROR(OFFSET(ITEM_RES!$R$1,MATCH(AQ111,ITEM_RES!$A:$A,0)-1,0),0)*AS111+IFERROR(OFFSET(ITEM_RES!$R$1,MATCH(AV111,ITEM_RES!$A:$A,0)-1,0),0)*AX111+IFERROR(OFFSET(ITEM_RES!$R$1,MATCH(BA111,ITEM_RES!$A:$A,0)-1,0),0)*BC111+IFERROR(OFFSET(ITEM_RES!$R$1,MATCH(BF111,ITEM_RES!$A:$A,0)-1,0),0)*BH111+IFERROR(OFFSET(ITEM_RES!$R$1,MATCH(BK111,ITEM_RES!$A:$A,0)-1,0),0)*BM111)/1000</f>
        <v>72000</v>
      </c>
      <c r="AG111" s="176">
        <f t="shared" ca="1" si="47"/>
        <v>104400</v>
      </c>
      <c r="AI111" s="11">
        <f t="shared" si="21"/>
        <v>15</v>
      </c>
      <c r="AJ111" s="10">
        <v>15</v>
      </c>
      <c r="AK111" s="11">
        <f t="shared" si="46"/>
        <v>0</v>
      </c>
      <c r="AL111" s="10">
        <v>0</v>
      </c>
      <c r="AM111" s="11">
        <f t="shared" si="24"/>
        <v>0</v>
      </c>
      <c r="AN111" s="10">
        <v>0</v>
      </c>
      <c r="AO111" s="55">
        <f t="shared" si="25"/>
        <v>2</v>
      </c>
      <c r="AQ111" s="11">
        <f ca="1">IFERROR(OFFSET(ITEM_RES!$A$1,MATCH(AR111,ITEM_RES!$J:$J,0)-1,0),0)</f>
        <v>211020201</v>
      </c>
      <c r="AR111" s="10" t="s">
        <v>422</v>
      </c>
      <c r="AS111" s="11">
        <v>8000</v>
      </c>
      <c r="AV111" s="11">
        <f ca="1">IFERROR(OFFSET(ITEM_RES!$A$1,MATCH(AW111,ITEM_RES!$J:$J,0)-1,0),0)</f>
        <v>211020401</v>
      </c>
      <c r="AW111" s="10" t="s">
        <v>415</v>
      </c>
      <c r="AX111" s="11">
        <v>8000</v>
      </c>
      <c r="BA111" s="11">
        <f ca="1">IFERROR(OFFSET(ITEM_RES!$A$1,MATCH(BB111,ITEM_RES!$J:$J,0)-1,0),0)</f>
        <v>0</v>
      </c>
      <c r="BF111" s="11">
        <f ca="1">IFERROR(OFFSET(ITEM_RES!$A$1,MATCH(BG111,ITEM_RES!$J:$J,0)-1,0),0)</f>
        <v>0</v>
      </c>
      <c r="BK111" s="11">
        <f ca="1">IFERROR(OFFSET(ITEM_RES!$A$1,MATCH(BL111,ITEM_RES!$J:$J,0)-1,0),0)</f>
        <v>0</v>
      </c>
      <c r="BM111" s="11">
        <f t="shared" si="44"/>
        <v>0</v>
      </c>
    </row>
    <row r="112" spans="1:66" x14ac:dyDescent="0.3">
      <c r="A112" s="14">
        <f t="shared" si="41"/>
        <v>112020008</v>
      </c>
      <c r="B112" s="13">
        <v>11</v>
      </c>
      <c r="C112" s="12">
        <f t="shared" si="42"/>
        <v>2</v>
      </c>
      <c r="D112" s="13">
        <v>2</v>
      </c>
      <c r="E112" s="13">
        <v>0</v>
      </c>
      <c r="F112" s="12">
        <f t="shared" si="43"/>
        <v>8</v>
      </c>
      <c r="H112" s="9">
        <v>2</v>
      </c>
      <c r="I112" s="9">
        <v>8</v>
      </c>
      <c r="K112" s="9" t="s">
        <v>739</v>
      </c>
      <c r="M112" s="9">
        <v>1</v>
      </c>
      <c r="N112" s="9">
        <v>15</v>
      </c>
      <c r="O112" s="9" t="s">
        <v>741</v>
      </c>
      <c r="P112" s="55" t="s">
        <v>1345</v>
      </c>
      <c r="Q112" s="9" t="s">
        <v>740</v>
      </c>
      <c r="S112" s="81" t="s">
        <v>397</v>
      </c>
      <c r="T112" s="9">
        <f ca="1">IFERROR(OFFSET(ITEM_RES!$A$5,MATCH(BUILDING!S112,ITEM_RES!$J$5:$J$229,0)-1,0),0)</f>
        <v>211021001</v>
      </c>
      <c r="U112" s="11">
        <v>10</v>
      </c>
      <c r="V112" s="81" t="s">
        <v>527</v>
      </c>
      <c r="W112" s="11">
        <f ca="1">IFERROR(OFFSET(ITEM_RES!$A$5,MATCH(BUILDING!V112,ITEM_RES!$J$5:$J$229,0)-1,0),0)</f>
        <v>211021101</v>
      </c>
      <c r="Y112" s="9" t="s">
        <v>499</v>
      </c>
      <c r="Z112" s="9">
        <v>8</v>
      </c>
      <c r="AB112" s="11">
        <f ca="1">IFERROR(OFFSET(MANOR_LEVEL!$B$1,MATCH(AC112-1,MANOR_LEVEL!$A:$A,0)-1,0),0)</f>
        <v>3500000</v>
      </c>
      <c r="AC112" s="55">
        <v>12</v>
      </c>
      <c r="AE112" s="11">
        <f t="shared" ca="1" si="45"/>
        <v>151200</v>
      </c>
      <c r="AF112" s="10">
        <f ca="1">AK112+AM112+(IFERROR(OFFSET(ITEM_RES!$R$1,MATCH(AQ112,ITEM_RES!$A:$A,0)-1,0),0)*AS112+IFERROR(OFFSET(ITEM_RES!$R$1,MATCH(AV112,ITEM_RES!$A:$A,0)-1,0),0)*AX112+IFERROR(OFFSET(ITEM_RES!$R$1,MATCH(BA112,ITEM_RES!$A:$A,0)-1,0),0)*BC112+IFERROR(OFFSET(ITEM_RES!$R$1,MATCH(BF112,ITEM_RES!$A:$A,0)-1,0),0)*BH112+IFERROR(OFFSET(ITEM_RES!$R$1,MATCH(BK112,ITEM_RES!$A:$A,0)-1,0),0)*BM112)/1000</f>
        <v>151200</v>
      </c>
      <c r="AG112" s="176">
        <f t="shared" ca="1" si="47"/>
        <v>223200</v>
      </c>
      <c r="AI112" s="11">
        <f t="shared" si="21"/>
        <v>30</v>
      </c>
      <c r="AJ112" s="10">
        <v>30</v>
      </c>
      <c r="AK112" s="11">
        <f t="shared" si="46"/>
        <v>0</v>
      </c>
      <c r="AL112" s="10">
        <v>0</v>
      </c>
      <c r="AM112" s="11">
        <f t="shared" si="24"/>
        <v>0</v>
      </c>
      <c r="AN112" s="10">
        <v>0</v>
      </c>
      <c r="AO112" s="55">
        <f t="shared" si="25"/>
        <v>2</v>
      </c>
      <c r="AQ112" s="11">
        <f ca="1">IFERROR(OFFSET(ITEM_RES!$A$1,MATCH(AR112,ITEM_RES!$J:$J,0)-1,0),0)</f>
        <v>211020201</v>
      </c>
      <c r="AR112" s="10" t="s">
        <v>422</v>
      </c>
      <c r="AS112" s="11">
        <v>16800</v>
      </c>
      <c r="AV112" s="11">
        <f ca="1">IFERROR(OFFSET(ITEM_RES!$A$1,MATCH(AW112,ITEM_RES!$J:$J,0)-1,0),0)</f>
        <v>211020401</v>
      </c>
      <c r="AW112" s="10" t="s">
        <v>415</v>
      </c>
      <c r="AX112" s="11">
        <v>16800</v>
      </c>
      <c r="BA112" s="11">
        <f ca="1">IFERROR(OFFSET(ITEM_RES!$A$1,MATCH(BB112,ITEM_RES!$J:$J,0)-1,0),0)</f>
        <v>0</v>
      </c>
      <c r="BF112" s="11">
        <f ca="1">IFERROR(OFFSET(ITEM_RES!$A$1,MATCH(BG112,ITEM_RES!$J:$J,0)-1,0),0)</f>
        <v>0</v>
      </c>
      <c r="BK112" s="11">
        <f ca="1">IFERROR(OFFSET(ITEM_RES!$A$1,MATCH(BL112,ITEM_RES!$J:$J,0)-1,0),0)</f>
        <v>0</v>
      </c>
      <c r="BM112" s="11">
        <f t="shared" si="44"/>
        <v>0</v>
      </c>
    </row>
    <row r="113" spans="1:66" x14ac:dyDescent="0.3">
      <c r="A113" s="14">
        <f t="shared" si="41"/>
        <v>112020009</v>
      </c>
      <c r="B113" s="13">
        <v>11</v>
      </c>
      <c r="C113" s="12">
        <f t="shared" si="42"/>
        <v>2</v>
      </c>
      <c r="D113" s="13">
        <v>2</v>
      </c>
      <c r="E113" s="13">
        <v>0</v>
      </c>
      <c r="F113" s="12">
        <f t="shared" si="43"/>
        <v>9</v>
      </c>
      <c r="H113" s="9">
        <v>2</v>
      </c>
      <c r="I113" s="9">
        <v>9</v>
      </c>
      <c r="K113" s="9" t="s">
        <v>739</v>
      </c>
      <c r="M113" s="9">
        <v>1</v>
      </c>
      <c r="N113" s="9">
        <v>15</v>
      </c>
      <c r="O113" s="9" t="s">
        <v>741</v>
      </c>
      <c r="P113" s="55" t="s">
        <v>1345</v>
      </c>
      <c r="Q113" s="9" t="s">
        <v>740</v>
      </c>
      <c r="S113" s="81" t="s">
        <v>397</v>
      </c>
      <c r="T113" s="9">
        <f ca="1">IFERROR(OFFSET(ITEM_RES!$A$5,MATCH(BUILDING!S113,ITEM_RES!$J$5:$J$229,0)-1,0),0)</f>
        <v>211021001</v>
      </c>
      <c r="U113" s="11">
        <v>10</v>
      </c>
      <c r="V113" s="81" t="s">
        <v>527</v>
      </c>
      <c r="W113" s="11">
        <f ca="1">IFERROR(OFFSET(ITEM_RES!$A$5,MATCH(BUILDING!V113,ITEM_RES!$J$5:$J$229,0)-1,0),0)</f>
        <v>211021101</v>
      </c>
      <c r="Y113" s="9" t="s">
        <v>499</v>
      </c>
      <c r="Z113" s="9">
        <v>9</v>
      </c>
      <c r="AB113" s="11">
        <f ca="1">IFERROR(OFFSET(MANOR_LEVEL!$B$1,MATCH(AC113-1,MANOR_LEVEL!$A:$A,0)-1,0),0)</f>
        <v>3500000</v>
      </c>
      <c r="AC113" s="55">
        <v>12</v>
      </c>
      <c r="AE113" s="11">
        <f t="shared" ca="1" si="45"/>
        <v>280800</v>
      </c>
      <c r="AF113" s="10">
        <f ca="1">AK113+AM113+(IFERROR(OFFSET(ITEM_RES!$R$1,MATCH(AQ113,ITEM_RES!$A:$A,0)-1,0),0)*AS113+IFERROR(OFFSET(ITEM_RES!$R$1,MATCH(AV113,ITEM_RES!$A:$A,0)-1,0),0)*AX113+IFERROR(OFFSET(ITEM_RES!$R$1,MATCH(BA113,ITEM_RES!$A:$A,0)-1,0),0)*BC113+IFERROR(OFFSET(ITEM_RES!$R$1,MATCH(BF113,ITEM_RES!$A:$A,0)-1,0),0)*BH113+IFERROR(OFFSET(ITEM_RES!$R$1,MATCH(BK113,ITEM_RES!$A:$A,0)-1,0),0)*BM113)/1000</f>
        <v>280800</v>
      </c>
      <c r="AG113" s="176">
        <f t="shared" ca="1" si="47"/>
        <v>432000</v>
      </c>
      <c r="AI113" s="11">
        <f t="shared" si="21"/>
        <v>60</v>
      </c>
      <c r="AJ113" s="10">
        <v>60</v>
      </c>
      <c r="AK113" s="11">
        <f t="shared" si="46"/>
        <v>0</v>
      </c>
      <c r="AL113" s="10">
        <v>0</v>
      </c>
      <c r="AM113" s="11">
        <f t="shared" si="24"/>
        <v>0</v>
      </c>
      <c r="AN113" s="10">
        <v>0</v>
      </c>
      <c r="AO113" s="55">
        <f t="shared" si="25"/>
        <v>2</v>
      </c>
      <c r="AQ113" s="11">
        <f ca="1">IFERROR(OFFSET(ITEM_RES!$A$1,MATCH(AR113,ITEM_RES!$J:$J,0)-1,0),0)</f>
        <v>211020201</v>
      </c>
      <c r="AR113" s="10" t="s">
        <v>422</v>
      </c>
      <c r="AS113" s="11">
        <v>31200</v>
      </c>
      <c r="AV113" s="11">
        <f ca="1">IFERROR(OFFSET(ITEM_RES!$A$1,MATCH(AW113,ITEM_RES!$J:$J,0)-1,0),0)</f>
        <v>211020401</v>
      </c>
      <c r="AW113" s="10" t="s">
        <v>415</v>
      </c>
      <c r="AX113" s="11">
        <v>31200</v>
      </c>
      <c r="BA113" s="11">
        <f ca="1">IFERROR(OFFSET(ITEM_RES!$A$1,MATCH(BB113,ITEM_RES!$J:$J,0)-1,0),0)</f>
        <v>0</v>
      </c>
      <c r="BF113" s="11">
        <f ca="1">IFERROR(OFFSET(ITEM_RES!$A$1,MATCH(BG113,ITEM_RES!$J:$J,0)-1,0),0)</f>
        <v>0</v>
      </c>
      <c r="BK113" s="11">
        <f ca="1">IFERROR(OFFSET(ITEM_RES!$A$1,MATCH(BL113,ITEM_RES!$J:$J,0)-1,0),0)</f>
        <v>0</v>
      </c>
      <c r="BM113" s="11">
        <f t="shared" si="44"/>
        <v>0</v>
      </c>
    </row>
    <row r="114" spans="1:66" x14ac:dyDescent="0.3">
      <c r="A114" s="14">
        <f t="shared" si="41"/>
        <v>112020010</v>
      </c>
      <c r="B114" s="13">
        <v>11</v>
      </c>
      <c r="C114" s="12">
        <f t="shared" si="42"/>
        <v>2</v>
      </c>
      <c r="D114" s="13">
        <v>2</v>
      </c>
      <c r="E114" s="13">
        <v>0</v>
      </c>
      <c r="F114" s="12">
        <f t="shared" si="43"/>
        <v>10</v>
      </c>
      <c r="H114" s="9">
        <v>2</v>
      </c>
      <c r="I114" s="9">
        <v>10</v>
      </c>
      <c r="K114" s="9" t="s">
        <v>739</v>
      </c>
      <c r="M114" s="9">
        <v>1</v>
      </c>
      <c r="N114" s="9">
        <v>15</v>
      </c>
      <c r="O114" s="9" t="s">
        <v>741</v>
      </c>
      <c r="P114" s="55" t="s">
        <v>1345</v>
      </c>
      <c r="Q114" s="9" t="s">
        <v>740</v>
      </c>
      <c r="S114" s="81" t="s">
        <v>397</v>
      </c>
      <c r="T114" s="9">
        <f ca="1">IFERROR(OFFSET(ITEM_RES!$A$5,MATCH(BUILDING!S114,ITEM_RES!$J$5:$J$229,0)-1,0),0)</f>
        <v>211021001</v>
      </c>
      <c r="U114" s="11">
        <v>10</v>
      </c>
      <c r="V114" s="81" t="s">
        <v>527</v>
      </c>
      <c r="W114" s="11">
        <f ca="1">IFERROR(OFFSET(ITEM_RES!$A$5,MATCH(BUILDING!V114,ITEM_RES!$J$5:$J$229,0)-1,0),0)</f>
        <v>211021101</v>
      </c>
      <c r="Y114" s="9" t="s">
        <v>499</v>
      </c>
      <c r="Z114" s="9">
        <v>10</v>
      </c>
      <c r="AB114" s="11">
        <f ca="1">IFERROR(OFFSET(MANOR_LEVEL!$B$1,MATCH(AC114-1,MANOR_LEVEL!$A:$A,0)-1,0),0)</f>
        <v>3500000</v>
      </c>
      <c r="AC114" s="55">
        <v>12</v>
      </c>
      <c r="AE114" s="11">
        <f t="shared" ca="1" si="45"/>
        <v>468000</v>
      </c>
      <c r="AF114" s="10">
        <f ca="1">AK114+AM114+(IFERROR(OFFSET(ITEM_RES!$R$1,MATCH(AQ114,ITEM_RES!$A:$A,0)-1,0),0)*AS114+IFERROR(OFFSET(ITEM_RES!$R$1,MATCH(AV114,ITEM_RES!$A:$A,0)-1,0),0)*AX114+IFERROR(OFFSET(ITEM_RES!$R$1,MATCH(BA114,ITEM_RES!$A:$A,0)-1,0),0)*BC114+IFERROR(OFFSET(ITEM_RES!$R$1,MATCH(BF114,ITEM_RES!$A:$A,0)-1,0),0)*BH114+IFERROR(OFFSET(ITEM_RES!$R$1,MATCH(BK114,ITEM_RES!$A:$A,0)-1,0),0)*BM114)/1000</f>
        <v>468000</v>
      </c>
      <c r="AG114" s="176">
        <f t="shared" ca="1" si="47"/>
        <v>748800</v>
      </c>
      <c r="AI114" s="11">
        <f t="shared" si="21"/>
        <v>180</v>
      </c>
      <c r="AJ114" s="10">
        <v>180</v>
      </c>
      <c r="AK114" s="11">
        <f t="shared" si="46"/>
        <v>0</v>
      </c>
      <c r="AL114" s="10">
        <v>0</v>
      </c>
      <c r="AM114" s="11">
        <f t="shared" si="24"/>
        <v>0</v>
      </c>
      <c r="AN114" s="10">
        <v>0</v>
      </c>
      <c r="AO114" s="55">
        <f t="shared" si="25"/>
        <v>2</v>
      </c>
      <c r="AQ114" s="11">
        <f ca="1">IFERROR(OFFSET(ITEM_RES!$A$1,MATCH(AR114,ITEM_RES!$J:$J,0)-1,0),0)</f>
        <v>211020201</v>
      </c>
      <c r="AR114" s="10" t="s">
        <v>422</v>
      </c>
      <c r="AS114" s="11">
        <v>52000</v>
      </c>
      <c r="AV114" s="11">
        <f ca="1">IFERROR(OFFSET(ITEM_RES!$A$1,MATCH(AW114,ITEM_RES!$J:$J,0)-1,0),0)</f>
        <v>211020401</v>
      </c>
      <c r="AW114" s="10" t="s">
        <v>415</v>
      </c>
      <c r="AX114" s="11">
        <v>52000</v>
      </c>
      <c r="BA114" s="11">
        <f ca="1">IFERROR(OFFSET(ITEM_RES!$A$1,MATCH(BB114,ITEM_RES!$J:$J,0)-1,0),0)</f>
        <v>0</v>
      </c>
      <c r="BF114" s="11">
        <f ca="1">IFERROR(OFFSET(ITEM_RES!$A$1,MATCH(BG114,ITEM_RES!$J:$J,0)-1,0),0)</f>
        <v>0</v>
      </c>
      <c r="BK114" s="11">
        <f ca="1">IFERROR(OFFSET(ITEM_RES!$A$1,MATCH(BL114,ITEM_RES!$J:$J,0)-1,0),0)</f>
        <v>0</v>
      </c>
      <c r="BM114" s="11">
        <f t="shared" si="44"/>
        <v>0</v>
      </c>
    </row>
    <row r="115" spans="1:66" x14ac:dyDescent="0.3">
      <c r="A115" s="14">
        <f t="shared" si="41"/>
        <v>112020011</v>
      </c>
      <c r="B115" s="13">
        <v>11</v>
      </c>
      <c r="C115" s="12">
        <f t="shared" si="42"/>
        <v>2</v>
      </c>
      <c r="D115" s="13">
        <v>2</v>
      </c>
      <c r="E115" s="13">
        <v>0</v>
      </c>
      <c r="F115" s="12">
        <f t="shared" si="43"/>
        <v>11</v>
      </c>
      <c r="H115" s="9">
        <v>2</v>
      </c>
      <c r="I115" s="9">
        <v>11</v>
      </c>
      <c r="K115" s="9" t="s">
        <v>739</v>
      </c>
      <c r="M115" s="9">
        <v>1</v>
      </c>
      <c r="N115" s="9">
        <v>15</v>
      </c>
      <c r="O115" s="9" t="s">
        <v>741</v>
      </c>
      <c r="P115" s="55" t="s">
        <v>1345</v>
      </c>
      <c r="Q115" s="9" t="s">
        <v>740</v>
      </c>
      <c r="S115" s="81" t="s">
        <v>397</v>
      </c>
      <c r="T115" s="9">
        <f ca="1">IFERROR(OFFSET(ITEM_RES!$A$5,MATCH(BUILDING!S115,ITEM_RES!$J$5:$J$229,0)-1,0),0)</f>
        <v>211021001</v>
      </c>
      <c r="U115" s="11">
        <v>10</v>
      </c>
      <c r="V115" s="81" t="s">
        <v>527</v>
      </c>
      <c r="W115" s="11">
        <f ca="1">IFERROR(OFFSET(ITEM_RES!$A$5,MATCH(BUILDING!V115,ITEM_RES!$J$5:$J$229,0)-1,0),0)</f>
        <v>211021101</v>
      </c>
      <c r="Y115" s="9" t="s">
        <v>499</v>
      </c>
      <c r="Z115" s="9">
        <v>11</v>
      </c>
      <c r="AB115" s="11">
        <f ca="1">IFERROR(OFFSET(MANOR_LEVEL!$B$1,MATCH(AC115-1,MANOR_LEVEL!$A:$A,0)-1,0),0)</f>
        <v>3500000</v>
      </c>
      <c r="AC115" s="55">
        <v>12</v>
      </c>
      <c r="AE115" s="11">
        <f t="shared" ca="1" si="45"/>
        <v>1144000</v>
      </c>
      <c r="AF115" s="10">
        <f ca="1">AK115+AM115+(IFERROR(OFFSET(ITEM_RES!$R$1,MATCH(AQ115,ITEM_RES!$A:$A,0)-1,0),0)*AS115+IFERROR(OFFSET(ITEM_RES!$R$1,MATCH(AV115,ITEM_RES!$A:$A,0)-1,0),0)*AX115+IFERROR(OFFSET(ITEM_RES!$R$1,MATCH(BA115,ITEM_RES!$A:$A,0)-1,0),0)*BC115+IFERROR(OFFSET(ITEM_RES!$R$1,MATCH(BF115,ITEM_RES!$A:$A,0)-1,0),0)*BH115+IFERROR(OFFSET(ITEM_RES!$R$1,MATCH(BK115,ITEM_RES!$A:$A,0)-1,0),0)*BM115)/1000</f>
        <v>1144000</v>
      </c>
      <c r="AG115" s="176">
        <f t="shared" ca="1" si="47"/>
        <v>1612000</v>
      </c>
      <c r="AI115" s="11">
        <f t="shared" si="21"/>
        <v>360</v>
      </c>
      <c r="AJ115" s="10">
        <v>360</v>
      </c>
      <c r="AK115" s="11">
        <f t="shared" si="46"/>
        <v>0</v>
      </c>
      <c r="AL115" s="10">
        <v>0</v>
      </c>
      <c r="AM115" s="11">
        <f t="shared" si="24"/>
        <v>0</v>
      </c>
      <c r="AN115" s="10">
        <v>0</v>
      </c>
      <c r="AO115" s="55">
        <f t="shared" si="25"/>
        <v>2</v>
      </c>
      <c r="AQ115" s="11">
        <f ca="1">IFERROR(OFFSET(ITEM_RES!$A$1,MATCH(AR115,ITEM_RES!$J:$J,0)-1,0),0)</f>
        <v>211020301</v>
      </c>
      <c r="AR115" s="10" t="s">
        <v>386</v>
      </c>
      <c r="AS115" s="11">
        <v>88000</v>
      </c>
      <c r="AV115" s="11">
        <f ca="1">IFERROR(OFFSET(ITEM_RES!$A$1,MATCH(AW115,ITEM_RES!$J:$J,0)-1,0),0)</f>
        <v>211020401</v>
      </c>
      <c r="AW115" s="10" t="s">
        <v>415</v>
      </c>
      <c r="AX115" s="11">
        <v>88000</v>
      </c>
      <c r="BA115" s="11">
        <f ca="1">IFERROR(OFFSET(ITEM_RES!$A$1,MATCH(BB115,ITEM_RES!$J:$J,0)-1,0),0)</f>
        <v>0</v>
      </c>
      <c r="BF115" s="11">
        <f ca="1">IFERROR(OFFSET(ITEM_RES!$A$1,MATCH(BG115,ITEM_RES!$J:$J,0)-1,0),0)</f>
        <v>0</v>
      </c>
      <c r="BK115" s="11">
        <f ca="1">IFERROR(OFFSET(ITEM_RES!$A$1,MATCH(BL115,ITEM_RES!$J:$J,0)-1,0),0)</f>
        <v>0</v>
      </c>
      <c r="BM115" s="11">
        <f t="shared" si="44"/>
        <v>0</v>
      </c>
    </row>
    <row r="116" spans="1:66" x14ac:dyDescent="0.3">
      <c r="A116" s="14">
        <f t="shared" si="41"/>
        <v>112020012</v>
      </c>
      <c r="B116" s="13">
        <v>11</v>
      </c>
      <c r="C116" s="12">
        <f t="shared" si="42"/>
        <v>2</v>
      </c>
      <c r="D116" s="13">
        <v>2</v>
      </c>
      <c r="E116" s="13">
        <v>0</v>
      </c>
      <c r="F116" s="12">
        <f t="shared" si="43"/>
        <v>12</v>
      </c>
      <c r="H116" s="9">
        <v>2</v>
      </c>
      <c r="I116" s="9">
        <v>12</v>
      </c>
      <c r="K116" s="9" t="s">
        <v>739</v>
      </c>
      <c r="M116" s="9">
        <v>1</v>
      </c>
      <c r="N116" s="9">
        <v>15</v>
      </c>
      <c r="O116" s="9" t="s">
        <v>741</v>
      </c>
      <c r="P116" s="55" t="s">
        <v>1345</v>
      </c>
      <c r="Q116" s="9" t="s">
        <v>740</v>
      </c>
      <c r="S116" s="81" t="s">
        <v>397</v>
      </c>
      <c r="T116" s="9">
        <f ca="1">IFERROR(OFFSET(ITEM_RES!$A$5,MATCH(BUILDING!S116,ITEM_RES!$J$5:$J$229,0)-1,0),0)</f>
        <v>211021001</v>
      </c>
      <c r="U116" s="11">
        <v>10</v>
      </c>
      <c r="V116" s="81" t="s">
        <v>527</v>
      </c>
      <c r="W116" s="11">
        <f ca="1">IFERROR(OFFSET(ITEM_RES!$A$5,MATCH(BUILDING!V116,ITEM_RES!$J$5:$J$229,0)-1,0),0)</f>
        <v>211021101</v>
      </c>
      <c r="Y116" s="9" t="s">
        <v>499</v>
      </c>
      <c r="Z116" s="9">
        <v>12</v>
      </c>
      <c r="AB116" s="11">
        <f ca="1">IFERROR(OFFSET(MANOR_LEVEL!$B$1,MATCH(AC116-1,MANOR_LEVEL!$A:$A,0)-1,0),0)</f>
        <v>3500000</v>
      </c>
      <c r="AC116" s="55">
        <v>12</v>
      </c>
      <c r="AE116" s="11">
        <f t="shared" ca="1" si="45"/>
        <v>1924000</v>
      </c>
      <c r="AF116" s="10">
        <f ca="1">AK116+AM116+(IFERROR(OFFSET(ITEM_RES!$R$1,MATCH(AQ116,ITEM_RES!$A:$A,0)-1,0),0)*AS116+IFERROR(OFFSET(ITEM_RES!$R$1,MATCH(AV116,ITEM_RES!$A:$A,0)-1,0),0)*AX116+IFERROR(OFFSET(ITEM_RES!$R$1,MATCH(BA116,ITEM_RES!$A:$A,0)-1,0),0)*BC116+IFERROR(OFFSET(ITEM_RES!$R$1,MATCH(BF116,ITEM_RES!$A:$A,0)-1,0),0)*BH116+IFERROR(OFFSET(ITEM_RES!$R$1,MATCH(BK116,ITEM_RES!$A:$A,0)-1,0),0)*BM116)/1000</f>
        <v>1924000</v>
      </c>
      <c r="AG116" s="176">
        <f t="shared" ca="1" si="47"/>
        <v>3068000</v>
      </c>
      <c r="AI116" s="11">
        <f t="shared" si="21"/>
        <v>540</v>
      </c>
      <c r="AJ116" s="10">
        <v>540</v>
      </c>
      <c r="AK116" s="11">
        <f t="shared" si="46"/>
        <v>0</v>
      </c>
      <c r="AL116" s="10">
        <v>0</v>
      </c>
      <c r="AM116" s="11">
        <f t="shared" si="24"/>
        <v>0</v>
      </c>
      <c r="AN116" s="10">
        <v>0</v>
      </c>
      <c r="AO116" s="55">
        <f t="shared" si="25"/>
        <v>2</v>
      </c>
      <c r="AQ116" s="11">
        <f ca="1">IFERROR(OFFSET(ITEM_RES!$A$1,MATCH(AR116,ITEM_RES!$J:$J,0)-1,0),0)</f>
        <v>211020301</v>
      </c>
      <c r="AR116" s="10" t="s">
        <v>386</v>
      </c>
      <c r="AS116" s="11">
        <v>148000</v>
      </c>
      <c r="AV116" s="11">
        <f ca="1">IFERROR(OFFSET(ITEM_RES!$A$1,MATCH(AW116,ITEM_RES!$J:$J,0)-1,0),0)</f>
        <v>211020401</v>
      </c>
      <c r="AW116" s="10" t="s">
        <v>415</v>
      </c>
      <c r="AX116" s="11">
        <v>148000</v>
      </c>
      <c r="BA116" s="11">
        <f ca="1">IFERROR(OFFSET(ITEM_RES!$A$1,MATCH(BB116,ITEM_RES!$J:$J,0)-1,0),0)</f>
        <v>0</v>
      </c>
      <c r="BF116" s="11">
        <f ca="1">IFERROR(OFFSET(ITEM_RES!$A$1,MATCH(BG116,ITEM_RES!$J:$J,0)-1,0),0)</f>
        <v>0</v>
      </c>
      <c r="BK116" s="11">
        <f ca="1">IFERROR(OFFSET(ITEM_RES!$A$1,MATCH(BL116,ITEM_RES!$J:$J,0)-1,0),0)</f>
        <v>0</v>
      </c>
      <c r="BM116" s="11">
        <f t="shared" si="44"/>
        <v>0</v>
      </c>
    </row>
    <row r="117" spans="1:66" x14ac:dyDescent="0.3">
      <c r="A117" s="14">
        <f t="shared" si="41"/>
        <v>112020013</v>
      </c>
      <c r="B117" s="13">
        <v>11</v>
      </c>
      <c r="C117" s="12">
        <f t="shared" si="42"/>
        <v>2</v>
      </c>
      <c r="D117" s="13">
        <v>2</v>
      </c>
      <c r="E117" s="13">
        <v>0</v>
      </c>
      <c r="F117" s="12">
        <f t="shared" si="43"/>
        <v>13</v>
      </c>
      <c r="H117" s="9">
        <v>2</v>
      </c>
      <c r="I117" s="9">
        <v>13</v>
      </c>
      <c r="K117" s="9" t="s">
        <v>739</v>
      </c>
      <c r="M117" s="9">
        <v>1</v>
      </c>
      <c r="N117" s="9">
        <v>15</v>
      </c>
      <c r="O117" s="9" t="s">
        <v>741</v>
      </c>
      <c r="P117" s="55" t="s">
        <v>1345</v>
      </c>
      <c r="Q117" s="9" t="s">
        <v>740</v>
      </c>
      <c r="S117" s="81" t="s">
        <v>397</v>
      </c>
      <c r="T117" s="9">
        <f ca="1">IFERROR(OFFSET(ITEM_RES!$A$5,MATCH(BUILDING!S117,ITEM_RES!$J$5:$J$229,0)-1,0),0)</f>
        <v>211021001</v>
      </c>
      <c r="U117" s="11">
        <v>10</v>
      </c>
      <c r="V117" s="81" t="s">
        <v>527</v>
      </c>
      <c r="W117" s="11">
        <f ca="1">IFERROR(OFFSET(ITEM_RES!$A$5,MATCH(BUILDING!V117,ITEM_RES!$J$5:$J$229,0)-1,0),0)</f>
        <v>211021101</v>
      </c>
      <c r="Y117" s="9" t="s">
        <v>499</v>
      </c>
      <c r="Z117" s="9">
        <v>13</v>
      </c>
      <c r="AB117" s="11">
        <f ca="1">IFERROR(OFFSET(MANOR_LEVEL!$B$1,MATCH(AC117-1,MANOR_LEVEL!$A:$A,0)-1,0),0)</f>
        <v>3500000</v>
      </c>
      <c r="AC117" s="55">
        <v>12</v>
      </c>
      <c r="AE117" s="11">
        <f t="shared" ca="1" si="45"/>
        <v>3224000</v>
      </c>
      <c r="AF117" s="10">
        <f ca="1">AK117+AM117+(IFERROR(OFFSET(ITEM_RES!$R$1,MATCH(AQ117,ITEM_RES!$A:$A,0)-1,0),0)*AS117+IFERROR(OFFSET(ITEM_RES!$R$1,MATCH(AV117,ITEM_RES!$A:$A,0)-1,0),0)*AX117+IFERROR(OFFSET(ITEM_RES!$R$1,MATCH(BA117,ITEM_RES!$A:$A,0)-1,0),0)*BC117+IFERROR(OFFSET(ITEM_RES!$R$1,MATCH(BF117,ITEM_RES!$A:$A,0)-1,0),0)*BH117+IFERROR(OFFSET(ITEM_RES!$R$1,MATCH(BK117,ITEM_RES!$A:$A,0)-1,0),0)*BM117)/1000</f>
        <v>3224000</v>
      </c>
      <c r="AG117" s="176">
        <f t="shared" ca="1" si="47"/>
        <v>5148000</v>
      </c>
      <c r="AI117" s="11">
        <f t="shared" si="21"/>
        <v>720</v>
      </c>
      <c r="AJ117" s="10">
        <v>720</v>
      </c>
      <c r="AK117" s="11">
        <f t="shared" si="46"/>
        <v>0</v>
      </c>
      <c r="AL117" s="10">
        <v>0</v>
      </c>
      <c r="AM117" s="11">
        <f t="shared" si="24"/>
        <v>0</v>
      </c>
      <c r="AN117" s="10">
        <v>0</v>
      </c>
      <c r="AO117" s="55">
        <f t="shared" si="25"/>
        <v>2</v>
      </c>
      <c r="AQ117" s="11">
        <f ca="1">IFERROR(OFFSET(ITEM_RES!$A$1,MATCH(AR117,ITEM_RES!$J:$J,0)-1,0),0)</f>
        <v>211020301</v>
      </c>
      <c r="AR117" s="10" t="s">
        <v>386</v>
      </c>
      <c r="AS117" s="11">
        <v>248000</v>
      </c>
      <c r="AV117" s="11">
        <f ca="1">IFERROR(OFFSET(ITEM_RES!$A$1,MATCH(AW117,ITEM_RES!$J:$J,0)-1,0),0)</f>
        <v>211020401</v>
      </c>
      <c r="AW117" s="10" t="s">
        <v>415</v>
      </c>
      <c r="AX117" s="11">
        <v>248000</v>
      </c>
      <c r="BA117" s="11">
        <f ca="1">IFERROR(OFFSET(ITEM_RES!$A$1,MATCH(BB117,ITEM_RES!$J:$J,0)-1,0),0)</f>
        <v>0</v>
      </c>
      <c r="BF117" s="11">
        <f ca="1">IFERROR(OFFSET(ITEM_RES!$A$1,MATCH(BG117,ITEM_RES!$J:$J,0)-1,0),0)</f>
        <v>0</v>
      </c>
      <c r="BK117" s="11">
        <f ca="1">IFERROR(OFFSET(ITEM_RES!$A$1,MATCH(BL117,ITEM_RES!$J:$J,0)-1,0),0)</f>
        <v>0</v>
      </c>
      <c r="BM117" s="11">
        <f t="shared" si="44"/>
        <v>0</v>
      </c>
    </row>
    <row r="118" spans="1:66" x14ac:dyDescent="0.3">
      <c r="A118" s="14">
        <f t="shared" si="41"/>
        <v>112020014</v>
      </c>
      <c r="B118" s="13">
        <v>11</v>
      </c>
      <c r="C118" s="12">
        <f t="shared" si="42"/>
        <v>2</v>
      </c>
      <c r="D118" s="13">
        <v>2</v>
      </c>
      <c r="E118" s="13">
        <v>0</v>
      </c>
      <c r="F118" s="12">
        <f t="shared" si="43"/>
        <v>14</v>
      </c>
      <c r="H118" s="9">
        <v>2</v>
      </c>
      <c r="I118" s="9">
        <v>14</v>
      </c>
      <c r="K118" s="9" t="s">
        <v>739</v>
      </c>
      <c r="M118" s="9">
        <v>1</v>
      </c>
      <c r="N118" s="9">
        <v>15</v>
      </c>
      <c r="O118" s="9" t="s">
        <v>741</v>
      </c>
      <c r="P118" s="55" t="s">
        <v>1345</v>
      </c>
      <c r="Q118" s="9" t="s">
        <v>740</v>
      </c>
      <c r="S118" s="81" t="s">
        <v>397</v>
      </c>
      <c r="T118" s="9">
        <f ca="1">IFERROR(OFFSET(ITEM_RES!$A$5,MATCH(BUILDING!S118,ITEM_RES!$J$5:$J$229,0)-1,0),0)</f>
        <v>211021001</v>
      </c>
      <c r="U118" s="11">
        <v>10</v>
      </c>
      <c r="V118" s="81" t="s">
        <v>527</v>
      </c>
      <c r="W118" s="11">
        <f ca="1">IFERROR(OFFSET(ITEM_RES!$A$5,MATCH(BUILDING!V118,ITEM_RES!$J$5:$J$229,0)-1,0),0)</f>
        <v>211021101</v>
      </c>
      <c r="Y118" s="9" t="s">
        <v>499</v>
      </c>
      <c r="Z118" s="9">
        <v>14</v>
      </c>
      <c r="AB118" s="11">
        <f ca="1">IFERROR(OFFSET(MANOR_LEVEL!$B$1,MATCH(AC118-1,MANOR_LEVEL!$A:$A,0)-1,0),0)</f>
        <v>3500000</v>
      </c>
      <c r="AC118" s="55">
        <v>12</v>
      </c>
      <c r="AE118" s="11">
        <f t="shared" ca="1" si="45"/>
        <v>5044000</v>
      </c>
      <c r="AF118" s="10">
        <f ca="1">AK118+AM118+(IFERROR(OFFSET(ITEM_RES!$R$1,MATCH(AQ118,ITEM_RES!$A:$A,0)-1,0),0)*AS118+IFERROR(OFFSET(ITEM_RES!$R$1,MATCH(AV118,ITEM_RES!$A:$A,0)-1,0),0)*AX118+IFERROR(OFFSET(ITEM_RES!$R$1,MATCH(BA118,ITEM_RES!$A:$A,0)-1,0),0)*BC118+IFERROR(OFFSET(ITEM_RES!$R$1,MATCH(BF118,ITEM_RES!$A:$A,0)-1,0),0)*BH118+IFERROR(OFFSET(ITEM_RES!$R$1,MATCH(BK118,ITEM_RES!$A:$A,0)-1,0),0)*BM118)/1000</f>
        <v>5044000</v>
      </c>
      <c r="AG118" s="176">
        <f t="shared" ca="1" si="47"/>
        <v>8268000</v>
      </c>
      <c r="AI118" s="11">
        <f t="shared" si="21"/>
        <v>900</v>
      </c>
      <c r="AJ118" s="10">
        <v>900</v>
      </c>
      <c r="AK118" s="11">
        <f t="shared" si="46"/>
        <v>0</v>
      </c>
      <c r="AL118" s="10">
        <v>0</v>
      </c>
      <c r="AM118" s="11">
        <f t="shared" si="24"/>
        <v>0</v>
      </c>
      <c r="AN118" s="10">
        <v>0</v>
      </c>
      <c r="AO118" s="55">
        <f t="shared" si="25"/>
        <v>2</v>
      </c>
      <c r="AQ118" s="11">
        <f ca="1">IFERROR(OFFSET(ITEM_RES!$A$1,MATCH(AR118,ITEM_RES!$J:$J,0)-1,0),0)</f>
        <v>211020301</v>
      </c>
      <c r="AR118" s="10" t="s">
        <v>386</v>
      </c>
      <c r="AS118" s="11">
        <v>388000</v>
      </c>
      <c r="AV118" s="11">
        <f ca="1">IFERROR(OFFSET(ITEM_RES!$A$1,MATCH(AW118,ITEM_RES!$J:$J,0)-1,0),0)</f>
        <v>211020401</v>
      </c>
      <c r="AW118" s="10" t="s">
        <v>415</v>
      </c>
      <c r="AX118" s="11">
        <v>388000</v>
      </c>
      <c r="BA118" s="11">
        <f ca="1">IFERROR(OFFSET(ITEM_RES!$A$1,MATCH(BB118,ITEM_RES!$J:$J,0)-1,0),0)</f>
        <v>0</v>
      </c>
      <c r="BF118" s="11">
        <f ca="1">IFERROR(OFFSET(ITEM_RES!$A$1,MATCH(BG118,ITEM_RES!$J:$J,0)-1,0),0)</f>
        <v>0</v>
      </c>
      <c r="BK118" s="11">
        <f ca="1">IFERROR(OFFSET(ITEM_RES!$A$1,MATCH(BL118,ITEM_RES!$J:$J,0)-1,0),0)</f>
        <v>0</v>
      </c>
      <c r="BM118" s="11">
        <f t="shared" si="44"/>
        <v>0</v>
      </c>
    </row>
    <row r="119" spans="1:66" x14ac:dyDescent="0.3">
      <c r="A119" s="14">
        <f t="shared" si="41"/>
        <v>112020015</v>
      </c>
      <c r="B119" s="13">
        <v>11</v>
      </c>
      <c r="C119" s="12">
        <f t="shared" si="42"/>
        <v>2</v>
      </c>
      <c r="D119" s="13">
        <v>2</v>
      </c>
      <c r="E119" s="13">
        <v>0</v>
      </c>
      <c r="F119" s="12">
        <f t="shared" si="43"/>
        <v>15</v>
      </c>
      <c r="H119" s="9">
        <v>2</v>
      </c>
      <c r="I119" s="9">
        <v>15</v>
      </c>
      <c r="K119" s="9" t="s">
        <v>739</v>
      </c>
      <c r="M119" s="9">
        <v>1</v>
      </c>
      <c r="N119" s="9">
        <v>15</v>
      </c>
      <c r="O119" s="9" t="s">
        <v>741</v>
      </c>
      <c r="P119" s="55" t="s">
        <v>1345</v>
      </c>
      <c r="Q119" s="9" t="s">
        <v>740</v>
      </c>
      <c r="S119" s="81" t="s">
        <v>397</v>
      </c>
      <c r="T119" s="9">
        <f ca="1">IFERROR(OFFSET(ITEM_RES!$A$5,MATCH(BUILDING!S119,ITEM_RES!$J$5:$J$229,0)-1,0),0)</f>
        <v>211021001</v>
      </c>
      <c r="U119" s="11">
        <v>10</v>
      </c>
      <c r="V119" s="81" t="s">
        <v>527</v>
      </c>
      <c r="W119" s="11">
        <f ca="1">IFERROR(OFFSET(ITEM_RES!$A$5,MATCH(BUILDING!V119,ITEM_RES!$J$5:$J$229,0)-1,0),0)</f>
        <v>211021101</v>
      </c>
      <c r="Y119" s="9" t="s">
        <v>499</v>
      </c>
      <c r="Z119" s="9">
        <v>15</v>
      </c>
      <c r="AB119" s="11">
        <f ca="1">IFERROR(OFFSET(MANOR_LEVEL!$B$1,MATCH(AC119-1,MANOR_LEVEL!$A:$A,0)-1,0),0)</f>
        <v>3500000</v>
      </c>
      <c r="AC119" s="55">
        <v>12</v>
      </c>
      <c r="AE119" s="11">
        <f t="shared" ca="1" si="45"/>
        <v>12600000</v>
      </c>
      <c r="AF119" s="10">
        <f ca="1">AK119+AM119+(IFERROR(OFFSET(ITEM_RES!$R$1,MATCH(AQ119,ITEM_RES!$A:$A,0)-1,0),0)*AS119+IFERROR(OFFSET(ITEM_RES!$R$1,MATCH(AV119,ITEM_RES!$A:$A,0)-1,0),0)*AX119+IFERROR(OFFSET(ITEM_RES!$R$1,MATCH(BA119,ITEM_RES!$A:$A,0)-1,0),0)*BC119+IFERROR(OFFSET(ITEM_RES!$R$1,MATCH(BF119,ITEM_RES!$A:$A,0)-1,0),0)*BH119+IFERROR(OFFSET(ITEM_RES!$R$1,MATCH(BK119,ITEM_RES!$A:$A,0)-1,0),0)*BM119)/1000</f>
        <v>12600000</v>
      </c>
      <c r="AG119" s="176">
        <f t="shared" ca="1" si="47"/>
        <v>17644000</v>
      </c>
      <c r="AI119" s="11">
        <f t="shared" si="21"/>
        <v>1080</v>
      </c>
      <c r="AJ119" s="10">
        <v>1080</v>
      </c>
      <c r="AK119" s="11">
        <f t="shared" si="46"/>
        <v>0</v>
      </c>
      <c r="AL119" s="10">
        <v>0</v>
      </c>
      <c r="AM119" s="11">
        <f t="shared" si="24"/>
        <v>0</v>
      </c>
      <c r="AN119" s="10">
        <v>0</v>
      </c>
      <c r="AO119" s="55">
        <f t="shared" si="25"/>
        <v>2</v>
      </c>
      <c r="AQ119" s="11">
        <f ca="1">IFERROR(OFFSET(ITEM_RES!$A$1,MATCH(AR119,ITEM_RES!$J:$J,0)-1,0),0)</f>
        <v>211020301</v>
      </c>
      <c r="AR119" s="10" t="s">
        <v>386</v>
      </c>
      <c r="AS119" s="11">
        <v>840000</v>
      </c>
      <c r="AV119" s="11">
        <f ca="1">IFERROR(OFFSET(ITEM_RES!$A$1,MATCH(AW119,ITEM_RES!$J:$J,0)-1,0),0)</f>
        <v>211020501</v>
      </c>
      <c r="AW119" s="10" t="s">
        <v>416</v>
      </c>
      <c r="AX119" s="11">
        <v>840000</v>
      </c>
      <c r="BA119" s="11">
        <f ca="1">IFERROR(OFFSET(ITEM_RES!$A$1,MATCH(BB119,ITEM_RES!$J:$J,0)-1,0),0)</f>
        <v>0</v>
      </c>
      <c r="BF119" s="11">
        <f ca="1">IFERROR(OFFSET(ITEM_RES!$A$1,MATCH(BG119,ITEM_RES!$J:$J,0)-1,0),0)</f>
        <v>0</v>
      </c>
      <c r="BK119" s="11">
        <f ca="1">IFERROR(OFFSET(ITEM_RES!$A$1,MATCH(BL119,ITEM_RES!$J:$J,0)-1,0),0)</f>
        <v>0</v>
      </c>
      <c r="BM119" s="11">
        <f t="shared" si="44"/>
        <v>0</v>
      </c>
    </row>
    <row r="120" spans="1:66" x14ac:dyDescent="0.3">
      <c r="A120" s="14">
        <f t="shared" si="41"/>
        <v>112020016</v>
      </c>
      <c r="B120" s="13">
        <v>11</v>
      </c>
      <c r="C120" s="12">
        <f t="shared" si="42"/>
        <v>2</v>
      </c>
      <c r="D120" s="13">
        <v>2</v>
      </c>
      <c r="E120" s="13">
        <v>0</v>
      </c>
      <c r="F120" s="12">
        <f t="shared" si="43"/>
        <v>16</v>
      </c>
      <c r="H120" s="9">
        <v>2</v>
      </c>
      <c r="I120" s="9">
        <v>16</v>
      </c>
      <c r="K120" s="9" t="s">
        <v>739</v>
      </c>
      <c r="M120" s="9">
        <v>0</v>
      </c>
      <c r="N120" s="9">
        <v>15</v>
      </c>
      <c r="O120" s="9" t="s">
        <v>741</v>
      </c>
      <c r="P120" s="55" t="s">
        <v>1345</v>
      </c>
      <c r="Q120" s="9" t="s">
        <v>740</v>
      </c>
      <c r="S120" s="81" t="s">
        <v>397</v>
      </c>
      <c r="T120" s="9">
        <f ca="1">IFERROR(OFFSET(ITEM_RES!$A$5,MATCH(BUILDING!S120,ITEM_RES!$J$5:$J$229,0)-1,0),0)</f>
        <v>211021001</v>
      </c>
      <c r="U120" s="11">
        <v>10</v>
      </c>
      <c r="V120" s="81" t="s">
        <v>527</v>
      </c>
      <c r="W120" s="11">
        <f ca="1">IFERROR(OFFSET(ITEM_RES!$A$5,MATCH(BUILDING!V120,ITEM_RES!$J$5:$J$229,0)-1,0),0)</f>
        <v>211021101</v>
      </c>
      <c r="Y120" s="9" t="s">
        <v>499</v>
      </c>
      <c r="Z120" s="9">
        <v>16</v>
      </c>
      <c r="AB120" s="11">
        <f ca="1">IFERROR(OFFSET(MANOR_LEVEL!$B$1,MATCH(AC120-1,MANOR_LEVEL!$A:$A,0)-1,0),0)</f>
        <v>3500000</v>
      </c>
      <c r="AC120" s="55">
        <v>12</v>
      </c>
      <c r="AE120" s="11">
        <f t="shared" ca="1" si="45"/>
        <v>25800000</v>
      </c>
      <c r="AF120" s="10">
        <f ca="1">AK120+AM120+(IFERROR(OFFSET(ITEM_RES!$R$1,MATCH(AQ120,ITEM_RES!$A:$A,0)-1,0),0)*AS120+IFERROR(OFFSET(ITEM_RES!$R$1,MATCH(AV120,ITEM_RES!$A:$A,0)-1,0),0)*AX120+IFERROR(OFFSET(ITEM_RES!$R$1,MATCH(BA120,ITEM_RES!$A:$A,0)-1,0),0)*BC120+IFERROR(OFFSET(ITEM_RES!$R$1,MATCH(BF120,ITEM_RES!$A:$A,0)-1,0),0)*BH120+IFERROR(OFFSET(ITEM_RES!$R$1,MATCH(BK120,ITEM_RES!$A:$A,0)-1,0),0)*BM120)/1000</f>
        <v>25800000</v>
      </c>
      <c r="AG120" s="176">
        <f t="shared" ca="1" si="47"/>
        <v>38400000</v>
      </c>
      <c r="AI120" s="11">
        <f t="shared" si="21"/>
        <v>1260</v>
      </c>
      <c r="AJ120" s="10">
        <v>1260</v>
      </c>
      <c r="AK120" s="11">
        <f t="shared" si="46"/>
        <v>0</v>
      </c>
      <c r="AL120" s="10">
        <v>0</v>
      </c>
      <c r="AM120" s="11">
        <f t="shared" si="24"/>
        <v>0</v>
      </c>
      <c r="AN120" s="10">
        <v>0</v>
      </c>
      <c r="AO120" s="55">
        <f t="shared" si="25"/>
        <v>2</v>
      </c>
      <c r="AQ120" s="11">
        <f ca="1">IFERROR(OFFSET(ITEM_RES!$A$1,MATCH(AR120,ITEM_RES!$J:$J,0)-1,0),0)</f>
        <v>211020301</v>
      </c>
      <c r="AR120" s="10" t="s">
        <v>386</v>
      </c>
      <c r="AS120" s="11">
        <v>1720000</v>
      </c>
      <c r="AV120" s="11">
        <f ca="1">IFERROR(OFFSET(ITEM_RES!$A$1,MATCH(AW120,ITEM_RES!$J:$J,0)-1,0),0)</f>
        <v>211020501</v>
      </c>
      <c r="AW120" s="10" t="s">
        <v>416</v>
      </c>
      <c r="AX120" s="11">
        <v>1720000</v>
      </c>
      <c r="BA120" s="11">
        <f ca="1">IFERROR(OFFSET(ITEM_RES!$A$1,MATCH(BB120,ITEM_RES!$J:$J,0)-1,0),0)</f>
        <v>0</v>
      </c>
      <c r="BF120" s="11">
        <f ca="1">IFERROR(OFFSET(ITEM_RES!$A$1,MATCH(BG120,ITEM_RES!$J:$J,0)-1,0),0)</f>
        <v>0</v>
      </c>
      <c r="BK120" s="11">
        <f ca="1">IFERROR(OFFSET(ITEM_RES!$A$1,MATCH(BL120,ITEM_RES!$J:$J,0)-1,0),0)</f>
        <v>0</v>
      </c>
      <c r="BM120" s="11">
        <f t="shared" si="44"/>
        <v>0</v>
      </c>
    </row>
    <row r="121" spans="1:66" x14ac:dyDescent="0.3">
      <c r="A121" s="14">
        <f t="shared" si="41"/>
        <v>112020017</v>
      </c>
      <c r="B121" s="13">
        <v>11</v>
      </c>
      <c r="C121" s="12">
        <f t="shared" si="42"/>
        <v>2</v>
      </c>
      <c r="D121" s="13">
        <v>2</v>
      </c>
      <c r="E121" s="13">
        <v>0</v>
      </c>
      <c r="F121" s="12">
        <f t="shared" si="43"/>
        <v>17</v>
      </c>
      <c r="H121" s="9">
        <v>2</v>
      </c>
      <c r="I121" s="9">
        <v>17</v>
      </c>
      <c r="K121" s="9" t="s">
        <v>739</v>
      </c>
      <c r="M121" s="9">
        <v>0</v>
      </c>
      <c r="N121" s="9">
        <v>15</v>
      </c>
      <c r="O121" s="9" t="s">
        <v>741</v>
      </c>
      <c r="P121" s="55" t="s">
        <v>1345</v>
      </c>
      <c r="Q121" s="9" t="s">
        <v>740</v>
      </c>
      <c r="S121" s="81" t="s">
        <v>397</v>
      </c>
      <c r="T121" s="9">
        <f ca="1">IFERROR(OFFSET(ITEM_RES!$A$5,MATCH(BUILDING!S121,ITEM_RES!$J$5:$J$229,0)-1,0),0)</f>
        <v>211021001</v>
      </c>
      <c r="U121" s="11">
        <v>10</v>
      </c>
      <c r="V121" s="81" t="s">
        <v>527</v>
      </c>
      <c r="W121" s="11">
        <f ca="1">IFERROR(OFFSET(ITEM_RES!$A$5,MATCH(BUILDING!V121,ITEM_RES!$J$5:$J$229,0)-1,0),0)</f>
        <v>211021101</v>
      </c>
      <c r="Y121" s="9" t="s">
        <v>499</v>
      </c>
      <c r="Z121" s="9">
        <v>17</v>
      </c>
      <c r="AB121" s="11">
        <f ca="1">IFERROR(OFFSET(MANOR_LEVEL!$B$1,MATCH(AC121-1,MANOR_LEVEL!$A:$A,0)-1,0),0)</f>
        <v>3500000</v>
      </c>
      <c r="AC121" s="55">
        <v>12</v>
      </c>
      <c r="AE121" s="11">
        <f t="shared" ca="1" si="45"/>
        <v>48000000</v>
      </c>
      <c r="AF121" s="10">
        <f ca="1">AK121+AM121+(IFERROR(OFFSET(ITEM_RES!$R$1,MATCH(AQ121,ITEM_RES!$A:$A,0)-1,0),0)*AS121+IFERROR(OFFSET(ITEM_RES!$R$1,MATCH(AV121,ITEM_RES!$A:$A,0)-1,0),0)*AX121+IFERROR(OFFSET(ITEM_RES!$R$1,MATCH(BA121,ITEM_RES!$A:$A,0)-1,0),0)*BC121+IFERROR(OFFSET(ITEM_RES!$R$1,MATCH(BF121,ITEM_RES!$A:$A,0)-1,0),0)*BH121+IFERROR(OFFSET(ITEM_RES!$R$1,MATCH(BK121,ITEM_RES!$A:$A,0)-1,0),0)*BM121)/1000</f>
        <v>48000000</v>
      </c>
      <c r="AG121" s="176">
        <f t="shared" ca="1" si="47"/>
        <v>73800000</v>
      </c>
      <c r="AI121" s="11">
        <f t="shared" si="21"/>
        <v>1440</v>
      </c>
      <c r="AJ121" s="10">
        <v>1440</v>
      </c>
      <c r="AK121" s="11">
        <f t="shared" si="46"/>
        <v>0</v>
      </c>
      <c r="AL121" s="10">
        <v>0</v>
      </c>
      <c r="AM121" s="11">
        <f t="shared" si="24"/>
        <v>0</v>
      </c>
      <c r="AN121" s="10">
        <v>0</v>
      </c>
      <c r="AO121" s="55">
        <f t="shared" si="25"/>
        <v>2</v>
      </c>
      <c r="AQ121" s="11">
        <f ca="1">IFERROR(OFFSET(ITEM_RES!$A$1,MATCH(AR121,ITEM_RES!$J:$J,0)-1,0),0)</f>
        <v>211020301</v>
      </c>
      <c r="AR121" s="10" t="s">
        <v>995</v>
      </c>
      <c r="AS121" s="11">
        <v>3200000</v>
      </c>
      <c r="AV121" s="11">
        <f ca="1">IFERROR(OFFSET(ITEM_RES!$A$1,MATCH(AW121,ITEM_RES!$J:$J,0)-1,0),0)</f>
        <v>211020501</v>
      </c>
      <c r="AW121" s="10" t="s">
        <v>416</v>
      </c>
      <c r="AX121" s="11">
        <v>3200000</v>
      </c>
      <c r="BA121" s="11">
        <f ca="1">IFERROR(OFFSET(ITEM_RES!$A$1,MATCH(BB121,ITEM_RES!$J:$J,0)-1,0),0)</f>
        <v>0</v>
      </c>
      <c r="BF121" s="11">
        <f ca="1">IFERROR(OFFSET(ITEM_RES!$A$1,MATCH(BG121,ITEM_RES!$J:$J,0)-1,0),0)</f>
        <v>0</v>
      </c>
      <c r="BK121" s="11">
        <f ca="1">IFERROR(OFFSET(ITEM_RES!$A$1,MATCH(BL121,ITEM_RES!$J:$J,0)-1,0),0)</f>
        <v>0</v>
      </c>
      <c r="BM121" s="11">
        <f t="shared" si="44"/>
        <v>0</v>
      </c>
    </row>
    <row r="122" spans="1:66" x14ac:dyDescent="0.3">
      <c r="A122" s="14">
        <f t="shared" si="41"/>
        <v>112020018</v>
      </c>
      <c r="B122" s="13">
        <v>11</v>
      </c>
      <c r="C122" s="12">
        <f t="shared" si="42"/>
        <v>2</v>
      </c>
      <c r="D122" s="13">
        <v>2</v>
      </c>
      <c r="E122" s="13">
        <v>0</v>
      </c>
      <c r="F122" s="12">
        <f t="shared" si="43"/>
        <v>18</v>
      </c>
      <c r="H122" s="9">
        <v>2</v>
      </c>
      <c r="I122" s="9">
        <v>18</v>
      </c>
      <c r="K122" s="9" t="s">
        <v>739</v>
      </c>
      <c r="M122" s="9">
        <v>0</v>
      </c>
      <c r="N122" s="9">
        <v>15</v>
      </c>
      <c r="O122" s="9" t="s">
        <v>741</v>
      </c>
      <c r="P122" s="55" t="s">
        <v>1345</v>
      </c>
      <c r="Q122" s="9" t="s">
        <v>740</v>
      </c>
      <c r="S122" s="81" t="s">
        <v>397</v>
      </c>
      <c r="T122" s="9">
        <f ca="1">IFERROR(OFFSET(ITEM_RES!$A$5,MATCH(BUILDING!S122,ITEM_RES!$J$5:$J$229,0)-1,0),0)</f>
        <v>211021001</v>
      </c>
      <c r="U122" s="11">
        <v>10</v>
      </c>
      <c r="V122" s="81" t="s">
        <v>527</v>
      </c>
      <c r="W122" s="11">
        <f ca="1">IFERROR(OFFSET(ITEM_RES!$A$5,MATCH(BUILDING!V122,ITEM_RES!$J$5:$J$229,0)-1,0),0)</f>
        <v>211021101</v>
      </c>
      <c r="Y122" s="9" t="s">
        <v>499</v>
      </c>
      <c r="Z122" s="9">
        <v>18</v>
      </c>
      <c r="AB122" s="11">
        <f ca="1">IFERROR(OFFSET(MANOR_LEVEL!$B$1,MATCH(AC122-1,MANOR_LEVEL!$A:$A,0)-1,0),0)</f>
        <v>3500000</v>
      </c>
      <c r="AC122" s="55">
        <v>12</v>
      </c>
      <c r="AE122" s="11">
        <f t="shared" ca="1" si="45"/>
        <v>78000000</v>
      </c>
      <c r="AF122" s="10">
        <f ca="1">AK122+AM122+(IFERROR(OFFSET(ITEM_RES!$R$1,MATCH(AQ122,ITEM_RES!$A:$A,0)-1,0),0)*AS122+IFERROR(OFFSET(ITEM_RES!$R$1,MATCH(AV122,ITEM_RES!$A:$A,0)-1,0),0)*AX122+IFERROR(OFFSET(ITEM_RES!$R$1,MATCH(BA122,ITEM_RES!$A:$A,0)-1,0),0)*BC122+IFERROR(OFFSET(ITEM_RES!$R$1,MATCH(BF122,ITEM_RES!$A:$A,0)-1,0),0)*BH122+IFERROR(OFFSET(ITEM_RES!$R$1,MATCH(BK122,ITEM_RES!$A:$A,0)-1,0),0)*BM122)/1000</f>
        <v>78000000</v>
      </c>
      <c r="AG122" s="176">
        <f t="shared" ca="1" si="47"/>
        <v>126000000</v>
      </c>
      <c r="AI122" s="11">
        <f t="shared" si="21"/>
        <v>1620</v>
      </c>
      <c r="AJ122" s="10">
        <v>1620</v>
      </c>
      <c r="AK122" s="11">
        <f t="shared" si="46"/>
        <v>0</v>
      </c>
      <c r="AL122" s="10">
        <v>0</v>
      </c>
      <c r="AM122" s="11">
        <f t="shared" si="24"/>
        <v>0</v>
      </c>
      <c r="AN122" s="10">
        <v>0</v>
      </c>
      <c r="AO122" s="55">
        <f t="shared" si="25"/>
        <v>2</v>
      </c>
      <c r="AQ122" s="11">
        <f ca="1">IFERROR(OFFSET(ITEM_RES!$A$1,MATCH(AR122,ITEM_RES!$J:$J,0)-1,0),0)</f>
        <v>211020301</v>
      </c>
      <c r="AR122" s="10" t="s">
        <v>995</v>
      </c>
      <c r="AS122" s="11">
        <v>5200000</v>
      </c>
      <c r="AV122" s="11">
        <f ca="1">IFERROR(OFFSET(ITEM_RES!$A$1,MATCH(AW122,ITEM_RES!$J:$J,0)-1,0),0)</f>
        <v>211020501</v>
      </c>
      <c r="AW122" s="10" t="s">
        <v>416</v>
      </c>
      <c r="AX122" s="11">
        <v>5200000</v>
      </c>
      <c r="BA122" s="11">
        <f ca="1">IFERROR(OFFSET(ITEM_RES!$A$1,MATCH(BB122,ITEM_RES!$J:$J,0)-1,0),0)</f>
        <v>0</v>
      </c>
      <c r="BF122" s="11">
        <f ca="1">IFERROR(OFFSET(ITEM_RES!$A$1,MATCH(BG122,ITEM_RES!$J:$J,0)-1,0),0)</f>
        <v>0</v>
      </c>
      <c r="BK122" s="11">
        <f ca="1">IFERROR(OFFSET(ITEM_RES!$A$1,MATCH(BL122,ITEM_RES!$J:$J,0)-1,0),0)</f>
        <v>0</v>
      </c>
      <c r="BM122" s="11">
        <f t="shared" si="44"/>
        <v>0</v>
      </c>
    </row>
    <row r="123" spans="1:66" x14ac:dyDescent="0.3">
      <c r="A123" s="14">
        <f t="shared" si="41"/>
        <v>112020019</v>
      </c>
      <c r="B123" s="13">
        <v>11</v>
      </c>
      <c r="C123" s="12">
        <f t="shared" si="42"/>
        <v>2</v>
      </c>
      <c r="D123" s="13">
        <v>2</v>
      </c>
      <c r="E123" s="13">
        <v>0</v>
      </c>
      <c r="F123" s="12">
        <f t="shared" si="43"/>
        <v>19</v>
      </c>
      <c r="H123" s="9">
        <v>2</v>
      </c>
      <c r="I123" s="9">
        <v>19</v>
      </c>
      <c r="K123" s="9" t="s">
        <v>739</v>
      </c>
      <c r="M123" s="9">
        <v>0</v>
      </c>
      <c r="N123" s="9">
        <v>15</v>
      </c>
      <c r="O123" s="9" t="s">
        <v>741</v>
      </c>
      <c r="P123" s="55" t="s">
        <v>1345</v>
      </c>
      <c r="Q123" s="9" t="s">
        <v>740</v>
      </c>
      <c r="S123" s="81" t="s">
        <v>397</v>
      </c>
      <c r="T123" s="9">
        <f ca="1">IFERROR(OFFSET(ITEM_RES!$A$5,MATCH(BUILDING!S123,ITEM_RES!$J$5:$J$229,0)-1,0),0)</f>
        <v>211021001</v>
      </c>
      <c r="U123" s="11">
        <v>10</v>
      </c>
      <c r="V123" s="81" t="s">
        <v>527</v>
      </c>
      <c r="W123" s="11">
        <f ca="1">IFERROR(OFFSET(ITEM_RES!$A$5,MATCH(BUILDING!V123,ITEM_RES!$J$5:$J$229,0)-1,0),0)</f>
        <v>211021101</v>
      </c>
      <c r="Y123" s="9" t="s">
        <v>499</v>
      </c>
      <c r="Z123" s="9">
        <v>19</v>
      </c>
      <c r="AB123" s="11">
        <f ca="1">IFERROR(OFFSET(MANOR_LEVEL!$B$1,MATCH(AC123-1,MANOR_LEVEL!$A:$A,0)-1,0),0)</f>
        <v>3500000</v>
      </c>
      <c r="AC123" s="55">
        <v>12</v>
      </c>
      <c r="AE123" s="11">
        <f t="shared" ca="1" si="45"/>
        <v>120000000</v>
      </c>
      <c r="AF123" s="10">
        <f ca="1">AK123+AM123+(IFERROR(OFFSET(ITEM_RES!$R$1,MATCH(AQ123,ITEM_RES!$A:$A,0)-1,0),0)*AS123+IFERROR(OFFSET(ITEM_RES!$R$1,MATCH(AV123,ITEM_RES!$A:$A,0)-1,0),0)*AX123+IFERROR(OFFSET(ITEM_RES!$R$1,MATCH(BA123,ITEM_RES!$A:$A,0)-1,0),0)*BC123+IFERROR(OFFSET(ITEM_RES!$R$1,MATCH(BF123,ITEM_RES!$A:$A,0)-1,0),0)*BH123+IFERROR(OFFSET(ITEM_RES!$R$1,MATCH(BK123,ITEM_RES!$A:$A,0)-1,0),0)*BM123)/1000</f>
        <v>120000000</v>
      </c>
      <c r="AG123" s="176">
        <f t="shared" ca="1" si="47"/>
        <v>198000000</v>
      </c>
      <c r="AI123" s="11">
        <f t="shared" si="21"/>
        <v>1800</v>
      </c>
      <c r="AJ123" s="10">
        <v>1800</v>
      </c>
      <c r="AK123" s="11">
        <f t="shared" si="46"/>
        <v>0</v>
      </c>
      <c r="AL123" s="10">
        <v>0</v>
      </c>
      <c r="AM123" s="11">
        <f t="shared" si="24"/>
        <v>0</v>
      </c>
      <c r="AN123" s="10">
        <v>0</v>
      </c>
      <c r="AO123" s="55">
        <f t="shared" si="25"/>
        <v>2</v>
      </c>
      <c r="AQ123" s="11">
        <f ca="1">IFERROR(OFFSET(ITEM_RES!$A$1,MATCH(AR123,ITEM_RES!$J:$J,0)-1,0),0)</f>
        <v>211020301</v>
      </c>
      <c r="AR123" s="10" t="s">
        <v>995</v>
      </c>
      <c r="AS123" s="11">
        <v>8000000</v>
      </c>
      <c r="AV123" s="11">
        <f ca="1">IFERROR(OFFSET(ITEM_RES!$A$1,MATCH(AW123,ITEM_RES!$J:$J,0)-1,0),0)</f>
        <v>211020501</v>
      </c>
      <c r="AW123" s="10" t="s">
        <v>416</v>
      </c>
      <c r="AX123" s="11">
        <v>8000000</v>
      </c>
      <c r="BA123" s="11">
        <f ca="1">IFERROR(OFFSET(ITEM_RES!$A$1,MATCH(BB123,ITEM_RES!$J:$J,0)-1,0),0)</f>
        <v>0</v>
      </c>
      <c r="BF123" s="11">
        <f ca="1">IFERROR(OFFSET(ITEM_RES!$A$1,MATCH(BG123,ITEM_RES!$J:$J,0)-1,0),0)</f>
        <v>0</v>
      </c>
      <c r="BK123" s="11">
        <f ca="1">IFERROR(OFFSET(ITEM_RES!$A$1,MATCH(BL123,ITEM_RES!$J:$J,0)-1,0),0)</f>
        <v>0</v>
      </c>
      <c r="BM123" s="11">
        <f t="shared" si="44"/>
        <v>0</v>
      </c>
    </row>
    <row r="124" spans="1:66" ht="17.25" thickBot="1" x14ac:dyDescent="0.35">
      <c r="A124" s="14">
        <f t="shared" si="41"/>
        <v>112020020</v>
      </c>
      <c r="B124" s="13">
        <v>11</v>
      </c>
      <c r="C124" s="12">
        <f t="shared" si="42"/>
        <v>2</v>
      </c>
      <c r="D124" s="13">
        <v>2</v>
      </c>
      <c r="E124" s="13">
        <v>0</v>
      </c>
      <c r="F124" s="12">
        <f t="shared" si="43"/>
        <v>20</v>
      </c>
      <c r="H124" s="9">
        <v>2</v>
      </c>
      <c r="I124" s="9">
        <v>20</v>
      </c>
      <c r="K124" s="9" t="s">
        <v>739</v>
      </c>
      <c r="M124" s="9">
        <v>0</v>
      </c>
      <c r="N124" s="9">
        <v>15</v>
      </c>
      <c r="O124" s="9" t="s">
        <v>741</v>
      </c>
      <c r="P124" s="55" t="s">
        <v>1345</v>
      </c>
      <c r="Q124" s="9" t="s">
        <v>740</v>
      </c>
      <c r="S124" s="81" t="s">
        <v>397</v>
      </c>
      <c r="T124" s="9">
        <f ca="1">IFERROR(OFFSET(ITEM_RES!$A$5,MATCH(BUILDING!S124,ITEM_RES!$J$5:$J$229,0)-1,0),0)</f>
        <v>211021001</v>
      </c>
      <c r="U124" s="11">
        <v>10</v>
      </c>
      <c r="V124" s="81" t="s">
        <v>527</v>
      </c>
      <c r="W124" s="11">
        <f ca="1">IFERROR(OFFSET(ITEM_RES!$A$5,MATCH(BUILDING!V124,ITEM_RES!$J$5:$J$229,0)-1,0),0)</f>
        <v>211021101</v>
      </c>
      <c r="Y124" s="9" t="s">
        <v>499</v>
      </c>
      <c r="Z124" s="9">
        <v>20</v>
      </c>
      <c r="AB124" s="11">
        <f ca="1">IFERROR(OFFSET(MANOR_LEVEL!$B$1,MATCH(AC124-1,MANOR_LEVEL!$A:$A,0)-1,0),0)</f>
        <v>3500000</v>
      </c>
      <c r="AC124" s="55">
        <v>12</v>
      </c>
      <c r="AE124" s="11">
        <f t="shared" ca="1" si="45"/>
        <v>192000000</v>
      </c>
      <c r="AF124" s="10">
        <f ca="1">AK124+AM124+(IFERROR(OFFSET(ITEM_RES!$R$1,MATCH(AQ124,ITEM_RES!$A:$A,0)-1,0),0)*AS124+IFERROR(OFFSET(ITEM_RES!$R$1,MATCH(AV124,ITEM_RES!$A:$A,0)-1,0),0)*AX124+IFERROR(OFFSET(ITEM_RES!$R$1,MATCH(BA124,ITEM_RES!$A:$A,0)-1,0),0)*BC124+IFERROR(OFFSET(ITEM_RES!$R$1,MATCH(BF124,ITEM_RES!$A:$A,0)-1,0),0)*BH124+IFERROR(OFFSET(ITEM_RES!$R$1,MATCH(BK124,ITEM_RES!$A:$A,0)-1,0),0)*BM124)/1000</f>
        <v>192000000</v>
      </c>
      <c r="AG124" s="176">
        <f t="shared" ca="1" si="47"/>
        <v>312000000</v>
      </c>
      <c r="AI124" s="11">
        <f t="shared" si="21"/>
        <v>1980</v>
      </c>
      <c r="AJ124" s="10">
        <v>1980</v>
      </c>
      <c r="AK124" s="11">
        <f t="shared" si="46"/>
        <v>0</v>
      </c>
      <c r="AL124" s="10">
        <v>0</v>
      </c>
      <c r="AM124" s="11">
        <f t="shared" si="24"/>
        <v>0</v>
      </c>
      <c r="AN124" s="10">
        <v>0</v>
      </c>
      <c r="AO124" s="55">
        <f t="shared" si="25"/>
        <v>2</v>
      </c>
      <c r="AQ124" s="11">
        <f ca="1">IFERROR(OFFSET(ITEM_RES!$A$1,MATCH(AR124,ITEM_RES!$J:$J,0)-1,0),0)</f>
        <v>211020301</v>
      </c>
      <c r="AR124" s="10" t="s">
        <v>995</v>
      </c>
      <c r="AS124" s="11">
        <v>12800000</v>
      </c>
      <c r="AV124" s="11">
        <f ca="1">IFERROR(OFFSET(ITEM_RES!$A$1,MATCH(AW124,ITEM_RES!$J:$J,0)-1,0),0)</f>
        <v>211020501</v>
      </c>
      <c r="AW124" s="10" t="s">
        <v>416</v>
      </c>
      <c r="AX124" s="11">
        <v>12800000</v>
      </c>
      <c r="BA124" s="11">
        <f ca="1">IFERROR(OFFSET(ITEM_RES!$A$1,MATCH(BB124,ITEM_RES!$J:$J,0)-1,0),0)</f>
        <v>0</v>
      </c>
      <c r="BF124" s="11">
        <f ca="1">IFERROR(OFFSET(ITEM_RES!$A$1,MATCH(BG124,ITEM_RES!$J:$J,0)-1,0),0)</f>
        <v>0</v>
      </c>
      <c r="BK124" s="11">
        <f ca="1">IFERROR(OFFSET(ITEM_RES!$A$1,MATCH(BL124,ITEM_RES!$J:$J,0)-1,0),0)</f>
        <v>0</v>
      </c>
      <c r="BM124" s="11">
        <f t="shared" si="44"/>
        <v>0</v>
      </c>
    </row>
    <row r="125" spans="1:66" s="15" customFormat="1" x14ac:dyDescent="0.3">
      <c r="A125" s="21">
        <f t="shared" si="41"/>
        <v>111050001</v>
      </c>
      <c r="B125" s="20">
        <v>11</v>
      </c>
      <c r="C125" s="19">
        <f t="shared" si="42"/>
        <v>1</v>
      </c>
      <c r="D125" s="20">
        <v>5</v>
      </c>
      <c r="E125" s="20">
        <v>0</v>
      </c>
      <c r="F125" s="19">
        <f t="shared" si="43"/>
        <v>1</v>
      </c>
      <c r="G125" s="76"/>
      <c r="H125" s="16">
        <v>1</v>
      </c>
      <c r="I125" s="16">
        <v>1</v>
      </c>
      <c r="J125" s="76"/>
      <c r="K125" s="16" t="s">
        <v>357</v>
      </c>
      <c r="L125" s="16">
        <v>1</v>
      </c>
      <c r="M125" s="16">
        <v>1</v>
      </c>
      <c r="N125" s="16">
        <v>15</v>
      </c>
      <c r="O125" s="16" t="s">
        <v>1083</v>
      </c>
      <c r="P125" s="56" t="s">
        <v>1346</v>
      </c>
      <c r="Q125" s="16" t="s">
        <v>669</v>
      </c>
      <c r="R125" s="76"/>
      <c r="S125" s="83"/>
      <c r="T125" s="16">
        <f ca="1">IFERROR(OFFSET(ITEM_RES!$A$5,MATCH(BUILDING!S125,ITEM_RES!$J$5:$J$229,0)-1,0),0)</f>
        <v>0</v>
      </c>
      <c r="U125" s="18"/>
      <c r="V125" s="83" t="s">
        <v>528</v>
      </c>
      <c r="W125" s="18">
        <f ca="1">IFERROR(OFFSET(ITEM_RES!$A$5,MATCH(BUILDING!V125,ITEM_RES!$J$5:$J$229,0)-1,0),0)</f>
        <v>211010501</v>
      </c>
      <c r="X125" s="76"/>
      <c r="Y125" s="16" t="s">
        <v>500</v>
      </c>
      <c r="Z125" s="16">
        <v>1</v>
      </c>
      <c r="AA125" s="76"/>
      <c r="AB125" s="18">
        <f ca="1">IFERROR(OFFSET(MANOR_LEVEL!$B$1,MATCH(AC125-1,MANOR_LEVEL!$A:$A,0)-1,0),0)</f>
        <v>0</v>
      </c>
      <c r="AC125" s="56">
        <v>1</v>
      </c>
      <c r="AD125" s="76"/>
      <c r="AE125" s="18">
        <f t="shared" ca="1" si="45"/>
        <v>1005</v>
      </c>
      <c r="AF125" s="17">
        <f ca="1">AK125+AM125+(IFERROR(OFFSET(ITEM_RES!$R$1,MATCH(AQ125,ITEM_RES!$A:$A,0)-1,0),0)*AS125+IFERROR(OFFSET(ITEM_RES!$R$1,MATCH(AV125,ITEM_RES!$A:$A,0)-1,0),0)*AX125+IFERROR(OFFSET(ITEM_RES!$R$1,MATCH(BA125,ITEM_RES!$A:$A,0)-1,0),0)*BC125+IFERROR(OFFSET(ITEM_RES!$R$1,MATCH(BF125,ITEM_RES!$A:$A,0)-1,0),0)*BH125+IFERROR(OFFSET(ITEM_RES!$R$1,MATCH(BK125,ITEM_RES!$A:$A,0)-1,0),0)*BM125)/1000</f>
        <v>1005</v>
      </c>
      <c r="AG125" s="178">
        <f ca="1">AE125</f>
        <v>1005</v>
      </c>
      <c r="AH125" s="76"/>
      <c r="AI125" s="18">
        <f t="shared" si="21"/>
        <v>2</v>
      </c>
      <c r="AJ125" s="17">
        <v>2</v>
      </c>
      <c r="AK125" s="18">
        <f t="shared" si="46"/>
        <v>0</v>
      </c>
      <c r="AL125" s="17">
        <v>0</v>
      </c>
      <c r="AM125" s="18">
        <f t="shared" si="24"/>
        <v>0</v>
      </c>
      <c r="AN125" s="17">
        <v>0</v>
      </c>
      <c r="AO125" s="56">
        <f t="shared" si="25"/>
        <v>2</v>
      </c>
      <c r="AP125" s="18"/>
      <c r="AQ125" s="18">
        <f ca="1">IFERROR(OFFSET(ITEM_RES!$A$1,MATCH(AR125,ITEM_RES!$J:$J,0)-1,0),0)</f>
        <v>211010501</v>
      </c>
      <c r="AR125" s="17" t="s">
        <v>1445</v>
      </c>
      <c r="AS125" s="18">
        <v>5</v>
      </c>
      <c r="AT125" s="17"/>
      <c r="AU125" s="18"/>
      <c r="AV125" s="18">
        <f ca="1">IFERROR(OFFSET(ITEM_RES!$A$1,MATCH(AW125,ITEM_RES!$J:$J,0)-1,0),0)</f>
        <v>0</v>
      </c>
      <c r="AW125" s="17"/>
      <c r="AX125" s="18"/>
      <c r="AY125" s="17"/>
      <c r="AZ125" s="18"/>
      <c r="BA125" s="18">
        <f ca="1">IFERROR(OFFSET(ITEM_RES!$A$1,MATCH(BB125,ITEM_RES!$J:$J,0)-1,0),0)</f>
        <v>213010101</v>
      </c>
      <c r="BB125" s="17" t="s">
        <v>440</v>
      </c>
      <c r="BC125" s="18">
        <v>1</v>
      </c>
      <c r="BD125" s="17"/>
      <c r="BE125" s="18"/>
      <c r="BF125" s="18">
        <f ca="1">IFERROR(OFFSET(ITEM_RES!$A$1,MATCH(BG125,ITEM_RES!$J:$J,0)-1,0),0)</f>
        <v>0</v>
      </c>
      <c r="BG125" s="17"/>
      <c r="BH125" s="18"/>
      <c r="BI125" s="17"/>
      <c r="BJ125" s="18"/>
      <c r="BK125" s="18">
        <f ca="1">IFERROR(OFFSET(ITEM_RES!$A$1,MATCH(BL125,ITEM_RES!$J:$J,0)-1,0),0)</f>
        <v>0</v>
      </c>
      <c r="BL125" s="17"/>
      <c r="BM125" s="18">
        <f t="shared" si="44"/>
        <v>0</v>
      </c>
      <c r="BN125" s="17"/>
    </row>
    <row r="126" spans="1:66" x14ac:dyDescent="0.3">
      <c r="A126" s="14">
        <f t="shared" si="41"/>
        <v>111050002</v>
      </c>
      <c r="B126" s="13">
        <v>11</v>
      </c>
      <c r="C126" s="12">
        <f t="shared" si="42"/>
        <v>1</v>
      </c>
      <c r="D126" s="13">
        <v>5</v>
      </c>
      <c r="E126" s="13">
        <v>0</v>
      </c>
      <c r="F126" s="12">
        <f t="shared" si="43"/>
        <v>2</v>
      </c>
      <c r="H126" s="9">
        <v>1</v>
      </c>
      <c r="I126" s="9">
        <v>2</v>
      </c>
      <c r="K126" s="9" t="s">
        <v>357</v>
      </c>
      <c r="M126" s="9">
        <v>1</v>
      </c>
      <c r="N126" s="9">
        <v>15</v>
      </c>
      <c r="O126" s="9" t="s">
        <v>1084</v>
      </c>
      <c r="P126" s="55" t="s">
        <v>1346</v>
      </c>
      <c r="Q126" s="9" t="s">
        <v>669</v>
      </c>
      <c r="T126" s="9">
        <f ca="1">IFERROR(OFFSET(ITEM_RES!$A$5,MATCH(BUILDING!S126,ITEM_RES!$J$5:$J$229,0)-1,0),0)</f>
        <v>0</v>
      </c>
      <c r="V126" s="81" t="s">
        <v>528</v>
      </c>
      <c r="W126" s="11">
        <f ca="1">IFERROR(OFFSET(ITEM_RES!$A$5,MATCH(BUILDING!V126,ITEM_RES!$J$5:$J$229,0)-1,0),0)</f>
        <v>211010501</v>
      </c>
      <c r="Y126" s="9" t="s">
        <v>500</v>
      </c>
      <c r="Z126" s="9">
        <v>2</v>
      </c>
      <c r="AB126" s="11">
        <f ca="1">IFERROR(OFFSET(MANOR_LEVEL!$B$1,MATCH(AC126-1,MANOR_LEVEL!$A:$A,0)-1,0),0)</f>
        <v>0</v>
      </c>
      <c r="AC126" s="55">
        <v>1</v>
      </c>
      <c r="AE126" s="11">
        <f t="shared" ca="1" si="45"/>
        <v>15</v>
      </c>
      <c r="AF126" s="10">
        <f ca="1">AK126+AM126+(IFERROR(OFFSET(ITEM_RES!$R$1,MATCH(AQ126,ITEM_RES!$A:$A,0)-1,0),0)*AS126+IFERROR(OFFSET(ITEM_RES!$R$1,MATCH(AV126,ITEM_RES!$A:$A,0)-1,0),0)*AX126+IFERROR(OFFSET(ITEM_RES!$R$1,MATCH(BA126,ITEM_RES!$A:$A,0)-1,0),0)*BC126+IFERROR(OFFSET(ITEM_RES!$R$1,MATCH(BF126,ITEM_RES!$A:$A,0)-1,0),0)*BH126+IFERROR(OFFSET(ITEM_RES!$R$1,MATCH(BK126,ITEM_RES!$A:$A,0)-1,0),0)*BM126)/1000</f>
        <v>15</v>
      </c>
      <c r="AG126" s="176">
        <f ca="1">AE125+AE126</f>
        <v>1020</v>
      </c>
      <c r="AI126" s="11">
        <f t="shared" si="21"/>
        <v>2</v>
      </c>
      <c r="AJ126" s="10">
        <v>2</v>
      </c>
      <c r="AK126" s="11">
        <f t="shared" si="46"/>
        <v>0</v>
      </c>
      <c r="AL126" s="10">
        <v>0</v>
      </c>
      <c r="AM126" s="11">
        <f t="shared" si="24"/>
        <v>0</v>
      </c>
      <c r="AN126" s="10">
        <v>0</v>
      </c>
      <c r="AO126" s="55">
        <f t="shared" si="25"/>
        <v>1</v>
      </c>
      <c r="AQ126" s="11">
        <f ca="1">IFERROR(OFFSET(ITEM_RES!$A$1,MATCH(AR126,ITEM_RES!$J:$J,0)-1,0),0)</f>
        <v>211010501</v>
      </c>
      <c r="AR126" s="10" t="s">
        <v>1445</v>
      </c>
      <c r="AS126" s="11">
        <v>15</v>
      </c>
      <c r="AV126" s="11">
        <f ca="1">IFERROR(OFFSET(ITEM_RES!$A$1,MATCH(AW126,ITEM_RES!$J:$J,0)-1,0),0)</f>
        <v>0</v>
      </c>
      <c r="BA126" s="11">
        <f ca="1">IFERROR(OFFSET(ITEM_RES!$A$1,MATCH(BB126,ITEM_RES!$J:$J,0)-1,0),0)</f>
        <v>0</v>
      </c>
      <c r="BF126" s="11">
        <f ca="1">IFERROR(OFFSET(ITEM_RES!$A$1,MATCH(BG126,ITEM_RES!$J:$J,0)-1,0),0)</f>
        <v>0</v>
      </c>
      <c r="BK126" s="11">
        <f ca="1">IFERROR(OFFSET(ITEM_RES!$A$1,MATCH(BL126,ITEM_RES!$J:$J,0)-1,0),0)</f>
        <v>0</v>
      </c>
      <c r="BM126" s="11">
        <f t="shared" si="44"/>
        <v>0</v>
      </c>
    </row>
    <row r="127" spans="1:66" x14ac:dyDescent="0.3">
      <c r="A127" s="14">
        <f t="shared" si="41"/>
        <v>111050003</v>
      </c>
      <c r="B127" s="13">
        <v>11</v>
      </c>
      <c r="C127" s="12">
        <f t="shared" si="42"/>
        <v>1</v>
      </c>
      <c r="D127" s="13">
        <v>5</v>
      </c>
      <c r="E127" s="13">
        <v>0</v>
      </c>
      <c r="F127" s="12">
        <f t="shared" si="43"/>
        <v>3</v>
      </c>
      <c r="H127" s="9">
        <v>1</v>
      </c>
      <c r="I127" s="9">
        <v>3</v>
      </c>
      <c r="K127" s="9" t="s">
        <v>357</v>
      </c>
      <c r="M127" s="9">
        <v>1</v>
      </c>
      <c r="N127" s="9">
        <v>15</v>
      </c>
      <c r="O127" s="9" t="s">
        <v>1085</v>
      </c>
      <c r="P127" s="55" t="s">
        <v>1347</v>
      </c>
      <c r="Q127" s="9" t="s">
        <v>669</v>
      </c>
      <c r="T127" s="9">
        <f ca="1">IFERROR(OFFSET(ITEM_RES!$A$5,MATCH(BUILDING!S127,ITEM_RES!$J$5:$J$229,0)-1,0),0)</f>
        <v>0</v>
      </c>
      <c r="V127" s="81" t="s">
        <v>528</v>
      </c>
      <c r="W127" s="11">
        <f ca="1">IFERROR(OFFSET(ITEM_RES!$A$5,MATCH(BUILDING!V127,ITEM_RES!$J$5:$J$229,0)-1,0),0)</f>
        <v>211010501</v>
      </c>
      <c r="Y127" s="9" t="s">
        <v>500</v>
      </c>
      <c r="Z127" s="9">
        <v>3</v>
      </c>
      <c r="AB127" s="11">
        <f ca="1">IFERROR(OFFSET(MANOR_LEVEL!$B$1,MATCH(AC127-1,MANOR_LEVEL!$A:$A,0)-1,0),0)</f>
        <v>800</v>
      </c>
      <c r="AC127" s="55">
        <v>2</v>
      </c>
      <c r="AE127" s="11">
        <f t="shared" ca="1" si="45"/>
        <v>20</v>
      </c>
      <c r="AF127" s="10">
        <f ca="1">AK127+AM127+(IFERROR(OFFSET(ITEM_RES!$R$1,MATCH(AQ127,ITEM_RES!$A:$A,0)-1,0),0)*AS127+IFERROR(OFFSET(ITEM_RES!$R$1,MATCH(AV127,ITEM_RES!$A:$A,0)-1,0),0)*AX127+IFERROR(OFFSET(ITEM_RES!$R$1,MATCH(BA127,ITEM_RES!$A:$A,0)-1,0),0)*BC127+IFERROR(OFFSET(ITEM_RES!$R$1,MATCH(BF127,ITEM_RES!$A:$A,0)-1,0),0)*BH127+IFERROR(OFFSET(ITEM_RES!$R$1,MATCH(BK127,ITEM_RES!$A:$A,0)-1,0),0)*BM127)/1000</f>
        <v>20</v>
      </c>
      <c r="AG127" s="176">
        <f t="shared" ref="AG127:AG144" ca="1" si="48">AE126+AE127</f>
        <v>35</v>
      </c>
      <c r="AI127" s="11">
        <f t="shared" si="21"/>
        <v>3</v>
      </c>
      <c r="AJ127" s="10">
        <v>3</v>
      </c>
      <c r="AK127" s="11">
        <f t="shared" si="46"/>
        <v>0</v>
      </c>
      <c r="AL127" s="10">
        <v>0</v>
      </c>
      <c r="AM127" s="11">
        <f t="shared" si="24"/>
        <v>0</v>
      </c>
      <c r="AN127" s="10">
        <v>0</v>
      </c>
      <c r="AO127" s="55">
        <f t="shared" si="25"/>
        <v>1</v>
      </c>
      <c r="AQ127" s="11">
        <f ca="1">IFERROR(OFFSET(ITEM_RES!$A$1,MATCH(AR127,ITEM_RES!$J:$J,0)-1,0),0)</f>
        <v>211010501</v>
      </c>
      <c r="AR127" s="10" t="s">
        <v>1445</v>
      </c>
      <c r="AS127" s="11">
        <v>20</v>
      </c>
      <c r="AV127" s="11">
        <f ca="1">IFERROR(OFFSET(ITEM_RES!$A$1,MATCH(AW127,ITEM_RES!$J:$J,0)-1,0),0)</f>
        <v>0</v>
      </c>
      <c r="BA127" s="11">
        <f ca="1">IFERROR(OFFSET(ITEM_RES!$A$1,MATCH(BB127,ITEM_RES!$J:$J,0)-1,0),0)</f>
        <v>0</v>
      </c>
      <c r="BF127" s="11">
        <f ca="1">IFERROR(OFFSET(ITEM_RES!$A$1,MATCH(BG127,ITEM_RES!$J:$J,0)-1,0),0)</f>
        <v>0</v>
      </c>
      <c r="BK127" s="11">
        <f ca="1">IFERROR(OFFSET(ITEM_RES!$A$1,MATCH(BL127,ITEM_RES!$J:$J,0)-1,0),0)</f>
        <v>0</v>
      </c>
      <c r="BM127" s="11">
        <f t="shared" si="44"/>
        <v>0</v>
      </c>
    </row>
    <row r="128" spans="1:66" x14ac:dyDescent="0.3">
      <c r="A128" s="14">
        <f t="shared" si="41"/>
        <v>111050004</v>
      </c>
      <c r="B128" s="13">
        <v>11</v>
      </c>
      <c r="C128" s="12">
        <f t="shared" si="42"/>
        <v>1</v>
      </c>
      <c r="D128" s="13">
        <v>5</v>
      </c>
      <c r="E128" s="13">
        <v>0</v>
      </c>
      <c r="F128" s="12">
        <f t="shared" si="43"/>
        <v>4</v>
      </c>
      <c r="H128" s="9">
        <v>1</v>
      </c>
      <c r="I128" s="9">
        <v>4</v>
      </c>
      <c r="K128" s="9" t="s">
        <v>357</v>
      </c>
      <c r="M128" s="9">
        <v>1</v>
      </c>
      <c r="N128" s="9">
        <v>15</v>
      </c>
      <c r="O128" s="9" t="s">
        <v>1086</v>
      </c>
      <c r="P128" s="55" t="s">
        <v>1347</v>
      </c>
      <c r="Q128" s="9" t="s">
        <v>669</v>
      </c>
      <c r="T128" s="9">
        <f ca="1">IFERROR(OFFSET(ITEM_RES!$A$5,MATCH(BUILDING!S128,ITEM_RES!$J$5:$J$229,0)-1,0),0)</f>
        <v>0</v>
      </c>
      <c r="V128" s="81" t="s">
        <v>528</v>
      </c>
      <c r="W128" s="11">
        <f ca="1">IFERROR(OFFSET(ITEM_RES!$A$5,MATCH(BUILDING!V128,ITEM_RES!$J$5:$J$229,0)-1,0),0)</f>
        <v>211010501</v>
      </c>
      <c r="Y128" s="9" t="s">
        <v>500</v>
      </c>
      <c r="Z128" s="9">
        <v>4</v>
      </c>
      <c r="AB128" s="11">
        <f ca="1">IFERROR(OFFSET(MANOR_LEVEL!$B$1,MATCH(AC128-1,MANOR_LEVEL!$A:$A,0)-1,0),0)</f>
        <v>800</v>
      </c>
      <c r="AC128" s="55">
        <v>2</v>
      </c>
      <c r="AE128" s="11">
        <f t="shared" ca="1" si="45"/>
        <v>60</v>
      </c>
      <c r="AF128" s="10">
        <f ca="1">AK128+AM128+(IFERROR(OFFSET(ITEM_RES!$R$1,MATCH(AQ128,ITEM_RES!$A:$A,0)-1,0),0)*AS128+IFERROR(OFFSET(ITEM_RES!$R$1,MATCH(AV128,ITEM_RES!$A:$A,0)-1,0),0)*AX128+IFERROR(OFFSET(ITEM_RES!$R$1,MATCH(BA128,ITEM_RES!$A:$A,0)-1,0),0)*BC128+IFERROR(OFFSET(ITEM_RES!$R$1,MATCH(BF128,ITEM_RES!$A:$A,0)-1,0),0)*BH128+IFERROR(OFFSET(ITEM_RES!$R$1,MATCH(BK128,ITEM_RES!$A:$A,0)-1,0),0)*BM128)/1000</f>
        <v>60</v>
      </c>
      <c r="AG128" s="176">
        <f t="shared" ca="1" si="48"/>
        <v>80</v>
      </c>
      <c r="AI128" s="11">
        <f t="shared" si="21"/>
        <v>5</v>
      </c>
      <c r="AJ128" s="10">
        <v>5</v>
      </c>
      <c r="AK128" s="11">
        <f t="shared" si="46"/>
        <v>0</v>
      </c>
      <c r="AL128" s="10">
        <v>0</v>
      </c>
      <c r="AM128" s="11">
        <f t="shared" si="24"/>
        <v>0</v>
      </c>
      <c r="AN128" s="10">
        <v>0</v>
      </c>
      <c r="AO128" s="55">
        <f t="shared" si="25"/>
        <v>1</v>
      </c>
      <c r="AQ128" s="11">
        <f ca="1">IFERROR(OFFSET(ITEM_RES!$A$1,MATCH(AR128,ITEM_RES!$J:$J,0)-1,0),0)</f>
        <v>211010501</v>
      </c>
      <c r="AR128" s="10" t="s">
        <v>1445</v>
      </c>
      <c r="AS128" s="11">
        <v>60</v>
      </c>
      <c r="AV128" s="11">
        <f ca="1">IFERROR(OFFSET(ITEM_RES!$A$1,MATCH(AW128,ITEM_RES!$J:$J,0)-1,0),0)</f>
        <v>0</v>
      </c>
      <c r="BA128" s="11">
        <f ca="1">IFERROR(OFFSET(ITEM_RES!$A$1,MATCH(BB128,ITEM_RES!$J:$J,0)-1,0),0)</f>
        <v>0</v>
      </c>
      <c r="BF128" s="11">
        <f ca="1">IFERROR(OFFSET(ITEM_RES!$A$1,MATCH(BG128,ITEM_RES!$J:$J,0)-1,0),0)</f>
        <v>0</v>
      </c>
      <c r="BK128" s="11">
        <f ca="1">IFERROR(OFFSET(ITEM_RES!$A$1,MATCH(BL128,ITEM_RES!$J:$J,0)-1,0),0)</f>
        <v>0</v>
      </c>
      <c r="BM128" s="11">
        <f t="shared" si="44"/>
        <v>0</v>
      </c>
    </row>
    <row r="129" spans="1:65" x14ac:dyDescent="0.3">
      <c r="A129" s="14">
        <f t="shared" si="41"/>
        <v>111050005</v>
      </c>
      <c r="B129" s="13">
        <v>11</v>
      </c>
      <c r="C129" s="12">
        <f t="shared" si="42"/>
        <v>1</v>
      </c>
      <c r="D129" s="13">
        <v>5</v>
      </c>
      <c r="E129" s="13">
        <v>0</v>
      </c>
      <c r="F129" s="12">
        <f t="shared" si="43"/>
        <v>5</v>
      </c>
      <c r="H129" s="9">
        <v>1</v>
      </c>
      <c r="I129" s="9">
        <v>5</v>
      </c>
      <c r="K129" s="9" t="s">
        <v>357</v>
      </c>
      <c r="M129" s="9">
        <v>1</v>
      </c>
      <c r="N129" s="9">
        <v>15</v>
      </c>
      <c r="O129" s="9" t="s">
        <v>1087</v>
      </c>
      <c r="P129" s="55" t="s">
        <v>1348</v>
      </c>
      <c r="Q129" s="9" t="s">
        <v>669</v>
      </c>
      <c r="T129" s="9">
        <f ca="1">IFERROR(OFFSET(ITEM_RES!$A$5,MATCH(BUILDING!S129,ITEM_RES!$J$5:$J$229,0)-1,0),0)</f>
        <v>0</v>
      </c>
      <c r="V129" s="81" t="s">
        <v>528</v>
      </c>
      <c r="W129" s="11">
        <f ca="1">IFERROR(OFFSET(ITEM_RES!$A$5,MATCH(BUILDING!V129,ITEM_RES!$J$5:$J$229,0)-1,0),0)</f>
        <v>211010501</v>
      </c>
      <c r="Y129" s="9" t="s">
        <v>500</v>
      </c>
      <c r="Z129" s="9">
        <v>5</v>
      </c>
      <c r="AB129" s="11">
        <f ca="1">IFERROR(OFFSET(MANOR_LEVEL!$B$1,MATCH(AC129-1,MANOR_LEVEL!$A:$A,0)-1,0),0)</f>
        <v>800</v>
      </c>
      <c r="AC129" s="55">
        <v>2</v>
      </c>
      <c r="AE129" s="11">
        <f t="shared" ca="1" si="45"/>
        <v>270</v>
      </c>
      <c r="AF129" s="10">
        <f ca="1">AK129+AM129+(IFERROR(OFFSET(ITEM_RES!$R$1,MATCH(AQ129,ITEM_RES!$A:$A,0)-1,0),0)*AS129+IFERROR(OFFSET(ITEM_RES!$R$1,MATCH(AV129,ITEM_RES!$A:$A,0)-1,0),0)*AX129+IFERROR(OFFSET(ITEM_RES!$R$1,MATCH(BA129,ITEM_RES!$A:$A,0)-1,0),0)*BC129+IFERROR(OFFSET(ITEM_RES!$R$1,MATCH(BF129,ITEM_RES!$A:$A,0)-1,0),0)*BH129+IFERROR(OFFSET(ITEM_RES!$R$1,MATCH(BK129,ITEM_RES!$A:$A,0)-1,0),0)*BM129)/1000</f>
        <v>270</v>
      </c>
      <c r="AG129" s="176">
        <f t="shared" ca="1" si="48"/>
        <v>330</v>
      </c>
      <c r="AI129" s="11">
        <f t="shared" si="21"/>
        <v>8</v>
      </c>
      <c r="AJ129" s="10">
        <v>8</v>
      </c>
      <c r="AK129" s="11">
        <f t="shared" si="46"/>
        <v>0</v>
      </c>
      <c r="AL129" s="10">
        <v>0</v>
      </c>
      <c r="AM129" s="11">
        <f t="shared" si="24"/>
        <v>0</v>
      </c>
      <c r="AN129" s="10">
        <v>0</v>
      </c>
      <c r="AO129" s="55">
        <f t="shared" si="25"/>
        <v>1</v>
      </c>
      <c r="AQ129" s="11">
        <f ca="1">IFERROR(OFFSET(ITEM_RES!$A$1,MATCH(AR129,ITEM_RES!$J:$J,0)-1,0),0)</f>
        <v>211010501</v>
      </c>
      <c r="AR129" s="10" t="s">
        <v>1445</v>
      </c>
      <c r="AS129" s="11">
        <v>270</v>
      </c>
      <c r="AV129" s="11">
        <f ca="1">IFERROR(OFFSET(ITEM_RES!$A$1,MATCH(AW129,ITEM_RES!$J:$J,0)-1,0),0)</f>
        <v>0</v>
      </c>
      <c r="BA129" s="11">
        <f ca="1">IFERROR(OFFSET(ITEM_RES!$A$1,MATCH(BB129,ITEM_RES!$J:$J,0)-1,0),0)</f>
        <v>0</v>
      </c>
      <c r="BF129" s="11">
        <f ca="1">IFERROR(OFFSET(ITEM_RES!$A$1,MATCH(BG129,ITEM_RES!$J:$J,0)-1,0),0)</f>
        <v>0</v>
      </c>
      <c r="BK129" s="11">
        <f ca="1">IFERROR(OFFSET(ITEM_RES!$A$1,MATCH(BL129,ITEM_RES!$J:$J,0)-1,0),0)</f>
        <v>0</v>
      </c>
      <c r="BM129" s="11">
        <f t="shared" si="44"/>
        <v>0</v>
      </c>
    </row>
    <row r="130" spans="1:65" x14ac:dyDescent="0.3">
      <c r="A130" s="14">
        <f t="shared" si="41"/>
        <v>111050006</v>
      </c>
      <c r="B130" s="13">
        <v>11</v>
      </c>
      <c r="C130" s="12">
        <f t="shared" si="42"/>
        <v>1</v>
      </c>
      <c r="D130" s="13">
        <v>5</v>
      </c>
      <c r="E130" s="13">
        <v>0</v>
      </c>
      <c r="F130" s="12">
        <f t="shared" si="43"/>
        <v>6</v>
      </c>
      <c r="H130" s="9">
        <v>1</v>
      </c>
      <c r="I130" s="9">
        <v>6</v>
      </c>
      <c r="K130" s="9" t="s">
        <v>357</v>
      </c>
      <c r="M130" s="9">
        <v>1</v>
      </c>
      <c r="N130" s="9">
        <v>15</v>
      </c>
      <c r="O130" s="9" t="s">
        <v>1088</v>
      </c>
      <c r="P130" s="55" t="s">
        <v>1348</v>
      </c>
      <c r="Q130" s="9" t="s">
        <v>669</v>
      </c>
      <c r="T130" s="9">
        <f ca="1">IFERROR(OFFSET(ITEM_RES!$A$5,MATCH(BUILDING!S130,ITEM_RES!$J$5:$J$229,0)-1,0),0)</f>
        <v>0</v>
      </c>
      <c r="V130" s="81" t="s">
        <v>528</v>
      </c>
      <c r="W130" s="11">
        <f ca="1">IFERROR(OFFSET(ITEM_RES!$A$5,MATCH(BUILDING!V130,ITEM_RES!$J$5:$J$229,0)-1,0),0)</f>
        <v>211010501</v>
      </c>
      <c r="Y130" s="9" t="s">
        <v>500</v>
      </c>
      <c r="Z130" s="9">
        <v>6</v>
      </c>
      <c r="AB130" s="11">
        <f ca="1">IFERROR(OFFSET(MANOR_LEVEL!$B$1,MATCH(AC130-1,MANOR_LEVEL!$A:$A,0)-1,0),0)</f>
        <v>2300</v>
      </c>
      <c r="AC130" s="55">
        <v>3</v>
      </c>
      <c r="AE130" s="11">
        <f t="shared" ca="1" si="45"/>
        <v>1800</v>
      </c>
      <c r="AF130" s="10">
        <f ca="1">AK130+AM130+(IFERROR(OFFSET(ITEM_RES!$R$1,MATCH(AQ130,ITEM_RES!$A:$A,0)-1,0),0)*AS130+IFERROR(OFFSET(ITEM_RES!$R$1,MATCH(AV130,ITEM_RES!$A:$A,0)-1,0),0)*AX130+IFERROR(OFFSET(ITEM_RES!$R$1,MATCH(BA130,ITEM_RES!$A:$A,0)-1,0),0)*BC130+IFERROR(OFFSET(ITEM_RES!$R$1,MATCH(BF130,ITEM_RES!$A:$A,0)-1,0),0)*BH130+IFERROR(OFFSET(ITEM_RES!$R$1,MATCH(BK130,ITEM_RES!$A:$A,0)-1,0),0)*BM130)/1000</f>
        <v>1800</v>
      </c>
      <c r="AG130" s="176">
        <f t="shared" ca="1" si="48"/>
        <v>2070</v>
      </c>
      <c r="AI130" s="11">
        <f t="shared" si="21"/>
        <v>10</v>
      </c>
      <c r="AJ130" s="10">
        <v>10</v>
      </c>
      <c r="AK130" s="11">
        <f t="shared" si="46"/>
        <v>0</v>
      </c>
      <c r="AL130" s="10">
        <v>0</v>
      </c>
      <c r="AM130" s="11">
        <f t="shared" si="24"/>
        <v>0</v>
      </c>
      <c r="AN130" s="10">
        <v>0</v>
      </c>
      <c r="AO130" s="55">
        <f t="shared" si="25"/>
        <v>1</v>
      </c>
      <c r="AQ130" s="11">
        <f ca="1">IFERROR(OFFSET(ITEM_RES!$A$1,MATCH(AR130,ITEM_RES!$J:$J,0)-1,0),0)</f>
        <v>211010501</v>
      </c>
      <c r="AR130" s="10" t="s">
        <v>1445</v>
      </c>
      <c r="AS130" s="11">
        <v>1800</v>
      </c>
      <c r="AV130" s="11">
        <f ca="1">IFERROR(OFFSET(ITEM_RES!$A$1,MATCH(AW130,ITEM_RES!$J:$J,0)-1,0),0)</f>
        <v>0</v>
      </c>
      <c r="BA130" s="11">
        <f ca="1">IFERROR(OFFSET(ITEM_RES!$A$1,MATCH(BB130,ITEM_RES!$J:$J,0)-1,0),0)</f>
        <v>0</v>
      </c>
      <c r="BF130" s="11">
        <f ca="1">IFERROR(OFFSET(ITEM_RES!$A$1,MATCH(BG130,ITEM_RES!$J:$J,0)-1,0),0)</f>
        <v>0</v>
      </c>
      <c r="BK130" s="11">
        <f ca="1">IFERROR(OFFSET(ITEM_RES!$A$1,MATCH(BL130,ITEM_RES!$J:$J,0)-1,0),0)</f>
        <v>0</v>
      </c>
      <c r="BM130" s="11">
        <f t="shared" si="44"/>
        <v>0</v>
      </c>
    </row>
    <row r="131" spans="1:65" x14ac:dyDescent="0.3">
      <c r="A131" s="14">
        <f t="shared" si="41"/>
        <v>111050007</v>
      </c>
      <c r="B131" s="13">
        <v>11</v>
      </c>
      <c r="C131" s="12">
        <f t="shared" si="42"/>
        <v>1</v>
      </c>
      <c r="D131" s="13">
        <v>5</v>
      </c>
      <c r="E131" s="13">
        <v>0</v>
      </c>
      <c r="F131" s="12">
        <f t="shared" si="43"/>
        <v>7</v>
      </c>
      <c r="H131" s="9">
        <v>1</v>
      </c>
      <c r="I131" s="9">
        <v>7</v>
      </c>
      <c r="K131" s="9" t="s">
        <v>357</v>
      </c>
      <c r="M131" s="9">
        <v>1</v>
      </c>
      <c r="N131" s="9">
        <v>15</v>
      </c>
      <c r="O131" s="9" t="s">
        <v>1089</v>
      </c>
      <c r="P131" s="55" t="s">
        <v>1349</v>
      </c>
      <c r="Q131" s="9" t="s">
        <v>669</v>
      </c>
      <c r="T131" s="9">
        <f ca="1">IFERROR(OFFSET(ITEM_RES!$A$5,MATCH(BUILDING!S131,ITEM_RES!$J$5:$J$229,0)-1,0),0)</f>
        <v>0</v>
      </c>
      <c r="V131" s="81" t="s">
        <v>528</v>
      </c>
      <c r="W131" s="11">
        <f ca="1">IFERROR(OFFSET(ITEM_RES!$A$5,MATCH(BUILDING!V131,ITEM_RES!$J$5:$J$229,0)-1,0),0)</f>
        <v>211010501</v>
      </c>
      <c r="Y131" s="9" t="s">
        <v>500</v>
      </c>
      <c r="Z131" s="9">
        <v>7</v>
      </c>
      <c r="AB131" s="11">
        <f ca="1">IFERROR(OFFSET(MANOR_LEVEL!$B$1,MATCH(AC131-1,MANOR_LEVEL!$A:$A,0)-1,0),0)</f>
        <v>2300</v>
      </c>
      <c r="AC131" s="55">
        <v>3</v>
      </c>
      <c r="AE131" s="11">
        <f t="shared" ca="1" si="45"/>
        <v>6000</v>
      </c>
      <c r="AF131" s="10">
        <f ca="1">AK131+AM131+(IFERROR(OFFSET(ITEM_RES!$R$1,MATCH(AQ131,ITEM_RES!$A:$A,0)-1,0),0)*AS131+IFERROR(OFFSET(ITEM_RES!$R$1,MATCH(AV131,ITEM_RES!$A:$A,0)-1,0),0)*AX131+IFERROR(OFFSET(ITEM_RES!$R$1,MATCH(BA131,ITEM_RES!$A:$A,0)-1,0),0)*BC131+IFERROR(OFFSET(ITEM_RES!$R$1,MATCH(BF131,ITEM_RES!$A:$A,0)-1,0),0)*BH131+IFERROR(OFFSET(ITEM_RES!$R$1,MATCH(BK131,ITEM_RES!$A:$A,0)-1,0),0)*BM131)/1000</f>
        <v>6000</v>
      </c>
      <c r="AG131" s="176">
        <f t="shared" ca="1" si="48"/>
        <v>7800</v>
      </c>
      <c r="AI131" s="11">
        <f t="shared" si="21"/>
        <v>15</v>
      </c>
      <c r="AJ131" s="10">
        <v>15</v>
      </c>
      <c r="AK131" s="11">
        <f t="shared" si="46"/>
        <v>0</v>
      </c>
      <c r="AL131" s="10">
        <v>0</v>
      </c>
      <c r="AM131" s="11">
        <f t="shared" si="24"/>
        <v>0</v>
      </c>
      <c r="AN131" s="10">
        <v>0</v>
      </c>
      <c r="AO131" s="55">
        <f t="shared" si="25"/>
        <v>1</v>
      </c>
      <c r="AQ131" s="11">
        <f ca="1">IFERROR(OFFSET(ITEM_RES!$A$1,MATCH(AR131,ITEM_RES!$J:$J,0)-1,0),0)</f>
        <v>211010501</v>
      </c>
      <c r="AR131" s="10" t="s">
        <v>1445</v>
      </c>
      <c r="AS131" s="11">
        <v>6000</v>
      </c>
      <c r="AV131" s="11">
        <f ca="1">IFERROR(OFFSET(ITEM_RES!$A$1,MATCH(AW131,ITEM_RES!$J:$J,0)-1,0),0)</f>
        <v>0</v>
      </c>
      <c r="BA131" s="11">
        <f ca="1">IFERROR(OFFSET(ITEM_RES!$A$1,MATCH(BB131,ITEM_RES!$J:$J,0)-1,0),0)</f>
        <v>0</v>
      </c>
      <c r="BF131" s="11">
        <f ca="1">IFERROR(OFFSET(ITEM_RES!$A$1,MATCH(BG131,ITEM_RES!$J:$J,0)-1,0),0)</f>
        <v>0</v>
      </c>
      <c r="BK131" s="11">
        <f ca="1">IFERROR(OFFSET(ITEM_RES!$A$1,MATCH(BL131,ITEM_RES!$J:$J,0)-1,0),0)</f>
        <v>0</v>
      </c>
      <c r="BM131" s="11">
        <f t="shared" si="44"/>
        <v>0</v>
      </c>
    </row>
    <row r="132" spans="1:65" x14ac:dyDescent="0.3">
      <c r="A132" s="14">
        <f t="shared" si="41"/>
        <v>111050008</v>
      </c>
      <c r="B132" s="13">
        <v>11</v>
      </c>
      <c r="C132" s="12">
        <f t="shared" si="42"/>
        <v>1</v>
      </c>
      <c r="D132" s="13">
        <v>5</v>
      </c>
      <c r="E132" s="13">
        <v>0</v>
      </c>
      <c r="F132" s="12">
        <f t="shared" si="43"/>
        <v>8</v>
      </c>
      <c r="H132" s="9">
        <v>1</v>
      </c>
      <c r="I132" s="9">
        <v>8</v>
      </c>
      <c r="K132" s="9" t="s">
        <v>357</v>
      </c>
      <c r="M132" s="9">
        <v>1</v>
      </c>
      <c r="N132" s="9">
        <v>15</v>
      </c>
      <c r="O132" s="9" t="s">
        <v>1089</v>
      </c>
      <c r="P132" s="55" t="s">
        <v>1349</v>
      </c>
      <c r="Q132" s="9" t="s">
        <v>669</v>
      </c>
      <c r="T132" s="9">
        <f ca="1">IFERROR(OFFSET(ITEM_RES!$A$5,MATCH(BUILDING!S132,ITEM_RES!$J$5:$J$229,0)-1,0),0)</f>
        <v>0</v>
      </c>
      <c r="V132" s="81" t="s">
        <v>528</v>
      </c>
      <c r="W132" s="11">
        <f ca="1">IFERROR(OFFSET(ITEM_RES!$A$5,MATCH(BUILDING!V132,ITEM_RES!$J$5:$J$229,0)-1,0),0)</f>
        <v>211010501</v>
      </c>
      <c r="Y132" s="9" t="s">
        <v>500</v>
      </c>
      <c r="Z132" s="9">
        <v>8</v>
      </c>
      <c r="AB132" s="11">
        <f ca="1">IFERROR(OFFSET(MANOR_LEVEL!$B$1,MATCH(AC132-1,MANOR_LEVEL!$A:$A,0)-1,0),0)</f>
        <v>11000</v>
      </c>
      <c r="AC132" s="55">
        <v>5</v>
      </c>
      <c r="AE132" s="11">
        <f t="shared" ca="1" si="45"/>
        <v>16800</v>
      </c>
      <c r="AF132" s="10">
        <f ca="1">AK132+AM132+(IFERROR(OFFSET(ITEM_RES!$R$1,MATCH(AQ132,ITEM_RES!$A:$A,0)-1,0),0)*AS132+IFERROR(OFFSET(ITEM_RES!$R$1,MATCH(AV132,ITEM_RES!$A:$A,0)-1,0),0)*AX132+IFERROR(OFFSET(ITEM_RES!$R$1,MATCH(BA132,ITEM_RES!$A:$A,0)-1,0),0)*BC132+IFERROR(OFFSET(ITEM_RES!$R$1,MATCH(BF132,ITEM_RES!$A:$A,0)-1,0),0)*BH132+IFERROR(OFFSET(ITEM_RES!$R$1,MATCH(BK132,ITEM_RES!$A:$A,0)-1,0),0)*BM132)/1000</f>
        <v>16800</v>
      </c>
      <c r="AG132" s="176">
        <f t="shared" ca="1" si="48"/>
        <v>22800</v>
      </c>
      <c r="AI132" s="11">
        <f t="shared" si="21"/>
        <v>30</v>
      </c>
      <c r="AJ132" s="10">
        <v>30</v>
      </c>
      <c r="AK132" s="11">
        <f t="shared" si="46"/>
        <v>0</v>
      </c>
      <c r="AL132" s="10">
        <v>0</v>
      </c>
      <c r="AM132" s="11">
        <f t="shared" si="24"/>
        <v>0</v>
      </c>
      <c r="AN132" s="10">
        <v>0</v>
      </c>
      <c r="AO132" s="55">
        <f t="shared" si="25"/>
        <v>1</v>
      </c>
      <c r="AQ132" s="11">
        <f ca="1">IFERROR(OFFSET(ITEM_RES!$A$1,MATCH(AR132,ITEM_RES!$J:$J,0)-1,0),0)</f>
        <v>211010501</v>
      </c>
      <c r="AR132" s="10" t="s">
        <v>1445</v>
      </c>
      <c r="AS132" s="11">
        <v>16800</v>
      </c>
      <c r="AV132" s="11">
        <f ca="1">IFERROR(OFFSET(ITEM_RES!$A$1,MATCH(AW132,ITEM_RES!$J:$J,0)-1,0),0)</f>
        <v>0</v>
      </c>
      <c r="BA132" s="11">
        <f ca="1">IFERROR(OFFSET(ITEM_RES!$A$1,MATCH(BB132,ITEM_RES!$J:$J,0)-1,0),0)</f>
        <v>0</v>
      </c>
      <c r="BF132" s="11">
        <f ca="1">IFERROR(OFFSET(ITEM_RES!$A$1,MATCH(BG132,ITEM_RES!$J:$J,0)-1,0),0)</f>
        <v>0</v>
      </c>
      <c r="BK132" s="11">
        <f ca="1">IFERROR(OFFSET(ITEM_RES!$A$1,MATCH(BL132,ITEM_RES!$J:$J,0)-1,0),0)</f>
        <v>0</v>
      </c>
      <c r="BM132" s="11">
        <f t="shared" si="44"/>
        <v>0</v>
      </c>
    </row>
    <row r="133" spans="1:65" x14ac:dyDescent="0.3">
      <c r="A133" s="14">
        <f t="shared" si="41"/>
        <v>111050009</v>
      </c>
      <c r="B133" s="13">
        <v>11</v>
      </c>
      <c r="C133" s="12">
        <f t="shared" si="42"/>
        <v>1</v>
      </c>
      <c r="D133" s="13">
        <v>5</v>
      </c>
      <c r="E133" s="13">
        <v>0</v>
      </c>
      <c r="F133" s="12">
        <f t="shared" si="43"/>
        <v>9</v>
      </c>
      <c r="H133" s="9">
        <v>1</v>
      </c>
      <c r="I133" s="9">
        <v>9</v>
      </c>
      <c r="K133" s="9" t="s">
        <v>357</v>
      </c>
      <c r="M133" s="9">
        <v>1</v>
      </c>
      <c r="N133" s="9">
        <v>15</v>
      </c>
      <c r="O133" s="9" t="s">
        <v>1410</v>
      </c>
      <c r="P133" s="55" t="s">
        <v>1412</v>
      </c>
      <c r="Q133" s="9" t="s">
        <v>669</v>
      </c>
      <c r="T133" s="9">
        <f ca="1">IFERROR(OFFSET(ITEM_RES!$A$5,MATCH(BUILDING!S133,ITEM_RES!$J$5:$J$229,0)-1,0),0)</f>
        <v>0</v>
      </c>
      <c r="V133" s="81" t="s">
        <v>528</v>
      </c>
      <c r="W133" s="11">
        <f ca="1">IFERROR(OFFSET(ITEM_RES!$A$5,MATCH(BUILDING!V133,ITEM_RES!$J$5:$J$229,0)-1,0),0)</f>
        <v>211010501</v>
      </c>
      <c r="Y133" s="9" t="s">
        <v>500</v>
      </c>
      <c r="Z133" s="9">
        <v>9</v>
      </c>
      <c r="AB133" s="11">
        <f ca="1">IFERROR(OFFSET(MANOR_LEVEL!$B$1,MATCH(AC133-1,MANOR_LEVEL!$A:$A,0)-1,0),0)</f>
        <v>17000</v>
      </c>
      <c r="AC133" s="55">
        <v>6</v>
      </c>
      <c r="AE133" s="11">
        <f t="shared" ca="1" si="45"/>
        <v>31200</v>
      </c>
      <c r="AF133" s="10">
        <f ca="1">AK133+AM133+(IFERROR(OFFSET(ITEM_RES!$R$1,MATCH(AQ133,ITEM_RES!$A:$A,0)-1,0),0)*AS133+IFERROR(OFFSET(ITEM_RES!$R$1,MATCH(AV133,ITEM_RES!$A:$A,0)-1,0),0)*AX133+IFERROR(OFFSET(ITEM_RES!$R$1,MATCH(BA133,ITEM_RES!$A:$A,0)-1,0),0)*BC133+IFERROR(OFFSET(ITEM_RES!$R$1,MATCH(BF133,ITEM_RES!$A:$A,0)-1,0),0)*BH133+IFERROR(OFFSET(ITEM_RES!$R$1,MATCH(BK133,ITEM_RES!$A:$A,0)-1,0),0)*BM133)/1000</f>
        <v>31200</v>
      </c>
      <c r="AG133" s="176">
        <f t="shared" ca="1" si="48"/>
        <v>48000</v>
      </c>
      <c r="AI133" s="11">
        <f t="shared" ref="AI133:AI236" si="49">ROUND(AJ133,0)</f>
        <v>60</v>
      </c>
      <c r="AJ133" s="10">
        <v>60</v>
      </c>
      <c r="AK133" s="11">
        <f t="shared" si="46"/>
        <v>0</v>
      </c>
      <c r="AL133" s="10">
        <v>0</v>
      </c>
      <c r="AM133" s="11">
        <f t="shared" si="24"/>
        <v>0</v>
      </c>
      <c r="AN133" s="10">
        <v>0</v>
      </c>
      <c r="AO133" s="55">
        <f t="shared" si="25"/>
        <v>1</v>
      </c>
      <c r="AQ133" s="11">
        <f ca="1">IFERROR(OFFSET(ITEM_RES!$A$1,MATCH(AR133,ITEM_RES!$J:$J,0)-1,0),0)</f>
        <v>211010501</v>
      </c>
      <c r="AR133" s="10" t="s">
        <v>1445</v>
      </c>
      <c r="AS133" s="11">
        <v>31200</v>
      </c>
      <c r="AV133" s="11">
        <f ca="1">IFERROR(OFFSET(ITEM_RES!$A$1,MATCH(AW133,ITEM_RES!$J:$J,0)-1,0),0)</f>
        <v>0</v>
      </c>
      <c r="BA133" s="11">
        <f ca="1">IFERROR(OFFSET(ITEM_RES!$A$1,MATCH(BB133,ITEM_RES!$J:$J,0)-1,0),0)</f>
        <v>0</v>
      </c>
      <c r="BF133" s="11">
        <f ca="1">IFERROR(OFFSET(ITEM_RES!$A$1,MATCH(BG133,ITEM_RES!$J:$J,0)-1,0),0)</f>
        <v>0</v>
      </c>
      <c r="BK133" s="11">
        <f ca="1">IFERROR(OFFSET(ITEM_RES!$A$1,MATCH(BL133,ITEM_RES!$J:$J,0)-1,0),0)</f>
        <v>0</v>
      </c>
      <c r="BM133" s="11">
        <f t="shared" si="44"/>
        <v>0</v>
      </c>
    </row>
    <row r="134" spans="1:65" x14ac:dyDescent="0.3">
      <c r="A134" s="14">
        <f t="shared" si="41"/>
        <v>111050010</v>
      </c>
      <c r="B134" s="13">
        <v>11</v>
      </c>
      <c r="C134" s="12">
        <f t="shared" si="42"/>
        <v>1</v>
      </c>
      <c r="D134" s="13">
        <v>5</v>
      </c>
      <c r="E134" s="13">
        <v>0</v>
      </c>
      <c r="F134" s="12">
        <f t="shared" si="43"/>
        <v>10</v>
      </c>
      <c r="H134" s="9">
        <v>1</v>
      </c>
      <c r="I134" s="9">
        <v>10</v>
      </c>
      <c r="K134" s="9" t="s">
        <v>357</v>
      </c>
      <c r="M134" s="9">
        <v>1</v>
      </c>
      <c r="N134" s="9">
        <v>15</v>
      </c>
      <c r="O134" s="9" t="s">
        <v>1410</v>
      </c>
      <c r="P134" s="55" t="s">
        <v>1412</v>
      </c>
      <c r="Q134" s="9" t="s">
        <v>669</v>
      </c>
      <c r="T134" s="9">
        <f ca="1">IFERROR(OFFSET(ITEM_RES!$A$5,MATCH(BUILDING!S134,ITEM_RES!$J$5:$J$229,0)-1,0),0)</f>
        <v>0</v>
      </c>
      <c r="V134" s="81" t="s">
        <v>528</v>
      </c>
      <c r="W134" s="11">
        <f ca="1">IFERROR(OFFSET(ITEM_RES!$A$5,MATCH(BUILDING!V134,ITEM_RES!$J$5:$J$229,0)-1,0),0)</f>
        <v>211010501</v>
      </c>
      <c r="Y134" s="9" t="s">
        <v>500</v>
      </c>
      <c r="Z134" s="9">
        <v>10</v>
      </c>
      <c r="AB134" s="11">
        <f ca="1">IFERROR(OFFSET(MANOR_LEVEL!$B$1,MATCH(AC134-1,MANOR_LEVEL!$A:$A,0)-1,0),0)</f>
        <v>40000</v>
      </c>
      <c r="AC134" s="55">
        <v>7</v>
      </c>
      <c r="AE134" s="11">
        <f t="shared" ca="1" si="45"/>
        <v>65000</v>
      </c>
      <c r="AF134" s="10">
        <f ca="1">AK134+AM134+(IFERROR(OFFSET(ITEM_RES!$R$1,MATCH(AQ134,ITEM_RES!$A:$A,0)-1,0),0)*AS134+IFERROR(OFFSET(ITEM_RES!$R$1,MATCH(AV134,ITEM_RES!$A:$A,0)-1,0),0)*AX134+IFERROR(OFFSET(ITEM_RES!$R$1,MATCH(BA134,ITEM_RES!$A:$A,0)-1,0),0)*BC134+IFERROR(OFFSET(ITEM_RES!$R$1,MATCH(BF134,ITEM_RES!$A:$A,0)-1,0),0)*BH134+IFERROR(OFFSET(ITEM_RES!$R$1,MATCH(BK134,ITEM_RES!$A:$A,0)-1,0),0)*BM134)/1000</f>
        <v>65000</v>
      </c>
      <c r="AG134" s="176">
        <f t="shared" ca="1" si="48"/>
        <v>96200</v>
      </c>
      <c r="AI134" s="11">
        <f t="shared" si="49"/>
        <v>180</v>
      </c>
      <c r="AJ134" s="10">
        <v>180</v>
      </c>
      <c r="AK134" s="11">
        <f t="shared" si="46"/>
        <v>0</v>
      </c>
      <c r="AL134" s="10">
        <v>0</v>
      </c>
      <c r="AM134" s="11">
        <f t="shared" ref="AM134:AM197" si="50">ROUND(AN134,0)</f>
        <v>0</v>
      </c>
      <c r="AN134" s="10">
        <v>0</v>
      </c>
      <c r="AO134" s="55">
        <f t="shared" ref="AO134:AO237" si="51">(AS134&gt;0)*1+(AX134&gt;0)*1+(BC134&gt;0)*1+(BH134&gt;0)*1+(BM134&gt;0)*1</f>
        <v>1</v>
      </c>
      <c r="AQ134" s="11">
        <f ca="1">IFERROR(OFFSET(ITEM_RES!$A$1,MATCH(AR134,ITEM_RES!$J:$J,0)-1,0),0)</f>
        <v>211010501</v>
      </c>
      <c r="AR134" s="10" t="s">
        <v>1445</v>
      </c>
      <c r="AS134" s="11">
        <v>65000</v>
      </c>
      <c r="AV134" s="11">
        <f ca="1">IFERROR(OFFSET(ITEM_RES!$A$1,MATCH(AW134,ITEM_RES!$J:$J,0)-1,0),0)</f>
        <v>0</v>
      </c>
      <c r="BA134" s="11">
        <f ca="1">IFERROR(OFFSET(ITEM_RES!$A$1,MATCH(BB134,ITEM_RES!$J:$J,0)-1,0),0)</f>
        <v>0</v>
      </c>
      <c r="BF134" s="11">
        <f ca="1">IFERROR(OFFSET(ITEM_RES!$A$1,MATCH(BG134,ITEM_RES!$J:$J,0)-1,0),0)</f>
        <v>0</v>
      </c>
      <c r="BK134" s="11">
        <f ca="1">IFERROR(OFFSET(ITEM_RES!$A$1,MATCH(BL134,ITEM_RES!$J:$J,0)-1,0),0)</f>
        <v>0</v>
      </c>
      <c r="BM134" s="11">
        <f t="shared" si="44"/>
        <v>0</v>
      </c>
    </row>
    <row r="135" spans="1:65" x14ac:dyDescent="0.3">
      <c r="A135" s="14">
        <f t="shared" si="41"/>
        <v>111050011</v>
      </c>
      <c r="B135" s="13">
        <v>11</v>
      </c>
      <c r="C135" s="12">
        <f t="shared" si="42"/>
        <v>1</v>
      </c>
      <c r="D135" s="13">
        <v>5</v>
      </c>
      <c r="E135" s="13">
        <v>0</v>
      </c>
      <c r="F135" s="12">
        <f t="shared" si="43"/>
        <v>11</v>
      </c>
      <c r="H135" s="9">
        <v>1</v>
      </c>
      <c r="I135" s="9">
        <v>11</v>
      </c>
      <c r="K135" s="9" t="s">
        <v>357</v>
      </c>
      <c r="M135" s="9">
        <v>1</v>
      </c>
      <c r="N135" s="9">
        <v>15</v>
      </c>
      <c r="O135" s="9" t="s">
        <v>1409</v>
      </c>
      <c r="P135" s="55" t="s">
        <v>1411</v>
      </c>
      <c r="Q135" s="9" t="s">
        <v>669</v>
      </c>
      <c r="T135" s="9">
        <f ca="1">IFERROR(OFFSET(ITEM_RES!$A$5,MATCH(BUILDING!S135,ITEM_RES!$J$5:$J$229,0)-1,0),0)</f>
        <v>0</v>
      </c>
      <c r="V135" s="81" t="s">
        <v>528</v>
      </c>
      <c r="W135" s="11">
        <f ca="1">IFERROR(OFFSET(ITEM_RES!$A$5,MATCH(BUILDING!V135,ITEM_RES!$J$5:$J$229,0)-1,0),0)</f>
        <v>211010501</v>
      </c>
      <c r="Y135" s="9" t="s">
        <v>500</v>
      </c>
      <c r="Z135" s="9">
        <v>11</v>
      </c>
      <c r="AB135" s="11">
        <f ca="1">IFERROR(OFFSET(MANOR_LEVEL!$B$1,MATCH(AC135-1,MANOR_LEVEL!$A:$A,0)-1,0),0)</f>
        <v>100000</v>
      </c>
      <c r="AC135" s="55">
        <v>8</v>
      </c>
      <c r="AE135" s="11">
        <f t="shared" ca="1" si="45"/>
        <v>110000</v>
      </c>
      <c r="AF135" s="10">
        <f ca="1">AK135+AM135+(IFERROR(OFFSET(ITEM_RES!$R$1,MATCH(AQ135,ITEM_RES!$A:$A,0)-1,0),0)*AS135+IFERROR(OFFSET(ITEM_RES!$R$1,MATCH(AV135,ITEM_RES!$A:$A,0)-1,0),0)*AX135+IFERROR(OFFSET(ITEM_RES!$R$1,MATCH(BA135,ITEM_RES!$A:$A,0)-1,0),0)*BC135+IFERROR(OFFSET(ITEM_RES!$R$1,MATCH(BF135,ITEM_RES!$A:$A,0)-1,0),0)*BH135+IFERROR(OFFSET(ITEM_RES!$R$1,MATCH(BK135,ITEM_RES!$A:$A,0)-1,0),0)*BM135)/1000</f>
        <v>110000</v>
      </c>
      <c r="AG135" s="176">
        <f t="shared" ca="1" si="48"/>
        <v>175000</v>
      </c>
      <c r="AI135" s="11">
        <f t="shared" si="49"/>
        <v>360</v>
      </c>
      <c r="AJ135" s="10">
        <v>360</v>
      </c>
      <c r="AK135" s="11">
        <f t="shared" si="46"/>
        <v>0</v>
      </c>
      <c r="AL135" s="10">
        <v>0</v>
      </c>
      <c r="AM135" s="11">
        <f t="shared" si="50"/>
        <v>0</v>
      </c>
      <c r="AN135" s="10">
        <v>0</v>
      </c>
      <c r="AO135" s="55">
        <f t="shared" si="51"/>
        <v>1</v>
      </c>
      <c r="AQ135" s="11">
        <f ca="1">IFERROR(OFFSET(ITEM_RES!$A$1,MATCH(AR135,ITEM_RES!$J:$J,0)-1,0),0)</f>
        <v>211010501</v>
      </c>
      <c r="AR135" s="10" t="s">
        <v>1445</v>
      </c>
      <c r="AS135" s="11">
        <v>110000</v>
      </c>
      <c r="AV135" s="11">
        <f ca="1">IFERROR(OFFSET(ITEM_RES!$A$1,MATCH(AW135,ITEM_RES!$J:$J,0)-1,0),0)</f>
        <v>0</v>
      </c>
      <c r="BA135" s="11">
        <f ca="1">IFERROR(OFFSET(ITEM_RES!$A$1,MATCH(BB135,ITEM_RES!$J:$J,0)-1,0),0)</f>
        <v>0</v>
      </c>
      <c r="BF135" s="11">
        <f ca="1">IFERROR(OFFSET(ITEM_RES!$A$1,MATCH(BG135,ITEM_RES!$J:$J,0)-1,0),0)</f>
        <v>0</v>
      </c>
      <c r="BK135" s="11">
        <f ca="1">IFERROR(OFFSET(ITEM_RES!$A$1,MATCH(BL135,ITEM_RES!$J:$J,0)-1,0),0)</f>
        <v>0</v>
      </c>
      <c r="BM135" s="11">
        <f t="shared" si="44"/>
        <v>0</v>
      </c>
    </row>
    <row r="136" spans="1:65" x14ac:dyDescent="0.3">
      <c r="A136" s="14">
        <f t="shared" si="41"/>
        <v>111050012</v>
      </c>
      <c r="B136" s="13">
        <v>11</v>
      </c>
      <c r="C136" s="12">
        <f t="shared" si="42"/>
        <v>1</v>
      </c>
      <c r="D136" s="13">
        <v>5</v>
      </c>
      <c r="E136" s="13">
        <v>0</v>
      </c>
      <c r="F136" s="12">
        <f t="shared" si="43"/>
        <v>12</v>
      </c>
      <c r="H136" s="9">
        <v>1</v>
      </c>
      <c r="I136" s="9">
        <v>12</v>
      </c>
      <c r="K136" s="9" t="s">
        <v>357</v>
      </c>
      <c r="M136" s="9">
        <v>1</v>
      </c>
      <c r="N136" s="9">
        <v>15</v>
      </c>
      <c r="O136" s="9" t="s">
        <v>1409</v>
      </c>
      <c r="P136" s="55" t="s">
        <v>1411</v>
      </c>
      <c r="Q136" s="9" t="s">
        <v>669</v>
      </c>
      <c r="T136" s="9">
        <f ca="1">IFERROR(OFFSET(ITEM_RES!$A$5,MATCH(BUILDING!S136,ITEM_RES!$J$5:$J$229,0)-1,0),0)</f>
        <v>0</v>
      </c>
      <c r="V136" s="81" t="s">
        <v>528</v>
      </c>
      <c r="W136" s="11">
        <f ca="1">IFERROR(OFFSET(ITEM_RES!$A$5,MATCH(BUILDING!V136,ITEM_RES!$J$5:$J$229,0)-1,0),0)</f>
        <v>211010501</v>
      </c>
      <c r="Y136" s="9" t="s">
        <v>500</v>
      </c>
      <c r="Z136" s="9">
        <v>12</v>
      </c>
      <c r="AB136" s="11">
        <f ca="1">IFERROR(OFFSET(MANOR_LEVEL!$B$1,MATCH(AC136-1,MANOR_LEVEL!$A:$A,0)-1,0),0)</f>
        <v>300000</v>
      </c>
      <c r="AC136" s="55">
        <v>9</v>
      </c>
      <c r="AE136" s="11">
        <f t="shared" ca="1" si="45"/>
        <v>185000</v>
      </c>
      <c r="AF136" s="10">
        <f ca="1">AK136+AM136+(IFERROR(OFFSET(ITEM_RES!$R$1,MATCH(AQ136,ITEM_RES!$A:$A,0)-1,0),0)*AS136+IFERROR(OFFSET(ITEM_RES!$R$1,MATCH(AV136,ITEM_RES!$A:$A,0)-1,0),0)*AX136+IFERROR(OFFSET(ITEM_RES!$R$1,MATCH(BA136,ITEM_RES!$A:$A,0)-1,0),0)*BC136+IFERROR(OFFSET(ITEM_RES!$R$1,MATCH(BF136,ITEM_RES!$A:$A,0)-1,0),0)*BH136+IFERROR(OFFSET(ITEM_RES!$R$1,MATCH(BK136,ITEM_RES!$A:$A,0)-1,0),0)*BM136)/1000</f>
        <v>185000</v>
      </c>
      <c r="AG136" s="176">
        <f t="shared" ca="1" si="48"/>
        <v>295000</v>
      </c>
      <c r="AI136" s="11">
        <f t="shared" si="49"/>
        <v>540</v>
      </c>
      <c r="AJ136" s="10">
        <v>540</v>
      </c>
      <c r="AK136" s="11">
        <f t="shared" si="46"/>
        <v>0</v>
      </c>
      <c r="AL136" s="10">
        <v>0</v>
      </c>
      <c r="AM136" s="11">
        <f t="shared" si="50"/>
        <v>0</v>
      </c>
      <c r="AN136" s="10">
        <v>0</v>
      </c>
      <c r="AO136" s="55">
        <f t="shared" si="51"/>
        <v>1</v>
      </c>
      <c r="AQ136" s="11">
        <f ca="1">IFERROR(OFFSET(ITEM_RES!$A$1,MATCH(AR136,ITEM_RES!$J:$J,0)-1,0),0)</f>
        <v>211010501</v>
      </c>
      <c r="AR136" s="10" t="s">
        <v>1445</v>
      </c>
      <c r="AS136" s="11">
        <v>185000</v>
      </c>
      <c r="AV136" s="11">
        <f ca="1">IFERROR(OFFSET(ITEM_RES!$A$1,MATCH(AW136,ITEM_RES!$J:$J,0)-1,0),0)</f>
        <v>0</v>
      </c>
      <c r="BA136" s="11">
        <f ca="1">IFERROR(OFFSET(ITEM_RES!$A$1,MATCH(BB136,ITEM_RES!$J:$J,0)-1,0),0)</f>
        <v>0</v>
      </c>
      <c r="BF136" s="11">
        <f ca="1">IFERROR(OFFSET(ITEM_RES!$A$1,MATCH(BG136,ITEM_RES!$J:$J,0)-1,0),0)</f>
        <v>0</v>
      </c>
      <c r="BK136" s="11">
        <f ca="1">IFERROR(OFFSET(ITEM_RES!$A$1,MATCH(BL136,ITEM_RES!$J:$J,0)-1,0),0)</f>
        <v>0</v>
      </c>
      <c r="BM136" s="11">
        <f t="shared" si="44"/>
        <v>0</v>
      </c>
    </row>
    <row r="137" spans="1:65" x14ac:dyDescent="0.3">
      <c r="A137" s="14">
        <f t="shared" si="41"/>
        <v>111050013</v>
      </c>
      <c r="B137" s="13">
        <v>11</v>
      </c>
      <c r="C137" s="12">
        <f t="shared" si="42"/>
        <v>1</v>
      </c>
      <c r="D137" s="13">
        <v>5</v>
      </c>
      <c r="E137" s="13">
        <v>0</v>
      </c>
      <c r="F137" s="12">
        <f t="shared" si="43"/>
        <v>13</v>
      </c>
      <c r="H137" s="9">
        <v>1</v>
      </c>
      <c r="I137" s="9">
        <v>13</v>
      </c>
      <c r="K137" s="9" t="s">
        <v>357</v>
      </c>
      <c r="M137" s="9">
        <v>1</v>
      </c>
      <c r="N137" s="9">
        <v>15</v>
      </c>
      <c r="O137" s="9" t="s">
        <v>1409</v>
      </c>
      <c r="P137" s="55" t="s">
        <v>1411</v>
      </c>
      <c r="Q137" s="9" t="s">
        <v>669</v>
      </c>
      <c r="T137" s="9">
        <f ca="1">IFERROR(OFFSET(ITEM_RES!$A$5,MATCH(BUILDING!S137,ITEM_RES!$J$5:$J$229,0)-1,0),0)</f>
        <v>0</v>
      </c>
      <c r="V137" s="81" t="s">
        <v>528</v>
      </c>
      <c r="W137" s="11">
        <f ca="1">IFERROR(OFFSET(ITEM_RES!$A$5,MATCH(BUILDING!V137,ITEM_RES!$J$5:$J$229,0)-1,0),0)</f>
        <v>211010501</v>
      </c>
      <c r="Y137" s="9" t="s">
        <v>500</v>
      </c>
      <c r="Z137" s="9">
        <v>13</v>
      </c>
      <c r="AB137" s="11">
        <f ca="1">IFERROR(OFFSET(MANOR_LEVEL!$B$1,MATCH(AC137-1,MANOR_LEVEL!$A:$A,0)-1,0),0)</f>
        <v>600000</v>
      </c>
      <c r="AC137" s="55">
        <v>10</v>
      </c>
      <c r="AE137" s="11">
        <f t="shared" ca="1" si="45"/>
        <v>310000</v>
      </c>
      <c r="AF137" s="10">
        <f ca="1">AK137+AM137+(IFERROR(OFFSET(ITEM_RES!$R$1,MATCH(AQ137,ITEM_RES!$A:$A,0)-1,0),0)*AS137+IFERROR(OFFSET(ITEM_RES!$R$1,MATCH(AV137,ITEM_RES!$A:$A,0)-1,0),0)*AX137+IFERROR(OFFSET(ITEM_RES!$R$1,MATCH(BA137,ITEM_RES!$A:$A,0)-1,0),0)*BC137+IFERROR(OFFSET(ITEM_RES!$R$1,MATCH(BF137,ITEM_RES!$A:$A,0)-1,0),0)*BH137+IFERROR(OFFSET(ITEM_RES!$R$1,MATCH(BK137,ITEM_RES!$A:$A,0)-1,0),0)*BM137)/1000</f>
        <v>310000</v>
      </c>
      <c r="AG137" s="176">
        <f t="shared" ca="1" si="48"/>
        <v>495000</v>
      </c>
      <c r="AI137" s="11">
        <f t="shared" si="49"/>
        <v>720</v>
      </c>
      <c r="AJ137" s="10">
        <v>720</v>
      </c>
      <c r="AK137" s="11">
        <f t="shared" si="46"/>
        <v>0</v>
      </c>
      <c r="AL137" s="10">
        <v>0</v>
      </c>
      <c r="AM137" s="11">
        <f t="shared" si="50"/>
        <v>0</v>
      </c>
      <c r="AN137" s="10">
        <v>0</v>
      </c>
      <c r="AO137" s="55">
        <f t="shared" si="51"/>
        <v>1</v>
      </c>
      <c r="AQ137" s="11">
        <f ca="1">IFERROR(OFFSET(ITEM_RES!$A$1,MATCH(AR137,ITEM_RES!$J:$J,0)-1,0),0)</f>
        <v>211010501</v>
      </c>
      <c r="AR137" s="10" t="s">
        <v>1445</v>
      </c>
      <c r="AS137" s="11">
        <v>310000</v>
      </c>
      <c r="AV137" s="11">
        <f ca="1">IFERROR(OFFSET(ITEM_RES!$A$1,MATCH(AW137,ITEM_RES!$J:$J,0)-1,0),0)</f>
        <v>0</v>
      </c>
      <c r="BA137" s="11">
        <f ca="1">IFERROR(OFFSET(ITEM_RES!$A$1,MATCH(BB137,ITEM_RES!$J:$J,0)-1,0),0)</f>
        <v>0</v>
      </c>
      <c r="BF137" s="11">
        <f ca="1">IFERROR(OFFSET(ITEM_RES!$A$1,MATCH(BG137,ITEM_RES!$J:$J,0)-1,0),0)</f>
        <v>0</v>
      </c>
      <c r="BK137" s="11">
        <f ca="1">IFERROR(OFFSET(ITEM_RES!$A$1,MATCH(BL137,ITEM_RES!$J:$J,0)-1,0),0)</f>
        <v>0</v>
      </c>
      <c r="BM137" s="11">
        <f t="shared" si="44"/>
        <v>0</v>
      </c>
    </row>
    <row r="138" spans="1:65" x14ac:dyDescent="0.3">
      <c r="A138" s="14">
        <f t="shared" si="41"/>
        <v>111050014</v>
      </c>
      <c r="B138" s="13">
        <v>11</v>
      </c>
      <c r="C138" s="12">
        <f t="shared" si="42"/>
        <v>1</v>
      </c>
      <c r="D138" s="13">
        <v>5</v>
      </c>
      <c r="E138" s="13">
        <v>0</v>
      </c>
      <c r="F138" s="12">
        <f t="shared" si="43"/>
        <v>14</v>
      </c>
      <c r="H138" s="9">
        <v>1</v>
      </c>
      <c r="I138" s="9">
        <v>14</v>
      </c>
      <c r="K138" s="9" t="s">
        <v>357</v>
      </c>
      <c r="M138" s="9">
        <v>1</v>
      </c>
      <c r="N138" s="9">
        <v>15</v>
      </c>
      <c r="O138" s="9" t="s">
        <v>1409</v>
      </c>
      <c r="P138" s="55" t="s">
        <v>1411</v>
      </c>
      <c r="Q138" s="9" t="s">
        <v>669</v>
      </c>
      <c r="T138" s="9">
        <f ca="1">IFERROR(OFFSET(ITEM_RES!$A$5,MATCH(BUILDING!S138,ITEM_RES!$J$5:$J$229,0)-1,0),0)</f>
        <v>0</v>
      </c>
      <c r="V138" s="81" t="s">
        <v>528</v>
      </c>
      <c r="W138" s="11">
        <f ca="1">IFERROR(OFFSET(ITEM_RES!$A$5,MATCH(BUILDING!V138,ITEM_RES!$J$5:$J$229,0)-1,0),0)</f>
        <v>211010501</v>
      </c>
      <c r="Y138" s="9" t="s">
        <v>500</v>
      </c>
      <c r="Z138" s="9">
        <v>14</v>
      </c>
      <c r="AB138" s="11">
        <f ca="1">IFERROR(OFFSET(MANOR_LEVEL!$B$1,MATCH(AC138-1,MANOR_LEVEL!$A:$A,0)-1,0),0)</f>
        <v>1200000</v>
      </c>
      <c r="AC138" s="55">
        <v>11</v>
      </c>
      <c r="AE138" s="11">
        <f t="shared" ca="1" si="45"/>
        <v>485000</v>
      </c>
      <c r="AF138" s="10">
        <f ca="1">AK138+AM138+(IFERROR(OFFSET(ITEM_RES!$R$1,MATCH(AQ138,ITEM_RES!$A:$A,0)-1,0),0)*AS138+IFERROR(OFFSET(ITEM_RES!$R$1,MATCH(AV138,ITEM_RES!$A:$A,0)-1,0),0)*AX138+IFERROR(OFFSET(ITEM_RES!$R$1,MATCH(BA138,ITEM_RES!$A:$A,0)-1,0),0)*BC138+IFERROR(OFFSET(ITEM_RES!$R$1,MATCH(BF138,ITEM_RES!$A:$A,0)-1,0),0)*BH138+IFERROR(OFFSET(ITEM_RES!$R$1,MATCH(BK138,ITEM_RES!$A:$A,0)-1,0),0)*BM138)/1000</f>
        <v>485000</v>
      </c>
      <c r="AG138" s="176">
        <f t="shared" ca="1" si="48"/>
        <v>795000</v>
      </c>
      <c r="AI138" s="11">
        <f t="shared" si="49"/>
        <v>900</v>
      </c>
      <c r="AJ138" s="10">
        <v>900</v>
      </c>
      <c r="AK138" s="11">
        <f t="shared" si="46"/>
        <v>0</v>
      </c>
      <c r="AL138" s="10">
        <v>0</v>
      </c>
      <c r="AM138" s="11">
        <f t="shared" si="50"/>
        <v>0</v>
      </c>
      <c r="AN138" s="10">
        <v>0</v>
      </c>
      <c r="AO138" s="55">
        <f t="shared" si="51"/>
        <v>1</v>
      </c>
      <c r="AQ138" s="11">
        <f ca="1">IFERROR(OFFSET(ITEM_RES!$A$1,MATCH(AR138,ITEM_RES!$J:$J,0)-1,0),0)</f>
        <v>211010501</v>
      </c>
      <c r="AR138" s="10" t="s">
        <v>1445</v>
      </c>
      <c r="AS138" s="11">
        <v>485000</v>
      </c>
      <c r="AV138" s="11">
        <f ca="1">IFERROR(OFFSET(ITEM_RES!$A$1,MATCH(AW138,ITEM_RES!$J:$J,0)-1,0),0)</f>
        <v>0</v>
      </c>
      <c r="BA138" s="11">
        <f ca="1">IFERROR(OFFSET(ITEM_RES!$A$1,MATCH(BB138,ITEM_RES!$J:$J,0)-1,0),0)</f>
        <v>0</v>
      </c>
      <c r="BF138" s="11">
        <f ca="1">IFERROR(OFFSET(ITEM_RES!$A$1,MATCH(BG138,ITEM_RES!$J:$J,0)-1,0),0)</f>
        <v>0</v>
      </c>
      <c r="BK138" s="11">
        <f ca="1">IFERROR(OFFSET(ITEM_RES!$A$1,MATCH(BL138,ITEM_RES!$J:$J,0)-1,0),0)</f>
        <v>0</v>
      </c>
      <c r="BM138" s="11">
        <f t="shared" si="44"/>
        <v>0</v>
      </c>
    </row>
    <row r="139" spans="1:65" x14ac:dyDescent="0.3">
      <c r="A139" s="14">
        <f t="shared" si="41"/>
        <v>111050015</v>
      </c>
      <c r="B139" s="13">
        <v>11</v>
      </c>
      <c r="C139" s="12">
        <f t="shared" si="42"/>
        <v>1</v>
      </c>
      <c r="D139" s="13">
        <v>5</v>
      </c>
      <c r="E139" s="13">
        <v>0</v>
      </c>
      <c r="F139" s="12">
        <f t="shared" si="43"/>
        <v>15</v>
      </c>
      <c r="H139" s="9">
        <v>1</v>
      </c>
      <c r="I139" s="9">
        <v>15</v>
      </c>
      <c r="K139" s="9" t="s">
        <v>357</v>
      </c>
      <c r="M139" s="9">
        <v>1</v>
      </c>
      <c r="N139" s="9">
        <v>15</v>
      </c>
      <c r="O139" s="9" t="s">
        <v>1409</v>
      </c>
      <c r="P139" s="55" t="s">
        <v>1411</v>
      </c>
      <c r="Q139" s="9" t="s">
        <v>669</v>
      </c>
      <c r="T139" s="9">
        <f ca="1">IFERROR(OFFSET(ITEM_RES!$A$5,MATCH(BUILDING!S139,ITEM_RES!$J$5:$J$229,0)-1,0),0)</f>
        <v>0</v>
      </c>
      <c r="V139" s="81" t="s">
        <v>528</v>
      </c>
      <c r="W139" s="11">
        <f ca="1">IFERROR(OFFSET(ITEM_RES!$A$5,MATCH(BUILDING!V139,ITEM_RES!$J$5:$J$229,0)-1,0),0)</f>
        <v>211010501</v>
      </c>
      <c r="Y139" s="9" t="s">
        <v>500</v>
      </c>
      <c r="Z139" s="9">
        <v>15</v>
      </c>
      <c r="AB139" s="11">
        <f ca="1">IFERROR(OFFSET(MANOR_LEVEL!$B$1,MATCH(AC139-1,MANOR_LEVEL!$A:$A,0)-1,0),0)</f>
        <v>3500000</v>
      </c>
      <c r="AC139" s="55">
        <v>12</v>
      </c>
      <c r="AE139" s="11">
        <f t="shared" ca="1" si="45"/>
        <v>1050000</v>
      </c>
      <c r="AF139" s="10">
        <f ca="1">AK139+AM139+(IFERROR(OFFSET(ITEM_RES!$R$1,MATCH(AQ139,ITEM_RES!$A:$A,0)-1,0),0)*AS139+IFERROR(OFFSET(ITEM_RES!$R$1,MATCH(AV139,ITEM_RES!$A:$A,0)-1,0),0)*AX139+IFERROR(OFFSET(ITEM_RES!$R$1,MATCH(BA139,ITEM_RES!$A:$A,0)-1,0),0)*BC139+IFERROR(OFFSET(ITEM_RES!$R$1,MATCH(BF139,ITEM_RES!$A:$A,0)-1,0),0)*BH139+IFERROR(OFFSET(ITEM_RES!$R$1,MATCH(BK139,ITEM_RES!$A:$A,0)-1,0),0)*BM139)/1000</f>
        <v>1050000</v>
      </c>
      <c r="AG139" s="176">
        <f t="shared" ca="1" si="48"/>
        <v>1535000</v>
      </c>
      <c r="AI139" s="11">
        <f t="shared" si="49"/>
        <v>1080</v>
      </c>
      <c r="AJ139" s="10">
        <v>1080</v>
      </c>
      <c r="AK139" s="11">
        <f t="shared" si="46"/>
        <v>0</v>
      </c>
      <c r="AL139" s="10">
        <v>0</v>
      </c>
      <c r="AM139" s="11">
        <f t="shared" si="50"/>
        <v>0</v>
      </c>
      <c r="AN139" s="10">
        <v>0</v>
      </c>
      <c r="AO139" s="55">
        <f t="shared" si="51"/>
        <v>1</v>
      </c>
      <c r="AQ139" s="11">
        <f ca="1">IFERROR(OFFSET(ITEM_RES!$A$1,MATCH(AR139,ITEM_RES!$J:$J,0)-1,0),0)</f>
        <v>211010501</v>
      </c>
      <c r="AR139" s="10" t="s">
        <v>1445</v>
      </c>
      <c r="AS139" s="11">
        <v>1050000</v>
      </c>
      <c r="AV139" s="11">
        <f ca="1">IFERROR(OFFSET(ITEM_RES!$A$1,MATCH(AW139,ITEM_RES!$J:$J,0)-1,0),0)</f>
        <v>0</v>
      </c>
      <c r="BA139" s="11">
        <f ca="1">IFERROR(OFFSET(ITEM_RES!$A$1,MATCH(BB139,ITEM_RES!$J:$J,0)-1,0),0)</f>
        <v>0</v>
      </c>
      <c r="BF139" s="11">
        <f ca="1">IFERROR(OFFSET(ITEM_RES!$A$1,MATCH(BG139,ITEM_RES!$J:$J,0)-1,0),0)</f>
        <v>0</v>
      </c>
      <c r="BK139" s="11">
        <f ca="1">IFERROR(OFFSET(ITEM_RES!$A$1,MATCH(BL139,ITEM_RES!$J:$J,0)-1,0),0)</f>
        <v>0</v>
      </c>
      <c r="BM139" s="11">
        <f t="shared" si="44"/>
        <v>0</v>
      </c>
    </row>
    <row r="140" spans="1:65" x14ac:dyDescent="0.3">
      <c r="A140" s="14">
        <f t="shared" si="41"/>
        <v>111050016</v>
      </c>
      <c r="B140" s="13">
        <v>11</v>
      </c>
      <c r="C140" s="12">
        <f t="shared" si="42"/>
        <v>1</v>
      </c>
      <c r="D140" s="13">
        <v>5</v>
      </c>
      <c r="E140" s="13">
        <v>0</v>
      </c>
      <c r="F140" s="12">
        <f t="shared" si="43"/>
        <v>16</v>
      </c>
      <c r="H140" s="9">
        <v>1</v>
      </c>
      <c r="I140" s="9">
        <v>16</v>
      </c>
      <c r="K140" s="9" t="s">
        <v>357</v>
      </c>
      <c r="M140" s="9">
        <v>0</v>
      </c>
      <c r="N140" s="9">
        <v>15</v>
      </c>
      <c r="O140" s="9" t="s">
        <v>1409</v>
      </c>
      <c r="P140" s="55" t="s">
        <v>1411</v>
      </c>
      <c r="Q140" s="9" t="s">
        <v>669</v>
      </c>
      <c r="T140" s="9">
        <f ca="1">IFERROR(OFFSET(ITEM_RES!$A$5,MATCH(BUILDING!S140,ITEM_RES!$J$5:$J$229,0)-1,0),0)</f>
        <v>0</v>
      </c>
      <c r="V140" s="81" t="s">
        <v>528</v>
      </c>
      <c r="W140" s="11">
        <f ca="1">IFERROR(OFFSET(ITEM_RES!$A$5,MATCH(BUILDING!V140,ITEM_RES!$J$5:$J$229,0)-1,0),0)</f>
        <v>211010501</v>
      </c>
      <c r="Y140" s="9" t="s">
        <v>500</v>
      </c>
      <c r="Z140" s="9">
        <v>16</v>
      </c>
      <c r="AB140" s="11">
        <f ca="1">IFERROR(OFFSET(MANOR_LEVEL!$B$1,MATCH(AC140-1,MANOR_LEVEL!$A:$A,0)-1,0),0)</f>
        <v>6000000</v>
      </c>
      <c r="AC140" s="55">
        <v>13</v>
      </c>
      <c r="AE140" s="11">
        <f t="shared" ca="1" si="45"/>
        <v>2150000</v>
      </c>
      <c r="AF140" s="10">
        <f ca="1">AK140+AM140+(IFERROR(OFFSET(ITEM_RES!$R$1,MATCH(AQ140,ITEM_RES!$A:$A,0)-1,0),0)*AS140+IFERROR(OFFSET(ITEM_RES!$R$1,MATCH(AV140,ITEM_RES!$A:$A,0)-1,0),0)*AX140+IFERROR(OFFSET(ITEM_RES!$R$1,MATCH(BA140,ITEM_RES!$A:$A,0)-1,0),0)*BC140+IFERROR(OFFSET(ITEM_RES!$R$1,MATCH(BF140,ITEM_RES!$A:$A,0)-1,0),0)*BH140+IFERROR(OFFSET(ITEM_RES!$R$1,MATCH(BK140,ITEM_RES!$A:$A,0)-1,0),0)*BM140)/1000</f>
        <v>2150000</v>
      </c>
      <c r="AG140" s="176">
        <f t="shared" ca="1" si="48"/>
        <v>3200000</v>
      </c>
      <c r="AI140" s="11">
        <f t="shared" si="49"/>
        <v>1260</v>
      </c>
      <c r="AJ140" s="10">
        <v>1260</v>
      </c>
      <c r="AK140" s="11">
        <f t="shared" si="46"/>
        <v>0</v>
      </c>
      <c r="AL140" s="10">
        <v>0</v>
      </c>
      <c r="AM140" s="11">
        <f t="shared" si="50"/>
        <v>0</v>
      </c>
      <c r="AN140" s="10">
        <v>0</v>
      </c>
      <c r="AO140" s="55">
        <f t="shared" si="51"/>
        <v>1</v>
      </c>
      <c r="AQ140" s="11">
        <f ca="1">IFERROR(OFFSET(ITEM_RES!$A$1,MATCH(AR140,ITEM_RES!$J:$J,0)-1,0),0)</f>
        <v>211010501</v>
      </c>
      <c r="AR140" s="10" t="s">
        <v>1445</v>
      </c>
      <c r="AS140" s="11">
        <v>2150000</v>
      </c>
      <c r="AV140" s="11">
        <f ca="1">IFERROR(OFFSET(ITEM_RES!$A$1,MATCH(AW140,ITEM_RES!$J:$J,0)-1,0),0)</f>
        <v>0</v>
      </c>
      <c r="BA140" s="11">
        <f ca="1">IFERROR(OFFSET(ITEM_RES!$A$1,MATCH(BB140,ITEM_RES!$J:$J,0)-1,0),0)</f>
        <v>0</v>
      </c>
      <c r="BF140" s="11">
        <f ca="1">IFERROR(OFFSET(ITEM_RES!$A$1,MATCH(BG140,ITEM_RES!$J:$J,0)-1,0),0)</f>
        <v>0</v>
      </c>
      <c r="BK140" s="11">
        <f ca="1">IFERROR(OFFSET(ITEM_RES!$A$1,MATCH(BL140,ITEM_RES!$J:$J,0)-1,0),0)</f>
        <v>0</v>
      </c>
      <c r="BM140" s="11">
        <f t="shared" si="44"/>
        <v>0</v>
      </c>
    </row>
    <row r="141" spans="1:65" x14ac:dyDescent="0.3">
      <c r="A141" s="14">
        <f t="shared" si="41"/>
        <v>111050017</v>
      </c>
      <c r="B141" s="13">
        <v>11</v>
      </c>
      <c r="C141" s="12">
        <f t="shared" si="42"/>
        <v>1</v>
      </c>
      <c r="D141" s="13">
        <v>5</v>
      </c>
      <c r="E141" s="13">
        <v>0</v>
      </c>
      <c r="F141" s="12">
        <f t="shared" si="43"/>
        <v>17</v>
      </c>
      <c r="H141" s="9">
        <v>1</v>
      </c>
      <c r="I141" s="9">
        <v>17</v>
      </c>
      <c r="K141" s="9" t="s">
        <v>357</v>
      </c>
      <c r="M141" s="9">
        <v>0</v>
      </c>
      <c r="N141" s="9">
        <v>15</v>
      </c>
      <c r="O141" s="9" t="s">
        <v>1409</v>
      </c>
      <c r="P141" s="55" t="s">
        <v>1411</v>
      </c>
      <c r="Q141" s="9" t="s">
        <v>669</v>
      </c>
      <c r="T141" s="9">
        <f ca="1">IFERROR(OFFSET(ITEM_RES!$A$5,MATCH(BUILDING!S141,ITEM_RES!$J$5:$J$229,0)-1,0),0)</f>
        <v>0</v>
      </c>
      <c r="V141" s="81" t="s">
        <v>528</v>
      </c>
      <c r="W141" s="11">
        <f ca="1">IFERROR(OFFSET(ITEM_RES!$A$5,MATCH(BUILDING!V141,ITEM_RES!$J$5:$J$229,0)-1,0),0)</f>
        <v>211010501</v>
      </c>
      <c r="Y141" s="9" t="s">
        <v>500</v>
      </c>
      <c r="Z141" s="9">
        <v>17</v>
      </c>
      <c r="AB141" s="11">
        <f ca="1">IFERROR(OFFSET(MANOR_LEVEL!$B$1,MATCH(AC141-1,MANOR_LEVEL!$A:$A,0)-1,0),0)</f>
        <v>10000000</v>
      </c>
      <c r="AC141" s="55">
        <v>14</v>
      </c>
      <c r="AE141" s="11">
        <f t="shared" ca="1" si="45"/>
        <v>4000000</v>
      </c>
      <c r="AF141" s="10">
        <f ca="1">AK141+AM141+(IFERROR(OFFSET(ITEM_RES!$R$1,MATCH(AQ141,ITEM_RES!$A:$A,0)-1,0),0)*AS141+IFERROR(OFFSET(ITEM_RES!$R$1,MATCH(AV141,ITEM_RES!$A:$A,0)-1,0),0)*AX141+IFERROR(OFFSET(ITEM_RES!$R$1,MATCH(BA141,ITEM_RES!$A:$A,0)-1,0),0)*BC141+IFERROR(OFFSET(ITEM_RES!$R$1,MATCH(BF141,ITEM_RES!$A:$A,0)-1,0),0)*BH141+IFERROR(OFFSET(ITEM_RES!$R$1,MATCH(BK141,ITEM_RES!$A:$A,0)-1,0),0)*BM141)/1000</f>
        <v>4000000</v>
      </c>
      <c r="AG141" s="176">
        <f t="shared" ca="1" si="48"/>
        <v>6150000</v>
      </c>
      <c r="AI141" s="11">
        <f t="shared" si="49"/>
        <v>1440</v>
      </c>
      <c r="AJ141" s="10">
        <v>1440</v>
      </c>
      <c r="AK141" s="11">
        <f t="shared" si="46"/>
        <v>0</v>
      </c>
      <c r="AL141" s="10">
        <v>0</v>
      </c>
      <c r="AM141" s="11">
        <f t="shared" si="50"/>
        <v>0</v>
      </c>
      <c r="AN141" s="10">
        <v>0</v>
      </c>
      <c r="AO141" s="55">
        <f t="shared" si="51"/>
        <v>1</v>
      </c>
      <c r="AQ141" s="11">
        <f ca="1">IFERROR(OFFSET(ITEM_RES!$A$1,MATCH(AR141,ITEM_RES!$J:$J,0)-1,0),0)</f>
        <v>211010501</v>
      </c>
      <c r="AR141" s="10" t="s">
        <v>1445</v>
      </c>
      <c r="AS141" s="11">
        <v>4000000</v>
      </c>
      <c r="AV141" s="11">
        <f ca="1">IFERROR(OFFSET(ITEM_RES!$A$1,MATCH(AW141,ITEM_RES!$J:$J,0)-1,0),0)</f>
        <v>0</v>
      </c>
      <c r="BA141" s="11">
        <f ca="1">IFERROR(OFFSET(ITEM_RES!$A$1,MATCH(BB141,ITEM_RES!$J:$J,0)-1,0),0)</f>
        <v>0</v>
      </c>
      <c r="BF141" s="11">
        <f ca="1">IFERROR(OFFSET(ITEM_RES!$A$1,MATCH(BG141,ITEM_RES!$J:$J,0)-1,0),0)</f>
        <v>0</v>
      </c>
      <c r="BK141" s="11">
        <f ca="1">IFERROR(OFFSET(ITEM_RES!$A$1,MATCH(BL141,ITEM_RES!$J:$J,0)-1,0),0)</f>
        <v>0</v>
      </c>
      <c r="BM141" s="11">
        <f t="shared" si="44"/>
        <v>0</v>
      </c>
    </row>
    <row r="142" spans="1:65" x14ac:dyDescent="0.3">
      <c r="A142" s="14">
        <f t="shared" si="41"/>
        <v>111050018</v>
      </c>
      <c r="B142" s="13">
        <v>11</v>
      </c>
      <c r="C142" s="12">
        <f t="shared" si="42"/>
        <v>1</v>
      </c>
      <c r="D142" s="13">
        <v>5</v>
      </c>
      <c r="E142" s="13">
        <v>0</v>
      </c>
      <c r="F142" s="12">
        <f t="shared" si="43"/>
        <v>18</v>
      </c>
      <c r="H142" s="9">
        <v>1</v>
      </c>
      <c r="I142" s="9">
        <v>18</v>
      </c>
      <c r="K142" s="9" t="s">
        <v>357</v>
      </c>
      <c r="M142" s="9">
        <v>0</v>
      </c>
      <c r="N142" s="9">
        <v>15</v>
      </c>
      <c r="O142" s="9" t="s">
        <v>1409</v>
      </c>
      <c r="P142" s="55" t="s">
        <v>1411</v>
      </c>
      <c r="Q142" s="9" t="s">
        <v>669</v>
      </c>
      <c r="T142" s="9">
        <f ca="1">IFERROR(OFFSET(ITEM_RES!$A$5,MATCH(BUILDING!S142,ITEM_RES!$J$5:$J$229,0)-1,0),0)</f>
        <v>0</v>
      </c>
      <c r="V142" s="81" t="s">
        <v>528</v>
      </c>
      <c r="W142" s="11">
        <f ca="1">IFERROR(OFFSET(ITEM_RES!$A$5,MATCH(BUILDING!V142,ITEM_RES!$J$5:$J$229,0)-1,0),0)</f>
        <v>211010501</v>
      </c>
      <c r="Y142" s="9" t="s">
        <v>500</v>
      </c>
      <c r="Z142" s="9">
        <v>18</v>
      </c>
      <c r="AB142" s="11">
        <f ca="1">IFERROR(OFFSET(MANOR_LEVEL!$B$1,MATCH(AC142-1,MANOR_LEVEL!$A:$A,0)-1,0),0)</f>
        <v>17000000</v>
      </c>
      <c r="AC142" s="55">
        <v>15</v>
      </c>
      <c r="AE142" s="11">
        <f t="shared" ca="1" si="45"/>
        <v>6500000</v>
      </c>
      <c r="AF142" s="10">
        <f ca="1">AK142+AM142+(IFERROR(OFFSET(ITEM_RES!$R$1,MATCH(AQ142,ITEM_RES!$A:$A,0)-1,0),0)*AS142+IFERROR(OFFSET(ITEM_RES!$R$1,MATCH(AV142,ITEM_RES!$A:$A,0)-1,0),0)*AX142+IFERROR(OFFSET(ITEM_RES!$R$1,MATCH(BA142,ITEM_RES!$A:$A,0)-1,0),0)*BC142+IFERROR(OFFSET(ITEM_RES!$R$1,MATCH(BF142,ITEM_RES!$A:$A,0)-1,0),0)*BH142+IFERROR(OFFSET(ITEM_RES!$R$1,MATCH(BK142,ITEM_RES!$A:$A,0)-1,0),0)*BM142)/1000</f>
        <v>6500000</v>
      </c>
      <c r="AG142" s="176">
        <f t="shared" ca="1" si="48"/>
        <v>10500000</v>
      </c>
      <c r="AI142" s="11">
        <f t="shared" si="49"/>
        <v>1620</v>
      </c>
      <c r="AJ142" s="10">
        <v>1620</v>
      </c>
      <c r="AK142" s="11">
        <f t="shared" si="46"/>
        <v>0</v>
      </c>
      <c r="AL142" s="10">
        <v>0</v>
      </c>
      <c r="AM142" s="11">
        <f t="shared" si="50"/>
        <v>0</v>
      </c>
      <c r="AN142" s="10">
        <v>0</v>
      </c>
      <c r="AO142" s="55">
        <f t="shared" si="51"/>
        <v>1</v>
      </c>
      <c r="AQ142" s="11">
        <f ca="1">IFERROR(OFFSET(ITEM_RES!$A$1,MATCH(AR142,ITEM_RES!$J:$J,0)-1,0),0)</f>
        <v>211010501</v>
      </c>
      <c r="AR142" s="10" t="s">
        <v>1445</v>
      </c>
      <c r="AS142" s="11">
        <v>6500000</v>
      </c>
      <c r="AV142" s="11">
        <f ca="1">IFERROR(OFFSET(ITEM_RES!$A$1,MATCH(AW142,ITEM_RES!$J:$J,0)-1,0),0)</f>
        <v>0</v>
      </c>
      <c r="BA142" s="11">
        <f ca="1">IFERROR(OFFSET(ITEM_RES!$A$1,MATCH(BB142,ITEM_RES!$J:$J,0)-1,0),0)</f>
        <v>0</v>
      </c>
      <c r="BF142" s="11">
        <f ca="1">IFERROR(OFFSET(ITEM_RES!$A$1,MATCH(BG142,ITEM_RES!$J:$J,0)-1,0),0)</f>
        <v>0</v>
      </c>
      <c r="BK142" s="11">
        <f ca="1">IFERROR(OFFSET(ITEM_RES!$A$1,MATCH(BL142,ITEM_RES!$J:$J,0)-1,0),0)</f>
        <v>0</v>
      </c>
      <c r="BM142" s="11">
        <f t="shared" si="44"/>
        <v>0</v>
      </c>
    </row>
    <row r="143" spans="1:65" x14ac:dyDescent="0.3">
      <c r="A143" s="14">
        <f t="shared" si="41"/>
        <v>111050019</v>
      </c>
      <c r="B143" s="13">
        <v>11</v>
      </c>
      <c r="C143" s="12">
        <f t="shared" si="42"/>
        <v>1</v>
      </c>
      <c r="D143" s="13">
        <v>5</v>
      </c>
      <c r="E143" s="13">
        <v>0</v>
      </c>
      <c r="F143" s="12">
        <f t="shared" si="43"/>
        <v>19</v>
      </c>
      <c r="H143" s="9">
        <v>1</v>
      </c>
      <c r="I143" s="9">
        <v>19</v>
      </c>
      <c r="K143" s="9" t="s">
        <v>357</v>
      </c>
      <c r="M143" s="9">
        <v>0</v>
      </c>
      <c r="N143" s="9">
        <v>15</v>
      </c>
      <c r="O143" s="9" t="s">
        <v>1409</v>
      </c>
      <c r="P143" s="55" t="s">
        <v>1411</v>
      </c>
      <c r="Q143" s="9" t="s">
        <v>669</v>
      </c>
      <c r="T143" s="9">
        <f ca="1">IFERROR(OFFSET(ITEM_RES!$A$5,MATCH(BUILDING!S143,ITEM_RES!$J$5:$J$229,0)-1,0),0)</f>
        <v>0</v>
      </c>
      <c r="V143" s="81" t="s">
        <v>528</v>
      </c>
      <c r="W143" s="11">
        <f ca="1">IFERROR(OFFSET(ITEM_RES!$A$5,MATCH(BUILDING!V143,ITEM_RES!$J$5:$J$229,0)-1,0),0)</f>
        <v>211010501</v>
      </c>
      <c r="Y143" s="9" t="s">
        <v>500</v>
      </c>
      <c r="Z143" s="9">
        <v>19</v>
      </c>
      <c r="AB143" s="11">
        <f ca="1">IFERROR(OFFSET(MANOR_LEVEL!$B$1,MATCH(AC143-1,MANOR_LEVEL!$A:$A,0)-1,0),0)</f>
        <v>37000000</v>
      </c>
      <c r="AC143" s="55">
        <v>16</v>
      </c>
      <c r="AE143" s="11">
        <f t="shared" ca="1" si="45"/>
        <v>10000000</v>
      </c>
      <c r="AF143" s="10">
        <f ca="1">AK143+AM143+(IFERROR(OFFSET(ITEM_RES!$R$1,MATCH(AQ143,ITEM_RES!$A:$A,0)-1,0),0)*AS143+IFERROR(OFFSET(ITEM_RES!$R$1,MATCH(AV143,ITEM_RES!$A:$A,0)-1,0),0)*AX143+IFERROR(OFFSET(ITEM_RES!$R$1,MATCH(BA143,ITEM_RES!$A:$A,0)-1,0),0)*BC143+IFERROR(OFFSET(ITEM_RES!$R$1,MATCH(BF143,ITEM_RES!$A:$A,0)-1,0),0)*BH143+IFERROR(OFFSET(ITEM_RES!$R$1,MATCH(BK143,ITEM_RES!$A:$A,0)-1,0),0)*BM143)/1000</f>
        <v>10000000</v>
      </c>
      <c r="AG143" s="176">
        <f t="shared" ca="1" si="48"/>
        <v>16500000</v>
      </c>
      <c r="AI143" s="11">
        <f t="shared" si="49"/>
        <v>1800</v>
      </c>
      <c r="AJ143" s="10">
        <v>1800</v>
      </c>
      <c r="AK143" s="11">
        <f t="shared" si="46"/>
        <v>0</v>
      </c>
      <c r="AL143" s="10">
        <v>0</v>
      </c>
      <c r="AM143" s="11">
        <f t="shared" si="50"/>
        <v>0</v>
      </c>
      <c r="AN143" s="10">
        <v>0</v>
      </c>
      <c r="AO143" s="55">
        <f t="shared" si="51"/>
        <v>1</v>
      </c>
      <c r="AQ143" s="11">
        <f ca="1">IFERROR(OFFSET(ITEM_RES!$A$1,MATCH(AR143,ITEM_RES!$J:$J,0)-1,0),0)</f>
        <v>211010501</v>
      </c>
      <c r="AR143" s="10" t="s">
        <v>1445</v>
      </c>
      <c r="AS143" s="11">
        <v>10000000</v>
      </c>
      <c r="AV143" s="11">
        <f ca="1">IFERROR(OFFSET(ITEM_RES!$A$1,MATCH(AW143,ITEM_RES!$J:$J,0)-1,0),0)</f>
        <v>0</v>
      </c>
      <c r="BA143" s="11">
        <f ca="1">IFERROR(OFFSET(ITEM_RES!$A$1,MATCH(BB143,ITEM_RES!$J:$J,0)-1,0),0)</f>
        <v>0</v>
      </c>
      <c r="BF143" s="11">
        <f ca="1">IFERROR(OFFSET(ITEM_RES!$A$1,MATCH(BG143,ITEM_RES!$J:$J,0)-1,0),0)</f>
        <v>0</v>
      </c>
      <c r="BK143" s="11">
        <f ca="1">IFERROR(OFFSET(ITEM_RES!$A$1,MATCH(BL143,ITEM_RES!$J:$J,0)-1,0),0)</f>
        <v>0</v>
      </c>
      <c r="BM143" s="11">
        <f t="shared" si="44"/>
        <v>0</v>
      </c>
    </row>
    <row r="144" spans="1:65" ht="17.25" thickBot="1" x14ac:dyDescent="0.35">
      <c r="A144" s="14">
        <f t="shared" si="41"/>
        <v>111050020</v>
      </c>
      <c r="B144" s="13">
        <v>11</v>
      </c>
      <c r="C144" s="12">
        <f t="shared" si="42"/>
        <v>1</v>
      </c>
      <c r="D144" s="13">
        <v>5</v>
      </c>
      <c r="E144" s="13">
        <v>0</v>
      </c>
      <c r="F144" s="12">
        <f t="shared" si="43"/>
        <v>20</v>
      </c>
      <c r="H144" s="9">
        <v>1</v>
      </c>
      <c r="I144" s="9">
        <v>20</v>
      </c>
      <c r="K144" s="9" t="s">
        <v>357</v>
      </c>
      <c r="M144" s="9">
        <v>0</v>
      </c>
      <c r="N144" s="9">
        <v>15</v>
      </c>
      <c r="O144" s="9" t="s">
        <v>1409</v>
      </c>
      <c r="P144" s="55" t="s">
        <v>1411</v>
      </c>
      <c r="Q144" s="9" t="s">
        <v>669</v>
      </c>
      <c r="T144" s="9">
        <f ca="1">IFERROR(OFFSET(ITEM_RES!$A$5,MATCH(BUILDING!S144,ITEM_RES!$J$5:$J$229,0)-1,0),0)</f>
        <v>0</v>
      </c>
      <c r="V144" s="81" t="s">
        <v>528</v>
      </c>
      <c r="W144" s="11">
        <f ca="1">IFERROR(OFFSET(ITEM_RES!$A$5,MATCH(BUILDING!V144,ITEM_RES!$J$5:$J$229,0)-1,0),0)</f>
        <v>211010501</v>
      </c>
      <c r="Y144" s="9" t="s">
        <v>500</v>
      </c>
      <c r="Z144" s="9">
        <v>20</v>
      </c>
      <c r="AB144" s="11">
        <f ca="1">IFERROR(OFFSET(MANOR_LEVEL!$B$1,MATCH(AC144-1,MANOR_LEVEL!$A:$A,0)-1,0),0)</f>
        <v>85000000</v>
      </c>
      <c r="AC144" s="55">
        <v>17</v>
      </c>
      <c r="AE144" s="11">
        <f t="shared" ca="1" si="45"/>
        <v>16000000</v>
      </c>
      <c r="AF144" s="10">
        <f ca="1">AK144+AM144+(IFERROR(OFFSET(ITEM_RES!$R$1,MATCH(AQ144,ITEM_RES!$A:$A,0)-1,0),0)*AS144+IFERROR(OFFSET(ITEM_RES!$R$1,MATCH(AV144,ITEM_RES!$A:$A,0)-1,0),0)*AX144+IFERROR(OFFSET(ITEM_RES!$R$1,MATCH(BA144,ITEM_RES!$A:$A,0)-1,0),0)*BC144+IFERROR(OFFSET(ITEM_RES!$R$1,MATCH(BF144,ITEM_RES!$A:$A,0)-1,0),0)*BH144+IFERROR(OFFSET(ITEM_RES!$R$1,MATCH(BK144,ITEM_RES!$A:$A,0)-1,0),0)*BM144)/1000</f>
        <v>16000000</v>
      </c>
      <c r="AG144" s="176">
        <f t="shared" ca="1" si="48"/>
        <v>26000000</v>
      </c>
      <c r="AI144" s="11">
        <f t="shared" si="49"/>
        <v>1980</v>
      </c>
      <c r="AJ144" s="10">
        <v>1980</v>
      </c>
      <c r="AK144" s="11">
        <f t="shared" si="46"/>
        <v>0</v>
      </c>
      <c r="AL144" s="10">
        <v>0</v>
      </c>
      <c r="AM144" s="11">
        <f t="shared" si="50"/>
        <v>0</v>
      </c>
      <c r="AN144" s="10">
        <v>0</v>
      </c>
      <c r="AO144" s="55">
        <f t="shared" si="51"/>
        <v>1</v>
      </c>
      <c r="AQ144" s="11">
        <f ca="1">IFERROR(OFFSET(ITEM_RES!$A$1,MATCH(AR144,ITEM_RES!$J:$J,0)-1,0),0)</f>
        <v>211010501</v>
      </c>
      <c r="AR144" s="10" t="s">
        <v>1445</v>
      </c>
      <c r="AS144" s="11">
        <v>16000000</v>
      </c>
      <c r="AV144" s="11">
        <f ca="1">IFERROR(OFFSET(ITEM_RES!$A$1,MATCH(AW144,ITEM_RES!$J:$J,0)-1,0),0)</f>
        <v>0</v>
      </c>
      <c r="BA144" s="11">
        <f ca="1">IFERROR(OFFSET(ITEM_RES!$A$1,MATCH(BB144,ITEM_RES!$J:$J,0)-1,0),0)</f>
        <v>0</v>
      </c>
      <c r="BF144" s="11">
        <f ca="1">IFERROR(OFFSET(ITEM_RES!$A$1,MATCH(BG144,ITEM_RES!$J:$J,0)-1,0),0)</f>
        <v>0</v>
      </c>
      <c r="BK144" s="11">
        <f ca="1">IFERROR(OFFSET(ITEM_RES!$A$1,MATCH(BL144,ITEM_RES!$J:$J,0)-1,0),0)</f>
        <v>0</v>
      </c>
      <c r="BM144" s="11">
        <f t="shared" si="44"/>
        <v>0</v>
      </c>
    </row>
    <row r="145" spans="1:66" s="15" customFormat="1" x14ac:dyDescent="0.3">
      <c r="A145" s="21">
        <f t="shared" si="41"/>
        <v>111060001</v>
      </c>
      <c r="B145" s="20">
        <v>11</v>
      </c>
      <c r="C145" s="19">
        <f t="shared" si="42"/>
        <v>1</v>
      </c>
      <c r="D145" s="20">
        <v>6</v>
      </c>
      <c r="E145" s="20">
        <v>0</v>
      </c>
      <c r="F145" s="19">
        <f t="shared" si="43"/>
        <v>1</v>
      </c>
      <c r="G145" s="76"/>
      <c r="H145" s="16">
        <v>1</v>
      </c>
      <c r="I145" s="16">
        <v>1</v>
      </c>
      <c r="J145" s="76"/>
      <c r="K145" s="16" t="s">
        <v>356</v>
      </c>
      <c r="L145" s="16">
        <v>6</v>
      </c>
      <c r="M145" s="16">
        <v>1</v>
      </c>
      <c r="N145" s="16">
        <v>15</v>
      </c>
      <c r="O145" s="16" t="s">
        <v>1090</v>
      </c>
      <c r="P145" s="56" t="s">
        <v>1350</v>
      </c>
      <c r="Q145" s="16" t="s">
        <v>687</v>
      </c>
      <c r="R145" s="76"/>
      <c r="S145" s="83"/>
      <c r="T145" s="16">
        <f ca="1">IFERROR(OFFSET(ITEM_RES!$A$5,MATCH(BUILDING!S145,ITEM_RES!$J$5:$J$229,0)-1,0),0)</f>
        <v>0</v>
      </c>
      <c r="U145" s="18"/>
      <c r="V145" s="83" t="s">
        <v>528</v>
      </c>
      <c r="W145" s="18">
        <f ca="1">IFERROR(OFFSET(ITEM_RES!$A$5,MATCH(BUILDING!V145,ITEM_RES!$J$5:$J$229,0)-1,0),0)</f>
        <v>211010501</v>
      </c>
      <c r="X145" s="76"/>
      <c r="Y145" s="16" t="s">
        <v>501</v>
      </c>
      <c r="Z145" s="16">
        <v>1</v>
      </c>
      <c r="AA145" s="76"/>
      <c r="AB145" s="18">
        <f ca="1">IFERROR(OFFSET(MANOR_LEVEL!$B$1,MATCH(AC145-1,MANOR_LEVEL!$A:$A,0)-1,0),0)</f>
        <v>300000</v>
      </c>
      <c r="AC145" s="56">
        <v>9</v>
      </c>
      <c r="AD145" s="76"/>
      <c r="AE145" s="18">
        <f t="shared" ca="1" si="45"/>
        <v>1150</v>
      </c>
      <c r="AF145" s="17">
        <f ca="1">AK145+AM145+(IFERROR(OFFSET(ITEM_RES!$R$1,MATCH(AQ145,ITEM_RES!$A:$A,0)-1,0),0)*AS145+IFERROR(OFFSET(ITEM_RES!$R$1,MATCH(AV145,ITEM_RES!$A:$A,0)-1,0),0)*AX145+IFERROR(OFFSET(ITEM_RES!$R$1,MATCH(BA145,ITEM_RES!$A:$A,0)-1,0),0)*BC145+IFERROR(OFFSET(ITEM_RES!$R$1,MATCH(BF145,ITEM_RES!$A:$A,0)-1,0),0)*BH145+IFERROR(OFFSET(ITEM_RES!$R$1,MATCH(BK145,ITEM_RES!$A:$A,0)-1,0),0)*BM145)/1000</f>
        <v>1150</v>
      </c>
      <c r="AG145" s="178">
        <f ca="1">AE145</f>
        <v>1150</v>
      </c>
      <c r="AH145" s="76"/>
      <c r="AI145" s="18">
        <f t="shared" si="49"/>
        <v>2</v>
      </c>
      <c r="AJ145" s="17">
        <v>2</v>
      </c>
      <c r="AK145" s="18">
        <f t="shared" si="46"/>
        <v>0</v>
      </c>
      <c r="AL145" s="17">
        <v>0</v>
      </c>
      <c r="AM145" s="18">
        <f t="shared" si="50"/>
        <v>0</v>
      </c>
      <c r="AN145" s="17">
        <v>0</v>
      </c>
      <c r="AO145" s="56">
        <f t="shared" si="51"/>
        <v>2</v>
      </c>
      <c r="AP145" s="18"/>
      <c r="AQ145" s="18">
        <f ca="1">IFERROR(OFFSET(ITEM_RES!$A$1,MATCH(AR145,ITEM_RES!$J:$J,0)-1,0),0)</f>
        <v>211020801</v>
      </c>
      <c r="AR145" s="17" t="s">
        <v>1057</v>
      </c>
      <c r="AS145" s="18">
        <v>25</v>
      </c>
      <c r="AT145" s="17"/>
      <c r="AU145" s="18"/>
      <c r="AV145" s="18">
        <f ca="1">IFERROR(OFFSET(ITEM_RES!$A$1,MATCH(AW145,ITEM_RES!$J:$J,0)-1,0),0)</f>
        <v>0</v>
      </c>
      <c r="AW145" s="17"/>
      <c r="AX145" s="18"/>
      <c r="AY145" s="17"/>
      <c r="AZ145" s="18"/>
      <c r="BA145" s="18">
        <f ca="1">IFERROR(OFFSET(ITEM_RES!$A$1,MATCH(BB145,ITEM_RES!$J:$J,0)-1,0),0)</f>
        <v>213010101</v>
      </c>
      <c r="BB145" s="17" t="s">
        <v>440</v>
      </c>
      <c r="BC145" s="18">
        <v>1</v>
      </c>
      <c r="BD145" s="17"/>
      <c r="BE145" s="18"/>
      <c r="BF145" s="18">
        <f ca="1">IFERROR(OFFSET(ITEM_RES!$A$1,MATCH(BG145,ITEM_RES!$J:$J,0)-1,0),0)</f>
        <v>0</v>
      </c>
      <c r="BG145" s="17"/>
      <c r="BH145" s="18"/>
      <c r="BI145" s="17"/>
      <c r="BJ145" s="18"/>
      <c r="BK145" s="18">
        <f ca="1">IFERROR(OFFSET(ITEM_RES!$A$1,MATCH(BL145,ITEM_RES!$J:$J,0)-1,0),0)</f>
        <v>0</v>
      </c>
      <c r="BL145" s="17"/>
      <c r="BM145" s="18">
        <f t="shared" si="44"/>
        <v>0</v>
      </c>
      <c r="BN145" s="17"/>
    </row>
    <row r="146" spans="1:66" x14ac:dyDescent="0.3">
      <c r="A146" s="14">
        <f t="shared" si="41"/>
        <v>111060002</v>
      </c>
      <c r="B146" s="13">
        <v>11</v>
      </c>
      <c r="C146" s="12">
        <f t="shared" si="42"/>
        <v>1</v>
      </c>
      <c r="D146" s="13">
        <v>6</v>
      </c>
      <c r="E146" s="13">
        <v>0</v>
      </c>
      <c r="F146" s="12">
        <f t="shared" si="43"/>
        <v>2</v>
      </c>
      <c r="H146" s="9">
        <v>1</v>
      </c>
      <c r="I146" s="9">
        <v>2</v>
      </c>
      <c r="K146" s="9" t="s">
        <v>356</v>
      </c>
      <c r="M146" s="9">
        <v>1</v>
      </c>
      <c r="N146" s="9">
        <v>15</v>
      </c>
      <c r="O146" s="9" t="s">
        <v>1090</v>
      </c>
      <c r="P146" s="55" t="s">
        <v>1350</v>
      </c>
      <c r="Q146" s="9" t="s">
        <v>687</v>
      </c>
      <c r="T146" s="9">
        <f ca="1">IFERROR(OFFSET(ITEM_RES!$A$5,MATCH(BUILDING!S146,ITEM_RES!$J$5:$J$229,0)-1,0),0)</f>
        <v>0</v>
      </c>
      <c r="V146" s="81" t="s">
        <v>528</v>
      </c>
      <c r="W146" s="11">
        <f ca="1">IFERROR(OFFSET(ITEM_RES!$A$5,MATCH(BUILDING!V146,ITEM_RES!$J$5:$J$229,0)-1,0),0)</f>
        <v>211010501</v>
      </c>
      <c r="Y146" s="9" t="s">
        <v>501</v>
      </c>
      <c r="Z146" s="9">
        <v>2</v>
      </c>
      <c r="AB146" s="11">
        <f ca="1">IFERROR(OFFSET(MANOR_LEVEL!$B$1,MATCH(AC146-1,MANOR_LEVEL!$A:$A,0)-1,0),0)</f>
        <v>300000</v>
      </c>
      <c r="AC146" s="55">
        <v>9</v>
      </c>
      <c r="AE146" s="11">
        <f t="shared" ca="1" si="45"/>
        <v>300</v>
      </c>
      <c r="AF146" s="10">
        <f ca="1">AK146+AM146+(IFERROR(OFFSET(ITEM_RES!$R$1,MATCH(AQ146,ITEM_RES!$A:$A,0)-1,0),0)*AS146+IFERROR(OFFSET(ITEM_RES!$R$1,MATCH(AV146,ITEM_RES!$A:$A,0)-1,0),0)*AX146+IFERROR(OFFSET(ITEM_RES!$R$1,MATCH(BA146,ITEM_RES!$A:$A,0)-1,0),0)*BC146+IFERROR(OFFSET(ITEM_RES!$R$1,MATCH(BF146,ITEM_RES!$A:$A,0)-1,0),0)*BH146+IFERROR(OFFSET(ITEM_RES!$R$1,MATCH(BK146,ITEM_RES!$A:$A,0)-1,0),0)*BM146)/1000</f>
        <v>300</v>
      </c>
      <c r="AG146" s="176">
        <f ca="1">AE145+AE146</f>
        <v>1450</v>
      </c>
      <c r="AI146" s="11">
        <f t="shared" si="49"/>
        <v>2</v>
      </c>
      <c r="AJ146" s="10">
        <v>2</v>
      </c>
      <c r="AK146" s="11">
        <f t="shared" si="46"/>
        <v>0</v>
      </c>
      <c r="AL146" s="10">
        <v>0</v>
      </c>
      <c r="AM146" s="11">
        <f t="shared" si="50"/>
        <v>0</v>
      </c>
      <c r="AN146" s="10">
        <v>0</v>
      </c>
      <c r="AO146" s="55">
        <f t="shared" si="51"/>
        <v>1</v>
      </c>
      <c r="AQ146" s="11">
        <f ca="1">IFERROR(OFFSET(ITEM_RES!$A$1,MATCH(AR146,ITEM_RES!$J:$J,0)-1,0),0)</f>
        <v>211020801</v>
      </c>
      <c r="AR146" s="10" t="s">
        <v>1057</v>
      </c>
      <c r="AS146" s="11">
        <v>50</v>
      </c>
      <c r="AV146" s="11">
        <f ca="1">IFERROR(OFFSET(ITEM_RES!$A$1,MATCH(AW146,ITEM_RES!$J:$J,0)-1,0),0)</f>
        <v>0</v>
      </c>
      <c r="BA146" s="11">
        <f ca="1">IFERROR(OFFSET(ITEM_RES!$A$1,MATCH(BB146,ITEM_RES!$J:$J,0)-1,0),0)</f>
        <v>0</v>
      </c>
      <c r="BF146" s="11">
        <f ca="1">IFERROR(OFFSET(ITEM_RES!$A$1,MATCH(BG146,ITEM_RES!$J:$J,0)-1,0),0)</f>
        <v>0</v>
      </c>
      <c r="BK146" s="11">
        <f ca="1">IFERROR(OFFSET(ITEM_RES!$A$1,MATCH(BL146,ITEM_RES!$J:$J,0)-1,0),0)</f>
        <v>0</v>
      </c>
      <c r="BM146" s="11">
        <f t="shared" si="44"/>
        <v>0</v>
      </c>
    </row>
    <row r="147" spans="1:66" x14ac:dyDescent="0.3">
      <c r="A147" s="14">
        <f t="shared" si="41"/>
        <v>111060003</v>
      </c>
      <c r="B147" s="13">
        <v>11</v>
      </c>
      <c r="C147" s="12">
        <f t="shared" si="42"/>
        <v>1</v>
      </c>
      <c r="D147" s="13">
        <v>6</v>
      </c>
      <c r="E147" s="13">
        <v>0</v>
      </c>
      <c r="F147" s="12">
        <f t="shared" si="43"/>
        <v>3</v>
      </c>
      <c r="H147" s="9">
        <v>1</v>
      </c>
      <c r="I147" s="9">
        <v>3</v>
      </c>
      <c r="K147" s="9" t="s">
        <v>356</v>
      </c>
      <c r="M147" s="9">
        <v>1</v>
      </c>
      <c r="N147" s="9">
        <v>15</v>
      </c>
      <c r="O147" s="9" t="s">
        <v>1091</v>
      </c>
      <c r="P147" s="55" t="s">
        <v>1351</v>
      </c>
      <c r="Q147" s="9" t="s">
        <v>687</v>
      </c>
      <c r="T147" s="9">
        <f ca="1">IFERROR(OFFSET(ITEM_RES!$A$5,MATCH(BUILDING!S147,ITEM_RES!$J$5:$J$229,0)-1,0),0)</f>
        <v>0</v>
      </c>
      <c r="V147" s="81" t="s">
        <v>528</v>
      </c>
      <c r="W147" s="11">
        <f ca="1">IFERROR(OFFSET(ITEM_RES!$A$5,MATCH(BUILDING!V147,ITEM_RES!$J$5:$J$229,0)-1,0),0)</f>
        <v>211010501</v>
      </c>
      <c r="Y147" s="9" t="s">
        <v>501</v>
      </c>
      <c r="Z147" s="9">
        <v>3</v>
      </c>
      <c r="AB147" s="11">
        <f ca="1">IFERROR(OFFSET(MANOR_LEVEL!$B$1,MATCH(AC147-1,MANOR_LEVEL!$A:$A,0)-1,0),0)</f>
        <v>600000</v>
      </c>
      <c r="AC147" s="55">
        <v>10</v>
      </c>
      <c r="AE147" s="11">
        <f t="shared" ca="1" si="45"/>
        <v>450</v>
      </c>
      <c r="AF147" s="10">
        <f ca="1">AK147+AM147+(IFERROR(OFFSET(ITEM_RES!$R$1,MATCH(AQ147,ITEM_RES!$A:$A,0)-1,0),0)*AS147+IFERROR(OFFSET(ITEM_RES!$R$1,MATCH(AV147,ITEM_RES!$A:$A,0)-1,0),0)*AX147+IFERROR(OFFSET(ITEM_RES!$R$1,MATCH(BA147,ITEM_RES!$A:$A,0)-1,0),0)*BC147+IFERROR(OFFSET(ITEM_RES!$R$1,MATCH(BF147,ITEM_RES!$A:$A,0)-1,0),0)*BH147+IFERROR(OFFSET(ITEM_RES!$R$1,MATCH(BK147,ITEM_RES!$A:$A,0)-1,0),0)*BM147)/1000</f>
        <v>450</v>
      </c>
      <c r="AG147" s="176">
        <f t="shared" ref="AG147:AG164" ca="1" si="52">AE146+AE147</f>
        <v>750</v>
      </c>
      <c r="AI147" s="11">
        <f t="shared" si="49"/>
        <v>3</v>
      </c>
      <c r="AJ147" s="10">
        <v>3</v>
      </c>
      <c r="AK147" s="11">
        <f t="shared" si="46"/>
        <v>0</v>
      </c>
      <c r="AL147" s="10">
        <v>0</v>
      </c>
      <c r="AM147" s="11">
        <f t="shared" si="50"/>
        <v>0</v>
      </c>
      <c r="AN147" s="10">
        <v>0</v>
      </c>
      <c r="AO147" s="55">
        <f t="shared" si="51"/>
        <v>1</v>
      </c>
      <c r="AQ147" s="11">
        <f ca="1">IFERROR(OFFSET(ITEM_RES!$A$1,MATCH(AR147,ITEM_RES!$J:$J,0)-1,0),0)</f>
        <v>211020801</v>
      </c>
      <c r="AR147" s="10" t="s">
        <v>1057</v>
      </c>
      <c r="AS147" s="11">
        <v>75</v>
      </c>
      <c r="AV147" s="11">
        <f ca="1">IFERROR(OFFSET(ITEM_RES!$A$1,MATCH(AW147,ITEM_RES!$J:$J,0)-1,0),0)</f>
        <v>0</v>
      </c>
      <c r="BA147" s="11">
        <f ca="1">IFERROR(OFFSET(ITEM_RES!$A$1,MATCH(BB147,ITEM_RES!$J:$J,0)-1,0),0)</f>
        <v>0</v>
      </c>
      <c r="BF147" s="11">
        <f ca="1">IFERROR(OFFSET(ITEM_RES!$A$1,MATCH(BG147,ITEM_RES!$J:$J,0)-1,0),0)</f>
        <v>0</v>
      </c>
      <c r="BK147" s="11">
        <f ca="1">IFERROR(OFFSET(ITEM_RES!$A$1,MATCH(BL147,ITEM_RES!$J:$J,0)-1,0),0)</f>
        <v>0</v>
      </c>
      <c r="BM147" s="11">
        <f t="shared" si="44"/>
        <v>0</v>
      </c>
    </row>
    <row r="148" spans="1:66" x14ac:dyDescent="0.3">
      <c r="A148" s="14">
        <f t="shared" si="41"/>
        <v>111060004</v>
      </c>
      <c r="B148" s="13">
        <v>11</v>
      </c>
      <c r="C148" s="12">
        <f t="shared" si="42"/>
        <v>1</v>
      </c>
      <c r="D148" s="13">
        <v>6</v>
      </c>
      <c r="E148" s="13">
        <v>0</v>
      </c>
      <c r="F148" s="12">
        <f t="shared" si="43"/>
        <v>4</v>
      </c>
      <c r="H148" s="9">
        <v>1</v>
      </c>
      <c r="I148" s="9">
        <v>4</v>
      </c>
      <c r="K148" s="9" t="s">
        <v>356</v>
      </c>
      <c r="M148" s="9">
        <v>1</v>
      </c>
      <c r="N148" s="9">
        <v>15</v>
      </c>
      <c r="O148" s="9" t="s">
        <v>1092</v>
      </c>
      <c r="P148" s="55" t="s">
        <v>1351</v>
      </c>
      <c r="Q148" s="9" t="s">
        <v>687</v>
      </c>
      <c r="T148" s="9">
        <f ca="1">IFERROR(OFFSET(ITEM_RES!$A$5,MATCH(BUILDING!S148,ITEM_RES!$J$5:$J$229,0)-1,0),0)</f>
        <v>0</v>
      </c>
      <c r="V148" s="81" t="s">
        <v>528</v>
      </c>
      <c r="W148" s="11">
        <f ca="1">IFERROR(OFFSET(ITEM_RES!$A$5,MATCH(BUILDING!V148,ITEM_RES!$J$5:$J$229,0)-1,0),0)</f>
        <v>211010501</v>
      </c>
      <c r="Y148" s="9" t="s">
        <v>501</v>
      </c>
      <c r="Z148" s="9">
        <v>4</v>
      </c>
      <c r="AB148" s="11">
        <f ca="1">IFERROR(OFFSET(MANOR_LEVEL!$B$1,MATCH(AC148-1,MANOR_LEVEL!$A:$A,0)-1,0),0)</f>
        <v>600000</v>
      </c>
      <c r="AC148" s="55">
        <v>10</v>
      </c>
      <c r="AE148" s="11">
        <f t="shared" ca="1" si="45"/>
        <v>1800</v>
      </c>
      <c r="AF148" s="10">
        <f ca="1">AK148+AM148+(IFERROR(OFFSET(ITEM_RES!$R$1,MATCH(AQ148,ITEM_RES!$A:$A,0)-1,0),0)*AS148+IFERROR(OFFSET(ITEM_RES!$R$1,MATCH(AV148,ITEM_RES!$A:$A,0)-1,0),0)*AX148+IFERROR(OFFSET(ITEM_RES!$R$1,MATCH(BA148,ITEM_RES!$A:$A,0)-1,0),0)*BC148+IFERROR(OFFSET(ITEM_RES!$R$1,MATCH(BF148,ITEM_RES!$A:$A,0)-1,0),0)*BH148+IFERROR(OFFSET(ITEM_RES!$R$1,MATCH(BK148,ITEM_RES!$A:$A,0)-1,0),0)*BM148)/1000</f>
        <v>1800</v>
      </c>
      <c r="AG148" s="176">
        <f t="shared" ca="1" si="52"/>
        <v>2250</v>
      </c>
      <c r="AI148" s="11">
        <f t="shared" si="49"/>
        <v>5</v>
      </c>
      <c r="AJ148" s="10">
        <v>5</v>
      </c>
      <c r="AK148" s="11">
        <f t="shared" si="46"/>
        <v>0</v>
      </c>
      <c r="AL148" s="10">
        <v>0</v>
      </c>
      <c r="AM148" s="11">
        <f t="shared" si="50"/>
        <v>0</v>
      </c>
      <c r="AN148" s="10">
        <v>0</v>
      </c>
      <c r="AO148" s="55">
        <f t="shared" si="51"/>
        <v>1</v>
      </c>
      <c r="AQ148" s="11">
        <f ca="1">IFERROR(OFFSET(ITEM_RES!$A$1,MATCH(AR148,ITEM_RES!$J:$J,0)-1,0),0)</f>
        <v>211020801</v>
      </c>
      <c r="AR148" s="10" t="s">
        <v>1057</v>
      </c>
      <c r="AS148" s="11">
        <v>300</v>
      </c>
      <c r="AV148" s="11">
        <f ca="1">IFERROR(OFFSET(ITEM_RES!$A$1,MATCH(AW148,ITEM_RES!$J:$J,0)-1,0),0)</f>
        <v>0</v>
      </c>
      <c r="BA148" s="11">
        <f ca="1">IFERROR(OFFSET(ITEM_RES!$A$1,MATCH(BB148,ITEM_RES!$J:$J,0)-1,0),0)</f>
        <v>0</v>
      </c>
      <c r="BF148" s="11">
        <f ca="1">IFERROR(OFFSET(ITEM_RES!$A$1,MATCH(BG148,ITEM_RES!$J:$J,0)-1,0),0)</f>
        <v>0</v>
      </c>
      <c r="BK148" s="11">
        <f ca="1">IFERROR(OFFSET(ITEM_RES!$A$1,MATCH(BL148,ITEM_RES!$J:$J,0)-1,0),0)</f>
        <v>0</v>
      </c>
      <c r="BM148" s="11">
        <f t="shared" si="44"/>
        <v>0</v>
      </c>
    </row>
    <row r="149" spans="1:66" x14ac:dyDescent="0.3">
      <c r="A149" s="14">
        <f t="shared" si="41"/>
        <v>111060005</v>
      </c>
      <c r="B149" s="13">
        <v>11</v>
      </c>
      <c r="C149" s="12">
        <f t="shared" si="42"/>
        <v>1</v>
      </c>
      <c r="D149" s="13">
        <v>6</v>
      </c>
      <c r="E149" s="13">
        <v>0</v>
      </c>
      <c r="F149" s="12">
        <f t="shared" si="43"/>
        <v>5</v>
      </c>
      <c r="H149" s="9">
        <v>1</v>
      </c>
      <c r="I149" s="9">
        <v>5</v>
      </c>
      <c r="K149" s="9" t="s">
        <v>356</v>
      </c>
      <c r="M149" s="9">
        <v>1</v>
      </c>
      <c r="N149" s="9">
        <v>15</v>
      </c>
      <c r="O149" s="9" t="s">
        <v>1093</v>
      </c>
      <c r="P149" s="55" t="s">
        <v>1352</v>
      </c>
      <c r="Q149" s="9" t="s">
        <v>687</v>
      </c>
      <c r="T149" s="9">
        <f ca="1">IFERROR(OFFSET(ITEM_RES!$A$5,MATCH(BUILDING!S149,ITEM_RES!$J$5:$J$229,0)-1,0),0)</f>
        <v>0</v>
      </c>
      <c r="V149" s="81" t="s">
        <v>528</v>
      </c>
      <c r="W149" s="11">
        <f ca="1">IFERROR(OFFSET(ITEM_RES!$A$5,MATCH(BUILDING!V149,ITEM_RES!$J$5:$J$229,0)-1,0),0)</f>
        <v>211010501</v>
      </c>
      <c r="Y149" s="9" t="s">
        <v>501</v>
      </c>
      <c r="Z149" s="9">
        <v>5</v>
      </c>
      <c r="AB149" s="11">
        <f ca="1">IFERROR(OFFSET(MANOR_LEVEL!$B$1,MATCH(AC149-1,MANOR_LEVEL!$A:$A,0)-1,0),0)</f>
        <v>600000</v>
      </c>
      <c r="AC149" s="55">
        <v>10</v>
      </c>
      <c r="AE149" s="11">
        <f t="shared" ca="1" si="45"/>
        <v>8100</v>
      </c>
      <c r="AF149" s="10">
        <f ca="1">AK149+AM149+(IFERROR(OFFSET(ITEM_RES!$R$1,MATCH(AQ149,ITEM_RES!$A:$A,0)-1,0),0)*AS149+IFERROR(OFFSET(ITEM_RES!$R$1,MATCH(AV149,ITEM_RES!$A:$A,0)-1,0),0)*AX149+IFERROR(OFFSET(ITEM_RES!$R$1,MATCH(BA149,ITEM_RES!$A:$A,0)-1,0),0)*BC149+IFERROR(OFFSET(ITEM_RES!$R$1,MATCH(BF149,ITEM_RES!$A:$A,0)-1,0),0)*BH149+IFERROR(OFFSET(ITEM_RES!$R$1,MATCH(BK149,ITEM_RES!$A:$A,0)-1,0),0)*BM149)/1000</f>
        <v>8100</v>
      </c>
      <c r="AG149" s="176">
        <f t="shared" ca="1" si="52"/>
        <v>9900</v>
      </c>
      <c r="AI149" s="11">
        <f t="shared" si="49"/>
        <v>8</v>
      </c>
      <c r="AJ149" s="10">
        <v>8</v>
      </c>
      <c r="AK149" s="11">
        <f t="shared" si="46"/>
        <v>0</v>
      </c>
      <c r="AL149" s="10">
        <v>0</v>
      </c>
      <c r="AM149" s="11">
        <f t="shared" si="50"/>
        <v>0</v>
      </c>
      <c r="AN149" s="10">
        <v>0</v>
      </c>
      <c r="AO149" s="55">
        <f t="shared" si="51"/>
        <v>1</v>
      </c>
      <c r="AQ149" s="11">
        <f ca="1">IFERROR(OFFSET(ITEM_RES!$A$1,MATCH(AR149,ITEM_RES!$J:$J,0)-1,0),0)</f>
        <v>211020801</v>
      </c>
      <c r="AR149" s="10" t="s">
        <v>1057</v>
      </c>
      <c r="AS149" s="11">
        <v>1350</v>
      </c>
      <c r="AV149" s="11">
        <f ca="1">IFERROR(OFFSET(ITEM_RES!$A$1,MATCH(AW149,ITEM_RES!$J:$J,0)-1,0),0)</f>
        <v>0</v>
      </c>
      <c r="BA149" s="11">
        <f ca="1">IFERROR(OFFSET(ITEM_RES!$A$1,MATCH(BB149,ITEM_RES!$J:$J,0)-1,0),0)</f>
        <v>0</v>
      </c>
      <c r="BF149" s="11">
        <f ca="1">IFERROR(OFFSET(ITEM_RES!$A$1,MATCH(BG149,ITEM_RES!$J:$J,0)-1,0),0)</f>
        <v>0</v>
      </c>
      <c r="BK149" s="11">
        <f ca="1">IFERROR(OFFSET(ITEM_RES!$A$1,MATCH(BL149,ITEM_RES!$J:$J,0)-1,0),0)</f>
        <v>0</v>
      </c>
      <c r="BM149" s="11">
        <f t="shared" si="44"/>
        <v>0</v>
      </c>
    </row>
    <row r="150" spans="1:66" x14ac:dyDescent="0.3">
      <c r="A150" s="14">
        <f t="shared" si="41"/>
        <v>111060006</v>
      </c>
      <c r="B150" s="13">
        <v>11</v>
      </c>
      <c r="C150" s="12">
        <f t="shared" si="42"/>
        <v>1</v>
      </c>
      <c r="D150" s="13">
        <v>6</v>
      </c>
      <c r="E150" s="13">
        <v>0</v>
      </c>
      <c r="F150" s="12">
        <f t="shared" si="43"/>
        <v>6</v>
      </c>
      <c r="H150" s="9">
        <v>1</v>
      </c>
      <c r="I150" s="9">
        <v>6</v>
      </c>
      <c r="K150" s="9" t="s">
        <v>356</v>
      </c>
      <c r="M150" s="9">
        <v>1</v>
      </c>
      <c r="N150" s="9">
        <v>15</v>
      </c>
      <c r="O150" s="9" t="s">
        <v>1094</v>
      </c>
      <c r="P150" s="55" t="s">
        <v>1352</v>
      </c>
      <c r="Q150" s="9" t="s">
        <v>687</v>
      </c>
      <c r="T150" s="9">
        <f ca="1">IFERROR(OFFSET(ITEM_RES!$A$5,MATCH(BUILDING!S150,ITEM_RES!$J$5:$J$229,0)-1,0),0)</f>
        <v>0</v>
      </c>
      <c r="V150" s="81" t="s">
        <v>528</v>
      </c>
      <c r="W150" s="11">
        <f ca="1">IFERROR(OFFSET(ITEM_RES!$A$5,MATCH(BUILDING!V150,ITEM_RES!$J$5:$J$229,0)-1,0),0)</f>
        <v>211010501</v>
      </c>
      <c r="Y150" s="9" t="s">
        <v>501</v>
      </c>
      <c r="Z150" s="9">
        <v>6</v>
      </c>
      <c r="AB150" s="11">
        <f ca="1">IFERROR(OFFSET(MANOR_LEVEL!$B$1,MATCH(AC150-1,MANOR_LEVEL!$A:$A,0)-1,0),0)</f>
        <v>600000</v>
      </c>
      <c r="AC150" s="55">
        <v>10</v>
      </c>
      <c r="AE150" s="11">
        <f t="shared" ca="1" si="45"/>
        <v>27000</v>
      </c>
      <c r="AF150" s="10">
        <f ca="1">AK150+AM150+(IFERROR(OFFSET(ITEM_RES!$R$1,MATCH(AQ150,ITEM_RES!$A:$A,0)-1,0),0)*AS150+IFERROR(OFFSET(ITEM_RES!$R$1,MATCH(AV150,ITEM_RES!$A:$A,0)-1,0),0)*AX150+IFERROR(OFFSET(ITEM_RES!$R$1,MATCH(BA150,ITEM_RES!$A:$A,0)-1,0),0)*BC150+IFERROR(OFFSET(ITEM_RES!$R$1,MATCH(BF150,ITEM_RES!$A:$A,0)-1,0),0)*BH150+IFERROR(OFFSET(ITEM_RES!$R$1,MATCH(BK150,ITEM_RES!$A:$A,0)-1,0),0)*BM150)/1000</f>
        <v>27000</v>
      </c>
      <c r="AG150" s="176">
        <f t="shared" ca="1" si="52"/>
        <v>35100</v>
      </c>
      <c r="AI150" s="11">
        <f t="shared" si="49"/>
        <v>10</v>
      </c>
      <c r="AJ150" s="10">
        <v>10</v>
      </c>
      <c r="AK150" s="11">
        <f t="shared" si="46"/>
        <v>0</v>
      </c>
      <c r="AL150" s="10">
        <v>0</v>
      </c>
      <c r="AM150" s="11">
        <f t="shared" si="50"/>
        <v>0</v>
      </c>
      <c r="AN150" s="10">
        <v>0</v>
      </c>
      <c r="AO150" s="55">
        <f t="shared" si="51"/>
        <v>1</v>
      </c>
      <c r="AQ150" s="11">
        <f ca="1">IFERROR(OFFSET(ITEM_RES!$A$1,MATCH(AR150,ITEM_RES!$J:$J,0)-1,0),0)</f>
        <v>211020801</v>
      </c>
      <c r="AR150" s="10" t="s">
        <v>1057</v>
      </c>
      <c r="AS150" s="11">
        <v>4500</v>
      </c>
      <c r="AV150" s="11">
        <f ca="1">IFERROR(OFFSET(ITEM_RES!$A$1,MATCH(AW150,ITEM_RES!$J:$J,0)-1,0),0)</f>
        <v>0</v>
      </c>
      <c r="BA150" s="11">
        <f ca="1">IFERROR(OFFSET(ITEM_RES!$A$1,MATCH(BB150,ITEM_RES!$J:$J,0)-1,0),0)</f>
        <v>0</v>
      </c>
      <c r="BF150" s="11">
        <f ca="1">IFERROR(OFFSET(ITEM_RES!$A$1,MATCH(BG150,ITEM_RES!$J:$J,0)-1,0),0)</f>
        <v>0</v>
      </c>
      <c r="BK150" s="11">
        <f ca="1">IFERROR(OFFSET(ITEM_RES!$A$1,MATCH(BL150,ITEM_RES!$J:$J,0)-1,0),0)</f>
        <v>0</v>
      </c>
      <c r="BM150" s="11">
        <f t="shared" si="44"/>
        <v>0</v>
      </c>
    </row>
    <row r="151" spans="1:66" x14ac:dyDescent="0.3">
      <c r="A151" s="14">
        <f t="shared" si="41"/>
        <v>111060007</v>
      </c>
      <c r="B151" s="13">
        <v>11</v>
      </c>
      <c r="C151" s="12">
        <f t="shared" si="42"/>
        <v>1</v>
      </c>
      <c r="D151" s="13">
        <v>6</v>
      </c>
      <c r="E151" s="13">
        <v>0</v>
      </c>
      <c r="F151" s="12">
        <f t="shared" si="43"/>
        <v>7</v>
      </c>
      <c r="H151" s="9">
        <v>1</v>
      </c>
      <c r="I151" s="9">
        <v>7</v>
      </c>
      <c r="K151" s="9" t="s">
        <v>356</v>
      </c>
      <c r="M151" s="9">
        <v>1</v>
      </c>
      <c r="N151" s="9">
        <v>15</v>
      </c>
      <c r="O151" s="9" t="s">
        <v>1095</v>
      </c>
      <c r="P151" s="55" t="s">
        <v>1353</v>
      </c>
      <c r="Q151" s="9" t="s">
        <v>687</v>
      </c>
      <c r="T151" s="9">
        <f ca="1">IFERROR(OFFSET(ITEM_RES!$A$5,MATCH(BUILDING!S151,ITEM_RES!$J$5:$J$229,0)-1,0),0)</f>
        <v>0</v>
      </c>
      <c r="V151" s="81" t="s">
        <v>528</v>
      </c>
      <c r="W151" s="11">
        <f ca="1">IFERROR(OFFSET(ITEM_RES!$A$5,MATCH(BUILDING!V151,ITEM_RES!$J$5:$J$229,0)-1,0),0)</f>
        <v>211010501</v>
      </c>
      <c r="Y151" s="9" t="s">
        <v>501</v>
      </c>
      <c r="Z151" s="9">
        <v>7</v>
      </c>
      <c r="AB151" s="11">
        <f ca="1">IFERROR(OFFSET(MANOR_LEVEL!$B$1,MATCH(AC151-1,MANOR_LEVEL!$A:$A,0)-1,0),0)</f>
        <v>1200000</v>
      </c>
      <c r="AC151" s="55">
        <v>11</v>
      </c>
      <c r="AE151" s="11">
        <f t="shared" ca="1" si="45"/>
        <v>60000</v>
      </c>
      <c r="AF151" s="10">
        <f ca="1">AK151+AM151+(IFERROR(OFFSET(ITEM_RES!$R$1,MATCH(AQ151,ITEM_RES!$A:$A,0)-1,0),0)*AS151+IFERROR(OFFSET(ITEM_RES!$R$1,MATCH(AV151,ITEM_RES!$A:$A,0)-1,0),0)*AX151+IFERROR(OFFSET(ITEM_RES!$R$1,MATCH(BA151,ITEM_RES!$A:$A,0)-1,0),0)*BC151+IFERROR(OFFSET(ITEM_RES!$R$1,MATCH(BF151,ITEM_RES!$A:$A,0)-1,0),0)*BH151+IFERROR(OFFSET(ITEM_RES!$R$1,MATCH(BK151,ITEM_RES!$A:$A,0)-1,0),0)*BM151)/1000</f>
        <v>60000</v>
      </c>
      <c r="AG151" s="176">
        <f t="shared" ca="1" si="52"/>
        <v>87000</v>
      </c>
      <c r="AI151" s="11">
        <f t="shared" si="49"/>
        <v>15</v>
      </c>
      <c r="AJ151" s="10">
        <v>15</v>
      </c>
      <c r="AK151" s="11">
        <f t="shared" si="46"/>
        <v>0</v>
      </c>
      <c r="AL151" s="10">
        <v>0</v>
      </c>
      <c r="AM151" s="11">
        <f t="shared" si="50"/>
        <v>0</v>
      </c>
      <c r="AN151" s="10">
        <v>0</v>
      </c>
      <c r="AO151" s="55">
        <f t="shared" si="51"/>
        <v>1</v>
      </c>
      <c r="AQ151" s="11">
        <f ca="1">IFERROR(OFFSET(ITEM_RES!$A$1,MATCH(AR151,ITEM_RES!$J:$J,0)-1,0),0)</f>
        <v>211020801</v>
      </c>
      <c r="AR151" s="10" t="s">
        <v>1057</v>
      </c>
      <c r="AS151" s="11">
        <v>10000</v>
      </c>
      <c r="AV151" s="11">
        <f ca="1">IFERROR(OFFSET(ITEM_RES!$A$1,MATCH(AW151,ITEM_RES!$J:$J,0)-1,0),0)</f>
        <v>0</v>
      </c>
      <c r="BA151" s="11">
        <f ca="1">IFERROR(OFFSET(ITEM_RES!$A$1,MATCH(BB151,ITEM_RES!$J:$J,0)-1,0),0)</f>
        <v>0</v>
      </c>
      <c r="BF151" s="11">
        <f ca="1">IFERROR(OFFSET(ITEM_RES!$A$1,MATCH(BG151,ITEM_RES!$J:$J,0)-1,0),0)</f>
        <v>0</v>
      </c>
      <c r="BK151" s="11">
        <f ca="1">IFERROR(OFFSET(ITEM_RES!$A$1,MATCH(BL151,ITEM_RES!$J:$J,0)-1,0),0)</f>
        <v>0</v>
      </c>
      <c r="BM151" s="11">
        <f t="shared" si="44"/>
        <v>0</v>
      </c>
    </row>
    <row r="152" spans="1:66" x14ac:dyDescent="0.3">
      <c r="A152" s="14">
        <f t="shared" si="41"/>
        <v>111060008</v>
      </c>
      <c r="B152" s="13">
        <v>11</v>
      </c>
      <c r="C152" s="12">
        <f t="shared" si="42"/>
        <v>1</v>
      </c>
      <c r="D152" s="13">
        <v>6</v>
      </c>
      <c r="E152" s="13">
        <v>0</v>
      </c>
      <c r="F152" s="12">
        <f t="shared" si="43"/>
        <v>8</v>
      </c>
      <c r="H152" s="9">
        <v>1</v>
      </c>
      <c r="I152" s="9">
        <v>8</v>
      </c>
      <c r="K152" s="9" t="s">
        <v>356</v>
      </c>
      <c r="M152" s="9">
        <v>1</v>
      </c>
      <c r="N152" s="9">
        <v>15</v>
      </c>
      <c r="O152" s="9" t="s">
        <v>1095</v>
      </c>
      <c r="P152" s="55" t="s">
        <v>1353</v>
      </c>
      <c r="Q152" s="9" t="s">
        <v>687</v>
      </c>
      <c r="T152" s="9">
        <f ca="1">IFERROR(OFFSET(ITEM_RES!$A$5,MATCH(BUILDING!S152,ITEM_RES!$J$5:$J$229,0)-1,0),0)</f>
        <v>0</v>
      </c>
      <c r="V152" s="81" t="s">
        <v>528</v>
      </c>
      <c r="W152" s="11">
        <f ca="1">IFERROR(OFFSET(ITEM_RES!$A$5,MATCH(BUILDING!V152,ITEM_RES!$J$5:$J$229,0)-1,0),0)</f>
        <v>211010501</v>
      </c>
      <c r="Y152" s="9" t="s">
        <v>501</v>
      </c>
      <c r="Z152" s="9">
        <v>8</v>
      </c>
      <c r="AB152" s="11">
        <f ca="1">IFERROR(OFFSET(MANOR_LEVEL!$B$1,MATCH(AC152-1,MANOR_LEVEL!$A:$A,0)-1,0),0)</f>
        <v>3500000</v>
      </c>
      <c r="AC152" s="55">
        <v>12</v>
      </c>
      <c r="AE152" s="11">
        <f t="shared" ca="1" si="45"/>
        <v>126000</v>
      </c>
      <c r="AF152" s="10">
        <f ca="1">AK152+AM152+(IFERROR(OFFSET(ITEM_RES!$R$1,MATCH(AQ152,ITEM_RES!$A:$A,0)-1,0),0)*AS152+IFERROR(OFFSET(ITEM_RES!$R$1,MATCH(AV152,ITEM_RES!$A:$A,0)-1,0),0)*AX152+IFERROR(OFFSET(ITEM_RES!$R$1,MATCH(BA152,ITEM_RES!$A:$A,0)-1,0),0)*BC152+IFERROR(OFFSET(ITEM_RES!$R$1,MATCH(BF152,ITEM_RES!$A:$A,0)-1,0),0)*BH152+IFERROR(OFFSET(ITEM_RES!$R$1,MATCH(BK152,ITEM_RES!$A:$A,0)-1,0),0)*BM152)/1000</f>
        <v>126000</v>
      </c>
      <c r="AG152" s="176">
        <f t="shared" ca="1" si="52"/>
        <v>186000</v>
      </c>
      <c r="AI152" s="11">
        <f t="shared" si="49"/>
        <v>30</v>
      </c>
      <c r="AJ152" s="10">
        <v>30</v>
      </c>
      <c r="AK152" s="11">
        <f t="shared" si="46"/>
        <v>0</v>
      </c>
      <c r="AL152" s="10">
        <v>0</v>
      </c>
      <c r="AM152" s="11">
        <f t="shared" si="50"/>
        <v>0</v>
      </c>
      <c r="AN152" s="10">
        <v>0</v>
      </c>
      <c r="AO152" s="55">
        <f t="shared" si="51"/>
        <v>1</v>
      </c>
      <c r="AQ152" s="11">
        <f ca="1">IFERROR(OFFSET(ITEM_RES!$A$1,MATCH(AR152,ITEM_RES!$J:$J,0)-1,0),0)</f>
        <v>211020801</v>
      </c>
      <c r="AR152" s="10" t="s">
        <v>1057</v>
      </c>
      <c r="AS152" s="11">
        <v>21000</v>
      </c>
      <c r="AV152" s="11">
        <f ca="1">IFERROR(OFFSET(ITEM_RES!$A$1,MATCH(AW152,ITEM_RES!$J:$J,0)-1,0),0)</f>
        <v>0</v>
      </c>
      <c r="BA152" s="11">
        <f ca="1">IFERROR(OFFSET(ITEM_RES!$A$1,MATCH(BB152,ITEM_RES!$J:$J,0)-1,0),0)</f>
        <v>0</v>
      </c>
      <c r="BF152" s="11">
        <f ca="1">IFERROR(OFFSET(ITEM_RES!$A$1,MATCH(BG152,ITEM_RES!$J:$J,0)-1,0),0)</f>
        <v>0</v>
      </c>
      <c r="BK152" s="11">
        <f ca="1">IFERROR(OFFSET(ITEM_RES!$A$1,MATCH(BL152,ITEM_RES!$J:$J,0)-1,0),0)</f>
        <v>0</v>
      </c>
      <c r="BM152" s="11">
        <f t="shared" si="44"/>
        <v>0</v>
      </c>
    </row>
    <row r="153" spans="1:66" x14ac:dyDescent="0.3">
      <c r="A153" s="14">
        <f t="shared" ref="A153:A256" si="53">B153*10000000+C153*1000000+D153*10000+E153*100+F153</f>
        <v>111060009</v>
      </c>
      <c r="B153" s="13">
        <v>11</v>
      </c>
      <c r="C153" s="12">
        <f t="shared" ref="C153:C256" si="54">H153</f>
        <v>1</v>
      </c>
      <c r="D153" s="13">
        <v>6</v>
      </c>
      <c r="E153" s="13">
        <v>0</v>
      </c>
      <c r="F153" s="12">
        <f t="shared" ref="F153:F256" si="55">I153</f>
        <v>9</v>
      </c>
      <c r="H153" s="9">
        <v>1</v>
      </c>
      <c r="I153" s="9">
        <v>9</v>
      </c>
      <c r="K153" s="9" t="s">
        <v>356</v>
      </c>
      <c r="M153" s="9">
        <v>1</v>
      </c>
      <c r="N153" s="9">
        <v>15</v>
      </c>
      <c r="O153" s="9" t="s">
        <v>1414</v>
      </c>
      <c r="P153" s="55" t="s">
        <v>1416</v>
      </c>
      <c r="Q153" s="9" t="s">
        <v>687</v>
      </c>
      <c r="T153" s="9">
        <f ca="1">IFERROR(OFFSET(ITEM_RES!$A$5,MATCH(BUILDING!S153,ITEM_RES!$J$5:$J$229,0)-1,0),0)</f>
        <v>0</v>
      </c>
      <c r="V153" s="81" t="s">
        <v>528</v>
      </c>
      <c r="W153" s="11">
        <f ca="1">IFERROR(OFFSET(ITEM_RES!$A$5,MATCH(BUILDING!V153,ITEM_RES!$J$5:$J$229,0)-1,0),0)</f>
        <v>211010501</v>
      </c>
      <c r="Y153" s="9" t="s">
        <v>501</v>
      </c>
      <c r="Z153" s="9">
        <v>9</v>
      </c>
      <c r="AB153" s="11">
        <f ca="1">IFERROR(OFFSET(MANOR_LEVEL!$B$1,MATCH(AC153-1,MANOR_LEVEL!$A:$A,0)-1,0),0)</f>
        <v>6000000</v>
      </c>
      <c r="AC153" s="55">
        <v>13</v>
      </c>
      <c r="AE153" s="11">
        <f t="shared" ca="1" si="45"/>
        <v>234000</v>
      </c>
      <c r="AF153" s="10">
        <f ca="1">AK153+AM153+(IFERROR(OFFSET(ITEM_RES!$R$1,MATCH(AQ153,ITEM_RES!$A:$A,0)-1,0),0)*AS153+IFERROR(OFFSET(ITEM_RES!$R$1,MATCH(AV153,ITEM_RES!$A:$A,0)-1,0),0)*AX153+IFERROR(OFFSET(ITEM_RES!$R$1,MATCH(BA153,ITEM_RES!$A:$A,0)-1,0),0)*BC153+IFERROR(OFFSET(ITEM_RES!$R$1,MATCH(BF153,ITEM_RES!$A:$A,0)-1,0),0)*BH153+IFERROR(OFFSET(ITEM_RES!$R$1,MATCH(BK153,ITEM_RES!$A:$A,0)-1,0),0)*BM153)/1000</f>
        <v>234000</v>
      </c>
      <c r="AG153" s="176">
        <f t="shared" ca="1" si="52"/>
        <v>360000</v>
      </c>
      <c r="AI153" s="11">
        <f t="shared" si="49"/>
        <v>60</v>
      </c>
      <c r="AJ153" s="10">
        <v>60</v>
      </c>
      <c r="AK153" s="11">
        <f t="shared" si="46"/>
        <v>0</v>
      </c>
      <c r="AL153" s="10">
        <v>0</v>
      </c>
      <c r="AM153" s="11">
        <f t="shared" si="50"/>
        <v>0</v>
      </c>
      <c r="AN153" s="10">
        <v>0</v>
      </c>
      <c r="AO153" s="55">
        <f t="shared" si="51"/>
        <v>1</v>
      </c>
      <c r="AQ153" s="11">
        <f ca="1">IFERROR(OFFSET(ITEM_RES!$A$1,MATCH(AR153,ITEM_RES!$J:$J,0)-1,0),0)</f>
        <v>211020801</v>
      </c>
      <c r="AR153" s="10" t="s">
        <v>1057</v>
      </c>
      <c r="AS153" s="11">
        <v>39000</v>
      </c>
      <c r="AV153" s="11">
        <f ca="1">IFERROR(OFFSET(ITEM_RES!$A$1,MATCH(AW153,ITEM_RES!$J:$J,0)-1,0),0)</f>
        <v>0</v>
      </c>
      <c r="BA153" s="11">
        <f ca="1">IFERROR(OFFSET(ITEM_RES!$A$1,MATCH(BB153,ITEM_RES!$J:$J,0)-1,0),0)</f>
        <v>0</v>
      </c>
      <c r="BF153" s="11">
        <f ca="1">IFERROR(OFFSET(ITEM_RES!$A$1,MATCH(BG153,ITEM_RES!$J:$J,0)-1,0),0)</f>
        <v>0</v>
      </c>
      <c r="BK153" s="11">
        <f ca="1">IFERROR(OFFSET(ITEM_RES!$A$1,MATCH(BL153,ITEM_RES!$J:$J,0)-1,0),0)</f>
        <v>0</v>
      </c>
      <c r="BM153" s="11">
        <f t="shared" ref="BM153:BM256" si="56">IF(BN153&lt;100,ROUND(BN153,1-LEN(ROUND(BN153,0))),ROUND(BN153,2-LEN(ROUND(BN153,0))))</f>
        <v>0</v>
      </c>
    </row>
    <row r="154" spans="1:66" x14ac:dyDescent="0.3">
      <c r="A154" s="14">
        <f t="shared" si="53"/>
        <v>111060010</v>
      </c>
      <c r="B154" s="13">
        <v>11</v>
      </c>
      <c r="C154" s="12">
        <f t="shared" si="54"/>
        <v>1</v>
      </c>
      <c r="D154" s="13">
        <v>6</v>
      </c>
      <c r="E154" s="13">
        <v>0</v>
      </c>
      <c r="F154" s="12">
        <f t="shared" si="55"/>
        <v>10</v>
      </c>
      <c r="H154" s="9">
        <v>1</v>
      </c>
      <c r="I154" s="9">
        <v>10</v>
      </c>
      <c r="K154" s="9" t="s">
        <v>356</v>
      </c>
      <c r="M154" s="9">
        <v>1</v>
      </c>
      <c r="N154" s="9">
        <v>15</v>
      </c>
      <c r="O154" s="9" t="s">
        <v>1414</v>
      </c>
      <c r="P154" s="55" t="s">
        <v>1416</v>
      </c>
      <c r="Q154" s="9" t="s">
        <v>687</v>
      </c>
      <c r="T154" s="9">
        <f ca="1">IFERROR(OFFSET(ITEM_RES!$A$5,MATCH(BUILDING!S154,ITEM_RES!$J$5:$J$229,0)-1,0),0)</f>
        <v>0</v>
      </c>
      <c r="V154" s="81" t="s">
        <v>528</v>
      </c>
      <c r="W154" s="11">
        <f ca="1">IFERROR(OFFSET(ITEM_RES!$A$5,MATCH(BUILDING!V154,ITEM_RES!$J$5:$J$229,0)-1,0),0)</f>
        <v>211010501</v>
      </c>
      <c r="Y154" s="9" t="s">
        <v>501</v>
      </c>
      <c r="Z154" s="9">
        <v>10</v>
      </c>
      <c r="AB154" s="11">
        <f ca="1">IFERROR(OFFSET(MANOR_LEVEL!$B$1,MATCH(AC154-1,MANOR_LEVEL!$A:$A,0)-1,0),0)</f>
        <v>6000000</v>
      </c>
      <c r="AC154" s="55">
        <v>13</v>
      </c>
      <c r="AE154" s="11">
        <f t="shared" ref="AE154:AE217" ca="1" si="57">ROUND(AF154,0)</f>
        <v>390000</v>
      </c>
      <c r="AF154" s="10">
        <f ca="1">AK154+AM154+(IFERROR(OFFSET(ITEM_RES!$R$1,MATCH(AQ154,ITEM_RES!$A:$A,0)-1,0),0)*AS154+IFERROR(OFFSET(ITEM_RES!$R$1,MATCH(AV154,ITEM_RES!$A:$A,0)-1,0),0)*AX154+IFERROR(OFFSET(ITEM_RES!$R$1,MATCH(BA154,ITEM_RES!$A:$A,0)-1,0),0)*BC154+IFERROR(OFFSET(ITEM_RES!$R$1,MATCH(BF154,ITEM_RES!$A:$A,0)-1,0),0)*BH154+IFERROR(OFFSET(ITEM_RES!$R$1,MATCH(BK154,ITEM_RES!$A:$A,0)-1,0),0)*BM154)/1000</f>
        <v>390000</v>
      </c>
      <c r="AG154" s="176">
        <f t="shared" ca="1" si="52"/>
        <v>624000</v>
      </c>
      <c r="AI154" s="11">
        <f t="shared" si="49"/>
        <v>180</v>
      </c>
      <c r="AJ154" s="10">
        <v>180</v>
      </c>
      <c r="AK154" s="11">
        <f t="shared" ref="AK154:AK257" si="58">ROUND(AL154,0)</f>
        <v>0</v>
      </c>
      <c r="AL154" s="10">
        <v>0</v>
      </c>
      <c r="AM154" s="11">
        <f t="shared" si="50"/>
        <v>0</v>
      </c>
      <c r="AN154" s="10">
        <v>0</v>
      </c>
      <c r="AO154" s="55">
        <f t="shared" si="51"/>
        <v>1</v>
      </c>
      <c r="AQ154" s="11">
        <f ca="1">IFERROR(OFFSET(ITEM_RES!$A$1,MATCH(AR154,ITEM_RES!$J:$J,0)-1,0),0)</f>
        <v>211020801</v>
      </c>
      <c r="AR154" s="10" t="s">
        <v>1057</v>
      </c>
      <c r="AS154" s="11">
        <v>65000</v>
      </c>
      <c r="AV154" s="11">
        <f ca="1">IFERROR(OFFSET(ITEM_RES!$A$1,MATCH(AW154,ITEM_RES!$J:$J,0)-1,0),0)</f>
        <v>0</v>
      </c>
      <c r="BA154" s="11">
        <f ca="1">IFERROR(OFFSET(ITEM_RES!$A$1,MATCH(BB154,ITEM_RES!$J:$J,0)-1,0),0)</f>
        <v>0</v>
      </c>
      <c r="BF154" s="11">
        <f ca="1">IFERROR(OFFSET(ITEM_RES!$A$1,MATCH(BG154,ITEM_RES!$J:$J,0)-1,0),0)</f>
        <v>0</v>
      </c>
      <c r="BK154" s="11">
        <f ca="1">IFERROR(OFFSET(ITEM_RES!$A$1,MATCH(BL154,ITEM_RES!$J:$J,0)-1,0),0)</f>
        <v>0</v>
      </c>
      <c r="BM154" s="11">
        <f t="shared" si="56"/>
        <v>0</v>
      </c>
    </row>
    <row r="155" spans="1:66" x14ac:dyDescent="0.3">
      <c r="A155" s="14">
        <f t="shared" si="53"/>
        <v>111060011</v>
      </c>
      <c r="B155" s="13">
        <v>11</v>
      </c>
      <c r="C155" s="12">
        <f t="shared" si="54"/>
        <v>1</v>
      </c>
      <c r="D155" s="13">
        <v>6</v>
      </c>
      <c r="E155" s="13">
        <v>0</v>
      </c>
      <c r="F155" s="12">
        <f t="shared" si="55"/>
        <v>11</v>
      </c>
      <c r="H155" s="9">
        <v>1</v>
      </c>
      <c r="I155" s="9">
        <v>11</v>
      </c>
      <c r="K155" s="9" t="s">
        <v>356</v>
      </c>
      <c r="M155" s="9">
        <v>1</v>
      </c>
      <c r="N155" s="9">
        <v>15</v>
      </c>
      <c r="O155" s="9" t="s">
        <v>1413</v>
      </c>
      <c r="P155" s="55" t="s">
        <v>1415</v>
      </c>
      <c r="Q155" s="9" t="s">
        <v>687</v>
      </c>
      <c r="T155" s="9">
        <f ca="1">IFERROR(OFFSET(ITEM_RES!$A$5,MATCH(BUILDING!S155,ITEM_RES!$J$5:$J$229,0)-1,0),0)</f>
        <v>0</v>
      </c>
      <c r="V155" s="81" t="s">
        <v>528</v>
      </c>
      <c r="W155" s="11">
        <f ca="1">IFERROR(OFFSET(ITEM_RES!$A$5,MATCH(BUILDING!V155,ITEM_RES!$J$5:$J$229,0)-1,0),0)</f>
        <v>211010501</v>
      </c>
      <c r="Y155" s="9" t="s">
        <v>501</v>
      </c>
      <c r="Z155" s="9">
        <v>11</v>
      </c>
      <c r="AB155" s="11">
        <f ca="1">IFERROR(OFFSET(MANOR_LEVEL!$B$1,MATCH(AC155-1,MANOR_LEVEL!$A:$A,0)-1,0),0)</f>
        <v>10000000</v>
      </c>
      <c r="AC155" s="55">
        <v>14</v>
      </c>
      <c r="AE155" s="11">
        <f t="shared" ca="1" si="57"/>
        <v>660000</v>
      </c>
      <c r="AF155" s="10">
        <f ca="1">AK155+AM155+(IFERROR(OFFSET(ITEM_RES!$R$1,MATCH(AQ155,ITEM_RES!$A:$A,0)-1,0),0)*AS155+IFERROR(OFFSET(ITEM_RES!$R$1,MATCH(AV155,ITEM_RES!$A:$A,0)-1,0),0)*AX155+IFERROR(OFFSET(ITEM_RES!$R$1,MATCH(BA155,ITEM_RES!$A:$A,0)-1,0),0)*BC155+IFERROR(OFFSET(ITEM_RES!$R$1,MATCH(BF155,ITEM_RES!$A:$A,0)-1,0),0)*BH155+IFERROR(OFFSET(ITEM_RES!$R$1,MATCH(BK155,ITEM_RES!$A:$A,0)-1,0),0)*BM155)/1000</f>
        <v>660000</v>
      </c>
      <c r="AG155" s="176">
        <f t="shared" ca="1" si="52"/>
        <v>1050000</v>
      </c>
      <c r="AI155" s="11">
        <f t="shared" si="49"/>
        <v>360</v>
      </c>
      <c r="AJ155" s="10">
        <v>360</v>
      </c>
      <c r="AK155" s="11">
        <f t="shared" si="58"/>
        <v>0</v>
      </c>
      <c r="AL155" s="10">
        <v>0</v>
      </c>
      <c r="AM155" s="11">
        <f t="shared" si="50"/>
        <v>0</v>
      </c>
      <c r="AN155" s="10">
        <v>0</v>
      </c>
      <c r="AO155" s="55">
        <f t="shared" si="51"/>
        <v>1</v>
      </c>
      <c r="AQ155" s="11">
        <f ca="1">IFERROR(OFFSET(ITEM_RES!$A$1,MATCH(AR155,ITEM_RES!$J:$J,0)-1,0),0)</f>
        <v>211020801</v>
      </c>
      <c r="AR155" s="10" t="s">
        <v>1057</v>
      </c>
      <c r="AS155" s="11">
        <v>110000</v>
      </c>
      <c r="AV155" s="11">
        <f ca="1">IFERROR(OFFSET(ITEM_RES!$A$1,MATCH(AW155,ITEM_RES!$J:$J,0)-1,0),0)</f>
        <v>0</v>
      </c>
      <c r="BA155" s="11">
        <f ca="1">IFERROR(OFFSET(ITEM_RES!$A$1,MATCH(BB155,ITEM_RES!$J:$J,0)-1,0),0)</f>
        <v>0</v>
      </c>
      <c r="BF155" s="11">
        <f ca="1">IFERROR(OFFSET(ITEM_RES!$A$1,MATCH(BG155,ITEM_RES!$J:$J,0)-1,0),0)</f>
        <v>0</v>
      </c>
      <c r="BK155" s="11">
        <f ca="1">IFERROR(OFFSET(ITEM_RES!$A$1,MATCH(BL155,ITEM_RES!$J:$J,0)-1,0),0)</f>
        <v>0</v>
      </c>
      <c r="BM155" s="11">
        <f t="shared" si="56"/>
        <v>0</v>
      </c>
    </row>
    <row r="156" spans="1:66" x14ac:dyDescent="0.3">
      <c r="A156" s="14">
        <f t="shared" si="53"/>
        <v>111060012</v>
      </c>
      <c r="B156" s="13">
        <v>11</v>
      </c>
      <c r="C156" s="12">
        <f t="shared" si="54"/>
        <v>1</v>
      </c>
      <c r="D156" s="13">
        <v>6</v>
      </c>
      <c r="E156" s="13">
        <v>0</v>
      </c>
      <c r="F156" s="12">
        <f t="shared" si="55"/>
        <v>12</v>
      </c>
      <c r="H156" s="9">
        <v>1</v>
      </c>
      <c r="I156" s="9">
        <v>12</v>
      </c>
      <c r="K156" s="9" t="s">
        <v>356</v>
      </c>
      <c r="M156" s="9">
        <v>1</v>
      </c>
      <c r="N156" s="9">
        <v>15</v>
      </c>
      <c r="O156" s="9" t="s">
        <v>1413</v>
      </c>
      <c r="P156" s="55" t="s">
        <v>1415</v>
      </c>
      <c r="Q156" s="9" t="s">
        <v>687</v>
      </c>
      <c r="T156" s="9">
        <f ca="1">IFERROR(OFFSET(ITEM_RES!$A$5,MATCH(BUILDING!S156,ITEM_RES!$J$5:$J$229,0)-1,0),0)</f>
        <v>0</v>
      </c>
      <c r="V156" s="81" t="s">
        <v>528</v>
      </c>
      <c r="W156" s="11">
        <f ca="1">IFERROR(OFFSET(ITEM_RES!$A$5,MATCH(BUILDING!V156,ITEM_RES!$J$5:$J$229,0)-1,0),0)</f>
        <v>211010501</v>
      </c>
      <c r="Y156" s="9" t="s">
        <v>501</v>
      </c>
      <c r="Z156" s="9">
        <v>12</v>
      </c>
      <c r="AB156" s="11">
        <f ca="1">IFERROR(OFFSET(MANOR_LEVEL!$B$1,MATCH(AC156-1,MANOR_LEVEL!$A:$A,0)-1,0),0)</f>
        <v>17000000</v>
      </c>
      <c r="AC156" s="55">
        <v>15</v>
      </c>
      <c r="AE156" s="11">
        <f t="shared" ca="1" si="57"/>
        <v>1110000</v>
      </c>
      <c r="AF156" s="10">
        <f ca="1">AK156+AM156+(IFERROR(OFFSET(ITEM_RES!$R$1,MATCH(AQ156,ITEM_RES!$A:$A,0)-1,0),0)*AS156+IFERROR(OFFSET(ITEM_RES!$R$1,MATCH(AV156,ITEM_RES!$A:$A,0)-1,0),0)*AX156+IFERROR(OFFSET(ITEM_RES!$R$1,MATCH(BA156,ITEM_RES!$A:$A,0)-1,0),0)*BC156+IFERROR(OFFSET(ITEM_RES!$R$1,MATCH(BF156,ITEM_RES!$A:$A,0)-1,0),0)*BH156+IFERROR(OFFSET(ITEM_RES!$R$1,MATCH(BK156,ITEM_RES!$A:$A,0)-1,0),0)*BM156)/1000</f>
        <v>1110000</v>
      </c>
      <c r="AG156" s="176">
        <f t="shared" ca="1" si="52"/>
        <v>1770000</v>
      </c>
      <c r="AI156" s="11">
        <f t="shared" si="49"/>
        <v>540</v>
      </c>
      <c r="AJ156" s="10">
        <v>540</v>
      </c>
      <c r="AK156" s="11">
        <f t="shared" si="58"/>
        <v>0</v>
      </c>
      <c r="AL156" s="10">
        <v>0</v>
      </c>
      <c r="AM156" s="11">
        <f t="shared" si="50"/>
        <v>0</v>
      </c>
      <c r="AN156" s="10">
        <v>0</v>
      </c>
      <c r="AO156" s="55">
        <f t="shared" si="51"/>
        <v>1</v>
      </c>
      <c r="AQ156" s="11">
        <f ca="1">IFERROR(OFFSET(ITEM_RES!$A$1,MATCH(AR156,ITEM_RES!$J:$J,0)-1,0),0)</f>
        <v>211020801</v>
      </c>
      <c r="AR156" s="10" t="s">
        <v>1057</v>
      </c>
      <c r="AS156" s="11">
        <v>185000</v>
      </c>
      <c r="AV156" s="11">
        <f ca="1">IFERROR(OFFSET(ITEM_RES!$A$1,MATCH(AW156,ITEM_RES!$J:$J,0)-1,0),0)</f>
        <v>0</v>
      </c>
      <c r="BA156" s="11">
        <f ca="1">IFERROR(OFFSET(ITEM_RES!$A$1,MATCH(BB156,ITEM_RES!$J:$J,0)-1,0),0)</f>
        <v>0</v>
      </c>
      <c r="BF156" s="11">
        <f ca="1">IFERROR(OFFSET(ITEM_RES!$A$1,MATCH(BG156,ITEM_RES!$J:$J,0)-1,0),0)</f>
        <v>0</v>
      </c>
      <c r="BK156" s="11">
        <f ca="1">IFERROR(OFFSET(ITEM_RES!$A$1,MATCH(BL156,ITEM_RES!$J:$J,0)-1,0),0)</f>
        <v>0</v>
      </c>
      <c r="BM156" s="11">
        <f t="shared" si="56"/>
        <v>0</v>
      </c>
    </row>
    <row r="157" spans="1:66" x14ac:dyDescent="0.3">
      <c r="A157" s="14">
        <f t="shared" si="53"/>
        <v>111060013</v>
      </c>
      <c r="B157" s="13">
        <v>11</v>
      </c>
      <c r="C157" s="12">
        <f t="shared" si="54"/>
        <v>1</v>
      </c>
      <c r="D157" s="13">
        <v>6</v>
      </c>
      <c r="E157" s="13">
        <v>0</v>
      </c>
      <c r="F157" s="12">
        <f t="shared" si="55"/>
        <v>13</v>
      </c>
      <c r="H157" s="9">
        <v>1</v>
      </c>
      <c r="I157" s="9">
        <v>13</v>
      </c>
      <c r="K157" s="9" t="s">
        <v>356</v>
      </c>
      <c r="M157" s="9">
        <v>1</v>
      </c>
      <c r="N157" s="9">
        <v>15</v>
      </c>
      <c r="O157" s="9" t="s">
        <v>1413</v>
      </c>
      <c r="P157" s="55" t="s">
        <v>1415</v>
      </c>
      <c r="Q157" s="9" t="s">
        <v>687</v>
      </c>
      <c r="T157" s="9">
        <f ca="1">IFERROR(OFFSET(ITEM_RES!$A$5,MATCH(BUILDING!S157,ITEM_RES!$J$5:$J$229,0)-1,0),0)</f>
        <v>0</v>
      </c>
      <c r="V157" s="81" t="s">
        <v>528</v>
      </c>
      <c r="W157" s="11">
        <f ca="1">IFERROR(OFFSET(ITEM_RES!$A$5,MATCH(BUILDING!V157,ITEM_RES!$J$5:$J$229,0)-1,0),0)</f>
        <v>211010501</v>
      </c>
      <c r="Y157" s="9" t="s">
        <v>501</v>
      </c>
      <c r="Z157" s="9">
        <v>13</v>
      </c>
      <c r="AB157" s="11">
        <f ca="1">IFERROR(OFFSET(MANOR_LEVEL!$B$1,MATCH(AC157-1,MANOR_LEVEL!$A:$A,0)-1,0),0)</f>
        <v>37000000</v>
      </c>
      <c r="AC157" s="55">
        <v>16</v>
      </c>
      <c r="AE157" s="11">
        <f t="shared" ca="1" si="57"/>
        <v>3100000</v>
      </c>
      <c r="AF157" s="10">
        <f ca="1">AK157+AM157+(IFERROR(OFFSET(ITEM_RES!$R$1,MATCH(AQ157,ITEM_RES!$A:$A,0)-1,0),0)*AS157+IFERROR(OFFSET(ITEM_RES!$R$1,MATCH(AV157,ITEM_RES!$A:$A,0)-1,0),0)*AX157+IFERROR(OFFSET(ITEM_RES!$R$1,MATCH(BA157,ITEM_RES!$A:$A,0)-1,0),0)*BC157+IFERROR(OFFSET(ITEM_RES!$R$1,MATCH(BF157,ITEM_RES!$A:$A,0)-1,0),0)*BH157+IFERROR(OFFSET(ITEM_RES!$R$1,MATCH(BK157,ITEM_RES!$A:$A,0)-1,0),0)*BM157)/1000</f>
        <v>3100000</v>
      </c>
      <c r="AG157" s="176">
        <f t="shared" ca="1" si="52"/>
        <v>4210000</v>
      </c>
      <c r="AI157" s="11">
        <f t="shared" si="49"/>
        <v>720</v>
      </c>
      <c r="AJ157" s="10">
        <v>720</v>
      </c>
      <c r="AK157" s="11">
        <f t="shared" si="58"/>
        <v>0</v>
      </c>
      <c r="AL157" s="10">
        <v>0</v>
      </c>
      <c r="AM157" s="11">
        <f t="shared" si="50"/>
        <v>0</v>
      </c>
      <c r="AN157" s="10">
        <v>0</v>
      </c>
      <c r="AO157" s="55">
        <f t="shared" si="51"/>
        <v>1</v>
      </c>
      <c r="AQ157" s="11">
        <f ca="1">IFERROR(OFFSET(ITEM_RES!$A$1,MATCH(AR157,ITEM_RES!$J:$J,0)-1,0),0)</f>
        <v>211020901</v>
      </c>
      <c r="AR157" s="10" t="s">
        <v>1058</v>
      </c>
      <c r="AS157" s="11">
        <v>310000</v>
      </c>
      <c r="AV157" s="11">
        <f ca="1">IFERROR(OFFSET(ITEM_RES!$A$1,MATCH(AW157,ITEM_RES!$J:$J,0)-1,0),0)</f>
        <v>0</v>
      </c>
      <c r="BA157" s="11">
        <f ca="1">IFERROR(OFFSET(ITEM_RES!$A$1,MATCH(BB157,ITEM_RES!$J:$J,0)-1,0),0)</f>
        <v>0</v>
      </c>
      <c r="BF157" s="11">
        <f ca="1">IFERROR(OFFSET(ITEM_RES!$A$1,MATCH(BG157,ITEM_RES!$J:$J,0)-1,0),0)</f>
        <v>0</v>
      </c>
      <c r="BK157" s="11">
        <f ca="1">IFERROR(OFFSET(ITEM_RES!$A$1,MATCH(BL157,ITEM_RES!$J:$J,0)-1,0),0)</f>
        <v>0</v>
      </c>
      <c r="BM157" s="11">
        <f t="shared" si="56"/>
        <v>0</v>
      </c>
    </row>
    <row r="158" spans="1:66" x14ac:dyDescent="0.3">
      <c r="A158" s="14">
        <f t="shared" si="53"/>
        <v>111060014</v>
      </c>
      <c r="B158" s="13">
        <v>11</v>
      </c>
      <c r="C158" s="12">
        <f t="shared" si="54"/>
        <v>1</v>
      </c>
      <c r="D158" s="13">
        <v>6</v>
      </c>
      <c r="E158" s="13">
        <v>0</v>
      </c>
      <c r="F158" s="12">
        <f t="shared" si="55"/>
        <v>14</v>
      </c>
      <c r="H158" s="9">
        <v>1</v>
      </c>
      <c r="I158" s="9">
        <v>14</v>
      </c>
      <c r="K158" s="9" t="s">
        <v>356</v>
      </c>
      <c r="M158" s="9">
        <v>1</v>
      </c>
      <c r="N158" s="9">
        <v>15</v>
      </c>
      <c r="O158" s="9" t="s">
        <v>1413</v>
      </c>
      <c r="P158" s="55" t="s">
        <v>1415</v>
      </c>
      <c r="Q158" s="9" t="s">
        <v>687</v>
      </c>
      <c r="T158" s="9">
        <f ca="1">IFERROR(OFFSET(ITEM_RES!$A$5,MATCH(BUILDING!S158,ITEM_RES!$J$5:$J$229,0)-1,0),0)</f>
        <v>0</v>
      </c>
      <c r="V158" s="81" t="s">
        <v>528</v>
      </c>
      <c r="W158" s="11">
        <f ca="1">IFERROR(OFFSET(ITEM_RES!$A$5,MATCH(BUILDING!V158,ITEM_RES!$J$5:$J$229,0)-1,0),0)</f>
        <v>211010501</v>
      </c>
      <c r="Y158" s="9" t="s">
        <v>501</v>
      </c>
      <c r="Z158" s="9">
        <v>14</v>
      </c>
      <c r="AB158" s="11">
        <f ca="1">IFERROR(OFFSET(MANOR_LEVEL!$B$1,MATCH(AC158-1,MANOR_LEVEL!$A:$A,0)-1,0),0)</f>
        <v>85000000</v>
      </c>
      <c r="AC158" s="55">
        <v>17</v>
      </c>
      <c r="AE158" s="11">
        <f t="shared" ca="1" si="57"/>
        <v>4850000</v>
      </c>
      <c r="AF158" s="10">
        <f ca="1">AK158+AM158+(IFERROR(OFFSET(ITEM_RES!$R$1,MATCH(AQ158,ITEM_RES!$A:$A,0)-1,0),0)*AS158+IFERROR(OFFSET(ITEM_RES!$R$1,MATCH(AV158,ITEM_RES!$A:$A,0)-1,0),0)*AX158+IFERROR(OFFSET(ITEM_RES!$R$1,MATCH(BA158,ITEM_RES!$A:$A,0)-1,0),0)*BC158+IFERROR(OFFSET(ITEM_RES!$R$1,MATCH(BF158,ITEM_RES!$A:$A,0)-1,0),0)*BH158+IFERROR(OFFSET(ITEM_RES!$R$1,MATCH(BK158,ITEM_RES!$A:$A,0)-1,0),0)*BM158)/1000</f>
        <v>4850000</v>
      </c>
      <c r="AG158" s="176">
        <f t="shared" ca="1" si="52"/>
        <v>7950000</v>
      </c>
      <c r="AI158" s="11">
        <f t="shared" si="49"/>
        <v>900</v>
      </c>
      <c r="AJ158" s="10">
        <v>900</v>
      </c>
      <c r="AK158" s="11">
        <f t="shared" si="58"/>
        <v>0</v>
      </c>
      <c r="AL158" s="10">
        <v>0</v>
      </c>
      <c r="AM158" s="11">
        <f t="shared" si="50"/>
        <v>0</v>
      </c>
      <c r="AN158" s="10">
        <v>0</v>
      </c>
      <c r="AO158" s="55">
        <f t="shared" si="51"/>
        <v>1</v>
      </c>
      <c r="AQ158" s="11">
        <f ca="1">IFERROR(OFFSET(ITEM_RES!$A$1,MATCH(AR158,ITEM_RES!$J:$J,0)-1,0),0)</f>
        <v>211020901</v>
      </c>
      <c r="AR158" s="10" t="s">
        <v>1058</v>
      </c>
      <c r="AS158" s="11">
        <v>485000</v>
      </c>
      <c r="AV158" s="11">
        <f ca="1">IFERROR(OFFSET(ITEM_RES!$A$1,MATCH(AW158,ITEM_RES!$J:$J,0)-1,0),0)</f>
        <v>0</v>
      </c>
      <c r="BA158" s="11">
        <f ca="1">IFERROR(OFFSET(ITEM_RES!$A$1,MATCH(BB158,ITEM_RES!$J:$J,0)-1,0),0)</f>
        <v>0</v>
      </c>
      <c r="BF158" s="11">
        <f ca="1">IFERROR(OFFSET(ITEM_RES!$A$1,MATCH(BG158,ITEM_RES!$J:$J,0)-1,0),0)</f>
        <v>0</v>
      </c>
      <c r="BK158" s="11">
        <f ca="1">IFERROR(OFFSET(ITEM_RES!$A$1,MATCH(BL158,ITEM_RES!$J:$J,0)-1,0),0)</f>
        <v>0</v>
      </c>
      <c r="BM158" s="11">
        <f t="shared" si="56"/>
        <v>0</v>
      </c>
    </row>
    <row r="159" spans="1:66" x14ac:dyDescent="0.3">
      <c r="A159" s="14">
        <f t="shared" si="53"/>
        <v>111060015</v>
      </c>
      <c r="B159" s="13">
        <v>11</v>
      </c>
      <c r="C159" s="12">
        <f t="shared" si="54"/>
        <v>1</v>
      </c>
      <c r="D159" s="13">
        <v>6</v>
      </c>
      <c r="E159" s="13">
        <v>0</v>
      </c>
      <c r="F159" s="12">
        <f t="shared" si="55"/>
        <v>15</v>
      </c>
      <c r="H159" s="9">
        <v>1</v>
      </c>
      <c r="I159" s="9">
        <v>15</v>
      </c>
      <c r="K159" s="9" t="s">
        <v>356</v>
      </c>
      <c r="M159" s="9">
        <v>1</v>
      </c>
      <c r="N159" s="9">
        <v>15</v>
      </c>
      <c r="O159" s="9" t="s">
        <v>1413</v>
      </c>
      <c r="P159" s="55" t="s">
        <v>1415</v>
      </c>
      <c r="Q159" s="9" t="s">
        <v>687</v>
      </c>
      <c r="T159" s="9">
        <f ca="1">IFERROR(OFFSET(ITEM_RES!$A$5,MATCH(BUILDING!S159,ITEM_RES!$J$5:$J$229,0)-1,0),0)</f>
        <v>0</v>
      </c>
      <c r="V159" s="81" t="s">
        <v>528</v>
      </c>
      <c r="W159" s="11">
        <f ca="1">IFERROR(OFFSET(ITEM_RES!$A$5,MATCH(BUILDING!V159,ITEM_RES!$J$5:$J$229,0)-1,0),0)</f>
        <v>211010501</v>
      </c>
      <c r="Y159" s="9" t="s">
        <v>501</v>
      </c>
      <c r="Z159" s="9">
        <v>15</v>
      </c>
      <c r="AB159" s="11">
        <f ca="1">IFERROR(OFFSET(MANOR_LEVEL!$B$1,MATCH(AC159-1,MANOR_LEVEL!$A:$A,0)-1,0),0)</f>
        <v>345433600</v>
      </c>
      <c r="AC159" s="55">
        <v>18</v>
      </c>
      <c r="AE159" s="11">
        <f t="shared" ca="1" si="57"/>
        <v>10500000</v>
      </c>
      <c r="AF159" s="10">
        <f ca="1">AK159+AM159+(IFERROR(OFFSET(ITEM_RES!$R$1,MATCH(AQ159,ITEM_RES!$A:$A,0)-1,0),0)*AS159+IFERROR(OFFSET(ITEM_RES!$R$1,MATCH(AV159,ITEM_RES!$A:$A,0)-1,0),0)*AX159+IFERROR(OFFSET(ITEM_RES!$R$1,MATCH(BA159,ITEM_RES!$A:$A,0)-1,0),0)*BC159+IFERROR(OFFSET(ITEM_RES!$R$1,MATCH(BF159,ITEM_RES!$A:$A,0)-1,0),0)*BH159+IFERROR(OFFSET(ITEM_RES!$R$1,MATCH(BK159,ITEM_RES!$A:$A,0)-1,0),0)*BM159)/1000</f>
        <v>10500000</v>
      </c>
      <c r="AG159" s="176">
        <f t="shared" ca="1" si="52"/>
        <v>15350000</v>
      </c>
      <c r="AI159" s="11">
        <f t="shared" si="49"/>
        <v>1080</v>
      </c>
      <c r="AJ159" s="10">
        <v>1080</v>
      </c>
      <c r="AK159" s="11">
        <f t="shared" si="58"/>
        <v>0</v>
      </c>
      <c r="AL159" s="10">
        <v>0</v>
      </c>
      <c r="AM159" s="11">
        <f t="shared" si="50"/>
        <v>0</v>
      </c>
      <c r="AN159" s="10">
        <v>0</v>
      </c>
      <c r="AO159" s="55">
        <f t="shared" si="51"/>
        <v>1</v>
      </c>
      <c r="AQ159" s="11">
        <f ca="1">IFERROR(OFFSET(ITEM_RES!$A$1,MATCH(AR159,ITEM_RES!$J:$J,0)-1,0),0)</f>
        <v>211020901</v>
      </c>
      <c r="AR159" s="10" t="s">
        <v>1058</v>
      </c>
      <c r="AS159" s="11">
        <v>1050000</v>
      </c>
      <c r="AV159" s="11">
        <f ca="1">IFERROR(OFFSET(ITEM_RES!$A$1,MATCH(AW159,ITEM_RES!$J:$J,0)-1,0),0)</f>
        <v>0</v>
      </c>
      <c r="BA159" s="11">
        <f ca="1">IFERROR(OFFSET(ITEM_RES!$A$1,MATCH(BB159,ITEM_RES!$J:$J,0)-1,0),0)</f>
        <v>0</v>
      </c>
      <c r="BF159" s="11">
        <f ca="1">IFERROR(OFFSET(ITEM_RES!$A$1,MATCH(BG159,ITEM_RES!$J:$J,0)-1,0),0)</f>
        <v>0</v>
      </c>
      <c r="BK159" s="11">
        <f ca="1">IFERROR(OFFSET(ITEM_RES!$A$1,MATCH(BL159,ITEM_RES!$J:$J,0)-1,0),0)</f>
        <v>0</v>
      </c>
      <c r="BM159" s="11">
        <f t="shared" si="56"/>
        <v>0</v>
      </c>
    </row>
    <row r="160" spans="1:66" x14ac:dyDescent="0.3">
      <c r="A160" s="14">
        <f t="shared" si="53"/>
        <v>111060016</v>
      </c>
      <c r="B160" s="13">
        <v>11</v>
      </c>
      <c r="C160" s="12">
        <f t="shared" si="54"/>
        <v>1</v>
      </c>
      <c r="D160" s="13">
        <v>6</v>
      </c>
      <c r="E160" s="13">
        <v>0</v>
      </c>
      <c r="F160" s="12">
        <f t="shared" si="55"/>
        <v>16</v>
      </c>
      <c r="H160" s="9">
        <v>1</v>
      </c>
      <c r="I160" s="9">
        <v>16</v>
      </c>
      <c r="K160" s="9" t="s">
        <v>356</v>
      </c>
      <c r="M160" s="9">
        <v>0</v>
      </c>
      <c r="N160" s="9">
        <v>15</v>
      </c>
      <c r="O160" s="9" t="s">
        <v>1413</v>
      </c>
      <c r="P160" s="55" t="s">
        <v>1415</v>
      </c>
      <c r="Q160" s="9" t="s">
        <v>687</v>
      </c>
      <c r="T160" s="9">
        <f ca="1">IFERROR(OFFSET(ITEM_RES!$A$5,MATCH(BUILDING!S160,ITEM_RES!$J$5:$J$229,0)-1,0),0)</f>
        <v>0</v>
      </c>
      <c r="V160" s="81" t="s">
        <v>528</v>
      </c>
      <c r="W160" s="11">
        <f ca="1">IFERROR(OFFSET(ITEM_RES!$A$5,MATCH(BUILDING!V160,ITEM_RES!$J$5:$J$229,0)-1,0),0)</f>
        <v>211010501</v>
      </c>
      <c r="Y160" s="9" t="s">
        <v>501</v>
      </c>
      <c r="Z160" s="9">
        <v>16</v>
      </c>
      <c r="AB160" s="11">
        <f ca="1">IFERROR(OFFSET(MANOR_LEVEL!$B$1,MATCH(AC160-1,MANOR_LEVEL!$A:$A,0)-1,0),0)</f>
        <v>345433600</v>
      </c>
      <c r="AC160" s="55">
        <v>18</v>
      </c>
      <c r="AE160" s="11">
        <f t="shared" ca="1" si="57"/>
        <v>21500000</v>
      </c>
      <c r="AF160" s="10">
        <f ca="1">AK160+AM160+(IFERROR(OFFSET(ITEM_RES!$R$1,MATCH(AQ160,ITEM_RES!$A:$A,0)-1,0),0)*AS160+IFERROR(OFFSET(ITEM_RES!$R$1,MATCH(AV160,ITEM_RES!$A:$A,0)-1,0),0)*AX160+IFERROR(OFFSET(ITEM_RES!$R$1,MATCH(BA160,ITEM_RES!$A:$A,0)-1,0),0)*BC160+IFERROR(OFFSET(ITEM_RES!$R$1,MATCH(BF160,ITEM_RES!$A:$A,0)-1,0),0)*BH160+IFERROR(OFFSET(ITEM_RES!$R$1,MATCH(BK160,ITEM_RES!$A:$A,0)-1,0),0)*BM160)/1000</f>
        <v>21500000</v>
      </c>
      <c r="AG160" s="176">
        <f t="shared" ca="1" si="52"/>
        <v>32000000</v>
      </c>
      <c r="AI160" s="11">
        <f t="shared" si="49"/>
        <v>1260</v>
      </c>
      <c r="AJ160" s="10">
        <v>1260</v>
      </c>
      <c r="AK160" s="11">
        <f t="shared" si="58"/>
        <v>0</v>
      </c>
      <c r="AL160" s="10">
        <v>0</v>
      </c>
      <c r="AM160" s="11">
        <f t="shared" si="50"/>
        <v>0</v>
      </c>
      <c r="AN160" s="10">
        <v>0</v>
      </c>
      <c r="AO160" s="55">
        <f t="shared" si="51"/>
        <v>1</v>
      </c>
      <c r="AQ160" s="11">
        <f ca="1">IFERROR(OFFSET(ITEM_RES!$A$1,MATCH(AR160,ITEM_RES!$J:$J,0)-1,0),0)</f>
        <v>211020901</v>
      </c>
      <c r="AR160" s="10" t="s">
        <v>1058</v>
      </c>
      <c r="AS160" s="11">
        <v>2150000</v>
      </c>
      <c r="AV160" s="11">
        <f ca="1">IFERROR(OFFSET(ITEM_RES!$A$1,MATCH(AW160,ITEM_RES!$J:$J,0)-1,0),0)</f>
        <v>0</v>
      </c>
      <c r="BA160" s="11">
        <f ca="1">IFERROR(OFFSET(ITEM_RES!$A$1,MATCH(BB160,ITEM_RES!$J:$J,0)-1,0),0)</f>
        <v>0</v>
      </c>
      <c r="BF160" s="11">
        <f ca="1">IFERROR(OFFSET(ITEM_RES!$A$1,MATCH(BG160,ITEM_RES!$J:$J,0)-1,0),0)</f>
        <v>0</v>
      </c>
      <c r="BK160" s="11">
        <f ca="1">IFERROR(OFFSET(ITEM_RES!$A$1,MATCH(BL160,ITEM_RES!$J:$J,0)-1,0),0)</f>
        <v>0</v>
      </c>
      <c r="BM160" s="11">
        <f t="shared" si="56"/>
        <v>0</v>
      </c>
    </row>
    <row r="161" spans="1:66" x14ac:dyDescent="0.3">
      <c r="A161" s="14">
        <f t="shared" si="53"/>
        <v>111060017</v>
      </c>
      <c r="B161" s="13">
        <v>11</v>
      </c>
      <c r="C161" s="12">
        <f t="shared" si="54"/>
        <v>1</v>
      </c>
      <c r="D161" s="13">
        <v>6</v>
      </c>
      <c r="E161" s="13">
        <v>0</v>
      </c>
      <c r="F161" s="12">
        <f t="shared" si="55"/>
        <v>17</v>
      </c>
      <c r="H161" s="9">
        <v>1</v>
      </c>
      <c r="I161" s="9">
        <v>17</v>
      </c>
      <c r="K161" s="9" t="s">
        <v>356</v>
      </c>
      <c r="M161" s="9">
        <v>0</v>
      </c>
      <c r="N161" s="9">
        <v>15</v>
      </c>
      <c r="O161" s="9" t="s">
        <v>1413</v>
      </c>
      <c r="P161" s="55" t="s">
        <v>1415</v>
      </c>
      <c r="Q161" s="9" t="s">
        <v>687</v>
      </c>
      <c r="T161" s="9">
        <f ca="1">IFERROR(OFFSET(ITEM_RES!$A$5,MATCH(BUILDING!S161,ITEM_RES!$J$5:$J$229,0)-1,0),0)</f>
        <v>0</v>
      </c>
      <c r="V161" s="81" t="s">
        <v>528</v>
      </c>
      <c r="W161" s="11">
        <f ca="1">IFERROR(OFFSET(ITEM_RES!$A$5,MATCH(BUILDING!V161,ITEM_RES!$J$5:$J$229,0)-1,0),0)</f>
        <v>211010501</v>
      </c>
      <c r="Y161" s="9" t="s">
        <v>501</v>
      </c>
      <c r="Z161" s="9">
        <v>17</v>
      </c>
      <c r="AB161" s="11">
        <f ca="1">IFERROR(OFFSET(MANOR_LEVEL!$B$1,MATCH(AC161-1,MANOR_LEVEL!$A:$A,0)-1,0),0)</f>
        <v>345433600</v>
      </c>
      <c r="AC161" s="55">
        <v>18</v>
      </c>
      <c r="AE161" s="11">
        <f t="shared" ca="1" si="57"/>
        <v>40000000</v>
      </c>
      <c r="AF161" s="10">
        <f ca="1">AK161+AM161+(IFERROR(OFFSET(ITEM_RES!$R$1,MATCH(AQ161,ITEM_RES!$A:$A,0)-1,0),0)*AS161+IFERROR(OFFSET(ITEM_RES!$R$1,MATCH(AV161,ITEM_RES!$A:$A,0)-1,0),0)*AX161+IFERROR(OFFSET(ITEM_RES!$R$1,MATCH(BA161,ITEM_RES!$A:$A,0)-1,0),0)*BC161+IFERROR(OFFSET(ITEM_RES!$R$1,MATCH(BF161,ITEM_RES!$A:$A,0)-1,0),0)*BH161+IFERROR(OFFSET(ITEM_RES!$R$1,MATCH(BK161,ITEM_RES!$A:$A,0)-1,0),0)*BM161)/1000</f>
        <v>40000000</v>
      </c>
      <c r="AG161" s="176">
        <f t="shared" ca="1" si="52"/>
        <v>61500000</v>
      </c>
      <c r="AI161" s="11">
        <f t="shared" si="49"/>
        <v>1440</v>
      </c>
      <c r="AJ161" s="10">
        <v>1440</v>
      </c>
      <c r="AK161" s="11">
        <f t="shared" si="58"/>
        <v>0</v>
      </c>
      <c r="AL161" s="10">
        <v>0</v>
      </c>
      <c r="AM161" s="11">
        <f t="shared" si="50"/>
        <v>0</v>
      </c>
      <c r="AN161" s="10">
        <v>0</v>
      </c>
      <c r="AO161" s="55">
        <f t="shared" si="51"/>
        <v>1</v>
      </c>
      <c r="AQ161" s="11">
        <f ca="1">IFERROR(OFFSET(ITEM_RES!$A$1,MATCH(AR161,ITEM_RES!$J:$J,0)-1,0),0)</f>
        <v>211020901</v>
      </c>
      <c r="AR161" s="10" t="s">
        <v>1058</v>
      </c>
      <c r="AS161" s="11">
        <v>4000000</v>
      </c>
      <c r="AV161" s="11">
        <f ca="1">IFERROR(OFFSET(ITEM_RES!$A$1,MATCH(AW161,ITEM_RES!$J:$J,0)-1,0),0)</f>
        <v>0</v>
      </c>
      <c r="BA161" s="11">
        <f ca="1">IFERROR(OFFSET(ITEM_RES!$A$1,MATCH(BB161,ITEM_RES!$J:$J,0)-1,0),0)</f>
        <v>0</v>
      </c>
      <c r="BF161" s="11">
        <f ca="1">IFERROR(OFFSET(ITEM_RES!$A$1,MATCH(BG161,ITEM_RES!$J:$J,0)-1,0),0)</f>
        <v>0</v>
      </c>
      <c r="BK161" s="11">
        <f ca="1">IFERROR(OFFSET(ITEM_RES!$A$1,MATCH(BL161,ITEM_RES!$J:$J,0)-1,0),0)</f>
        <v>0</v>
      </c>
      <c r="BM161" s="11">
        <f t="shared" si="56"/>
        <v>0</v>
      </c>
    </row>
    <row r="162" spans="1:66" x14ac:dyDescent="0.3">
      <c r="A162" s="14">
        <f t="shared" si="53"/>
        <v>111060018</v>
      </c>
      <c r="B162" s="13">
        <v>11</v>
      </c>
      <c r="C162" s="12">
        <f t="shared" si="54"/>
        <v>1</v>
      </c>
      <c r="D162" s="13">
        <v>6</v>
      </c>
      <c r="E162" s="13">
        <v>0</v>
      </c>
      <c r="F162" s="12">
        <f t="shared" si="55"/>
        <v>18</v>
      </c>
      <c r="H162" s="9">
        <v>1</v>
      </c>
      <c r="I162" s="9">
        <v>18</v>
      </c>
      <c r="K162" s="9" t="s">
        <v>356</v>
      </c>
      <c r="M162" s="9">
        <v>0</v>
      </c>
      <c r="N162" s="9">
        <v>15</v>
      </c>
      <c r="O162" s="9" t="s">
        <v>1413</v>
      </c>
      <c r="P162" s="55" t="s">
        <v>1415</v>
      </c>
      <c r="Q162" s="9" t="s">
        <v>687</v>
      </c>
      <c r="T162" s="9">
        <f ca="1">IFERROR(OFFSET(ITEM_RES!$A$5,MATCH(BUILDING!S162,ITEM_RES!$J$5:$J$229,0)-1,0),0)</f>
        <v>0</v>
      </c>
      <c r="V162" s="81" t="s">
        <v>528</v>
      </c>
      <c r="W162" s="11">
        <f ca="1">IFERROR(OFFSET(ITEM_RES!$A$5,MATCH(BUILDING!V162,ITEM_RES!$J$5:$J$229,0)-1,0),0)</f>
        <v>211010501</v>
      </c>
      <c r="Y162" s="9" t="s">
        <v>501</v>
      </c>
      <c r="Z162" s="9">
        <v>18</v>
      </c>
      <c r="AB162" s="11">
        <f ca="1">IFERROR(OFFSET(MANOR_LEVEL!$B$1,MATCH(AC162-1,MANOR_LEVEL!$A:$A,0)-1,0),0)</f>
        <v>345433600</v>
      </c>
      <c r="AC162" s="55">
        <v>18</v>
      </c>
      <c r="AE162" s="11">
        <f t="shared" ca="1" si="57"/>
        <v>65000000</v>
      </c>
      <c r="AF162" s="10">
        <f ca="1">AK162+AM162+(IFERROR(OFFSET(ITEM_RES!$R$1,MATCH(AQ162,ITEM_RES!$A:$A,0)-1,0),0)*AS162+IFERROR(OFFSET(ITEM_RES!$R$1,MATCH(AV162,ITEM_RES!$A:$A,0)-1,0),0)*AX162+IFERROR(OFFSET(ITEM_RES!$R$1,MATCH(BA162,ITEM_RES!$A:$A,0)-1,0),0)*BC162+IFERROR(OFFSET(ITEM_RES!$R$1,MATCH(BF162,ITEM_RES!$A:$A,0)-1,0),0)*BH162+IFERROR(OFFSET(ITEM_RES!$R$1,MATCH(BK162,ITEM_RES!$A:$A,0)-1,0),0)*BM162)/1000</f>
        <v>65000000</v>
      </c>
      <c r="AG162" s="176">
        <f t="shared" ca="1" si="52"/>
        <v>105000000</v>
      </c>
      <c r="AI162" s="11">
        <f t="shared" si="49"/>
        <v>1620</v>
      </c>
      <c r="AJ162" s="10">
        <v>1620</v>
      </c>
      <c r="AK162" s="11">
        <f t="shared" si="58"/>
        <v>0</v>
      </c>
      <c r="AL162" s="10">
        <v>0</v>
      </c>
      <c r="AM162" s="11">
        <f t="shared" si="50"/>
        <v>0</v>
      </c>
      <c r="AN162" s="10">
        <v>0</v>
      </c>
      <c r="AO162" s="55">
        <f t="shared" si="51"/>
        <v>1</v>
      </c>
      <c r="AQ162" s="11">
        <f ca="1">IFERROR(OFFSET(ITEM_RES!$A$1,MATCH(AR162,ITEM_RES!$J:$J,0)-1,0),0)</f>
        <v>211020901</v>
      </c>
      <c r="AR162" s="10" t="s">
        <v>1058</v>
      </c>
      <c r="AS162" s="11">
        <v>6500000</v>
      </c>
      <c r="AV162" s="11">
        <f ca="1">IFERROR(OFFSET(ITEM_RES!$A$1,MATCH(AW162,ITEM_RES!$J:$J,0)-1,0),0)</f>
        <v>0</v>
      </c>
      <c r="BA162" s="11">
        <f ca="1">IFERROR(OFFSET(ITEM_RES!$A$1,MATCH(BB162,ITEM_RES!$J:$J,0)-1,0),0)</f>
        <v>0</v>
      </c>
      <c r="BF162" s="11">
        <f ca="1">IFERROR(OFFSET(ITEM_RES!$A$1,MATCH(BG162,ITEM_RES!$J:$J,0)-1,0),0)</f>
        <v>0</v>
      </c>
      <c r="BK162" s="11">
        <f ca="1">IFERROR(OFFSET(ITEM_RES!$A$1,MATCH(BL162,ITEM_RES!$J:$J,0)-1,0),0)</f>
        <v>0</v>
      </c>
      <c r="BM162" s="11">
        <f t="shared" si="56"/>
        <v>0</v>
      </c>
    </row>
    <row r="163" spans="1:66" x14ac:dyDescent="0.3">
      <c r="A163" s="14">
        <f t="shared" si="53"/>
        <v>111060019</v>
      </c>
      <c r="B163" s="13">
        <v>11</v>
      </c>
      <c r="C163" s="12">
        <f t="shared" si="54"/>
        <v>1</v>
      </c>
      <c r="D163" s="13">
        <v>6</v>
      </c>
      <c r="E163" s="13">
        <v>0</v>
      </c>
      <c r="F163" s="12">
        <f t="shared" si="55"/>
        <v>19</v>
      </c>
      <c r="H163" s="9">
        <v>1</v>
      </c>
      <c r="I163" s="9">
        <v>19</v>
      </c>
      <c r="K163" s="9" t="s">
        <v>356</v>
      </c>
      <c r="M163" s="9">
        <v>0</v>
      </c>
      <c r="N163" s="9">
        <v>15</v>
      </c>
      <c r="O163" s="9" t="s">
        <v>1413</v>
      </c>
      <c r="P163" s="55" t="s">
        <v>1415</v>
      </c>
      <c r="Q163" s="9" t="s">
        <v>687</v>
      </c>
      <c r="T163" s="9">
        <f ca="1">IFERROR(OFFSET(ITEM_RES!$A$5,MATCH(BUILDING!S163,ITEM_RES!$J$5:$J$229,0)-1,0),0)</f>
        <v>0</v>
      </c>
      <c r="V163" s="81" t="s">
        <v>528</v>
      </c>
      <c r="W163" s="11">
        <f ca="1">IFERROR(OFFSET(ITEM_RES!$A$5,MATCH(BUILDING!V163,ITEM_RES!$J$5:$J$229,0)-1,0),0)</f>
        <v>211010501</v>
      </c>
      <c r="Y163" s="9" t="s">
        <v>501</v>
      </c>
      <c r="Z163" s="9">
        <v>19</v>
      </c>
      <c r="AB163" s="11">
        <f ca="1">IFERROR(OFFSET(MANOR_LEVEL!$B$1,MATCH(AC163-1,MANOR_LEVEL!$A:$A,0)-1,0),0)</f>
        <v>345433600</v>
      </c>
      <c r="AC163" s="55">
        <v>18</v>
      </c>
      <c r="AE163" s="11">
        <f t="shared" ca="1" si="57"/>
        <v>100000000</v>
      </c>
      <c r="AF163" s="10">
        <f ca="1">AK163+AM163+(IFERROR(OFFSET(ITEM_RES!$R$1,MATCH(AQ163,ITEM_RES!$A:$A,0)-1,0),0)*AS163+IFERROR(OFFSET(ITEM_RES!$R$1,MATCH(AV163,ITEM_RES!$A:$A,0)-1,0),0)*AX163+IFERROR(OFFSET(ITEM_RES!$R$1,MATCH(BA163,ITEM_RES!$A:$A,0)-1,0),0)*BC163+IFERROR(OFFSET(ITEM_RES!$R$1,MATCH(BF163,ITEM_RES!$A:$A,0)-1,0),0)*BH163+IFERROR(OFFSET(ITEM_RES!$R$1,MATCH(BK163,ITEM_RES!$A:$A,0)-1,0),0)*BM163)/1000</f>
        <v>100000000</v>
      </c>
      <c r="AG163" s="176">
        <f t="shared" ca="1" si="52"/>
        <v>165000000</v>
      </c>
      <c r="AI163" s="11">
        <f t="shared" si="49"/>
        <v>1800</v>
      </c>
      <c r="AJ163" s="10">
        <v>1800</v>
      </c>
      <c r="AK163" s="11">
        <f t="shared" si="58"/>
        <v>0</v>
      </c>
      <c r="AL163" s="10">
        <v>0</v>
      </c>
      <c r="AM163" s="11">
        <f t="shared" si="50"/>
        <v>0</v>
      </c>
      <c r="AN163" s="10">
        <v>0</v>
      </c>
      <c r="AO163" s="55">
        <f t="shared" si="51"/>
        <v>1</v>
      </c>
      <c r="AQ163" s="11">
        <f ca="1">IFERROR(OFFSET(ITEM_RES!$A$1,MATCH(AR163,ITEM_RES!$J:$J,0)-1,0),0)</f>
        <v>211020901</v>
      </c>
      <c r="AR163" s="10" t="s">
        <v>1058</v>
      </c>
      <c r="AS163" s="11">
        <v>10000000</v>
      </c>
      <c r="AV163" s="11">
        <f ca="1">IFERROR(OFFSET(ITEM_RES!$A$1,MATCH(AW163,ITEM_RES!$J:$J,0)-1,0),0)</f>
        <v>0</v>
      </c>
      <c r="BA163" s="11">
        <f ca="1">IFERROR(OFFSET(ITEM_RES!$A$1,MATCH(BB163,ITEM_RES!$J:$J,0)-1,0),0)</f>
        <v>0</v>
      </c>
      <c r="BF163" s="11">
        <f ca="1">IFERROR(OFFSET(ITEM_RES!$A$1,MATCH(BG163,ITEM_RES!$J:$J,0)-1,0),0)</f>
        <v>0</v>
      </c>
      <c r="BK163" s="11">
        <f ca="1">IFERROR(OFFSET(ITEM_RES!$A$1,MATCH(BL163,ITEM_RES!$J:$J,0)-1,0),0)</f>
        <v>0</v>
      </c>
      <c r="BM163" s="11">
        <f t="shared" si="56"/>
        <v>0</v>
      </c>
    </row>
    <row r="164" spans="1:66" ht="17.25" thickBot="1" x14ac:dyDescent="0.35">
      <c r="A164" s="14">
        <f t="shared" si="53"/>
        <v>111060020</v>
      </c>
      <c r="B164" s="13">
        <v>11</v>
      </c>
      <c r="C164" s="12">
        <f t="shared" si="54"/>
        <v>1</v>
      </c>
      <c r="D164" s="13">
        <v>6</v>
      </c>
      <c r="E164" s="13">
        <v>0</v>
      </c>
      <c r="F164" s="12">
        <f t="shared" si="55"/>
        <v>20</v>
      </c>
      <c r="H164" s="9">
        <v>1</v>
      </c>
      <c r="I164" s="9">
        <v>20</v>
      </c>
      <c r="K164" s="9" t="s">
        <v>356</v>
      </c>
      <c r="M164" s="9">
        <v>0</v>
      </c>
      <c r="N164" s="9">
        <v>15</v>
      </c>
      <c r="O164" s="9" t="s">
        <v>1413</v>
      </c>
      <c r="P164" s="55" t="s">
        <v>1415</v>
      </c>
      <c r="Q164" s="9" t="s">
        <v>687</v>
      </c>
      <c r="T164" s="9">
        <f ca="1">IFERROR(OFFSET(ITEM_RES!$A$5,MATCH(BUILDING!S164,ITEM_RES!$J$5:$J$229,0)-1,0),0)</f>
        <v>0</v>
      </c>
      <c r="V164" s="81" t="s">
        <v>528</v>
      </c>
      <c r="W164" s="11">
        <f ca="1">IFERROR(OFFSET(ITEM_RES!$A$5,MATCH(BUILDING!V164,ITEM_RES!$J$5:$J$229,0)-1,0),0)</f>
        <v>211010501</v>
      </c>
      <c r="Y164" s="9" t="s">
        <v>501</v>
      </c>
      <c r="Z164" s="9">
        <v>20</v>
      </c>
      <c r="AB164" s="11">
        <f ca="1">IFERROR(OFFSET(MANOR_LEVEL!$B$1,MATCH(AC164-1,MANOR_LEVEL!$A:$A,0)-1,0),0)</f>
        <v>629433600</v>
      </c>
      <c r="AC164" s="55">
        <v>19</v>
      </c>
      <c r="AE164" s="11">
        <f t="shared" ca="1" si="57"/>
        <v>160000000</v>
      </c>
      <c r="AF164" s="10">
        <f ca="1">AK164+AM164+(IFERROR(OFFSET(ITEM_RES!$R$1,MATCH(AQ164,ITEM_RES!$A:$A,0)-1,0),0)*AS164+IFERROR(OFFSET(ITEM_RES!$R$1,MATCH(AV164,ITEM_RES!$A:$A,0)-1,0),0)*AX164+IFERROR(OFFSET(ITEM_RES!$R$1,MATCH(BA164,ITEM_RES!$A:$A,0)-1,0),0)*BC164+IFERROR(OFFSET(ITEM_RES!$R$1,MATCH(BF164,ITEM_RES!$A:$A,0)-1,0),0)*BH164+IFERROR(OFFSET(ITEM_RES!$R$1,MATCH(BK164,ITEM_RES!$A:$A,0)-1,0),0)*BM164)/1000</f>
        <v>160000000</v>
      </c>
      <c r="AG164" s="176">
        <f t="shared" ca="1" si="52"/>
        <v>260000000</v>
      </c>
      <c r="AI164" s="11">
        <f t="shared" si="49"/>
        <v>1980</v>
      </c>
      <c r="AJ164" s="10">
        <v>1980</v>
      </c>
      <c r="AK164" s="11">
        <f t="shared" si="58"/>
        <v>0</v>
      </c>
      <c r="AL164" s="10">
        <v>0</v>
      </c>
      <c r="AM164" s="11">
        <f t="shared" si="50"/>
        <v>0</v>
      </c>
      <c r="AN164" s="10">
        <v>0</v>
      </c>
      <c r="AO164" s="55">
        <f t="shared" si="51"/>
        <v>1</v>
      </c>
      <c r="AQ164" s="11">
        <f ca="1">IFERROR(OFFSET(ITEM_RES!$A$1,MATCH(AR164,ITEM_RES!$J:$J,0)-1,0),0)</f>
        <v>211020901</v>
      </c>
      <c r="AR164" s="10" t="s">
        <v>1058</v>
      </c>
      <c r="AS164" s="11">
        <v>16000000</v>
      </c>
      <c r="AV164" s="11">
        <f ca="1">IFERROR(OFFSET(ITEM_RES!$A$1,MATCH(AW164,ITEM_RES!$J:$J,0)-1,0),0)</f>
        <v>0</v>
      </c>
      <c r="BA164" s="11">
        <f ca="1">IFERROR(OFFSET(ITEM_RES!$A$1,MATCH(BB164,ITEM_RES!$J:$J,0)-1,0),0)</f>
        <v>0</v>
      </c>
      <c r="BF164" s="11">
        <f ca="1">IFERROR(OFFSET(ITEM_RES!$A$1,MATCH(BG164,ITEM_RES!$J:$J,0)-1,0),0)</f>
        <v>0</v>
      </c>
      <c r="BK164" s="11">
        <f ca="1">IFERROR(OFFSET(ITEM_RES!$A$1,MATCH(BL164,ITEM_RES!$J:$J,0)-1,0),0)</f>
        <v>0</v>
      </c>
      <c r="BM164" s="11">
        <f t="shared" si="56"/>
        <v>0</v>
      </c>
    </row>
    <row r="165" spans="1:66" s="15" customFormat="1" x14ac:dyDescent="0.3">
      <c r="A165" s="21">
        <f t="shared" si="53"/>
        <v>112030001</v>
      </c>
      <c r="B165" s="20">
        <v>11</v>
      </c>
      <c r="C165" s="19">
        <f t="shared" si="54"/>
        <v>2</v>
      </c>
      <c r="D165" s="20">
        <v>3</v>
      </c>
      <c r="E165" s="20">
        <v>0</v>
      </c>
      <c r="F165" s="19">
        <f t="shared" si="55"/>
        <v>1</v>
      </c>
      <c r="G165" s="76"/>
      <c r="H165" s="16">
        <v>2</v>
      </c>
      <c r="I165" s="16">
        <v>1</v>
      </c>
      <c r="J165" s="76"/>
      <c r="K165" s="16" t="s">
        <v>358</v>
      </c>
      <c r="L165" s="16">
        <v>9</v>
      </c>
      <c r="M165" s="16">
        <v>1</v>
      </c>
      <c r="N165" s="16">
        <v>15</v>
      </c>
      <c r="O165" s="16" t="s">
        <v>738</v>
      </c>
      <c r="P165" s="56" t="s">
        <v>1354</v>
      </c>
      <c r="Q165" s="16" t="s">
        <v>670</v>
      </c>
      <c r="R165" s="76"/>
      <c r="S165" s="83" t="s">
        <v>528</v>
      </c>
      <c r="T165" s="16">
        <f ca="1">IFERROR(OFFSET(ITEM_RES!$A$5,MATCH(BUILDING!S165,ITEM_RES!$J$5:$J$229,0)-1,0),0)</f>
        <v>211010501</v>
      </c>
      <c r="U165" s="18">
        <v>1</v>
      </c>
      <c r="V165" s="83" t="s">
        <v>529</v>
      </c>
      <c r="W165" s="18">
        <f ca="1">IFERROR(OFFSET(ITEM_RES!$A$5,MATCH(BUILDING!V165,ITEM_RES!$J$5:$J$229,0)-1,0),0)</f>
        <v>211010601</v>
      </c>
      <c r="X165" s="76"/>
      <c r="Y165" s="16" t="s">
        <v>502</v>
      </c>
      <c r="Z165" s="16">
        <v>1</v>
      </c>
      <c r="AA165" s="76"/>
      <c r="AB165" s="18">
        <f ca="1">IFERROR(OFFSET(MANOR_LEVEL!$B$1,MATCH(AC165-1,MANOR_LEVEL!$A:$A,0)-1,0),0)</f>
        <v>3500000</v>
      </c>
      <c r="AC165" s="56">
        <v>12</v>
      </c>
      <c r="AD165" s="76"/>
      <c r="AE165" s="18">
        <f t="shared" ca="1" si="57"/>
        <v>1150</v>
      </c>
      <c r="AF165" s="17">
        <f ca="1">AK165+AM165+(IFERROR(OFFSET(ITEM_RES!$R$1,MATCH(AQ165,ITEM_RES!$A:$A,0)-1,0),0)*AS165+IFERROR(OFFSET(ITEM_RES!$R$1,MATCH(AV165,ITEM_RES!$A:$A,0)-1,0),0)*AX165+IFERROR(OFFSET(ITEM_RES!$R$1,MATCH(BA165,ITEM_RES!$A:$A,0)-1,0),0)*BC165+IFERROR(OFFSET(ITEM_RES!$R$1,MATCH(BF165,ITEM_RES!$A:$A,0)-1,0),0)*BH165+IFERROR(OFFSET(ITEM_RES!$R$1,MATCH(BK165,ITEM_RES!$A:$A,0)-1,0),0)*BM165)/1000</f>
        <v>1150</v>
      </c>
      <c r="AG165" s="178">
        <f ca="1">AE165</f>
        <v>1150</v>
      </c>
      <c r="AH165" s="76"/>
      <c r="AI165" s="18">
        <f t="shared" si="49"/>
        <v>2</v>
      </c>
      <c r="AJ165" s="17">
        <v>2</v>
      </c>
      <c r="AK165" s="18">
        <f t="shared" si="58"/>
        <v>0</v>
      </c>
      <c r="AL165" s="17">
        <v>0</v>
      </c>
      <c r="AM165" s="18">
        <f t="shared" si="50"/>
        <v>0</v>
      </c>
      <c r="AN165" s="17">
        <v>0</v>
      </c>
      <c r="AO165" s="56">
        <f t="shared" si="51"/>
        <v>2</v>
      </c>
      <c r="AP165" s="18"/>
      <c r="AQ165" s="18">
        <f ca="1">IFERROR(OFFSET(ITEM_RES!$A$1,MATCH(AR165,ITEM_RES!$J:$J,0)-1,0),0)</f>
        <v>211020801</v>
      </c>
      <c r="AR165" s="17" t="s">
        <v>1057</v>
      </c>
      <c r="AS165" s="18">
        <v>25</v>
      </c>
      <c r="AT165" s="17"/>
      <c r="AU165" s="18"/>
      <c r="AV165" s="18">
        <f ca="1">IFERROR(OFFSET(ITEM_RES!$A$1,MATCH(AW165,ITEM_RES!$J:$J,0)-1,0),0)</f>
        <v>0</v>
      </c>
      <c r="AW165" s="17"/>
      <c r="AX165" s="18"/>
      <c r="AY165" s="17"/>
      <c r="AZ165" s="18"/>
      <c r="BA165" s="18">
        <f ca="1">IFERROR(OFFSET(ITEM_RES!$A$1,MATCH(BB165,ITEM_RES!$J:$J,0)-1,0),0)</f>
        <v>213010101</v>
      </c>
      <c r="BB165" s="17" t="s">
        <v>440</v>
      </c>
      <c r="BC165" s="18">
        <v>1</v>
      </c>
      <c r="BD165" s="17"/>
      <c r="BE165" s="18"/>
      <c r="BF165" s="18">
        <f ca="1">IFERROR(OFFSET(ITEM_RES!$A$1,MATCH(BG165,ITEM_RES!$J:$J,0)-1,0),0)</f>
        <v>0</v>
      </c>
      <c r="BG165" s="17"/>
      <c r="BH165" s="18"/>
      <c r="BI165" s="17"/>
      <c r="BJ165" s="18"/>
      <c r="BK165" s="18">
        <f ca="1">IFERROR(OFFSET(ITEM_RES!$A$1,MATCH(BL165,ITEM_RES!$J:$J,0)-1,0),0)</f>
        <v>0</v>
      </c>
      <c r="BL165" s="17"/>
      <c r="BM165" s="18">
        <f t="shared" si="56"/>
        <v>0</v>
      </c>
      <c r="BN165" s="17"/>
    </row>
    <row r="166" spans="1:66" x14ac:dyDescent="0.3">
      <c r="A166" s="14">
        <f t="shared" si="53"/>
        <v>112030002</v>
      </c>
      <c r="B166" s="13">
        <v>11</v>
      </c>
      <c r="C166" s="12">
        <f t="shared" si="54"/>
        <v>2</v>
      </c>
      <c r="D166" s="13">
        <v>3</v>
      </c>
      <c r="E166" s="13">
        <v>0</v>
      </c>
      <c r="F166" s="12">
        <f t="shared" si="55"/>
        <v>2</v>
      </c>
      <c r="H166" s="9">
        <v>2</v>
      </c>
      <c r="I166" s="9">
        <v>2</v>
      </c>
      <c r="K166" s="9" t="s">
        <v>358</v>
      </c>
      <c r="M166" s="9">
        <v>1</v>
      </c>
      <c r="N166" s="9">
        <v>15</v>
      </c>
      <c r="O166" s="9" t="s">
        <v>738</v>
      </c>
      <c r="P166" s="55" t="s">
        <v>1354</v>
      </c>
      <c r="Q166" s="9" t="s">
        <v>670</v>
      </c>
      <c r="S166" s="81" t="s">
        <v>528</v>
      </c>
      <c r="T166" s="9">
        <f ca="1">IFERROR(OFFSET(ITEM_RES!$A$5,MATCH(BUILDING!S166,ITEM_RES!$J$5:$J$229,0)-1,0),0)</f>
        <v>211010501</v>
      </c>
      <c r="U166" s="11">
        <v>1</v>
      </c>
      <c r="V166" s="81" t="s">
        <v>529</v>
      </c>
      <c r="W166" s="11">
        <f ca="1">IFERROR(OFFSET(ITEM_RES!$A$5,MATCH(BUILDING!V166,ITEM_RES!$J$5:$J$229,0)-1,0),0)</f>
        <v>211010601</v>
      </c>
      <c r="Y166" s="9" t="s">
        <v>502</v>
      </c>
      <c r="Z166" s="9">
        <v>2</v>
      </c>
      <c r="AB166" s="11">
        <f ca="1">IFERROR(OFFSET(MANOR_LEVEL!$B$1,MATCH(AC166-1,MANOR_LEVEL!$A:$A,0)-1,0),0)</f>
        <v>3500000</v>
      </c>
      <c r="AC166" s="55">
        <v>12</v>
      </c>
      <c r="AE166" s="11">
        <f t="shared" ca="1" si="57"/>
        <v>300</v>
      </c>
      <c r="AF166" s="10">
        <f ca="1">AK166+AM166+(IFERROR(OFFSET(ITEM_RES!$R$1,MATCH(AQ166,ITEM_RES!$A:$A,0)-1,0),0)*AS166+IFERROR(OFFSET(ITEM_RES!$R$1,MATCH(AV166,ITEM_RES!$A:$A,0)-1,0),0)*AX166+IFERROR(OFFSET(ITEM_RES!$R$1,MATCH(BA166,ITEM_RES!$A:$A,0)-1,0),0)*BC166+IFERROR(OFFSET(ITEM_RES!$R$1,MATCH(BF166,ITEM_RES!$A:$A,0)-1,0),0)*BH166+IFERROR(OFFSET(ITEM_RES!$R$1,MATCH(BK166,ITEM_RES!$A:$A,0)-1,0),0)*BM166)/1000</f>
        <v>300</v>
      </c>
      <c r="AG166" s="176">
        <f ca="1">AE165+AE166</f>
        <v>1450</v>
      </c>
      <c r="AI166" s="11">
        <f t="shared" si="49"/>
        <v>2</v>
      </c>
      <c r="AJ166" s="10">
        <v>2</v>
      </c>
      <c r="AK166" s="11">
        <f t="shared" si="58"/>
        <v>0</v>
      </c>
      <c r="AL166" s="10">
        <v>0</v>
      </c>
      <c r="AM166" s="11">
        <f t="shared" si="50"/>
        <v>0</v>
      </c>
      <c r="AN166" s="10">
        <v>0</v>
      </c>
      <c r="AO166" s="55">
        <f t="shared" si="51"/>
        <v>1</v>
      </c>
      <c r="AQ166" s="11">
        <f ca="1">IFERROR(OFFSET(ITEM_RES!$A$1,MATCH(AR166,ITEM_RES!$J:$J,0)-1,0),0)</f>
        <v>211020801</v>
      </c>
      <c r="AR166" s="10" t="s">
        <v>1057</v>
      </c>
      <c r="AS166" s="11">
        <v>50</v>
      </c>
      <c r="AV166" s="11">
        <f ca="1">IFERROR(OFFSET(ITEM_RES!$A$1,MATCH(AW166,ITEM_RES!$J:$J,0)-1,0),0)</f>
        <v>0</v>
      </c>
      <c r="BA166" s="11">
        <f ca="1">IFERROR(OFFSET(ITEM_RES!$A$1,MATCH(BB166,ITEM_RES!$J:$J,0)-1,0),0)</f>
        <v>0</v>
      </c>
      <c r="BF166" s="11">
        <f ca="1">IFERROR(OFFSET(ITEM_RES!$A$1,MATCH(BG166,ITEM_RES!$J:$J,0)-1,0),0)</f>
        <v>0</v>
      </c>
      <c r="BK166" s="11">
        <f ca="1">IFERROR(OFFSET(ITEM_RES!$A$1,MATCH(BL166,ITEM_RES!$J:$J,0)-1,0),0)</f>
        <v>0</v>
      </c>
      <c r="BM166" s="11">
        <f t="shared" si="56"/>
        <v>0</v>
      </c>
    </row>
    <row r="167" spans="1:66" x14ac:dyDescent="0.3">
      <c r="A167" s="14">
        <f t="shared" si="53"/>
        <v>112030003</v>
      </c>
      <c r="B167" s="13">
        <v>11</v>
      </c>
      <c r="C167" s="12">
        <f t="shared" si="54"/>
        <v>2</v>
      </c>
      <c r="D167" s="13">
        <v>3</v>
      </c>
      <c r="E167" s="13">
        <v>0</v>
      </c>
      <c r="F167" s="12">
        <f t="shared" si="55"/>
        <v>3</v>
      </c>
      <c r="H167" s="9">
        <v>2</v>
      </c>
      <c r="I167" s="9">
        <v>3</v>
      </c>
      <c r="K167" s="9" t="s">
        <v>358</v>
      </c>
      <c r="M167" s="9">
        <v>1</v>
      </c>
      <c r="N167" s="9">
        <v>15</v>
      </c>
      <c r="O167" s="9" t="s">
        <v>738</v>
      </c>
      <c r="P167" s="55" t="s">
        <v>1354</v>
      </c>
      <c r="Q167" s="9" t="s">
        <v>670</v>
      </c>
      <c r="S167" s="81" t="s">
        <v>528</v>
      </c>
      <c r="T167" s="9">
        <f ca="1">IFERROR(OFFSET(ITEM_RES!$A$5,MATCH(BUILDING!S167,ITEM_RES!$J$5:$J$229,0)-1,0),0)</f>
        <v>211010501</v>
      </c>
      <c r="U167" s="11">
        <v>1</v>
      </c>
      <c r="V167" s="81" t="s">
        <v>529</v>
      </c>
      <c r="W167" s="11">
        <f ca="1">IFERROR(OFFSET(ITEM_RES!$A$5,MATCH(BUILDING!V167,ITEM_RES!$J$5:$J$229,0)-1,0),0)</f>
        <v>211010601</v>
      </c>
      <c r="Y167" s="9" t="s">
        <v>502</v>
      </c>
      <c r="Z167" s="9">
        <v>3</v>
      </c>
      <c r="AB167" s="11">
        <f ca="1">IFERROR(OFFSET(MANOR_LEVEL!$B$1,MATCH(AC167-1,MANOR_LEVEL!$A:$A,0)-1,0),0)</f>
        <v>3500000</v>
      </c>
      <c r="AC167" s="55">
        <v>12</v>
      </c>
      <c r="AE167" s="11">
        <f t="shared" ca="1" si="57"/>
        <v>450</v>
      </c>
      <c r="AF167" s="10">
        <f ca="1">AK167+AM167+(IFERROR(OFFSET(ITEM_RES!$R$1,MATCH(AQ167,ITEM_RES!$A:$A,0)-1,0),0)*AS167+IFERROR(OFFSET(ITEM_RES!$R$1,MATCH(AV167,ITEM_RES!$A:$A,0)-1,0),0)*AX167+IFERROR(OFFSET(ITEM_RES!$R$1,MATCH(BA167,ITEM_RES!$A:$A,0)-1,0),0)*BC167+IFERROR(OFFSET(ITEM_RES!$R$1,MATCH(BF167,ITEM_RES!$A:$A,0)-1,0),0)*BH167+IFERROR(OFFSET(ITEM_RES!$R$1,MATCH(BK167,ITEM_RES!$A:$A,0)-1,0),0)*BM167)/1000</f>
        <v>450</v>
      </c>
      <c r="AG167" s="176">
        <f t="shared" ref="AG167:AG184" ca="1" si="59">AE166+AE167</f>
        <v>750</v>
      </c>
      <c r="AI167" s="11">
        <f t="shared" si="49"/>
        <v>3</v>
      </c>
      <c r="AJ167" s="10">
        <v>3</v>
      </c>
      <c r="AK167" s="11">
        <f t="shared" si="58"/>
        <v>0</v>
      </c>
      <c r="AL167" s="10">
        <v>0</v>
      </c>
      <c r="AM167" s="11">
        <f t="shared" si="50"/>
        <v>0</v>
      </c>
      <c r="AN167" s="10">
        <v>0</v>
      </c>
      <c r="AO167" s="55">
        <f t="shared" si="51"/>
        <v>1</v>
      </c>
      <c r="AQ167" s="11">
        <f ca="1">IFERROR(OFFSET(ITEM_RES!$A$1,MATCH(AR167,ITEM_RES!$J:$J,0)-1,0),0)</f>
        <v>211020801</v>
      </c>
      <c r="AR167" s="10" t="s">
        <v>1057</v>
      </c>
      <c r="AS167" s="11">
        <v>75</v>
      </c>
      <c r="AV167" s="11">
        <f ca="1">IFERROR(OFFSET(ITEM_RES!$A$1,MATCH(AW167,ITEM_RES!$J:$J,0)-1,0),0)</f>
        <v>0</v>
      </c>
      <c r="BA167" s="11">
        <f ca="1">IFERROR(OFFSET(ITEM_RES!$A$1,MATCH(BB167,ITEM_RES!$J:$J,0)-1,0),0)</f>
        <v>0</v>
      </c>
      <c r="BF167" s="11">
        <f ca="1">IFERROR(OFFSET(ITEM_RES!$A$1,MATCH(BG167,ITEM_RES!$J:$J,0)-1,0),0)</f>
        <v>0</v>
      </c>
      <c r="BK167" s="11">
        <f ca="1">IFERROR(OFFSET(ITEM_RES!$A$1,MATCH(BL167,ITEM_RES!$J:$J,0)-1,0),0)</f>
        <v>0</v>
      </c>
      <c r="BM167" s="11">
        <f t="shared" si="56"/>
        <v>0</v>
      </c>
    </row>
    <row r="168" spans="1:66" x14ac:dyDescent="0.3">
      <c r="A168" s="14">
        <f t="shared" si="53"/>
        <v>112030004</v>
      </c>
      <c r="B168" s="13">
        <v>11</v>
      </c>
      <c r="C168" s="12">
        <f t="shared" si="54"/>
        <v>2</v>
      </c>
      <c r="D168" s="13">
        <v>3</v>
      </c>
      <c r="E168" s="13">
        <v>0</v>
      </c>
      <c r="F168" s="12">
        <f t="shared" si="55"/>
        <v>4</v>
      </c>
      <c r="H168" s="9">
        <v>2</v>
      </c>
      <c r="I168" s="9">
        <v>4</v>
      </c>
      <c r="K168" s="9" t="s">
        <v>358</v>
      </c>
      <c r="M168" s="9">
        <v>1</v>
      </c>
      <c r="N168" s="9">
        <v>15</v>
      </c>
      <c r="O168" s="9" t="s">
        <v>738</v>
      </c>
      <c r="P168" s="55" t="s">
        <v>1354</v>
      </c>
      <c r="Q168" s="9" t="s">
        <v>670</v>
      </c>
      <c r="S168" s="81" t="s">
        <v>528</v>
      </c>
      <c r="T168" s="9">
        <f ca="1">IFERROR(OFFSET(ITEM_RES!$A$5,MATCH(BUILDING!S168,ITEM_RES!$J$5:$J$229,0)-1,0),0)</f>
        <v>211010501</v>
      </c>
      <c r="U168" s="11">
        <v>1</v>
      </c>
      <c r="V168" s="81" t="s">
        <v>529</v>
      </c>
      <c r="W168" s="11">
        <f ca="1">IFERROR(OFFSET(ITEM_RES!$A$5,MATCH(BUILDING!V168,ITEM_RES!$J$5:$J$229,0)-1,0),0)</f>
        <v>211010601</v>
      </c>
      <c r="Y168" s="9" t="s">
        <v>502</v>
      </c>
      <c r="Z168" s="9">
        <v>4</v>
      </c>
      <c r="AB168" s="11">
        <f ca="1">IFERROR(OFFSET(MANOR_LEVEL!$B$1,MATCH(AC168-1,MANOR_LEVEL!$A:$A,0)-1,0),0)</f>
        <v>3500000</v>
      </c>
      <c r="AC168" s="55">
        <v>12</v>
      </c>
      <c r="AE168" s="11">
        <f t="shared" ca="1" si="57"/>
        <v>1800</v>
      </c>
      <c r="AF168" s="10">
        <f ca="1">AK168+AM168+(IFERROR(OFFSET(ITEM_RES!$R$1,MATCH(AQ168,ITEM_RES!$A:$A,0)-1,0),0)*AS168+IFERROR(OFFSET(ITEM_RES!$R$1,MATCH(AV168,ITEM_RES!$A:$A,0)-1,0),0)*AX168+IFERROR(OFFSET(ITEM_RES!$R$1,MATCH(BA168,ITEM_RES!$A:$A,0)-1,0),0)*BC168+IFERROR(OFFSET(ITEM_RES!$R$1,MATCH(BF168,ITEM_RES!$A:$A,0)-1,0),0)*BH168+IFERROR(OFFSET(ITEM_RES!$R$1,MATCH(BK168,ITEM_RES!$A:$A,0)-1,0),0)*BM168)/1000</f>
        <v>1800</v>
      </c>
      <c r="AG168" s="176">
        <f t="shared" ca="1" si="59"/>
        <v>2250</v>
      </c>
      <c r="AI168" s="11">
        <f t="shared" si="49"/>
        <v>5</v>
      </c>
      <c r="AJ168" s="10">
        <v>5</v>
      </c>
      <c r="AK168" s="11">
        <f t="shared" si="58"/>
        <v>0</v>
      </c>
      <c r="AL168" s="10">
        <v>0</v>
      </c>
      <c r="AM168" s="11">
        <f t="shared" si="50"/>
        <v>0</v>
      </c>
      <c r="AN168" s="10">
        <v>0</v>
      </c>
      <c r="AO168" s="55">
        <f t="shared" si="51"/>
        <v>1</v>
      </c>
      <c r="AQ168" s="11">
        <f ca="1">IFERROR(OFFSET(ITEM_RES!$A$1,MATCH(AR168,ITEM_RES!$J:$J,0)-1,0),0)</f>
        <v>211020801</v>
      </c>
      <c r="AR168" s="10" t="s">
        <v>1057</v>
      </c>
      <c r="AS168" s="11">
        <v>300</v>
      </c>
      <c r="AV168" s="11">
        <f ca="1">IFERROR(OFFSET(ITEM_RES!$A$1,MATCH(AW168,ITEM_RES!$J:$J,0)-1,0),0)</f>
        <v>0</v>
      </c>
      <c r="BA168" s="11">
        <f ca="1">IFERROR(OFFSET(ITEM_RES!$A$1,MATCH(BB168,ITEM_RES!$J:$J,0)-1,0),0)</f>
        <v>0</v>
      </c>
      <c r="BF168" s="11">
        <f ca="1">IFERROR(OFFSET(ITEM_RES!$A$1,MATCH(BG168,ITEM_RES!$J:$J,0)-1,0),0)</f>
        <v>0</v>
      </c>
      <c r="BK168" s="11">
        <f ca="1">IFERROR(OFFSET(ITEM_RES!$A$1,MATCH(BL168,ITEM_RES!$J:$J,0)-1,0),0)</f>
        <v>0</v>
      </c>
      <c r="BM168" s="11">
        <f t="shared" si="56"/>
        <v>0</v>
      </c>
    </row>
    <row r="169" spans="1:66" x14ac:dyDescent="0.3">
      <c r="A169" s="14">
        <f t="shared" si="53"/>
        <v>112030005</v>
      </c>
      <c r="B169" s="13">
        <v>11</v>
      </c>
      <c r="C169" s="12">
        <f t="shared" si="54"/>
        <v>2</v>
      </c>
      <c r="D169" s="13">
        <v>3</v>
      </c>
      <c r="E169" s="13">
        <v>0</v>
      </c>
      <c r="F169" s="12">
        <f t="shared" si="55"/>
        <v>5</v>
      </c>
      <c r="H169" s="9">
        <v>2</v>
      </c>
      <c r="I169" s="9">
        <v>5</v>
      </c>
      <c r="K169" s="9" t="s">
        <v>358</v>
      </c>
      <c r="M169" s="9">
        <v>1</v>
      </c>
      <c r="N169" s="9">
        <v>15</v>
      </c>
      <c r="O169" s="9" t="s">
        <v>738</v>
      </c>
      <c r="P169" s="55" t="s">
        <v>1354</v>
      </c>
      <c r="Q169" s="9" t="s">
        <v>670</v>
      </c>
      <c r="S169" s="81" t="s">
        <v>528</v>
      </c>
      <c r="T169" s="9">
        <f ca="1">IFERROR(OFFSET(ITEM_RES!$A$5,MATCH(BUILDING!S169,ITEM_RES!$J$5:$J$229,0)-1,0),0)</f>
        <v>211010501</v>
      </c>
      <c r="U169" s="11">
        <v>1</v>
      </c>
      <c r="V169" s="81" t="s">
        <v>529</v>
      </c>
      <c r="W169" s="11">
        <f ca="1">IFERROR(OFFSET(ITEM_RES!$A$5,MATCH(BUILDING!V169,ITEM_RES!$J$5:$J$229,0)-1,0),0)</f>
        <v>211010601</v>
      </c>
      <c r="Y169" s="9" t="s">
        <v>502</v>
      </c>
      <c r="Z169" s="9">
        <v>5</v>
      </c>
      <c r="AB169" s="11">
        <f ca="1">IFERROR(OFFSET(MANOR_LEVEL!$B$1,MATCH(AC169-1,MANOR_LEVEL!$A:$A,0)-1,0),0)</f>
        <v>3500000</v>
      </c>
      <c r="AC169" s="55">
        <v>12</v>
      </c>
      <c r="AE169" s="11">
        <f t="shared" ca="1" si="57"/>
        <v>8100</v>
      </c>
      <c r="AF169" s="10">
        <f ca="1">AK169+AM169+(IFERROR(OFFSET(ITEM_RES!$R$1,MATCH(AQ169,ITEM_RES!$A:$A,0)-1,0),0)*AS169+IFERROR(OFFSET(ITEM_RES!$R$1,MATCH(AV169,ITEM_RES!$A:$A,0)-1,0),0)*AX169+IFERROR(OFFSET(ITEM_RES!$R$1,MATCH(BA169,ITEM_RES!$A:$A,0)-1,0),0)*BC169+IFERROR(OFFSET(ITEM_RES!$R$1,MATCH(BF169,ITEM_RES!$A:$A,0)-1,0),0)*BH169+IFERROR(OFFSET(ITEM_RES!$R$1,MATCH(BK169,ITEM_RES!$A:$A,0)-1,0),0)*BM169)/1000</f>
        <v>8100</v>
      </c>
      <c r="AG169" s="176">
        <f t="shared" ca="1" si="59"/>
        <v>9900</v>
      </c>
      <c r="AI169" s="11">
        <f t="shared" si="49"/>
        <v>8</v>
      </c>
      <c r="AJ169" s="10">
        <v>8</v>
      </c>
      <c r="AK169" s="11">
        <f t="shared" si="58"/>
        <v>0</v>
      </c>
      <c r="AL169" s="10">
        <v>0</v>
      </c>
      <c r="AM169" s="11">
        <f t="shared" si="50"/>
        <v>0</v>
      </c>
      <c r="AN169" s="10">
        <v>0</v>
      </c>
      <c r="AO169" s="55">
        <f t="shared" si="51"/>
        <v>1</v>
      </c>
      <c r="AQ169" s="11">
        <f ca="1">IFERROR(OFFSET(ITEM_RES!$A$1,MATCH(AR169,ITEM_RES!$J:$J,0)-1,0),0)</f>
        <v>211020801</v>
      </c>
      <c r="AR169" s="10" t="s">
        <v>1057</v>
      </c>
      <c r="AS169" s="11">
        <v>1350</v>
      </c>
      <c r="AV169" s="11">
        <f ca="1">IFERROR(OFFSET(ITEM_RES!$A$1,MATCH(AW169,ITEM_RES!$J:$J,0)-1,0),0)</f>
        <v>0</v>
      </c>
      <c r="BA169" s="11">
        <f ca="1">IFERROR(OFFSET(ITEM_RES!$A$1,MATCH(BB169,ITEM_RES!$J:$J,0)-1,0),0)</f>
        <v>0</v>
      </c>
      <c r="BF169" s="11">
        <f ca="1">IFERROR(OFFSET(ITEM_RES!$A$1,MATCH(BG169,ITEM_RES!$J:$J,0)-1,0),0)</f>
        <v>0</v>
      </c>
      <c r="BK169" s="11">
        <f ca="1">IFERROR(OFFSET(ITEM_RES!$A$1,MATCH(BL169,ITEM_RES!$J:$J,0)-1,0),0)</f>
        <v>0</v>
      </c>
      <c r="BM169" s="11">
        <f t="shared" si="56"/>
        <v>0</v>
      </c>
    </row>
    <row r="170" spans="1:66" x14ac:dyDescent="0.3">
      <c r="A170" s="14">
        <f t="shared" si="53"/>
        <v>112030006</v>
      </c>
      <c r="B170" s="13">
        <v>11</v>
      </c>
      <c r="C170" s="12">
        <f t="shared" si="54"/>
        <v>2</v>
      </c>
      <c r="D170" s="13">
        <v>3</v>
      </c>
      <c r="E170" s="13">
        <v>0</v>
      </c>
      <c r="F170" s="12">
        <f t="shared" si="55"/>
        <v>6</v>
      </c>
      <c r="H170" s="9">
        <v>2</v>
      </c>
      <c r="I170" s="9">
        <v>6</v>
      </c>
      <c r="K170" s="9" t="s">
        <v>358</v>
      </c>
      <c r="M170" s="9">
        <v>1</v>
      </c>
      <c r="N170" s="9">
        <v>15</v>
      </c>
      <c r="O170" s="9" t="s">
        <v>738</v>
      </c>
      <c r="P170" s="55" t="s">
        <v>1354</v>
      </c>
      <c r="Q170" s="9" t="s">
        <v>670</v>
      </c>
      <c r="S170" s="81" t="s">
        <v>528</v>
      </c>
      <c r="T170" s="9">
        <f ca="1">IFERROR(OFFSET(ITEM_RES!$A$5,MATCH(BUILDING!S170,ITEM_RES!$J$5:$J$229,0)-1,0),0)</f>
        <v>211010501</v>
      </c>
      <c r="U170" s="11">
        <v>1</v>
      </c>
      <c r="V170" s="81" t="s">
        <v>529</v>
      </c>
      <c r="W170" s="11">
        <f ca="1">IFERROR(OFFSET(ITEM_RES!$A$5,MATCH(BUILDING!V170,ITEM_RES!$J$5:$J$229,0)-1,0),0)</f>
        <v>211010601</v>
      </c>
      <c r="Y170" s="9" t="s">
        <v>502</v>
      </c>
      <c r="Z170" s="9">
        <v>6</v>
      </c>
      <c r="AB170" s="11">
        <f ca="1">IFERROR(OFFSET(MANOR_LEVEL!$B$1,MATCH(AC170-1,MANOR_LEVEL!$A:$A,0)-1,0),0)</f>
        <v>3500000</v>
      </c>
      <c r="AC170" s="55">
        <v>12</v>
      </c>
      <c r="AE170" s="11">
        <f t="shared" ca="1" si="57"/>
        <v>27000</v>
      </c>
      <c r="AF170" s="10">
        <f ca="1">AK170+AM170+(IFERROR(OFFSET(ITEM_RES!$R$1,MATCH(AQ170,ITEM_RES!$A:$A,0)-1,0),0)*AS170+IFERROR(OFFSET(ITEM_RES!$R$1,MATCH(AV170,ITEM_RES!$A:$A,0)-1,0),0)*AX170+IFERROR(OFFSET(ITEM_RES!$R$1,MATCH(BA170,ITEM_RES!$A:$A,0)-1,0),0)*BC170+IFERROR(OFFSET(ITEM_RES!$R$1,MATCH(BF170,ITEM_RES!$A:$A,0)-1,0),0)*BH170+IFERROR(OFFSET(ITEM_RES!$R$1,MATCH(BK170,ITEM_RES!$A:$A,0)-1,0),0)*BM170)/1000</f>
        <v>27000</v>
      </c>
      <c r="AG170" s="176">
        <f t="shared" ca="1" si="59"/>
        <v>35100</v>
      </c>
      <c r="AI170" s="11">
        <f t="shared" si="49"/>
        <v>10</v>
      </c>
      <c r="AJ170" s="10">
        <v>10</v>
      </c>
      <c r="AK170" s="11">
        <f t="shared" si="58"/>
        <v>0</v>
      </c>
      <c r="AL170" s="10">
        <v>0</v>
      </c>
      <c r="AM170" s="11">
        <f t="shared" si="50"/>
        <v>0</v>
      </c>
      <c r="AN170" s="10">
        <v>0</v>
      </c>
      <c r="AO170" s="55">
        <f t="shared" si="51"/>
        <v>1</v>
      </c>
      <c r="AQ170" s="11">
        <f ca="1">IFERROR(OFFSET(ITEM_RES!$A$1,MATCH(AR170,ITEM_RES!$J:$J,0)-1,0),0)</f>
        <v>211020801</v>
      </c>
      <c r="AR170" s="10" t="s">
        <v>1057</v>
      </c>
      <c r="AS170" s="11">
        <v>4500</v>
      </c>
      <c r="AV170" s="11">
        <f ca="1">IFERROR(OFFSET(ITEM_RES!$A$1,MATCH(AW170,ITEM_RES!$J:$J,0)-1,0),0)</f>
        <v>0</v>
      </c>
      <c r="BA170" s="11">
        <f ca="1">IFERROR(OFFSET(ITEM_RES!$A$1,MATCH(BB170,ITEM_RES!$J:$J,0)-1,0),0)</f>
        <v>0</v>
      </c>
      <c r="BF170" s="11">
        <f ca="1">IFERROR(OFFSET(ITEM_RES!$A$1,MATCH(BG170,ITEM_RES!$J:$J,0)-1,0),0)</f>
        <v>0</v>
      </c>
      <c r="BK170" s="11">
        <f ca="1">IFERROR(OFFSET(ITEM_RES!$A$1,MATCH(BL170,ITEM_RES!$J:$J,0)-1,0),0)</f>
        <v>0</v>
      </c>
      <c r="BM170" s="11">
        <f t="shared" si="56"/>
        <v>0</v>
      </c>
    </row>
    <row r="171" spans="1:66" x14ac:dyDescent="0.3">
      <c r="A171" s="14">
        <f t="shared" si="53"/>
        <v>112030007</v>
      </c>
      <c r="B171" s="13">
        <v>11</v>
      </c>
      <c r="C171" s="12">
        <f t="shared" si="54"/>
        <v>2</v>
      </c>
      <c r="D171" s="13">
        <v>3</v>
      </c>
      <c r="E171" s="13">
        <v>0</v>
      </c>
      <c r="F171" s="12">
        <f t="shared" si="55"/>
        <v>7</v>
      </c>
      <c r="H171" s="9">
        <v>2</v>
      </c>
      <c r="I171" s="9">
        <v>7</v>
      </c>
      <c r="K171" s="9" t="s">
        <v>358</v>
      </c>
      <c r="M171" s="9">
        <v>1</v>
      </c>
      <c r="N171" s="9">
        <v>15</v>
      </c>
      <c r="O171" s="9" t="s">
        <v>738</v>
      </c>
      <c r="P171" s="55" t="s">
        <v>1354</v>
      </c>
      <c r="Q171" s="9" t="s">
        <v>670</v>
      </c>
      <c r="S171" s="81" t="s">
        <v>528</v>
      </c>
      <c r="T171" s="9">
        <f ca="1">IFERROR(OFFSET(ITEM_RES!$A$5,MATCH(BUILDING!S171,ITEM_RES!$J$5:$J$229,0)-1,0),0)</f>
        <v>211010501</v>
      </c>
      <c r="U171" s="11">
        <v>1</v>
      </c>
      <c r="V171" s="81" t="s">
        <v>529</v>
      </c>
      <c r="W171" s="11">
        <f ca="1">IFERROR(OFFSET(ITEM_RES!$A$5,MATCH(BUILDING!V171,ITEM_RES!$J$5:$J$229,0)-1,0),0)</f>
        <v>211010601</v>
      </c>
      <c r="Y171" s="9" t="s">
        <v>502</v>
      </c>
      <c r="Z171" s="9">
        <v>7</v>
      </c>
      <c r="AB171" s="11">
        <f ca="1">IFERROR(OFFSET(MANOR_LEVEL!$B$1,MATCH(AC171-1,MANOR_LEVEL!$A:$A,0)-1,0),0)</f>
        <v>3500000</v>
      </c>
      <c r="AC171" s="55">
        <v>12</v>
      </c>
      <c r="AE171" s="11">
        <f t="shared" ca="1" si="57"/>
        <v>60000</v>
      </c>
      <c r="AF171" s="10">
        <f ca="1">AK171+AM171+(IFERROR(OFFSET(ITEM_RES!$R$1,MATCH(AQ171,ITEM_RES!$A:$A,0)-1,0),0)*AS171+IFERROR(OFFSET(ITEM_RES!$R$1,MATCH(AV171,ITEM_RES!$A:$A,0)-1,0),0)*AX171+IFERROR(OFFSET(ITEM_RES!$R$1,MATCH(BA171,ITEM_RES!$A:$A,0)-1,0),0)*BC171+IFERROR(OFFSET(ITEM_RES!$R$1,MATCH(BF171,ITEM_RES!$A:$A,0)-1,0),0)*BH171+IFERROR(OFFSET(ITEM_RES!$R$1,MATCH(BK171,ITEM_RES!$A:$A,0)-1,0),0)*BM171)/1000</f>
        <v>60000</v>
      </c>
      <c r="AG171" s="176">
        <f t="shared" ca="1" si="59"/>
        <v>87000</v>
      </c>
      <c r="AI171" s="11">
        <f t="shared" si="49"/>
        <v>15</v>
      </c>
      <c r="AJ171" s="10">
        <v>15</v>
      </c>
      <c r="AK171" s="11">
        <f t="shared" si="58"/>
        <v>0</v>
      </c>
      <c r="AL171" s="10">
        <v>0</v>
      </c>
      <c r="AM171" s="11">
        <f t="shared" si="50"/>
        <v>0</v>
      </c>
      <c r="AN171" s="10">
        <v>0</v>
      </c>
      <c r="AO171" s="55">
        <f t="shared" si="51"/>
        <v>1</v>
      </c>
      <c r="AQ171" s="11">
        <f ca="1">IFERROR(OFFSET(ITEM_RES!$A$1,MATCH(AR171,ITEM_RES!$J:$J,0)-1,0),0)</f>
        <v>211020801</v>
      </c>
      <c r="AR171" s="10" t="s">
        <v>1057</v>
      </c>
      <c r="AS171" s="11">
        <v>10000</v>
      </c>
      <c r="AV171" s="11">
        <f ca="1">IFERROR(OFFSET(ITEM_RES!$A$1,MATCH(AW171,ITEM_RES!$J:$J,0)-1,0),0)</f>
        <v>0</v>
      </c>
      <c r="BA171" s="11">
        <f ca="1">IFERROR(OFFSET(ITEM_RES!$A$1,MATCH(BB171,ITEM_RES!$J:$J,0)-1,0),0)</f>
        <v>0</v>
      </c>
      <c r="BF171" s="11">
        <f ca="1">IFERROR(OFFSET(ITEM_RES!$A$1,MATCH(BG171,ITEM_RES!$J:$J,0)-1,0),0)</f>
        <v>0</v>
      </c>
      <c r="BK171" s="11">
        <f ca="1">IFERROR(OFFSET(ITEM_RES!$A$1,MATCH(BL171,ITEM_RES!$J:$J,0)-1,0),0)</f>
        <v>0</v>
      </c>
      <c r="BM171" s="11">
        <f t="shared" si="56"/>
        <v>0</v>
      </c>
    </row>
    <row r="172" spans="1:66" x14ac:dyDescent="0.3">
      <c r="A172" s="14">
        <f t="shared" si="53"/>
        <v>112030008</v>
      </c>
      <c r="B172" s="13">
        <v>11</v>
      </c>
      <c r="C172" s="12">
        <f t="shared" si="54"/>
        <v>2</v>
      </c>
      <c r="D172" s="13">
        <v>3</v>
      </c>
      <c r="E172" s="13">
        <v>0</v>
      </c>
      <c r="F172" s="12">
        <f t="shared" si="55"/>
        <v>8</v>
      </c>
      <c r="H172" s="9">
        <v>2</v>
      </c>
      <c r="I172" s="9">
        <v>8</v>
      </c>
      <c r="K172" s="9" t="s">
        <v>358</v>
      </c>
      <c r="M172" s="9">
        <v>1</v>
      </c>
      <c r="N172" s="9">
        <v>15</v>
      </c>
      <c r="O172" s="9" t="s">
        <v>738</v>
      </c>
      <c r="P172" s="55" t="s">
        <v>1354</v>
      </c>
      <c r="Q172" s="9" t="s">
        <v>670</v>
      </c>
      <c r="S172" s="81" t="s">
        <v>528</v>
      </c>
      <c r="T172" s="9">
        <f ca="1">IFERROR(OFFSET(ITEM_RES!$A$5,MATCH(BUILDING!S172,ITEM_RES!$J$5:$J$229,0)-1,0),0)</f>
        <v>211010501</v>
      </c>
      <c r="U172" s="11">
        <v>1</v>
      </c>
      <c r="V172" s="81" t="s">
        <v>529</v>
      </c>
      <c r="W172" s="11">
        <f ca="1">IFERROR(OFFSET(ITEM_RES!$A$5,MATCH(BUILDING!V172,ITEM_RES!$J$5:$J$229,0)-1,0),0)</f>
        <v>211010601</v>
      </c>
      <c r="Y172" s="9" t="s">
        <v>502</v>
      </c>
      <c r="Z172" s="9">
        <v>8</v>
      </c>
      <c r="AB172" s="11">
        <f ca="1">IFERROR(OFFSET(MANOR_LEVEL!$B$1,MATCH(AC172-1,MANOR_LEVEL!$A:$A,0)-1,0),0)</f>
        <v>3500000</v>
      </c>
      <c r="AC172" s="55">
        <v>12</v>
      </c>
      <c r="AE172" s="11">
        <f t="shared" ca="1" si="57"/>
        <v>126000</v>
      </c>
      <c r="AF172" s="10">
        <f ca="1">AK172+AM172+(IFERROR(OFFSET(ITEM_RES!$R$1,MATCH(AQ172,ITEM_RES!$A:$A,0)-1,0),0)*AS172+IFERROR(OFFSET(ITEM_RES!$R$1,MATCH(AV172,ITEM_RES!$A:$A,0)-1,0),0)*AX172+IFERROR(OFFSET(ITEM_RES!$R$1,MATCH(BA172,ITEM_RES!$A:$A,0)-1,0),0)*BC172+IFERROR(OFFSET(ITEM_RES!$R$1,MATCH(BF172,ITEM_RES!$A:$A,0)-1,0),0)*BH172+IFERROR(OFFSET(ITEM_RES!$R$1,MATCH(BK172,ITEM_RES!$A:$A,0)-1,0),0)*BM172)/1000</f>
        <v>126000</v>
      </c>
      <c r="AG172" s="176">
        <f t="shared" ca="1" si="59"/>
        <v>186000</v>
      </c>
      <c r="AI172" s="11">
        <f t="shared" si="49"/>
        <v>30</v>
      </c>
      <c r="AJ172" s="10">
        <v>30</v>
      </c>
      <c r="AK172" s="11">
        <f t="shared" si="58"/>
        <v>0</v>
      </c>
      <c r="AL172" s="10">
        <v>0</v>
      </c>
      <c r="AM172" s="11">
        <f t="shared" si="50"/>
        <v>0</v>
      </c>
      <c r="AN172" s="10">
        <v>0</v>
      </c>
      <c r="AO172" s="55">
        <f t="shared" si="51"/>
        <v>1</v>
      </c>
      <c r="AQ172" s="11">
        <f ca="1">IFERROR(OFFSET(ITEM_RES!$A$1,MATCH(AR172,ITEM_RES!$J:$J,0)-1,0),0)</f>
        <v>211020801</v>
      </c>
      <c r="AR172" s="10" t="s">
        <v>1057</v>
      </c>
      <c r="AS172" s="11">
        <v>21000</v>
      </c>
      <c r="AV172" s="11">
        <f ca="1">IFERROR(OFFSET(ITEM_RES!$A$1,MATCH(AW172,ITEM_RES!$J:$J,0)-1,0),0)</f>
        <v>0</v>
      </c>
      <c r="BA172" s="11">
        <f ca="1">IFERROR(OFFSET(ITEM_RES!$A$1,MATCH(BB172,ITEM_RES!$J:$J,0)-1,0),0)</f>
        <v>0</v>
      </c>
      <c r="BF172" s="11">
        <f ca="1">IFERROR(OFFSET(ITEM_RES!$A$1,MATCH(BG172,ITEM_RES!$J:$J,0)-1,0),0)</f>
        <v>0</v>
      </c>
      <c r="BK172" s="11">
        <f ca="1">IFERROR(OFFSET(ITEM_RES!$A$1,MATCH(BL172,ITEM_RES!$J:$J,0)-1,0),0)</f>
        <v>0</v>
      </c>
      <c r="BM172" s="11">
        <f t="shared" si="56"/>
        <v>0</v>
      </c>
    </row>
    <row r="173" spans="1:66" x14ac:dyDescent="0.3">
      <c r="A173" s="14">
        <f t="shared" si="53"/>
        <v>112030009</v>
      </c>
      <c r="B173" s="13">
        <v>11</v>
      </c>
      <c r="C173" s="12">
        <f t="shared" si="54"/>
        <v>2</v>
      </c>
      <c r="D173" s="13">
        <v>3</v>
      </c>
      <c r="E173" s="13">
        <v>0</v>
      </c>
      <c r="F173" s="12">
        <f t="shared" si="55"/>
        <v>9</v>
      </c>
      <c r="H173" s="9">
        <v>2</v>
      </c>
      <c r="I173" s="9">
        <v>9</v>
      </c>
      <c r="K173" s="9" t="s">
        <v>358</v>
      </c>
      <c r="M173" s="9">
        <v>1</v>
      </c>
      <c r="N173" s="9">
        <v>15</v>
      </c>
      <c r="O173" s="9" t="s">
        <v>738</v>
      </c>
      <c r="P173" s="55" t="s">
        <v>1354</v>
      </c>
      <c r="Q173" s="9" t="s">
        <v>670</v>
      </c>
      <c r="S173" s="81" t="s">
        <v>528</v>
      </c>
      <c r="T173" s="9">
        <f ca="1">IFERROR(OFFSET(ITEM_RES!$A$5,MATCH(BUILDING!S173,ITEM_RES!$J$5:$J$229,0)-1,0),0)</f>
        <v>211010501</v>
      </c>
      <c r="U173" s="11">
        <v>1</v>
      </c>
      <c r="V173" s="81" t="s">
        <v>529</v>
      </c>
      <c r="W173" s="11">
        <f ca="1">IFERROR(OFFSET(ITEM_RES!$A$5,MATCH(BUILDING!V173,ITEM_RES!$J$5:$J$229,0)-1,0),0)</f>
        <v>211010601</v>
      </c>
      <c r="Y173" s="9" t="s">
        <v>502</v>
      </c>
      <c r="Z173" s="9">
        <v>9</v>
      </c>
      <c r="AB173" s="11">
        <f ca="1">IFERROR(OFFSET(MANOR_LEVEL!$B$1,MATCH(AC173-1,MANOR_LEVEL!$A:$A,0)-1,0),0)</f>
        <v>3500000</v>
      </c>
      <c r="AC173" s="55">
        <v>12</v>
      </c>
      <c r="AE173" s="11">
        <f t="shared" ca="1" si="57"/>
        <v>234000</v>
      </c>
      <c r="AF173" s="10">
        <f ca="1">AK173+AM173+(IFERROR(OFFSET(ITEM_RES!$R$1,MATCH(AQ173,ITEM_RES!$A:$A,0)-1,0),0)*AS173+IFERROR(OFFSET(ITEM_RES!$R$1,MATCH(AV173,ITEM_RES!$A:$A,0)-1,0),0)*AX173+IFERROR(OFFSET(ITEM_RES!$R$1,MATCH(BA173,ITEM_RES!$A:$A,0)-1,0),0)*BC173+IFERROR(OFFSET(ITEM_RES!$R$1,MATCH(BF173,ITEM_RES!$A:$A,0)-1,0),0)*BH173+IFERROR(OFFSET(ITEM_RES!$R$1,MATCH(BK173,ITEM_RES!$A:$A,0)-1,0),0)*BM173)/1000</f>
        <v>234000</v>
      </c>
      <c r="AG173" s="176">
        <f t="shared" ca="1" si="59"/>
        <v>360000</v>
      </c>
      <c r="AI173" s="11">
        <f t="shared" si="49"/>
        <v>60</v>
      </c>
      <c r="AJ173" s="10">
        <v>60</v>
      </c>
      <c r="AK173" s="11">
        <f t="shared" si="58"/>
        <v>0</v>
      </c>
      <c r="AL173" s="10">
        <v>0</v>
      </c>
      <c r="AM173" s="11">
        <f t="shared" si="50"/>
        <v>0</v>
      </c>
      <c r="AN173" s="10">
        <v>0</v>
      </c>
      <c r="AO173" s="55">
        <f t="shared" si="51"/>
        <v>1</v>
      </c>
      <c r="AQ173" s="11">
        <f ca="1">IFERROR(OFFSET(ITEM_RES!$A$1,MATCH(AR173,ITEM_RES!$J:$J,0)-1,0),0)</f>
        <v>211020801</v>
      </c>
      <c r="AR173" s="10" t="s">
        <v>1057</v>
      </c>
      <c r="AS173" s="11">
        <v>39000</v>
      </c>
      <c r="AV173" s="11">
        <f ca="1">IFERROR(OFFSET(ITEM_RES!$A$1,MATCH(AW173,ITEM_RES!$J:$J,0)-1,0),0)</f>
        <v>0</v>
      </c>
      <c r="BA173" s="11">
        <f ca="1">IFERROR(OFFSET(ITEM_RES!$A$1,MATCH(BB173,ITEM_RES!$J:$J,0)-1,0),0)</f>
        <v>0</v>
      </c>
      <c r="BF173" s="11">
        <f ca="1">IFERROR(OFFSET(ITEM_RES!$A$1,MATCH(BG173,ITEM_RES!$J:$J,0)-1,0),0)</f>
        <v>0</v>
      </c>
      <c r="BK173" s="11">
        <f ca="1">IFERROR(OFFSET(ITEM_RES!$A$1,MATCH(BL173,ITEM_RES!$J:$J,0)-1,0),0)</f>
        <v>0</v>
      </c>
      <c r="BM173" s="11">
        <f t="shared" si="56"/>
        <v>0</v>
      </c>
    </row>
    <row r="174" spans="1:66" x14ac:dyDescent="0.3">
      <c r="A174" s="14">
        <f t="shared" si="53"/>
        <v>112030010</v>
      </c>
      <c r="B174" s="13">
        <v>11</v>
      </c>
      <c r="C174" s="12">
        <f t="shared" si="54"/>
        <v>2</v>
      </c>
      <c r="D174" s="13">
        <v>3</v>
      </c>
      <c r="E174" s="13">
        <v>0</v>
      </c>
      <c r="F174" s="12">
        <f t="shared" si="55"/>
        <v>10</v>
      </c>
      <c r="H174" s="9">
        <v>2</v>
      </c>
      <c r="I174" s="9">
        <v>10</v>
      </c>
      <c r="K174" s="9" t="s">
        <v>358</v>
      </c>
      <c r="M174" s="9">
        <v>1</v>
      </c>
      <c r="N174" s="9">
        <v>15</v>
      </c>
      <c r="O174" s="9" t="s">
        <v>738</v>
      </c>
      <c r="P174" s="55" t="s">
        <v>1354</v>
      </c>
      <c r="Q174" s="9" t="s">
        <v>670</v>
      </c>
      <c r="S174" s="81" t="s">
        <v>528</v>
      </c>
      <c r="T174" s="9">
        <f ca="1">IFERROR(OFFSET(ITEM_RES!$A$5,MATCH(BUILDING!S174,ITEM_RES!$J$5:$J$229,0)-1,0),0)</f>
        <v>211010501</v>
      </c>
      <c r="U174" s="11">
        <v>1</v>
      </c>
      <c r="V174" s="81" t="s">
        <v>529</v>
      </c>
      <c r="W174" s="11">
        <f ca="1">IFERROR(OFFSET(ITEM_RES!$A$5,MATCH(BUILDING!V174,ITEM_RES!$J$5:$J$229,0)-1,0),0)</f>
        <v>211010601</v>
      </c>
      <c r="Y174" s="9" t="s">
        <v>502</v>
      </c>
      <c r="Z174" s="9">
        <v>10</v>
      </c>
      <c r="AB174" s="11">
        <f ca="1">IFERROR(OFFSET(MANOR_LEVEL!$B$1,MATCH(AC174-1,MANOR_LEVEL!$A:$A,0)-1,0),0)</f>
        <v>3500000</v>
      </c>
      <c r="AC174" s="55">
        <v>12</v>
      </c>
      <c r="AE174" s="11">
        <f t="shared" ca="1" si="57"/>
        <v>390000</v>
      </c>
      <c r="AF174" s="10">
        <f ca="1">AK174+AM174+(IFERROR(OFFSET(ITEM_RES!$R$1,MATCH(AQ174,ITEM_RES!$A:$A,0)-1,0),0)*AS174+IFERROR(OFFSET(ITEM_RES!$R$1,MATCH(AV174,ITEM_RES!$A:$A,0)-1,0),0)*AX174+IFERROR(OFFSET(ITEM_RES!$R$1,MATCH(BA174,ITEM_RES!$A:$A,0)-1,0),0)*BC174+IFERROR(OFFSET(ITEM_RES!$R$1,MATCH(BF174,ITEM_RES!$A:$A,0)-1,0),0)*BH174+IFERROR(OFFSET(ITEM_RES!$R$1,MATCH(BK174,ITEM_RES!$A:$A,0)-1,0),0)*BM174)/1000</f>
        <v>390000</v>
      </c>
      <c r="AG174" s="176">
        <f t="shared" ca="1" si="59"/>
        <v>624000</v>
      </c>
      <c r="AI174" s="11">
        <f t="shared" si="49"/>
        <v>180</v>
      </c>
      <c r="AJ174" s="10">
        <v>180</v>
      </c>
      <c r="AK174" s="11">
        <f t="shared" si="58"/>
        <v>0</v>
      </c>
      <c r="AL174" s="10">
        <v>0</v>
      </c>
      <c r="AM174" s="11">
        <f t="shared" si="50"/>
        <v>0</v>
      </c>
      <c r="AN174" s="10">
        <v>0</v>
      </c>
      <c r="AO174" s="55">
        <f t="shared" si="51"/>
        <v>1</v>
      </c>
      <c r="AQ174" s="11">
        <f ca="1">IFERROR(OFFSET(ITEM_RES!$A$1,MATCH(AR174,ITEM_RES!$J:$J,0)-1,0),0)</f>
        <v>211020801</v>
      </c>
      <c r="AR174" s="10" t="s">
        <v>1057</v>
      </c>
      <c r="AS174" s="11">
        <v>65000</v>
      </c>
      <c r="AV174" s="11">
        <f ca="1">IFERROR(OFFSET(ITEM_RES!$A$1,MATCH(AW174,ITEM_RES!$J:$J,0)-1,0),0)</f>
        <v>0</v>
      </c>
      <c r="BA174" s="11">
        <f ca="1">IFERROR(OFFSET(ITEM_RES!$A$1,MATCH(BB174,ITEM_RES!$J:$J,0)-1,0),0)</f>
        <v>0</v>
      </c>
      <c r="BF174" s="11">
        <f ca="1">IFERROR(OFFSET(ITEM_RES!$A$1,MATCH(BG174,ITEM_RES!$J:$J,0)-1,0),0)</f>
        <v>0</v>
      </c>
      <c r="BK174" s="11">
        <f ca="1">IFERROR(OFFSET(ITEM_RES!$A$1,MATCH(BL174,ITEM_RES!$J:$J,0)-1,0),0)</f>
        <v>0</v>
      </c>
      <c r="BM174" s="11">
        <f t="shared" si="56"/>
        <v>0</v>
      </c>
    </row>
    <row r="175" spans="1:66" x14ac:dyDescent="0.3">
      <c r="A175" s="14">
        <f t="shared" si="53"/>
        <v>112030011</v>
      </c>
      <c r="B175" s="13">
        <v>11</v>
      </c>
      <c r="C175" s="12">
        <f t="shared" si="54"/>
        <v>2</v>
      </c>
      <c r="D175" s="13">
        <v>3</v>
      </c>
      <c r="E175" s="13">
        <v>0</v>
      </c>
      <c r="F175" s="12">
        <f t="shared" si="55"/>
        <v>11</v>
      </c>
      <c r="H175" s="9">
        <v>2</v>
      </c>
      <c r="I175" s="9">
        <v>11</v>
      </c>
      <c r="K175" s="9" t="s">
        <v>358</v>
      </c>
      <c r="M175" s="9">
        <v>1</v>
      </c>
      <c r="N175" s="9">
        <v>15</v>
      </c>
      <c r="O175" s="9" t="s">
        <v>738</v>
      </c>
      <c r="P175" s="55" t="s">
        <v>1354</v>
      </c>
      <c r="Q175" s="9" t="s">
        <v>670</v>
      </c>
      <c r="S175" s="81" t="s">
        <v>528</v>
      </c>
      <c r="T175" s="9">
        <f ca="1">IFERROR(OFFSET(ITEM_RES!$A$5,MATCH(BUILDING!S175,ITEM_RES!$J$5:$J$229,0)-1,0),0)</f>
        <v>211010501</v>
      </c>
      <c r="U175" s="11">
        <v>1</v>
      </c>
      <c r="V175" s="81" t="s">
        <v>529</v>
      </c>
      <c r="W175" s="11">
        <f ca="1">IFERROR(OFFSET(ITEM_RES!$A$5,MATCH(BUILDING!V175,ITEM_RES!$J$5:$J$229,0)-1,0),0)</f>
        <v>211010601</v>
      </c>
      <c r="Y175" s="9" t="s">
        <v>502</v>
      </c>
      <c r="Z175" s="9">
        <v>11</v>
      </c>
      <c r="AB175" s="11">
        <f ca="1">IFERROR(OFFSET(MANOR_LEVEL!$B$1,MATCH(AC175-1,MANOR_LEVEL!$A:$A,0)-1,0),0)</f>
        <v>3500000</v>
      </c>
      <c r="AC175" s="55">
        <v>12</v>
      </c>
      <c r="AE175" s="11">
        <f t="shared" ca="1" si="57"/>
        <v>660000</v>
      </c>
      <c r="AF175" s="10">
        <f ca="1">AK175+AM175+(IFERROR(OFFSET(ITEM_RES!$R$1,MATCH(AQ175,ITEM_RES!$A:$A,0)-1,0),0)*AS175+IFERROR(OFFSET(ITEM_RES!$R$1,MATCH(AV175,ITEM_RES!$A:$A,0)-1,0),0)*AX175+IFERROR(OFFSET(ITEM_RES!$R$1,MATCH(BA175,ITEM_RES!$A:$A,0)-1,0),0)*BC175+IFERROR(OFFSET(ITEM_RES!$R$1,MATCH(BF175,ITEM_RES!$A:$A,0)-1,0),0)*BH175+IFERROR(OFFSET(ITEM_RES!$R$1,MATCH(BK175,ITEM_RES!$A:$A,0)-1,0),0)*BM175)/1000</f>
        <v>660000</v>
      </c>
      <c r="AG175" s="176">
        <f t="shared" ca="1" si="59"/>
        <v>1050000</v>
      </c>
      <c r="AI175" s="11">
        <f t="shared" si="49"/>
        <v>360</v>
      </c>
      <c r="AJ175" s="10">
        <v>360</v>
      </c>
      <c r="AK175" s="11">
        <f t="shared" si="58"/>
        <v>0</v>
      </c>
      <c r="AL175" s="10">
        <v>0</v>
      </c>
      <c r="AM175" s="11">
        <f t="shared" si="50"/>
        <v>0</v>
      </c>
      <c r="AN175" s="10">
        <v>0</v>
      </c>
      <c r="AO175" s="55">
        <f t="shared" si="51"/>
        <v>1</v>
      </c>
      <c r="AQ175" s="11">
        <f ca="1">IFERROR(OFFSET(ITEM_RES!$A$1,MATCH(AR175,ITEM_RES!$J:$J,0)-1,0),0)</f>
        <v>211020801</v>
      </c>
      <c r="AR175" s="10" t="s">
        <v>1057</v>
      </c>
      <c r="AS175" s="11">
        <v>110000</v>
      </c>
      <c r="AV175" s="11">
        <f ca="1">IFERROR(OFFSET(ITEM_RES!$A$1,MATCH(AW175,ITEM_RES!$J:$J,0)-1,0),0)</f>
        <v>0</v>
      </c>
      <c r="BA175" s="11">
        <f ca="1">IFERROR(OFFSET(ITEM_RES!$A$1,MATCH(BB175,ITEM_RES!$J:$J,0)-1,0),0)</f>
        <v>0</v>
      </c>
      <c r="BF175" s="11">
        <f ca="1">IFERROR(OFFSET(ITEM_RES!$A$1,MATCH(BG175,ITEM_RES!$J:$J,0)-1,0),0)</f>
        <v>0</v>
      </c>
      <c r="BK175" s="11">
        <f ca="1">IFERROR(OFFSET(ITEM_RES!$A$1,MATCH(BL175,ITEM_RES!$J:$J,0)-1,0),0)</f>
        <v>0</v>
      </c>
      <c r="BM175" s="11">
        <f t="shared" si="56"/>
        <v>0</v>
      </c>
    </row>
    <row r="176" spans="1:66" x14ac:dyDescent="0.3">
      <c r="A176" s="14">
        <f t="shared" si="53"/>
        <v>112030012</v>
      </c>
      <c r="B176" s="13">
        <v>11</v>
      </c>
      <c r="C176" s="12">
        <f t="shared" si="54"/>
        <v>2</v>
      </c>
      <c r="D176" s="13">
        <v>3</v>
      </c>
      <c r="E176" s="13">
        <v>0</v>
      </c>
      <c r="F176" s="12">
        <f t="shared" si="55"/>
        <v>12</v>
      </c>
      <c r="H176" s="9">
        <v>2</v>
      </c>
      <c r="I176" s="9">
        <v>12</v>
      </c>
      <c r="K176" s="9" t="s">
        <v>358</v>
      </c>
      <c r="M176" s="9">
        <v>1</v>
      </c>
      <c r="N176" s="9">
        <v>15</v>
      </c>
      <c r="O176" s="9" t="s">
        <v>738</v>
      </c>
      <c r="P176" s="55" t="s">
        <v>1354</v>
      </c>
      <c r="Q176" s="9" t="s">
        <v>670</v>
      </c>
      <c r="S176" s="81" t="s">
        <v>528</v>
      </c>
      <c r="T176" s="9">
        <f ca="1">IFERROR(OFFSET(ITEM_RES!$A$5,MATCH(BUILDING!S176,ITEM_RES!$J$5:$J$229,0)-1,0),0)</f>
        <v>211010501</v>
      </c>
      <c r="U176" s="11">
        <v>1</v>
      </c>
      <c r="V176" s="81" t="s">
        <v>529</v>
      </c>
      <c r="W176" s="11">
        <f ca="1">IFERROR(OFFSET(ITEM_RES!$A$5,MATCH(BUILDING!V176,ITEM_RES!$J$5:$J$229,0)-1,0),0)</f>
        <v>211010601</v>
      </c>
      <c r="Y176" s="9" t="s">
        <v>502</v>
      </c>
      <c r="Z176" s="9">
        <v>12</v>
      </c>
      <c r="AB176" s="11">
        <f ca="1">IFERROR(OFFSET(MANOR_LEVEL!$B$1,MATCH(AC176-1,MANOR_LEVEL!$A:$A,0)-1,0),0)</f>
        <v>3500000</v>
      </c>
      <c r="AC176" s="55">
        <v>12</v>
      </c>
      <c r="AE176" s="11">
        <f t="shared" ca="1" si="57"/>
        <v>1110000</v>
      </c>
      <c r="AF176" s="10">
        <f ca="1">AK176+AM176+(IFERROR(OFFSET(ITEM_RES!$R$1,MATCH(AQ176,ITEM_RES!$A:$A,0)-1,0),0)*AS176+IFERROR(OFFSET(ITEM_RES!$R$1,MATCH(AV176,ITEM_RES!$A:$A,0)-1,0),0)*AX176+IFERROR(OFFSET(ITEM_RES!$R$1,MATCH(BA176,ITEM_RES!$A:$A,0)-1,0),0)*BC176+IFERROR(OFFSET(ITEM_RES!$R$1,MATCH(BF176,ITEM_RES!$A:$A,0)-1,0),0)*BH176+IFERROR(OFFSET(ITEM_RES!$R$1,MATCH(BK176,ITEM_RES!$A:$A,0)-1,0),0)*BM176)/1000</f>
        <v>1110000</v>
      </c>
      <c r="AG176" s="176">
        <f t="shared" ca="1" si="59"/>
        <v>1770000</v>
      </c>
      <c r="AI176" s="11">
        <f t="shared" si="49"/>
        <v>540</v>
      </c>
      <c r="AJ176" s="10">
        <v>540</v>
      </c>
      <c r="AK176" s="11">
        <f t="shared" si="58"/>
        <v>0</v>
      </c>
      <c r="AL176" s="10">
        <v>0</v>
      </c>
      <c r="AM176" s="11">
        <f t="shared" si="50"/>
        <v>0</v>
      </c>
      <c r="AN176" s="10">
        <v>0</v>
      </c>
      <c r="AO176" s="55">
        <f t="shared" si="51"/>
        <v>1</v>
      </c>
      <c r="AQ176" s="11">
        <f ca="1">IFERROR(OFFSET(ITEM_RES!$A$1,MATCH(AR176,ITEM_RES!$J:$J,0)-1,0),0)</f>
        <v>211020801</v>
      </c>
      <c r="AR176" s="10" t="s">
        <v>1057</v>
      </c>
      <c r="AS176" s="11">
        <v>185000</v>
      </c>
      <c r="AV176" s="11">
        <f ca="1">IFERROR(OFFSET(ITEM_RES!$A$1,MATCH(AW176,ITEM_RES!$J:$J,0)-1,0),0)</f>
        <v>0</v>
      </c>
      <c r="BA176" s="11">
        <f ca="1">IFERROR(OFFSET(ITEM_RES!$A$1,MATCH(BB176,ITEM_RES!$J:$J,0)-1,0),0)</f>
        <v>0</v>
      </c>
      <c r="BF176" s="11">
        <f ca="1">IFERROR(OFFSET(ITEM_RES!$A$1,MATCH(BG176,ITEM_RES!$J:$J,0)-1,0),0)</f>
        <v>0</v>
      </c>
      <c r="BK176" s="11">
        <f ca="1">IFERROR(OFFSET(ITEM_RES!$A$1,MATCH(BL176,ITEM_RES!$J:$J,0)-1,0),0)</f>
        <v>0</v>
      </c>
      <c r="BM176" s="11">
        <f t="shared" si="56"/>
        <v>0</v>
      </c>
    </row>
    <row r="177" spans="1:66" x14ac:dyDescent="0.3">
      <c r="A177" s="14">
        <f t="shared" si="53"/>
        <v>112030013</v>
      </c>
      <c r="B177" s="13">
        <v>11</v>
      </c>
      <c r="C177" s="12">
        <f t="shared" si="54"/>
        <v>2</v>
      </c>
      <c r="D177" s="13">
        <v>3</v>
      </c>
      <c r="E177" s="13">
        <v>0</v>
      </c>
      <c r="F177" s="12">
        <f t="shared" si="55"/>
        <v>13</v>
      </c>
      <c r="H177" s="9">
        <v>2</v>
      </c>
      <c r="I177" s="9">
        <v>13</v>
      </c>
      <c r="K177" s="9" t="s">
        <v>358</v>
      </c>
      <c r="M177" s="9">
        <v>1</v>
      </c>
      <c r="N177" s="9">
        <v>15</v>
      </c>
      <c r="O177" s="9" t="s">
        <v>738</v>
      </c>
      <c r="P177" s="55" t="s">
        <v>1354</v>
      </c>
      <c r="Q177" s="9" t="s">
        <v>670</v>
      </c>
      <c r="S177" s="81" t="s">
        <v>528</v>
      </c>
      <c r="T177" s="9">
        <f ca="1">IFERROR(OFFSET(ITEM_RES!$A$5,MATCH(BUILDING!S177,ITEM_RES!$J$5:$J$229,0)-1,0),0)</f>
        <v>211010501</v>
      </c>
      <c r="U177" s="11">
        <v>1</v>
      </c>
      <c r="V177" s="81" t="s">
        <v>529</v>
      </c>
      <c r="W177" s="11">
        <f ca="1">IFERROR(OFFSET(ITEM_RES!$A$5,MATCH(BUILDING!V177,ITEM_RES!$J$5:$J$229,0)-1,0),0)</f>
        <v>211010601</v>
      </c>
      <c r="Y177" s="9" t="s">
        <v>502</v>
      </c>
      <c r="Z177" s="9">
        <v>13</v>
      </c>
      <c r="AB177" s="11">
        <f ca="1">IFERROR(OFFSET(MANOR_LEVEL!$B$1,MATCH(AC177-1,MANOR_LEVEL!$A:$A,0)-1,0),0)</f>
        <v>3500000</v>
      </c>
      <c r="AC177" s="55">
        <v>12</v>
      </c>
      <c r="AE177" s="11">
        <f t="shared" ca="1" si="57"/>
        <v>1860000</v>
      </c>
      <c r="AF177" s="10">
        <f ca="1">AK177+AM177+(IFERROR(OFFSET(ITEM_RES!$R$1,MATCH(AQ177,ITEM_RES!$A:$A,0)-1,0),0)*AS177+IFERROR(OFFSET(ITEM_RES!$R$1,MATCH(AV177,ITEM_RES!$A:$A,0)-1,0),0)*AX177+IFERROR(OFFSET(ITEM_RES!$R$1,MATCH(BA177,ITEM_RES!$A:$A,0)-1,0),0)*BC177+IFERROR(OFFSET(ITEM_RES!$R$1,MATCH(BF177,ITEM_RES!$A:$A,0)-1,0),0)*BH177+IFERROR(OFFSET(ITEM_RES!$R$1,MATCH(BK177,ITEM_RES!$A:$A,0)-1,0),0)*BM177)/1000</f>
        <v>1860000</v>
      </c>
      <c r="AG177" s="176">
        <f t="shared" ca="1" si="59"/>
        <v>2970000</v>
      </c>
      <c r="AI177" s="11">
        <f t="shared" si="49"/>
        <v>720</v>
      </c>
      <c r="AJ177" s="10">
        <v>720</v>
      </c>
      <c r="AK177" s="11">
        <f t="shared" si="58"/>
        <v>0</v>
      </c>
      <c r="AL177" s="10">
        <v>0</v>
      </c>
      <c r="AM177" s="11">
        <f t="shared" si="50"/>
        <v>0</v>
      </c>
      <c r="AN177" s="10">
        <v>0</v>
      </c>
      <c r="AO177" s="55">
        <f t="shared" si="51"/>
        <v>1</v>
      </c>
      <c r="AQ177" s="11">
        <f ca="1">IFERROR(OFFSET(ITEM_RES!$A$1,MATCH(AR177,ITEM_RES!$J:$J,0)-1,0),0)</f>
        <v>211020801</v>
      </c>
      <c r="AR177" s="10" t="s">
        <v>1057</v>
      </c>
      <c r="AS177" s="11">
        <v>310000</v>
      </c>
      <c r="AV177" s="11">
        <f ca="1">IFERROR(OFFSET(ITEM_RES!$A$1,MATCH(AW177,ITEM_RES!$J:$J,0)-1,0),0)</f>
        <v>0</v>
      </c>
      <c r="BA177" s="11">
        <f ca="1">IFERROR(OFFSET(ITEM_RES!$A$1,MATCH(BB177,ITEM_RES!$J:$J,0)-1,0),0)</f>
        <v>0</v>
      </c>
      <c r="BF177" s="11">
        <f ca="1">IFERROR(OFFSET(ITEM_RES!$A$1,MATCH(BG177,ITEM_RES!$J:$J,0)-1,0),0)</f>
        <v>0</v>
      </c>
      <c r="BK177" s="11">
        <f ca="1">IFERROR(OFFSET(ITEM_RES!$A$1,MATCH(BL177,ITEM_RES!$J:$J,0)-1,0),0)</f>
        <v>0</v>
      </c>
      <c r="BM177" s="11">
        <f t="shared" si="56"/>
        <v>0</v>
      </c>
    </row>
    <row r="178" spans="1:66" x14ac:dyDescent="0.3">
      <c r="A178" s="14">
        <f t="shared" si="53"/>
        <v>112030014</v>
      </c>
      <c r="B178" s="13">
        <v>11</v>
      </c>
      <c r="C178" s="12">
        <f t="shared" si="54"/>
        <v>2</v>
      </c>
      <c r="D178" s="13">
        <v>3</v>
      </c>
      <c r="E178" s="13">
        <v>0</v>
      </c>
      <c r="F178" s="12">
        <f t="shared" si="55"/>
        <v>14</v>
      </c>
      <c r="H178" s="9">
        <v>2</v>
      </c>
      <c r="I178" s="9">
        <v>14</v>
      </c>
      <c r="K178" s="9" t="s">
        <v>358</v>
      </c>
      <c r="M178" s="9">
        <v>1</v>
      </c>
      <c r="N178" s="9">
        <v>15</v>
      </c>
      <c r="O178" s="9" t="s">
        <v>738</v>
      </c>
      <c r="P178" s="55" t="s">
        <v>1354</v>
      </c>
      <c r="Q178" s="9" t="s">
        <v>670</v>
      </c>
      <c r="S178" s="81" t="s">
        <v>528</v>
      </c>
      <c r="T178" s="9">
        <f ca="1">IFERROR(OFFSET(ITEM_RES!$A$5,MATCH(BUILDING!S178,ITEM_RES!$J$5:$J$229,0)-1,0),0)</f>
        <v>211010501</v>
      </c>
      <c r="U178" s="11">
        <v>1</v>
      </c>
      <c r="V178" s="81" t="s">
        <v>529</v>
      </c>
      <c r="W178" s="11">
        <f ca="1">IFERROR(OFFSET(ITEM_RES!$A$5,MATCH(BUILDING!V178,ITEM_RES!$J$5:$J$229,0)-1,0),0)</f>
        <v>211010601</v>
      </c>
      <c r="Y178" s="9" t="s">
        <v>502</v>
      </c>
      <c r="Z178" s="9">
        <v>14</v>
      </c>
      <c r="AB178" s="11">
        <f ca="1">IFERROR(OFFSET(MANOR_LEVEL!$B$1,MATCH(AC178-1,MANOR_LEVEL!$A:$A,0)-1,0),0)</f>
        <v>3500000</v>
      </c>
      <c r="AC178" s="55">
        <v>12</v>
      </c>
      <c r="AE178" s="11">
        <f t="shared" ca="1" si="57"/>
        <v>2910000</v>
      </c>
      <c r="AF178" s="10">
        <f ca="1">AK178+AM178+(IFERROR(OFFSET(ITEM_RES!$R$1,MATCH(AQ178,ITEM_RES!$A:$A,0)-1,0),0)*AS178+IFERROR(OFFSET(ITEM_RES!$R$1,MATCH(AV178,ITEM_RES!$A:$A,0)-1,0),0)*AX178+IFERROR(OFFSET(ITEM_RES!$R$1,MATCH(BA178,ITEM_RES!$A:$A,0)-1,0),0)*BC178+IFERROR(OFFSET(ITEM_RES!$R$1,MATCH(BF178,ITEM_RES!$A:$A,0)-1,0),0)*BH178+IFERROR(OFFSET(ITEM_RES!$R$1,MATCH(BK178,ITEM_RES!$A:$A,0)-1,0),0)*BM178)/1000</f>
        <v>2910000</v>
      </c>
      <c r="AG178" s="176">
        <f t="shared" ca="1" si="59"/>
        <v>4770000</v>
      </c>
      <c r="AI178" s="11">
        <f t="shared" si="49"/>
        <v>900</v>
      </c>
      <c r="AJ178" s="10">
        <v>900</v>
      </c>
      <c r="AK178" s="11">
        <f t="shared" si="58"/>
        <v>0</v>
      </c>
      <c r="AL178" s="10">
        <v>0</v>
      </c>
      <c r="AM178" s="11">
        <f t="shared" si="50"/>
        <v>0</v>
      </c>
      <c r="AN178" s="10">
        <v>0</v>
      </c>
      <c r="AO178" s="55">
        <f t="shared" si="51"/>
        <v>1</v>
      </c>
      <c r="AQ178" s="11">
        <f ca="1">IFERROR(OFFSET(ITEM_RES!$A$1,MATCH(AR178,ITEM_RES!$J:$J,0)-1,0),0)</f>
        <v>211020801</v>
      </c>
      <c r="AR178" s="10" t="s">
        <v>1057</v>
      </c>
      <c r="AS178" s="11">
        <v>485000</v>
      </c>
      <c r="AV178" s="11">
        <f ca="1">IFERROR(OFFSET(ITEM_RES!$A$1,MATCH(AW178,ITEM_RES!$J:$J,0)-1,0),0)</f>
        <v>0</v>
      </c>
      <c r="BA178" s="11">
        <f ca="1">IFERROR(OFFSET(ITEM_RES!$A$1,MATCH(BB178,ITEM_RES!$J:$J,0)-1,0),0)</f>
        <v>0</v>
      </c>
      <c r="BF178" s="11">
        <f ca="1">IFERROR(OFFSET(ITEM_RES!$A$1,MATCH(BG178,ITEM_RES!$J:$J,0)-1,0),0)</f>
        <v>0</v>
      </c>
      <c r="BK178" s="11">
        <f ca="1">IFERROR(OFFSET(ITEM_RES!$A$1,MATCH(BL178,ITEM_RES!$J:$J,0)-1,0),0)</f>
        <v>0</v>
      </c>
      <c r="BM178" s="11">
        <f t="shared" si="56"/>
        <v>0</v>
      </c>
    </row>
    <row r="179" spans="1:66" x14ac:dyDescent="0.3">
      <c r="A179" s="14">
        <f t="shared" si="53"/>
        <v>112030015</v>
      </c>
      <c r="B179" s="13">
        <v>11</v>
      </c>
      <c r="C179" s="12">
        <f t="shared" si="54"/>
        <v>2</v>
      </c>
      <c r="D179" s="13">
        <v>3</v>
      </c>
      <c r="E179" s="13">
        <v>0</v>
      </c>
      <c r="F179" s="12">
        <f t="shared" si="55"/>
        <v>15</v>
      </c>
      <c r="H179" s="9">
        <v>2</v>
      </c>
      <c r="I179" s="9">
        <v>15</v>
      </c>
      <c r="K179" s="9" t="s">
        <v>358</v>
      </c>
      <c r="M179" s="9">
        <v>1</v>
      </c>
      <c r="N179" s="9">
        <v>15</v>
      </c>
      <c r="O179" s="9" t="s">
        <v>738</v>
      </c>
      <c r="P179" s="55" t="s">
        <v>1354</v>
      </c>
      <c r="Q179" s="9" t="s">
        <v>670</v>
      </c>
      <c r="S179" s="81" t="s">
        <v>528</v>
      </c>
      <c r="T179" s="9">
        <f ca="1">IFERROR(OFFSET(ITEM_RES!$A$5,MATCH(BUILDING!S179,ITEM_RES!$J$5:$J$229,0)-1,0),0)</f>
        <v>211010501</v>
      </c>
      <c r="U179" s="11">
        <v>1</v>
      </c>
      <c r="V179" s="81" t="s">
        <v>529</v>
      </c>
      <c r="W179" s="11">
        <f ca="1">IFERROR(OFFSET(ITEM_RES!$A$5,MATCH(BUILDING!V179,ITEM_RES!$J$5:$J$229,0)-1,0),0)</f>
        <v>211010601</v>
      </c>
      <c r="Y179" s="9" t="s">
        <v>502</v>
      </c>
      <c r="Z179" s="9">
        <v>15</v>
      </c>
      <c r="AB179" s="11">
        <f ca="1">IFERROR(OFFSET(MANOR_LEVEL!$B$1,MATCH(AC179-1,MANOR_LEVEL!$A:$A,0)-1,0),0)</f>
        <v>3500000</v>
      </c>
      <c r="AC179" s="55">
        <v>12</v>
      </c>
      <c r="AE179" s="11">
        <f t="shared" ca="1" si="57"/>
        <v>6300000</v>
      </c>
      <c r="AF179" s="10">
        <f ca="1">AK179+AM179+(IFERROR(OFFSET(ITEM_RES!$R$1,MATCH(AQ179,ITEM_RES!$A:$A,0)-1,0),0)*AS179+IFERROR(OFFSET(ITEM_RES!$R$1,MATCH(AV179,ITEM_RES!$A:$A,0)-1,0),0)*AX179+IFERROR(OFFSET(ITEM_RES!$R$1,MATCH(BA179,ITEM_RES!$A:$A,0)-1,0),0)*BC179+IFERROR(OFFSET(ITEM_RES!$R$1,MATCH(BF179,ITEM_RES!$A:$A,0)-1,0),0)*BH179+IFERROR(OFFSET(ITEM_RES!$R$1,MATCH(BK179,ITEM_RES!$A:$A,0)-1,0),0)*BM179)/1000</f>
        <v>6300000</v>
      </c>
      <c r="AG179" s="176">
        <f t="shared" ca="1" si="59"/>
        <v>9210000</v>
      </c>
      <c r="AI179" s="11">
        <f t="shared" si="49"/>
        <v>1080</v>
      </c>
      <c r="AJ179" s="10">
        <v>1080</v>
      </c>
      <c r="AK179" s="11">
        <f t="shared" si="58"/>
        <v>0</v>
      </c>
      <c r="AL179" s="10">
        <v>0</v>
      </c>
      <c r="AM179" s="11">
        <f t="shared" si="50"/>
        <v>0</v>
      </c>
      <c r="AN179" s="10">
        <v>0</v>
      </c>
      <c r="AO179" s="55">
        <f t="shared" si="51"/>
        <v>1</v>
      </c>
      <c r="AQ179" s="11">
        <f ca="1">IFERROR(OFFSET(ITEM_RES!$A$1,MATCH(AR179,ITEM_RES!$J:$J,0)-1,0),0)</f>
        <v>211020801</v>
      </c>
      <c r="AR179" s="10" t="s">
        <v>1057</v>
      </c>
      <c r="AS179" s="11">
        <v>1050000</v>
      </c>
      <c r="AV179" s="11">
        <f ca="1">IFERROR(OFFSET(ITEM_RES!$A$1,MATCH(AW179,ITEM_RES!$J:$J,0)-1,0),0)</f>
        <v>0</v>
      </c>
      <c r="BA179" s="11">
        <f ca="1">IFERROR(OFFSET(ITEM_RES!$A$1,MATCH(BB179,ITEM_RES!$J:$J,0)-1,0),0)</f>
        <v>0</v>
      </c>
      <c r="BF179" s="11">
        <f ca="1">IFERROR(OFFSET(ITEM_RES!$A$1,MATCH(BG179,ITEM_RES!$J:$J,0)-1,0),0)</f>
        <v>0</v>
      </c>
      <c r="BK179" s="11">
        <f ca="1">IFERROR(OFFSET(ITEM_RES!$A$1,MATCH(BL179,ITEM_RES!$J:$J,0)-1,0),0)</f>
        <v>0</v>
      </c>
      <c r="BM179" s="11">
        <f t="shared" si="56"/>
        <v>0</v>
      </c>
    </row>
    <row r="180" spans="1:66" x14ac:dyDescent="0.3">
      <c r="A180" s="14">
        <f t="shared" si="53"/>
        <v>112030016</v>
      </c>
      <c r="B180" s="13">
        <v>11</v>
      </c>
      <c r="C180" s="12">
        <f t="shared" si="54"/>
        <v>2</v>
      </c>
      <c r="D180" s="13">
        <v>3</v>
      </c>
      <c r="E180" s="13">
        <v>0</v>
      </c>
      <c r="F180" s="12">
        <f t="shared" si="55"/>
        <v>16</v>
      </c>
      <c r="H180" s="9">
        <v>2</v>
      </c>
      <c r="I180" s="9">
        <v>16</v>
      </c>
      <c r="K180" s="9" t="s">
        <v>358</v>
      </c>
      <c r="M180" s="9">
        <v>0</v>
      </c>
      <c r="N180" s="9">
        <v>15</v>
      </c>
      <c r="O180" s="9" t="s">
        <v>738</v>
      </c>
      <c r="P180" s="55" t="s">
        <v>1354</v>
      </c>
      <c r="Q180" s="9" t="s">
        <v>670</v>
      </c>
      <c r="S180" s="81" t="s">
        <v>528</v>
      </c>
      <c r="T180" s="9">
        <f ca="1">IFERROR(OFFSET(ITEM_RES!$A$5,MATCH(BUILDING!S180,ITEM_RES!$J$5:$J$229,0)-1,0),0)</f>
        <v>211010501</v>
      </c>
      <c r="U180" s="11">
        <v>1</v>
      </c>
      <c r="V180" s="81" t="s">
        <v>529</v>
      </c>
      <c r="W180" s="11">
        <f ca="1">IFERROR(OFFSET(ITEM_RES!$A$5,MATCH(BUILDING!V180,ITEM_RES!$J$5:$J$229,0)-1,0),0)</f>
        <v>211010601</v>
      </c>
      <c r="Y180" s="9" t="s">
        <v>502</v>
      </c>
      <c r="Z180" s="9">
        <v>16</v>
      </c>
      <c r="AB180" s="11">
        <f ca="1">IFERROR(OFFSET(MANOR_LEVEL!$B$1,MATCH(AC180-1,MANOR_LEVEL!$A:$A,0)-1,0),0)</f>
        <v>3500000</v>
      </c>
      <c r="AC180" s="55">
        <v>12</v>
      </c>
      <c r="AE180" s="11">
        <f t="shared" ca="1" si="57"/>
        <v>12900000</v>
      </c>
      <c r="AF180" s="10">
        <f ca="1">AK180+AM180+(IFERROR(OFFSET(ITEM_RES!$R$1,MATCH(AQ180,ITEM_RES!$A:$A,0)-1,0),0)*AS180+IFERROR(OFFSET(ITEM_RES!$R$1,MATCH(AV180,ITEM_RES!$A:$A,0)-1,0),0)*AX180+IFERROR(OFFSET(ITEM_RES!$R$1,MATCH(BA180,ITEM_RES!$A:$A,0)-1,0),0)*BC180+IFERROR(OFFSET(ITEM_RES!$R$1,MATCH(BF180,ITEM_RES!$A:$A,0)-1,0),0)*BH180+IFERROR(OFFSET(ITEM_RES!$R$1,MATCH(BK180,ITEM_RES!$A:$A,0)-1,0),0)*BM180)/1000</f>
        <v>12900000</v>
      </c>
      <c r="AG180" s="176">
        <f t="shared" ca="1" si="59"/>
        <v>19200000</v>
      </c>
      <c r="AI180" s="11">
        <f t="shared" si="49"/>
        <v>1260</v>
      </c>
      <c r="AJ180" s="10">
        <v>1260</v>
      </c>
      <c r="AK180" s="11">
        <f t="shared" si="58"/>
        <v>0</v>
      </c>
      <c r="AL180" s="10">
        <v>0</v>
      </c>
      <c r="AM180" s="11">
        <f t="shared" si="50"/>
        <v>0</v>
      </c>
      <c r="AN180" s="10">
        <v>0</v>
      </c>
      <c r="AO180" s="55">
        <f t="shared" si="51"/>
        <v>1</v>
      </c>
      <c r="AQ180" s="11">
        <f ca="1">IFERROR(OFFSET(ITEM_RES!$A$1,MATCH(AR180,ITEM_RES!$J:$J,0)-1,0),0)</f>
        <v>211020801</v>
      </c>
      <c r="AR180" s="10" t="s">
        <v>1057</v>
      </c>
      <c r="AS180" s="11">
        <v>2150000</v>
      </c>
      <c r="AV180" s="11">
        <f ca="1">IFERROR(OFFSET(ITEM_RES!$A$1,MATCH(AW180,ITEM_RES!$J:$J,0)-1,0),0)</f>
        <v>0</v>
      </c>
      <c r="BA180" s="11">
        <f ca="1">IFERROR(OFFSET(ITEM_RES!$A$1,MATCH(BB180,ITEM_RES!$J:$J,0)-1,0),0)</f>
        <v>0</v>
      </c>
      <c r="BF180" s="11">
        <f ca="1">IFERROR(OFFSET(ITEM_RES!$A$1,MATCH(BG180,ITEM_RES!$J:$J,0)-1,0),0)</f>
        <v>0</v>
      </c>
      <c r="BK180" s="11">
        <f ca="1">IFERROR(OFFSET(ITEM_RES!$A$1,MATCH(BL180,ITEM_RES!$J:$J,0)-1,0),0)</f>
        <v>0</v>
      </c>
      <c r="BM180" s="11">
        <f t="shared" si="56"/>
        <v>0</v>
      </c>
    </row>
    <row r="181" spans="1:66" x14ac:dyDescent="0.3">
      <c r="A181" s="14">
        <f t="shared" si="53"/>
        <v>112030017</v>
      </c>
      <c r="B181" s="13">
        <v>11</v>
      </c>
      <c r="C181" s="12">
        <f t="shared" si="54"/>
        <v>2</v>
      </c>
      <c r="D181" s="13">
        <v>3</v>
      </c>
      <c r="E181" s="13">
        <v>0</v>
      </c>
      <c r="F181" s="12">
        <f t="shared" si="55"/>
        <v>17</v>
      </c>
      <c r="H181" s="9">
        <v>2</v>
      </c>
      <c r="I181" s="9">
        <v>17</v>
      </c>
      <c r="K181" s="9" t="s">
        <v>358</v>
      </c>
      <c r="M181" s="9">
        <v>0</v>
      </c>
      <c r="N181" s="9">
        <v>15</v>
      </c>
      <c r="O181" s="9" t="s">
        <v>738</v>
      </c>
      <c r="P181" s="55" t="s">
        <v>1354</v>
      </c>
      <c r="Q181" s="9" t="s">
        <v>670</v>
      </c>
      <c r="S181" s="81" t="s">
        <v>528</v>
      </c>
      <c r="T181" s="9">
        <f ca="1">IFERROR(OFFSET(ITEM_RES!$A$5,MATCH(BUILDING!S181,ITEM_RES!$J$5:$J$229,0)-1,0),0)</f>
        <v>211010501</v>
      </c>
      <c r="U181" s="11">
        <v>1</v>
      </c>
      <c r="V181" s="81" t="s">
        <v>529</v>
      </c>
      <c r="W181" s="11">
        <f ca="1">IFERROR(OFFSET(ITEM_RES!$A$5,MATCH(BUILDING!V181,ITEM_RES!$J$5:$J$229,0)-1,0),0)</f>
        <v>211010601</v>
      </c>
      <c r="Y181" s="9" t="s">
        <v>502</v>
      </c>
      <c r="Z181" s="9">
        <v>17</v>
      </c>
      <c r="AB181" s="11">
        <f ca="1">IFERROR(OFFSET(MANOR_LEVEL!$B$1,MATCH(AC181-1,MANOR_LEVEL!$A:$A,0)-1,0),0)</f>
        <v>3500000</v>
      </c>
      <c r="AC181" s="55">
        <v>12</v>
      </c>
      <c r="AE181" s="11">
        <f t="shared" ca="1" si="57"/>
        <v>40000000</v>
      </c>
      <c r="AF181" s="10">
        <f ca="1">AK181+AM181+(IFERROR(OFFSET(ITEM_RES!$R$1,MATCH(AQ181,ITEM_RES!$A:$A,0)-1,0),0)*AS181+IFERROR(OFFSET(ITEM_RES!$R$1,MATCH(AV181,ITEM_RES!$A:$A,0)-1,0),0)*AX181+IFERROR(OFFSET(ITEM_RES!$R$1,MATCH(BA181,ITEM_RES!$A:$A,0)-1,0),0)*BC181+IFERROR(OFFSET(ITEM_RES!$R$1,MATCH(BF181,ITEM_RES!$A:$A,0)-1,0),0)*BH181+IFERROR(OFFSET(ITEM_RES!$R$1,MATCH(BK181,ITEM_RES!$A:$A,0)-1,0),0)*BM181)/1000</f>
        <v>40000000</v>
      </c>
      <c r="AG181" s="176">
        <f t="shared" ca="1" si="59"/>
        <v>52900000</v>
      </c>
      <c r="AI181" s="11">
        <f t="shared" si="49"/>
        <v>1440</v>
      </c>
      <c r="AJ181" s="10">
        <v>1440</v>
      </c>
      <c r="AK181" s="11">
        <f t="shared" si="58"/>
        <v>0</v>
      </c>
      <c r="AL181" s="10">
        <v>0</v>
      </c>
      <c r="AM181" s="11">
        <f t="shared" si="50"/>
        <v>0</v>
      </c>
      <c r="AN181" s="10">
        <v>0</v>
      </c>
      <c r="AO181" s="55">
        <f t="shared" si="51"/>
        <v>1</v>
      </c>
      <c r="AQ181" s="11">
        <f ca="1">IFERROR(OFFSET(ITEM_RES!$A$1,MATCH(AR181,ITEM_RES!$J:$J,0)-1,0),0)</f>
        <v>211020901</v>
      </c>
      <c r="AR181" s="10" t="s">
        <v>1058</v>
      </c>
      <c r="AS181" s="11">
        <v>4000000</v>
      </c>
      <c r="AV181" s="11">
        <f ca="1">IFERROR(OFFSET(ITEM_RES!$A$1,MATCH(AW181,ITEM_RES!$J:$J,0)-1,0),0)</f>
        <v>0</v>
      </c>
      <c r="BA181" s="11">
        <f ca="1">IFERROR(OFFSET(ITEM_RES!$A$1,MATCH(BB181,ITEM_RES!$J:$J,0)-1,0),0)</f>
        <v>0</v>
      </c>
      <c r="BF181" s="11">
        <f ca="1">IFERROR(OFFSET(ITEM_RES!$A$1,MATCH(BG181,ITEM_RES!$J:$J,0)-1,0),0)</f>
        <v>0</v>
      </c>
      <c r="BK181" s="11">
        <f ca="1">IFERROR(OFFSET(ITEM_RES!$A$1,MATCH(BL181,ITEM_RES!$J:$J,0)-1,0),0)</f>
        <v>0</v>
      </c>
      <c r="BM181" s="11">
        <f t="shared" si="56"/>
        <v>0</v>
      </c>
    </row>
    <row r="182" spans="1:66" x14ac:dyDescent="0.3">
      <c r="A182" s="14">
        <f t="shared" si="53"/>
        <v>112030018</v>
      </c>
      <c r="B182" s="13">
        <v>11</v>
      </c>
      <c r="C182" s="12">
        <f t="shared" si="54"/>
        <v>2</v>
      </c>
      <c r="D182" s="13">
        <v>3</v>
      </c>
      <c r="E182" s="13">
        <v>0</v>
      </c>
      <c r="F182" s="12">
        <f t="shared" si="55"/>
        <v>18</v>
      </c>
      <c r="H182" s="9">
        <v>2</v>
      </c>
      <c r="I182" s="9">
        <v>18</v>
      </c>
      <c r="K182" s="9" t="s">
        <v>358</v>
      </c>
      <c r="M182" s="9">
        <v>0</v>
      </c>
      <c r="N182" s="9">
        <v>15</v>
      </c>
      <c r="O182" s="9" t="s">
        <v>738</v>
      </c>
      <c r="P182" s="55" t="s">
        <v>1354</v>
      </c>
      <c r="Q182" s="9" t="s">
        <v>670</v>
      </c>
      <c r="S182" s="81" t="s">
        <v>528</v>
      </c>
      <c r="T182" s="9">
        <f ca="1">IFERROR(OFFSET(ITEM_RES!$A$5,MATCH(BUILDING!S182,ITEM_RES!$J$5:$J$229,0)-1,0),0)</f>
        <v>211010501</v>
      </c>
      <c r="U182" s="11">
        <v>1</v>
      </c>
      <c r="V182" s="81" t="s">
        <v>529</v>
      </c>
      <c r="W182" s="11">
        <f ca="1">IFERROR(OFFSET(ITEM_RES!$A$5,MATCH(BUILDING!V182,ITEM_RES!$J$5:$J$229,0)-1,0),0)</f>
        <v>211010601</v>
      </c>
      <c r="Y182" s="9" t="s">
        <v>502</v>
      </c>
      <c r="Z182" s="9">
        <v>18</v>
      </c>
      <c r="AB182" s="11">
        <f ca="1">IFERROR(OFFSET(MANOR_LEVEL!$B$1,MATCH(AC182-1,MANOR_LEVEL!$A:$A,0)-1,0),0)</f>
        <v>3500000</v>
      </c>
      <c r="AC182" s="55">
        <v>12</v>
      </c>
      <c r="AE182" s="11">
        <f t="shared" ca="1" si="57"/>
        <v>65000000</v>
      </c>
      <c r="AF182" s="10">
        <f ca="1">AK182+AM182+(IFERROR(OFFSET(ITEM_RES!$R$1,MATCH(AQ182,ITEM_RES!$A:$A,0)-1,0),0)*AS182+IFERROR(OFFSET(ITEM_RES!$R$1,MATCH(AV182,ITEM_RES!$A:$A,0)-1,0),0)*AX182+IFERROR(OFFSET(ITEM_RES!$R$1,MATCH(BA182,ITEM_RES!$A:$A,0)-1,0),0)*BC182+IFERROR(OFFSET(ITEM_RES!$R$1,MATCH(BF182,ITEM_RES!$A:$A,0)-1,0),0)*BH182+IFERROR(OFFSET(ITEM_RES!$R$1,MATCH(BK182,ITEM_RES!$A:$A,0)-1,0),0)*BM182)/1000</f>
        <v>65000000</v>
      </c>
      <c r="AG182" s="176">
        <f t="shared" ca="1" si="59"/>
        <v>105000000</v>
      </c>
      <c r="AI182" s="11">
        <f t="shared" si="49"/>
        <v>1620</v>
      </c>
      <c r="AJ182" s="10">
        <v>1620</v>
      </c>
      <c r="AK182" s="11">
        <f t="shared" si="58"/>
        <v>0</v>
      </c>
      <c r="AL182" s="10">
        <v>0</v>
      </c>
      <c r="AM182" s="11">
        <f t="shared" si="50"/>
        <v>0</v>
      </c>
      <c r="AN182" s="10">
        <v>0</v>
      </c>
      <c r="AO182" s="55">
        <f t="shared" si="51"/>
        <v>1</v>
      </c>
      <c r="AQ182" s="11">
        <f ca="1">IFERROR(OFFSET(ITEM_RES!$A$1,MATCH(AR182,ITEM_RES!$J:$J,0)-1,0),0)</f>
        <v>211020901</v>
      </c>
      <c r="AR182" s="10" t="s">
        <v>1058</v>
      </c>
      <c r="AS182" s="11">
        <v>6500000</v>
      </c>
      <c r="AV182" s="11">
        <f ca="1">IFERROR(OFFSET(ITEM_RES!$A$1,MATCH(AW182,ITEM_RES!$J:$J,0)-1,0),0)</f>
        <v>0</v>
      </c>
      <c r="BA182" s="11">
        <f ca="1">IFERROR(OFFSET(ITEM_RES!$A$1,MATCH(BB182,ITEM_RES!$J:$J,0)-1,0),0)</f>
        <v>0</v>
      </c>
      <c r="BF182" s="11">
        <f ca="1">IFERROR(OFFSET(ITEM_RES!$A$1,MATCH(BG182,ITEM_RES!$J:$J,0)-1,0),0)</f>
        <v>0</v>
      </c>
      <c r="BK182" s="11">
        <f ca="1">IFERROR(OFFSET(ITEM_RES!$A$1,MATCH(BL182,ITEM_RES!$J:$J,0)-1,0),0)</f>
        <v>0</v>
      </c>
      <c r="BM182" s="11">
        <f t="shared" si="56"/>
        <v>0</v>
      </c>
    </row>
    <row r="183" spans="1:66" x14ac:dyDescent="0.3">
      <c r="A183" s="14">
        <f t="shared" si="53"/>
        <v>112030019</v>
      </c>
      <c r="B183" s="13">
        <v>11</v>
      </c>
      <c r="C183" s="12">
        <f t="shared" si="54"/>
        <v>2</v>
      </c>
      <c r="D183" s="13">
        <v>3</v>
      </c>
      <c r="E183" s="13">
        <v>0</v>
      </c>
      <c r="F183" s="12">
        <f t="shared" si="55"/>
        <v>19</v>
      </c>
      <c r="H183" s="9">
        <v>2</v>
      </c>
      <c r="I183" s="9">
        <v>19</v>
      </c>
      <c r="K183" s="9" t="s">
        <v>358</v>
      </c>
      <c r="M183" s="9">
        <v>0</v>
      </c>
      <c r="N183" s="9">
        <v>15</v>
      </c>
      <c r="O183" s="9" t="s">
        <v>738</v>
      </c>
      <c r="P183" s="55" t="s">
        <v>1354</v>
      </c>
      <c r="Q183" s="9" t="s">
        <v>670</v>
      </c>
      <c r="S183" s="81" t="s">
        <v>528</v>
      </c>
      <c r="T183" s="9">
        <f ca="1">IFERROR(OFFSET(ITEM_RES!$A$5,MATCH(BUILDING!S183,ITEM_RES!$J$5:$J$229,0)-1,0),0)</f>
        <v>211010501</v>
      </c>
      <c r="U183" s="11">
        <v>1</v>
      </c>
      <c r="V183" s="81" t="s">
        <v>529</v>
      </c>
      <c r="W183" s="11">
        <f ca="1">IFERROR(OFFSET(ITEM_RES!$A$5,MATCH(BUILDING!V183,ITEM_RES!$J$5:$J$229,0)-1,0),0)</f>
        <v>211010601</v>
      </c>
      <c r="Y183" s="9" t="s">
        <v>502</v>
      </c>
      <c r="Z183" s="9">
        <v>19</v>
      </c>
      <c r="AB183" s="11">
        <f ca="1">IFERROR(OFFSET(MANOR_LEVEL!$B$1,MATCH(AC183-1,MANOR_LEVEL!$A:$A,0)-1,0),0)</f>
        <v>3500000</v>
      </c>
      <c r="AC183" s="55">
        <v>12</v>
      </c>
      <c r="AE183" s="11">
        <f t="shared" ca="1" si="57"/>
        <v>100000000</v>
      </c>
      <c r="AF183" s="10">
        <f ca="1">AK183+AM183+(IFERROR(OFFSET(ITEM_RES!$R$1,MATCH(AQ183,ITEM_RES!$A:$A,0)-1,0),0)*AS183+IFERROR(OFFSET(ITEM_RES!$R$1,MATCH(AV183,ITEM_RES!$A:$A,0)-1,0),0)*AX183+IFERROR(OFFSET(ITEM_RES!$R$1,MATCH(BA183,ITEM_RES!$A:$A,0)-1,0),0)*BC183+IFERROR(OFFSET(ITEM_RES!$R$1,MATCH(BF183,ITEM_RES!$A:$A,0)-1,0),0)*BH183+IFERROR(OFFSET(ITEM_RES!$R$1,MATCH(BK183,ITEM_RES!$A:$A,0)-1,0),0)*BM183)/1000</f>
        <v>100000000</v>
      </c>
      <c r="AG183" s="176">
        <f t="shared" ca="1" si="59"/>
        <v>165000000</v>
      </c>
      <c r="AI183" s="11">
        <f t="shared" si="49"/>
        <v>1800</v>
      </c>
      <c r="AJ183" s="10">
        <v>1800</v>
      </c>
      <c r="AK183" s="11">
        <f t="shared" si="58"/>
        <v>0</v>
      </c>
      <c r="AL183" s="10">
        <v>0</v>
      </c>
      <c r="AM183" s="11">
        <f t="shared" si="50"/>
        <v>0</v>
      </c>
      <c r="AN183" s="10">
        <v>0</v>
      </c>
      <c r="AO183" s="55">
        <f t="shared" si="51"/>
        <v>1</v>
      </c>
      <c r="AQ183" s="11">
        <f ca="1">IFERROR(OFFSET(ITEM_RES!$A$1,MATCH(AR183,ITEM_RES!$J:$J,0)-1,0),0)</f>
        <v>211020901</v>
      </c>
      <c r="AR183" s="10" t="s">
        <v>1058</v>
      </c>
      <c r="AS183" s="11">
        <v>10000000</v>
      </c>
      <c r="AV183" s="11">
        <f ca="1">IFERROR(OFFSET(ITEM_RES!$A$1,MATCH(AW183,ITEM_RES!$J:$J,0)-1,0),0)</f>
        <v>0</v>
      </c>
      <c r="BA183" s="11">
        <f ca="1">IFERROR(OFFSET(ITEM_RES!$A$1,MATCH(BB183,ITEM_RES!$J:$J,0)-1,0),0)</f>
        <v>0</v>
      </c>
      <c r="BF183" s="11">
        <f ca="1">IFERROR(OFFSET(ITEM_RES!$A$1,MATCH(BG183,ITEM_RES!$J:$J,0)-1,0),0)</f>
        <v>0</v>
      </c>
      <c r="BK183" s="11">
        <f ca="1">IFERROR(OFFSET(ITEM_RES!$A$1,MATCH(BL183,ITEM_RES!$J:$J,0)-1,0),0)</f>
        <v>0</v>
      </c>
      <c r="BM183" s="11">
        <f t="shared" si="56"/>
        <v>0</v>
      </c>
    </row>
    <row r="184" spans="1:66" ht="17.25" thickBot="1" x14ac:dyDescent="0.35">
      <c r="A184" s="14">
        <f t="shared" si="53"/>
        <v>112030020</v>
      </c>
      <c r="B184" s="13">
        <v>11</v>
      </c>
      <c r="C184" s="12">
        <f t="shared" si="54"/>
        <v>2</v>
      </c>
      <c r="D184" s="13">
        <v>3</v>
      </c>
      <c r="E184" s="13">
        <v>0</v>
      </c>
      <c r="F184" s="12">
        <f t="shared" si="55"/>
        <v>20</v>
      </c>
      <c r="H184" s="9">
        <v>2</v>
      </c>
      <c r="I184" s="9">
        <v>20</v>
      </c>
      <c r="K184" s="9" t="s">
        <v>358</v>
      </c>
      <c r="M184" s="9">
        <v>0</v>
      </c>
      <c r="N184" s="9">
        <v>15</v>
      </c>
      <c r="O184" s="9" t="s">
        <v>738</v>
      </c>
      <c r="P184" s="55" t="s">
        <v>1354</v>
      </c>
      <c r="Q184" s="9" t="s">
        <v>670</v>
      </c>
      <c r="S184" s="81" t="s">
        <v>528</v>
      </c>
      <c r="T184" s="9">
        <f ca="1">IFERROR(OFFSET(ITEM_RES!$A$5,MATCH(BUILDING!S184,ITEM_RES!$J$5:$J$229,0)-1,0),0)</f>
        <v>211010501</v>
      </c>
      <c r="U184" s="11">
        <v>1</v>
      </c>
      <c r="V184" s="81" t="s">
        <v>529</v>
      </c>
      <c r="W184" s="11">
        <f ca="1">IFERROR(OFFSET(ITEM_RES!$A$5,MATCH(BUILDING!V184,ITEM_RES!$J$5:$J$229,0)-1,0),0)</f>
        <v>211010601</v>
      </c>
      <c r="Y184" s="9" t="s">
        <v>502</v>
      </c>
      <c r="Z184" s="9">
        <v>20</v>
      </c>
      <c r="AB184" s="11">
        <f ca="1">IFERROR(OFFSET(MANOR_LEVEL!$B$1,MATCH(AC184-1,MANOR_LEVEL!$A:$A,0)-1,0),0)</f>
        <v>3500000</v>
      </c>
      <c r="AC184" s="55">
        <v>12</v>
      </c>
      <c r="AE184" s="11">
        <f t="shared" ca="1" si="57"/>
        <v>160000000</v>
      </c>
      <c r="AF184" s="10">
        <f ca="1">AK184+AM184+(IFERROR(OFFSET(ITEM_RES!$R$1,MATCH(AQ184,ITEM_RES!$A:$A,0)-1,0),0)*AS184+IFERROR(OFFSET(ITEM_RES!$R$1,MATCH(AV184,ITEM_RES!$A:$A,0)-1,0),0)*AX184+IFERROR(OFFSET(ITEM_RES!$R$1,MATCH(BA184,ITEM_RES!$A:$A,0)-1,0),0)*BC184+IFERROR(OFFSET(ITEM_RES!$R$1,MATCH(BF184,ITEM_RES!$A:$A,0)-1,0),0)*BH184+IFERROR(OFFSET(ITEM_RES!$R$1,MATCH(BK184,ITEM_RES!$A:$A,0)-1,0),0)*BM184)/1000</f>
        <v>160000000</v>
      </c>
      <c r="AG184" s="176">
        <f t="shared" ca="1" si="59"/>
        <v>260000000</v>
      </c>
      <c r="AI184" s="11">
        <f t="shared" si="49"/>
        <v>1980</v>
      </c>
      <c r="AJ184" s="10">
        <v>1980</v>
      </c>
      <c r="AK184" s="11">
        <f t="shared" si="58"/>
        <v>0</v>
      </c>
      <c r="AL184" s="10">
        <v>0</v>
      </c>
      <c r="AM184" s="11">
        <f t="shared" si="50"/>
        <v>0</v>
      </c>
      <c r="AN184" s="10">
        <v>0</v>
      </c>
      <c r="AO184" s="55">
        <f t="shared" si="51"/>
        <v>1</v>
      </c>
      <c r="AQ184" s="11">
        <f ca="1">IFERROR(OFFSET(ITEM_RES!$A$1,MATCH(AR184,ITEM_RES!$J:$J,0)-1,0),0)</f>
        <v>211020901</v>
      </c>
      <c r="AR184" s="10" t="s">
        <v>1058</v>
      </c>
      <c r="AS184" s="11">
        <v>16000000</v>
      </c>
      <c r="AV184" s="11">
        <f ca="1">IFERROR(OFFSET(ITEM_RES!$A$1,MATCH(AW184,ITEM_RES!$J:$J,0)-1,0),0)</f>
        <v>0</v>
      </c>
      <c r="BA184" s="11">
        <f ca="1">IFERROR(OFFSET(ITEM_RES!$A$1,MATCH(BB184,ITEM_RES!$J:$J,0)-1,0),0)</f>
        <v>0</v>
      </c>
      <c r="BF184" s="11">
        <f ca="1">IFERROR(OFFSET(ITEM_RES!$A$1,MATCH(BG184,ITEM_RES!$J:$J,0)-1,0),0)</f>
        <v>0</v>
      </c>
      <c r="BK184" s="11">
        <f ca="1">IFERROR(OFFSET(ITEM_RES!$A$1,MATCH(BL184,ITEM_RES!$J:$J,0)-1,0),0)</f>
        <v>0</v>
      </c>
      <c r="BM184" s="11">
        <f t="shared" si="56"/>
        <v>0</v>
      </c>
    </row>
    <row r="185" spans="1:66" s="15" customFormat="1" x14ac:dyDescent="0.3">
      <c r="A185" s="21">
        <f t="shared" ref="A185:A204" si="60">B185*10000000+C185*1000000+D185*10000+E185*100+F185</f>
        <v>113010001</v>
      </c>
      <c r="B185" s="20">
        <v>11</v>
      </c>
      <c r="C185" s="19">
        <f t="shared" ref="C185:C204" si="61">H185</f>
        <v>3</v>
      </c>
      <c r="D185" s="20">
        <v>1</v>
      </c>
      <c r="E185" s="20">
        <v>0</v>
      </c>
      <c r="F185" s="19">
        <f t="shared" ref="F185:F204" si="62">I185</f>
        <v>1</v>
      </c>
      <c r="G185" s="76"/>
      <c r="H185" s="16">
        <v>3</v>
      </c>
      <c r="I185" s="16">
        <v>1</v>
      </c>
      <c r="J185" s="76"/>
      <c r="K185" s="62" t="s">
        <v>489</v>
      </c>
      <c r="L185" s="62">
        <v>5</v>
      </c>
      <c r="M185" s="16">
        <v>1</v>
      </c>
      <c r="N185" s="16">
        <v>15</v>
      </c>
      <c r="O185" s="16" t="s">
        <v>1096</v>
      </c>
      <c r="P185" s="56" t="s">
        <v>1355</v>
      </c>
      <c r="Q185" s="16" t="s">
        <v>686</v>
      </c>
      <c r="R185" s="76"/>
      <c r="S185" s="83"/>
      <c r="T185" s="16">
        <f ca="1">IFERROR(OFFSET(ITEM_RES!$A$5,MATCH(BUILDING!S185,ITEM_RES!$J$5:$J$229,0)-1,0),0)</f>
        <v>0</v>
      </c>
      <c r="U185" s="18"/>
      <c r="V185" s="83"/>
      <c r="W185" s="18">
        <f ca="1">IFERROR(OFFSET(ITEM_RES!$A$5,MATCH(BUILDING!V185,ITEM_RES!$J$5:$J$229,0)-1,0),0)</f>
        <v>0</v>
      </c>
      <c r="X185" s="76"/>
      <c r="Y185" s="16" t="s">
        <v>503</v>
      </c>
      <c r="Z185" s="16">
        <v>1</v>
      </c>
      <c r="AA185" s="76"/>
      <c r="AB185" s="18">
        <f ca="1">IFERROR(OFFSET(MANOR_LEVEL!$B$1,MATCH(AC185-1,MANOR_LEVEL!$A:$A,0)-1,0),0)</f>
        <v>17000</v>
      </c>
      <c r="AC185" s="56">
        <v>6</v>
      </c>
      <c r="AD185" s="76"/>
      <c r="AE185" s="18">
        <f t="shared" ca="1" si="57"/>
        <v>1150</v>
      </c>
      <c r="AF185" s="17">
        <f ca="1">AK185+AM185+(IFERROR(OFFSET(ITEM_RES!$R$1,MATCH(AQ185,ITEM_RES!$A:$A,0)-1,0),0)*AS185+IFERROR(OFFSET(ITEM_RES!$R$1,MATCH(AV185,ITEM_RES!$A:$A,0)-1,0),0)*AX185+IFERROR(OFFSET(ITEM_RES!$R$1,MATCH(BA185,ITEM_RES!$A:$A,0)-1,0),0)*BC185+IFERROR(OFFSET(ITEM_RES!$R$1,MATCH(BF185,ITEM_RES!$A:$A,0)-1,0),0)*BH185+IFERROR(OFFSET(ITEM_RES!$R$1,MATCH(BK185,ITEM_RES!$A:$A,0)-1,0),0)*BM185)/1000</f>
        <v>1150</v>
      </c>
      <c r="AG185" s="178">
        <f ca="1">AE185</f>
        <v>1150</v>
      </c>
      <c r="AH185" s="76"/>
      <c r="AI185" s="18">
        <f t="shared" ref="AI185:AI204" si="63">ROUND(AJ185,0)</f>
        <v>2</v>
      </c>
      <c r="AJ185" s="17">
        <v>2</v>
      </c>
      <c r="AK185" s="18">
        <f t="shared" ref="AK185:AK204" si="64">ROUND(AL185,0)</f>
        <v>0</v>
      </c>
      <c r="AL185" s="17">
        <v>0</v>
      </c>
      <c r="AM185" s="18">
        <f t="shared" si="50"/>
        <v>0</v>
      </c>
      <c r="AN185" s="17">
        <v>0</v>
      </c>
      <c r="AO185" s="56">
        <f t="shared" ref="AO185:AO204" si="65">(AS185&gt;0)*1+(AX185&gt;0)*1+(BC185&gt;0)*1+(BH185&gt;0)*1+(BM185&gt;0)*1</f>
        <v>2</v>
      </c>
      <c r="AP185" s="18"/>
      <c r="AQ185" s="18">
        <f ca="1">IFERROR(OFFSET(ITEM_RES!$A$1,MATCH(AR185,ITEM_RES!$J:$J,0)-1,0),0)</f>
        <v>211020801</v>
      </c>
      <c r="AR185" s="17" t="s">
        <v>384</v>
      </c>
      <c r="AS185" s="18">
        <v>25</v>
      </c>
      <c r="AT185" s="17"/>
      <c r="AU185" s="18"/>
      <c r="AV185" s="18">
        <f ca="1">IFERROR(OFFSET(ITEM_RES!$A$1,MATCH(AW185,ITEM_RES!$J:$J,0)-1,0),0)</f>
        <v>0</v>
      </c>
      <c r="AW185" s="17"/>
      <c r="AX185" s="18"/>
      <c r="AY185" s="17"/>
      <c r="AZ185" s="18"/>
      <c r="BA185" s="18">
        <f ca="1">IFERROR(OFFSET(ITEM_RES!$A$1,MATCH(BB185,ITEM_RES!$J:$J,0)-1,0),0)</f>
        <v>213010101</v>
      </c>
      <c r="BB185" s="17" t="s">
        <v>387</v>
      </c>
      <c r="BC185" s="18">
        <v>1</v>
      </c>
      <c r="BD185" s="17"/>
      <c r="BE185" s="18"/>
      <c r="BF185" s="18">
        <f ca="1">IFERROR(OFFSET(ITEM_RES!$A$1,MATCH(BG185,ITEM_RES!$J:$J,0)-1,0),0)</f>
        <v>0</v>
      </c>
      <c r="BG185" s="17"/>
      <c r="BH185" s="18"/>
      <c r="BI185" s="17"/>
      <c r="BJ185" s="18"/>
      <c r="BK185" s="18">
        <f ca="1">IFERROR(OFFSET(ITEM_RES!$A$1,MATCH(BL185,ITEM_RES!$J:$J,0)-1,0),0)</f>
        <v>0</v>
      </c>
      <c r="BL185" s="17"/>
      <c r="BM185" s="18">
        <f t="shared" ref="BM185:BM204" si="66">IF(BN185&lt;100,ROUND(BN185,1-LEN(ROUND(BN185,0))),ROUND(BN185,2-LEN(ROUND(BN185,0))))</f>
        <v>0</v>
      </c>
      <c r="BN185" s="17"/>
    </row>
    <row r="186" spans="1:66" x14ac:dyDescent="0.3">
      <c r="A186" s="14">
        <f t="shared" si="60"/>
        <v>113010002</v>
      </c>
      <c r="B186" s="13">
        <v>11</v>
      </c>
      <c r="C186" s="12">
        <f t="shared" si="61"/>
        <v>3</v>
      </c>
      <c r="D186" s="13">
        <v>1</v>
      </c>
      <c r="E186" s="13">
        <v>0</v>
      </c>
      <c r="F186" s="12">
        <f t="shared" si="62"/>
        <v>2</v>
      </c>
      <c r="H186" s="9">
        <v>3</v>
      </c>
      <c r="I186" s="9">
        <v>2</v>
      </c>
      <c r="K186" s="55" t="s">
        <v>489</v>
      </c>
      <c r="L186" s="55"/>
      <c r="M186" s="9">
        <v>1</v>
      </c>
      <c r="N186" s="9">
        <v>15</v>
      </c>
      <c r="O186" s="9" t="s">
        <v>1417</v>
      </c>
      <c r="P186" s="55" t="s">
        <v>1355</v>
      </c>
      <c r="Q186" s="9" t="s">
        <v>671</v>
      </c>
      <c r="T186" s="9">
        <f ca="1">IFERROR(OFFSET(ITEM_RES!$A$5,MATCH(BUILDING!S186,ITEM_RES!$J$5:$J$229,0)-1,0),0)</f>
        <v>0</v>
      </c>
      <c r="W186" s="11">
        <f ca="1">IFERROR(OFFSET(ITEM_RES!$A$5,MATCH(BUILDING!V186,ITEM_RES!$J$5:$J$229,0)-1,0),0)</f>
        <v>0</v>
      </c>
      <c r="Y186" s="9" t="s">
        <v>503</v>
      </c>
      <c r="Z186" s="9">
        <v>2</v>
      </c>
      <c r="AB186" s="11">
        <f ca="1">IFERROR(OFFSET(MANOR_LEVEL!$B$1,MATCH(AC186-1,MANOR_LEVEL!$A:$A,0)-1,0),0)</f>
        <v>17000</v>
      </c>
      <c r="AC186" s="55">
        <v>6</v>
      </c>
      <c r="AE186" s="11">
        <f t="shared" ca="1" si="57"/>
        <v>300</v>
      </c>
      <c r="AF186" s="10">
        <f ca="1">AK186+AM186+(IFERROR(OFFSET(ITEM_RES!$R$1,MATCH(AQ186,ITEM_RES!$A:$A,0)-1,0),0)*AS186+IFERROR(OFFSET(ITEM_RES!$R$1,MATCH(AV186,ITEM_RES!$A:$A,0)-1,0),0)*AX186+IFERROR(OFFSET(ITEM_RES!$R$1,MATCH(BA186,ITEM_RES!$A:$A,0)-1,0),0)*BC186+IFERROR(OFFSET(ITEM_RES!$R$1,MATCH(BF186,ITEM_RES!$A:$A,0)-1,0),0)*BH186+IFERROR(OFFSET(ITEM_RES!$R$1,MATCH(BK186,ITEM_RES!$A:$A,0)-1,0),0)*BM186)/1000</f>
        <v>300</v>
      </c>
      <c r="AG186" s="176">
        <f ca="1">AE185+AE186</f>
        <v>1450</v>
      </c>
      <c r="AI186" s="11">
        <f t="shared" si="63"/>
        <v>2</v>
      </c>
      <c r="AJ186" s="10">
        <v>2</v>
      </c>
      <c r="AK186" s="11">
        <f t="shared" si="64"/>
        <v>0</v>
      </c>
      <c r="AL186" s="10">
        <v>0</v>
      </c>
      <c r="AM186" s="11">
        <f t="shared" si="50"/>
        <v>0</v>
      </c>
      <c r="AN186" s="10">
        <v>0</v>
      </c>
      <c r="AO186" s="55">
        <f t="shared" si="65"/>
        <v>1</v>
      </c>
      <c r="AQ186" s="11">
        <f ca="1">IFERROR(OFFSET(ITEM_RES!$A$1,MATCH(AR186,ITEM_RES!$J:$J,0)-1,0),0)</f>
        <v>211020801</v>
      </c>
      <c r="AR186" s="10" t="s">
        <v>384</v>
      </c>
      <c r="AS186" s="11">
        <v>50</v>
      </c>
      <c r="AV186" s="11">
        <f ca="1">IFERROR(OFFSET(ITEM_RES!$A$1,MATCH(AW186,ITEM_RES!$J:$J,0)-1,0),0)</f>
        <v>0</v>
      </c>
      <c r="BA186" s="11">
        <f ca="1">IFERROR(OFFSET(ITEM_RES!$A$1,MATCH(BB186,ITEM_RES!$J:$J,0)-1,0),0)</f>
        <v>0</v>
      </c>
      <c r="BF186" s="11">
        <f ca="1">IFERROR(OFFSET(ITEM_RES!$A$1,MATCH(BG186,ITEM_RES!$J:$J,0)-1,0),0)</f>
        <v>0</v>
      </c>
      <c r="BK186" s="11">
        <f ca="1">IFERROR(OFFSET(ITEM_RES!$A$1,MATCH(BL186,ITEM_RES!$J:$J,0)-1,0),0)</f>
        <v>0</v>
      </c>
      <c r="BM186" s="11">
        <f t="shared" si="66"/>
        <v>0</v>
      </c>
    </row>
    <row r="187" spans="1:66" x14ac:dyDescent="0.3">
      <c r="A187" s="14">
        <f t="shared" si="60"/>
        <v>113010003</v>
      </c>
      <c r="B187" s="13">
        <v>11</v>
      </c>
      <c r="C187" s="12">
        <f t="shared" si="61"/>
        <v>3</v>
      </c>
      <c r="D187" s="13">
        <v>1</v>
      </c>
      <c r="E187" s="13">
        <v>0</v>
      </c>
      <c r="F187" s="12">
        <f t="shared" si="62"/>
        <v>3</v>
      </c>
      <c r="H187" s="9">
        <v>3</v>
      </c>
      <c r="I187" s="9">
        <v>3</v>
      </c>
      <c r="K187" s="55" t="s">
        <v>489</v>
      </c>
      <c r="L187" s="55"/>
      <c r="M187" s="9">
        <v>1</v>
      </c>
      <c r="N187" s="9">
        <v>15</v>
      </c>
      <c r="O187" s="9" t="s">
        <v>1016</v>
      </c>
      <c r="P187" s="55" t="s">
        <v>1355</v>
      </c>
      <c r="Q187" s="9" t="s">
        <v>671</v>
      </c>
      <c r="T187" s="9">
        <f ca="1">IFERROR(OFFSET(ITEM_RES!$A$5,MATCH(BUILDING!S187,ITEM_RES!$J$5:$J$229,0)-1,0),0)</f>
        <v>0</v>
      </c>
      <c r="W187" s="11">
        <f ca="1">IFERROR(OFFSET(ITEM_RES!$A$5,MATCH(BUILDING!V187,ITEM_RES!$J$5:$J$229,0)-1,0),0)</f>
        <v>0</v>
      </c>
      <c r="Y187" s="9" t="s">
        <v>503</v>
      </c>
      <c r="Z187" s="9">
        <v>3</v>
      </c>
      <c r="AB187" s="11">
        <f ca="1">IFERROR(OFFSET(MANOR_LEVEL!$B$1,MATCH(AC187-1,MANOR_LEVEL!$A:$A,0)-1,0),0)</f>
        <v>100000</v>
      </c>
      <c r="AC187" s="55">
        <v>8</v>
      </c>
      <c r="AE187" s="11">
        <f t="shared" ca="1" si="57"/>
        <v>450</v>
      </c>
      <c r="AF187" s="10">
        <f ca="1">AK187+AM187+(IFERROR(OFFSET(ITEM_RES!$R$1,MATCH(AQ187,ITEM_RES!$A:$A,0)-1,0),0)*AS187+IFERROR(OFFSET(ITEM_RES!$R$1,MATCH(AV187,ITEM_RES!$A:$A,0)-1,0),0)*AX187+IFERROR(OFFSET(ITEM_RES!$R$1,MATCH(BA187,ITEM_RES!$A:$A,0)-1,0),0)*BC187+IFERROR(OFFSET(ITEM_RES!$R$1,MATCH(BF187,ITEM_RES!$A:$A,0)-1,0),0)*BH187+IFERROR(OFFSET(ITEM_RES!$R$1,MATCH(BK187,ITEM_RES!$A:$A,0)-1,0),0)*BM187)/1000</f>
        <v>450</v>
      </c>
      <c r="AG187" s="176">
        <f t="shared" ref="AG187:AG204" ca="1" si="67">AE186+AE187</f>
        <v>750</v>
      </c>
      <c r="AI187" s="11">
        <f t="shared" si="63"/>
        <v>3</v>
      </c>
      <c r="AJ187" s="10">
        <v>3</v>
      </c>
      <c r="AK187" s="11">
        <f t="shared" si="64"/>
        <v>0</v>
      </c>
      <c r="AL187" s="10">
        <v>0</v>
      </c>
      <c r="AM187" s="11">
        <f t="shared" si="50"/>
        <v>0</v>
      </c>
      <c r="AN187" s="10">
        <v>0</v>
      </c>
      <c r="AO187" s="55">
        <f t="shared" si="65"/>
        <v>1</v>
      </c>
      <c r="AQ187" s="11">
        <f ca="1">IFERROR(OFFSET(ITEM_RES!$A$1,MATCH(AR187,ITEM_RES!$J:$J,0)-1,0),0)</f>
        <v>211020801</v>
      </c>
      <c r="AR187" s="10" t="s">
        <v>384</v>
      </c>
      <c r="AS187" s="11">
        <v>75</v>
      </c>
      <c r="AV187" s="11">
        <f ca="1">IFERROR(OFFSET(ITEM_RES!$A$1,MATCH(AW187,ITEM_RES!$J:$J,0)-1,0),0)</f>
        <v>0</v>
      </c>
      <c r="BA187" s="11">
        <f ca="1">IFERROR(OFFSET(ITEM_RES!$A$1,MATCH(BB187,ITEM_RES!$J:$J,0)-1,0),0)</f>
        <v>0</v>
      </c>
      <c r="BF187" s="11">
        <f ca="1">IFERROR(OFFSET(ITEM_RES!$A$1,MATCH(BG187,ITEM_RES!$J:$J,0)-1,0),0)</f>
        <v>0</v>
      </c>
      <c r="BK187" s="11">
        <f ca="1">IFERROR(OFFSET(ITEM_RES!$A$1,MATCH(BL187,ITEM_RES!$J:$J,0)-1,0),0)</f>
        <v>0</v>
      </c>
      <c r="BM187" s="11">
        <f t="shared" si="66"/>
        <v>0</v>
      </c>
    </row>
    <row r="188" spans="1:66" x14ac:dyDescent="0.3">
      <c r="A188" s="14">
        <f t="shared" si="60"/>
        <v>113010004</v>
      </c>
      <c r="B188" s="13">
        <v>11</v>
      </c>
      <c r="C188" s="12">
        <f t="shared" si="61"/>
        <v>3</v>
      </c>
      <c r="D188" s="13">
        <v>1</v>
      </c>
      <c r="E188" s="13">
        <v>0</v>
      </c>
      <c r="F188" s="12">
        <f t="shared" si="62"/>
        <v>4</v>
      </c>
      <c r="H188" s="9">
        <v>3</v>
      </c>
      <c r="I188" s="9">
        <v>4</v>
      </c>
      <c r="K188" s="55" t="s">
        <v>489</v>
      </c>
      <c r="L188" s="55"/>
      <c r="M188" s="9">
        <v>1</v>
      </c>
      <c r="N188" s="9">
        <v>15</v>
      </c>
      <c r="O188" s="9" t="s">
        <v>1016</v>
      </c>
      <c r="P188" s="55" t="s">
        <v>1355</v>
      </c>
      <c r="Q188" s="9" t="s">
        <v>671</v>
      </c>
      <c r="T188" s="9">
        <f ca="1">IFERROR(OFFSET(ITEM_RES!$A$5,MATCH(BUILDING!S188,ITEM_RES!$J$5:$J$229,0)-1,0),0)</f>
        <v>0</v>
      </c>
      <c r="W188" s="11">
        <f ca="1">IFERROR(OFFSET(ITEM_RES!$A$5,MATCH(BUILDING!V188,ITEM_RES!$J$5:$J$229,0)-1,0),0)</f>
        <v>0</v>
      </c>
      <c r="Y188" s="9" t="s">
        <v>503</v>
      </c>
      <c r="Z188" s="9">
        <v>4</v>
      </c>
      <c r="AB188" s="11">
        <f ca="1">IFERROR(OFFSET(MANOR_LEVEL!$B$1,MATCH(AC188-1,MANOR_LEVEL!$A:$A,0)-1,0),0)</f>
        <v>100000</v>
      </c>
      <c r="AC188" s="55">
        <v>8</v>
      </c>
      <c r="AE188" s="11">
        <f t="shared" ca="1" si="57"/>
        <v>1800</v>
      </c>
      <c r="AF188" s="10">
        <f ca="1">AK188+AM188+(IFERROR(OFFSET(ITEM_RES!$R$1,MATCH(AQ188,ITEM_RES!$A:$A,0)-1,0),0)*AS188+IFERROR(OFFSET(ITEM_RES!$R$1,MATCH(AV188,ITEM_RES!$A:$A,0)-1,0),0)*AX188+IFERROR(OFFSET(ITEM_RES!$R$1,MATCH(BA188,ITEM_RES!$A:$A,0)-1,0),0)*BC188+IFERROR(OFFSET(ITEM_RES!$R$1,MATCH(BF188,ITEM_RES!$A:$A,0)-1,0),0)*BH188+IFERROR(OFFSET(ITEM_RES!$R$1,MATCH(BK188,ITEM_RES!$A:$A,0)-1,0),0)*BM188)/1000</f>
        <v>1800</v>
      </c>
      <c r="AG188" s="176">
        <f t="shared" ca="1" si="67"/>
        <v>2250</v>
      </c>
      <c r="AI188" s="11">
        <f t="shared" si="63"/>
        <v>5</v>
      </c>
      <c r="AJ188" s="10">
        <v>5</v>
      </c>
      <c r="AK188" s="11">
        <f t="shared" si="64"/>
        <v>0</v>
      </c>
      <c r="AL188" s="10">
        <v>0</v>
      </c>
      <c r="AM188" s="11">
        <f t="shared" si="50"/>
        <v>0</v>
      </c>
      <c r="AN188" s="10">
        <v>0</v>
      </c>
      <c r="AO188" s="55">
        <f t="shared" si="65"/>
        <v>1</v>
      </c>
      <c r="AQ188" s="11">
        <f ca="1">IFERROR(OFFSET(ITEM_RES!$A$1,MATCH(AR188,ITEM_RES!$J:$J,0)-1,0),0)</f>
        <v>211020801</v>
      </c>
      <c r="AR188" s="10" t="s">
        <v>384</v>
      </c>
      <c r="AS188" s="11">
        <v>300</v>
      </c>
      <c r="AV188" s="11">
        <f ca="1">IFERROR(OFFSET(ITEM_RES!$A$1,MATCH(AW188,ITEM_RES!$J:$J,0)-1,0),0)</f>
        <v>0</v>
      </c>
      <c r="BA188" s="11">
        <f ca="1">IFERROR(OFFSET(ITEM_RES!$A$1,MATCH(BB188,ITEM_RES!$J:$J,0)-1,0),0)</f>
        <v>0</v>
      </c>
      <c r="BF188" s="11">
        <f ca="1">IFERROR(OFFSET(ITEM_RES!$A$1,MATCH(BG188,ITEM_RES!$J:$J,0)-1,0),0)</f>
        <v>0</v>
      </c>
      <c r="BK188" s="11">
        <f ca="1">IFERROR(OFFSET(ITEM_RES!$A$1,MATCH(BL188,ITEM_RES!$J:$J,0)-1,0),0)</f>
        <v>0</v>
      </c>
      <c r="BM188" s="11">
        <f t="shared" si="66"/>
        <v>0</v>
      </c>
    </row>
    <row r="189" spans="1:66" x14ac:dyDescent="0.3">
      <c r="A189" s="14">
        <f t="shared" si="60"/>
        <v>113010005</v>
      </c>
      <c r="B189" s="13">
        <v>11</v>
      </c>
      <c r="C189" s="12">
        <f t="shared" si="61"/>
        <v>3</v>
      </c>
      <c r="D189" s="13">
        <v>1</v>
      </c>
      <c r="E189" s="13">
        <v>0</v>
      </c>
      <c r="F189" s="12">
        <f t="shared" si="62"/>
        <v>5</v>
      </c>
      <c r="H189" s="9">
        <v>3</v>
      </c>
      <c r="I189" s="9">
        <v>5</v>
      </c>
      <c r="K189" s="55" t="s">
        <v>489</v>
      </c>
      <c r="L189" s="55"/>
      <c r="M189" s="9">
        <v>1</v>
      </c>
      <c r="N189" s="9">
        <v>15</v>
      </c>
      <c r="O189" s="9" t="s">
        <v>1016</v>
      </c>
      <c r="P189" s="55" t="s">
        <v>1355</v>
      </c>
      <c r="Q189" s="9" t="s">
        <v>671</v>
      </c>
      <c r="T189" s="9">
        <f ca="1">IFERROR(OFFSET(ITEM_RES!$A$5,MATCH(BUILDING!S189,ITEM_RES!$J$5:$J$229,0)-1,0),0)</f>
        <v>0</v>
      </c>
      <c r="W189" s="11">
        <f ca="1">IFERROR(OFFSET(ITEM_RES!$A$5,MATCH(BUILDING!V189,ITEM_RES!$J$5:$J$229,0)-1,0),0)</f>
        <v>0</v>
      </c>
      <c r="Y189" s="9" t="s">
        <v>503</v>
      </c>
      <c r="Z189" s="9">
        <v>5</v>
      </c>
      <c r="AB189" s="11">
        <f ca="1">IFERROR(OFFSET(MANOR_LEVEL!$B$1,MATCH(AC189-1,MANOR_LEVEL!$A:$A,0)-1,0),0)</f>
        <v>300000</v>
      </c>
      <c r="AC189" s="55">
        <v>9</v>
      </c>
      <c r="AE189" s="11">
        <f t="shared" ca="1" si="57"/>
        <v>8100</v>
      </c>
      <c r="AF189" s="10">
        <f ca="1">AK189+AM189+(IFERROR(OFFSET(ITEM_RES!$R$1,MATCH(AQ189,ITEM_RES!$A:$A,0)-1,0),0)*AS189+IFERROR(OFFSET(ITEM_RES!$R$1,MATCH(AV189,ITEM_RES!$A:$A,0)-1,0),0)*AX189+IFERROR(OFFSET(ITEM_RES!$R$1,MATCH(BA189,ITEM_RES!$A:$A,0)-1,0),0)*BC189+IFERROR(OFFSET(ITEM_RES!$R$1,MATCH(BF189,ITEM_RES!$A:$A,0)-1,0),0)*BH189+IFERROR(OFFSET(ITEM_RES!$R$1,MATCH(BK189,ITEM_RES!$A:$A,0)-1,0),0)*BM189)/1000</f>
        <v>8100</v>
      </c>
      <c r="AG189" s="176">
        <f t="shared" ca="1" si="67"/>
        <v>9900</v>
      </c>
      <c r="AI189" s="11">
        <f t="shared" si="63"/>
        <v>8</v>
      </c>
      <c r="AJ189" s="10">
        <v>8</v>
      </c>
      <c r="AK189" s="11">
        <f t="shared" si="64"/>
        <v>0</v>
      </c>
      <c r="AL189" s="10">
        <v>0</v>
      </c>
      <c r="AM189" s="11">
        <f t="shared" si="50"/>
        <v>0</v>
      </c>
      <c r="AN189" s="10">
        <v>0</v>
      </c>
      <c r="AO189" s="55">
        <f t="shared" si="65"/>
        <v>1</v>
      </c>
      <c r="AQ189" s="11">
        <f ca="1">IFERROR(OFFSET(ITEM_RES!$A$1,MATCH(AR189,ITEM_RES!$J:$J,0)-1,0),0)</f>
        <v>211020801</v>
      </c>
      <c r="AR189" s="10" t="s">
        <v>384</v>
      </c>
      <c r="AS189" s="11">
        <v>1350</v>
      </c>
      <c r="AV189" s="11">
        <f ca="1">IFERROR(OFFSET(ITEM_RES!$A$1,MATCH(AW189,ITEM_RES!$J:$J,0)-1,0),0)</f>
        <v>0</v>
      </c>
      <c r="BA189" s="11">
        <f ca="1">IFERROR(OFFSET(ITEM_RES!$A$1,MATCH(BB189,ITEM_RES!$J:$J,0)-1,0),0)</f>
        <v>0</v>
      </c>
      <c r="BF189" s="11">
        <f ca="1">IFERROR(OFFSET(ITEM_RES!$A$1,MATCH(BG189,ITEM_RES!$J:$J,0)-1,0),0)</f>
        <v>0</v>
      </c>
      <c r="BK189" s="11">
        <f ca="1">IFERROR(OFFSET(ITEM_RES!$A$1,MATCH(BL189,ITEM_RES!$J:$J,0)-1,0),0)</f>
        <v>0</v>
      </c>
      <c r="BM189" s="11">
        <f t="shared" si="66"/>
        <v>0</v>
      </c>
    </row>
    <row r="190" spans="1:66" x14ac:dyDescent="0.3">
      <c r="A190" s="14">
        <f t="shared" si="60"/>
        <v>113010006</v>
      </c>
      <c r="B190" s="13">
        <v>11</v>
      </c>
      <c r="C190" s="12">
        <f t="shared" si="61"/>
        <v>3</v>
      </c>
      <c r="D190" s="13">
        <v>1</v>
      </c>
      <c r="E190" s="13">
        <v>0</v>
      </c>
      <c r="F190" s="12">
        <f t="shared" si="62"/>
        <v>6</v>
      </c>
      <c r="H190" s="9">
        <v>3</v>
      </c>
      <c r="I190" s="9">
        <v>6</v>
      </c>
      <c r="K190" s="55" t="s">
        <v>489</v>
      </c>
      <c r="L190" s="55"/>
      <c r="M190" s="9">
        <v>1</v>
      </c>
      <c r="N190" s="9">
        <v>15</v>
      </c>
      <c r="O190" s="9" t="s">
        <v>1016</v>
      </c>
      <c r="P190" s="55" t="s">
        <v>1355</v>
      </c>
      <c r="Q190" s="9" t="s">
        <v>671</v>
      </c>
      <c r="T190" s="9">
        <f ca="1">IFERROR(OFFSET(ITEM_RES!$A$5,MATCH(BUILDING!S190,ITEM_RES!$J$5:$J$229,0)-1,0),0)</f>
        <v>0</v>
      </c>
      <c r="W190" s="11">
        <f ca="1">IFERROR(OFFSET(ITEM_RES!$A$5,MATCH(BUILDING!V190,ITEM_RES!$J$5:$J$229,0)-1,0),0)</f>
        <v>0</v>
      </c>
      <c r="Y190" s="9" t="s">
        <v>503</v>
      </c>
      <c r="Z190" s="9">
        <v>6</v>
      </c>
      <c r="AB190" s="11">
        <f ca="1">IFERROR(OFFSET(MANOR_LEVEL!$B$1,MATCH(AC190-1,MANOR_LEVEL!$A:$A,0)-1,0),0)</f>
        <v>300000</v>
      </c>
      <c r="AC190" s="55">
        <v>9</v>
      </c>
      <c r="AE190" s="11">
        <f t="shared" ca="1" si="57"/>
        <v>27000</v>
      </c>
      <c r="AF190" s="10">
        <f ca="1">AK190+AM190+(IFERROR(OFFSET(ITEM_RES!$R$1,MATCH(AQ190,ITEM_RES!$A:$A,0)-1,0),0)*AS190+IFERROR(OFFSET(ITEM_RES!$R$1,MATCH(AV190,ITEM_RES!$A:$A,0)-1,0),0)*AX190+IFERROR(OFFSET(ITEM_RES!$R$1,MATCH(BA190,ITEM_RES!$A:$A,0)-1,0),0)*BC190+IFERROR(OFFSET(ITEM_RES!$R$1,MATCH(BF190,ITEM_RES!$A:$A,0)-1,0),0)*BH190+IFERROR(OFFSET(ITEM_RES!$R$1,MATCH(BK190,ITEM_RES!$A:$A,0)-1,0),0)*BM190)/1000</f>
        <v>27000</v>
      </c>
      <c r="AG190" s="176">
        <f t="shared" ca="1" si="67"/>
        <v>35100</v>
      </c>
      <c r="AI190" s="11">
        <f t="shared" si="63"/>
        <v>10</v>
      </c>
      <c r="AJ190" s="10">
        <v>10</v>
      </c>
      <c r="AK190" s="11">
        <f t="shared" si="64"/>
        <v>0</v>
      </c>
      <c r="AL190" s="10">
        <v>0</v>
      </c>
      <c r="AM190" s="11">
        <f t="shared" si="50"/>
        <v>0</v>
      </c>
      <c r="AN190" s="10">
        <v>0</v>
      </c>
      <c r="AO190" s="55">
        <f t="shared" si="65"/>
        <v>1</v>
      </c>
      <c r="AQ190" s="11">
        <f ca="1">IFERROR(OFFSET(ITEM_RES!$A$1,MATCH(AR190,ITEM_RES!$J:$J,0)-1,0),0)</f>
        <v>211020801</v>
      </c>
      <c r="AR190" s="10" t="s">
        <v>384</v>
      </c>
      <c r="AS190" s="11">
        <v>4500</v>
      </c>
      <c r="AV190" s="11">
        <f ca="1">IFERROR(OFFSET(ITEM_RES!$A$1,MATCH(AW190,ITEM_RES!$J:$J,0)-1,0),0)</f>
        <v>0</v>
      </c>
      <c r="BA190" s="11">
        <f ca="1">IFERROR(OFFSET(ITEM_RES!$A$1,MATCH(BB190,ITEM_RES!$J:$J,0)-1,0),0)</f>
        <v>0</v>
      </c>
      <c r="BF190" s="11">
        <f ca="1">IFERROR(OFFSET(ITEM_RES!$A$1,MATCH(BG190,ITEM_RES!$J:$J,0)-1,0),0)</f>
        <v>0</v>
      </c>
      <c r="BK190" s="11">
        <f ca="1">IFERROR(OFFSET(ITEM_RES!$A$1,MATCH(BL190,ITEM_RES!$J:$J,0)-1,0),0)</f>
        <v>0</v>
      </c>
      <c r="BM190" s="11">
        <f t="shared" si="66"/>
        <v>0</v>
      </c>
    </row>
    <row r="191" spans="1:66" x14ac:dyDescent="0.3">
      <c r="A191" s="14">
        <f t="shared" si="60"/>
        <v>113010007</v>
      </c>
      <c r="B191" s="13">
        <v>11</v>
      </c>
      <c r="C191" s="12">
        <f t="shared" si="61"/>
        <v>3</v>
      </c>
      <c r="D191" s="13">
        <v>1</v>
      </c>
      <c r="E191" s="13">
        <v>0</v>
      </c>
      <c r="F191" s="12">
        <f t="shared" si="62"/>
        <v>7</v>
      </c>
      <c r="H191" s="9">
        <v>3</v>
      </c>
      <c r="I191" s="9">
        <v>7</v>
      </c>
      <c r="K191" s="55" t="s">
        <v>489</v>
      </c>
      <c r="L191" s="55"/>
      <c r="M191" s="9">
        <v>1</v>
      </c>
      <c r="N191" s="9">
        <v>15</v>
      </c>
      <c r="O191" s="9" t="s">
        <v>1016</v>
      </c>
      <c r="P191" s="55" t="s">
        <v>1355</v>
      </c>
      <c r="Q191" s="9" t="s">
        <v>671</v>
      </c>
      <c r="T191" s="9">
        <f ca="1">IFERROR(OFFSET(ITEM_RES!$A$5,MATCH(BUILDING!S191,ITEM_RES!$J$5:$J$229,0)-1,0),0)</f>
        <v>0</v>
      </c>
      <c r="W191" s="11">
        <f ca="1">IFERROR(OFFSET(ITEM_RES!$A$5,MATCH(BUILDING!V191,ITEM_RES!$J$5:$J$229,0)-1,0),0)</f>
        <v>0</v>
      </c>
      <c r="Y191" s="9" t="s">
        <v>503</v>
      </c>
      <c r="Z191" s="9">
        <v>7</v>
      </c>
      <c r="AB191" s="11">
        <f ca="1">IFERROR(OFFSET(MANOR_LEVEL!$B$1,MATCH(AC191-1,MANOR_LEVEL!$A:$A,0)-1,0),0)</f>
        <v>300000</v>
      </c>
      <c r="AC191" s="55">
        <v>9</v>
      </c>
      <c r="AE191" s="11">
        <f t="shared" ca="1" si="57"/>
        <v>60000</v>
      </c>
      <c r="AF191" s="10">
        <f ca="1">AK191+AM191+(IFERROR(OFFSET(ITEM_RES!$R$1,MATCH(AQ191,ITEM_RES!$A:$A,0)-1,0),0)*AS191+IFERROR(OFFSET(ITEM_RES!$R$1,MATCH(AV191,ITEM_RES!$A:$A,0)-1,0),0)*AX191+IFERROR(OFFSET(ITEM_RES!$R$1,MATCH(BA191,ITEM_RES!$A:$A,0)-1,0),0)*BC191+IFERROR(OFFSET(ITEM_RES!$R$1,MATCH(BF191,ITEM_RES!$A:$A,0)-1,0),0)*BH191+IFERROR(OFFSET(ITEM_RES!$R$1,MATCH(BK191,ITEM_RES!$A:$A,0)-1,0),0)*BM191)/1000</f>
        <v>60000</v>
      </c>
      <c r="AG191" s="176">
        <f t="shared" ca="1" si="67"/>
        <v>87000</v>
      </c>
      <c r="AI191" s="11">
        <f t="shared" si="63"/>
        <v>15</v>
      </c>
      <c r="AJ191" s="10">
        <v>15</v>
      </c>
      <c r="AK191" s="11">
        <f t="shared" si="64"/>
        <v>0</v>
      </c>
      <c r="AL191" s="10">
        <v>0</v>
      </c>
      <c r="AM191" s="11">
        <f t="shared" si="50"/>
        <v>0</v>
      </c>
      <c r="AN191" s="10">
        <v>0</v>
      </c>
      <c r="AO191" s="55">
        <f t="shared" si="65"/>
        <v>1</v>
      </c>
      <c r="AQ191" s="11">
        <f ca="1">IFERROR(OFFSET(ITEM_RES!$A$1,MATCH(AR191,ITEM_RES!$J:$J,0)-1,0),0)</f>
        <v>211020801</v>
      </c>
      <c r="AR191" s="10" t="s">
        <v>384</v>
      </c>
      <c r="AS191" s="11">
        <v>10000</v>
      </c>
      <c r="AV191" s="11">
        <f ca="1">IFERROR(OFFSET(ITEM_RES!$A$1,MATCH(AW191,ITEM_RES!$J:$J,0)-1,0),0)</f>
        <v>0</v>
      </c>
      <c r="BA191" s="11">
        <f ca="1">IFERROR(OFFSET(ITEM_RES!$A$1,MATCH(BB191,ITEM_RES!$J:$J,0)-1,0),0)</f>
        <v>0</v>
      </c>
      <c r="BF191" s="11">
        <f ca="1">IFERROR(OFFSET(ITEM_RES!$A$1,MATCH(BG191,ITEM_RES!$J:$J,0)-1,0),0)</f>
        <v>0</v>
      </c>
      <c r="BK191" s="11">
        <f ca="1">IFERROR(OFFSET(ITEM_RES!$A$1,MATCH(BL191,ITEM_RES!$J:$J,0)-1,0),0)</f>
        <v>0</v>
      </c>
      <c r="BM191" s="11">
        <f t="shared" si="66"/>
        <v>0</v>
      </c>
    </row>
    <row r="192" spans="1:66" x14ac:dyDescent="0.3">
      <c r="A192" s="14">
        <f t="shared" si="60"/>
        <v>113010008</v>
      </c>
      <c r="B192" s="13">
        <v>11</v>
      </c>
      <c r="C192" s="12">
        <f t="shared" si="61"/>
        <v>3</v>
      </c>
      <c r="D192" s="13">
        <v>1</v>
      </c>
      <c r="E192" s="13">
        <v>0</v>
      </c>
      <c r="F192" s="12">
        <f t="shared" si="62"/>
        <v>8</v>
      </c>
      <c r="H192" s="9">
        <v>3</v>
      </c>
      <c r="I192" s="9">
        <v>8</v>
      </c>
      <c r="K192" s="55" t="s">
        <v>489</v>
      </c>
      <c r="L192" s="55"/>
      <c r="M192" s="9">
        <v>1</v>
      </c>
      <c r="N192" s="9">
        <v>15</v>
      </c>
      <c r="O192" s="9" t="s">
        <v>1016</v>
      </c>
      <c r="P192" s="55" t="s">
        <v>1355</v>
      </c>
      <c r="Q192" s="9" t="s">
        <v>671</v>
      </c>
      <c r="T192" s="9">
        <f ca="1">IFERROR(OFFSET(ITEM_RES!$A$5,MATCH(BUILDING!S192,ITEM_RES!$J$5:$J$229,0)-1,0),0)</f>
        <v>0</v>
      </c>
      <c r="W192" s="11">
        <f ca="1">IFERROR(OFFSET(ITEM_RES!$A$5,MATCH(BUILDING!V192,ITEM_RES!$J$5:$J$229,0)-1,0),0)</f>
        <v>0</v>
      </c>
      <c r="Y192" s="9" t="s">
        <v>503</v>
      </c>
      <c r="Z192" s="9">
        <v>8</v>
      </c>
      <c r="AB192" s="11">
        <f ca="1">IFERROR(OFFSET(MANOR_LEVEL!$B$1,MATCH(AC192-1,MANOR_LEVEL!$A:$A,0)-1,0),0)</f>
        <v>600000</v>
      </c>
      <c r="AC192" s="55">
        <v>10</v>
      </c>
      <c r="AE192" s="11">
        <f t="shared" ca="1" si="57"/>
        <v>126000</v>
      </c>
      <c r="AF192" s="10">
        <f ca="1">AK192+AM192+(IFERROR(OFFSET(ITEM_RES!$R$1,MATCH(AQ192,ITEM_RES!$A:$A,0)-1,0),0)*AS192+IFERROR(OFFSET(ITEM_RES!$R$1,MATCH(AV192,ITEM_RES!$A:$A,0)-1,0),0)*AX192+IFERROR(OFFSET(ITEM_RES!$R$1,MATCH(BA192,ITEM_RES!$A:$A,0)-1,0),0)*BC192+IFERROR(OFFSET(ITEM_RES!$R$1,MATCH(BF192,ITEM_RES!$A:$A,0)-1,0),0)*BH192+IFERROR(OFFSET(ITEM_RES!$R$1,MATCH(BK192,ITEM_RES!$A:$A,0)-1,0),0)*BM192)/1000</f>
        <v>126000</v>
      </c>
      <c r="AG192" s="176">
        <f t="shared" ca="1" si="67"/>
        <v>186000</v>
      </c>
      <c r="AI192" s="11">
        <f t="shared" si="63"/>
        <v>30</v>
      </c>
      <c r="AJ192" s="10">
        <v>30</v>
      </c>
      <c r="AK192" s="11">
        <f t="shared" si="64"/>
        <v>0</v>
      </c>
      <c r="AL192" s="10">
        <v>0</v>
      </c>
      <c r="AM192" s="11">
        <f t="shared" si="50"/>
        <v>0</v>
      </c>
      <c r="AN192" s="10">
        <v>0</v>
      </c>
      <c r="AO192" s="55">
        <f t="shared" si="65"/>
        <v>1</v>
      </c>
      <c r="AQ192" s="11">
        <f ca="1">IFERROR(OFFSET(ITEM_RES!$A$1,MATCH(AR192,ITEM_RES!$J:$J,0)-1,0),0)</f>
        <v>211020801</v>
      </c>
      <c r="AR192" s="10" t="s">
        <v>384</v>
      </c>
      <c r="AS192" s="11">
        <v>21000</v>
      </c>
      <c r="AV192" s="11">
        <f ca="1">IFERROR(OFFSET(ITEM_RES!$A$1,MATCH(AW192,ITEM_RES!$J:$J,0)-1,0),0)</f>
        <v>0</v>
      </c>
      <c r="BA192" s="11">
        <f ca="1">IFERROR(OFFSET(ITEM_RES!$A$1,MATCH(BB192,ITEM_RES!$J:$J,0)-1,0),0)</f>
        <v>0</v>
      </c>
      <c r="BF192" s="11">
        <f ca="1">IFERROR(OFFSET(ITEM_RES!$A$1,MATCH(BG192,ITEM_RES!$J:$J,0)-1,0),0)</f>
        <v>0</v>
      </c>
      <c r="BK192" s="11">
        <f ca="1">IFERROR(OFFSET(ITEM_RES!$A$1,MATCH(BL192,ITEM_RES!$J:$J,0)-1,0),0)</f>
        <v>0</v>
      </c>
      <c r="BM192" s="11">
        <f t="shared" si="66"/>
        <v>0</v>
      </c>
    </row>
    <row r="193" spans="1:66" x14ac:dyDescent="0.3">
      <c r="A193" s="14">
        <f t="shared" si="60"/>
        <v>113010009</v>
      </c>
      <c r="B193" s="13">
        <v>11</v>
      </c>
      <c r="C193" s="12">
        <f t="shared" si="61"/>
        <v>3</v>
      </c>
      <c r="D193" s="13">
        <v>1</v>
      </c>
      <c r="E193" s="13">
        <v>0</v>
      </c>
      <c r="F193" s="12">
        <f t="shared" si="62"/>
        <v>9</v>
      </c>
      <c r="H193" s="9">
        <v>3</v>
      </c>
      <c r="I193" s="9">
        <v>9</v>
      </c>
      <c r="K193" s="55" t="s">
        <v>489</v>
      </c>
      <c r="L193" s="55"/>
      <c r="M193" s="9">
        <v>1</v>
      </c>
      <c r="N193" s="9">
        <v>15</v>
      </c>
      <c r="O193" s="9" t="s">
        <v>1016</v>
      </c>
      <c r="P193" s="55" t="s">
        <v>1355</v>
      </c>
      <c r="Q193" s="9" t="s">
        <v>671</v>
      </c>
      <c r="T193" s="9">
        <f ca="1">IFERROR(OFFSET(ITEM_RES!$A$5,MATCH(BUILDING!S193,ITEM_RES!$J$5:$J$229,0)-1,0),0)</f>
        <v>0</v>
      </c>
      <c r="W193" s="11">
        <f ca="1">IFERROR(OFFSET(ITEM_RES!$A$5,MATCH(BUILDING!V193,ITEM_RES!$J$5:$J$229,0)-1,0),0)</f>
        <v>0</v>
      </c>
      <c r="Y193" s="9" t="s">
        <v>503</v>
      </c>
      <c r="Z193" s="9">
        <v>9</v>
      </c>
      <c r="AB193" s="11">
        <f ca="1">IFERROR(OFFSET(MANOR_LEVEL!$B$1,MATCH(AC193-1,MANOR_LEVEL!$A:$A,0)-1,0),0)</f>
        <v>3500000</v>
      </c>
      <c r="AC193" s="55">
        <v>12</v>
      </c>
      <c r="AE193" s="11">
        <f t="shared" ca="1" si="57"/>
        <v>234000</v>
      </c>
      <c r="AF193" s="10">
        <f ca="1">AK193+AM193+(IFERROR(OFFSET(ITEM_RES!$R$1,MATCH(AQ193,ITEM_RES!$A:$A,0)-1,0),0)*AS193+IFERROR(OFFSET(ITEM_RES!$R$1,MATCH(AV193,ITEM_RES!$A:$A,0)-1,0),0)*AX193+IFERROR(OFFSET(ITEM_RES!$R$1,MATCH(BA193,ITEM_RES!$A:$A,0)-1,0),0)*BC193+IFERROR(OFFSET(ITEM_RES!$R$1,MATCH(BF193,ITEM_RES!$A:$A,0)-1,0),0)*BH193+IFERROR(OFFSET(ITEM_RES!$R$1,MATCH(BK193,ITEM_RES!$A:$A,0)-1,0),0)*BM193)/1000</f>
        <v>234000</v>
      </c>
      <c r="AG193" s="176">
        <f t="shared" ca="1" si="67"/>
        <v>360000</v>
      </c>
      <c r="AI193" s="11">
        <f t="shared" si="63"/>
        <v>60</v>
      </c>
      <c r="AJ193" s="10">
        <v>60</v>
      </c>
      <c r="AK193" s="11">
        <f t="shared" si="64"/>
        <v>0</v>
      </c>
      <c r="AL193" s="10">
        <v>0</v>
      </c>
      <c r="AM193" s="11">
        <f t="shared" si="50"/>
        <v>0</v>
      </c>
      <c r="AN193" s="10">
        <v>0</v>
      </c>
      <c r="AO193" s="55">
        <f t="shared" si="65"/>
        <v>1</v>
      </c>
      <c r="AQ193" s="11">
        <f ca="1">IFERROR(OFFSET(ITEM_RES!$A$1,MATCH(AR193,ITEM_RES!$J:$J,0)-1,0),0)</f>
        <v>211020801</v>
      </c>
      <c r="AR193" s="10" t="s">
        <v>384</v>
      </c>
      <c r="AS193" s="11">
        <v>39000</v>
      </c>
      <c r="AV193" s="11">
        <f ca="1">IFERROR(OFFSET(ITEM_RES!$A$1,MATCH(AW193,ITEM_RES!$J:$J,0)-1,0),0)</f>
        <v>0</v>
      </c>
      <c r="BA193" s="11">
        <f ca="1">IFERROR(OFFSET(ITEM_RES!$A$1,MATCH(BB193,ITEM_RES!$J:$J,0)-1,0),0)</f>
        <v>0</v>
      </c>
      <c r="BF193" s="11">
        <f ca="1">IFERROR(OFFSET(ITEM_RES!$A$1,MATCH(BG193,ITEM_RES!$J:$J,0)-1,0),0)</f>
        <v>0</v>
      </c>
      <c r="BK193" s="11">
        <f ca="1">IFERROR(OFFSET(ITEM_RES!$A$1,MATCH(BL193,ITEM_RES!$J:$J,0)-1,0),0)</f>
        <v>0</v>
      </c>
      <c r="BM193" s="11">
        <f t="shared" si="66"/>
        <v>0</v>
      </c>
    </row>
    <row r="194" spans="1:66" x14ac:dyDescent="0.3">
      <c r="A194" s="14">
        <f t="shared" si="60"/>
        <v>113010010</v>
      </c>
      <c r="B194" s="13">
        <v>11</v>
      </c>
      <c r="C194" s="12">
        <f t="shared" si="61"/>
        <v>3</v>
      </c>
      <c r="D194" s="13">
        <v>1</v>
      </c>
      <c r="E194" s="13">
        <v>0</v>
      </c>
      <c r="F194" s="12">
        <f t="shared" si="62"/>
        <v>10</v>
      </c>
      <c r="H194" s="9">
        <v>3</v>
      </c>
      <c r="I194" s="9">
        <v>10</v>
      </c>
      <c r="K194" s="55" t="s">
        <v>489</v>
      </c>
      <c r="L194" s="55"/>
      <c r="M194" s="9">
        <v>1</v>
      </c>
      <c r="N194" s="9">
        <v>15</v>
      </c>
      <c r="O194" s="9" t="s">
        <v>1016</v>
      </c>
      <c r="P194" s="55" t="s">
        <v>1355</v>
      </c>
      <c r="Q194" s="9" t="s">
        <v>671</v>
      </c>
      <c r="T194" s="9">
        <f ca="1">IFERROR(OFFSET(ITEM_RES!$A$5,MATCH(BUILDING!S194,ITEM_RES!$J$5:$J$229,0)-1,0),0)</f>
        <v>0</v>
      </c>
      <c r="W194" s="11">
        <f ca="1">IFERROR(OFFSET(ITEM_RES!$A$5,MATCH(BUILDING!V194,ITEM_RES!$J$5:$J$229,0)-1,0),0)</f>
        <v>0</v>
      </c>
      <c r="Y194" s="9" t="s">
        <v>503</v>
      </c>
      <c r="Z194" s="9">
        <v>10</v>
      </c>
      <c r="AB194" s="11">
        <f ca="1">IFERROR(OFFSET(MANOR_LEVEL!$B$1,MATCH(AC194-1,MANOR_LEVEL!$A:$A,0)-1,0),0)</f>
        <v>3500000</v>
      </c>
      <c r="AC194" s="55">
        <v>12</v>
      </c>
      <c r="AE194" s="11">
        <f t="shared" ca="1" si="57"/>
        <v>391000</v>
      </c>
      <c r="AF194" s="10">
        <f ca="1">AK194+AM194+(IFERROR(OFFSET(ITEM_RES!$R$1,MATCH(AQ194,ITEM_RES!$A:$A,0)-1,0),0)*AS194+IFERROR(OFFSET(ITEM_RES!$R$1,MATCH(AV194,ITEM_RES!$A:$A,0)-1,0),0)*AX194+IFERROR(OFFSET(ITEM_RES!$R$1,MATCH(BA194,ITEM_RES!$A:$A,0)-1,0),0)*BC194+IFERROR(OFFSET(ITEM_RES!$R$1,MATCH(BF194,ITEM_RES!$A:$A,0)-1,0),0)*BH194+IFERROR(OFFSET(ITEM_RES!$R$1,MATCH(BK194,ITEM_RES!$A:$A,0)-1,0),0)*BM194)/1000</f>
        <v>391000</v>
      </c>
      <c r="AG194" s="176">
        <f t="shared" ca="1" si="67"/>
        <v>625000</v>
      </c>
      <c r="AI194" s="11">
        <f t="shared" si="63"/>
        <v>180</v>
      </c>
      <c r="AJ194" s="10">
        <v>180</v>
      </c>
      <c r="AK194" s="11">
        <f t="shared" si="64"/>
        <v>0</v>
      </c>
      <c r="AL194" s="10">
        <v>0</v>
      </c>
      <c r="AM194" s="11">
        <f t="shared" si="50"/>
        <v>0</v>
      </c>
      <c r="AN194" s="10">
        <v>0</v>
      </c>
      <c r="AO194" s="55">
        <f t="shared" si="65"/>
        <v>2</v>
      </c>
      <c r="AQ194" s="11">
        <f ca="1">IFERROR(OFFSET(ITEM_RES!$A$1,MATCH(AR194,ITEM_RES!$J:$J,0)-1,0),0)</f>
        <v>211020801</v>
      </c>
      <c r="AR194" s="10" t="s">
        <v>384</v>
      </c>
      <c r="AS194" s="11">
        <v>65000</v>
      </c>
      <c r="AV194" s="11">
        <f ca="1">IFERROR(OFFSET(ITEM_RES!$A$1,MATCH(AW194,ITEM_RES!$J:$J,0)-1,0),0)</f>
        <v>0</v>
      </c>
      <c r="BA194" s="11">
        <f ca="1">IFERROR(OFFSET(ITEM_RES!$A$1,MATCH(BB194,ITEM_RES!$J:$J,0)-1,0),0)</f>
        <v>0</v>
      </c>
      <c r="BF194" s="11">
        <f ca="1">IFERROR(OFFSET(ITEM_RES!$A$1,MATCH(BG194,ITEM_RES!$J:$J,0)-1,0),0)</f>
        <v>213010801</v>
      </c>
      <c r="BG194" s="10" t="s">
        <v>451</v>
      </c>
      <c r="BH194" s="11">
        <v>1</v>
      </c>
      <c r="BK194" s="11">
        <f ca="1">IFERROR(OFFSET(ITEM_RES!$A$1,MATCH(BL194,ITEM_RES!$J:$J,0)-1,0),0)</f>
        <v>0</v>
      </c>
      <c r="BM194" s="11">
        <f t="shared" si="66"/>
        <v>0</v>
      </c>
    </row>
    <row r="195" spans="1:66" x14ac:dyDescent="0.3">
      <c r="A195" s="14">
        <f t="shared" si="60"/>
        <v>113010011</v>
      </c>
      <c r="B195" s="13">
        <v>11</v>
      </c>
      <c r="C195" s="12">
        <f t="shared" si="61"/>
        <v>3</v>
      </c>
      <c r="D195" s="13">
        <v>1</v>
      </c>
      <c r="E195" s="13">
        <v>0</v>
      </c>
      <c r="F195" s="12">
        <f t="shared" si="62"/>
        <v>11</v>
      </c>
      <c r="H195" s="9">
        <v>3</v>
      </c>
      <c r="I195" s="9">
        <v>11</v>
      </c>
      <c r="K195" s="55" t="s">
        <v>489</v>
      </c>
      <c r="L195" s="55"/>
      <c r="M195" s="9">
        <v>1</v>
      </c>
      <c r="N195" s="9">
        <v>15</v>
      </c>
      <c r="O195" s="9" t="s">
        <v>1016</v>
      </c>
      <c r="P195" s="55" t="s">
        <v>1355</v>
      </c>
      <c r="Q195" s="9" t="s">
        <v>671</v>
      </c>
      <c r="T195" s="9">
        <f ca="1">IFERROR(OFFSET(ITEM_RES!$A$5,MATCH(BUILDING!S195,ITEM_RES!$J$5:$J$229,0)-1,0),0)</f>
        <v>0</v>
      </c>
      <c r="W195" s="11">
        <f ca="1">IFERROR(OFFSET(ITEM_RES!$A$5,MATCH(BUILDING!V195,ITEM_RES!$J$5:$J$229,0)-1,0),0)</f>
        <v>0</v>
      </c>
      <c r="Y195" s="9" t="s">
        <v>503</v>
      </c>
      <c r="Z195" s="9">
        <v>11</v>
      </c>
      <c r="AB195" s="11">
        <f ca="1">IFERROR(OFFSET(MANOR_LEVEL!$B$1,MATCH(AC195-1,MANOR_LEVEL!$A:$A,0)-1,0),0)</f>
        <v>3500000</v>
      </c>
      <c r="AC195" s="55">
        <v>12</v>
      </c>
      <c r="AE195" s="11">
        <f t="shared" ca="1" si="57"/>
        <v>660000</v>
      </c>
      <c r="AF195" s="10">
        <f ca="1">AK195+AM195+(IFERROR(OFFSET(ITEM_RES!$R$1,MATCH(AQ195,ITEM_RES!$A:$A,0)-1,0),0)*AS195+IFERROR(OFFSET(ITEM_RES!$R$1,MATCH(AV195,ITEM_RES!$A:$A,0)-1,0),0)*AX195+IFERROR(OFFSET(ITEM_RES!$R$1,MATCH(BA195,ITEM_RES!$A:$A,0)-1,0),0)*BC195+IFERROR(OFFSET(ITEM_RES!$R$1,MATCH(BF195,ITEM_RES!$A:$A,0)-1,0),0)*BH195+IFERROR(OFFSET(ITEM_RES!$R$1,MATCH(BK195,ITEM_RES!$A:$A,0)-1,0),0)*BM195)/1000</f>
        <v>660000</v>
      </c>
      <c r="AG195" s="176">
        <f t="shared" ca="1" si="67"/>
        <v>1051000</v>
      </c>
      <c r="AI195" s="11">
        <f t="shared" si="63"/>
        <v>360</v>
      </c>
      <c r="AJ195" s="10">
        <v>360</v>
      </c>
      <c r="AK195" s="11">
        <f t="shared" si="64"/>
        <v>0</v>
      </c>
      <c r="AL195" s="10">
        <v>0</v>
      </c>
      <c r="AM195" s="11">
        <f t="shared" si="50"/>
        <v>0</v>
      </c>
      <c r="AN195" s="10">
        <v>0</v>
      </c>
      <c r="AO195" s="55">
        <f t="shared" si="65"/>
        <v>1</v>
      </c>
      <c r="AQ195" s="11">
        <f ca="1">IFERROR(OFFSET(ITEM_RES!$A$1,MATCH(AR195,ITEM_RES!$J:$J,0)-1,0),0)</f>
        <v>211020801</v>
      </c>
      <c r="AR195" s="10" t="s">
        <v>384</v>
      </c>
      <c r="AS195" s="11">
        <v>110000</v>
      </c>
      <c r="AV195" s="11">
        <f ca="1">IFERROR(OFFSET(ITEM_RES!$A$1,MATCH(AW195,ITEM_RES!$J:$J,0)-1,0),0)</f>
        <v>0</v>
      </c>
      <c r="BA195" s="11">
        <f ca="1">IFERROR(OFFSET(ITEM_RES!$A$1,MATCH(BB195,ITEM_RES!$J:$J,0)-1,0),0)</f>
        <v>0</v>
      </c>
      <c r="BF195" s="11">
        <f ca="1">IFERROR(OFFSET(ITEM_RES!$A$1,MATCH(BG195,ITEM_RES!$J:$J,0)-1,0),0)</f>
        <v>0</v>
      </c>
      <c r="BK195" s="11">
        <f ca="1">IFERROR(OFFSET(ITEM_RES!$A$1,MATCH(BL195,ITEM_RES!$J:$J,0)-1,0),0)</f>
        <v>0</v>
      </c>
      <c r="BM195" s="11">
        <f t="shared" si="66"/>
        <v>0</v>
      </c>
    </row>
    <row r="196" spans="1:66" x14ac:dyDescent="0.3">
      <c r="A196" s="14">
        <f t="shared" si="60"/>
        <v>113010012</v>
      </c>
      <c r="B196" s="13">
        <v>11</v>
      </c>
      <c r="C196" s="12">
        <f t="shared" si="61"/>
        <v>3</v>
      </c>
      <c r="D196" s="13">
        <v>1</v>
      </c>
      <c r="E196" s="13">
        <v>0</v>
      </c>
      <c r="F196" s="12">
        <f t="shared" si="62"/>
        <v>12</v>
      </c>
      <c r="H196" s="9">
        <v>3</v>
      </c>
      <c r="I196" s="9">
        <v>12</v>
      </c>
      <c r="K196" s="55" t="s">
        <v>489</v>
      </c>
      <c r="L196" s="55"/>
      <c r="M196" s="9">
        <v>1</v>
      </c>
      <c r="N196" s="9">
        <v>15</v>
      </c>
      <c r="O196" s="9" t="s">
        <v>1016</v>
      </c>
      <c r="P196" s="55" t="s">
        <v>1355</v>
      </c>
      <c r="Q196" s="9" t="s">
        <v>671</v>
      </c>
      <c r="T196" s="9">
        <f ca="1">IFERROR(OFFSET(ITEM_RES!$A$5,MATCH(BUILDING!S196,ITEM_RES!$J$5:$J$229,0)-1,0),0)</f>
        <v>0</v>
      </c>
      <c r="W196" s="11">
        <f ca="1">IFERROR(OFFSET(ITEM_RES!$A$5,MATCH(BUILDING!V196,ITEM_RES!$J$5:$J$229,0)-1,0),0)</f>
        <v>0</v>
      </c>
      <c r="Y196" s="9" t="s">
        <v>503</v>
      </c>
      <c r="Z196" s="9">
        <v>12</v>
      </c>
      <c r="AB196" s="11">
        <f ca="1">IFERROR(OFFSET(MANOR_LEVEL!$B$1,MATCH(AC196-1,MANOR_LEVEL!$A:$A,0)-1,0),0)</f>
        <v>345433600</v>
      </c>
      <c r="AC196" s="55">
        <v>18</v>
      </c>
      <c r="AE196" s="11">
        <f t="shared" ca="1" si="57"/>
        <v>2960000</v>
      </c>
      <c r="AF196" s="10">
        <f ca="1">AK196+AM196+(IFERROR(OFFSET(ITEM_RES!$R$1,MATCH(AQ196,ITEM_RES!$A:$A,0)-1,0),0)*AS196+IFERROR(OFFSET(ITEM_RES!$R$1,MATCH(AV196,ITEM_RES!$A:$A,0)-1,0),0)*AX196+IFERROR(OFFSET(ITEM_RES!$R$1,MATCH(BA196,ITEM_RES!$A:$A,0)-1,0),0)*BC196+IFERROR(OFFSET(ITEM_RES!$R$1,MATCH(BF196,ITEM_RES!$A:$A,0)-1,0),0)*BH196+IFERROR(OFFSET(ITEM_RES!$R$1,MATCH(BK196,ITEM_RES!$A:$A,0)-1,0),0)*BM196)/1000</f>
        <v>2960000</v>
      </c>
      <c r="AG196" s="176">
        <f t="shared" ca="1" si="67"/>
        <v>3620000</v>
      </c>
      <c r="AI196" s="11">
        <f t="shared" si="63"/>
        <v>540</v>
      </c>
      <c r="AJ196" s="10">
        <v>540</v>
      </c>
      <c r="AK196" s="11">
        <f t="shared" si="64"/>
        <v>0</v>
      </c>
      <c r="AL196" s="10">
        <v>0</v>
      </c>
      <c r="AM196" s="11">
        <f t="shared" si="50"/>
        <v>0</v>
      </c>
      <c r="AN196" s="10">
        <v>0</v>
      </c>
      <c r="AO196" s="55">
        <f t="shared" si="65"/>
        <v>2</v>
      </c>
      <c r="AQ196" s="11">
        <f ca="1">IFERROR(OFFSET(ITEM_RES!$A$1,MATCH(AR196,ITEM_RES!$J:$J,0)-1,0),0)</f>
        <v>211020801</v>
      </c>
      <c r="AR196" s="10" t="s">
        <v>384</v>
      </c>
      <c r="AS196" s="11">
        <v>185000</v>
      </c>
      <c r="AV196" s="11">
        <f ca="1">IFERROR(OFFSET(ITEM_RES!$A$1,MATCH(AW196,ITEM_RES!$J:$J,0)-1,0),0)</f>
        <v>211020901</v>
      </c>
      <c r="AW196" s="10" t="s">
        <v>385</v>
      </c>
      <c r="AX196" s="11">
        <v>185000</v>
      </c>
      <c r="BA196" s="11">
        <f ca="1">IFERROR(OFFSET(ITEM_RES!$A$1,MATCH(BB196,ITEM_RES!$J:$J,0)-1,0),0)</f>
        <v>0</v>
      </c>
      <c r="BF196" s="11">
        <f ca="1">IFERROR(OFFSET(ITEM_RES!$A$1,MATCH(BG196,ITEM_RES!$J:$J,0)-1,0),0)</f>
        <v>0</v>
      </c>
      <c r="BK196" s="11">
        <f ca="1">IFERROR(OFFSET(ITEM_RES!$A$1,MATCH(BL196,ITEM_RES!$J:$J,0)-1,0),0)</f>
        <v>0</v>
      </c>
      <c r="BM196" s="11">
        <f t="shared" si="66"/>
        <v>0</v>
      </c>
    </row>
    <row r="197" spans="1:66" x14ac:dyDescent="0.3">
      <c r="A197" s="14">
        <f t="shared" si="60"/>
        <v>113010013</v>
      </c>
      <c r="B197" s="13">
        <v>11</v>
      </c>
      <c r="C197" s="12">
        <f t="shared" si="61"/>
        <v>3</v>
      </c>
      <c r="D197" s="13">
        <v>1</v>
      </c>
      <c r="E197" s="13">
        <v>0</v>
      </c>
      <c r="F197" s="12">
        <f t="shared" si="62"/>
        <v>13</v>
      </c>
      <c r="H197" s="9">
        <v>3</v>
      </c>
      <c r="I197" s="9">
        <v>13</v>
      </c>
      <c r="K197" s="55" t="s">
        <v>489</v>
      </c>
      <c r="L197" s="55"/>
      <c r="M197" s="9">
        <v>1</v>
      </c>
      <c r="N197" s="9">
        <v>15</v>
      </c>
      <c r="O197" s="9" t="s">
        <v>1016</v>
      </c>
      <c r="P197" s="55" t="s">
        <v>1355</v>
      </c>
      <c r="Q197" s="9" t="s">
        <v>671</v>
      </c>
      <c r="T197" s="9">
        <f ca="1">IFERROR(OFFSET(ITEM_RES!$A$5,MATCH(BUILDING!S197,ITEM_RES!$J$5:$J$229,0)-1,0),0)</f>
        <v>0</v>
      </c>
      <c r="W197" s="11">
        <f ca="1">IFERROR(OFFSET(ITEM_RES!$A$5,MATCH(BUILDING!V197,ITEM_RES!$J$5:$J$229,0)-1,0),0)</f>
        <v>0</v>
      </c>
      <c r="Y197" s="9" t="s">
        <v>503</v>
      </c>
      <c r="Z197" s="9">
        <v>13</v>
      </c>
      <c r="AB197" s="11">
        <f ca="1">IFERROR(OFFSET(MANOR_LEVEL!$B$1,MATCH(AC197-1,MANOR_LEVEL!$A:$A,0)-1,0),0)</f>
        <v>345433600</v>
      </c>
      <c r="AC197" s="55">
        <v>18</v>
      </c>
      <c r="AE197" s="11">
        <f t="shared" ca="1" si="57"/>
        <v>4960000</v>
      </c>
      <c r="AF197" s="10">
        <f ca="1">AK197+AM197+(IFERROR(OFFSET(ITEM_RES!$R$1,MATCH(AQ197,ITEM_RES!$A:$A,0)-1,0),0)*AS197+IFERROR(OFFSET(ITEM_RES!$R$1,MATCH(AV197,ITEM_RES!$A:$A,0)-1,0),0)*AX197+IFERROR(OFFSET(ITEM_RES!$R$1,MATCH(BA197,ITEM_RES!$A:$A,0)-1,0),0)*BC197+IFERROR(OFFSET(ITEM_RES!$R$1,MATCH(BF197,ITEM_RES!$A:$A,0)-1,0),0)*BH197+IFERROR(OFFSET(ITEM_RES!$R$1,MATCH(BK197,ITEM_RES!$A:$A,0)-1,0),0)*BM197)/1000</f>
        <v>4960000</v>
      </c>
      <c r="AG197" s="176">
        <f t="shared" ca="1" si="67"/>
        <v>7920000</v>
      </c>
      <c r="AI197" s="11">
        <f t="shared" si="63"/>
        <v>720</v>
      </c>
      <c r="AJ197" s="10">
        <v>720</v>
      </c>
      <c r="AK197" s="11">
        <f t="shared" si="64"/>
        <v>0</v>
      </c>
      <c r="AL197" s="10">
        <v>0</v>
      </c>
      <c r="AM197" s="11">
        <f t="shared" si="50"/>
        <v>0</v>
      </c>
      <c r="AN197" s="10">
        <v>0</v>
      </c>
      <c r="AO197" s="55">
        <f t="shared" si="65"/>
        <v>2</v>
      </c>
      <c r="AQ197" s="11">
        <f ca="1">IFERROR(OFFSET(ITEM_RES!$A$1,MATCH(AR197,ITEM_RES!$J:$J,0)-1,0),0)</f>
        <v>211020801</v>
      </c>
      <c r="AR197" s="10" t="s">
        <v>384</v>
      </c>
      <c r="AS197" s="11">
        <v>310000</v>
      </c>
      <c r="AV197" s="11">
        <f ca="1">IFERROR(OFFSET(ITEM_RES!$A$1,MATCH(AW197,ITEM_RES!$J:$J,0)-1,0),0)</f>
        <v>211020901</v>
      </c>
      <c r="AW197" s="10" t="s">
        <v>385</v>
      </c>
      <c r="AX197" s="11">
        <v>310000</v>
      </c>
      <c r="BA197" s="11">
        <f ca="1">IFERROR(OFFSET(ITEM_RES!$A$1,MATCH(BB197,ITEM_RES!$J:$J,0)-1,0),0)</f>
        <v>0</v>
      </c>
      <c r="BF197" s="11">
        <f ca="1">IFERROR(OFFSET(ITEM_RES!$A$1,MATCH(BG197,ITEM_RES!$J:$J,0)-1,0),0)</f>
        <v>0</v>
      </c>
      <c r="BK197" s="11">
        <f ca="1">IFERROR(OFFSET(ITEM_RES!$A$1,MATCH(BL197,ITEM_RES!$J:$J,0)-1,0),0)</f>
        <v>0</v>
      </c>
      <c r="BM197" s="11">
        <f t="shared" si="66"/>
        <v>0</v>
      </c>
    </row>
    <row r="198" spans="1:66" x14ac:dyDescent="0.3">
      <c r="A198" s="14">
        <f t="shared" si="60"/>
        <v>113010014</v>
      </c>
      <c r="B198" s="13">
        <v>11</v>
      </c>
      <c r="C198" s="12">
        <f t="shared" si="61"/>
        <v>3</v>
      </c>
      <c r="D198" s="13">
        <v>1</v>
      </c>
      <c r="E198" s="13">
        <v>0</v>
      </c>
      <c r="F198" s="12">
        <f t="shared" si="62"/>
        <v>14</v>
      </c>
      <c r="H198" s="9">
        <v>3</v>
      </c>
      <c r="I198" s="9">
        <v>14</v>
      </c>
      <c r="K198" s="55" t="s">
        <v>489</v>
      </c>
      <c r="L198" s="55"/>
      <c r="M198" s="9">
        <v>1</v>
      </c>
      <c r="N198" s="9">
        <v>15</v>
      </c>
      <c r="O198" s="9" t="s">
        <v>1016</v>
      </c>
      <c r="P198" s="55" t="s">
        <v>1355</v>
      </c>
      <c r="Q198" s="9" t="s">
        <v>671</v>
      </c>
      <c r="T198" s="9">
        <f ca="1">IFERROR(OFFSET(ITEM_RES!$A$5,MATCH(BUILDING!S198,ITEM_RES!$J$5:$J$229,0)-1,0),0)</f>
        <v>0</v>
      </c>
      <c r="W198" s="11">
        <f ca="1">IFERROR(OFFSET(ITEM_RES!$A$5,MATCH(BUILDING!V198,ITEM_RES!$J$5:$J$229,0)-1,0),0)</f>
        <v>0</v>
      </c>
      <c r="Y198" s="9" t="s">
        <v>503</v>
      </c>
      <c r="Z198" s="9">
        <v>14</v>
      </c>
      <c r="AB198" s="11">
        <f ca="1">IFERROR(OFFSET(MANOR_LEVEL!$B$1,MATCH(AC198-1,MANOR_LEVEL!$A:$A,0)-1,0),0)</f>
        <v>345433600</v>
      </c>
      <c r="AC198" s="55">
        <v>18</v>
      </c>
      <c r="AE198" s="11">
        <f t="shared" ca="1" si="57"/>
        <v>7760000</v>
      </c>
      <c r="AF198" s="10">
        <f ca="1">AK198+AM198+(IFERROR(OFFSET(ITEM_RES!$R$1,MATCH(AQ198,ITEM_RES!$A:$A,0)-1,0),0)*AS198+IFERROR(OFFSET(ITEM_RES!$R$1,MATCH(AV198,ITEM_RES!$A:$A,0)-1,0),0)*AX198+IFERROR(OFFSET(ITEM_RES!$R$1,MATCH(BA198,ITEM_RES!$A:$A,0)-1,0),0)*BC198+IFERROR(OFFSET(ITEM_RES!$R$1,MATCH(BF198,ITEM_RES!$A:$A,0)-1,0),0)*BH198+IFERROR(OFFSET(ITEM_RES!$R$1,MATCH(BK198,ITEM_RES!$A:$A,0)-1,0),0)*BM198)/1000</f>
        <v>7760000</v>
      </c>
      <c r="AG198" s="176">
        <f t="shared" ca="1" si="67"/>
        <v>12720000</v>
      </c>
      <c r="AI198" s="11">
        <f t="shared" si="63"/>
        <v>900</v>
      </c>
      <c r="AJ198" s="10">
        <v>900</v>
      </c>
      <c r="AK198" s="11">
        <f t="shared" si="64"/>
        <v>0</v>
      </c>
      <c r="AL198" s="10">
        <v>0</v>
      </c>
      <c r="AM198" s="11">
        <f t="shared" ref="AM198:AM261" si="68">ROUND(AN198,0)</f>
        <v>0</v>
      </c>
      <c r="AN198" s="10">
        <v>0</v>
      </c>
      <c r="AO198" s="55">
        <f t="shared" si="65"/>
        <v>2</v>
      </c>
      <c r="AQ198" s="11">
        <f ca="1">IFERROR(OFFSET(ITEM_RES!$A$1,MATCH(AR198,ITEM_RES!$J:$J,0)-1,0),0)</f>
        <v>211020801</v>
      </c>
      <c r="AR198" s="10" t="s">
        <v>384</v>
      </c>
      <c r="AS198" s="11">
        <v>485000</v>
      </c>
      <c r="AV198" s="11">
        <f ca="1">IFERROR(OFFSET(ITEM_RES!$A$1,MATCH(AW198,ITEM_RES!$J:$J,0)-1,0),0)</f>
        <v>211020901</v>
      </c>
      <c r="AW198" s="10" t="s">
        <v>385</v>
      </c>
      <c r="AX198" s="11">
        <v>485000</v>
      </c>
      <c r="BA198" s="11">
        <f ca="1">IFERROR(OFFSET(ITEM_RES!$A$1,MATCH(BB198,ITEM_RES!$J:$J,0)-1,0),0)</f>
        <v>0</v>
      </c>
      <c r="BF198" s="11">
        <f ca="1">IFERROR(OFFSET(ITEM_RES!$A$1,MATCH(BG198,ITEM_RES!$J:$J,0)-1,0),0)</f>
        <v>0</v>
      </c>
      <c r="BK198" s="11">
        <f ca="1">IFERROR(OFFSET(ITEM_RES!$A$1,MATCH(BL198,ITEM_RES!$J:$J,0)-1,0),0)</f>
        <v>0</v>
      </c>
      <c r="BM198" s="11">
        <f t="shared" si="66"/>
        <v>0</v>
      </c>
    </row>
    <row r="199" spans="1:66" x14ac:dyDescent="0.3">
      <c r="A199" s="14">
        <f t="shared" si="60"/>
        <v>113010015</v>
      </c>
      <c r="B199" s="13">
        <v>11</v>
      </c>
      <c r="C199" s="12">
        <f t="shared" si="61"/>
        <v>3</v>
      </c>
      <c r="D199" s="13">
        <v>1</v>
      </c>
      <c r="E199" s="13">
        <v>0</v>
      </c>
      <c r="F199" s="12">
        <f t="shared" si="62"/>
        <v>15</v>
      </c>
      <c r="H199" s="9">
        <v>3</v>
      </c>
      <c r="I199" s="9">
        <v>15</v>
      </c>
      <c r="K199" s="55" t="s">
        <v>489</v>
      </c>
      <c r="L199" s="55"/>
      <c r="M199" s="9">
        <v>1</v>
      </c>
      <c r="N199" s="9">
        <v>15</v>
      </c>
      <c r="O199" s="9" t="s">
        <v>1016</v>
      </c>
      <c r="P199" s="55" t="s">
        <v>1355</v>
      </c>
      <c r="Q199" s="9" t="s">
        <v>671</v>
      </c>
      <c r="T199" s="9">
        <f ca="1">IFERROR(OFFSET(ITEM_RES!$A$5,MATCH(BUILDING!S199,ITEM_RES!$J$5:$J$229,0)-1,0),0)</f>
        <v>0</v>
      </c>
      <c r="W199" s="11">
        <f ca="1">IFERROR(OFFSET(ITEM_RES!$A$5,MATCH(BUILDING!V199,ITEM_RES!$J$5:$J$229,0)-1,0),0)</f>
        <v>0</v>
      </c>
      <c r="Y199" s="9" t="s">
        <v>503</v>
      </c>
      <c r="Z199" s="9">
        <v>15</v>
      </c>
      <c r="AB199" s="11">
        <f ca="1">IFERROR(OFFSET(MANOR_LEVEL!$B$1,MATCH(AC199-1,MANOR_LEVEL!$A:$A,0)-1,0),0)</f>
        <v>345433600</v>
      </c>
      <c r="AC199" s="55">
        <v>18</v>
      </c>
      <c r="AE199" s="11">
        <f t="shared" ca="1" si="57"/>
        <v>16800000</v>
      </c>
      <c r="AF199" s="10">
        <f ca="1">AK199+AM199+(IFERROR(OFFSET(ITEM_RES!$R$1,MATCH(AQ199,ITEM_RES!$A:$A,0)-1,0),0)*AS199+IFERROR(OFFSET(ITEM_RES!$R$1,MATCH(AV199,ITEM_RES!$A:$A,0)-1,0),0)*AX199+IFERROR(OFFSET(ITEM_RES!$R$1,MATCH(BA199,ITEM_RES!$A:$A,0)-1,0),0)*BC199+IFERROR(OFFSET(ITEM_RES!$R$1,MATCH(BF199,ITEM_RES!$A:$A,0)-1,0),0)*BH199+IFERROR(OFFSET(ITEM_RES!$R$1,MATCH(BK199,ITEM_RES!$A:$A,0)-1,0),0)*BM199)/1000</f>
        <v>16800000</v>
      </c>
      <c r="AG199" s="176">
        <f t="shared" ca="1" si="67"/>
        <v>24560000</v>
      </c>
      <c r="AI199" s="11">
        <f t="shared" si="63"/>
        <v>1080</v>
      </c>
      <c r="AJ199" s="10">
        <v>1080</v>
      </c>
      <c r="AK199" s="11">
        <f t="shared" si="64"/>
        <v>0</v>
      </c>
      <c r="AL199" s="10">
        <v>0</v>
      </c>
      <c r="AM199" s="11">
        <f t="shared" si="68"/>
        <v>0</v>
      </c>
      <c r="AN199" s="10">
        <v>0</v>
      </c>
      <c r="AO199" s="55">
        <f t="shared" si="65"/>
        <v>2</v>
      </c>
      <c r="AQ199" s="11">
        <f ca="1">IFERROR(OFFSET(ITEM_RES!$A$1,MATCH(AR199,ITEM_RES!$J:$J,0)-1,0),0)</f>
        <v>211020801</v>
      </c>
      <c r="AR199" s="10" t="s">
        <v>384</v>
      </c>
      <c r="AS199" s="11">
        <v>1050000</v>
      </c>
      <c r="AV199" s="11">
        <f ca="1">IFERROR(OFFSET(ITEM_RES!$A$1,MATCH(AW199,ITEM_RES!$J:$J,0)-1,0),0)</f>
        <v>211020901</v>
      </c>
      <c r="AW199" s="10" t="s">
        <v>385</v>
      </c>
      <c r="AX199" s="11">
        <v>1050000</v>
      </c>
      <c r="BA199" s="11">
        <f ca="1">IFERROR(OFFSET(ITEM_RES!$A$1,MATCH(BB199,ITEM_RES!$J:$J,0)-1,0),0)</f>
        <v>0</v>
      </c>
      <c r="BF199" s="11">
        <f ca="1">IFERROR(OFFSET(ITEM_RES!$A$1,MATCH(BG199,ITEM_RES!$J:$J,0)-1,0),0)</f>
        <v>0</v>
      </c>
      <c r="BK199" s="11">
        <f ca="1">IFERROR(OFFSET(ITEM_RES!$A$1,MATCH(BL199,ITEM_RES!$J:$J,0)-1,0),0)</f>
        <v>0</v>
      </c>
      <c r="BM199" s="11">
        <f t="shared" si="66"/>
        <v>0</v>
      </c>
    </row>
    <row r="200" spans="1:66" x14ac:dyDescent="0.3">
      <c r="A200" s="14">
        <f t="shared" si="60"/>
        <v>113010016</v>
      </c>
      <c r="B200" s="13">
        <v>11</v>
      </c>
      <c r="C200" s="12">
        <f t="shared" si="61"/>
        <v>3</v>
      </c>
      <c r="D200" s="13">
        <v>1</v>
      </c>
      <c r="E200" s="13">
        <v>0</v>
      </c>
      <c r="F200" s="12">
        <f t="shared" si="62"/>
        <v>16</v>
      </c>
      <c r="H200" s="9">
        <v>3</v>
      </c>
      <c r="I200" s="9">
        <v>16</v>
      </c>
      <c r="K200" s="55" t="s">
        <v>489</v>
      </c>
      <c r="L200" s="55"/>
      <c r="M200" s="9">
        <v>0</v>
      </c>
      <c r="N200" s="9">
        <v>15</v>
      </c>
      <c r="O200" s="9" t="s">
        <v>1016</v>
      </c>
      <c r="P200" s="55" t="s">
        <v>1355</v>
      </c>
      <c r="Q200" s="9" t="s">
        <v>671</v>
      </c>
      <c r="T200" s="9">
        <f ca="1">IFERROR(OFFSET(ITEM_RES!$A$5,MATCH(BUILDING!S200,ITEM_RES!$J$5:$J$229,0)-1,0),0)</f>
        <v>0</v>
      </c>
      <c r="W200" s="11">
        <f ca="1">IFERROR(OFFSET(ITEM_RES!$A$5,MATCH(BUILDING!V200,ITEM_RES!$J$5:$J$229,0)-1,0),0)</f>
        <v>0</v>
      </c>
      <c r="Y200" s="9" t="s">
        <v>503</v>
      </c>
      <c r="Z200" s="9">
        <v>16</v>
      </c>
      <c r="AB200" s="11">
        <f ca="1">IFERROR(OFFSET(MANOR_LEVEL!$B$1,MATCH(AC200-1,MANOR_LEVEL!$A:$A,0)-1,0),0)</f>
        <v>345433600</v>
      </c>
      <c r="AC200" s="55">
        <v>18</v>
      </c>
      <c r="AE200" s="11">
        <f t="shared" ca="1" si="57"/>
        <v>34400000</v>
      </c>
      <c r="AF200" s="10">
        <f ca="1">AK200+AM200+(IFERROR(OFFSET(ITEM_RES!$R$1,MATCH(AQ200,ITEM_RES!$A:$A,0)-1,0),0)*AS200+IFERROR(OFFSET(ITEM_RES!$R$1,MATCH(AV200,ITEM_RES!$A:$A,0)-1,0),0)*AX200+IFERROR(OFFSET(ITEM_RES!$R$1,MATCH(BA200,ITEM_RES!$A:$A,0)-1,0),0)*BC200+IFERROR(OFFSET(ITEM_RES!$R$1,MATCH(BF200,ITEM_RES!$A:$A,0)-1,0),0)*BH200+IFERROR(OFFSET(ITEM_RES!$R$1,MATCH(BK200,ITEM_RES!$A:$A,0)-1,0),0)*BM200)/1000</f>
        <v>34400000</v>
      </c>
      <c r="AG200" s="176">
        <f t="shared" ca="1" si="67"/>
        <v>51200000</v>
      </c>
      <c r="AI200" s="11">
        <f t="shared" si="63"/>
        <v>1260</v>
      </c>
      <c r="AJ200" s="10">
        <v>1260</v>
      </c>
      <c r="AK200" s="11">
        <f t="shared" si="64"/>
        <v>0</v>
      </c>
      <c r="AL200" s="10">
        <v>0</v>
      </c>
      <c r="AM200" s="11">
        <f t="shared" si="68"/>
        <v>0</v>
      </c>
      <c r="AN200" s="10">
        <v>0</v>
      </c>
      <c r="AO200" s="55">
        <f t="shared" si="65"/>
        <v>2</v>
      </c>
      <c r="AQ200" s="11">
        <f ca="1">IFERROR(OFFSET(ITEM_RES!$A$1,MATCH(AR200,ITEM_RES!$J:$J,0)-1,0),0)</f>
        <v>211020801</v>
      </c>
      <c r="AR200" s="10" t="s">
        <v>384</v>
      </c>
      <c r="AS200" s="11">
        <v>2150000</v>
      </c>
      <c r="AV200" s="11">
        <f ca="1">IFERROR(OFFSET(ITEM_RES!$A$1,MATCH(AW200,ITEM_RES!$J:$J,0)-1,0),0)</f>
        <v>211020901</v>
      </c>
      <c r="AW200" s="10" t="s">
        <v>385</v>
      </c>
      <c r="AX200" s="11">
        <v>2150000</v>
      </c>
      <c r="BA200" s="11">
        <f ca="1">IFERROR(OFFSET(ITEM_RES!$A$1,MATCH(BB200,ITEM_RES!$J:$J,0)-1,0),0)</f>
        <v>0</v>
      </c>
      <c r="BF200" s="11">
        <f ca="1">IFERROR(OFFSET(ITEM_RES!$A$1,MATCH(BG200,ITEM_RES!$J:$J,0)-1,0),0)</f>
        <v>0</v>
      </c>
      <c r="BK200" s="11">
        <f ca="1">IFERROR(OFFSET(ITEM_RES!$A$1,MATCH(BL200,ITEM_RES!$J:$J,0)-1,0),0)</f>
        <v>0</v>
      </c>
      <c r="BM200" s="11">
        <f t="shared" si="66"/>
        <v>0</v>
      </c>
    </row>
    <row r="201" spans="1:66" x14ac:dyDescent="0.3">
      <c r="A201" s="14">
        <f t="shared" si="60"/>
        <v>113010017</v>
      </c>
      <c r="B201" s="13">
        <v>11</v>
      </c>
      <c r="C201" s="12">
        <f t="shared" si="61"/>
        <v>3</v>
      </c>
      <c r="D201" s="13">
        <v>1</v>
      </c>
      <c r="E201" s="13">
        <v>0</v>
      </c>
      <c r="F201" s="12">
        <f t="shared" si="62"/>
        <v>17</v>
      </c>
      <c r="H201" s="9">
        <v>3</v>
      </c>
      <c r="I201" s="9">
        <v>17</v>
      </c>
      <c r="K201" s="55" t="s">
        <v>489</v>
      </c>
      <c r="L201" s="55"/>
      <c r="M201" s="9">
        <v>0</v>
      </c>
      <c r="N201" s="9">
        <v>15</v>
      </c>
      <c r="O201" s="9" t="s">
        <v>1016</v>
      </c>
      <c r="P201" s="55" t="s">
        <v>1355</v>
      </c>
      <c r="Q201" s="9" t="s">
        <v>671</v>
      </c>
      <c r="T201" s="9">
        <f ca="1">IFERROR(OFFSET(ITEM_RES!$A$5,MATCH(BUILDING!S201,ITEM_RES!$J$5:$J$229,0)-1,0),0)</f>
        <v>0</v>
      </c>
      <c r="W201" s="11">
        <f ca="1">IFERROR(OFFSET(ITEM_RES!$A$5,MATCH(BUILDING!V201,ITEM_RES!$J$5:$J$229,0)-1,0),0)</f>
        <v>0</v>
      </c>
      <c r="Y201" s="9" t="s">
        <v>503</v>
      </c>
      <c r="Z201" s="9">
        <v>17</v>
      </c>
      <c r="AB201" s="11">
        <f ca="1">IFERROR(OFFSET(MANOR_LEVEL!$B$1,MATCH(AC201-1,MANOR_LEVEL!$A:$A,0)-1,0),0)</f>
        <v>345433600</v>
      </c>
      <c r="AC201" s="55">
        <v>18</v>
      </c>
      <c r="AE201" s="11">
        <f t="shared" ca="1" si="57"/>
        <v>64000000</v>
      </c>
      <c r="AF201" s="10">
        <f ca="1">AK201+AM201+(IFERROR(OFFSET(ITEM_RES!$R$1,MATCH(AQ201,ITEM_RES!$A:$A,0)-1,0),0)*AS201+IFERROR(OFFSET(ITEM_RES!$R$1,MATCH(AV201,ITEM_RES!$A:$A,0)-1,0),0)*AX201+IFERROR(OFFSET(ITEM_RES!$R$1,MATCH(BA201,ITEM_RES!$A:$A,0)-1,0),0)*BC201+IFERROR(OFFSET(ITEM_RES!$R$1,MATCH(BF201,ITEM_RES!$A:$A,0)-1,0),0)*BH201+IFERROR(OFFSET(ITEM_RES!$R$1,MATCH(BK201,ITEM_RES!$A:$A,0)-1,0),0)*BM201)/1000</f>
        <v>64000000</v>
      </c>
      <c r="AG201" s="176">
        <f t="shared" ca="1" si="67"/>
        <v>98400000</v>
      </c>
      <c r="AI201" s="11">
        <f t="shared" si="63"/>
        <v>1440</v>
      </c>
      <c r="AJ201" s="10">
        <v>1440</v>
      </c>
      <c r="AK201" s="11">
        <f t="shared" si="64"/>
        <v>0</v>
      </c>
      <c r="AL201" s="10">
        <v>0</v>
      </c>
      <c r="AM201" s="11">
        <f t="shared" si="68"/>
        <v>0</v>
      </c>
      <c r="AN201" s="10">
        <v>0</v>
      </c>
      <c r="AO201" s="55">
        <f t="shared" si="65"/>
        <v>2</v>
      </c>
      <c r="AQ201" s="11">
        <f ca="1">IFERROR(OFFSET(ITEM_RES!$A$1,MATCH(AR201,ITEM_RES!$J:$J,0)-1,0),0)</f>
        <v>211020801</v>
      </c>
      <c r="AR201" s="10" t="s">
        <v>384</v>
      </c>
      <c r="AS201" s="11">
        <v>4000000</v>
      </c>
      <c r="AV201" s="11">
        <f ca="1">IFERROR(OFFSET(ITEM_RES!$A$1,MATCH(AW201,ITEM_RES!$J:$J,0)-1,0),0)</f>
        <v>211020901</v>
      </c>
      <c r="AW201" s="10" t="s">
        <v>385</v>
      </c>
      <c r="AX201" s="11">
        <v>4000000</v>
      </c>
      <c r="BA201" s="11">
        <f ca="1">IFERROR(OFFSET(ITEM_RES!$A$1,MATCH(BB201,ITEM_RES!$J:$J,0)-1,0),0)</f>
        <v>0</v>
      </c>
      <c r="BF201" s="11">
        <f ca="1">IFERROR(OFFSET(ITEM_RES!$A$1,MATCH(BG201,ITEM_RES!$J:$J,0)-1,0),0)</f>
        <v>0</v>
      </c>
      <c r="BK201" s="11">
        <f ca="1">IFERROR(OFFSET(ITEM_RES!$A$1,MATCH(BL201,ITEM_RES!$J:$J,0)-1,0),0)</f>
        <v>0</v>
      </c>
      <c r="BM201" s="11">
        <f t="shared" si="66"/>
        <v>0</v>
      </c>
    </row>
    <row r="202" spans="1:66" x14ac:dyDescent="0.3">
      <c r="A202" s="14">
        <f t="shared" si="60"/>
        <v>113010018</v>
      </c>
      <c r="B202" s="13">
        <v>11</v>
      </c>
      <c r="C202" s="12">
        <f t="shared" si="61"/>
        <v>3</v>
      </c>
      <c r="D202" s="13">
        <v>1</v>
      </c>
      <c r="E202" s="13">
        <v>0</v>
      </c>
      <c r="F202" s="12">
        <f t="shared" si="62"/>
        <v>18</v>
      </c>
      <c r="H202" s="9">
        <v>3</v>
      </c>
      <c r="I202" s="9">
        <v>18</v>
      </c>
      <c r="K202" s="55" t="s">
        <v>489</v>
      </c>
      <c r="L202" s="55"/>
      <c r="M202" s="9">
        <v>0</v>
      </c>
      <c r="N202" s="9">
        <v>15</v>
      </c>
      <c r="O202" s="9" t="s">
        <v>1016</v>
      </c>
      <c r="P202" s="55" t="s">
        <v>1355</v>
      </c>
      <c r="Q202" s="9" t="s">
        <v>671</v>
      </c>
      <c r="T202" s="9">
        <f ca="1">IFERROR(OFFSET(ITEM_RES!$A$5,MATCH(BUILDING!S202,ITEM_RES!$J$5:$J$229,0)-1,0),0)</f>
        <v>0</v>
      </c>
      <c r="W202" s="11">
        <f ca="1">IFERROR(OFFSET(ITEM_RES!$A$5,MATCH(BUILDING!V202,ITEM_RES!$J$5:$J$229,0)-1,0),0)</f>
        <v>0</v>
      </c>
      <c r="Y202" s="9" t="s">
        <v>503</v>
      </c>
      <c r="Z202" s="9">
        <v>18</v>
      </c>
      <c r="AB202" s="11">
        <f ca="1">IFERROR(OFFSET(MANOR_LEVEL!$B$1,MATCH(AC202-1,MANOR_LEVEL!$A:$A,0)-1,0),0)</f>
        <v>345433600</v>
      </c>
      <c r="AC202" s="55">
        <v>18</v>
      </c>
      <c r="AE202" s="11">
        <f t="shared" ca="1" si="57"/>
        <v>104000000</v>
      </c>
      <c r="AF202" s="10">
        <f ca="1">AK202+AM202+(IFERROR(OFFSET(ITEM_RES!$R$1,MATCH(AQ202,ITEM_RES!$A:$A,0)-1,0),0)*AS202+IFERROR(OFFSET(ITEM_RES!$R$1,MATCH(AV202,ITEM_RES!$A:$A,0)-1,0),0)*AX202+IFERROR(OFFSET(ITEM_RES!$R$1,MATCH(BA202,ITEM_RES!$A:$A,0)-1,0),0)*BC202+IFERROR(OFFSET(ITEM_RES!$R$1,MATCH(BF202,ITEM_RES!$A:$A,0)-1,0),0)*BH202+IFERROR(OFFSET(ITEM_RES!$R$1,MATCH(BK202,ITEM_RES!$A:$A,0)-1,0),0)*BM202)/1000</f>
        <v>104000000</v>
      </c>
      <c r="AG202" s="176">
        <f t="shared" ca="1" si="67"/>
        <v>168000000</v>
      </c>
      <c r="AI202" s="11">
        <f t="shared" si="63"/>
        <v>1620</v>
      </c>
      <c r="AJ202" s="10">
        <v>1620</v>
      </c>
      <c r="AK202" s="11">
        <f t="shared" si="64"/>
        <v>0</v>
      </c>
      <c r="AL202" s="10">
        <v>0</v>
      </c>
      <c r="AM202" s="11">
        <f t="shared" si="68"/>
        <v>0</v>
      </c>
      <c r="AN202" s="10">
        <v>0</v>
      </c>
      <c r="AO202" s="55">
        <f t="shared" si="65"/>
        <v>2</v>
      </c>
      <c r="AQ202" s="11">
        <f ca="1">IFERROR(OFFSET(ITEM_RES!$A$1,MATCH(AR202,ITEM_RES!$J:$J,0)-1,0),0)</f>
        <v>211020801</v>
      </c>
      <c r="AR202" s="10" t="s">
        <v>384</v>
      </c>
      <c r="AS202" s="11">
        <v>6500000</v>
      </c>
      <c r="AV202" s="11">
        <f ca="1">IFERROR(OFFSET(ITEM_RES!$A$1,MATCH(AW202,ITEM_RES!$J:$J,0)-1,0),0)</f>
        <v>211020901</v>
      </c>
      <c r="AW202" s="10" t="s">
        <v>385</v>
      </c>
      <c r="AX202" s="11">
        <v>6500000</v>
      </c>
      <c r="BA202" s="11">
        <f ca="1">IFERROR(OFFSET(ITEM_RES!$A$1,MATCH(BB202,ITEM_RES!$J:$J,0)-1,0),0)</f>
        <v>0</v>
      </c>
      <c r="BF202" s="11">
        <f ca="1">IFERROR(OFFSET(ITEM_RES!$A$1,MATCH(BG202,ITEM_RES!$J:$J,0)-1,0),0)</f>
        <v>0</v>
      </c>
      <c r="BK202" s="11">
        <f ca="1">IFERROR(OFFSET(ITEM_RES!$A$1,MATCH(BL202,ITEM_RES!$J:$J,0)-1,0),0)</f>
        <v>0</v>
      </c>
      <c r="BM202" s="11">
        <f t="shared" si="66"/>
        <v>0</v>
      </c>
    </row>
    <row r="203" spans="1:66" x14ac:dyDescent="0.3">
      <c r="A203" s="14">
        <f t="shared" si="60"/>
        <v>113010019</v>
      </c>
      <c r="B203" s="13">
        <v>11</v>
      </c>
      <c r="C203" s="12">
        <f t="shared" si="61"/>
        <v>3</v>
      </c>
      <c r="D203" s="13">
        <v>1</v>
      </c>
      <c r="E203" s="13">
        <v>0</v>
      </c>
      <c r="F203" s="12">
        <f t="shared" si="62"/>
        <v>19</v>
      </c>
      <c r="H203" s="9">
        <v>3</v>
      </c>
      <c r="I203" s="9">
        <v>19</v>
      </c>
      <c r="K203" s="55" t="s">
        <v>489</v>
      </c>
      <c r="L203" s="55"/>
      <c r="M203" s="9">
        <v>0</v>
      </c>
      <c r="N203" s="9">
        <v>15</v>
      </c>
      <c r="O203" s="9" t="s">
        <v>1016</v>
      </c>
      <c r="P203" s="55" t="s">
        <v>1355</v>
      </c>
      <c r="Q203" s="9" t="s">
        <v>671</v>
      </c>
      <c r="T203" s="9">
        <f ca="1">IFERROR(OFFSET(ITEM_RES!$A$5,MATCH(BUILDING!S203,ITEM_RES!$J$5:$J$229,0)-1,0),0)</f>
        <v>0</v>
      </c>
      <c r="W203" s="11">
        <f ca="1">IFERROR(OFFSET(ITEM_RES!$A$5,MATCH(BUILDING!V203,ITEM_RES!$J$5:$J$229,0)-1,0),0)</f>
        <v>0</v>
      </c>
      <c r="Y203" s="9" t="s">
        <v>503</v>
      </c>
      <c r="Z203" s="9">
        <v>19</v>
      </c>
      <c r="AB203" s="11">
        <f ca="1">IFERROR(OFFSET(MANOR_LEVEL!$B$1,MATCH(AC203-1,MANOR_LEVEL!$A:$A,0)-1,0),0)</f>
        <v>345433600</v>
      </c>
      <c r="AC203" s="55">
        <v>18</v>
      </c>
      <c r="AE203" s="11">
        <f t="shared" ca="1" si="57"/>
        <v>150000000</v>
      </c>
      <c r="AF203" s="10">
        <f ca="1">AK203+AM203+(IFERROR(OFFSET(ITEM_RES!$R$1,MATCH(AQ203,ITEM_RES!$A:$A,0)-1,0),0)*AS203+IFERROR(OFFSET(ITEM_RES!$R$1,MATCH(AV203,ITEM_RES!$A:$A,0)-1,0),0)*AX203+IFERROR(OFFSET(ITEM_RES!$R$1,MATCH(BA203,ITEM_RES!$A:$A,0)-1,0),0)*BC203+IFERROR(OFFSET(ITEM_RES!$R$1,MATCH(BF203,ITEM_RES!$A:$A,0)-1,0),0)*BH203+IFERROR(OFFSET(ITEM_RES!$R$1,MATCH(BK203,ITEM_RES!$A:$A,0)-1,0),0)*BM203)/1000</f>
        <v>150000000</v>
      </c>
      <c r="AG203" s="176">
        <f t="shared" ca="1" si="67"/>
        <v>254000000</v>
      </c>
      <c r="AI203" s="11">
        <f t="shared" si="63"/>
        <v>1800</v>
      </c>
      <c r="AJ203" s="10">
        <v>1800</v>
      </c>
      <c r="AK203" s="11">
        <f t="shared" si="64"/>
        <v>0</v>
      </c>
      <c r="AL203" s="10">
        <v>0</v>
      </c>
      <c r="AM203" s="11">
        <f t="shared" si="68"/>
        <v>0</v>
      </c>
      <c r="AN203" s="10">
        <v>0</v>
      </c>
      <c r="AO203" s="55">
        <f t="shared" si="65"/>
        <v>2</v>
      </c>
      <c r="AQ203" s="11">
        <f ca="1">IFERROR(OFFSET(ITEM_RES!$A$1,MATCH(AR203,ITEM_RES!$J:$J,0)-1,0),0)</f>
        <v>211020901</v>
      </c>
      <c r="AR203" s="10" t="s">
        <v>385</v>
      </c>
      <c r="AS203" s="11">
        <v>10000000</v>
      </c>
      <c r="AV203" s="11">
        <f ca="1">IFERROR(OFFSET(ITEM_RES!$A$1,MATCH(AW203,ITEM_RES!$J:$J,0)-1,0),0)</f>
        <v>211020501</v>
      </c>
      <c r="AW203" s="10" t="s">
        <v>416</v>
      </c>
      <c r="AX203" s="11">
        <v>10000000</v>
      </c>
      <c r="BA203" s="11">
        <f ca="1">IFERROR(OFFSET(ITEM_RES!$A$1,MATCH(BB203,ITEM_RES!$J:$J,0)-1,0),0)</f>
        <v>0</v>
      </c>
      <c r="BF203" s="11">
        <f ca="1">IFERROR(OFFSET(ITEM_RES!$A$1,MATCH(BG203,ITEM_RES!$J:$J,0)-1,0),0)</f>
        <v>0</v>
      </c>
      <c r="BK203" s="11">
        <f ca="1">IFERROR(OFFSET(ITEM_RES!$A$1,MATCH(BL203,ITEM_RES!$J:$J,0)-1,0),0)</f>
        <v>0</v>
      </c>
      <c r="BM203" s="11">
        <f t="shared" si="66"/>
        <v>0</v>
      </c>
    </row>
    <row r="204" spans="1:66" ht="17.25" thickBot="1" x14ac:dyDescent="0.35">
      <c r="A204" s="14">
        <f t="shared" si="60"/>
        <v>113010020</v>
      </c>
      <c r="B204" s="13">
        <v>11</v>
      </c>
      <c r="C204" s="12">
        <f t="shared" si="61"/>
        <v>3</v>
      </c>
      <c r="D204" s="13">
        <v>1</v>
      </c>
      <c r="E204" s="13">
        <v>0</v>
      </c>
      <c r="F204" s="12">
        <f t="shared" si="62"/>
        <v>20</v>
      </c>
      <c r="H204" s="9">
        <v>3</v>
      </c>
      <c r="I204" s="9">
        <v>20</v>
      </c>
      <c r="K204" s="55" t="s">
        <v>489</v>
      </c>
      <c r="L204" s="55"/>
      <c r="M204" s="9">
        <v>0</v>
      </c>
      <c r="N204" s="9">
        <v>15</v>
      </c>
      <c r="O204" s="9" t="s">
        <v>1016</v>
      </c>
      <c r="P204" s="55" t="s">
        <v>1355</v>
      </c>
      <c r="Q204" s="9" t="s">
        <v>671</v>
      </c>
      <c r="T204" s="9">
        <f ca="1">IFERROR(OFFSET(ITEM_RES!$A$5,MATCH(BUILDING!S204,ITEM_RES!$J$5:$J$229,0)-1,0),0)</f>
        <v>0</v>
      </c>
      <c r="W204" s="11">
        <f ca="1">IFERROR(OFFSET(ITEM_RES!$A$5,MATCH(BUILDING!V204,ITEM_RES!$J$5:$J$229,0)-1,0),0)</f>
        <v>0</v>
      </c>
      <c r="Y204" s="9" t="s">
        <v>503</v>
      </c>
      <c r="Z204" s="9">
        <v>20</v>
      </c>
      <c r="AB204" s="11">
        <f ca="1">IFERROR(OFFSET(MANOR_LEVEL!$B$1,MATCH(AC204-1,MANOR_LEVEL!$A:$A,0)-1,0),0)</f>
        <v>345433600</v>
      </c>
      <c r="AC204" s="55">
        <v>18</v>
      </c>
      <c r="AE204" s="11">
        <f t="shared" ca="1" si="57"/>
        <v>240000000</v>
      </c>
      <c r="AF204" s="10">
        <f ca="1">AK204+AM204+(IFERROR(OFFSET(ITEM_RES!$R$1,MATCH(AQ204,ITEM_RES!$A:$A,0)-1,0),0)*AS204+IFERROR(OFFSET(ITEM_RES!$R$1,MATCH(AV204,ITEM_RES!$A:$A,0)-1,0),0)*AX204+IFERROR(OFFSET(ITEM_RES!$R$1,MATCH(BA204,ITEM_RES!$A:$A,0)-1,0),0)*BC204+IFERROR(OFFSET(ITEM_RES!$R$1,MATCH(BF204,ITEM_RES!$A:$A,0)-1,0),0)*BH204+IFERROR(OFFSET(ITEM_RES!$R$1,MATCH(BK204,ITEM_RES!$A:$A,0)-1,0),0)*BM204)/1000</f>
        <v>240000000</v>
      </c>
      <c r="AG204" s="176">
        <f t="shared" ca="1" si="67"/>
        <v>390000000</v>
      </c>
      <c r="AI204" s="11">
        <f t="shared" si="63"/>
        <v>1980</v>
      </c>
      <c r="AJ204" s="10">
        <v>1980</v>
      </c>
      <c r="AK204" s="11">
        <f t="shared" si="64"/>
        <v>0</v>
      </c>
      <c r="AL204" s="10">
        <v>0</v>
      </c>
      <c r="AM204" s="11">
        <f t="shared" si="68"/>
        <v>0</v>
      </c>
      <c r="AN204" s="10">
        <v>0</v>
      </c>
      <c r="AO204" s="55">
        <f t="shared" si="65"/>
        <v>2</v>
      </c>
      <c r="AQ204" s="11">
        <f ca="1">IFERROR(OFFSET(ITEM_RES!$A$1,MATCH(AR204,ITEM_RES!$J:$J,0)-1,0),0)</f>
        <v>211020901</v>
      </c>
      <c r="AR204" s="10" t="s">
        <v>490</v>
      </c>
      <c r="AS204" s="11">
        <v>16000000</v>
      </c>
      <c r="AV204" s="11">
        <f ca="1">IFERROR(OFFSET(ITEM_RES!$A$1,MATCH(AW204,ITEM_RES!$J:$J,0)-1,0),0)</f>
        <v>211020501</v>
      </c>
      <c r="AW204" s="10" t="s">
        <v>416</v>
      </c>
      <c r="AX204" s="11">
        <v>16000000</v>
      </c>
      <c r="BA204" s="11">
        <f ca="1">IFERROR(OFFSET(ITEM_RES!$A$1,MATCH(BB204,ITEM_RES!$J:$J,0)-1,0),0)</f>
        <v>0</v>
      </c>
      <c r="BF204" s="11">
        <f ca="1">IFERROR(OFFSET(ITEM_RES!$A$1,MATCH(BG204,ITEM_RES!$J:$J,0)-1,0),0)</f>
        <v>0</v>
      </c>
      <c r="BK204" s="11">
        <f ca="1">IFERROR(OFFSET(ITEM_RES!$A$1,MATCH(BL204,ITEM_RES!$J:$J,0)-1,0),0)</f>
        <v>0</v>
      </c>
      <c r="BM204" s="11">
        <f t="shared" si="66"/>
        <v>0</v>
      </c>
    </row>
    <row r="205" spans="1:66" s="15" customFormat="1" x14ac:dyDescent="0.3">
      <c r="A205" s="21">
        <f t="shared" ref="A205:A224" si="69">B205*10000000+C205*1000000+D205*10000+E205*100+F205</f>
        <v>113020001</v>
      </c>
      <c r="B205" s="20">
        <v>11</v>
      </c>
      <c r="C205" s="19">
        <f t="shared" ref="C205:C224" si="70">H205</f>
        <v>3</v>
      </c>
      <c r="D205" s="20">
        <v>2</v>
      </c>
      <c r="E205" s="20">
        <v>0</v>
      </c>
      <c r="F205" s="19">
        <f t="shared" ref="F205:F224" si="71">I205</f>
        <v>1</v>
      </c>
      <c r="G205" s="76"/>
      <c r="H205" s="16">
        <v>3</v>
      </c>
      <c r="I205" s="16">
        <v>1</v>
      </c>
      <c r="J205" s="76"/>
      <c r="K205" s="62" t="s">
        <v>553</v>
      </c>
      <c r="L205" s="62">
        <v>7</v>
      </c>
      <c r="M205" s="16">
        <v>1</v>
      </c>
      <c r="N205" s="16">
        <v>15</v>
      </c>
      <c r="O205" s="16" t="s">
        <v>1097</v>
      </c>
      <c r="P205" s="56" t="s">
        <v>1356</v>
      </c>
      <c r="Q205" s="16" t="s">
        <v>672</v>
      </c>
      <c r="R205" s="76"/>
      <c r="S205" s="83"/>
      <c r="T205" s="16">
        <f ca="1">IFERROR(OFFSET(ITEM_RES!$A$5,MATCH(BUILDING!S205,ITEM_RES!$J$5:$J$229,0)-1,0),0)</f>
        <v>0</v>
      </c>
      <c r="U205" s="18"/>
      <c r="V205" s="83"/>
      <c r="W205" s="18">
        <f ca="1">IFERROR(OFFSET(ITEM_RES!$A$5,MATCH(BUILDING!V205,ITEM_RES!$J$5:$J$229,0)-1,0),0)</f>
        <v>0</v>
      </c>
      <c r="X205" s="76"/>
      <c r="Y205" s="16" t="s">
        <v>554</v>
      </c>
      <c r="Z205" s="16">
        <v>1</v>
      </c>
      <c r="AA205" s="76"/>
      <c r="AB205" s="18">
        <f ca="1">IFERROR(OFFSET(MANOR_LEVEL!$B$1,MATCH(AC205-1,MANOR_LEVEL!$A:$A,0)-1,0),0)</f>
        <v>11000</v>
      </c>
      <c r="AC205" s="56">
        <v>5</v>
      </c>
      <c r="AD205" s="76"/>
      <c r="AE205" s="18">
        <f t="shared" ca="1" si="57"/>
        <v>1150</v>
      </c>
      <c r="AF205" s="17">
        <f ca="1">AK205+AM205+(IFERROR(OFFSET(ITEM_RES!$R$1,MATCH(AQ205,ITEM_RES!$A:$A,0)-1,0),0)*AS205+IFERROR(OFFSET(ITEM_RES!$R$1,MATCH(AV205,ITEM_RES!$A:$A,0)-1,0),0)*AX205+IFERROR(OFFSET(ITEM_RES!$R$1,MATCH(BA205,ITEM_RES!$A:$A,0)-1,0),0)*BC205+IFERROR(OFFSET(ITEM_RES!$R$1,MATCH(BF205,ITEM_RES!$A:$A,0)-1,0),0)*BH205+IFERROR(OFFSET(ITEM_RES!$R$1,MATCH(BK205,ITEM_RES!$A:$A,0)-1,0),0)*BM205)/1000</f>
        <v>1150</v>
      </c>
      <c r="AG205" s="178">
        <f ca="1">AE205</f>
        <v>1150</v>
      </c>
      <c r="AH205" s="76"/>
      <c r="AI205" s="18">
        <f t="shared" ref="AI205:AI224" si="72">ROUND(AJ205,0)</f>
        <v>2</v>
      </c>
      <c r="AJ205" s="17">
        <v>2</v>
      </c>
      <c r="AK205" s="18">
        <f t="shared" ref="AK205:AK224" si="73">ROUND(AL205,0)</f>
        <v>0</v>
      </c>
      <c r="AL205" s="17">
        <v>0</v>
      </c>
      <c r="AM205" s="18">
        <f t="shared" si="68"/>
        <v>0</v>
      </c>
      <c r="AN205" s="17">
        <v>0</v>
      </c>
      <c r="AO205" s="56">
        <f t="shared" ref="AO205:AO224" si="74">(AS205&gt;0)*1+(AX205&gt;0)*1+(BC205&gt;0)*1+(BH205&gt;0)*1+(BM205&gt;0)*1</f>
        <v>2</v>
      </c>
      <c r="AP205" s="18"/>
      <c r="AQ205" s="18">
        <f ca="1">IFERROR(OFFSET(ITEM_RES!$A$1,MATCH(AR205,ITEM_RES!$J:$J,0)-1,0),0)</f>
        <v>211020801</v>
      </c>
      <c r="AR205" s="17" t="s">
        <v>384</v>
      </c>
      <c r="AS205" s="18">
        <v>25</v>
      </c>
      <c r="AT205" s="17"/>
      <c r="AU205" s="18"/>
      <c r="AV205" s="18">
        <f ca="1">IFERROR(OFFSET(ITEM_RES!$A$1,MATCH(AW205,ITEM_RES!$J:$J,0)-1,0),0)</f>
        <v>0</v>
      </c>
      <c r="AW205" s="17"/>
      <c r="AX205" s="18"/>
      <c r="AY205" s="17"/>
      <c r="AZ205" s="18"/>
      <c r="BA205" s="18">
        <f ca="1">IFERROR(OFFSET(ITEM_RES!$A$1,MATCH(BB205,ITEM_RES!$J:$J,0)-1,0),0)</f>
        <v>213010101</v>
      </c>
      <c r="BB205" s="17" t="s">
        <v>387</v>
      </c>
      <c r="BC205" s="18">
        <v>1</v>
      </c>
      <c r="BD205" s="17"/>
      <c r="BE205" s="18"/>
      <c r="BF205" s="18">
        <f ca="1">IFERROR(OFFSET(ITEM_RES!$A$1,MATCH(BG205,ITEM_RES!$J:$J,0)-1,0),0)</f>
        <v>0</v>
      </c>
      <c r="BG205" s="17"/>
      <c r="BH205" s="18"/>
      <c r="BI205" s="17"/>
      <c r="BJ205" s="18"/>
      <c r="BK205" s="18">
        <f ca="1">IFERROR(OFFSET(ITEM_RES!$A$1,MATCH(BL205,ITEM_RES!$J:$J,0)-1,0),0)</f>
        <v>0</v>
      </c>
      <c r="BL205" s="17"/>
      <c r="BM205" s="18">
        <f t="shared" ref="BM205:BM224" si="75">IF(BN205&lt;100,ROUND(BN205,1-LEN(ROUND(BN205,0))),ROUND(BN205,2-LEN(ROUND(BN205,0))))</f>
        <v>0</v>
      </c>
      <c r="BN205" s="17"/>
    </row>
    <row r="206" spans="1:66" s="14" customFormat="1" x14ac:dyDescent="0.15">
      <c r="A206" s="14">
        <f t="shared" si="69"/>
        <v>113020002</v>
      </c>
      <c r="B206" s="13">
        <v>11</v>
      </c>
      <c r="C206" s="12">
        <f t="shared" si="70"/>
        <v>3</v>
      </c>
      <c r="D206" s="13">
        <v>2</v>
      </c>
      <c r="E206" s="13">
        <v>0</v>
      </c>
      <c r="F206" s="12">
        <f t="shared" si="71"/>
        <v>2</v>
      </c>
      <c r="G206" s="179"/>
      <c r="H206" s="9">
        <v>3</v>
      </c>
      <c r="I206" s="9">
        <v>2</v>
      </c>
      <c r="J206" s="179"/>
      <c r="K206" s="55" t="s">
        <v>553</v>
      </c>
      <c r="L206" s="55"/>
      <c r="M206" s="9">
        <v>1</v>
      </c>
      <c r="N206" s="9">
        <v>15</v>
      </c>
      <c r="O206" s="9" t="s">
        <v>1097</v>
      </c>
      <c r="P206" s="55" t="s">
        <v>1356</v>
      </c>
      <c r="Q206" s="9" t="s">
        <v>672</v>
      </c>
      <c r="R206" s="179"/>
      <c r="S206" s="81"/>
      <c r="T206" s="9">
        <f ca="1">IFERROR(OFFSET(ITEM_RES!$A$5,MATCH(BUILDING!S206,ITEM_RES!$J$5:$J$229,0)-1,0),0)</f>
        <v>0</v>
      </c>
      <c r="U206" s="11"/>
      <c r="V206" s="81"/>
      <c r="W206" s="11">
        <f ca="1">IFERROR(OFFSET(ITEM_RES!$A$5,MATCH(BUILDING!V206,ITEM_RES!$J$5:$J$229,0)-1,0),0)</f>
        <v>0</v>
      </c>
      <c r="X206" s="179"/>
      <c r="Y206" s="9" t="s">
        <v>554</v>
      </c>
      <c r="Z206" s="9">
        <v>2</v>
      </c>
      <c r="AA206" s="179"/>
      <c r="AB206" s="11">
        <f ca="1">IFERROR(OFFSET(MANOR_LEVEL!$B$1,MATCH(AC206-1,MANOR_LEVEL!$A:$A,0)-1,0),0)</f>
        <v>11000</v>
      </c>
      <c r="AC206" s="55">
        <v>5</v>
      </c>
      <c r="AD206" s="179"/>
      <c r="AE206" s="11">
        <f t="shared" ca="1" si="57"/>
        <v>300</v>
      </c>
      <c r="AF206" s="10">
        <f ca="1">AK206+AM206+(IFERROR(OFFSET(ITEM_RES!$R$1,MATCH(AQ206,ITEM_RES!$A:$A,0)-1,0),0)*AS206+IFERROR(OFFSET(ITEM_RES!$R$1,MATCH(AV206,ITEM_RES!$A:$A,0)-1,0),0)*AX206+IFERROR(OFFSET(ITEM_RES!$R$1,MATCH(BA206,ITEM_RES!$A:$A,0)-1,0),0)*BC206+IFERROR(OFFSET(ITEM_RES!$R$1,MATCH(BF206,ITEM_RES!$A:$A,0)-1,0),0)*BH206+IFERROR(OFFSET(ITEM_RES!$R$1,MATCH(BK206,ITEM_RES!$A:$A,0)-1,0),0)*BM206)/1000</f>
        <v>300</v>
      </c>
      <c r="AG206" s="176">
        <f ca="1">AE205+AE206</f>
        <v>1450</v>
      </c>
      <c r="AH206" s="179"/>
      <c r="AI206" s="11">
        <f t="shared" si="72"/>
        <v>2</v>
      </c>
      <c r="AJ206" s="10">
        <v>2</v>
      </c>
      <c r="AK206" s="11">
        <f t="shared" si="73"/>
        <v>0</v>
      </c>
      <c r="AL206" s="10">
        <v>0</v>
      </c>
      <c r="AM206" s="11">
        <f t="shared" si="68"/>
        <v>0</v>
      </c>
      <c r="AN206" s="10">
        <v>0</v>
      </c>
      <c r="AO206" s="55">
        <f t="shared" si="74"/>
        <v>1</v>
      </c>
      <c r="AP206" s="11"/>
      <c r="AQ206" s="11">
        <f ca="1">IFERROR(OFFSET(ITEM_RES!$A$1,MATCH(AR206,ITEM_RES!$J:$J,0)-1,0),0)</f>
        <v>211020801</v>
      </c>
      <c r="AR206" s="10" t="s">
        <v>384</v>
      </c>
      <c r="AS206" s="11">
        <v>50</v>
      </c>
      <c r="AT206" s="10"/>
      <c r="AU206" s="11"/>
      <c r="AV206" s="11">
        <f ca="1">IFERROR(OFFSET(ITEM_RES!$A$1,MATCH(AW206,ITEM_RES!$J:$J,0)-1,0),0)</f>
        <v>0</v>
      </c>
      <c r="AW206" s="10"/>
      <c r="AX206" s="11"/>
      <c r="AY206" s="10"/>
      <c r="AZ206" s="11"/>
      <c r="BA206" s="11">
        <f ca="1">IFERROR(OFFSET(ITEM_RES!$A$1,MATCH(BB206,ITEM_RES!$J:$J,0)-1,0),0)</f>
        <v>0</v>
      </c>
      <c r="BB206" s="10"/>
      <c r="BC206" s="11"/>
      <c r="BD206" s="10"/>
      <c r="BE206" s="11"/>
      <c r="BF206" s="11">
        <f ca="1">IFERROR(OFFSET(ITEM_RES!$A$1,MATCH(BG206,ITEM_RES!$J:$J,0)-1,0),0)</f>
        <v>0</v>
      </c>
      <c r="BG206" s="10"/>
      <c r="BH206" s="11"/>
      <c r="BI206" s="10"/>
      <c r="BJ206" s="11"/>
      <c r="BK206" s="11">
        <f ca="1">IFERROR(OFFSET(ITEM_RES!$A$1,MATCH(BL206,ITEM_RES!$J:$J,0)-1,0),0)</f>
        <v>0</v>
      </c>
      <c r="BL206" s="10"/>
      <c r="BM206" s="11">
        <f t="shared" si="75"/>
        <v>0</v>
      </c>
      <c r="BN206" s="10"/>
    </row>
    <row r="207" spans="1:66" x14ac:dyDescent="0.3">
      <c r="A207" s="14">
        <f t="shared" si="69"/>
        <v>113020003</v>
      </c>
      <c r="B207" s="13">
        <v>11</v>
      </c>
      <c r="C207" s="12">
        <f t="shared" si="70"/>
        <v>3</v>
      </c>
      <c r="D207" s="13">
        <v>2</v>
      </c>
      <c r="E207" s="13">
        <v>0</v>
      </c>
      <c r="F207" s="12">
        <f t="shared" si="71"/>
        <v>3</v>
      </c>
      <c r="H207" s="9">
        <v>3</v>
      </c>
      <c r="I207" s="9">
        <v>3</v>
      </c>
      <c r="K207" s="55" t="s">
        <v>553</v>
      </c>
      <c r="L207" s="55"/>
      <c r="M207" s="9">
        <v>1</v>
      </c>
      <c r="N207" s="9">
        <v>15</v>
      </c>
      <c r="O207" s="9" t="s">
        <v>1097</v>
      </c>
      <c r="P207" s="55" t="s">
        <v>1356</v>
      </c>
      <c r="Q207" s="9" t="s">
        <v>672</v>
      </c>
      <c r="T207" s="9">
        <f ca="1">IFERROR(OFFSET(ITEM_RES!$A$5,MATCH(BUILDING!S207,ITEM_RES!$J$5:$J$229,0)-1,0),0)</f>
        <v>0</v>
      </c>
      <c r="W207" s="11">
        <f ca="1">IFERROR(OFFSET(ITEM_RES!$A$5,MATCH(BUILDING!V207,ITEM_RES!$J$5:$J$229,0)-1,0),0)</f>
        <v>0</v>
      </c>
      <c r="Y207" s="9" t="s">
        <v>554</v>
      </c>
      <c r="Z207" s="9">
        <v>3</v>
      </c>
      <c r="AB207" s="11">
        <f ca="1">IFERROR(OFFSET(MANOR_LEVEL!$B$1,MATCH(AC207-1,MANOR_LEVEL!$A:$A,0)-1,0),0)</f>
        <v>11000</v>
      </c>
      <c r="AC207" s="55">
        <v>5</v>
      </c>
      <c r="AE207" s="11">
        <f t="shared" ca="1" si="57"/>
        <v>450</v>
      </c>
      <c r="AF207" s="10">
        <f ca="1">AK207+AM207+(IFERROR(OFFSET(ITEM_RES!$R$1,MATCH(AQ207,ITEM_RES!$A:$A,0)-1,0),0)*AS207+IFERROR(OFFSET(ITEM_RES!$R$1,MATCH(AV207,ITEM_RES!$A:$A,0)-1,0),0)*AX207+IFERROR(OFFSET(ITEM_RES!$R$1,MATCH(BA207,ITEM_RES!$A:$A,0)-1,0),0)*BC207+IFERROR(OFFSET(ITEM_RES!$R$1,MATCH(BF207,ITEM_RES!$A:$A,0)-1,0),0)*BH207+IFERROR(OFFSET(ITEM_RES!$R$1,MATCH(BK207,ITEM_RES!$A:$A,0)-1,0),0)*BM207)/1000</f>
        <v>450</v>
      </c>
      <c r="AG207" s="176">
        <f t="shared" ref="AG207:AG224" ca="1" si="76">AE206+AE207</f>
        <v>750</v>
      </c>
      <c r="AI207" s="11">
        <f t="shared" si="72"/>
        <v>3</v>
      </c>
      <c r="AJ207" s="10">
        <v>3</v>
      </c>
      <c r="AK207" s="11">
        <f t="shared" si="73"/>
        <v>0</v>
      </c>
      <c r="AL207" s="10">
        <v>0</v>
      </c>
      <c r="AM207" s="11">
        <f t="shared" si="68"/>
        <v>0</v>
      </c>
      <c r="AN207" s="10">
        <v>0</v>
      </c>
      <c r="AO207" s="55">
        <f t="shared" si="74"/>
        <v>1</v>
      </c>
      <c r="AQ207" s="11">
        <f ca="1">IFERROR(OFFSET(ITEM_RES!$A$1,MATCH(AR207,ITEM_RES!$J:$J,0)-1,0),0)</f>
        <v>211020801</v>
      </c>
      <c r="AR207" s="10" t="s">
        <v>384</v>
      </c>
      <c r="AS207" s="11">
        <v>75</v>
      </c>
      <c r="AV207" s="11">
        <f ca="1">IFERROR(OFFSET(ITEM_RES!$A$1,MATCH(AW207,ITEM_RES!$J:$J,0)-1,0),0)</f>
        <v>0</v>
      </c>
      <c r="BA207" s="11">
        <f ca="1">IFERROR(OFFSET(ITEM_RES!$A$1,MATCH(BB207,ITEM_RES!$J:$J,0)-1,0),0)</f>
        <v>0</v>
      </c>
      <c r="BF207" s="11">
        <f ca="1">IFERROR(OFFSET(ITEM_RES!$A$1,MATCH(BG207,ITEM_RES!$J:$J,0)-1,0),0)</f>
        <v>0</v>
      </c>
      <c r="BK207" s="11">
        <f ca="1">IFERROR(OFFSET(ITEM_RES!$A$1,MATCH(BL207,ITEM_RES!$J:$J,0)-1,0),0)</f>
        <v>0</v>
      </c>
      <c r="BM207" s="11">
        <f t="shared" si="75"/>
        <v>0</v>
      </c>
    </row>
    <row r="208" spans="1:66" x14ac:dyDescent="0.3">
      <c r="A208" s="14">
        <f t="shared" si="69"/>
        <v>113020004</v>
      </c>
      <c r="B208" s="13">
        <v>11</v>
      </c>
      <c r="C208" s="12">
        <f t="shared" si="70"/>
        <v>3</v>
      </c>
      <c r="D208" s="13">
        <v>2</v>
      </c>
      <c r="E208" s="13">
        <v>0</v>
      </c>
      <c r="F208" s="12">
        <f t="shared" si="71"/>
        <v>4</v>
      </c>
      <c r="H208" s="9">
        <v>3</v>
      </c>
      <c r="I208" s="9">
        <v>4</v>
      </c>
      <c r="K208" s="55" t="s">
        <v>553</v>
      </c>
      <c r="L208" s="55"/>
      <c r="M208" s="9">
        <v>1</v>
      </c>
      <c r="N208" s="9">
        <v>15</v>
      </c>
      <c r="O208" s="9" t="s">
        <v>1097</v>
      </c>
      <c r="P208" s="55" t="s">
        <v>1356</v>
      </c>
      <c r="Q208" s="9" t="s">
        <v>672</v>
      </c>
      <c r="T208" s="9">
        <f ca="1">IFERROR(OFFSET(ITEM_RES!$A$5,MATCH(BUILDING!S208,ITEM_RES!$J$5:$J$229,0)-1,0),0)</f>
        <v>0</v>
      </c>
      <c r="W208" s="11">
        <f ca="1">IFERROR(OFFSET(ITEM_RES!$A$5,MATCH(BUILDING!V208,ITEM_RES!$J$5:$J$229,0)-1,0),0)</f>
        <v>0</v>
      </c>
      <c r="Y208" s="9" t="s">
        <v>554</v>
      </c>
      <c r="Z208" s="9">
        <v>4</v>
      </c>
      <c r="AB208" s="11">
        <f ca="1">IFERROR(OFFSET(MANOR_LEVEL!$B$1,MATCH(AC208-1,MANOR_LEVEL!$A:$A,0)-1,0),0)</f>
        <v>17000</v>
      </c>
      <c r="AC208" s="55">
        <v>6</v>
      </c>
      <c r="AE208" s="11">
        <f t="shared" ca="1" si="57"/>
        <v>1800</v>
      </c>
      <c r="AF208" s="10">
        <f ca="1">AK208+AM208+(IFERROR(OFFSET(ITEM_RES!$R$1,MATCH(AQ208,ITEM_RES!$A:$A,0)-1,0),0)*AS208+IFERROR(OFFSET(ITEM_RES!$R$1,MATCH(AV208,ITEM_RES!$A:$A,0)-1,0),0)*AX208+IFERROR(OFFSET(ITEM_RES!$R$1,MATCH(BA208,ITEM_RES!$A:$A,0)-1,0),0)*BC208+IFERROR(OFFSET(ITEM_RES!$R$1,MATCH(BF208,ITEM_RES!$A:$A,0)-1,0),0)*BH208+IFERROR(OFFSET(ITEM_RES!$R$1,MATCH(BK208,ITEM_RES!$A:$A,0)-1,0),0)*BM208)/1000</f>
        <v>1800</v>
      </c>
      <c r="AG208" s="176">
        <f t="shared" ca="1" si="76"/>
        <v>2250</v>
      </c>
      <c r="AI208" s="11">
        <f t="shared" si="72"/>
        <v>5</v>
      </c>
      <c r="AJ208" s="10">
        <v>5</v>
      </c>
      <c r="AK208" s="11">
        <f t="shared" si="73"/>
        <v>0</v>
      </c>
      <c r="AL208" s="10">
        <v>0</v>
      </c>
      <c r="AM208" s="11">
        <f t="shared" si="68"/>
        <v>0</v>
      </c>
      <c r="AN208" s="10">
        <v>0</v>
      </c>
      <c r="AO208" s="55">
        <f t="shared" si="74"/>
        <v>1</v>
      </c>
      <c r="AQ208" s="11">
        <f ca="1">IFERROR(OFFSET(ITEM_RES!$A$1,MATCH(AR208,ITEM_RES!$J:$J,0)-1,0),0)</f>
        <v>211020801</v>
      </c>
      <c r="AR208" s="10" t="s">
        <v>384</v>
      </c>
      <c r="AS208" s="11">
        <v>300</v>
      </c>
      <c r="AV208" s="11">
        <f ca="1">IFERROR(OFFSET(ITEM_RES!$A$1,MATCH(AW208,ITEM_RES!$J:$J,0)-1,0),0)</f>
        <v>0</v>
      </c>
      <c r="BA208" s="11">
        <f ca="1">IFERROR(OFFSET(ITEM_RES!$A$1,MATCH(BB208,ITEM_RES!$J:$J,0)-1,0),0)</f>
        <v>0</v>
      </c>
      <c r="BF208" s="11">
        <f ca="1">IFERROR(OFFSET(ITEM_RES!$A$1,MATCH(BG208,ITEM_RES!$J:$J,0)-1,0),0)</f>
        <v>0</v>
      </c>
      <c r="BK208" s="11">
        <f ca="1">IFERROR(OFFSET(ITEM_RES!$A$1,MATCH(BL208,ITEM_RES!$J:$J,0)-1,0),0)</f>
        <v>0</v>
      </c>
      <c r="BM208" s="11">
        <f t="shared" si="75"/>
        <v>0</v>
      </c>
    </row>
    <row r="209" spans="1:65" x14ac:dyDescent="0.3">
      <c r="A209" s="14">
        <f t="shared" si="69"/>
        <v>113020005</v>
      </c>
      <c r="B209" s="13">
        <v>11</v>
      </c>
      <c r="C209" s="12">
        <f t="shared" si="70"/>
        <v>3</v>
      </c>
      <c r="D209" s="13">
        <v>2</v>
      </c>
      <c r="E209" s="13">
        <v>0</v>
      </c>
      <c r="F209" s="12">
        <f t="shared" si="71"/>
        <v>5</v>
      </c>
      <c r="H209" s="9">
        <v>3</v>
      </c>
      <c r="I209" s="9">
        <v>5</v>
      </c>
      <c r="K209" s="55" t="s">
        <v>553</v>
      </c>
      <c r="L209" s="55"/>
      <c r="M209" s="9">
        <v>1</v>
      </c>
      <c r="N209" s="9">
        <v>15</v>
      </c>
      <c r="O209" s="9" t="s">
        <v>1097</v>
      </c>
      <c r="P209" s="55" t="s">
        <v>1356</v>
      </c>
      <c r="Q209" s="9" t="s">
        <v>672</v>
      </c>
      <c r="T209" s="9">
        <f ca="1">IFERROR(OFFSET(ITEM_RES!$A$5,MATCH(BUILDING!S209,ITEM_RES!$J$5:$J$229,0)-1,0),0)</f>
        <v>0</v>
      </c>
      <c r="W209" s="11">
        <f ca="1">IFERROR(OFFSET(ITEM_RES!$A$5,MATCH(BUILDING!V209,ITEM_RES!$J$5:$J$229,0)-1,0),0)</f>
        <v>0</v>
      </c>
      <c r="Y209" s="9" t="s">
        <v>554</v>
      </c>
      <c r="Z209" s="9">
        <v>5</v>
      </c>
      <c r="AB209" s="11">
        <f ca="1">IFERROR(OFFSET(MANOR_LEVEL!$B$1,MATCH(AC209-1,MANOR_LEVEL!$A:$A,0)-1,0),0)</f>
        <v>17000</v>
      </c>
      <c r="AC209" s="55">
        <v>6</v>
      </c>
      <c r="AE209" s="11">
        <f t="shared" ca="1" si="57"/>
        <v>8100</v>
      </c>
      <c r="AF209" s="10">
        <f ca="1">AK209+AM209+(IFERROR(OFFSET(ITEM_RES!$R$1,MATCH(AQ209,ITEM_RES!$A:$A,0)-1,0),0)*AS209+IFERROR(OFFSET(ITEM_RES!$R$1,MATCH(AV209,ITEM_RES!$A:$A,0)-1,0),0)*AX209+IFERROR(OFFSET(ITEM_RES!$R$1,MATCH(BA209,ITEM_RES!$A:$A,0)-1,0),0)*BC209+IFERROR(OFFSET(ITEM_RES!$R$1,MATCH(BF209,ITEM_RES!$A:$A,0)-1,0),0)*BH209+IFERROR(OFFSET(ITEM_RES!$R$1,MATCH(BK209,ITEM_RES!$A:$A,0)-1,0),0)*BM209)/1000</f>
        <v>8100</v>
      </c>
      <c r="AG209" s="176">
        <f t="shared" ca="1" si="76"/>
        <v>9900</v>
      </c>
      <c r="AI209" s="11">
        <f t="shared" si="72"/>
        <v>8</v>
      </c>
      <c r="AJ209" s="10">
        <v>8</v>
      </c>
      <c r="AK209" s="11">
        <f t="shared" si="73"/>
        <v>0</v>
      </c>
      <c r="AL209" s="10">
        <v>0</v>
      </c>
      <c r="AM209" s="11">
        <f t="shared" si="68"/>
        <v>0</v>
      </c>
      <c r="AN209" s="10">
        <v>0</v>
      </c>
      <c r="AO209" s="55">
        <f t="shared" si="74"/>
        <v>1</v>
      </c>
      <c r="AQ209" s="11">
        <f ca="1">IFERROR(OFFSET(ITEM_RES!$A$1,MATCH(AR209,ITEM_RES!$J:$J,0)-1,0),0)</f>
        <v>211020801</v>
      </c>
      <c r="AR209" s="10" t="s">
        <v>384</v>
      </c>
      <c r="AS209" s="11">
        <v>1350</v>
      </c>
      <c r="AV209" s="11">
        <f ca="1">IFERROR(OFFSET(ITEM_RES!$A$1,MATCH(AW209,ITEM_RES!$J:$J,0)-1,0),0)</f>
        <v>0</v>
      </c>
      <c r="BA209" s="11">
        <f ca="1">IFERROR(OFFSET(ITEM_RES!$A$1,MATCH(BB209,ITEM_RES!$J:$J,0)-1,0),0)</f>
        <v>0</v>
      </c>
      <c r="BF209" s="11">
        <f ca="1">IFERROR(OFFSET(ITEM_RES!$A$1,MATCH(BG209,ITEM_RES!$J:$J,0)-1,0),0)</f>
        <v>0</v>
      </c>
      <c r="BK209" s="11">
        <f ca="1">IFERROR(OFFSET(ITEM_RES!$A$1,MATCH(BL209,ITEM_RES!$J:$J,0)-1,0),0)</f>
        <v>0</v>
      </c>
      <c r="BM209" s="11">
        <f t="shared" si="75"/>
        <v>0</v>
      </c>
    </row>
    <row r="210" spans="1:65" x14ac:dyDescent="0.3">
      <c r="A210" s="14">
        <f t="shared" si="69"/>
        <v>113020006</v>
      </c>
      <c r="B210" s="13">
        <v>11</v>
      </c>
      <c r="C210" s="12">
        <f t="shared" si="70"/>
        <v>3</v>
      </c>
      <c r="D210" s="13">
        <v>2</v>
      </c>
      <c r="E210" s="13">
        <v>0</v>
      </c>
      <c r="F210" s="12">
        <f t="shared" si="71"/>
        <v>6</v>
      </c>
      <c r="H210" s="9">
        <v>3</v>
      </c>
      <c r="I210" s="9">
        <v>6</v>
      </c>
      <c r="K210" s="55" t="s">
        <v>553</v>
      </c>
      <c r="L210" s="55"/>
      <c r="M210" s="9">
        <v>1</v>
      </c>
      <c r="N210" s="9">
        <v>15</v>
      </c>
      <c r="O210" s="9" t="s">
        <v>1097</v>
      </c>
      <c r="P210" s="55" t="s">
        <v>1356</v>
      </c>
      <c r="Q210" s="9" t="s">
        <v>672</v>
      </c>
      <c r="T210" s="9">
        <f ca="1">IFERROR(OFFSET(ITEM_RES!$A$5,MATCH(BUILDING!S210,ITEM_RES!$J$5:$J$229,0)-1,0),0)</f>
        <v>0</v>
      </c>
      <c r="W210" s="11">
        <f ca="1">IFERROR(OFFSET(ITEM_RES!$A$5,MATCH(BUILDING!V210,ITEM_RES!$J$5:$J$229,0)-1,0),0)</f>
        <v>0</v>
      </c>
      <c r="Y210" s="9" t="s">
        <v>554</v>
      </c>
      <c r="Z210" s="9">
        <v>6</v>
      </c>
      <c r="AB210" s="11">
        <f ca="1">IFERROR(OFFSET(MANOR_LEVEL!$B$1,MATCH(AC210-1,MANOR_LEVEL!$A:$A,0)-1,0),0)</f>
        <v>17000</v>
      </c>
      <c r="AC210" s="55">
        <v>6</v>
      </c>
      <c r="AE210" s="11">
        <f t="shared" ca="1" si="57"/>
        <v>27000</v>
      </c>
      <c r="AF210" s="10">
        <f ca="1">AK210+AM210+(IFERROR(OFFSET(ITEM_RES!$R$1,MATCH(AQ210,ITEM_RES!$A:$A,0)-1,0),0)*AS210+IFERROR(OFFSET(ITEM_RES!$R$1,MATCH(AV210,ITEM_RES!$A:$A,0)-1,0),0)*AX210+IFERROR(OFFSET(ITEM_RES!$R$1,MATCH(BA210,ITEM_RES!$A:$A,0)-1,0),0)*BC210+IFERROR(OFFSET(ITEM_RES!$R$1,MATCH(BF210,ITEM_RES!$A:$A,0)-1,0),0)*BH210+IFERROR(OFFSET(ITEM_RES!$R$1,MATCH(BK210,ITEM_RES!$A:$A,0)-1,0),0)*BM210)/1000</f>
        <v>27000</v>
      </c>
      <c r="AG210" s="176">
        <f t="shared" ca="1" si="76"/>
        <v>35100</v>
      </c>
      <c r="AI210" s="11">
        <f t="shared" si="72"/>
        <v>10</v>
      </c>
      <c r="AJ210" s="10">
        <v>10</v>
      </c>
      <c r="AK210" s="11">
        <f t="shared" si="73"/>
        <v>0</v>
      </c>
      <c r="AL210" s="10">
        <v>0</v>
      </c>
      <c r="AM210" s="11">
        <f t="shared" si="68"/>
        <v>0</v>
      </c>
      <c r="AN210" s="10">
        <v>0</v>
      </c>
      <c r="AO210" s="55">
        <f t="shared" si="74"/>
        <v>1</v>
      </c>
      <c r="AQ210" s="11">
        <f ca="1">IFERROR(OFFSET(ITEM_RES!$A$1,MATCH(AR210,ITEM_RES!$J:$J,0)-1,0),0)</f>
        <v>211020801</v>
      </c>
      <c r="AR210" s="10" t="s">
        <v>384</v>
      </c>
      <c r="AS210" s="11">
        <v>4500</v>
      </c>
      <c r="AV210" s="11">
        <f ca="1">IFERROR(OFFSET(ITEM_RES!$A$1,MATCH(AW210,ITEM_RES!$J:$J,0)-1,0),0)</f>
        <v>0</v>
      </c>
      <c r="BA210" s="11">
        <f ca="1">IFERROR(OFFSET(ITEM_RES!$A$1,MATCH(BB210,ITEM_RES!$J:$J,0)-1,0),0)</f>
        <v>0</v>
      </c>
      <c r="BF210" s="11">
        <f ca="1">IFERROR(OFFSET(ITEM_RES!$A$1,MATCH(BG210,ITEM_RES!$J:$J,0)-1,0),0)</f>
        <v>0</v>
      </c>
      <c r="BK210" s="11">
        <f ca="1">IFERROR(OFFSET(ITEM_RES!$A$1,MATCH(BL210,ITEM_RES!$J:$J,0)-1,0),0)</f>
        <v>0</v>
      </c>
      <c r="BM210" s="11">
        <f t="shared" si="75"/>
        <v>0</v>
      </c>
    </row>
    <row r="211" spans="1:65" x14ac:dyDescent="0.3">
      <c r="A211" s="14">
        <f t="shared" si="69"/>
        <v>113020007</v>
      </c>
      <c r="B211" s="13">
        <v>11</v>
      </c>
      <c r="C211" s="12">
        <f t="shared" si="70"/>
        <v>3</v>
      </c>
      <c r="D211" s="13">
        <v>2</v>
      </c>
      <c r="E211" s="13">
        <v>0</v>
      </c>
      <c r="F211" s="12">
        <f t="shared" si="71"/>
        <v>7</v>
      </c>
      <c r="H211" s="9">
        <v>3</v>
      </c>
      <c r="I211" s="9">
        <v>7</v>
      </c>
      <c r="K211" s="55" t="s">
        <v>553</v>
      </c>
      <c r="L211" s="55"/>
      <c r="M211" s="9">
        <v>1</v>
      </c>
      <c r="N211" s="9">
        <v>15</v>
      </c>
      <c r="O211" s="9" t="s">
        <v>1097</v>
      </c>
      <c r="P211" s="55" t="s">
        <v>1356</v>
      </c>
      <c r="Q211" s="9" t="s">
        <v>672</v>
      </c>
      <c r="T211" s="9">
        <f ca="1">IFERROR(OFFSET(ITEM_RES!$A$5,MATCH(BUILDING!S211,ITEM_RES!$J$5:$J$229,0)-1,0),0)</f>
        <v>0</v>
      </c>
      <c r="W211" s="11">
        <f ca="1">IFERROR(OFFSET(ITEM_RES!$A$5,MATCH(BUILDING!V211,ITEM_RES!$J$5:$J$229,0)-1,0),0)</f>
        <v>0</v>
      </c>
      <c r="Y211" s="9" t="s">
        <v>554</v>
      </c>
      <c r="Z211" s="9">
        <v>7</v>
      </c>
      <c r="AB211" s="11">
        <f ca="1">IFERROR(OFFSET(MANOR_LEVEL!$B$1,MATCH(AC211-1,MANOR_LEVEL!$A:$A,0)-1,0),0)</f>
        <v>17000</v>
      </c>
      <c r="AC211" s="55">
        <v>6</v>
      </c>
      <c r="AE211" s="11">
        <f t="shared" ca="1" si="57"/>
        <v>60000</v>
      </c>
      <c r="AF211" s="10">
        <f ca="1">AK211+AM211+(IFERROR(OFFSET(ITEM_RES!$R$1,MATCH(AQ211,ITEM_RES!$A:$A,0)-1,0),0)*AS211+IFERROR(OFFSET(ITEM_RES!$R$1,MATCH(AV211,ITEM_RES!$A:$A,0)-1,0),0)*AX211+IFERROR(OFFSET(ITEM_RES!$R$1,MATCH(BA211,ITEM_RES!$A:$A,0)-1,0),0)*BC211+IFERROR(OFFSET(ITEM_RES!$R$1,MATCH(BF211,ITEM_RES!$A:$A,0)-1,0),0)*BH211+IFERROR(OFFSET(ITEM_RES!$R$1,MATCH(BK211,ITEM_RES!$A:$A,0)-1,0),0)*BM211)/1000</f>
        <v>60000</v>
      </c>
      <c r="AG211" s="176">
        <f t="shared" ca="1" si="76"/>
        <v>87000</v>
      </c>
      <c r="AI211" s="11">
        <f t="shared" si="72"/>
        <v>15</v>
      </c>
      <c r="AJ211" s="10">
        <v>15</v>
      </c>
      <c r="AK211" s="11">
        <f t="shared" si="73"/>
        <v>0</v>
      </c>
      <c r="AL211" s="10">
        <v>0</v>
      </c>
      <c r="AM211" s="11">
        <f t="shared" si="68"/>
        <v>0</v>
      </c>
      <c r="AN211" s="10">
        <v>0</v>
      </c>
      <c r="AO211" s="55">
        <f t="shared" si="74"/>
        <v>1</v>
      </c>
      <c r="AQ211" s="11">
        <f ca="1">IFERROR(OFFSET(ITEM_RES!$A$1,MATCH(AR211,ITEM_RES!$J:$J,0)-1,0),0)</f>
        <v>211020801</v>
      </c>
      <c r="AR211" s="10" t="s">
        <v>384</v>
      </c>
      <c r="AS211" s="11">
        <v>10000</v>
      </c>
      <c r="AV211" s="11">
        <f ca="1">IFERROR(OFFSET(ITEM_RES!$A$1,MATCH(AW211,ITEM_RES!$J:$J,0)-1,0),0)</f>
        <v>0</v>
      </c>
      <c r="BA211" s="11">
        <f ca="1">IFERROR(OFFSET(ITEM_RES!$A$1,MATCH(BB211,ITEM_RES!$J:$J,0)-1,0),0)</f>
        <v>0</v>
      </c>
      <c r="BF211" s="11">
        <f ca="1">IFERROR(OFFSET(ITEM_RES!$A$1,MATCH(BG211,ITEM_RES!$J:$J,0)-1,0),0)</f>
        <v>0</v>
      </c>
      <c r="BK211" s="11">
        <f ca="1">IFERROR(OFFSET(ITEM_RES!$A$1,MATCH(BL211,ITEM_RES!$J:$J,0)-1,0),0)</f>
        <v>0</v>
      </c>
      <c r="BM211" s="11">
        <f t="shared" si="75"/>
        <v>0</v>
      </c>
    </row>
    <row r="212" spans="1:65" x14ac:dyDescent="0.3">
      <c r="A212" s="14">
        <f t="shared" si="69"/>
        <v>113020008</v>
      </c>
      <c r="B212" s="13">
        <v>11</v>
      </c>
      <c r="C212" s="12">
        <f t="shared" si="70"/>
        <v>3</v>
      </c>
      <c r="D212" s="13">
        <v>2</v>
      </c>
      <c r="E212" s="13">
        <v>0</v>
      </c>
      <c r="F212" s="12">
        <f t="shared" si="71"/>
        <v>8</v>
      </c>
      <c r="H212" s="9">
        <v>3</v>
      </c>
      <c r="I212" s="9">
        <v>8</v>
      </c>
      <c r="K212" s="55" t="s">
        <v>553</v>
      </c>
      <c r="L212" s="55"/>
      <c r="M212" s="9">
        <v>1</v>
      </c>
      <c r="N212" s="9">
        <v>15</v>
      </c>
      <c r="O212" s="9" t="s">
        <v>1098</v>
      </c>
      <c r="P212" s="55" t="s">
        <v>1357</v>
      </c>
      <c r="Q212" s="9" t="s">
        <v>672</v>
      </c>
      <c r="T212" s="9">
        <f ca="1">IFERROR(OFFSET(ITEM_RES!$A$5,MATCH(BUILDING!S212,ITEM_RES!$J$5:$J$229,0)-1,0),0)</f>
        <v>0</v>
      </c>
      <c r="W212" s="11">
        <f ca="1">IFERROR(OFFSET(ITEM_RES!$A$5,MATCH(BUILDING!V212,ITEM_RES!$J$5:$J$229,0)-1,0),0)</f>
        <v>0</v>
      </c>
      <c r="Y212" s="9" t="s">
        <v>554</v>
      </c>
      <c r="Z212" s="9">
        <v>8</v>
      </c>
      <c r="AB212" s="11">
        <f ca="1">IFERROR(OFFSET(MANOR_LEVEL!$B$1,MATCH(AC212-1,MANOR_LEVEL!$A:$A,0)-1,0),0)</f>
        <v>17000</v>
      </c>
      <c r="AC212" s="55">
        <v>6</v>
      </c>
      <c r="AE212" s="11">
        <f t="shared" ca="1" si="57"/>
        <v>126000</v>
      </c>
      <c r="AF212" s="10">
        <f ca="1">AK212+AM212+(IFERROR(OFFSET(ITEM_RES!$R$1,MATCH(AQ212,ITEM_RES!$A:$A,0)-1,0),0)*AS212+IFERROR(OFFSET(ITEM_RES!$R$1,MATCH(AV212,ITEM_RES!$A:$A,0)-1,0),0)*AX212+IFERROR(OFFSET(ITEM_RES!$R$1,MATCH(BA212,ITEM_RES!$A:$A,0)-1,0),0)*BC212+IFERROR(OFFSET(ITEM_RES!$R$1,MATCH(BF212,ITEM_RES!$A:$A,0)-1,0),0)*BH212+IFERROR(OFFSET(ITEM_RES!$R$1,MATCH(BK212,ITEM_RES!$A:$A,0)-1,0),0)*BM212)/1000</f>
        <v>126000</v>
      </c>
      <c r="AG212" s="176">
        <f t="shared" ca="1" si="76"/>
        <v>186000</v>
      </c>
      <c r="AI212" s="11">
        <f t="shared" si="72"/>
        <v>30</v>
      </c>
      <c r="AJ212" s="10">
        <v>30</v>
      </c>
      <c r="AK212" s="11">
        <f t="shared" si="73"/>
        <v>0</v>
      </c>
      <c r="AL212" s="10">
        <v>0</v>
      </c>
      <c r="AM212" s="11">
        <f t="shared" si="68"/>
        <v>0</v>
      </c>
      <c r="AN212" s="10">
        <v>0</v>
      </c>
      <c r="AO212" s="55">
        <f t="shared" si="74"/>
        <v>1</v>
      </c>
      <c r="AQ212" s="11">
        <f ca="1">IFERROR(OFFSET(ITEM_RES!$A$1,MATCH(AR212,ITEM_RES!$J:$J,0)-1,0),0)</f>
        <v>211020801</v>
      </c>
      <c r="AR212" s="10" t="s">
        <v>384</v>
      </c>
      <c r="AS212" s="11">
        <v>21000</v>
      </c>
      <c r="AV212" s="11">
        <f ca="1">IFERROR(OFFSET(ITEM_RES!$A$1,MATCH(AW212,ITEM_RES!$J:$J,0)-1,0),0)</f>
        <v>0</v>
      </c>
      <c r="BA212" s="11">
        <f ca="1">IFERROR(OFFSET(ITEM_RES!$A$1,MATCH(BB212,ITEM_RES!$J:$J,0)-1,0),0)</f>
        <v>0</v>
      </c>
      <c r="BF212" s="11">
        <f ca="1">IFERROR(OFFSET(ITEM_RES!$A$1,MATCH(BG212,ITEM_RES!$J:$J,0)-1,0),0)</f>
        <v>0</v>
      </c>
      <c r="BK212" s="11">
        <f ca="1">IFERROR(OFFSET(ITEM_RES!$A$1,MATCH(BL212,ITEM_RES!$J:$J,0)-1,0),0)</f>
        <v>0</v>
      </c>
      <c r="BM212" s="11">
        <f t="shared" si="75"/>
        <v>0</v>
      </c>
    </row>
    <row r="213" spans="1:65" x14ac:dyDescent="0.3">
      <c r="A213" s="14">
        <f t="shared" si="69"/>
        <v>113020009</v>
      </c>
      <c r="B213" s="13">
        <v>11</v>
      </c>
      <c r="C213" s="12">
        <f t="shared" si="70"/>
        <v>3</v>
      </c>
      <c r="D213" s="13">
        <v>2</v>
      </c>
      <c r="E213" s="13">
        <v>0</v>
      </c>
      <c r="F213" s="12">
        <f t="shared" si="71"/>
        <v>9</v>
      </c>
      <c r="H213" s="9">
        <v>3</v>
      </c>
      <c r="I213" s="9">
        <v>9</v>
      </c>
      <c r="K213" s="55" t="s">
        <v>553</v>
      </c>
      <c r="L213" s="55"/>
      <c r="M213" s="9">
        <v>1</v>
      </c>
      <c r="N213" s="9">
        <v>15</v>
      </c>
      <c r="O213" s="9" t="s">
        <v>1098</v>
      </c>
      <c r="P213" s="55" t="s">
        <v>1357</v>
      </c>
      <c r="Q213" s="9" t="s">
        <v>672</v>
      </c>
      <c r="T213" s="9">
        <f ca="1">IFERROR(OFFSET(ITEM_RES!$A$5,MATCH(BUILDING!S213,ITEM_RES!$J$5:$J$229,0)-1,0),0)</f>
        <v>0</v>
      </c>
      <c r="W213" s="11">
        <f ca="1">IFERROR(OFFSET(ITEM_RES!$A$5,MATCH(BUILDING!V213,ITEM_RES!$J$5:$J$229,0)-1,0),0)</f>
        <v>0</v>
      </c>
      <c r="Y213" s="9" t="s">
        <v>554</v>
      </c>
      <c r="Z213" s="9">
        <v>9</v>
      </c>
      <c r="AB213" s="11">
        <f ca="1">IFERROR(OFFSET(MANOR_LEVEL!$B$1,MATCH(AC213-1,MANOR_LEVEL!$A:$A,0)-1,0),0)</f>
        <v>17000</v>
      </c>
      <c r="AC213" s="55">
        <v>6</v>
      </c>
      <c r="AE213" s="11">
        <f t="shared" ca="1" si="57"/>
        <v>234000</v>
      </c>
      <c r="AF213" s="10">
        <f ca="1">AK213+AM213+(IFERROR(OFFSET(ITEM_RES!$R$1,MATCH(AQ213,ITEM_RES!$A:$A,0)-1,0),0)*AS213+IFERROR(OFFSET(ITEM_RES!$R$1,MATCH(AV213,ITEM_RES!$A:$A,0)-1,0),0)*AX213+IFERROR(OFFSET(ITEM_RES!$R$1,MATCH(BA213,ITEM_RES!$A:$A,0)-1,0),0)*BC213+IFERROR(OFFSET(ITEM_RES!$R$1,MATCH(BF213,ITEM_RES!$A:$A,0)-1,0),0)*BH213+IFERROR(OFFSET(ITEM_RES!$R$1,MATCH(BK213,ITEM_RES!$A:$A,0)-1,0),0)*BM213)/1000</f>
        <v>234000</v>
      </c>
      <c r="AG213" s="176">
        <f t="shared" ca="1" si="76"/>
        <v>360000</v>
      </c>
      <c r="AI213" s="11">
        <f t="shared" si="72"/>
        <v>60</v>
      </c>
      <c r="AJ213" s="10">
        <v>60</v>
      </c>
      <c r="AK213" s="11">
        <f t="shared" si="73"/>
        <v>0</v>
      </c>
      <c r="AL213" s="10">
        <v>0</v>
      </c>
      <c r="AM213" s="11">
        <f t="shared" si="68"/>
        <v>0</v>
      </c>
      <c r="AN213" s="10">
        <v>0</v>
      </c>
      <c r="AO213" s="55">
        <f t="shared" si="74"/>
        <v>1</v>
      </c>
      <c r="AQ213" s="11">
        <f ca="1">IFERROR(OFFSET(ITEM_RES!$A$1,MATCH(AR213,ITEM_RES!$J:$J,0)-1,0),0)</f>
        <v>211020801</v>
      </c>
      <c r="AR213" s="10" t="s">
        <v>384</v>
      </c>
      <c r="AS213" s="11">
        <v>39000</v>
      </c>
      <c r="AV213" s="11">
        <f ca="1">IFERROR(OFFSET(ITEM_RES!$A$1,MATCH(AW213,ITEM_RES!$J:$J,0)-1,0),0)</f>
        <v>0</v>
      </c>
      <c r="BA213" s="11">
        <f ca="1">IFERROR(OFFSET(ITEM_RES!$A$1,MATCH(BB213,ITEM_RES!$J:$J,0)-1,0),0)</f>
        <v>0</v>
      </c>
      <c r="BF213" s="11">
        <f ca="1">IFERROR(OFFSET(ITEM_RES!$A$1,MATCH(BG213,ITEM_RES!$J:$J,0)-1,0),0)</f>
        <v>0</v>
      </c>
      <c r="BK213" s="11">
        <f ca="1">IFERROR(OFFSET(ITEM_RES!$A$1,MATCH(BL213,ITEM_RES!$J:$J,0)-1,0),0)</f>
        <v>0</v>
      </c>
      <c r="BM213" s="11">
        <f t="shared" si="75"/>
        <v>0</v>
      </c>
    </row>
    <row r="214" spans="1:65" x14ac:dyDescent="0.3">
      <c r="A214" s="14">
        <f t="shared" si="69"/>
        <v>113020010</v>
      </c>
      <c r="B214" s="13">
        <v>11</v>
      </c>
      <c r="C214" s="12">
        <f t="shared" si="70"/>
        <v>3</v>
      </c>
      <c r="D214" s="13">
        <v>2</v>
      </c>
      <c r="E214" s="13">
        <v>0</v>
      </c>
      <c r="F214" s="12">
        <f t="shared" si="71"/>
        <v>10</v>
      </c>
      <c r="H214" s="9">
        <v>3</v>
      </c>
      <c r="I214" s="9">
        <v>10</v>
      </c>
      <c r="K214" s="55" t="s">
        <v>553</v>
      </c>
      <c r="L214" s="55"/>
      <c r="M214" s="9">
        <v>1</v>
      </c>
      <c r="N214" s="9">
        <v>15</v>
      </c>
      <c r="O214" s="9" t="s">
        <v>1099</v>
      </c>
      <c r="P214" s="55" t="s">
        <v>1358</v>
      </c>
      <c r="Q214" s="9" t="s">
        <v>672</v>
      </c>
      <c r="T214" s="9">
        <f ca="1">IFERROR(OFFSET(ITEM_RES!$A$5,MATCH(BUILDING!S214,ITEM_RES!$J$5:$J$229,0)-1,0),0)</f>
        <v>0</v>
      </c>
      <c r="W214" s="11">
        <f ca="1">IFERROR(OFFSET(ITEM_RES!$A$5,MATCH(BUILDING!V214,ITEM_RES!$J$5:$J$229,0)-1,0),0)</f>
        <v>0</v>
      </c>
      <c r="Y214" s="9" t="s">
        <v>554</v>
      </c>
      <c r="Z214" s="9">
        <v>10</v>
      </c>
      <c r="AB214" s="11">
        <f ca="1">IFERROR(OFFSET(MANOR_LEVEL!$B$1,MATCH(AC214-1,MANOR_LEVEL!$A:$A,0)-1,0),0)</f>
        <v>17000</v>
      </c>
      <c r="AC214" s="55">
        <v>6</v>
      </c>
      <c r="AE214" s="11">
        <f t="shared" ca="1" si="57"/>
        <v>391000</v>
      </c>
      <c r="AF214" s="10">
        <f ca="1">AK214+AM214+(IFERROR(OFFSET(ITEM_RES!$R$1,MATCH(AQ214,ITEM_RES!$A:$A,0)-1,0),0)*AS214+IFERROR(OFFSET(ITEM_RES!$R$1,MATCH(AV214,ITEM_RES!$A:$A,0)-1,0),0)*AX214+IFERROR(OFFSET(ITEM_RES!$R$1,MATCH(BA214,ITEM_RES!$A:$A,0)-1,0),0)*BC214+IFERROR(OFFSET(ITEM_RES!$R$1,MATCH(BF214,ITEM_RES!$A:$A,0)-1,0),0)*BH214+IFERROR(OFFSET(ITEM_RES!$R$1,MATCH(BK214,ITEM_RES!$A:$A,0)-1,0),0)*BM214)/1000</f>
        <v>391000</v>
      </c>
      <c r="AG214" s="176">
        <f t="shared" ca="1" si="76"/>
        <v>625000</v>
      </c>
      <c r="AI214" s="11">
        <f t="shared" si="72"/>
        <v>180</v>
      </c>
      <c r="AJ214" s="10">
        <v>180</v>
      </c>
      <c r="AK214" s="11">
        <f t="shared" si="73"/>
        <v>0</v>
      </c>
      <c r="AL214" s="10">
        <v>0</v>
      </c>
      <c r="AM214" s="11">
        <f t="shared" si="68"/>
        <v>0</v>
      </c>
      <c r="AN214" s="10">
        <v>0</v>
      </c>
      <c r="AO214" s="55">
        <f t="shared" si="74"/>
        <v>2</v>
      </c>
      <c r="AQ214" s="11">
        <f ca="1">IFERROR(OFFSET(ITEM_RES!$A$1,MATCH(AR214,ITEM_RES!$J:$J,0)-1,0),0)</f>
        <v>211020801</v>
      </c>
      <c r="AR214" s="10" t="s">
        <v>384</v>
      </c>
      <c r="AS214" s="11">
        <v>65000</v>
      </c>
      <c r="AV214" s="11">
        <f ca="1">IFERROR(OFFSET(ITEM_RES!$A$1,MATCH(AW214,ITEM_RES!$J:$J,0)-1,0),0)</f>
        <v>0</v>
      </c>
      <c r="BA214" s="11">
        <f ca="1">IFERROR(OFFSET(ITEM_RES!$A$1,MATCH(BB214,ITEM_RES!$J:$J,0)-1,0),0)</f>
        <v>0</v>
      </c>
      <c r="BF214" s="11">
        <f ca="1">IFERROR(OFFSET(ITEM_RES!$A$1,MATCH(BG214,ITEM_RES!$J:$J,0)-1,0),0)</f>
        <v>213010801</v>
      </c>
      <c r="BG214" s="10" t="s">
        <v>450</v>
      </c>
      <c r="BH214" s="11">
        <v>1</v>
      </c>
      <c r="BK214" s="11">
        <f ca="1">IFERROR(OFFSET(ITEM_RES!$A$1,MATCH(BL214,ITEM_RES!$J:$J,0)-1,0),0)</f>
        <v>0</v>
      </c>
      <c r="BM214" s="11">
        <f t="shared" si="75"/>
        <v>0</v>
      </c>
    </row>
    <row r="215" spans="1:65" x14ac:dyDescent="0.3">
      <c r="A215" s="14">
        <f t="shared" si="69"/>
        <v>113020011</v>
      </c>
      <c r="B215" s="13">
        <v>11</v>
      </c>
      <c r="C215" s="12">
        <f t="shared" si="70"/>
        <v>3</v>
      </c>
      <c r="D215" s="13">
        <v>2</v>
      </c>
      <c r="E215" s="13">
        <v>0</v>
      </c>
      <c r="F215" s="12">
        <f t="shared" si="71"/>
        <v>11</v>
      </c>
      <c r="H215" s="9">
        <v>3</v>
      </c>
      <c r="I215" s="9">
        <v>11</v>
      </c>
      <c r="K215" s="55" t="s">
        <v>553</v>
      </c>
      <c r="L215" s="55"/>
      <c r="M215" s="9">
        <v>1</v>
      </c>
      <c r="N215" s="9">
        <v>15</v>
      </c>
      <c r="O215" s="9" t="s">
        <v>1099</v>
      </c>
      <c r="P215" s="55" t="s">
        <v>1358</v>
      </c>
      <c r="Q215" s="9" t="s">
        <v>672</v>
      </c>
      <c r="T215" s="9">
        <f ca="1">IFERROR(OFFSET(ITEM_RES!$A$5,MATCH(BUILDING!S215,ITEM_RES!$J$5:$J$229,0)-1,0),0)</f>
        <v>0</v>
      </c>
      <c r="W215" s="11">
        <f ca="1">IFERROR(OFFSET(ITEM_RES!$A$5,MATCH(BUILDING!V215,ITEM_RES!$J$5:$J$229,0)-1,0),0)</f>
        <v>0</v>
      </c>
      <c r="Y215" s="9" t="s">
        <v>554</v>
      </c>
      <c r="Z215" s="9">
        <v>11</v>
      </c>
      <c r="AB215" s="11">
        <f ca="1">IFERROR(OFFSET(MANOR_LEVEL!$B$1,MATCH(AC215-1,MANOR_LEVEL!$A:$A,0)-1,0),0)</f>
        <v>100000</v>
      </c>
      <c r="AC215" s="55">
        <v>8</v>
      </c>
      <c r="AE215" s="11">
        <f t="shared" ca="1" si="57"/>
        <v>660000</v>
      </c>
      <c r="AF215" s="10">
        <f ca="1">AK215+AM215+(IFERROR(OFFSET(ITEM_RES!$R$1,MATCH(AQ215,ITEM_RES!$A:$A,0)-1,0),0)*AS215+IFERROR(OFFSET(ITEM_RES!$R$1,MATCH(AV215,ITEM_RES!$A:$A,0)-1,0),0)*AX215+IFERROR(OFFSET(ITEM_RES!$R$1,MATCH(BA215,ITEM_RES!$A:$A,0)-1,0),0)*BC215+IFERROR(OFFSET(ITEM_RES!$R$1,MATCH(BF215,ITEM_RES!$A:$A,0)-1,0),0)*BH215+IFERROR(OFFSET(ITEM_RES!$R$1,MATCH(BK215,ITEM_RES!$A:$A,0)-1,0),0)*BM215)/1000</f>
        <v>660000</v>
      </c>
      <c r="AG215" s="176">
        <f t="shared" ca="1" si="76"/>
        <v>1051000</v>
      </c>
      <c r="AI215" s="11">
        <f t="shared" si="72"/>
        <v>360</v>
      </c>
      <c r="AJ215" s="10">
        <v>360</v>
      </c>
      <c r="AK215" s="11">
        <f t="shared" si="73"/>
        <v>0</v>
      </c>
      <c r="AL215" s="10">
        <v>0</v>
      </c>
      <c r="AM215" s="11">
        <f t="shared" si="68"/>
        <v>0</v>
      </c>
      <c r="AN215" s="10">
        <v>0</v>
      </c>
      <c r="AO215" s="55">
        <f t="shared" si="74"/>
        <v>1</v>
      </c>
      <c r="AQ215" s="11">
        <f ca="1">IFERROR(OFFSET(ITEM_RES!$A$1,MATCH(AR215,ITEM_RES!$J:$J,0)-1,0),0)</f>
        <v>211020801</v>
      </c>
      <c r="AR215" s="10" t="s">
        <v>384</v>
      </c>
      <c r="AS215" s="11">
        <v>110000</v>
      </c>
      <c r="AV215" s="11">
        <f ca="1">IFERROR(OFFSET(ITEM_RES!$A$1,MATCH(AW215,ITEM_RES!$J:$J,0)-1,0),0)</f>
        <v>0</v>
      </c>
      <c r="BA215" s="11">
        <f ca="1">IFERROR(OFFSET(ITEM_RES!$A$1,MATCH(BB215,ITEM_RES!$J:$J,0)-1,0),0)</f>
        <v>0</v>
      </c>
      <c r="BF215" s="11">
        <f ca="1">IFERROR(OFFSET(ITEM_RES!$A$1,MATCH(BG215,ITEM_RES!$J:$J,0)-1,0),0)</f>
        <v>0</v>
      </c>
      <c r="BK215" s="11">
        <f ca="1">IFERROR(OFFSET(ITEM_RES!$A$1,MATCH(BL215,ITEM_RES!$J:$J,0)-1,0),0)</f>
        <v>0</v>
      </c>
      <c r="BM215" s="11">
        <f t="shared" si="75"/>
        <v>0</v>
      </c>
    </row>
    <row r="216" spans="1:65" x14ac:dyDescent="0.3">
      <c r="A216" s="14">
        <f t="shared" si="69"/>
        <v>113020012</v>
      </c>
      <c r="B216" s="13">
        <v>11</v>
      </c>
      <c r="C216" s="12">
        <f t="shared" si="70"/>
        <v>3</v>
      </c>
      <c r="D216" s="13">
        <v>2</v>
      </c>
      <c r="E216" s="13">
        <v>0</v>
      </c>
      <c r="F216" s="12">
        <f t="shared" si="71"/>
        <v>12</v>
      </c>
      <c r="H216" s="9">
        <v>3</v>
      </c>
      <c r="I216" s="9">
        <v>12</v>
      </c>
      <c r="K216" s="55" t="s">
        <v>553</v>
      </c>
      <c r="L216" s="55"/>
      <c r="M216" s="9">
        <v>1</v>
      </c>
      <c r="N216" s="9">
        <v>15</v>
      </c>
      <c r="O216" s="9" t="s">
        <v>1099</v>
      </c>
      <c r="P216" s="55" t="s">
        <v>1358</v>
      </c>
      <c r="Q216" s="9" t="s">
        <v>672</v>
      </c>
      <c r="T216" s="9">
        <f ca="1">IFERROR(OFFSET(ITEM_RES!$A$5,MATCH(BUILDING!S216,ITEM_RES!$J$5:$J$229,0)-1,0),0)</f>
        <v>0</v>
      </c>
      <c r="W216" s="11">
        <f ca="1">IFERROR(OFFSET(ITEM_RES!$A$5,MATCH(BUILDING!V216,ITEM_RES!$J$5:$J$229,0)-1,0),0)</f>
        <v>0</v>
      </c>
      <c r="Y216" s="9" t="s">
        <v>554</v>
      </c>
      <c r="Z216" s="9">
        <v>12</v>
      </c>
      <c r="AB216" s="11">
        <f ca="1">IFERROR(OFFSET(MANOR_LEVEL!$B$1,MATCH(AC216-1,MANOR_LEVEL!$A:$A,0)-1,0),0)</f>
        <v>300000</v>
      </c>
      <c r="AC216" s="55">
        <v>9</v>
      </c>
      <c r="AE216" s="11">
        <f t="shared" ca="1" si="57"/>
        <v>2960000</v>
      </c>
      <c r="AF216" s="10">
        <f ca="1">AK216+AM216+(IFERROR(OFFSET(ITEM_RES!$R$1,MATCH(AQ216,ITEM_RES!$A:$A,0)-1,0),0)*AS216+IFERROR(OFFSET(ITEM_RES!$R$1,MATCH(AV216,ITEM_RES!$A:$A,0)-1,0),0)*AX216+IFERROR(OFFSET(ITEM_RES!$R$1,MATCH(BA216,ITEM_RES!$A:$A,0)-1,0),0)*BC216+IFERROR(OFFSET(ITEM_RES!$R$1,MATCH(BF216,ITEM_RES!$A:$A,0)-1,0),0)*BH216+IFERROR(OFFSET(ITEM_RES!$R$1,MATCH(BK216,ITEM_RES!$A:$A,0)-1,0),0)*BM216)/1000</f>
        <v>2960000</v>
      </c>
      <c r="AG216" s="176">
        <f t="shared" ca="1" si="76"/>
        <v>3620000</v>
      </c>
      <c r="AI216" s="11">
        <f t="shared" si="72"/>
        <v>540</v>
      </c>
      <c r="AJ216" s="10">
        <v>540</v>
      </c>
      <c r="AK216" s="11">
        <f t="shared" si="73"/>
        <v>0</v>
      </c>
      <c r="AL216" s="10">
        <v>0</v>
      </c>
      <c r="AM216" s="11">
        <f t="shared" si="68"/>
        <v>0</v>
      </c>
      <c r="AN216" s="10">
        <v>0</v>
      </c>
      <c r="AO216" s="55">
        <f t="shared" si="74"/>
        <v>2</v>
      </c>
      <c r="AQ216" s="11">
        <f ca="1">IFERROR(OFFSET(ITEM_RES!$A$1,MATCH(AR216,ITEM_RES!$J:$J,0)-1,0),0)</f>
        <v>211020801</v>
      </c>
      <c r="AR216" s="10" t="s">
        <v>384</v>
      </c>
      <c r="AS216" s="11">
        <v>185000</v>
      </c>
      <c r="AV216" s="11">
        <f ca="1">IFERROR(OFFSET(ITEM_RES!$A$1,MATCH(AW216,ITEM_RES!$J:$J,0)-1,0),0)</f>
        <v>211020901</v>
      </c>
      <c r="AW216" s="10" t="s">
        <v>385</v>
      </c>
      <c r="AX216" s="11">
        <v>185000</v>
      </c>
      <c r="BA216" s="11">
        <f ca="1">IFERROR(OFFSET(ITEM_RES!$A$1,MATCH(BB216,ITEM_RES!$J:$J,0)-1,0),0)</f>
        <v>0</v>
      </c>
      <c r="BF216" s="11">
        <f ca="1">IFERROR(OFFSET(ITEM_RES!$A$1,MATCH(BG216,ITEM_RES!$J:$J,0)-1,0),0)</f>
        <v>0</v>
      </c>
      <c r="BK216" s="11">
        <f ca="1">IFERROR(OFFSET(ITEM_RES!$A$1,MATCH(BL216,ITEM_RES!$J:$J,0)-1,0),0)</f>
        <v>0</v>
      </c>
      <c r="BM216" s="11">
        <f t="shared" si="75"/>
        <v>0</v>
      </c>
    </row>
    <row r="217" spans="1:65" x14ac:dyDescent="0.3">
      <c r="A217" s="14">
        <f t="shared" si="69"/>
        <v>113020013</v>
      </c>
      <c r="B217" s="13">
        <v>11</v>
      </c>
      <c r="C217" s="12">
        <f t="shared" si="70"/>
        <v>3</v>
      </c>
      <c r="D217" s="13">
        <v>2</v>
      </c>
      <c r="E217" s="13">
        <v>0</v>
      </c>
      <c r="F217" s="12">
        <f t="shared" si="71"/>
        <v>13</v>
      </c>
      <c r="H217" s="9">
        <v>3</v>
      </c>
      <c r="I217" s="9">
        <v>13</v>
      </c>
      <c r="K217" s="55" t="s">
        <v>553</v>
      </c>
      <c r="L217" s="55"/>
      <c r="M217" s="9">
        <v>1</v>
      </c>
      <c r="N217" s="9">
        <v>15</v>
      </c>
      <c r="O217" s="9" t="s">
        <v>1099</v>
      </c>
      <c r="P217" s="55" t="s">
        <v>1358</v>
      </c>
      <c r="Q217" s="9" t="s">
        <v>672</v>
      </c>
      <c r="T217" s="9">
        <f ca="1">IFERROR(OFFSET(ITEM_RES!$A$5,MATCH(BUILDING!S217,ITEM_RES!$J$5:$J$229,0)-1,0),0)</f>
        <v>0</v>
      </c>
      <c r="W217" s="11">
        <f ca="1">IFERROR(OFFSET(ITEM_RES!$A$5,MATCH(BUILDING!V217,ITEM_RES!$J$5:$J$229,0)-1,0),0)</f>
        <v>0</v>
      </c>
      <c r="Y217" s="9" t="s">
        <v>554</v>
      </c>
      <c r="Z217" s="9">
        <v>13</v>
      </c>
      <c r="AB217" s="11">
        <f ca="1">IFERROR(OFFSET(MANOR_LEVEL!$B$1,MATCH(AC217-1,MANOR_LEVEL!$A:$A,0)-1,0),0)</f>
        <v>600000</v>
      </c>
      <c r="AC217" s="55">
        <v>10</v>
      </c>
      <c r="AE217" s="11">
        <f t="shared" ca="1" si="57"/>
        <v>4960000</v>
      </c>
      <c r="AF217" s="10">
        <f ca="1">AK217+AM217+(IFERROR(OFFSET(ITEM_RES!$R$1,MATCH(AQ217,ITEM_RES!$A:$A,0)-1,0),0)*AS217+IFERROR(OFFSET(ITEM_RES!$R$1,MATCH(AV217,ITEM_RES!$A:$A,0)-1,0),0)*AX217+IFERROR(OFFSET(ITEM_RES!$R$1,MATCH(BA217,ITEM_RES!$A:$A,0)-1,0),0)*BC217+IFERROR(OFFSET(ITEM_RES!$R$1,MATCH(BF217,ITEM_RES!$A:$A,0)-1,0),0)*BH217+IFERROR(OFFSET(ITEM_RES!$R$1,MATCH(BK217,ITEM_RES!$A:$A,0)-1,0),0)*BM217)/1000</f>
        <v>4960000</v>
      </c>
      <c r="AG217" s="176">
        <f t="shared" ca="1" si="76"/>
        <v>7920000</v>
      </c>
      <c r="AI217" s="11">
        <f t="shared" si="72"/>
        <v>720</v>
      </c>
      <c r="AJ217" s="10">
        <v>720</v>
      </c>
      <c r="AK217" s="11">
        <f t="shared" si="73"/>
        <v>0</v>
      </c>
      <c r="AL217" s="10">
        <v>0</v>
      </c>
      <c r="AM217" s="11">
        <f t="shared" si="68"/>
        <v>0</v>
      </c>
      <c r="AN217" s="10">
        <v>0</v>
      </c>
      <c r="AO217" s="55">
        <f t="shared" si="74"/>
        <v>2</v>
      </c>
      <c r="AQ217" s="11">
        <f ca="1">IFERROR(OFFSET(ITEM_RES!$A$1,MATCH(AR217,ITEM_RES!$J:$J,0)-1,0),0)</f>
        <v>211020801</v>
      </c>
      <c r="AR217" s="10" t="s">
        <v>384</v>
      </c>
      <c r="AS217" s="11">
        <v>310000</v>
      </c>
      <c r="AV217" s="11">
        <f ca="1">IFERROR(OFFSET(ITEM_RES!$A$1,MATCH(AW217,ITEM_RES!$J:$J,0)-1,0),0)</f>
        <v>211020901</v>
      </c>
      <c r="AW217" s="10" t="s">
        <v>385</v>
      </c>
      <c r="AX217" s="11">
        <v>310000</v>
      </c>
      <c r="BA217" s="11">
        <f ca="1">IFERROR(OFFSET(ITEM_RES!$A$1,MATCH(BB217,ITEM_RES!$J:$J,0)-1,0),0)</f>
        <v>0</v>
      </c>
      <c r="BF217" s="11">
        <f ca="1">IFERROR(OFFSET(ITEM_RES!$A$1,MATCH(BG217,ITEM_RES!$J:$J,0)-1,0),0)</f>
        <v>0</v>
      </c>
      <c r="BK217" s="11">
        <f ca="1">IFERROR(OFFSET(ITEM_RES!$A$1,MATCH(BL217,ITEM_RES!$J:$J,0)-1,0),0)</f>
        <v>0</v>
      </c>
      <c r="BM217" s="11">
        <f t="shared" si="75"/>
        <v>0</v>
      </c>
    </row>
    <row r="218" spans="1:65" x14ac:dyDescent="0.3">
      <c r="A218" s="14">
        <f t="shared" si="69"/>
        <v>113020014</v>
      </c>
      <c r="B218" s="13">
        <v>11</v>
      </c>
      <c r="C218" s="12">
        <f t="shared" si="70"/>
        <v>3</v>
      </c>
      <c r="D218" s="13">
        <v>2</v>
      </c>
      <c r="E218" s="13">
        <v>0</v>
      </c>
      <c r="F218" s="12">
        <f t="shared" si="71"/>
        <v>14</v>
      </c>
      <c r="H218" s="9">
        <v>3</v>
      </c>
      <c r="I218" s="9">
        <v>14</v>
      </c>
      <c r="K218" s="55" t="s">
        <v>553</v>
      </c>
      <c r="L218" s="55"/>
      <c r="M218" s="9">
        <v>1</v>
      </c>
      <c r="N218" s="9">
        <v>15</v>
      </c>
      <c r="O218" s="9" t="s">
        <v>1099</v>
      </c>
      <c r="P218" s="55" t="s">
        <v>1358</v>
      </c>
      <c r="Q218" s="9" t="s">
        <v>672</v>
      </c>
      <c r="T218" s="9">
        <f ca="1">IFERROR(OFFSET(ITEM_RES!$A$5,MATCH(BUILDING!S218,ITEM_RES!$J$5:$J$229,0)-1,0),0)</f>
        <v>0</v>
      </c>
      <c r="W218" s="11">
        <f ca="1">IFERROR(OFFSET(ITEM_RES!$A$5,MATCH(BUILDING!V218,ITEM_RES!$J$5:$J$229,0)-1,0),0)</f>
        <v>0</v>
      </c>
      <c r="Y218" s="9" t="s">
        <v>554</v>
      </c>
      <c r="Z218" s="9">
        <v>14</v>
      </c>
      <c r="AB218" s="11">
        <f ca="1">IFERROR(OFFSET(MANOR_LEVEL!$B$1,MATCH(AC218-1,MANOR_LEVEL!$A:$A,0)-1,0),0)</f>
        <v>1200000</v>
      </c>
      <c r="AC218" s="55">
        <v>11</v>
      </c>
      <c r="AE218" s="11">
        <f t="shared" ref="AE218:AE281" ca="1" si="77">ROUND(AF218,0)</f>
        <v>7760000</v>
      </c>
      <c r="AF218" s="10">
        <f ca="1">AK218+AM218+(IFERROR(OFFSET(ITEM_RES!$R$1,MATCH(AQ218,ITEM_RES!$A:$A,0)-1,0),0)*AS218+IFERROR(OFFSET(ITEM_RES!$R$1,MATCH(AV218,ITEM_RES!$A:$A,0)-1,0),0)*AX218+IFERROR(OFFSET(ITEM_RES!$R$1,MATCH(BA218,ITEM_RES!$A:$A,0)-1,0),0)*BC218+IFERROR(OFFSET(ITEM_RES!$R$1,MATCH(BF218,ITEM_RES!$A:$A,0)-1,0),0)*BH218+IFERROR(OFFSET(ITEM_RES!$R$1,MATCH(BK218,ITEM_RES!$A:$A,0)-1,0),0)*BM218)/1000</f>
        <v>7760000</v>
      </c>
      <c r="AG218" s="176">
        <f t="shared" ca="1" si="76"/>
        <v>12720000</v>
      </c>
      <c r="AI218" s="11">
        <f t="shared" si="72"/>
        <v>900</v>
      </c>
      <c r="AJ218" s="10">
        <v>900</v>
      </c>
      <c r="AK218" s="11">
        <f t="shared" si="73"/>
        <v>0</v>
      </c>
      <c r="AL218" s="10">
        <v>0</v>
      </c>
      <c r="AM218" s="11">
        <f t="shared" si="68"/>
        <v>0</v>
      </c>
      <c r="AN218" s="10">
        <v>0</v>
      </c>
      <c r="AO218" s="55">
        <f t="shared" si="74"/>
        <v>2</v>
      </c>
      <c r="AQ218" s="11">
        <f ca="1">IFERROR(OFFSET(ITEM_RES!$A$1,MATCH(AR218,ITEM_RES!$J:$J,0)-1,0),0)</f>
        <v>211020801</v>
      </c>
      <c r="AR218" s="10" t="s">
        <v>384</v>
      </c>
      <c r="AS218" s="11">
        <v>485000</v>
      </c>
      <c r="AV218" s="11">
        <f ca="1">IFERROR(OFFSET(ITEM_RES!$A$1,MATCH(AW218,ITEM_RES!$J:$J,0)-1,0),0)</f>
        <v>211020901</v>
      </c>
      <c r="AW218" s="10" t="s">
        <v>385</v>
      </c>
      <c r="AX218" s="11">
        <v>485000</v>
      </c>
      <c r="BA218" s="11">
        <f ca="1">IFERROR(OFFSET(ITEM_RES!$A$1,MATCH(BB218,ITEM_RES!$J:$J,0)-1,0),0)</f>
        <v>0</v>
      </c>
      <c r="BF218" s="11">
        <f ca="1">IFERROR(OFFSET(ITEM_RES!$A$1,MATCH(BG218,ITEM_RES!$J:$J,0)-1,0),0)</f>
        <v>0</v>
      </c>
      <c r="BK218" s="11">
        <f ca="1">IFERROR(OFFSET(ITEM_RES!$A$1,MATCH(BL218,ITEM_RES!$J:$J,0)-1,0),0)</f>
        <v>0</v>
      </c>
      <c r="BM218" s="11">
        <f t="shared" si="75"/>
        <v>0</v>
      </c>
    </row>
    <row r="219" spans="1:65" x14ac:dyDescent="0.3">
      <c r="A219" s="14">
        <f t="shared" si="69"/>
        <v>113020015</v>
      </c>
      <c r="B219" s="13">
        <v>11</v>
      </c>
      <c r="C219" s="12">
        <f t="shared" si="70"/>
        <v>3</v>
      </c>
      <c r="D219" s="13">
        <v>2</v>
      </c>
      <c r="E219" s="13">
        <v>0</v>
      </c>
      <c r="F219" s="12">
        <f t="shared" si="71"/>
        <v>15</v>
      </c>
      <c r="H219" s="9">
        <v>3</v>
      </c>
      <c r="I219" s="9">
        <v>15</v>
      </c>
      <c r="K219" s="55" t="s">
        <v>553</v>
      </c>
      <c r="L219" s="55"/>
      <c r="M219" s="9">
        <v>1</v>
      </c>
      <c r="N219" s="9">
        <v>15</v>
      </c>
      <c r="O219" s="9" t="s">
        <v>1099</v>
      </c>
      <c r="P219" s="55" t="s">
        <v>1358</v>
      </c>
      <c r="Q219" s="9" t="s">
        <v>672</v>
      </c>
      <c r="T219" s="9">
        <f ca="1">IFERROR(OFFSET(ITEM_RES!$A$5,MATCH(BUILDING!S219,ITEM_RES!$J$5:$J$229,0)-1,0),0)</f>
        <v>0</v>
      </c>
      <c r="W219" s="11">
        <f ca="1">IFERROR(OFFSET(ITEM_RES!$A$5,MATCH(BUILDING!V219,ITEM_RES!$J$5:$J$229,0)-1,0),0)</f>
        <v>0</v>
      </c>
      <c r="Y219" s="9" t="s">
        <v>554</v>
      </c>
      <c r="Z219" s="9">
        <v>15</v>
      </c>
      <c r="AB219" s="11">
        <f ca="1">IFERROR(OFFSET(MANOR_LEVEL!$B$1,MATCH(AC219-1,MANOR_LEVEL!$A:$A,0)-1,0),0)</f>
        <v>3500000</v>
      </c>
      <c r="AC219" s="55">
        <v>12</v>
      </c>
      <c r="AE219" s="11">
        <f t="shared" ca="1" si="77"/>
        <v>16800000</v>
      </c>
      <c r="AF219" s="10">
        <f ca="1">AK219+AM219+(IFERROR(OFFSET(ITEM_RES!$R$1,MATCH(AQ219,ITEM_RES!$A:$A,0)-1,0),0)*AS219+IFERROR(OFFSET(ITEM_RES!$R$1,MATCH(AV219,ITEM_RES!$A:$A,0)-1,0),0)*AX219+IFERROR(OFFSET(ITEM_RES!$R$1,MATCH(BA219,ITEM_RES!$A:$A,0)-1,0),0)*BC219+IFERROR(OFFSET(ITEM_RES!$R$1,MATCH(BF219,ITEM_RES!$A:$A,0)-1,0),0)*BH219+IFERROR(OFFSET(ITEM_RES!$R$1,MATCH(BK219,ITEM_RES!$A:$A,0)-1,0),0)*BM219)/1000</f>
        <v>16800000</v>
      </c>
      <c r="AG219" s="176">
        <f t="shared" ca="1" si="76"/>
        <v>24560000</v>
      </c>
      <c r="AI219" s="11">
        <f t="shared" si="72"/>
        <v>1080</v>
      </c>
      <c r="AJ219" s="10">
        <v>1080</v>
      </c>
      <c r="AK219" s="11">
        <f t="shared" si="73"/>
        <v>0</v>
      </c>
      <c r="AL219" s="10">
        <v>0</v>
      </c>
      <c r="AM219" s="11">
        <f t="shared" si="68"/>
        <v>0</v>
      </c>
      <c r="AN219" s="10">
        <v>0</v>
      </c>
      <c r="AO219" s="55">
        <f t="shared" si="74"/>
        <v>2</v>
      </c>
      <c r="AQ219" s="11">
        <f ca="1">IFERROR(OFFSET(ITEM_RES!$A$1,MATCH(AR219,ITEM_RES!$J:$J,0)-1,0),0)</f>
        <v>211020801</v>
      </c>
      <c r="AR219" s="10" t="s">
        <v>384</v>
      </c>
      <c r="AS219" s="11">
        <v>1050000</v>
      </c>
      <c r="AV219" s="11">
        <f ca="1">IFERROR(OFFSET(ITEM_RES!$A$1,MATCH(AW219,ITEM_RES!$J:$J,0)-1,0),0)</f>
        <v>211020901</v>
      </c>
      <c r="AW219" s="10" t="s">
        <v>385</v>
      </c>
      <c r="AX219" s="11">
        <v>1050000</v>
      </c>
      <c r="BA219" s="11">
        <f ca="1">IFERROR(OFFSET(ITEM_RES!$A$1,MATCH(BB219,ITEM_RES!$J:$J,0)-1,0),0)</f>
        <v>0</v>
      </c>
      <c r="BF219" s="11">
        <f ca="1">IFERROR(OFFSET(ITEM_RES!$A$1,MATCH(BG219,ITEM_RES!$J:$J,0)-1,0),0)</f>
        <v>0</v>
      </c>
      <c r="BK219" s="11">
        <f ca="1">IFERROR(OFFSET(ITEM_RES!$A$1,MATCH(BL219,ITEM_RES!$J:$J,0)-1,0),0)</f>
        <v>0</v>
      </c>
      <c r="BM219" s="11">
        <f t="shared" si="75"/>
        <v>0</v>
      </c>
    </row>
    <row r="220" spans="1:65" x14ac:dyDescent="0.3">
      <c r="A220" s="14">
        <f t="shared" si="69"/>
        <v>113020016</v>
      </c>
      <c r="B220" s="13">
        <v>11</v>
      </c>
      <c r="C220" s="12">
        <f t="shared" si="70"/>
        <v>3</v>
      </c>
      <c r="D220" s="13">
        <v>2</v>
      </c>
      <c r="E220" s="13">
        <v>0</v>
      </c>
      <c r="F220" s="12">
        <f t="shared" si="71"/>
        <v>16</v>
      </c>
      <c r="H220" s="9">
        <v>3</v>
      </c>
      <c r="I220" s="9">
        <v>16</v>
      </c>
      <c r="K220" s="55" t="s">
        <v>553</v>
      </c>
      <c r="L220" s="55"/>
      <c r="M220" s="9">
        <v>0</v>
      </c>
      <c r="N220" s="9">
        <v>15</v>
      </c>
      <c r="O220" s="9" t="s">
        <v>1099</v>
      </c>
      <c r="P220" s="55" t="s">
        <v>1358</v>
      </c>
      <c r="Q220" s="9" t="s">
        <v>672</v>
      </c>
      <c r="T220" s="9">
        <f ca="1">IFERROR(OFFSET(ITEM_RES!$A$5,MATCH(BUILDING!S220,ITEM_RES!$J$5:$J$229,0)-1,0),0)</f>
        <v>0</v>
      </c>
      <c r="W220" s="11">
        <f ca="1">IFERROR(OFFSET(ITEM_RES!$A$5,MATCH(BUILDING!V220,ITEM_RES!$J$5:$J$229,0)-1,0),0)</f>
        <v>0</v>
      </c>
      <c r="Y220" s="9" t="s">
        <v>554</v>
      </c>
      <c r="Z220" s="9">
        <v>16</v>
      </c>
      <c r="AB220" s="11">
        <f ca="1">IFERROR(OFFSET(MANOR_LEVEL!$B$1,MATCH(AC220-1,MANOR_LEVEL!$A:$A,0)-1,0),0)</f>
        <v>6000000</v>
      </c>
      <c r="AC220" s="55">
        <v>13</v>
      </c>
      <c r="AE220" s="11">
        <f t="shared" ca="1" si="77"/>
        <v>34400000</v>
      </c>
      <c r="AF220" s="10">
        <f ca="1">AK220+AM220+(IFERROR(OFFSET(ITEM_RES!$R$1,MATCH(AQ220,ITEM_RES!$A:$A,0)-1,0),0)*AS220+IFERROR(OFFSET(ITEM_RES!$R$1,MATCH(AV220,ITEM_RES!$A:$A,0)-1,0),0)*AX220+IFERROR(OFFSET(ITEM_RES!$R$1,MATCH(BA220,ITEM_RES!$A:$A,0)-1,0),0)*BC220+IFERROR(OFFSET(ITEM_RES!$R$1,MATCH(BF220,ITEM_RES!$A:$A,0)-1,0),0)*BH220+IFERROR(OFFSET(ITEM_RES!$R$1,MATCH(BK220,ITEM_RES!$A:$A,0)-1,0),0)*BM220)/1000</f>
        <v>34400000</v>
      </c>
      <c r="AG220" s="176">
        <f t="shared" ca="1" si="76"/>
        <v>51200000</v>
      </c>
      <c r="AI220" s="11">
        <f t="shared" si="72"/>
        <v>1260</v>
      </c>
      <c r="AJ220" s="10">
        <v>1260</v>
      </c>
      <c r="AK220" s="11">
        <f t="shared" si="73"/>
        <v>0</v>
      </c>
      <c r="AL220" s="10">
        <v>0</v>
      </c>
      <c r="AM220" s="11">
        <f t="shared" si="68"/>
        <v>0</v>
      </c>
      <c r="AN220" s="10">
        <v>0</v>
      </c>
      <c r="AO220" s="55">
        <f t="shared" si="74"/>
        <v>2</v>
      </c>
      <c r="AQ220" s="11">
        <f ca="1">IFERROR(OFFSET(ITEM_RES!$A$1,MATCH(AR220,ITEM_RES!$J:$J,0)-1,0),0)</f>
        <v>211020801</v>
      </c>
      <c r="AR220" s="10" t="s">
        <v>384</v>
      </c>
      <c r="AS220" s="11">
        <v>2150000</v>
      </c>
      <c r="AV220" s="11">
        <f ca="1">IFERROR(OFFSET(ITEM_RES!$A$1,MATCH(AW220,ITEM_RES!$J:$J,0)-1,0),0)</f>
        <v>211020901</v>
      </c>
      <c r="AW220" s="10" t="s">
        <v>385</v>
      </c>
      <c r="AX220" s="11">
        <v>2150000</v>
      </c>
      <c r="BA220" s="11">
        <f ca="1">IFERROR(OFFSET(ITEM_RES!$A$1,MATCH(BB220,ITEM_RES!$J:$J,0)-1,0),0)</f>
        <v>0</v>
      </c>
      <c r="BF220" s="11">
        <f ca="1">IFERROR(OFFSET(ITEM_RES!$A$1,MATCH(BG220,ITEM_RES!$J:$J,0)-1,0),0)</f>
        <v>0</v>
      </c>
      <c r="BK220" s="11">
        <f ca="1">IFERROR(OFFSET(ITEM_RES!$A$1,MATCH(BL220,ITEM_RES!$J:$J,0)-1,0),0)</f>
        <v>0</v>
      </c>
      <c r="BM220" s="11">
        <f t="shared" si="75"/>
        <v>0</v>
      </c>
    </row>
    <row r="221" spans="1:65" x14ac:dyDescent="0.3">
      <c r="A221" s="14">
        <f t="shared" si="69"/>
        <v>113020017</v>
      </c>
      <c r="B221" s="13">
        <v>11</v>
      </c>
      <c r="C221" s="12">
        <f t="shared" si="70"/>
        <v>3</v>
      </c>
      <c r="D221" s="13">
        <v>2</v>
      </c>
      <c r="E221" s="13">
        <v>0</v>
      </c>
      <c r="F221" s="12">
        <f t="shared" si="71"/>
        <v>17</v>
      </c>
      <c r="H221" s="9">
        <v>3</v>
      </c>
      <c r="I221" s="9">
        <v>17</v>
      </c>
      <c r="K221" s="55" t="s">
        <v>553</v>
      </c>
      <c r="L221" s="55"/>
      <c r="M221" s="9">
        <v>0</v>
      </c>
      <c r="N221" s="9">
        <v>15</v>
      </c>
      <c r="O221" s="9" t="s">
        <v>1099</v>
      </c>
      <c r="P221" s="55" t="s">
        <v>1358</v>
      </c>
      <c r="Q221" s="9" t="s">
        <v>672</v>
      </c>
      <c r="T221" s="9">
        <f ca="1">IFERROR(OFFSET(ITEM_RES!$A$5,MATCH(BUILDING!S221,ITEM_RES!$J$5:$J$229,0)-1,0),0)</f>
        <v>0</v>
      </c>
      <c r="W221" s="11">
        <f ca="1">IFERROR(OFFSET(ITEM_RES!$A$5,MATCH(BUILDING!V221,ITEM_RES!$J$5:$J$229,0)-1,0),0)</f>
        <v>0</v>
      </c>
      <c r="Y221" s="9" t="s">
        <v>554</v>
      </c>
      <c r="Z221" s="9">
        <v>17</v>
      </c>
      <c r="AB221" s="11">
        <f ca="1">IFERROR(OFFSET(MANOR_LEVEL!$B$1,MATCH(AC221-1,MANOR_LEVEL!$A:$A,0)-1,0),0)</f>
        <v>10000000</v>
      </c>
      <c r="AC221" s="55">
        <v>14</v>
      </c>
      <c r="AE221" s="11">
        <f t="shared" ca="1" si="77"/>
        <v>64000000</v>
      </c>
      <c r="AF221" s="10">
        <f ca="1">AK221+AM221+(IFERROR(OFFSET(ITEM_RES!$R$1,MATCH(AQ221,ITEM_RES!$A:$A,0)-1,0),0)*AS221+IFERROR(OFFSET(ITEM_RES!$R$1,MATCH(AV221,ITEM_RES!$A:$A,0)-1,0),0)*AX221+IFERROR(OFFSET(ITEM_RES!$R$1,MATCH(BA221,ITEM_RES!$A:$A,0)-1,0),0)*BC221+IFERROR(OFFSET(ITEM_RES!$R$1,MATCH(BF221,ITEM_RES!$A:$A,0)-1,0),0)*BH221+IFERROR(OFFSET(ITEM_RES!$R$1,MATCH(BK221,ITEM_RES!$A:$A,0)-1,0),0)*BM221)/1000</f>
        <v>64000000</v>
      </c>
      <c r="AG221" s="176">
        <f t="shared" ca="1" si="76"/>
        <v>98400000</v>
      </c>
      <c r="AI221" s="11">
        <f t="shared" si="72"/>
        <v>1440</v>
      </c>
      <c r="AJ221" s="10">
        <v>1440</v>
      </c>
      <c r="AK221" s="11">
        <f t="shared" si="73"/>
        <v>0</v>
      </c>
      <c r="AL221" s="10">
        <v>0</v>
      </c>
      <c r="AM221" s="11">
        <f t="shared" si="68"/>
        <v>0</v>
      </c>
      <c r="AN221" s="10">
        <v>0</v>
      </c>
      <c r="AO221" s="55">
        <f t="shared" si="74"/>
        <v>2</v>
      </c>
      <c r="AQ221" s="11">
        <f ca="1">IFERROR(OFFSET(ITEM_RES!$A$1,MATCH(AR221,ITEM_RES!$J:$J,0)-1,0),0)</f>
        <v>211020801</v>
      </c>
      <c r="AR221" s="10" t="s">
        <v>384</v>
      </c>
      <c r="AS221" s="11">
        <v>4000000</v>
      </c>
      <c r="AV221" s="11">
        <f ca="1">IFERROR(OFFSET(ITEM_RES!$A$1,MATCH(AW221,ITEM_RES!$J:$J,0)-1,0),0)</f>
        <v>211020901</v>
      </c>
      <c r="AW221" s="10" t="s">
        <v>385</v>
      </c>
      <c r="AX221" s="11">
        <v>4000000</v>
      </c>
      <c r="BA221" s="11">
        <f ca="1">IFERROR(OFFSET(ITEM_RES!$A$1,MATCH(BB221,ITEM_RES!$J:$J,0)-1,0),0)</f>
        <v>0</v>
      </c>
      <c r="BF221" s="11">
        <f ca="1">IFERROR(OFFSET(ITEM_RES!$A$1,MATCH(BG221,ITEM_RES!$J:$J,0)-1,0),0)</f>
        <v>0</v>
      </c>
      <c r="BK221" s="11">
        <f ca="1">IFERROR(OFFSET(ITEM_RES!$A$1,MATCH(BL221,ITEM_RES!$J:$J,0)-1,0),0)</f>
        <v>0</v>
      </c>
      <c r="BM221" s="11">
        <f t="shared" si="75"/>
        <v>0</v>
      </c>
    </row>
    <row r="222" spans="1:65" x14ac:dyDescent="0.3">
      <c r="A222" s="14">
        <f t="shared" si="69"/>
        <v>113020018</v>
      </c>
      <c r="B222" s="13">
        <v>11</v>
      </c>
      <c r="C222" s="12">
        <f t="shared" si="70"/>
        <v>3</v>
      </c>
      <c r="D222" s="13">
        <v>2</v>
      </c>
      <c r="E222" s="13">
        <v>0</v>
      </c>
      <c r="F222" s="12">
        <f t="shared" si="71"/>
        <v>18</v>
      </c>
      <c r="H222" s="9">
        <v>3</v>
      </c>
      <c r="I222" s="9">
        <v>18</v>
      </c>
      <c r="K222" s="55" t="s">
        <v>553</v>
      </c>
      <c r="L222" s="55"/>
      <c r="M222" s="9">
        <v>0</v>
      </c>
      <c r="N222" s="9">
        <v>15</v>
      </c>
      <c r="O222" s="9" t="s">
        <v>1099</v>
      </c>
      <c r="P222" s="55" t="s">
        <v>1358</v>
      </c>
      <c r="Q222" s="9" t="s">
        <v>672</v>
      </c>
      <c r="T222" s="9">
        <f ca="1">IFERROR(OFFSET(ITEM_RES!$A$5,MATCH(BUILDING!S222,ITEM_RES!$J$5:$J$229,0)-1,0),0)</f>
        <v>0</v>
      </c>
      <c r="W222" s="11">
        <f ca="1">IFERROR(OFFSET(ITEM_RES!$A$5,MATCH(BUILDING!V222,ITEM_RES!$J$5:$J$229,0)-1,0),0)</f>
        <v>0</v>
      </c>
      <c r="Y222" s="9" t="s">
        <v>554</v>
      </c>
      <c r="Z222" s="9">
        <v>18</v>
      </c>
      <c r="AB222" s="11">
        <f ca="1">IFERROR(OFFSET(MANOR_LEVEL!$B$1,MATCH(AC222-1,MANOR_LEVEL!$A:$A,0)-1,0),0)</f>
        <v>17000000</v>
      </c>
      <c r="AC222" s="55">
        <v>15</v>
      </c>
      <c r="AE222" s="11">
        <f t="shared" ca="1" si="77"/>
        <v>104000000</v>
      </c>
      <c r="AF222" s="10">
        <f ca="1">AK222+AM222+(IFERROR(OFFSET(ITEM_RES!$R$1,MATCH(AQ222,ITEM_RES!$A:$A,0)-1,0),0)*AS222+IFERROR(OFFSET(ITEM_RES!$R$1,MATCH(AV222,ITEM_RES!$A:$A,0)-1,0),0)*AX222+IFERROR(OFFSET(ITEM_RES!$R$1,MATCH(BA222,ITEM_RES!$A:$A,0)-1,0),0)*BC222+IFERROR(OFFSET(ITEM_RES!$R$1,MATCH(BF222,ITEM_RES!$A:$A,0)-1,0),0)*BH222+IFERROR(OFFSET(ITEM_RES!$R$1,MATCH(BK222,ITEM_RES!$A:$A,0)-1,0),0)*BM222)/1000</f>
        <v>104000000</v>
      </c>
      <c r="AG222" s="176">
        <f t="shared" ca="1" si="76"/>
        <v>168000000</v>
      </c>
      <c r="AI222" s="11">
        <f t="shared" si="72"/>
        <v>1620</v>
      </c>
      <c r="AJ222" s="10">
        <v>1620</v>
      </c>
      <c r="AK222" s="11">
        <f t="shared" si="73"/>
        <v>0</v>
      </c>
      <c r="AL222" s="10">
        <v>0</v>
      </c>
      <c r="AM222" s="11">
        <f t="shared" si="68"/>
        <v>0</v>
      </c>
      <c r="AN222" s="10">
        <v>0</v>
      </c>
      <c r="AO222" s="55">
        <f t="shared" si="74"/>
        <v>2</v>
      </c>
      <c r="AQ222" s="11">
        <f ca="1">IFERROR(OFFSET(ITEM_RES!$A$1,MATCH(AR222,ITEM_RES!$J:$J,0)-1,0),0)</f>
        <v>211020801</v>
      </c>
      <c r="AR222" s="10" t="s">
        <v>384</v>
      </c>
      <c r="AS222" s="11">
        <v>6500000</v>
      </c>
      <c r="AV222" s="11">
        <f ca="1">IFERROR(OFFSET(ITEM_RES!$A$1,MATCH(AW222,ITEM_RES!$J:$J,0)-1,0),0)</f>
        <v>211020901</v>
      </c>
      <c r="AW222" s="10" t="s">
        <v>385</v>
      </c>
      <c r="AX222" s="11">
        <v>6500000</v>
      </c>
      <c r="BA222" s="11">
        <f ca="1">IFERROR(OFFSET(ITEM_RES!$A$1,MATCH(BB222,ITEM_RES!$J:$J,0)-1,0),0)</f>
        <v>0</v>
      </c>
      <c r="BF222" s="11">
        <f ca="1">IFERROR(OFFSET(ITEM_RES!$A$1,MATCH(BG222,ITEM_RES!$J:$J,0)-1,0),0)</f>
        <v>0</v>
      </c>
      <c r="BK222" s="11">
        <f ca="1">IFERROR(OFFSET(ITEM_RES!$A$1,MATCH(BL222,ITEM_RES!$J:$J,0)-1,0),0)</f>
        <v>0</v>
      </c>
      <c r="BM222" s="11">
        <f t="shared" si="75"/>
        <v>0</v>
      </c>
    </row>
    <row r="223" spans="1:65" x14ac:dyDescent="0.3">
      <c r="A223" s="14">
        <f t="shared" si="69"/>
        <v>113020019</v>
      </c>
      <c r="B223" s="13">
        <v>11</v>
      </c>
      <c r="C223" s="12">
        <f t="shared" si="70"/>
        <v>3</v>
      </c>
      <c r="D223" s="13">
        <v>2</v>
      </c>
      <c r="E223" s="13">
        <v>0</v>
      </c>
      <c r="F223" s="12">
        <f t="shared" si="71"/>
        <v>19</v>
      </c>
      <c r="H223" s="9">
        <v>3</v>
      </c>
      <c r="I223" s="9">
        <v>19</v>
      </c>
      <c r="K223" s="55" t="s">
        <v>553</v>
      </c>
      <c r="L223" s="55"/>
      <c r="M223" s="9">
        <v>0</v>
      </c>
      <c r="N223" s="9">
        <v>15</v>
      </c>
      <c r="O223" s="9" t="s">
        <v>1099</v>
      </c>
      <c r="P223" s="55" t="s">
        <v>1358</v>
      </c>
      <c r="Q223" s="9" t="s">
        <v>672</v>
      </c>
      <c r="T223" s="9">
        <f ca="1">IFERROR(OFFSET(ITEM_RES!$A$5,MATCH(BUILDING!S223,ITEM_RES!$J$5:$J$229,0)-1,0),0)</f>
        <v>0</v>
      </c>
      <c r="W223" s="11">
        <f ca="1">IFERROR(OFFSET(ITEM_RES!$A$5,MATCH(BUILDING!V223,ITEM_RES!$J$5:$J$229,0)-1,0),0)</f>
        <v>0</v>
      </c>
      <c r="Y223" s="9" t="s">
        <v>554</v>
      </c>
      <c r="Z223" s="9">
        <v>19</v>
      </c>
      <c r="AB223" s="11">
        <f ca="1">IFERROR(OFFSET(MANOR_LEVEL!$B$1,MATCH(AC223-1,MANOR_LEVEL!$A:$A,0)-1,0),0)</f>
        <v>37000000</v>
      </c>
      <c r="AC223" s="55">
        <v>16</v>
      </c>
      <c r="AE223" s="11">
        <f t="shared" ca="1" si="77"/>
        <v>150000000</v>
      </c>
      <c r="AF223" s="10">
        <f ca="1">AK223+AM223+(IFERROR(OFFSET(ITEM_RES!$R$1,MATCH(AQ223,ITEM_RES!$A:$A,0)-1,0),0)*AS223+IFERROR(OFFSET(ITEM_RES!$R$1,MATCH(AV223,ITEM_RES!$A:$A,0)-1,0),0)*AX223+IFERROR(OFFSET(ITEM_RES!$R$1,MATCH(BA223,ITEM_RES!$A:$A,0)-1,0),0)*BC223+IFERROR(OFFSET(ITEM_RES!$R$1,MATCH(BF223,ITEM_RES!$A:$A,0)-1,0),0)*BH223+IFERROR(OFFSET(ITEM_RES!$R$1,MATCH(BK223,ITEM_RES!$A:$A,0)-1,0),0)*BM223)/1000</f>
        <v>150000000</v>
      </c>
      <c r="AG223" s="176">
        <f t="shared" ca="1" si="76"/>
        <v>254000000</v>
      </c>
      <c r="AI223" s="11">
        <f t="shared" si="72"/>
        <v>1800</v>
      </c>
      <c r="AJ223" s="10">
        <v>1800</v>
      </c>
      <c r="AK223" s="11">
        <f t="shared" si="73"/>
        <v>0</v>
      </c>
      <c r="AL223" s="10">
        <v>0</v>
      </c>
      <c r="AM223" s="11">
        <f t="shared" si="68"/>
        <v>0</v>
      </c>
      <c r="AN223" s="10">
        <v>0</v>
      </c>
      <c r="AO223" s="55">
        <f t="shared" si="74"/>
        <v>2</v>
      </c>
      <c r="AQ223" s="11">
        <f ca="1">IFERROR(OFFSET(ITEM_RES!$A$1,MATCH(AR223,ITEM_RES!$J:$J,0)-1,0),0)</f>
        <v>211020901</v>
      </c>
      <c r="AR223" s="10" t="s">
        <v>385</v>
      </c>
      <c r="AS223" s="11">
        <v>10000000</v>
      </c>
      <c r="AV223" s="11">
        <f ca="1">IFERROR(OFFSET(ITEM_RES!$A$1,MATCH(AW223,ITEM_RES!$J:$J,0)-1,0),0)</f>
        <v>211020501</v>
      </c>
      <c r="AW223" s="10" t="s">
        <v>416</v>
      </c>
      <c r="AX223" s="11">
        <v>10000000</v>
      </c>
      <c r="BA223" s="11">
        <f ca="1">IFERROR(OFFSET(ITEM_RES!$A$1,MATCH(BB223,ITEM_RES!$J:$J,0)-1,0),0)</f>
        <v>0</v>
      </c>
      <c r="BF223" s="11">
        <f ca="1">IFERROR(OFFSET(ITEM_RES!$A$1,MATCH(BG223,ITEM_RES!$J:$J,0)-1,0),0)</f>
        <v>0</v>
      </c>
      <c r="BK223" s="11">
        <f ca="1">IFERROR(OFFSET(ITEM_RES!$A$1,MATCH(BL223,ITEM_RES!$J:$J,0)-1,0),0)</f>
        <v>0</v>
      </c>
      <c r="BM223" s="11">
        <f t="shared" si="75"/>
        <v>0</v>
      </c>
    </row>
    <row r="224" spans="1:65" ht="17.25" thickBot="1" x14ac:dyDescent="0.35">
      <c r="A224" s="14">
        <f t="shared" si="69"/>
        <v>113020020</v>
      </c>
      <c r="B224" s="13">
        <v>11</v>
      </c>
      <c r="C224" s="12">
        <f t="shared" si="70"/>
        <v>3</v>
      </c>
      <c r="D224" s="13">
        <v>2</v>
      </c>
      <c r="E224" s="13">
        <v>0</v>
      </c>
      <c r="F224" s="12">
        <f t="shared" si="71"/>
        <v>20</v>
      </c>
      <c r="H224" s="9">
        <v>3</v>
      </c>
      <c r="I224" s="9">
        <v>20</v>
      </c>
      <c r="K224" s="55" t="s">
        <v>553</v>
      </c>
      <c r="L224" s="55"/>
      <c r="M224" s="9">
        <v>0</v>
      </c>
      <c r="N224" s="9">
        <v>15</v>
      </c>
      <c r="O224" s="9" t="s">
        <v>1099</v>
      </c>
      <c r="P224" s="55" t="s">
        <v>1358</v>
      </c>
      <c r="Q224" s="9" t="s">
        <v>672</v>
      </c>
      <c r="T224" s="9">
        <f ca="1">IFERROR(OFFSET(ITEM_RES!$A$5,MATCH(BUILDING!S224,ITEM_RES!$J$5:$J$229,0)-1,0),0)</f>
        <v>0</v>
      </c>
      <c r="W224" s="11">
        <f ca="1">IFERROR(OFFSET(ITEM_RES!$A$5,MATCH(BUILDING!V224,ITEM_RES!$J$5:$J$229,0)-1,0),0)</f>
        <v>0</v>
      </c>
      <c r="Y224" s="9" t="s">
        <v>554</v>
      </c>
      <c r="Z224" s="9">
        <v>20</v>
      </c>
      <c r="AB224" s="11">
        <f ca="1">IFERROR(OFFSET(MANOR_LEVEL!$B$1,MATCH(AC224-1,MANOR_LEVEL!$A:$A,0)-1,0),0)</f>
        <v>85000000</v>
      </c>
      <c r="AC224" s="55">
        <v>17</v>
      </c>
      <c r="AE224" s="11">
        <f t="shared" ca="1" si="77"/>
        <v>240000000</v>
      </c>
      <c r="AF224" s="10">
        <f ca="1">AK224+AM224+(IFERROR(OFFSET(ITEM_RES!$R$1,MATCH(AQ224,ITEM_RES!$A:$A,0)-1,0),0)*AS224+IFERROR(OFFSET(ITEM_RES!$R$1,MATCH(AV224,ITEM_RES!$A:$A,0)-1,0),0)*AX224+IFERROR(OFFSET(ITEM_RES!$R$1,MATCH(BA224,ITEM_RES!$A:$A,0)-1,0),0)*BC224+IFERROR(OFFSET(ITEM_RES!$R$1,MATCH(BF224,ITEM_RES!$A:$A,0)-1,0),0)*BH224+IFERROR(OFFSET(ITEM_RES!$R$1,MATCH(BK224,ITEM_RES!$A:$A,0)-1,0),0)*BM224)/1000</f>
        <v>240000000</v>
      </c>
      <c r="AG224" s="176">
        <f t="shared" ca="1" si="76"/>
        <v>390000000</v>
      </c>
      <c r="AI224" s="11">
        <f t="shared" si="72"/>
        <v>1980</v>
      </c>
      <c r="AJ224" s="10">
        <v>1980</v>
      </c>
      <c r="AK224" s="11">
        <f t="shared" si="73"/>
        <v>0</v>
      </c>
      <c r="AL224" s="10">
        <v>0</v>
      </c>
      <c r="AM224" s="11">
        <f t="shared" si="68"/>
        <v>0</v>
      </c>
      <c r="AN224" s="10">
        <v>0</v>
      </c>
      <c r="AO224" s="55">
        <f t="shared" si="74"/>
        <v>2</v>
      </c>
      <c r="AQ224" s="11">
        <f ca="1">IFERROR(OFFSET(ITEM_RES!$A$1,MATCH(AR224,ITEM_RES!$J:$J,0)-1,0),0)</f>
        <v>211020901</v>
      </c>
      <c r="AR224" s="10" t="s">
        <v>385</v>
      </c>
      <c r="AS224" s="11">
        <v>16000000</v>
      </c>
      <c r="AV224" s="11">
        <f ca="1">IFERROR(OFFSET(ITEM_RES!$A$1,MATCH(AW224,ITEM_RES!$J:$J,0)-1,0),0)</f>
        <v>211020501</v>
      </c>
      <c r="AW224" s="10" t="s">
        <v>416</v>
      </c>
      <c r="AX224" s="11">
        <v>16000000</v>
      </c>
      <c r="BA224" s="11">
        <f ca="1">IFERROR(OFFSET(ITEM_RES!$A$1,MATCH(BB224,ITEM_RES!$J:$J,0)-1,0),0)</f>
        <v>0</v>
      </c>
      <c r="BF224" s="11">
        <f ca="1">IFERROR(OFFSET(ITEM_RES!$A$1,MATCH(BG224,ITEM_RES!$J:$J,0)-1,0),0)</f>
        <v>0</v>
      </c>
      <c r="BK224" s="11">
        <f ca="1">IFERROR(OFFSET(ITEM_RES!$A$1,MATCH(BL224,ITEM_RES!$J:$J,0)-1,0),0)</f>
        <v>0</v>
      </c>
      <c r="BM224" s="11">
        <f t="shared" si="75"/>
        <v>0</v>
      </c>
    </row>
    <row r="225" spans="1:66" s="15" customFormat="1" x14ac:dyDescent="0.3">
      <c r="A225" s="21">
        <f t="shared" si="53"/>
        <v>113030001</v>
      </c>
      <c r="B225" s="20">
        <v>11</v>
      </c>
      <c r="C225" s="19">
        <f t="shared" si="54"/>
        <v>3</v>
      </c>
      <c r="D225" s="20">
        <v>3</v>
      </c>
      <c r="E225" s="20">
        <v>0</v>
      </c>
      <c r="F225" s="19">
        <f t="shared" si="55"/>
        <v>1</v>
      </c>
      <c r="G225" s="76"/>
      <c r="H225" s="16">
        <v>3</v>
      </c>
      <c r="I225" s="16">
        <v>1</v>
      </c>
      <c r="J225" s="76"/>
      <c r="K225" s="62" t="s">
        <v>368</v>
      </c>
      <c r="L225" s="62">
        <v>1</v>
      </c>
      <c r="M225" s="16">
        <v>1</v>
      </c>
      <c r="N225" s="16">
        <v>15</v>
      </c>
      <c r="O225" s="16" t="s">
        <v>1266</v>
      </c>
      <c r="P225" s="56" t="s">
        <v>1359</v>
      </c>
      <c r="Q225" s="16" t="s">
        <v>673</v>
      </c>
      <c r="R225" s="76"/>
      <c r="S225" s="83"/>
      <c r="T225" s="16">
        <f ca="1">IFERROR(OFFSET(ITEM_RES!$A$5,MATCH(BUILDING!S225,ITEM_RES!$J$5:$J$229,0)-1,0),0)</f>
        <v>0</v>
      </c>
      <c r="U225" s="18"/>
      <c r="V225" s="83"/>
      <c r="W225" s="18">
        <f ca="1">IFERROR(OFFSET(ITEM_RES!$A$5,MATCH(BUILDING!V225,ITEM_RES!$J$5:$J$229,0)-1,0),0)</f>
        <v>0</v>
      </c>
      <c r="X225" s="76"/>
      <c r="Y225" s="16" t="s">
        <v>504</v>
      </c>
      <c r="Z225" s="16">
        <v>1</v>
      </c>
      <c r="AA225" s="76"/>
      <c r="AB225" s="18">
        <f ca="1">IFERROR(OFFSET(MANOR_LEVEL!$B$1,MATCH(AC225-1,MANOR_LEVEL!$A:$A,0)-1,0),0)</f>
        <v>0</v>
      </c>
      <c r="AC225" s="56">
        <v>1</v>
      </c>
      <c r="AD225" s="76"/>
      <c r="AE225" s="18">
        <f t="shared" ca="1" si="77"/>
        <v>1060</v>
      </c>
      <c r="AF225" s="17">
        <f ca="1">AK225+AM225+(IFERROR(OFFSET(ITEM_RES!$R$1,MATCH(AQ225,ITEM_RES!$A:$A,0)-1,0),0)*AS225+IFERROR(OFFSET(ITEM_RES!$R$1,MATCH(AV225,ITEM_RES!$A:$A,0)-1,0),0)*AX225+IFERROR(OFFSET(ITEM_RES!$R$1,MATCH(BA225,ITEM_RES!$A:$A,0)-1,0),0)*BC225+IFERROR(OFFSET(ITEM_RES!$R$1,MATCH(BF225,ITEM_RES!$A:$A,0)-1,0),0)*BH225+IFERROR(OFFSET(ITEM_RES!$R$1,MATCH(BK225,ITEM_RES!$A:$A,0)-1,0),0)*BM225)/1000</f>
        <v>1060</v>
      </c>
      <c r="AG225" s="178">
        <f ca="1">AE225</f>
        <v>1060</v>
      </c>
      <c r="AH225" s="76"/>
      <c r="AI225" s="18">
        <f t="shared" si="49"/>
        <v>2</v>
      </c>
      <c r="AJ225" s="17">
        <v>2</v>
      </c>
      <c r="AK225" s="18">
        <f t="shared" si="58"/>
        <v>0</v>
      </c>
      <c r="AL225" s="17">
        <v>0</v>
      </c>
      <c r="AM225" s="18">
        <f t="shared" si="68"/>
        <v>0</v>
      </c>
      <c r="AN225" s="17">
        <v>0</v>
      </c>
      <c r="AO225" s="56">
        <f t="shared" si="51"/>
        <v>3</v>
      </c>
      <c r="AP225" s="18"/>
      <c r="AQ225" s="18">
        <f ca="1">IFERROR(OFFSET(ITEM_RES!$A$1,MATCH(AR225,ITEM_RES!$J:$J,0)-1,0),0)</f>
        <v>211020401</v>
      </c>
      <c r="AR225" s="17" t="s">
        <v>415</v>
      </c>
      <c r="AS225" s="18">
        <v>10</v>
      </c>
      <c r="AT225" s="17"/>
      <c r="AU225" s="18"/>
      <c r="AV225" s="18">
        <f ca="1">IFERROR(OFFSET(ITEM_RES!$A$1,MATCH(AW225,ITEM_RES!$J:$J,0)-1,0),0)</f>
        <v>211020801</v>
      </c>
      <c r="AW225" s="17" t="s">
        <v>1057</v>
      </c>
      <c r="AX225" s="18">
        <v>5</v>
      </c>
      <c r="AY225" s="17"/>
      <c r="AZ225" s="18"/>
      <c r="BA225" s="18">
        <f ca="1">IFERROR(OFFSET(ITEM_RES!$A$1,MATCH(BB225,ITEM_RES!$J:$J,0)-1,0),0)</f>
        <v>213010101</v>
      </c>
      <c r="BB225" s="17" t="s">
        <v>440</v>
      </c>
      <c r="BC225" s="18">
        <v>1</v>
      </c>
      <c r="BD225" s="17"/>
      <c r="BE225" s="18"/>
      <c r="BF225" s="18">
        <f ca="1">IFERROR(OFFSET(ITEM_RES!$A$1,MATCH(BG225,ITEM_RES!$J:$J,0)-1,0),0)</f>
        <v>0</v>
      </c>
      <c r="BG225" s="17"/>
      <c r="BH225" s="18"/>
      <c r="BI225" s="17"/>
      <c r="BJ225" s="18"/>
      <c r="BK225" s="18">
        <f ca="1">IFERROR(OFFSET(ITEM_RES!$A$1,MATCH(BL225,ITEM_RES!$J:$J,0)-1,0),0)</f>
        <v>0</v>
      </c>
      <c r="BL225" s="17"/>
      <c r="BM225" s="18">
        <f t="shared" si="56"/>
        <v>0</v>
      </c>
      <c r="BN225" s="17"/>
    </row>
    <row r="226" spans="1:66" x14ac:dyDescent="0.3">
      <c r="A226" s="14">
        <f t="shared" si="53"/>
        <v>113030002</v>
      </c>
      <c r="B226" s="13">
        <v>11</v>
      </c>
      <c r="C226" s="12">
        <f t="shared" si="54"/>
        <v>3</v>
      </c>
      <c r="D226" s="13">
        <v>3</v>
      </c>
      <c r="E226" s="13">
        <v>0</v>
      </c>
      <c r="F226" s="12">
        <f t="shared" si="55"/>
        <v>2</v>
      </c>
      <c r="H226" s="9">
        <v>3</v>
      </c>
      <c r="I226" s="9">
        <v>2</v>
      </c>
      <c r="K226" s="55" t="s">
        <v>368</v>
      </c>
      <c r="L226" s="55"/>
      <c r="M226" s="9">
        <v>1</v>
      </c>
      <c r="N226" s="9">
        <v>15</v>
      </c>
      <c r="O226" s="9" t="s">
        <v>1266</v>
      </c>
      <c r="P226" s="55" t="s">
        <v>1359</v>
      </c>
      <c r="Q226" s="9" t="s">
        <v>673</v>
      </c>
      <c r="T226" s="9">
        <f ca="1">IFERROR(OFFSET(ITEM_RES!$A$5,MATCH(BUILDING!S226,ITEM_RES!$J$5:$J$229,0)-1,0),0)</f>
        <v>0</v>
      </c>
      <c r="W226" s="11">
        <f ca="1">IFERROR(OFFSET(ITEM_RES!$A$5,MATCH(BUILDING!V226,ITEM_RES!$J$5:$J$229,0)-1,0),0)</f>
        <v>0</v>
      </c>
      <c r="Y226" s="9" t="s">
        <v>504</v>
      </c>
      <c r="Z226" s="9">
        <v>2</v>
      </c>
      <c r="AB226" s="11">
        <f ca="1">IFERROR(OFFSET(MANOR_LEVEL!$B$1,MATCH(AC226-1,MANOR_LEVEL!$A:$A,0)-1,0),0)</f>
        <v>0</v>
      </c>
      <c r="AC226" s="55">
        <v>1</v>
      </c>
      <c r="AE226" s="11">
        <f t="shared" ca="1" si="77"/>
        <v>180</v>
      </c>
      <c r="AF226" s="10">
        <f ca="1">AK226+AM226+(IFERROR(OFFSET(ITEM_RES!$R$1,MATCH(AQ226,ITEM_RES!$A:$A,0)-1,0),0)*AS226+IFERROR(OFFSET(ITEM_RES!$R$1,MATCH(AV226,ITEM_RES!$A:$A,0)-1,0),0)*AX226+IFERROR(OFFSET(ITEM_RES!$R$1,MATCH(BA226,ITEM_RES!$A:$A,0)-1,0),0)*BC226+IFERROR(OFFSET(ITEM_RES!$R$1,MATCH(BF226,ITEM_RES!$A:$A,0)-1,0),0)*BH226+IFERROR(OFFSET(ITEM_RES!$R$1,MATCH(BK226,ITEM_RES!$A:$A,0)-1,0),0)*BM226)/1000</f>
        <v>180</v>
      </c>
      <c r="AG226" s="176">
        <f ca="1">AE225+AE226</f>
        <v>1240</v>
      </c>
      <c r="AI226" s="11">
        <f t="shared" si="49"/>
        <v>2</v>
      </c>
      <c r="AJ226" s="10">
        <v>2</v>
      </c>
      <c r="AK226" s="11">
        <f t="shared" si="58"/>
        <v>0</v>
      </c>
      <c r="AL226" s="10">
        <v>0</v>
      </c>
      <c r="AM226" s="11">
        <f t="shared" si="68"/>
        <v>0</v>
      </c>
      <c r="AN226" s="10">
        <v>0</v>
      </c>
      <c r="AO226" s="55">
        <f t="shared" si="51"/>
        <v>2</v>
      </c>
      <c r="AQ226" s="11">
        <f ca="1">IFERROR(OFFSET(ITEM_RES!$A$1,MATCH(AR226,ITEM_RES!$J:$J,0)-1,0),0)</f>
        <v>211020401</v>
      </c>
      <c r="AR226" s="10" t="s">
        <v>415</v>
      </c>
      <c r="AS226" s="11">
        <v>40</v>
      </c>
      <c r="AV226" s="11">
        <f ca="1">IFERROR(OFFSET(ITEM_RES!$A$1,MATCH(AW226,ITEM_RES!$J:$J,0)-1,0),0)</f>
        <v>211020801</v>
      </c>
      <c r="AW226" s="10" t="s">
        <v>1057</v>
      </c>
      <c r="AX226" s="11">
        <v>10</v>
      </c>
      <c r="BA226" s="11">
        <f ca="1">IFERROR(OFFSET(ITEM_RES!$A$1,MATCH(BB226,ITEM_RES!$J:$J,0)-1,0),0)</f>
        <v>0</v>
      </c>
      <c r="BF226" s="11">
        <f ca="1">IFERROR(OFFSET(ITEM_RES!$A$1,MATCH(BG226,ITEM_RES!$J:$J,0)-1,0),0)</f>
        <v>0</v>
      </c>
      <c r="BK226" s="11">
        <f ca="1">IFERROR(OFFSET(ITEM_RES!$A$1,MATCH(BL226,ITEM_RES!$J:$J,0)-1,0),0)</f>
        <v>0</v>
      </c>
      <c r="BM226" s="11">
        <f t="shared" si="56"/>
        <v>0</v>
      </c>
    </row>
    <row r="227" spans="1:66" x14ac:dyDescent="0.3">
      <c r="A227" s="14">
        <f t="shared" si="53"/>
        <v>113030003</v>
      </c>
      <c r="B227" s="13">
        <v>11</v>
      </c>
      <c r="C227" s="12">
        <f t="shared" si="54"/>
        <v>3</v>
      </c>
      <c r="D227" s="13">
        <v>3</v>
      </c>
      <c r="E227" s="13">
        <v>0</v>
      </c>
      <c r="F227" s="12">
        <f t="shared" si="55"/>
        <v>3</v>
      </c>
      <c r="H227" s="9">
        <v>3</v>
      </c>
      <c r="I227" s="9">
        <v>3</v>
      </c>
      <c r="K227" s="55" t="s">
        <v>368</v>
      </c>
      <c r="L227" s="55"/>
      <c r="M227" s="9">
        <v>1</v>
      </c>
      <c r="N227" s="9">
        <v>15</v>
      </c>
      <c r="O227" s="9" t="s">
        <v>1267</v>
      </c>
      <c r="P227" s="55" t="s">
        <v>1360</v>
      </c>
      <c r="Q227" s="9" t="s">
        <v>673</v>
      </c>
      <c r="T227" s="9">
        <f ca="1">IFERROR(OFFSET(ITEM_RES!$A$5,MATCH(BUILDING!S227,ITEM_RES!$J$5:$J$229,0)-1,0),0)</f>
        <v>0</v>
      </c>
      <c r="W227" s="11">
        <f ca="1">IFERROR(OFFSET(ITEM_RES!$A$5,MATCH(BUILDING!V227,ITEM_RES!$J$5:$J$229,0)-1,0),0)</f>
        <v>0</v>
      </c>
      <c r="Y227" s="9" t="s">
        <v>504</v>
      </c>
      <c r="Z227" s="9">
        <v>3</v>
      </c>
      <c r="AB227" s="11">
        <f ca="1">IFERROR(OFFSET(MANOR_LEVEL!$B$1,MATCH(AC227-1,MANOR_LEVEL!$A:$A,0)-1,0),0)</f>
        <v>0</v>
      </c>
      <c r="AC227" s="55">
        <v>1</v>
      </c>
      <c r="AE227" s="11">
        <f t="shared" ca="1" si="77"/>
        <v>270</v>
      </c>
      <c r="AF227" s="10">
        <f ca="1">AK227+AM227+(IFERROR(OFFSET(ITEM_RES!$R$1,MATCH(AQ227,ITEM_RES!$A:$A,0)-1,0),0)*AS227+IFERROR(OFFSET(ITEM_RES!$R$1,MATCH(AV227,ITEM_RES!$A:$A,0)-1,0),0)*AX227+IFERROR(OFFSET(ITEM_RES!$R$1,MATCH(BA227,ITEM_RES!$A:$A,0)-1,0),0)*BC227+IFERROR(OFFSET(ITEM_RES!$R$1,MATCH(BF227,ITEM_RES!$A:$A,0)-1,0),0)*BH227+IFERROR(OFFSET(ITEM_RES!$R$1,MATCH(BK227,ITEM_RES!$A:$A,0)-1,0),0)*BM227)/1000</f>
        <v>270</v>
      </c>
      <c r="AG227" s="176">
        <f t="shared" ref="AG227:AG244" ca="1" si="78">AE226+AE227</f>
        <v>450</v>
      </c>
      <c r="AI227" s="11">
        <f t="shared" si="49"/>
        <v>3</v>
      </c>
      <c r="AJ227" s="10">
        <v>3</v>
      </c>
      <c r="AK227" s="11">
        <f t="shared" si="58"/>
        <v>0</v>
      </c>
      <c r="AL227" s="10">
        <v>0</v>
      </c>
      <c r="AM227" s="11">
        <f t="shared" si="68"/>
        <v>0</v>
      </c>
      <c r="AN227" s="10">
        <v>0</v>
      </c>
      <c r="AO227" s="55">
        <f t="shared" si="51"/>
        <v>2</v>
      </c>
      <c r="AQ227" s="11">
        <f ca="1">IFERROR(OFFSET(ITEM_RES!$A$1,MATCH(AR227,ITEM_RES!$J:$J,0)-1,0),0)</f>
        <v>211020401</v>
      </c>
      <c r="AR227" s="10" t="s">
        <v>415</v>
      </c>
      <c r="AS227" s="11">
        <v>60</v>
      </c>
      <c r="AV227" s="11">
        <f ca="1">IFERROR(OFFSET(ITEM_RES!$A$1,MATCH(AW227,ITEM_RES!$J:$J,0)-1,0),0)</f>
        <v>211020801</v>
      </c>
      <c r="AW227" s="10" t="s">
        <v>1057</v>
      </c>
      <c r="AX227" s="11">
        <v>15</v>
      </c>
      <c r="BA227" s="11">
        <f ca="1">IFERROR(OFFSET(ITEM_RES!$A$1,MATCH(BB227,ITEM_RES!$J:$J,0)-1,0),0)</f>
        <v>0</v>
      </c>
      <c r="BF227" s="11">
        <f ca="1">IFERROR(OFFSET(ITEM_RES!$A$1,MATCH(BG227,ITEM_RES!$J:$J,0)-1,0),0)</f>
        <v>0</v>
      </c>
      <c r="BK227" s="11">
        <f ca="1">IFERROR(OFFSET(ITEM_RES!$A$1,MATCH(BL227,ITEM_RES!$J:$J,0)-1,0),0)</f>
        <v>0</v>
      </c>
      <c r="BM227" s="11">
        <f t="shared" si="56"/>
        <v>0</v>
      </c>
    </row>
    <row r="228" spans="1:66" x14ac:dyDescent="0.3">
      <c r="A228" s="14">
        <f t="shared" si="53"/>
        <v>113030004</v>
      </c>
      <c r="B228" s="13">
        <v>11</v>
      </c>
      <c r="C228" s="12">
        <f t="shared" si="54"/>
        <v>3</v>
      </c>
      <c r="D228" s="13">
        <v>3</v>
      </c>
      <c r="E228" s="13">
        <v>0</v>
      </c>
      <c r="F228" s="12">
        <f t="shared" si="55"/>
        <v>4</v>
      </c>
      <c r="H228" s="9">
        <v>3</v>
      </c>
      <c r="I228" s="9">
        <v>4</v>
      </c>
      <c r="K228" s="55" t="s">
        <v>368</v>
      </c>
      <c r="L228" s="55"/>
      <c r="M228" s="9">
        <v>1</v>
      </c>
      <c r="N228" s="9">
        <v>15</v>
      </c>
      <c r="O228" s="9" t="s">
        <v>1267</v>
      </c>
      <c r="P228" s="55" t="s">
        <v>1360</v>
      </c>
      <c r="Q228" s="9" t="s">
        <v>673</v>
      </c>
      <c r="T228" s="9">
        <f ca="1">IFERROR(OFFSET(ITEM_RES!$A$5,MATCH(BUILDING!S228,ITEM_RES!$J$5:$J$229,0)-1,0),0)</f>
        <v>0</v>
      </c>
      <c r="W228" s="11">
        <f ca="1">IFERROR(OFFSET(ITEM_RES!$A$5,MATCH(BUILDING!V228,ITEM_RES!$J$5:$J$229,0)-1,0),0)</f>
        <v>0</v>
      </c>
      <c r="Y228" s="9" t="s">
        <v>504</v>
      </c>
      <c r="Z228" s="9">
        <v>4</v>
      </c>
      <c r="AB228" s="11">
        <f ca="1">IFERROR(OFFSET(MANOR_LEVEL!$B$1,MATCH(AC228-1,MANOR_LEVEL!$A:$A,0)-1,0),0)</f>
        <v>800</v>
      </c>
      <c r="AC228" s="55">
        <v>2</v>
      </c>
      <c r="AE228" s="11">
        <f t="shared" ca="1" si="77"/>
        <v>840</v>
      </c>
      <c r="AF228" s="10">
        <f ca="1">AK228+AM228+(IFERROR(OFFSET(ITEM_RES!$R$1,MATCH(AQ228,ITEM_RES!$A:$A,0)-1,0),0)*AS228+IFERROR(OFFSET(ITEM_RES!$R$1,MATCH(AV228,ITEM_RES!$A:$A,0)-1,0),0)*AX228+IFERROR(OFFSET(ITEM_RES!$R$1,MATCH(BA228,ITEM_RES!$A:$A,0)-1,0),0)*BC228+IFERROR(OFFSET(ITEM_RES!$R$1,MATCH(BF228,ITEM_RES!$A:$A,0)-1,0),0)*BH228+IFERROR(OFFSET(ITEM_RES!$R$1,MATCH(BK228,ITEM_RES!$A:$A,0)-1,0),0)*BM228)/1000</f>
        <v>840</v>
      </c>
      <c r="AG228" s="176">
        <f t="shared" ca="1" si="78"/>
        <v>1110</v>
      </c>
      <c r="AI228" s="11">
        <f t="shared" si="49"/>
        <v>5</v>
      </c>
      <c r="AJ228" s="10">
        <v>5</v>
      </c>
      <c r="AK228" s="11">
        <f t="shared" si="58"/>
        <v>0</v>
      </c>
      <c r="AL228" s="10">
        <v>0</v>
      </c>
      <c r="AM228" s="11">
        <f t="shared" si="68"/>
        <v>0</v>
      </c>
      <c r="AN228" s="10">
        <v>0</v>
      </c>
      <c r="AO228" s="55">
        <f t="shared" si="51"/>
        <v>2</v>
      </c>
      <c r="AQ228" s="11">
        <f ca="1">IFERROR(OFFSET(ITEM_RES!$A$1,MATCH(AR228,ITEM_RES!$J:$J,0)-1,0),0)</f>
        <v>211020401</v>
      </c>
      <c r="AR228" s="10" t="s">
        <v>415</v>
      </c>
      <c r="AS228" s="11">
        <v>240</v>
      </c>
      <c r="AV228" s="11">
        <f ca="1">IFERROR(OFFSET(ITEM_RES!$A$1,MATCH(AW228,ITEM_RES!$J:$J,0)-1,0),0)</f>
        <v>211020801</v>
      </c>
      <c r="AW228" s="10" t="s">
        <v>1057</v>
      </c>
      <c r="AX228" s="11">
        <v>20</v>
      </c>
      <c r="BA228" s="11">
        <f ca="1">IFERROR(OFFSET(ITEM_RES!$A$1,MATCH(BB228,ITEM_RES!$J:$J,0)-1,0),0)</f>
        <v>0</v>
      </c>
      <c r="BF228" s="11">
        <f ca="1">IFERROR(OFFSET(ITEM_RES!$A$1,MATCH(BG228,ITEM_RES!$J:$J,0)-1,0),0)</f>
        <v>0</v>
      </c>
      <c r="BK228" s="11">
        <f ca="1">IFERROR(OFFSET(ITEM_RES!$A$1,MATCH(BL228,ITEM_RES!$J:$J,0)-1,0),0)</f>
        <v>0</v>
      </c>
      <c r="BM228" s="11">
        <f t="shared" si="56"/>
        <v>0</v>
      </c>
    </row>
    <row r="229" spans="1:66" x14ac:dyDescent="0.3">
      <c r="A229" s="14">
        <f t="shared" si="53"/>
        <v>113030005</v>
      </c>
      <c r="B229" s="13">
        <v>11</v>
      </c>
      <c r="C229" s="12">
        <f t="shared" si="54"/>
        <v>3</v>
      </c>
      <c r="D229" s="13">
        <v>3</v>
      </c>
      <c r="E229" s="13">
        <v>0</v>
      </c>
      <c r="F229" s="12">
        <f t="shared" si="55"/>
        <v>5</v>
      </c>
      <c r="H229" s="9">
        <v>3</v>
      </c>
      <c r="I229" s="9">
        <v>5</v>
      </c>
      <c r="K229" s="55" t="s">
        <v>368</v>
      </c>
      <c r="L229" s="55"/>
      <c r="M229" s="9">
        <v>1</v>
      </c>
      <c r="N229" s="9">
        <v>15</v>
      </c>
      <c r="O229" s="9" t="s">
        <v>1268</v>
      </c>
      <c r="P229" s="55" t="s">
        <v>1361</v>
      </c>
      <c r="Q229" s="9" t="s">
        <v>673</v>
      </c>
      <c r="T229" s="9">
        <f ca="1">IFERROR(OFFSET(ITEM_RES!$A$5,MATCH(BUILDING!S229,ITEM_RES!$J$5:$J$229,0)-1,0),0)</f>
        <v>0</v>
      </c>
      <c r="W229" s="11">
        <f ca="1">IFERROR(OFFSET(ITEM_RES!$A$5,MATCH(BUILDING!V229,ITEM_RES!$J$5:$J$229,0)-1,0),0)</f>
        <v>0</v>
      </c>
      <c r="Y229" s="9" t="s">
        <v>504</v>
      </c>
      <c r="Z229" s="9">
        <v>5</v>
      </c>
      <c r="AB229" s="11">
        <f ca="1">IFERROR(OFFSET(MANOR_LEVEL!$B$1,MATCH(AC229-1,MANOR_LEVEL!$A:$A,0)-1,0),0)</f>
        <v>800</v>
      </c>
      <c r="AC229" s="55">
        <v>2</v>
      </c>
      <c r="AE229" s="11">
        <f t="shared" ca="1" si="77"/>
        <v>3420</v>
      </c>
      <c r="AF229" s="10">
        <f ca="1">AK229+AM229+(IFERROR(OFFSET(ITEM_RES!$R$1,MATCH(AQ229,ITEM_RES!$A:$A,0)-1,0),0)*AS229+IFERROR(OFFSET(ITEM_RES!$R$1,MATCH(AV229,ITEM_RES!$A:$A,0)-1,0),0)*AX229+IFERROR(OFFSET(ITEM_RES!$R$1,MATCH(BA229,ITEM_RES!$A:$A,0)-1,0),0)*BC229+IFERROR(OFFSET(ITEM_RES!$R$1,MATCH(BF229,ITEM_RES!$A:$A,0)-1,0),0)*BH229+IFERROR(OFFSET(ITEM_RES!$R$1,MATCH(BK229,ITEM_RES!$A:$A,0)-1,0),0)*BM229)/1000</f>
        <v>3420</v>
      </c>
      <c r="AG229" s="176">
        <f t="shared" ca="1" si="78"/>
        <v>4260</v>
      </c>
      <c r="AI229" s="11">
        <f t="shared" si="49"/>
        <v>8</v>
      </c>
      <c r="AJ229" s="10">
        <v>8</v>
      </c>
      <c r="AK229" s="11">
        <f t="shared" si="58"/>
        <v>0</v>
      </c>
      <c r="AL229" s="10">
        <v>0</v>
      </c>
      <c r="AM229" s="11">
        <f t="shared" si="68"/>
        <v>0</v>
      </c>
      <c r="AN229" s="10">
        <v>0</v>
      </c>
      <c r="AO229" s="55">
        <f t="shared" si="51"/>
        <v>2</v>
      </c>
      <c r="AQ229" s="11">
        <f ca="1">IFERROR(OFFSET(ITEM_RES!$A$1,MATCH(AR229,ITEM_RES!$J:$J,0)-1,0),0)</f>
        <v>211020401</v>
      </c>
      <c r="AR229" s="10" t="s">
        <v>415</v>
      </c>
      <c r="AS229" s="11">
        <v>1080</v>
      </c>
      <c r="AV229" s="11">
        <f ca="1">IFERROR(OFFSET(ITEM_RES!$A$1,MATCH(AW229,ITEM_RES!$J:$J,0)-1,0),0)</f>
        <v>211020801</v>
      </c>
      <c r="AW229" s="10" t="s">
        <v>1057</v>
      </c>
      <c r="AX229" s="11">
        <v>30</v>
      </c>
      <c r="BA229" s="11">
        <f ca="1">IFERROR(OFFSET(ITEM_RES!$A$1,MATCH(BB229,ITEM_RES!$J:$J,0)-1,0),0)</f>
        <v>0</v>
      </c>
      <c r="BF229" s="11">
        <f ca="1">IFERROR(OFFSET(ITEM_RES!$A$1,MATCH(BG229,ITEM_RES!$J:$J,0)-1,0),0)</f>
        <v>0</v>
      </c>
      <c r="BK229" s="11">
        <f ca="1">IFERROR(OFFSET(ITEM_RES!$A$1,MATCH(BL229,ITEM_RES!$J:$J,0)-1,0),0)</f>
        <v>0</v>
      </c>
      <c r="BM229" s="11">
        <f t="shared" si="56"/>
        <v>0</v>
      </c>
    </row>
    <row r="230" spans="1:66" x14ac:dyDescent="0.3">
      <c r="A230" s="14">
        <f t="shared" si="53"/>
        <v>113030006</v>
      </c>
      <c r="B230" s="13">
        <v>11</v>
      </c>
      <c r="C230" s="12">
        <f t="shared" si="54"/>
        <v>3</v>
      </c>
      <c r="D230" s="13">
        <v>3</v>
      </c>
      <c r="E230" s="13">
        <v>0</v>
      </c>
      <c r="F230" s="12">
        <f t="shared" si="55"/>
        <v>6</v>
      </c>
      <c r="H230" s="9">
        <v>3</v>
      </c>
      <c r="I230" s="9">
        <v>6</v>
      </c>
      <c r="K230" s="55" t="s">
        <v>368</v>
      </c>
      <c r="L230" s="55"/>
      <c r="M230" s="9">
        <v>1</v>
      </c>
      <c r="N230" s="9">
        <v>15</v>
      </c>
      <c r="O230" s="9" t="s">
        <v>1268</v>
      </c>
      <c r="P230" s="55" t="s">
        <v>1361</v>
      </c>
      <c r="Q230" s="9" t="s">
        <v>673</v>
      </c>
      <c r="T230" s="9">
        <f ca="1">IFERROR(OFFSET(ITEM_RES!$A$5,MATCH(BUILDING!S230,ITEM_RES!$J$5:$J$229,0)-1,0),0)</f>
        <v>0</v>
      </c>
      <c r="W230" s="11">
        <f ca="1">IFERROR(OFFSET(ITEM_RES!$A$5,MATCH(BUILDING!V230,ITEM_RES!$J$5:$J$229,0)-1,0),0)</f>
        <v>0</v>
      </c>
      <c r="Y230" s="9" t="s">
        <v>504</v>
      </c>
      <c r="Z230" s="9">
        <v>6</v>
      </c>
      <c r="AB230" s="11">
        <f ca="1">IFERROR(OFFSET(MANOR_LEVEL!$B$1,MATCH(AC230-1,MANOR_LEVEL!$A:$A,0)-1,0),0)</f>
        <v>2300</v>
      </c>
      <c r="AC230" s="55">
        <v>3</v>
      </c>
      <c r="AE230" s="11">
        <f t="shared" ca="1" si="77"/>
        <v>11070</v>
      </c>
      <c r="AF230" s="10">
        <f ca="1">AK230+AM230+(IFERROR(OFFSET(ITEM_RES!$R$1,MATCH(AQ230,ITEM_RES!$A:$A,0)-1,0),0)*AS230+IFERROR(OFFSET(ITEM_RES!$R$1,MATCH(AV230,ITEM_RES!$A:$A,0)-1,0),0)*AX230+IFERROR(OFFSET(ITEM_RES!$R$1,MATCH(BA230,ITEM_RES!$A:$A,0)-1,0),0)*BC230+IFERROR(OFFSET(ITEM_RES!$R$1,MATCH(BF230,ITEM_RES!$A:$A,0)-1,0),0)*BH230+IFERROR(OFFSET(ITEM_RES!$R$1,MATCH(BK230,ITEM_RES!$A:$A,0)-1,0),0)*BM230)/1000</f>
        <v>11070</v>
      </c>
      <c r="AG230" s="176">
        <f t="shared" ca="1" si="78"/>
        <v>14490</v>
      </c>
      <c r="AI230" s="11">
        <f t="shared" si="49"/>
        <v>10</v>
      </c>
      <c r="AJ230" s="10">
        <v>10</v>
      </c>
      <c r="AK230" s="11">
        <f t="shared" si="58"/>
        <v>0</v>
      </c>
      <c r="AL230" s="10">
        <v>0</v>
      </c>
      <c r="AM230" s="11">
        <f t="shared" si="68"/>
        <v>0</v>
      </c>
      <c r="AN230" s="10">
        <v>0</v>
      </c>
      <c r="AO230" s="55">
        <f t="shared" si="51"/>
        <v>2</v>
      </c>
      <c r="AQ230" s="11">
        <f ca="1">IFERROR(OFFSET(ITEM_RES!$A$1,MATCH(AR230,ITEM_RES!$J:$J,0)-1,0),0)</f>
        <v>211020401</v>
      </c>
      <c r="AR230" s="10" t="s">
        <v>415</v>
      </c>
      <c r="AS230" s="11">
        <v>3600</v>
      </c>
      <c r="AV230" s="11">
        <f ca="1">IFERROR(OFFSET(ITEM_RES!$A$1,MATCH(AW230,ITEM_RES!$J:$J,0)-1,0),0)</f>
        <v>211020801</v>
      </c>
      <c r="AW230" s="10" t="s">
        <v>1057</v>
      </c>
      <c r="AX230" s="11">
        <v>45</v>
      </c>
      <c r="BA230" s="11">
        <f ca="1">IFERROR(OFFSET(ITEM_RES!$A$1,MATCH(BB230,ITEM_RES!$J:$J,0)-1,0),0)</f>
        <v>0</v>
      </c>
      <c r="BF230" s="11">
        <f ca="1">IFERROR(OFFSET(ITEM_RES!$A$1,MATCH(BG230,ITEM_RES!$J:$J,0)-1,0),0)</f>
        <v>0</v>
      </c>
      <c r="BK230" s="11">
        <f ca="1">IFERROR(OFFSET(ITEM_RES!$A$1,MATCH(BL230,ITEM_RES!$J:$J,0)-1,0),0)</f>
        <v>0</v>
      </c>
      <c r="BM230" s="11">
        <f t="shared" si="56"/>
        <v>0</v>
      </c>
    </row>
    <row r="231" spans="1:66" x14ac:dyDescent="0.3">
      <c r="A231" s="14">
        <f t="shared" si="53"/>
        <v>113030007</v>
      </c>
      <c r="B231" s="13">
        <v>11</v>
      </c>
      <c r="C231" s="12">
        <f t="shared" si="54"/>
        <v>3</v>
      </c>
      <c r="D231" s="13">
        <v>3</v>
      </c>
      <c r="E231" s="13">
        <v>0</v>
      </c>
      <c r="F231" s="12">
        <f t="shared" si="55"/>
        <v>7</v>
      </c>
      <c r="H231" s="9">
        <v>3</v>
      </c>
      <c r="I231" s="9">
        <v>7</v>
      </c>
      <c r="K231" s="55" t="s">
        <v>368</v>
      </c>
      <c r="L231" s="55"/>
      <c r="M231" s="9">
        <v>1</v>
      </c>
      <c r="N231" s="9">
        <v>15</v>
      </c>
      <c r="O231" s="9" t="s">
        <v>1269</v>
      </c>
      <c r="P231" s="55" t="s">
        <v>1362</v>
      </c>
      <c r="Q231" s="9" t="s">
        <v>673</v>
      </c>
      <c r="T231" s="9">
        <f ca="1">IFERROR(OFFSET(ITEM_RES!$A$5,MATCH(BUILDING!S231,ITEM_RES!$J$5:$J$229,0)-1,0),0)</f>
        <v>0</v>
      </c>
      <c r="W231" s="11">
        <f ca="1">IFERROR(OFFSET(ITEM_RES!$A$5,MATCH(BUILDING!V231,ITEM_RES!$J$5:$J$229,0)-1,0),0)</f>
        <v>0</v>
      </c>
      <c r="Y231" s="9" t="s">
        <v>504</v>
      </c>
      <c r="Z231" s="9">
        <v>7</v>
      </c>
      <c r="AB231" s="11">
        <f ca="1">IFERROR(OFFSET(MANOR_LEVEL!$B$1,MATCH(AC231-1,MANOR_LEVEL!$A:$A,0)-1,0),0)</f>
        <v>2300</v>
      </c>
      <c r="AC231" s="55">
        <v>3</v>
      </c>
      <c r="AE231" s="11">
        <f t="shared" ca="1" si="77"/>
        <v>25080</v>
      </c>
      <c r="AF231" s="10">
        <f ca="1">AK231+AM231+(IFERROR(OFFSET(ITEM_RES!$R$1,MATCH(AQ231,ITEM_RES!$A:$A,0)-1,0),0)*AS231+IFERROR(OFFSET(ITEM_RES!$R$1,MATCH(AV231,ITEM_RES!$A:$A,0)-1,0),0)*AX231+IFERROR(OFFSET(ITEM_RES!$R$1,MATCH(BA231,ITEM_RES!$A:$A,0)-1,0),0)*BC231+IFERROR(OFFSET(ITEM_RES!$R$1,MATCH(BF231,ITEM_RES!$A:$A,0)-1,0),0)*BH231+IFERROR(OFFSET(ITEM_RES!$R$1,MATCH(BK231,ITEM_RES!$A:$A,0)-1,0),0)*BM231)/1000</f>
        <v>25080</v>
      </c>
      <c r="AG231" s="176">
        <f t="shared" ca="1" si="78"/>
        <v>36150</v>
      </c>
      <c r="AI231" s="11">
        <f t="shared" si="49"/>
        <v>15</v>
      </c>
      <c r="AJ231" s="10">
        <v>15</v>
      </c>
      <c r="AK231" s="11">
        <f t="shared" si="58"/>
        <v>0</v>
      </c>
      <c r="AL231" s="10">
        <v>0</v>
      </c>
      <c r="AM231" s="11">
        <f t="shared" si="68"/>
        <v>0</v>
      </c>
      <c r="AN231" s="10">
        <v>0</v>
      </c>
      <c r="AO231" s="55">
        <f t="shared" si="51"/>
        <v>2</v>
      </c>
      <c r="AQ231" s="11">
        <f ca="1">IFERROR(OFFSET(ITEM_RES!$A$1,MATCH(AR231,ITEM_RES!$J:$J,0)-1,0),0)</f>
        <v>211020401</v>
      </c>
      <c r="AR231" s="10" t="s">
        <v>415</v>
      </c>
      <c r="AS231" s="11">
        <v>8000</v>
      </c>
      <c r="AV231" s="11">
        <f ca="1">IFERROR(OFFSET(ITEM_RES!$A$1,MATCH(AW231,ITEM_RES!$J:$J,0)-1,0),0)</f>
        <v>211020801</v>
      </c>
      <c r="AW231" s="10" t="s">
        <v>1057</v>
      </c>
      <c r="AX231" s="11">
        <v>180</v>
      </c>
      <c r="BA231" s="11">
        <f ca="1">IFERROR(OFFSET(ITEM_RES!$A$1,MATCH(BB231,ITEM_RES!$J:$J,0)-1,0),0)</f>
        <v>0</v>
      </c>
      <c r="BF231" s="11">
        <f ca="1">IFERROR(OFFSET(ITEM_RES!$A$1,MATCH(BG231,ITEM_RES!$J:$J,0)-1,0),0)</f>
        <v>0</v>
      </c>
      <c r="BK231" s="11">
        <f ca="1">IFERROR(OFFSET(ITEM_RES!$A$1,MATCH(BL231,ITEM_RES!$J:$J,0)-1,0),0)</f>
        <v>0</v>
      </c>
      <c r="BM231" s="11">
        <f t="shared" si="56"/>
        <v>0</v>
      </c>
    </row>
    <row r="232" spans="1:66" x14ac:dyDescent="0.3">
      <c r="A232" s="14">
        <f t="shared" si="53"/>
        <v>113030008</v>
      </c>
      <c r="B232" s="13">
        <v>11</v>
      </c>
      <c r="C232" s="12">
        <f t="shared" si="54"/>
        <v>3</v>
      </c>
      <c r="D232" s="13">
        <v>3</v>
      </c>
      <c r="E232" s="13">
        <v>0</v>
      </c>
      <c r="F232" s="12">
        <f t="shared" si="55"/>
        <v>8</v>
      </c>
      <c r="H232" s="9">
        <v>3</v>
      </c>
      <c r="I232" s="9">
        <v>8</v>
      </c>
      <c r="K232" s="55" t="s">
        <v>368</v>
      </c>
      <c r="L232" s="55"/>
      <c r="M232" s="9">
        <v>1</v>
      </c>
      <c r="N232" s="9">
        <v>15</v>
      </c>
      <c r="O232" s="9" t="s">
        <v>1269</v>
      </c>
      <c r="P232" s="55" t="s">
        <v>1362</v>
      </c>
      <c r="Q232" s="9" t="s">
        <v>673</v>
      </c>
      <c r="T232" s="9">
        <f ca="1">IFERROR(OFFSET(ITEM_RES!$A$5,MATCH(BUILDING!S232,ITEM_RES!$J$5:$J$229,0)-1,0),0)</f>
        <v>0</v>
      </c>
      <c r="W232" s="11">
        <f ca="1">IFERROR(OFFSET(ITEM_RES!$A$5,MATCH(BUILDING!V232,ITEM_RES!$J$5:$J$229,0)-1,0),0)</f>
        <v>0</v>
      </c>
      <c r="Y232" s="9" t="s">
        <v>504</v>
      </c>
      <c r="Z232" s="9">
        <v>8</v>
      </c>
      <c r="AB232" s="11">
        <f ca="1">IFERROR(OFFSET(MANOR_LEVEL!$B$1,MATCH(AC232-1,MANOR_LEVEL!$A:$A,0)-1,0),0)</f>
        <v>11000</v>
      </c>
      <c r="AC232" s="55">
        <v>5</v>
      </c>
      <c r="AE232" s="11">
        <f t="shared" ca="1" si="77"/>
        <v>55260</v>
      </c>
      <c r="AF232" s="10">
        <f ca="1">AK232+AM232+(IFERROR(OFFSET(ITEM_RES!$R$1,MATCH(AQ232,ITEM_RES!$A:$A,0)-1,0),0)*AS232+IFERROR(OFFSET(ITEM_RES!$R$1,MATCH(AV232,ITEM_RES!$A:$A,0)-1,0),0)*AX232+IFERROR(OFFSET(ITEM_RES!$R$1,MATCH(BA232,ITEM_RES!$A:$A,0)-1,0),0)*BC232+IFERROR(OFFSET(ITEM_RES!$R$1,MATCH(BF232,ITEM_RES!$A:$A,0)-1,0),0)*BH232+IFERROR(OFFSET(ITEM_RES!$R$1,MATCH(BK232,ITEM_RES!$A:$A,0)-1,0),0)*BM232)/1000</f>
        <v>55260</v>
      </c>
      <c r="AG232" s="176">
        <f t="shared" ca="1" si="78"/>
        <v>80340</v>
      </c>
      <c r="AI232" s="11">
        <f t="shared" si="49"/>
        <v>30</v>
      </c>
      <c r="AJ232" s="10">
        <v>30</v>
      </c>
      <c r="AK232" s="11">
        <f t="shared" si="58"/>
        <v>0</v>
      </c>
      <c r="AL232" s="10">
        <v>0</v>
      </c>
      <c r="AM232" s="11">
        <f t="shared" si="68"/>
        <v>0</v>
      </c>
      <c r="AN232" s="10">
        <v>0</v>
      </c>
      <c r="AO232" s="55">
        <f t="shared" si="51"/>
        <v>2</v>
      </c>
      <c r="AQ232" s="11">
        <f ca="1">IFERROR(OFFSET(ITEM_RES!$A$1,MATCH(AR232,ITEM_RES!$J:$J,0)-1,0),0)</f>
        <v>211020401</v>
      </c>
      <c r="AR232" s="10" t="s">
        <v>415</v>
      </c>
      <c r="AS232" s="11">
        <v>16800</v>
      </c>
      <c r="AV232" s="11">
        <f ca="1">IFERROR(OFFSET(ITEM_RES!$A$1,MATCH(AW232,ITEM_RES!$J:$J,0)-1,0),0)</f>
        <v>211020801</v>
      </c>
      <c r="AW232" s="10" t="s">
        <v>1057</v>
      </c>
      <c r="AX232" s="11">
        <v>810</v>
      </c>
      <c r="BA232" s="11">
        <f ca="1">IFERROR(OFFSET(ITEM_RES!$A$1,MATCH(BB232,ITEM_RES!$J:$J,0)-1,0),0)</f>
        <v>0</v>
      </c>
      <c r="BF232" s="11">
        <f ca="1">IFERROR(OFFSET(ITEM_RES!$A$1,MATCH(BG232,ITEM_RES!$J:$J,0)-1,0),0)</f>
        <v>0</v>
      </c>
      <c r="BK232" s="11">
        <f ca="1">IFERROR(OFFSET(ITEM_RES!$A$1,MATCH(BL232,ITEM_RES!$J:$J,0)-1,0),0)</f>
        <v>0</v>
      </c>
      <c r="BM232" s="11">
        <f t="shared" si="56"/>
        <v>0</v>
      </c>
    </row>
    <row r="233" spans="1:66" x14ac:dyDescent="0.3">
      <c r="A233" s="14">
        <f t="shared" si="53"/>
        <v>113030009</v>
      </c>
      <c r="B233" s="13">
        <v>11</v>
      </c>
      <c r="C233" s="12">
        <f t="shared" si="54"/>
        <v>3</v>
      </c>
      <c r="D233" s="13">
        <v>3</v>
      </c>
      <c r="E233" s="13">
        <v>0</v>
      </c>
      <c r="F233" s="12">
        <f t="shared" si="55"/>
        <v>9</v>
      </c>
      <c r="H233" s="9">
        <v>3</v>
      </c>
      <c r="I233" s="9">
        <v>9</v>
      </c>
      <c r="K233" s="55" t="s">
        <v>368</v>
      </c>
      <c r="L233" s="55"/>
      <c r="M233" s="9">
        <v>1</v>
      </c>
      <c r="N233" s="9">
        <v>15</v>
      </c>
      <c r="O233" s="9" t="s">
        <v>1271</v>
      </c>
      <c r="P233" s="55" t="s">
        <v>1363</v>
      </c>
      <c r="Q233" s="9" t="s">
        <v>673</v>
      </c>
      <c r="T233" s="9">
        <f ca="1">IFERROR(OFFSET(ITEM_RES!$A$5,MATCH(BUILDING!S233,ITEM_RES!$J$5:$J$229,0)-1,0),0)</f>
        <v>0</v>
      </c>
      <c r="W233" s="11">
        <f ca="1">IFERROR(OFFSET(ITEM_RES!$A$5,MATCH(BUILDING!V233,ITEM_RES!$J$5:$J$229,0)-1,0),0)</f>
        <v>0</v>
      </c>
      <c r="Y233" s="9" t="s">
        <v>504</v>
      </c>
      <c r="Z233" s="9">
        <v>9</v>
      </c>
      <c r="AB233" s="11">
        <f ca="1">IFERROR(OFFSET(MANOR_LEVEL!$B$1,MATCH(AC233-1,MANOR_LEVEL!$A:$A,0)-1,0),0)</f>
        <v>17000</v>
      </c>
      <c r="AC233" s="55">
        <v>6</v>
      </c>
      <c r="AE233" s="11">
        <f t="shared" ca="1" si="77"/>
        <v>109800</v>
      </c>
      <c r="AF233" s="10">
        <f ca="1">AK233+AM233+(IFERROR(OFFSET(ITEM_RES!$R$1,MATCH(AQ233,ITEM_RES!$A:$A,0)-1,0),0)*AS233+IFERROR(OFFSET(ITEM_RES!$R$1,MATCH(AV233,ITEM_RES!$A:$A,0)-1,0),0)*AX233+IFERROR(OFFSET(ITEM_RES!$R$1,MATCH(BA233,ITEM_RES!$A:$A,0)-1,0),0)*BC233+IFERROR(OFFSET(ITEM_RES!$R$1,MATCH(BF233,ITEM_RES!$A:$A,0)-1,0),0)*BH233+IFERROR(OFFSET(ITEM_RES!$R$1,MATCH(BK233,ITEM_RES!$A:$A,0)-1,0),0)*BM233)/1000</f>
        <v>109800</v>
      </c>
      <c r="AG233" s="176">
        <f t="shared" ca="1" si="78"/>
        <v>165060</v>
      </c>
      <c r="AI233" s="11">
        <f t="shared" si="49"/>
        <v>60</v>
      </c>
      <c r="AJ233" s="10">
        <v>60</v>
      </c>
      <c r="AK233" s="11">
        <f t="shared" si="58"/>
        <v>0</v>
      </c>
      <c r="AL233" s="10">
        <v>0</v>
      </c>
      <c r="AM233" s="11">
        <f t="shared" si="68"/>
        <v>0</v>
      </c>
      <c r="AN233" s="10">
        <v>0</v>
      </c>
      <c r="AO233" s="55">
        <f t="shared" si="51"/>
        <v>2</v>
      </c>
      <c r="AQ233" s="11">
        <f ca="1">IFERROR(OFFSET(ITEM_RES!$A$1,MATCH(AR233,ITEM_RES!$J:$J,0)-1,0),0)</f>
        <v>211020401</v>
      </c>
      <c r="AR233" s="10" t="s">
        <v>415</v>
      </c>
      <c r="AS233" s="11">
        <v>31200</v>
      </c>
      <c r="AV233" s="11">
        <f ca="1">IFERROR(OFFSET(ITEM_RES!$A$1,MATCH(AW233,ITEM_RES!$J:$J,0)-1,0),0)</f>
        <v>211020801</v>
      </c>
      <c r="AW233" s="10" t="s">
        <v>1057</v>
      </c>
      <c r="AX233" s="11">
        <v>2700</v>
      </c>
      <c r="BA233" s="11">
        <f ca="1">IFERROR(OFFSET(ITEM_RES!$A$1,MATCH(BB233,ITEM_RES!$J:$J,0)-1,0),0)</f>
        <v>0</v>
      </c>
      <c r="BF233" s="11">
        <f ca="1">IFERROR(OFFSET(ITEM_RES!$A$1,MATCH(BG233,ITEM_RES!$J:$J,0)-1,0),0)</f>
        <v>0</v>
      </c>
      <c r="BK233" s="11">
        <f ca="1">IFERROR(OFFSET(ITEM_RES!$A$1,MATCH(BL233,ITEM_RES!$J:$J,0)-1,0),0)</f>
        <v>0</v>
      </c>
      <c r="BM233" s="11">
        <f t="shared" si="56"/>
        <v>0</v>
      </c>
    </row>
    <row r="234" spans="1:66" x14ac:dyDescent="0.3">
      <c r="A234" s="14">
        <f t="shared" si="53"/>
        <v>113030010</v>
      </c>
      <c r="B234" s="13">
        <v>11</v>
      </c>
      <c r="C234" s="12">
        <f t="shared" si="54"/>
        <v>3</v>
      </c>
      <c r="D234" s="13">
        <v>3</v>
      </c>
      <c r="E234" s="13">
        <v>0</v>
      </c>
      <c r="F234" s="12">
        <f t="shared" si="55"/>
        <v>10</v>
      </c>
      <c r="H234" s="9">
        <v>3</v>
      </c>
      <c r="I234" s="9">
        <v>10</v>
      </c>
      <c r="K234" s="55" t="s">
        <v>368</v>
      </c>
      <c r="L234" s="55"/>
      <c r="M234" s="9">
        <v>1</v>
      </c>
      <c r="N234" s="9">
        <v>15</v>
      </c>
      <c r="O234" s="9" t="s">
        <v>1272</v>
      </c>
      <c r="P234" s="55" t="s">
        <v>1363</v>
      </c>
      <c r="Q234" s="9" t="s">
        <v>673</v>
      </c>
      <c r="T234" s="9">
        <f ca="1">IFERROR(OFFSET(ITEM_RES!$A$5,MATCH(BUILDING!S234,ITEM_RES!$J$5:$J$229,0)-1,0),0)</f>
        <v>0</v>
      </c>
      <c r="W234" s="11">
        <f ca="1">IFERROR(OFFSET(ITEM_RES!$A$5,MATCH(BUILDING!V234,ITEM_RES!$J$5:$J$229,0)-1,0),0)</f>
        <v>0</v>
      </c>
      <c r="Y234" s="9" t="s">
        <v>504</v>
      </c>
      <c r="Z234" s="9">
        <v>10</v>
      </c>
      <c r="AB234" s="11">
        <f ca="1">IFERROR(OFFSET(MANOR_LEVEL!$B$1,MATCH(AC234-1,MANOR_LEVEL!$A:$A,0)-1,0),0)</f>
        <v>40000</v>
      </c>
      <c r="AC234" s="55">
        <v>7</v>
      </c>
      <c r="AE234" s="11">
        <f t="shared" ca="1" si="77"/>
        <v>193000</v>
      </c>
      <c r="AF234" s="10">
        <f ca="1">AK234+AM234+(IFERROR(OFFSET(ITEM_RES!$R$1,MATCH(AQ234,ITEM_RES!$A:$A,0)-1,0),0)*AS234+IFERROR(OFFSET(ITEM_RES!$R$1,MATCH(AV234,ITEM_RES!$A:$A,0)-1,0),0)*AX234+IFERROR(OFFSET(ITEM_RES!$R$1,MATCH(BA234,ITEM_RES!$A:$A,0)-1,0),0)*BC234+IFERROR(OFFSET(ITEM_RES!$R$1,MATCH(BF234,ITEM_RES!$A:$A,0)-1,0),0)*BH234+IFERROR(OFFSET(ITEM_RES!$R$1,MATCH(BK234,ITEM_RES!$A:$A,0)-1,0),0)*BM234)/1000</f>
        <v>193000</v>
      </c>
      <c r="AG234" s="176">
        <f t="shared" ca="1" si="78"/>
        <v>302800</v>
      </c>
      <c r="AI234" s="11">
        <f t="shared" si="49"/>
        <v>180</v>
      </c>
      <c r="AJ234" s="10">
        <v>180</v>
      </c>
      <c r="AK234" s="11">
        <f t="shared" si="58"/>
        <v>0</v>
      </c>
      <c r="AL234" s="10">
        <v>0</v>
      </c>
      <c r="AM234" s="11">
        <f t="shared" si="68"/>
        <v>0</v>
      </c>
      <c r="AN234" s="10">
        <v>0</v>
      </c>
      <c r="AO234" s="55">
        <f t="shared" si="51"/>
        <v>3</v>
      </c>
      <c r="AQ234" s="11">
        <f ca="1">IFERROR(OFFSET(ITEM_RES!$A$1,MATCH(AR234,ITEM_RES!$J:$J,0)-1,0),0)</f>
        <v>211020401</v>
      </c>
      <c r="AR234" s="10" t="s">
        <v>415</v>
      </c>
      <c r="AS234" s="11">
        <v>52000</v>
      </c>
      <c r="AV234" s="11">
        <f ca="1">IFERROR(OFFSET(ITEM_RES!$A$1,MATCH(AW234,ITEM_RES!$J:$J,0)-1,0),0)</f>
        <v>211020801</v>
      </c>
      <c r="AW234" s="10" t="s">
        <v>1057</v>
      </c>
      <c r="AX234" s="11">
        <v>6000</v>
      </c>
      <c r="BA234" s="11">
        <f ca="1">IFERROR(OFFSET(ITEM_RES!$A$1,MATCH(BB234,ITEM_RES!$J:$J,0)-1,0),0)</f>
        <v>0</v>
      </c>
      <c r="BF234" s="11">
        <f ca="1">IFERROR(OFFSET(ITEM_RES!$A$1,MATCH(BG234,ITEM_RES!$J:$J,0)-1,0),0)</f>
        <v>213010901</v>
      </c>
      <c r="BG234" s="10" t="s">
        <v>491</v>
      </c>
      <c r="BH234" s="11">
        <v>1</v>
      </c>
      <c r="BK234" s="11">
        <f ca="1">IFERROR(OFFSET(ITEM_RES!$A$1,MATCH(BL234,ITEM_RES!$J:$J,0)-1,0),0)</f>
        <v>0</v>
      </c>
      <c r="BM234" s="11">
        <f t="shared" si="56"/>
        <v>0</v>
      </c>
    </row>
    <row r="235" spans="1:66" x14ac:dyDescent="0.3">
      <c r="A235" s="14">
        <f t="shared" si="53"/>
        <v>113030011</v>
      </c>
      <c r="B235" s="13">
        <v>11</v>
      </c>
      <c r="C235" s="12">
        <f t="shared" si="54"/>
        <v>3</v>
      </c>
      <c r="D235" s="13">
        <v>3</v>
      </c>
      <c r="E235" s="13">
        <v>0</v>
      </c>
      <c r="F235" s="12">
        <f t="shared" si="55"/>
        <v>11</v>
      </c>
      <c r="H235" s="9">
        <v>3</v>
      </c>
      <c r="I235" s="9">
        <v>11</v>
      </c>
      <c r="K235" s="55" t="s">
        <v>368</v>
      </c>
      <c r="L235" s="55"/>
      <c r="M235" s="9">
        <v>1</v>
      </c>
      <c r="N235" s="9">
        <v>15</v>
      </c>
      <c r="O235" s="9" t="s">
        <v>1270</v>
      </c>
      <c r="P235" s="55" t="s">
        <v>1363</v>
      </c>
      <c r="Q235" s="9" t="s">
        <v>673</v>
      </c>
      <c r="T235" s="9">
        <f ca="1">IFERROR(OFFSET(ITEM_RES!$A$5,MATCH(BUILDING!S235,ITEM_RES!$J$5:$J$229,0)-1,0),0)</f>
        <v>0</v>
      </c>
      <c r="W235" s="11">
        <f ca="1">IFERROR(OFFSET(ITEM_RES!$A$5,MATCH(BUILDING!V235,ITEM_RES!$J$5:$J$229,0)-1,0),0)</f>
        <v>0</v>
      </c>
      <c r="Y235" s="9" t="s">
        <v>504</v>
      </c>
      <c r="Z235" s="9">
        <v>11</v>
      </c>
      <c r="AB235" s="11">
        <f ca="1">IFERROR(OFFSET(MANOR_LEVEL!$B$1,MATCH(AC235-1,MANOR_LEVEL!$A:$A,0)-1,0),0)</f>
        <v>100000</v>
      </c>
      <c r="AC235" s="55">
        <v>8</v>
      </c>
      <c r="AE235" s="11">
        <f t="shared" ca="1" si="77"/>
        <v>339600</v>
      </c>
      <c r="AF235" s="10">
        <f ca="1">AK235+AM235+(IFERROR(OFFSET(ITEM_RES!$R$1,MATCH(AQ235,ITEM_RES!$A:$A,0)-1,0),0)*AS235+IFERROR(OFFSET(ITEM_RES!$R$1,MATCH(AV235,ITEM_RES!$A:$A,0)-1,0),0)*AX235+IFERROR(OFFSET(ITEM_RES!$R$1,MATCH(BA235,ITEM_RES!$A:$A,0)-1,0),0)*BC235+IFERROR(OFFSET(ITEM_RES!$R$1,MATCH(BF235,ITEM_RES!$A:$A,0)-1,0),0)*BH235+IFERROR(OFFSET(ITEM_RES!$R$1,MATCH(BK235,ITEM_RES!$A:$A,0)-1,0),0)*BM235)/1000</f>
        <v>339600</v>
      </c>
      <c r="AG235" s="176">
        <f t="shared" ca="1" si="78"/>
        <v>532600</v>
      </c>
      <c r="AI235" s="11">
        <f t="shared" si="49"/>
        <v>360</v>
      </c>
      <c r="AJ235" s="10">
        <v>360</v>
      </c>
      <c r="AK235" s="11">
        <f t="shared" si="58"/>
        <v>0</v>
      </c>
      <c r="AL235" s="10">
        <v>0</v>
      </c>
      <c r="AM235" s="11">
        <f t="shared" si="68"/>
        <v>0</v>
      </c>
      <c r="AN235" s="10">
        <v>0</v>
      </c>
      <c r="AO235" s="55">
        <f t="shared" si="51"/>
        <v>2</v>
      </c>
      <c r="AQ235" s="11">
        <f ca="1">IFERROR(OFFSET(ITEM_RES!$A$1,MATCH(AR235,ITEM_RES!$J:$J,0)-1,0),0)</f>
        <v>211020401</v>
      </c>
      <c r="AR235" s="10" t="s">
        <v>415</v>
      </c>
      <c r="AS235" s="11">
        <v>88000</v>
      </c>
      <c r="AV235" s="11">
        <f ca="1">IFERROR(OFFSET(ITEM_RES!$A$1,MATCH(AW235,ITEM_RES!$J:$J,0)-1,0),0)</f>
        <v>211020801</v>
      </c>
      <c r="AW235" s="10" t="s">
        <v>1057</v>
      </c>
      <c r="AX235" s="11">
        <v>12600</v>
      </c>
      <c r="BA235" s="11">
        <f ca="1">IFERROR(OFFSET(ITEM_RES!$A$1,MATCH(BB235,ITEM_RES!$J:$J,0)-1,0),0)</f>
        <v>0</v>
      </c>
      <c r="BF235" s="11">
        <f ca="1">IFERROR(OFFSET(ITEM_RES!$A$1,MATCH(BG235,ITEM_RES!$J:$J,0)-1,0),0)</f>
        <v>0</v>
      </c>
      <c r="BK235" s="11">
        <f ca="1">IFERROR(OFFSET(ITEM_RES!$A$1,MATCH(BL235,ITEM_RES!$J:$J,0)-1,0),0)</f>
        <v>0</v>
      </c>
      <c r="BM235" s="11">
        <f t="shared" si="56"/>
        <v>0</v>
      </c>
    </row>
    <row r="236" spans="1:66" x14ac:dyDescent="0.3">
      <c r="A236" s="14">
        <f t="shared" si="53"/>
        <v>113030012</v>
      </c>
      <c r="B236" s="13">
        <v>11</v>
      </c>
      <c r="C236" s="12">
        <f t="shared" si="54"/>
        <v>3</v>
      </c>
      <c r="D236" s="13">
        <v>3</v>
      </c>
      <c r="E236" s="13">
        <v>0</v>
      </c>
      <c r="F236" s="12">
        <f t="shared" si="55"/>
        <v>12</v>
      </c>
      <c r="H236" s="9">
        <v>3</v>
      </c>
      <c r="I236" s="9">
        <v>12</v>
      </c>
      <c r="K236" s="55" t="s">
        <v>368</v>
      </c>
      <c r="L236" s="55"/>
      <c r="M236" s="9">
        <v>1</v>
      </c>
      <c r="N236" s="9">
        <v>15</v>
      </c>
      <c r="O236" s="9" t="s">
        <v>1270</v>
      </c>
      <c r="P236" s="55" t="s">
        <v>1363</v>
      </c>
      <c r="Q236" s="9" t="s">
        <v>674</v>
      </c>
      <c r="T236" s="9">
        <f ca="1">IFERROR(OFFSET(ITEM_RES!$A$5,MATCH(BUILDING!S236,ITEM_RES!$J$5:$J$229,0)-1,0),0)</f>
        <v>0</v>
      </c>
      <c r="W236" s="11">
        <f ca="1">IFERROR(OFFSET(ITEM_RES!$A$5,MATCH(BUILDING!V236,ITEM_RES!$J$5:$J$229,0)-1,0),0)</f>
        <v>0</v>
      </c>
      <c r="Y236" s="9" t="s">
        <v>504</v>
      </c>
      <c r="Z236" s="9">
        <v>12</v>
      </c>
      <c r="AB236" s="11">
        <f ca="1">IFERROR(OFFSET(MANOR_LEVEL!$B$1,MATCH(AC236-1,MANOR_LEVEL!$A:$A,0)-1,0),0)</f>
        <v>300000</v>
      </c>
      <c r="AC236" s="55">
        <v>9</v>
      </c>
      <c r="AE236" s="11">
        <f t="shared" ca="1" si="77"/>
        <v>584400</v>
      </c>
      <c r="AF236" s="10">
        <f ca="1">AK236+AM236+(IFERROR(OFFSET(ITEM_RES!$R$1,MATCH(AQ236,ITEM_RES!$A:$A,0)-1,0),0)*AS236+IFERROR(OFFSET(ITEM_RES!$R$1,MATCH(AV236,ITEM_RES!$A:$A,0)-1,0),0)*AX236+IFERROR(OFFSET(ITEM_RES!$R$1,MATCH(BA236,ITEM_RES!$A:$A,0)-1,0),0)*BC236+IFERROR(OFFSET(ITEM_RES!$R$1,MATCH(BF236,ITEM_RES!$A:$A,0)-1,0),0)*BH236+IFERROR(OFFSET(ITEM_RES!$R$1,MATCH(BK236,ITEM_RES!$A:$A,0)-1,0),0)*BM236)/1000</f>
        <v>584400</v>
      </c>
      <c r="AG236" s="176">
        <f t="shared" ca="1" si="78"/>
        <v>924000</v>
      </c>
      <c r="AI236" s="11">
        <f t="shared" si="49"/>
        <v>540</v>
      </c>
      <c r="AJ236" s="10">
        <v>540</v>
      </c>
      <c r="AK236" s="11">
        <f t="shared" si="58"/>
        <v>0</v>
      </c>
      <c r="AL236" s="10">
        <v>0</v>
      </c>
      <c r="AM236" s="11">
        <f t="shared" si="68"/>
        <v>0</v>
      </c>
      <c r="AN236" s="10">
        <v>0</v>
      </c>
      <c r="AO236" s="55">
        <f t="shared" si="51"/>
        <v>2</v>
      </c>
      <c r="AQ236" s="11">
        <f ca="1">IFERROR(OFFSET(ITEM_RES!$A$1,MATCH(AR236,ITEM_RES!$J:$J,0)-1,0),0)</f>
        <v>211020401</v>
      </c>
      <c r="AR236" s="10" t="s">
        <v>415</v>
      </c>
      <c r="AS236" s="11">
        <v>148000</v>
      </c>
      <c r="AV236" s="11">
        <f ca="1">IFERROR(OFFSET(ITEM_RES!$A$1,MATCH(AW236,ITEM_RES!$J:$J,0)-1,0),0)</f>
        <v>211020801</v>
      </c>
      <c r="AW236" s="10" t="s">
        <v>1057</v>
      </c>
      <c r="AX236" s="11">
        <v>23400</v>
      </c>
      <c r="BA236" s="11">
        <f ca="1">IFERROR(OFFSET(ITEM_RES!$A$1,MATCH(BB236,ITEM_RES!$J:$J,0)-1,0),0)</f>
        <v>0</v>
      </c>
      <c r="BF236" s="11">
        <f ca="1">IFERROR(OFFSET(ITEM_RES!$A$1,MATCH(BG236,ITEM_RES!$J:$J,0)-1,0),0)</f>
        <v>0</v>
      </c>
      <c r="BK236" s="11">
        <f ca="1">IFERROR(OFFSET(ITEM_RES!$A$1,MATCH(BL236,ITEM_RES!$J:$J,0)-1,0),0)</f>
        <v>0</v>
      </c>
      <c r="BM236" s="11">
        <f t="shared" si="56"/>
        <v>0</v>
      </c>
    </row>
    <row r="237" spans="1:66" x14ac:dyDescent="0.3">
      <c r="A237" s="14">
        <f t="shared" si="53"/>
        <v>113030013</v>
      </c>
      <c r="B237" s="13">
        <v>11</v>
      </c>
      <c r="C237" s="12">
        <f t="shared" si="54"/>
        <v>3</v>
      </c>
      <c r="D237" s="13">
        <v>3</v>
      </c>
      <c r="E237" s="13">
        <v>0</v>
      </c>
      <c r="F237" s="12">
        <f t="shared" si="55"/>
        <v>13</v>
      </c>
      <c r="H237" s="9">
        <v>3</v>
      </c>
      <c r="I237" s="9">
        <v>13</v>
      </c>
      <c r="K237" s="55" t="s">
        <v>368</v>
      </c>
      <c r="L237" s="55"/>
      <c r="M237" s="9">
        <v>1</v>
      </c>
      <c r="N237" s="9">
        <v>15</v>
      </c>
      <c r="O237" s="9" t="s">
        <v>1270</v>
      </c>
      <c r="P237" s="55" t="s">
        <v>1363</v>
      </c>
      <c r="Q237" s="9" t="s">
        <v>674</v>
      </c>
      <c r="T237" s="9">
        <f ca="1">IFERROR(OFFSET(ITEM_RES!$A$5,MATCH(BUILDING!S237,ITEM_RES!$J$5:$J$229,0)-1,0),0)</f>
        <v>0</v>
      </c>
      <c r="W237" s="11">
        <f ca="1">IFERROR(OFFSET(ITEM_RES!$A$5,MATCH(BUILDING!V237,ITEM_RES!$J$5:$J$229,0)-1,0),0)</f>
        <v>0</v>
      </c>
      <c r="Y237" s="9" t="s">
        <v>504</v>
      </c>
      <c r="Z237" s="9">
        <v>13</v>
      </c>
      <c r="AB237" s="11">
        <f ca="1">IFERROR(OFFSET(MANOR_LEVEL!$B$1,MATCH(AC237-1,MANOR_LEVEL!$A:$A,0)-1,0),0)</f>
        <v>600000</v>
      </c>
      <c r="AC237" s="55">
        <v>10</v>
      </c>
      <c r="AE237" s="11">
        <f t="shared" ca="1" si="77"/>
        <v>978000</v>
      </c>
      <c r="AF237" s="10">
        <f ca="1">AK237+AM237+(IFERROR(OFFSET(ITEM_RES!$R$1,MATCH(AQ237,ITEM_RES!$A:$A,0)-1,0),0)*AS237+IFERROR(OFFSET(ITEM_RES!$R$1,MATCH(AV237,ITEM_RES!$A:$A,0)-1,0),0)*AX237+IFERROR(OFFSET(ITEM_RES!$R$1,MATCH(BA237,ITEM_RES!$A:$A,0)-1,0),0)*BC237+IFERROR(OFFSET(ITEM_RES!$R$1,MATCH(BF237,ITEM_RES!$A:$A,0)-1,0),0)*BH237+IFERROR(OFFSET(ITEM_RES!$R$1,MATCH(BK237,ITEM_RES!$A:$A,0)-1,0),0)*BM237)/1000</f>
        <v>978000</v>
      </c>
      <c r="AG237" s="176">
        <f t="shared" ca="1" si="78"/>
        <v>1562400</v>
      </c>
      <c r="AI237" s="11">
        <f t="shared" ref="AI237:AI284" si="79">ROUND(AJ237,0)</f>
        <v>720</v>
      </c>
      <c r="AJ237" s="10">
        <v>720</v>
      </c>
      <c r="AK237" s="11">
        <f t="shared" si="58"/>
        <v>0</v>
      </c>
      <c r="AL237" s="10">
        <v>0</v>
      </c>
      <c r="AM237" s="11">
        <f t="shared" si="68"/>
        <v>0</v>
      </c>
      <c r="AN237" s="10">
        <v>0</v>
      </c>
      <c r="AO237" s="55">
        <f t="shared" si="51"/>
        <v>2</v>
      </c>
      <c r="AQ237" s="11">
        <f ca="1">IFERROR(OFFSET(ITEM_RES!$A$1,MATCH(AR237,ITEM_RES!$J:$J,0)-1,0),0)</f>
        <v>211020401</v>
      </c>
      <c r="AR237" s="10" t="s">
        <v>415</v>
      </c>
      <c r="AS237" s="11">
        <v>248000</v>
      </c>
      <c r="AV237" s="11">
        <f ca="1">IFERROR(OFFSET(ITEM_RES!$A$1,MATCH(AW237,ITEM_RES!$J:$J,0)-1,0),0)</f>
        <v>211020801</v>
      </c>
      <c r="AW237" s="10" t="s">
        <v>1057</v>
      </c>
      <c r="AX237" s="11">
        <v>39000</v>
      </c>
      <c r="BA237" s="11">
        <f ca="1">IFERROR(OFFSET(ITEM_RES!$A$1,MATCH(BB237,ITEM_RES!$J:$J,0)-1,0),0)</f>
        <v>0</v>
      </c>
      <c r="BF237" s="11">
        <f ca="1">IFERROR(OFFSET(ITEM_RES!$A$1,MATCH(BG237,ITEM_RES!$J:$J,0)-1,0),0)</f>
        <v>0</v>
      </c>
      <c r="BK237" s="11">
        <f ca="1">IFERROR(OFFSET(ITEM_RES!$A$1,MATCH(BL237,ITEM_RES!$J:$J,0)-1,0),0)</f>
        <v>0</v>
      </c>
      <c r="BM237" s="11">
        <f t="shared" si="56"/>
        <v>0</v>
      </c>
    </row>
    <row r="238" spans="1:66" x14ac:dyDescent="0.3">
      <c r="A238" s="14">
        <f t="shared" si="53"/>
        <v>113030014</v>
      </c>
      <c r="B238" s="13">
        <v>11</v>
      </c>
      <c r="C238" s="12">
        <f t="shared" si="54"/>
        <v>3</v>
      </c>
      <c r="D238" s="13">
        <v>3</v>
      </c>
      <c r="E238" s="13">
        <v>0</v>
      </c>
      <c r="F238" s="12">
        <f t="shared" si="55"/>
        <v>14</v>
      </c>
      <c r="H238" s="9">
        <v>3</v>
      </c>
      <c r="I238" s="9">
        <v>14</v>
      </c>
      <c r="K238" s="55" t="s">
        <v>368</v>
      </c>
      <c r="L238" s="55"/>
      <c r="M238" s="9">
        <v>1</v>
      </c>
      <c r="N238" s="9">
        <v>15</v>
      </c>
      <c r="O238" s="9" t="s">
        <v>1270</v>
      </c>
      <c r="P238" s="55" t="s">
        <v>1363</v>
      </c>
      <c r="Q238" s="9" t="s">
        <v>674</v>
      </c>
      <c r="T238" s="9">
        <f ca="1">IFERROR(OFFSET(ITEM_RES!$A$5,MATCH(BUILDING!S238,ITEM_RES!$J$5:$J$229,0)-1,0),0)</f>
        <v>0</v>
      </c>
      <c r="W238" s="11">
        <f ca="1">IFERROR(OFFSET(ITEM_RES!$A$5,MATCH(BUILDING!V238,ITEM_RES!$J$5:$J$229,0)-1,0),0)</f>
        <v>0</v>
      </c>
      <c r="Y238" s="9" t="s">
        <v>504</v>
      </c>
      <c r="Z238" s="9">
        <v>14</v>
      </c>
      <c r="AB238" s="11">
        <f ca="1">IFERROR(OFFSET(MANOR_LEVEL!$B$1,MATCH(AC238-1,MANOR_LEVEL!$A:$A,0)-1,0),0)</f>
        <v>1200000</v>
      </c>
      <c r="AC238" s="55">
        <v>11</v>
      </c>
      <c r="AE238" s="11">
        <f t="shared" ca="1" si="77"/>
        <v>1824000</v>
      </c>
      <c r="AF238" s="10">
        <f ca="1">AK238+AM238+(IFERROR(OFFSET(ITEM_RES!$R$1,MATCH(AQ238,ITEM_RES!$A:$A,0)-1,0),0)*AS238+IFERROR(OFFSET(ITEM_RES!$R$1,MATCH(AV238,ITEM_RES!$A:$A,0)-1,0),0)*AX238+IFERROR(OFFSET(ITEM_RES!$R$1,MATCH(BA238,ITEM_RES!$A:$A,0)-1,0),0)*BC238+IFERROR(OFFSET(ITEM_RES!$R$1,MATCH(BF238,ITEM_RES!$A:$A,0)-1,0),0)*BH238+IFERROR(OFFSET(ITEM_RES!$R$1,MATCH(BK238,ITEM_RES!$A:$A,0)-1,0),0)*BM238)/1000</f>
        <v>1824000</v>
      </c>
      <c r="AG238" s="176">
        <f t="shared" ca="1" si="78"/>
        <v>2802000</v>
      </c>
      <c r="AI238" s="11">
        <f t="shared" si="79"/>
        <v>900</v>
      </c>
      <c r="AJ238" s="10">
        <v>900</v>
      </c>
      <c r="AK238" s="11">
        <f t="shared" si="58"/>
        <v>0</v>
      </c>
      <c r="AL238" s="10">
        <v>0</v>
      </c>
      <c r="AM238" s="11">
        <f t="shared" si="68"/>
        <v>0</v>
      </c>
      <c r="AN238" s="10">
        <v>0</v>
      </c>
      <c r="AO238" s="55">
        <f t="shared" ref="AO238:AO284" si="80">(AS238&gt;0)*1+(AX238&gt;0)*1+(BC238&gt;0)*1+(BH238&gt;0)*1+(BM238&gt;0)*1</f>
        <v>2</v>
      </c>
      <c r="AQ238" s="11">
        <f ca="1">IFERROR(OFFSET(ITEM_RES!$A$1,MATCH(AR238,ITEM_RES!$J:$J,0)-1,0),0)</f>
        <v>211020401</v>
      </c>
      <c r="AR238" s="10" t="s">
        <v>415</v>
      </c>
      <c r="AS238" s="11">
        <v>388000</v>
      </c>
      <c r="AV238" s="11">
        <f ca="1">IFERROR(OFFSET(ITEM_RES!$A$1,MATCH(AW238,ITEM_RES!$J:$J,0)-1,0),0)</f>
        <v>211020901</v>
      </c>
      <c r="AW238" s="10" t="s">
        <v>1058</v>
      </c>
      <c r="AX238" s="11">
        <v>66000</v>
      </c>
      <c r="BA238" s="11">
        <f ca="1">IFERROR(OFFSET(ITEM_RES!$A$1,MATCH(BB238,ITEM_RES!$J:$J,0)-1,0),0)</f>
        <v>0</v>
      </c>
      <c r="BF238" s="11">
        <f ca="1">IFERROR(OFFSET(ITEM_RES!$A$1,MATCH(BG238,ITEM_RES!$J:$J,0)-1,0),0)</f>
        <v>0</v>
      </c>
      <c r="BK238" s="11">
        <f ca="1">IFERROR(OFFSET(ITEM_RES!$A$1,MATCH(BL238,ITEM_RES!$J:$J,0)-1,0),0)</f>
        <v>0</v>
      </c>
      <c r="BM238" s="11">
        <f t="shared" si="56"/>
        <v>0</v>
      </c>
    </row>
    <row r="239" spans="1:66" x14ac:dyDescent="0.3">
      <c r="A239" s="14">
        <f t="shared" si="53"/>
        <v>113030015</v>
      </c>
      <c r="B239" s="13">
        <v>11</v>
      </c>
      <c r="C239" s="12">
        <f t="shared" si="54"/>
        <v>3</v>
      </c>
      <c r="D239" s="13">
        <v>3</v>
      </c>
      <c r="E239" s="13">
        <v>0</v>
      </c>
      <c r="F239" s="12">
        <f t="shared" si="55"/>
        <v>15</v>
      </c>
      <c r="H239" s="9">
        <v>3</v>
      </c>
      <c r="I239" s="9">
        <v>15</v>
      </c>
      <c r="K239" s="55" t="s">
        <v>368</v>
      </c>
      <c r="L239" s="55"/>
      <c r="M239" s="9">
        <v>1</v>
      </c>
      <c r="N239" s="9">
        <v>15</v>
      </c>
      <c r="O239" s="9" t="s">
        <v>1270</v>
      </c>
      <c r="P239" s="55" t="s">
        <v>1363</v>
      </c>
      <c r="Q239" s="9" t="s">
        <v>674</v>
      </c>
      <c r="T239" s="9">
        <f ca="1">IFERROR(OFFSET(ITEM_RES!$A$5,MATCH(BUILDING!S239,ITEM_RES!$J$5:$J$229,0)-1,0),0)</f>
        <v>0</v>
      </c>
      <c r="W239" s="11">
        <f ca="1">IFERROR(OFFSET(ITEM_RES!$A$5,MATCH(BUILDING!V239,ITEM_RES!$J$5:$J$229,0)-1,0),0)</f>
        <v>0</v>
      </c>
      <c r="Y239" s="9" t="s">
        <v>504</v>
      </c>
      <c r="Z239" s="9">
        <v>15</v>
      </c>
      <c r="AB239" s="11">
        <f ca="1">IFERROR(OFFSET(MANOR_LEVEL!$B$1,MATCH(AC239-1,MANOR_LEVEL!$A:$A,0)-1,0),0)</f>
        <v>3500000</v>
      </c>
      <c r="AC239" s="55">
        <v>12</v>
      </c>
      <c r="AE239" s="11">
        <f t="shared" ca="1" si="77"/>
        <v>3630000</v>
      </c>
      <c r="AF239" s="10">
        <f ca="1">AK239+AM239+(IFERROR(OFFSET(ITEM_RES!$R$1,MATCH(AQ239,ITEM_RES!$A:$A,0)-1,0),0)*AS239+IFERROR(OFFSET(ITEM_RES!$R$1,MATCH(AV239,ITEM_RES!$A:$A,0)-1,0),0)*AX239+IFERROR(OFFSET(ITEM_RES!$R$1,MATCH(BA239,ITEM_RES!$A:$A,0)-1,0),0)*BC239+IFERROR(OFFSET(ITEM_RES!$R$1,MATCH(BF239,ITEM_RES!$A:$A,0)-1,0),0)*BH239+IFERROR(OFFSET(ITEM_RES!$R$1,MATCH(BK239,ITEM_RES!$A:$A,0)-1,0),0)*BM239)/1000</f>
        <v>3630000</v>
      </c>
      <c r="AG239" s="176">
        <f t="shared" ca="1" si="78"/>
        <v>5454000</v>
      </c>
      <c r="AI239" s="11">
        <f t="shared" si="79"/>
        <v>1080</v>
      </c>
      <c r="AJ239" s="10">
        <v>1080</v>
      </c>
      <c r="AK239" s="11">
        <f t="shared" si="58"/>
        <v>0</v>
      </c>
      <c r="AL239" s="10">
        <v>0</v>
      </c>
      <c r="AM239" s="11">
        <f t="shared" si="68"/>
        <v>0</v>
      </c>
      <c r="AN239" s="10">
        <v>0</v>
      </c>
      <c r="AO239" s="55">
        <f t="shared" si="80"/>
        <v>2</v>
      </c>
      <c r="AQ239" s="11">
        <f ca="1">IFERROR(OFFSET(ITEM_RES!$A$1,MATCH(AR239,ITEM_RES!$J:$J,0)-1,0),0)</f>
        <v>211020401</v>
      </c>
      <c r="AR239" s="10" t="s">
        <v>415</v>
      </c>
      <c r="AS239" s="11">
        <v>840000</v>
      </c>
      <c r="AV239" s="11">
        <f ca="1">IFERROR(OFFSET(ITEM_RES!$A$1,MATCH(AW239,ITEM_RES!$J:$J,0)-1,0),0)</f>
        <v>211020901</v>
      </c>
      <c r="AW239" s="10" t="s">
        <v>1058</v>
      </c>
      <c r="AX239" s="11">
        <v>111000</v>
      </c>
      <c r="BA239" s="11">
        <f ca="1">IFERROR(OFFSET(ITEM_RES!$A$1,MATCH(BB239,ITEM_RES!$J:$J,0)-1,0),0)</f>
        <v>0</v>
      </c>
      <c r="BF239" s="11">
        <f ca="1">IFERROR(OFFSET(ITEM_RES!$A$1,MATCH(BG239,ITEM_RES!$J:$J,0)-1,0),0)</f>
        <v>0</v>
      </c>
      <c r="BK239" s="11">
        <f ca="1">IFERROR(OFFSET(ITEM_RES!$A$1,MATCH(BL239,ITEM_RES!$J:$J,0)-1,0),0)</f>
        <v>0</v>
      </c>
      <c r="BM239" s="11">
        <f t="shared" si="56"/>
        <v>0</v>
      </c>
    </row>
    <row r="240" spans="1:66" x14ac:dyDescent="0.3">
      <c r="A240" s="14">
        <f t="shared" si="53"/>
        <v>113030016</v>
      </c>
      <c r="B240" s="13">
        <v>11</v>
      </c>
      <c r="C240" s="12">
        <f t="shared" si="54"/>
        <v>3</v>
      </c>
      <c r="D240" s="13">
        <v>3</v>
      </c>
      <c r="E240" s="13">
        <v>0</v>
      </c>
      <c r="F240" s="12">
        <f t="shared" si="55"/>
        <v>16</v>
      </c>
      <c r="H240" s="9">
        <v>3</v>
      </c>
      <c r="I240" s="9">
        <v>16</v>
      </c>
      <c r="K240" s="55" t="s">
        <v>368</v>
      </c>
      <c r="L240" s="55"/>
      <c r="M240" s="9">
        <v>0</v>
      </c>
      <c r="N240" s="9">
        <v>15</v>
      </c>
      <c r="O240" s="9" t="s">
        <v>1270</v>
      </c>
      <c r="P240" s="55" t="s">
        <v>1363</v>
      </c>
      <c r="Q240" s="9" t="s">
        <v>674</v>
      </c>
      <c r="T240" s="9">
        <f ca="1">IFERROR(OFFSET(ITEM_RES!$A$5,MATCH(BUILDING!S240,ITEM_RES!$J$5:$J$229,0)-1,0),0)</f>
        <v>0</v>
      </c>
      <c r="W240" s="11">
        <f ca="1">IFERROR(OFFSET(ITEM_RES!$A$5,MATCH(BUILDING!V240,ITEM_RES!$J$5:$J$229,0)-1,0),0)</f>
        <v>0</v>
      </c>
      <c r="Y240" s="9" t="s">
        <v>504</v>
      </c>
      <c r="Z240" s="9">
        <v>16</v>
      </c>
      <c r="AB240" s="11">
        <f ca="1">IFERROR(OFFSET(MANOR_LEVEL!$B$1,MATCH(AC240-1,MANOR_LEVEL!$A:$A,0)-1,0),0)</f>
        <v>6000000</v>
      </c>
      <c r="AC240" s="55">
        <v>13</v>
      </c>
      <c r="AE240" s="11">
        <f t="shared" ca="1" si="77"/>
        <v>10460000</v>
      </c>
      <c r="AF240" s="10">
        <f ca="1">AK240+AM240+(IFERROR(OFFSET(ITEM_RES!$R$1,MATCH(AQ240,ITEM_RES!$A:$A,0)-1,0),0)*AS240+IFERROR(OFFSET(ITEM_RES!$R$1,MATCH(AV240,ITEM_RES!$A:$A,0)-1,0),0)*AX240+IFERROR(OFFSET(ITEM_RES!$R$1,MATCH(BA240,ITEM_RES!$A:$A,0)-1,0),0)*BC240+IFERROR(OFFSET(ITEM_RES!$R$1,MATCH(BF240,ITEM_RES!$A:$A,0)-1,0),0)*BH240+IFERROR(OFFSET(ITEM_RES!$R$1,MATCH(BK240,ITEM_RES!$A:$A,0)-1,0),0)*BM240)/1000</f>
        <v>10460000</v>
      </c>
      <c r="AG240" s="176">
        <f t="shared" ca="1" si="78"/>
        <v>14090000</v>
      </c>
      <c r="AI240" s="11">
        <f t="shared" si="79"/>
        <v>1260</v>
      </c>
      <c r="AJ240" s="10">
        <v>1260</v>
      </c>
      <c r="AK240" s="11">
        <f t="shared" si="58"/>
        <v>0</v>
      </c>
      <c r="AL240" s="10">
        <v>0</v>
      </c>
      <c r="AM240" s="11">
        <f t="shared" si="68"/>
        <v>0</v>
      </c>
      <c r="AN240" s="10">
        <v>0</v>
      </c>
      <c r="AO240" s="55">
        <f t="shared" si="80"/>
        <v>2</v>
      </c>
      <c r="AQ240" s="11">
        <f ca="1">IFERROR(OFFSET(ITEM_RES!$A$1,MATCH(AR240,ITEM_RES!$J:$J,0)-1,0),0)</f>
        <v>211020501</v>
      </c>
      <c r="AR240" s="10" t="s">
        <v>416</v>
      </c>
      <c r="AS240" s="11">
        <v>1720000</v>
      </c>
      <c r="AV240" s="11">
        <f ca="1">IFERROR(OFFSET(ITEM_RES!$A$1,MATCH(AW240,ITEM_RES!$J:$J,0)-1,0),0)</f>
        <v>211020901</v>
      </c>
      <c r="AW240" s="10" t="s">
        <v>1058</v>
      </c>
      <c r="AX240" s="11">
        <v>186000</v>
      </c>
      <c r="BA240" s="11">
        <f ca="1">IFERROR(OFFSET(ITEM_RES!$A$1,MATCH(BB240,ITEM_RES!$J:$J,0)-1,0),0)</f>
        <v>0</v>
      </c>
      <c r="BF240" s="11">
        <f ca="1">IFERROR(OFFSET(ITEM_RES!$A$1,MATCH(BG240,ITEM_RES!$J:$J,0)-1,0),0)</f>
        <v>0</v>
      </c>
      <c r="BK240" s="11">
        <f ca="1">IFERROR(OFFSET(ITEM_RES!$A$1,MATCH(BL240,ITEM_RES!$J:$J,0)-1,0),0)</f>
        <v>0</v>
      </c>
      <c r="BM240" s="11">
        <f t="shared" si="56"/>
        <v>0</v>
      </c>
    </row>
    <row r="241" spans="1:66" x14ac:dyDescent="0.3">
      <c r="A241" s="14">
        <f t="shared" si="53"/>
        <v>113030017</v>
      </c>
      <c r="B241" s="13">
        <v>11</v>
      </c>
      <c r="C241" s="12">
        <f t="shared" si="54"/>
        <v>3</v>
      </c>
      <c r="D241" s="13">
        <v>3</v>
      </c>
      <c r="E241" s="13">
        <v>0</v>
      </c>
      <c r="F241" s="12">
        <f t="shared" si="55"/>
        <v>17</v>
      </c>
      <c r="H241" s="9">
        <v>3</v>
      </c>
      <c r="I241" s="9">
        <v>17</v>
      </c>
      <c r="K241" s="55" t="s">
        <v>368</v>
      </c>
      <c r="L241" s="55"/>
      <c r="M241" s="9">
        <v>0</v>
      </c>
      <c r="N241" s="9">
        <v>15</v>
      </c>
      <c r="O241" s="9" t="s">
        <v>1270</v>
      </c>
      <c r="P241" s="55" t="s">
        <v>1363</v>
      </c>
      <c r="Q241" s="9" t="s">
        <v>674</v>
      </c>
      <c r="T241" s="9">
        <f ca="1">IFERROR(OFFSET(ITEM_RES!$A$5,MATCH(BUILDING!S241,ITEM_RES!$J$5:$J$229,0)-1,0),0)</f>
        <v>0</v>
      </c>
      <c r="W241" s="11">
        <f ca="1">IFERROR(OFFSET(ITEM_RES!$A$5,MATCH(BUILDING!V241,ITEM_RES!$J$5:$J$229,0)-1,0),0)</f>
        <v>0</v>
      </c>
      <c r="Y241" s="9" t="s">
        <v>504</v>
      </c>
      <c r="Z241" s="9">
        <v>17</v>
      </c>
      <c r="AB241" s="11">
        <f ca="1">IFERROR(OFFSET(MANOR_LEVEL!$B$1,MATCH(AC241-1,MANOR_LEVEL!$A:$A,0)-1,0),0)</f>
        <v>10000000</v>
      </c>
      <c r="AC241" s="55">
        <v>14</v>
      </c>
      <c r="AE241" s="11">
        <f t="shared" ca="1" si="77"/>
        <v>18910000</v>
      </c>
      <c r="AF241" s="10">
        <f ca="1">AK241+AM241+(IFERROR(OFFSET(ITEM_RES!$R$1,MATCH(AQ241,ITEM_RES!$A:$A,0)-1,0),0)*AS241+IFERROR(OFFSET(ITEM_RES!$R$1,MATCH(AV241,ITEM_RES!$A:$A,0)-1,0),0)*AX241+IFERROR(OFFSET(ITEM_RES!$R$1,MATCH(BA241,ITEM_RES!$A:$A,0)-1,0),0)*BC241+IFERROR(OFFSET(ITEM_RES!$R$1,MATCH(BF241,ITEM_RES!$A:$A,0)-1,0),0)*BH241+IFERROR(OFFSET(ITEM_RES!$R$1,MATCH(BK241,ITEM_RES!$A:$A,0)-1,0),0)*BM241)/1000</f>
        <v>18910000</v>
      </c>
      <c r="AG241" s="176">
        <f t="shared" ca="1" si="78"/>
        <v>29370000</v>
      </c>
      <c r="AI241" s="11">
        <f t="shared" si="79"/>
        <v>1440</v>
      </c>
      <c r="AJ241" s="10">
        <v>1440</v>
      </c>
      <c r="AK241" s="11">
        <f t="shared" si="58"/>
        <v>0</v>
      </c>
      <c r="AL241" s="10">
        <v>0</v>
      </c>
      <c r="AM241" s="11">
        <f t="shared" si="68"/>
        <v>0</v>
      </c>
      <c r="AN241" s="10">
        <v>0</v>
      </c>
      <c r="AO241" s="55">
        <f t="shared" si="80"/>
        <v>2</v>
      </c>
      <c r="AQ241" s="11">
        <f ca="1">IFERROR(OFFSET(ITEM_RES!$A$1,MATCH(AR241,ITEM_RES!$J:$J,0)-1,0),0)</f>
        <v>211020501</v>
      </c>
      <c r="AR241" s="10" t="s">
        <v>416</v>
      </c>
      <c r="AS241" s="11">
        <v>3200000</v>
      </c>
      <c r="AV241" s="11">
        <f ca="1">IFERROR(OFFSET(ITEM_RES!$A$1,MATCH(AW241,ITEM_RES!$J:$J,0)-1,0),0)</f>
        <v>211020901</v>
      </c>
      <c r="AW241" s="10" t="s">
        <v>1058</v>
      </c>
      <c r="AX241" s="11">
        <v>291000</v>
      </c>
      <c r="BA241" s="11">
        <f ca="1">IFERROR(OFFSET(ITEM_RES!$A$1,MATCH(BB241,ITEM_RES!$J:$J,0)-1,0),0)</f>
        <v>0</v>
      </c>
      <c r="BF241" s="11">
        <f ca="1">IFERROR(OFFSET(ITEM_RES!$A$1,MATCH(BG241,ITEM_RES!$J:$J,0)-1,0),0)</f>
        <v>0</v>
      </c>
      <c r="BK241" s="11">
        <f ca="1">IFERROR(OFFSET(ITEM_RES!$A$1,MATCH(BL241,ITEM_RES!$J:$J,0)-1,0),0)</f>
        <v>0</v>
      </c>
      <c r="BM241" s="11">
        <f t="shared" si="56"/>
        <v>0</v>
      </c>
    </row>
    <row r="242" spans="1:66" x14ac:dyDescent="0.3">
      <c r="A242" s="14">
        <f t="shared" si="53"/>
        <v>113030018</v>
      </c>
      <c r="B242" s="13">
        <v>11</v>
      </c>
      <c r="C242" s="12">
        <f t="shared" si="54"/>
        <v>3</v>
      </c>
      <c r="D242" s="13">
        <v>3</v>
      </c>
      <c r="E242" s="13">
        <v>0</v>
      </c>
      <c r="F242" s="12">
        <f t="shared" si="55"/>
        <v>18</v>
      </c>
      <c r="H242" s="9">
        <v>3</v>
      </c>
      <c r="I242" s="9">
        <v>18</v>
      </c>
      <c r="K242" s="55" t="s">
        <v>368</v>
      </c>
      <c r="L242" s="55"/>
      <c r="M242" s="9">
        <v>0</v>
      </c>
      <c r="N242" s="9">
        <v>15</v>
      </c>
      <c r="O242" s="9" t="s">
        <v>1270</v>
      </c>
      <c r="P242" s="55" t="s">
        <v>1363</v>
      </c>
      <c r="Q242" s="9" t="s">
        <v>674</v>
      </c>
      <c r="T242" s="9">
        <f ca="1">IFERROR(OFFSET(ITEM_RES!$A$5,MATCH(BUILDING!S242,ITEM_RES!$J$5:$J$229,0)-1,0),0)</f>
        <v>0</v>
      </c>
      <c r="W242" s="11">
        <f ca="1">IFERROR(OFFSET(ITEM_RES!$A$5,MATCH(BUILDING!V242,ITEM_RES!$J$5:$J$229,0)-1,0),0)</f>
        <v>0</v>
      </c>
      <c r="Y242" s="9" t="s">
        <v>504</v>
      </c>
      <c r="Z242" s="9">
        <v>18</v>
      </c>
      <c r="AB242" s="11">
        <f ca="1">IFERROR(OFFSET(MANOR_LEVEL!$B$1,MATCH(AC242-1,MANOR_LEVEL!$A:$A,0)-1,0),0)</f>
        <v>17000000</v>
      </c>
      <c r="AC242" s="55">
        <v>15</v>
      </c>
      <c r="AE242" s="11">
        <f t="shared" ca="1" si="77"/>
        <v>32300000</v>
      </c>
      <c r="AF242" s="10">
        <f ca="1">AK242+AM242+(IFERROR(OFFSET(ITEM_RES!$R$1,MATCH(AQ242,ITEM_RES!$A:$A,0)-1,0),0)*AS242+IFERROR(OFFSET(ITEM_RES!$R$1,MATCH(AV242,ITEM_RES!$A:$A,0)-1,0),0)*AX242+IFERROR(OFFSET(ITEM_RES!$R$1,MATCH(BA242,ITEM_RES!$A:$A,0)-1,0),0)*BC242+IFERROR(OFFSET(ITEM_RES!$R$1,MATCH(BF242,ITEM_RES!$A:$A,0)-1,0),0)*BH242+IFERROR(OFFSET(ITEM_RES!$R$1,MATCH(BK242,ITEM_RES!$A:$A,0)-1,0),0)*BM242)/1000</f>
        <v>32300000</v>
      </c>
      <c r="AG242" s="176">
        <f t="shared" ca="1" si="78"/>
        <v>51210000</v>
      </c>
      <c r="AI242" s="11">
        <f t="shared" si="79"/>
        <v>1620</v>
      </c>
      <c r="AJ242" s="10">
        <v>1620</v>
      </c>
      <c r="AK242" s="11">
        <f t="shared" si="58"/>
        <v>0</v>
      </c>
      <c r="AL242" s="10">
        <v>0</v>
      </c>
      <c r="AM242" s="11">
        <f t="shared" si="68"/>
        <v>0</v>
      </c>
      <c r="AN242" s="10">
        <v>0</v>
      </c>
      <c r="AO242" s="55">
        <f t="shared" si="80"/>
        <v>2</v>
      </c>
      <c r="AQ242" s="11">
        <f ca="1">IFERROR(OFFSET(ITEM_RES!$A$1,MATCH(AR242,ITEM_RES!$J:$J,0)-1,0),0)</f>
        <v>211020501</v>
      </c>
      <c r="AR242" s="10" t="s">
        <v>416</v>
      </c>
      <c r="AS242" s="11">
        <v>5200000</v>
      </c>
      <c r="AV242" s="11">
        <f ca="1">IFERROR(OFFSET(ITEM_RES!$A$1,MATCH(AW242,ITEM_RES!$J:$J,0)-1,0),0)</f>
        <v>211020901</v>
      </c>
      <c r="AW242" s="10" t="s">
        <v>1058</v>
      </c>
      <c r="AX242" s="11">
        <v>630000</v>
      </c>
      <c r="BA242" s="11">
        <f ca="1">IFERROR(OFFSET(ITEM_RES!$A$1,MATCH(BB242,ITEM_RES!$J:$J,0)-1,0),0)</f>
        <v>0</v>
      </c>
      <c r="BF242" s="11">
        <f ca="1">IFERROR(OFFSET(ITEM_RES!$A$1,MATCH(BG242,ITEM_RES!$J:$J,0)-1,0),0)</f>
        <v>0</v>
      </c>
      <c r="BK242" s="11">
        <f ca="1">IFERROR(OFFSET(ITEM_RES!$A$1,MATCH(BL242,ITEM_RES!$J:$J,0)-1,0),0)</f>
        <v>0</v>
      </c>
      <c r="BM242" s="11">
        <f t="shared" si="56"/>
        <v>0</v>
      </c>
    </row>
    <row r="243" spans="1:66" x14ac:dyDescent="0.3">
      <c r="A243" s="14">
        <f t="shared" si="53"/>
        <v>113030019</v>
      </c>
      <c r="B243" s="13">
        <v>11</v>
      </c>
      <c r="C243" s="12">
        <f t="shared" si="54"/>
        <v>3</v>
      </c>
      <c r="D243" s="13">
        <v>3</v>
      </c>
      <c r="E243" s="13">
        <v>0</v>
      </c>
      <c r="F243" s="12">
        <f t="shared" si="55"/>
        <v>19</v>
      </c>
      <c r="H243" s="9">
        <v>3</v>
      </c>
      <c r="I243" s="9">
        <v>19</v>
      </c>
      <c r="K243" s="55" t="s">
        <v>368</v>
      </c>
      <c r="L243" s="55"/>
      <c r="M243" s="9">
        <v>0</v>
      </c>
      <c r="N243" s="9">
        <v>15</v>
      </c>
      <c r="O243" s="9" t="s">
        <v>1270</v>
      </c>
      <c r="P243" s="55" t="s">
        <v>1363</v>
      </c>
      <c r="Q243" s="9" t="s">
        <v>674</v>
      </c>
      <c r="T243" s="9">
        <f ca="1">IFERROR(OFFSET(ITEM_RES!$A$5,MATCH(BUILDING!S243,ITEM_RES!$J$5:$J$229,0)-1,0),0)</f>
        <v>0</v>
      </c>
      <c r="W243" s="11">
        <f ca="1">IFERROR(OFFSET(ITEM_RES!$A$5,MATCH(BUILDING!V243,ITEM_RES!$J$5:$J$229,0)-1,0),0)</f>
        <v>0</v>
      </c>
      <c r="Y243" s="9" t="s">
        <v>504</v>
      </c>
      <c r="Z243" s="9">
        <v>19</v>
      </c>
      <c r="AB243" s="11">
        <f ca="1">IFERROR(OFFSET(MANOR_LEVEL!$B$1,MATCH(AC243-1,MANOR_LEVEL!$A:$A,0)-1,0),0)</f>
        <v>37000000</v>
      </c>
      <c r="AC243" s="55">
        <v>16</v>
      </c>
      <c r="AE243" s="11">
        <f t="shared" ca="1" si="77"/>
        <v>52900000</v>
      </c>
      <c r="AF243" s="10">
        <f ca="1">AK243+AM243+(IFERROR(OFFSET(ITEM_RES!$R$1,MATCH(AQ243,ITEM_RES!$A:$A,0)-1,0),0)*AS243+IFERROR(OFFSET(ITEM_RES!$R$1,MATCH(AV243,ITEM_RES!$A:$A,0)-1,0),0)*AX243+IFERROR(OFFSET(ITEM_RES!$R$1,MATCH(BA243,ITEM_RES!$A:$A,0)-1,0),0)*BC243+IFERROR(OFFSET(ITEM_RES!$R$1,MATCH(BF243,ITEM_RES!$A:$A,0)-1,0),0)*BH243+IFERROR(OFFSET(ITEM_RES!$R$1,MATCH(BK243,ITEM_RES!$A:$A,0)-1,0),0)*BM243)/1000</f>
        <v>52900000</v>
      </c>
      <c r="AG243" s="176">
        <f t="shared" ca="1" si="78"/>
        <v>85200000</v>
      </c>
      <c r="AI243" s="11">
        <f t="shared" si="79"/>
        <v>1800</v>
      </c>
      <c r="AJ243" s="10">
        <v>1800</v>
      </c>
      <c r="AK243" s="11">
        <f t="shared" si="58"/>
        <v>0</v>
      </c>
      <c r="AL243" s="10">
        <v>0</v>
      </c>
      <c r="AM243" s="11">
        <f t="shared" si="68"/>
        <v>0</v>
      </c>
      <c r="AN243" s="10">
        <v>0</v>
      </c>
      <c r="AO243" s="55">
        <f t="shared" si="80"/>
        <v>2</v>
      </c>
      <c r="AQ243" s="11">
        <f ca="1">IFERROR(OFFSET(ITEM_RES!$A$1,MATCH(AR243,ITEM_RES!$J:$J,0)-1,0),0)</f>
        <v>211020501</v>
      </c>
      <c r="AR243" s="10" t="s">
        <v>416</v>
      </c>
      <c r="AS243" s="11">
        <v>8000000</v>
      </c>
      <c r="AV243" s="11">
        <f ca="1">IFERROR(OFFSET(ITEM_RES!$A$1,MATCH(AW243,ITEM_RES!$J:$J,0)-1,0),0)</f>
        <v>211020901</v>
      </c>
      <c r="AW243" s="10" t="s">
        <v>1058</v>
      </c>
      <c r="AX243" s="11">
        <v>1290000</v>
      </c>
      <c r="BA243" s="11">
        <f ca="1">IFERROR(OFFSET(ITEM_RES!$A$1,MATCH(BB243,ITEM_RES!$J:$J,0)-1,0),0)</f>
        <v>0</v>
      </c>
      <c r="BF243" s="11">
        <f ca="1">IFERROR(OFFSET(ITEM_RES!$A$1,MATCH(BG243,ITEM_RES!$J:$J,0)-1,0),0)</f>
        <v>0</v>
      </c>
      <c r="BK243" s="11">
        <f ca="1">IFERROR(OFFSET(ITEM_RES!$A$1,MATCH(BL243,ITEM_RES!$J:$J,0)-1,0),0)</f>
        <v>0</v>
      </c>
      <c r="BM243" s="11">
        <f t="shared" si="56"/>
        <v>0</v>
      </c>
    </row>
    <row r="244" spans="1:66" ht="17.25" thickBot="1" x14ac:dyDescent="0.35">
      <c r="A244" s="14">
        <f t="shared" si="53"/>
        <v>113030020</v>
      </c>
      <c r="B244" s="13">
        <v>11</v>
      </c>
      <c r="C244" s="12">
        <f t="shared" si="54"/>
        <v>3</v>
      </c>
      <c r="D244" s="13">
        <v>3</v>
      </c>
      <c r="E244" s="13">
        <v>0</v>
      </c>
      <c r="F244" s="12">
        <f t="shared" si="55"/>
        <v>20</v>
      </c>
      <c r="H244" s="9">
        <v>3</v>
      </c>
      <c r="I244" s="9">
        <v>20</v>
      </c>
      <c r="K244" s="55" t="s">
        <v>368</v>
      </c>
      <c r="L244" s="55"/>
      <c r="M244" s="9">
        <v>0</v>
      </c>
      <c r="N244" s="9">
        <v>15</v>
      </c>
      <c r="O244" s="9" t="s">
        <v>1270</v>
      </c>
      <c r="P244" s="55" t="s">
        <v>1363</v>
      </c>
      <c r="Q244" s="9" t="s">
        <v>674</v>
      </c>
      <c r="T244" s="9">
        <f ca="1">IFERROR(OFFSET(ITEM_RES!$A$5,MATCH(BUILDING!S244,ITEM_RES!$J$5:$J$229,0)-1,0),0)</f>
        <v>0</v>
      </c>
      <c r="W244" s="11">
        <f ca="1">IFERROR(OFFSET(ITEM_RES!$A$5,MATCH(BUILDING!V244,ITEM_RES!$J$5:$J$229,0)-1,0),0)</f>
        <v>0</v>
      </c>
      <c r="Y244" s="9" t="s">
        <v>504</v>
      </c>
      <c r="Z244" s="9">
        <v>20</v>
      </c>
      <c r="AB244" s="11">
        <f ca="1">IFERROR(OFFSET(MANOR_LEVEL!$B$1,MATCH(AC244-1,MANOR_LEVEL!$A:$A,0)-1,0),0)</f>
        <v>85000000</v>
      </c>
      <c r="AC244" s="55">
        <v>17</v>
      </c>
      <c r="AE244" s="11">
        <f t="shared" ca="1" si="77"/>
        <v>88000000</v>
      </c>
      <c r="AF244" s="10">
        <f ca="1">AK244+AM244+(IFERROR(OFFSET(ITEM_RES!$R$1,MATCH(AQ244,ITEM_RES!$A:$A,0)-1,0),0)*AS244+IFERROR(OFFSET(ITEM_RES!$R$1,MATCH(AV244,ITEM_RES!$A:$A,0)-1,0),0)*AX244+IFERROR(OFFSET(ITEM_RES!$R$1,MATCH(BA244,ITEM_RES!$A:$A,0)-1,0),0)*BC244+IFERROR(OFFSET(ITEM_RES!$R$1,MATCH(BF244,ITEM_RES!$A:$A,0)-1,0),0)*BH244+IFERROR(OFFSET(ITEM_RES!$R$1,MATCH(BK244,ITEM_RES!$A:$A,0)-1,0),0)*BM244)/1000</f>
        <v>88000000</v>
      </c>
      <c r="AG244" s="176">
        <f t="shared" ca="1" si="78"/>
        <v>140900000</v>
      </c>
      <c r="AI244" s="11">
        <f t="shared" si="79"/>
        <v>1980</v>
      </c>
      <c r="AJ244" s="10">
        <v>1980</v>
      </c>
      <c r="AK244" s="11">
        <f t="shared" si="58"/>
        <v>0</v>
      </c>
      <c r="AL244" s="10">
        <v>0</v>
      </c>
      <c r="AM244" s="11">
        <f t="shared" si="68"/>
        <v>0</v>
      </c>
      <c r="AN244" s="10">
        <v>0</v>
      </c>
      <c r="AO244" s="55">
        <f t="shared" si="80"/>
        <v>2</v>
      </c>
      <c r="AQ244" s="11">
        <f ca="1">IFERROR(OFFSET(ITEM_RES!$A$1,MATCH(AR244,ITEM_RES!$J:$J,0)-1,0),0)</f>
        <v>211020501</v>
      </c>
      <c r="AR244" s="10" t="s">
        <v>416</v>
      </c>
      <c r="AS244" s="11">
        <v>12800000</v>
      </c>
      <c r="AV244" s="11">
        <f ca="1">IFERROR(OFFSET(ITEM_RES!$A$1,MATCH(AW244,ITEM_RES!$J:$J,0)-1,0),0)</f>
        <v>211020901</v>
      </c>
      <c r="AW244" s="10" t="s">
        <v>1058</v>
      </c>
      <c r="AX244" s="11">
        <v>2400000</v>
      </c>
      <c r="BA244" s="11">
        <f ca="1">IFERROR(OFFSET(ITEM_RES!$A$1,MATCH(BB244,ITEM_RES!$J:$J,0)-1,0),0)</f>
        <v>0</v>
      </c>
      <c r="BF244" s="11">
        <f ca="1">IFERROR(OFFSET(ITEM_RES!$A$1,MATCH(BG244,ITEM_RES!$J:$J,0)-1,0),0)</f>
        <v>0</v>
      </c>
      <c r="BK244" s="11">
        <f ca="1">IFERROR(OFFSET(ITEM_RES!$A$1,MATCH(BL244,ITEM_RES!$J:$J,0)-1,0),0)</f>
        <v>0</v>
      </c>
      <c r="BM244" s="11">
        <f t="shared" si="56"/>
        <v>0</v>
      </c>
    </row>
    <row r="245" spans="1:66" s="15" customFormat="1" x14ac:dyDescent="0.3">
      <c r="A245" s="21">
        <f t="shared" si="53"/>
        <v>113040001</v>
      </c>
      <c r="B245" s="20">
        <v>11</v>
      </c>
      <c r="C245" s="19">
        <f t="shared" si="54"/>
        <v>3</v>
      </c>
      <c r="D245" s="20">
        <v>4</v>
      </c>
      <c r="E245" s="20">
        <v>0</v>
      </c>
      <c r="F245" s="19">
        <f t="shared" si="55"/>
        <v>1</v>
      </c>
      <c r="G245" s="76"/>
      <c r="H245" s="16">
        <v>3</v>
      </c>
      <c r="I245" s="16">
        <v>1</v>
      </c>
      <c r="J245" s="76"/>
      <c r="K245" s="62" t="s">
        <v>372</v>
      </c>
      <c r="L245" s="62">
        <v>13</v>
      </c>
      <c r="M245" s="16">
        <v>1</v>
      </c>
      <c r="N245" s="16">
        <v>15</v>
      </c>
      <c r="O245" s="16" t="s">
        <v>1100</v>
      </c>
      <c r="P245" s="56" t="s">
        <v>1364</v>
      </c>
      <c r="Q245" s="16" t="s">
        <v>675</v>
      </c>
      <c r="R245" s="76"/>
      <c r="S245" s="83"/>
      <c r="T245" s="16">
        <f ca="1">IFERROR(OFFSET(ITEM_RES!$A$5,MATCH(BUILDING!S245,ITEM_RES!$J$5:$J$229,0)-1,0),0)</f>
        <v>0</v>
      </c>
      <c r="U245" s="18"/>
      <c r="V245" s="83"/>
      <c r="W245" s="18">
        <f ca="1">IFERROR(OFFSET(ITEM_RES!$A$5,MATCH(BUILDING!V245,ITEM_RES!$J$5:$J$229,0)-1,0),0)</f>
        <v>0</v>
      </c>
      <c r="X245" s="76"/>
      <c r="Y245" s="16" t="s">
        <v>505</v>
      </c>
      <c r="Z245" s="16">
        <v>15</v>
      </c>
      <c r="AA245" s="76"/>
      <c r="AB245" s="18">
        <f ca="1">IFERROR(OFFSET(MANOR_LEVEL!$B$1,MATCH(AC245-1,MANOR_LEVEL!$A:$A,0)-1,0),0)</f>
        <v>629433600</v>
      </c>
      <c r="AC245" s="56">
        <v>19</v>
      </c>
      <c r="AD245" s="76"/>
      <c r="AE245" s="18">
        <f t="shared" ca="1" si="77"/>
        <v>1300</v>
      </c>
      <c r="AF245" s="17">
        <f ca="1">AK245+AM245+(IFERROR(OFFSET(ITEM_RES!$R$1,MATCH(AQ245,ITEM_RES!$A:$A,0)-1,0),0)*AS245+IFERROR(OFFSET(ITEM_RES!$R$1,MATCH(AV245,ITEM_RES!$A:$A,0)-1,0),0)*AX245+IFERROR(OFFSET(ITEM_RES!$R$1,MATCH(BA245,ITEM_RES!$A:$A,0)-1,0),0)*BC245+IFERROR(OFFSET(ITEM_RES!$R$1,MATCH(BF245,ITEM_RES!$A:$A,0)-1,0),0)*BH245+IFERROR(OFFSET(ITEM_RES!$R$1,MATCH(BK245,ITEM_RES!$A:$A,0)-1,0),0)*BM245)/1000</f>
        <v>1300</v>
      </c>
      <c r="AG245" s="178">
        <f ca="1">AE245</f>
        <v>1300</v>
      </c>
      <c r="AH245" s="76"/>
      <c r="AI245" s="18">
        <f t="shared" si="79"/>
        <v>2</v>
      </c>
      <c r="AJ245" s="17">
        <v>2</v>
      </c>
      <c r="AK245" s="18">
        <f t="shared" si="58"/>
        <v>0</v>
      </c>
      <c r="AL245" s="17">
        <v>0</v>
      </c>
      <c r="AM245" s="18">
        <f t="shared" si="68"/>
        <v>0</v>
      </c>
      <c r="AN245" s="17">
        <v>0</v>
      </c>
      <c r="AO245" s="56">
        <f t="shared" si="80"/>
        <v>2</v>
      </c>
      <c r="AP245" s="18"/>
      <c r="AQ245" s="18">
        <f ca="1">IFERROR(OFFSET(ITEM_RES!$A$1,MATCH(AR245,ITEM_RES!$J:$J,0)-1,0),0)</f>
        <v>211020801</v>
      </c>
      <c r="AR245" s="17" t="s">
        <v>425</v>
      </c>
      <c r="AS245" s="18">
        <v>50</v>
      </c>
      <c r="AT245" s="17"/>
      <c r="AU245" s="18"/>
      <c r="AV245" s="18">
        <f ca="1">IFERROR(OFFSET(ITEM_RES!$A$1,MATCH(AW245,ITEM_RES!$J:$J,0)-1,0),0)</f>
        <v>0</v>
      </c>
      <c r="AW245" s="17"/>
      <c r="AX245" s="18"/>
      <c r="AY245" s="17"/>
      <c r="AZ245" s="18"/>
      <c r="BA245" s="18">
        <f ca="1">IFERROR(OFFSET(ITEM_RES!$A$1,MATCH(BB245,ITEM_RES!$J:$J,0)-1,0),0)</f>
        <v>213010101</v>
      </c>
      <c r="BB245" s="17" t="s">
        <v>440</v>
      </c>
      <c r="BC245" s="18">
        <v>1</v>
      </c>
      <c r="BD245" s="17"/>
      <c r="BE245" s="18"/>
      <c r="BF245" s="18">
        <f ca="1">IFERROR(OFFSET(ITEM_RES!$A$1,MATCH(BG245,ITEM_RES!$J:$J,0)-1,0),0)</f>
        <v>0</v>
      </c>
      <c r="BG245" s="17"/>
      <c r="BH245" s="18"/>
      <c r="BI245" s="17"/>
      <c r="BJ245" s="18"/>
      <c r="BK245" s="18">
        <f ca="1">IFERROR(OFFSET(ITEM_RES!$A$1,MATCH(BL245,ITEM_RES!$J:$J,0)-1,0),0)</f>
        <v>0</v>
      </c>
      <c r="BL245" s="17"/>
      <c r="BM245" s="18">
        <f t="shared" si="56"/>
        <v>0</v>
      </c>
      <c r="BN245" s="17"/>
    </row>
    <row r="246" spans="1:66" x14ac:dyDescent="0.3">
      <c r="A246" s="14">
        <f t="shared" si="53"/>
        <v>113040002</v>
      </c>
      <c r="B246" s="13">
        <v>11</v>
      </c>
      <c r="C246" s="12">
        <f t="shared" si="54"/>
        <v>3</v>
      </c>
      <c r="D246" s="13">
        <v>4</v>
      </c>
      <c r="E246" s="13">
        <v>0</v>
      </c>
      <c r="F246" s="12">
        <f t="shared" si="55"/>
        <v>2</v>
      </c>
      <c r="H246" s="9">
        <v>3</v>
      </c>
      <c r="I246" s="9">
        <v>2</v>
      </c>
      <c r="K246" s="55" t="s">
        <v>372</v>
      </c>
      <c r="L246" s="55"/>
      <c r="M246" s="9">
        <v>1</v>
      </c>
      <c r="N246" s="9">
        <v>15</v>
      </c>
      <c r="O246" s="136" t="s">
        <v>1101</v>
      </c>
      <c r="P246" s="55" t="s">
        <v>1364</v>
      </c>
      <c r="Q246" s="9" t="s">
        <v>675</v>
      </c>
      <c r="T246" s="9">
        <f ca="1">IFERROR(OFFSET(ITEM_RES!$A$5,MATCH(BUILDING!S246,ITEM_RES!$J$5:$J$229,0)-1,0),0)</f>
        <v>0</v>
      </c>
      <c r="W246" s="11">
        <f ca="1">IFERROR(OFFSET(ITEM_RES!$A$5,MATCH(BUILDING!V246,ITEM_RES!$J$5:$J$229,0)-1,0),0)</f>
        <v>0</v>
      </c>
      <c r="Y246" s="9" t="s">
        <v>505</v>
      </c>
      <c r="Z246" s="9">
        <v>15</v>
      </c>
      <c r="AB246" s="11">
        <f ca="1">IFERROR(OFFSET(MANOR_LEVEL!$B$1,MATCH(AC246-1,MANOR_LEVEL!$A:$A,0)-1,0),0)</f>
        <v>629433600</v>
      </c>
      <c r="AC246" s="55">
        <v>19</v>
      </c>
      <c r="AE246" s="11">
        <f t="shared" ca="1" si="77"/>
        <v>600</v>
      </c>
      <c r="AF246" s="10">
        <f ca="1">AK246+AM246+(IFERROR(OFFSET(ITEM_RES!$R$1,MATCH(AQ246,ITEM_RES!$A:$A,0)-1,0),0)*AS246+IFERROR(OFFSET(ITEM_RES!$R$1,MATCH(AV246,ITEM_RES!$A:$A,0)-1,0),0)*AX246+IFERROR(OFFSET(ITEM_RES!$R$1,MATCH(BA246,ITEM_RES!$A:$A,0)-1,0),0)*BC246+IFERROR(OFFSET(ITEM_RES!$R$1,MATCH(BF246,ITEM_RES!$A:$A,0)-1,0),0)*BH246+IFERROR(OFFSET(ITEM_RES!$R$1,MATCH(BK246,ITEM_RES!$A:$A,0)-1,0),0)*BM246)/1000</f>
        <v>600</v>
      </c>
      <c r="AG246" s="176">
        <f ca="1">AE245+AE246</f>
        <v>1900</v>
      </c>
      <c r="AI246" s="11">
        <f t="shared" si="79"/>
        <v>2</v>
      </c>
      <c r="AJ246" s="10">
        <v>2</v>
      </c>
      <c r="AK246" s="11">
        <f t="shared" si="58"/>
        <v>0</v>
      </c>
      <c r="AL246" s="10">
        <v>0</v>
      </c>
      <c r="AM246" s="11">
        <f t="shared" si="68"/>
        <v>0</v>
      </c>
      <c r="AN246" s="10">
        <v>0</v>
      </c>
      <c r="AO246" s="55">
        <f t="shared" si="80"/>
        <v>1</v>
      </c>
      <c r="AQ246" s="11">
        <f ca="1">IFERROR(OFFSET(ITEM_RES!$A$1,MATCH(AR246,ITEM_RES!$J:$J,0)-1,0),0)</f>
        <v>211020801</v>
      </c>
      <c r="AR246" s="10" t="s">
        <v>425</v>
      </c>
      <c r="AS246" s="11">
        <v>100</v>
      </c>
      <c r="AV246" s="11">
        <f ca="1">IFERROR(OFFSET(ITEM_RES!$A$1,MATCH(AW246,ITEM_RES!$J:$J,0)-1,0),0)</f>
        <v>0</v>
      </c>
      <c r="BA246" s="11">
        <f ca="1">IFERROR(OFFSET(ITEM_RES!$A$1,MATCH(BB246,ITEM_RES!$J:$J,0)-1,0),0)</f>
        <v>0</v>
      </c>
      <c r="BF246" s="11">
        <f ca="1">IFERROR(OFFSET(ITEM_RES!$A$1,MATCH(BG246,ITEM_RES!$J:$J,0)-1,0),0)</f>
        <v>0</v>
      </c>
      <c r="BK246" s="11">
        <f ca="1">IFERROR(OFFSET(ITEM_RES!$A$1,MATCH(BL246,ITEM_RES!$J:$J,0)-1,0),0)</f>
        <v>0</v>
      </c>
      <c r="BM246" s="11">
        <f t="shared" si="56"/>
        <v>0</v>
      </c>
    </row>
    <row r="247" spans="1:66" x14ac:dyDescent="0.3">
      <c r="A247" s="14">
        <f t="shared" si="53"/>
        <v>113040003</v>
      </c>
      <c r="B247" s="13">
        <v>11</v>
      </c>
      <c r="C247" s="12">
        <f t="shared" si="54"/>
        <v>3</v>
      </c>
      <c r="D247" s="13">
        <v>4</v>
      </c>
      <c r="E247" s="13">
        <v>0</v>
      </c>
      <c r="F247" s="12">
        <f t="shared" si="55"/>
        <v>3</v>
      </c>
      <c r="H247" s="9">
        <v>3</v>
      </c>
      <c r="I247" s="9">
        <v>3</v>
      </c>
      <c r="K247" s="55" t="s">
        <v>372</v>
      </c>
      <c r="L247" s="55"/>
      <c r="M247" s="9">
        <v>1</v>
      </c>
      <c r="N247" s="9">
        <v>15</v>
      </c>
      <c r="O247" s="9" t="s">
        <v>1102</v>
      </c>
      <c r="P247" s="55" t="s">
        <v>1365</v>
      </c>
      <c r="Q247" s="9" t="s">
        <v>675</v>
      </c>
      <c r="T247" s="9">
        <f ca="1">IFERROR(OFFSET(ITEM_RES!$A$5,MATCH(BUILDING!S247,ITEM_RES!$J$5:$J$229,0)-1,0),0)</f>
        <v>0</v>
      </c>
      <c r="W247" s="11">
        <f ca="1">IFERROR(OFFSET(ITEM_RES!$A$5,MATCH(BUILDING!V247,ITEM_RES!$J$5:$J$229,0)-1,0),0)</f>
        <v>0</v>
      </c>
      <c r="Y247" s="9" t="s">
        <v>505</v>
      </c>
      <c r="Z247" s="9">
        <v>15</v>
      </c>
      <c r="AB247" s="11">
        <f ca="1">IFERROR(OFFSET(MANOR_LEVEL!$B$1,MATCH(AC247-1,MANOR_LEVEL!$A:$A,0)-1,0),0)</f>
        <v>629433600</v>
      </c>
      <c r="AC247" s="55">
        <v>19</v>
      </c>
      <c r="AE247" s="11">
        <f t="shared" ca="1" si="77"/>
        <v>900</v>
      </c>
      <c r="AF247" s="10">
        <f ca="1">AK247+AM247+(IFERROR(OFFSET(ITEM_RES!$R$1,MATCH(AQ247,ITEM_RES!$A:$A,0)-1,0),0)*AS247+IFERROR(OFFSET(ITEM_RES!$R$1,MATCH(AV247,ITEM_RES!$A:$A,0)-1,0),0)*AX247+IFERROR(OFFSET(ITEM_RES!$R$1,MATCH(BA247,ITEM_RES!$A:$A,0)-1,0),0)*BC247+IFERROR(OFFSET(ITEM_RES!$R$1,MATCH(BF247,ITEM_RES!$A:$A,0)-1,0),0)*BH247+IFERROR(OFFSET(ITEM_RES!$R$1,MATCH(BK247,ITEM_RES!$A:$A,0)-1,0),0)*BM247)/1000</f>
        <v>900</v>
      </c>
      <c r="AG247" s="176">
        <f t="shared" ref="AG247:AG264" ca="1" si="81">AE246+AE247</f>
        <v>1500</v>
      </c>
      <c r="AI247" s="11">
        <f t="shared" si="79"/>
        <v>3</v>
      </c>
      <c r="AJ247" s="10">
        <v>3</v>
      </c>
      <c r="AK247" s="11">
        <f t="shared" si="58"/>
        <v>0</v>
      </c>
      <c r="AL247" s="10">
        <v>0</v>
      </c>
      <c r="AM247" s="11">
        <f t="shared" si="68"/>
        <v>0</v>
      </c>
      <c r="AN247" s="10">
        <v>0</v>
      </c>
      <c r="AO247" s="55">
        <f t="shared" si="80"/>
        <v>1</v>
      </c>
      <c r="AQ247" s="11">
        <f ca="1">IFERROR(OFFSET(ITEM_RES!$A$1,MATCH(AR247,ITEM_RES!$J:$J,0)-1,0),0)</f>
        <v>211020801</v>
      </c>
      <c r="AR247" s="10" t="s">
        <v>425</v>
      </c>
      <c r="AS247" s="11">
        <v>150</v>
      </c>
      <c r="AV247" s="11">
        <f ca="1">IFERROR(OFFSET(ITEM_RES!$A$1,MATCH(AW247,ITEM_RES!$J:$J,0)-1,0),0)</f>
        <v>0</v>
      </c>
      <c r="BA247" s="11">
        <f ca="1">IFERROR(OFFSET(ITEM_RES!$A$1,MATCH(BB247,ITEM_RES!$J:$J,0)-1,0),0)</f>
        <v>0</v>
      </c>
      <c r="BF247" s="11">
        <f ca="1">IFERROR(OFFSET(ITEM_RES!$A$1,MATCH(BG247,ITEM_RES!$J:$J,0)-1,0),0)</f>
        <v>0</v>
      </c>
      <c r="BK247" s="11">
        <f ca="1">IFERROR(OFFSET(ITEM_RES!$A$1,MATCH(BL247,ITEM_RES!$J:$J,0)-1,0),0)</f>
        <v>0</v>
      </c>
      <c r="BM247" s="11">
        <f t="shared" si="56"/>
        <v>0</v>
      </c>
    </row>
    <row r="248" spans="1:66" x14ac:dyDescent="0.3">
      <c r="A248" s="14">
        <f t="shared" si="53"/>
        <v>113040004</v>
      </c>
      <c r="B248" s="13">
        <v>11</v>
      </c>
      <c r="C248" s="12">
        <f t="shared" si="54"/>
        <v>3</v>
      </c>
      <c r="D248" s="13">
        <v>4</v>
      </c>
      <c r="E248" s="13">
        <v>0</v>
      </c>
      <c r="F248" s="12">
        <f t="shared" si="55"/>
        <v>4</v>
      </c>
      <c r="H248" s="9">
        <v>3</v>
      </c>
      <c r="I248" s="9">
        <v>4</v>
      </c>
      <c r="K248" s="55" t="s">
        <v>372</v>
      </c>
      <c r="L248" s="55"/>
      <c r="M248" s="9">
        <v>1</v>
      </c>
      <c r="N248" s="9">
        <v>15</v>
      </c>
      <c r="O248" s="9" t="s">
        <v>1102</v>
      </c>
      <c r="P248" s="55" t="s">
        <v>1365</v>
      </c>
      <c r="Q248" s="9" t="s">
        <v>675</v>
      </c>
      <c r="T248" s="9">
        <f ca="1">IFERROR(OFFSET(ITEM_RES!$A$5,MATCH(BUILDING!S248,ITEM_RES!$J$5:$J$229,0)-1,0),0)</f>
        <v>0</v>
      </c>
      <c r="W248" s="11">
        <f ca="1">IFERROR(OFFSET(ITEM_RES!$A$5,MATCH(BUILDING!V248,ITEM_RES!$J$5:$J$229,0)-1,0),0)</f>
        <v>0</v>
      </c>
      <c r="Y248" s="9" t="s">
        <v>505</v>
      </c>
      <c r="Z248" s="9">
        <v>15</v>
      </c>
      <c r="AB248" s="11">
        <f ca="1">IFERROR(OFFSET(MANOR_LEVEL!$B$1,MATCH(AC248-1,MANOR_LEVEL!$A:$A,0)-1,0),0)</f>
        <v>629433600</v>
      </c>
      <c r="AC248" s="55">
        <v>19</v>
      </c>
      <c r="AE248" s="11">
        <f t="shared" ca="1" si="77"/>
        <v>3600</v>
      </c>
      <c r="AF248" s="10">
        <f ca="1">AK248+AM248+(IFERROR(OFFSET(ITEM_RES!$R$1,MATCH(AQ248,ITEM_RES!$A:$A,0)-1,0),0)*AS248+IFERROR(OFFSET(ITEM_RES!$R$1,MATCH(AV248,ITEM_RES!$A:$A,0)-1,0),0)*AX248+IFERROR(OFFSET(ITEM_RES!$R$1,MATCH(BA248,ITEM_RES!$A:$A,0)-1,0),0)*BC248+IFERROR(OFFSET(ITEM_RES!$R$1,MATCH(BF248,ITEM_RES!$A:$A,0)-1,0),0)*BH248+IFERROR(OFFSET(ITEM_RES!$R$1,MATCH(BK248,ITEM_RES!$A:$A,0)-1,0),0)*BM248)/1000</f>
        <v>3600</v>
      </c>
      <c r="AG248" s="176">
        <f t="shared" ca="1" si="81"/>
        <v>4500</v>
      </c>
      <c r="AI248" s="11">
        <f t="shared" si="79"/>
        <v>5</v>
      </c>
      <c r="AJ248" s="10">
        <v>5</v>
      </c>
      <c r="AK248" s="11">
        <f t="shared" si="58"/>
        <v>0</v>
      </c>
      <c r="AL248" s="10">
        <v>0</v>
      </c>
      <c r="AM248" s="11">
        <f t="shared" si="68"/>
        <v>0</v>
      </c>
      <c r="AN248" s="10">
        <v>0</v>
      </c>
      <c r="AO248" s="55">
        <f t="shared" si="80"/>
        <v>1</v>
      </c>
      <c r="AQ248" s="11">
        <f ca="1">IFERROR(OFFSET(ITEM_RES!$A$1,MATCH(AR248,ITEM_RES!$J:$J,0)-1,0),0)</f>
        <v>211020801</v>
      </c>
      <c r="AR248" s="10" t="s">
        <v>425</v>
      </c>
      <c r="AS248" s="11">
        <v>600</v>
      </c>
      <c r="AV248" s="11">
        <f ca="1">IFERROR(OFFSET(ITEM_RES!$A$1,MATCH(AW248,ITEM_RES!$J:$J,0)-1,0),0)</f>
        <v>0</v>
      </c>
      <c r="BA248" s="11">
        <f ca="1">IFERROR(OFFSET(ITEM_RES!$A$1,MATCH(BB248,ITEM_RES!$J:$J,0)-1,0),0)</f>
        <v>0</v>
      </c>
      <c r="BF248" s="11">
        <f ca="1">IFERROR(OFFSET(ITEM_RES!$A$1,MATCH(BG248,ITEM_RES!$J:$J,0)-1,0),0)</f>
        <v>0</v>
      </c>
      <c r="BK248" s="11">
        <f ca="1">IFERROR(OFFSET(ITEM_RES!$A$1,MATCH(BL248,ITEM_RES!$J:$J,0)-1,0),0)</f>
        <v>0</v>
      </c>
      <c r="BM248" s="11">
        <f t="shared" si="56"/>
        <v>0</v>
      </c>
    </row>
    <row r="249" spans="1:66" x14ac:dyDescent="0.3">
      <c r="A249" s="14">
        <f t="shared" si="53"/>
        <v>113040005</v>
      </c>
      <c r="B249" s="13">
        <v>11</v>
      </c>
      <c r="C249" s="12">
        <f t="shared" si="54"/>
        <v>3</v>
      </c>
      <c r="D249" s="13">
        <v>4</v>
      </c>
      <c r="E249" s="13">
        <v>0</v>
      </c>
      <c r="F249" s="12">
        <f t="shared" si="55"/>
        <v>5</v>
      </c>
      <c r="H249" s="9">
        <v>3</v>
      </c>
      <c r="I249" s="9">
        <v>5</v>
      </c>
      <c r="K249" s="55" t="s">
        <v>372</v>
      </c>
      <c r="L249" s="55"/>
      <c r="M249" s="9">
        <v>1</v>
      </c>
      <c r="N249" s="9">
        <v>15</v>
      </c>
      <c r="O249" s="9" t="s">
        <v>1103</v>
      </c>
      <c r="P249" s="55" t="s">
        <v>1366</v>
      </c>
      <c r="Q249" s="9" t="s">
        <v>675</v>
      </c>
      <c r="T249" s="9">
        <f ca="1">IFERROR(OFFSET(ITEM_RES!$A$5,MATCH(BUILDING!S249,ITEM_RES!$J$5:$J$229,0)-1,0),0)</f>
        <v>0</v>
      </c>
      <c r="W249" s="11">
        <f ca="1">IFERROR(OFFSET(ITEM_RES!$A$5,MATCH(BUILDING!V249,ITEM_RES!$J$5:$J$229,0)-1,0),0)</f>
        <v>0</v>
      </c>
      <c r="Y249" s="9" t="s">
        <v>505</v>
      </c>
      <c r="Z249" s="9">
        <v>15</v>
      </c>
      <c r="AB249" s="11">
        <f ca="1">IFERROR(OFFSET(MANOR_LEVEL!$B$1,MATCH(AC249-1,MANOR_LEVEL!$A:$A,0)-1,0),0)</f>
        <v>629433600</v>
      </c>
      <c r="AC249" s="55">
        <v>19</v>
      </c>
      <c r="AE249" s="11">
        <f t="shared" ca="1" si="77"/>
        <v>16200</v>
      </c>
      <c r="AF249" s="10">
        <f ca="1">AK249+AM249+(IFERROR(OFFSET(ITEM_RES!$R$1,MATCH(AQ249,ITEM_RES!$A:$A,0)-1,0),0)*AS249+IFERROR(OFFSET(ITEM_RES!$R$1,MATCH(AV249,ITEM_RES!$A:$A,0)-1,0),0)*AX249+IFERROR(OFFSET(ITEM_RES!$R$1,MATCH(BA249,ITEM_RES!$A:$A,0)-1,0),0)*BC249+IFERROR(OFFSET(ITEM_RES!$R$1,MATCH(BF249,ITEM_RES!$A:$A,0)-1,0),0)*BH249+IFERROR(OFFSET(ITEM_RES!$R$1,MATCH(BK249,ITEM_RES!$A:$A,0)-1,0),0)*BM249)/1000</f>
        <v>16200</v>
      </c>
      <c r="AG249" s="176">
        <f t="shared" ca="1" si="81"/>
        <v>19800</v>
      </c>
      <c r="AI249" s="11">
        <f t="shared" si="79"/>
        <v>8</v>
      </c>
      <c r="AJ249" s="10">
        <v>8</v>
      </c>
      <c r="AK249" s="11">
        <f t="shared" si="58"/>
        <v>0</v>
      </c>
      <c r="AL249" s="10">
        <v>0</v>
      </c>
      <c r="AM249" s="11">
        <f t="shared" si="68"/>
        <v>0</v>
      </c>
      <c r="AN249" s="10">
        <v>0</v>
      </c>
      <c r="AO249" s="55">
        <f t="shared" si="80"/>
        <v>1</v>
      </c>
      <c r="AQ249" s="11">
        <f ca="1">IFERROR(OFFSET(ITEM_RES!$A$1,MATCH(AR249,ITEM_RES!$J:$J,0)-1,0),0)</f>
        <v>211020801</v>
      </c>
      <c r="AR249" s="10" t="s">
        <v>425</v>
      </c>
      <c r="AS249" s="11">
        <v>2700</v>
      </c>
      <c r="AV249" s="11">
        <f ca="1">IFERROR(OFFSET(ITEM_RES!$A$1,MATCH(AW249,ITEM_RES!$J:$J,0)-1,0),0)</f>
        <v>0</v>
      </c>
      <c r="BA249" s="11">
        <f ca="1">IFERROR(OFFSET(ITEM_RES!$A$1,MATCH(BB249,ITEM_RES!$J:$J,0)-1,0),0)</f>
        <v>0</v>
      </c>
      <c r="BF249" s="11">
        <f ca="1">IFERROR(OFFSET(ITEM_RES!$A$1,MATCH(BG249,ITEM_RES!$J:$J,0)-1,0),0)</f>
        <v>0</v>
      </c>
      <c r="BK249" s="11">
        <f ca="1">IFERROR(OFFSET(ITEM_RES!$A$1,MATCH(BL249,ITEM_RES!$J:$J,0)-1,0),0)</f>
        <v>0</v>
      </c>
      <c r="BM249" s="11">
        <f t="shared" si="56"/>
        <v>0</v>
      </c>
    </row>
    <row r="250" spans="1:66" x14ac:dyDescent="0.3">
      <c r="A250" s="14">
        <f t="shared" si="53"/>
        <v>113040006</v>
      </c>
      <c r="B250" s="13">
        <v>11</v>
      </c>
      <c r="C250" s="12">
        <f t="shared" si="54"/>
        <v>3</v>
      </c>
      <c r="D250" s="13">
        <v>4</v>
      </c>
      <c r="E250" s="13">
        <v>0</v>
      </c>
      <c r="F250" s="12">
        <f t="shared" si="55"/>
        <v>6</v>
      </c>
      <c r="H250" s="9">
        <v>3</v>
      </c>
      <c r="I250" s="9">
        <v>6</v>
      </c>
      <c r="K250" s="55" t="s">
        <v>372</v>
      </c>
      <c r="L250" s="55"/>
      <c r="M250" s="9">
        <v>1</v>
      </c>
      <c r="N250" s="9">
        <v>15</v>
      </c>
      <c r="O250" s="9" t="s">
        <v>1104</v>
      </c>
      <c r="P250" s="55" t="s">
        <v>1366</v>
      </c>
      <c r="Q250" s="9" t="s">
        <v>675</v>
      </c>
      <c r="T250" s="9">
        <f ca="1">IFERROR(OFFSET(ITEM_RES!$A$5,MATCH(BUILDING!S250,ITEM_RES!$J$5:$J$229,0)-1,0),0)</f>
        <v>0</v>
      </c>
      <c r="W250" s="11">
        <f ca="1">IFERROR(OFFSET(ITEM_RES!$A$5,MATCH(BUILDING!V250,ITEM_RES!$J$5:$J$229,0)-1,0),0)</f>
        <v>0</v>
      </c>
      <c r="Y250" s="9" t="s">
        <v>505</v>
      </c>
      <c r="Z250" s="9">
        <v>15</v>
      </c>
      <c r="AB250" s="11">
        <f ca="1">IFERROR(OFFSET(MANOR_LEVEL!$B$1,MATCH(AC250-1,MANOR_LEVEL!$A:$A,0)-1,0),0)</f>
        <v>629433600</v>
      </c>
      <c r="AC250" s="55">
        <v>19</v>
      </c>
      <c r="AE250" s="11">
        <f t="shared" ca="1" si="77"/>
        <v>54000</v>
      </c>
      <c r="AF250" s="10">
        <f ca="1">AK250+AM250+(IFERROR(OFFSET(ITEM_RES!$R$1,MATCH(AQ250,ITEM_RES!$A:$A,0)-1,0),0)*AS250+IFERROR(OFFSET(ITEM_RES!$R$1,MATCH(AV250,ITEM_RES!$A:$A,0)-1,0),0)*AX250+IFERROR(OFFSET(ITEM_RES!$R$1,MATCH(BA250,ITEM_RES!$A:$A,0)-1,0),0)*BC250+IFERROR(OFFSET(ITEM_RES!$R$1,MATCH(BF250,ITEM_RES!$A:$A,0)-1,0),0)*BH250+IFERROR(OFFSET(ITEM_RES!$R$1,MATCH(BK250,ITEM_RES!$A:$A,0)-1,0),0)*BM250)/1000</f>
        <v>54000</v>
      </c>
      <c r="AG250" s="176">
        <f t="shared" ca="1" si="81"/>
        <v>70200</v>
      </c>
      <c r="AI250" s="11">
        <f t="shared" si="79"/>
        <v>10</v>
      </c>
      <c r="AJ250" s="10">
        <v>10</v>
      </c>
      <c r="AK250" s="11">
        <f t="shared" si="58"/>
        <v>0</v>
      </c>
      <c r="AL250" s="10">
        <v>0</v>
      </c>
      <c r="AM250" s="11">
        <f t="shared" si="68"/>
        <v>0</v>
      </c>
      <c r="AN250" s="10">
        <v>0</v>
      </c>
      <c r="AO250" s="55">
        <f t="shared" si="80"/>
        <v>1</v>
      </c>
      <c r="AQ250" s="11">
        <f ca="1">IFERROR(OFFSET(ITEM_RES!$A$1,MATCH(AR250,ITEM_RES!$J:$J,0)-1,0),0)</f>
        <v>211020801</v>
      </c>
      <c r="AR250" s="10" t="s">
        <v>425</v>
      </c>
      <c r="AS250" s="11">
        <v>9000</v>
      </c>
      <c r="AV250" s="11">
        <f ca="1">IFERROR(OFFSET(ITEM_RES!$A$1,MATCH(AW250,ITEM_RES!$J:$J,0)-1,0),0)</f>
        <v>0</v>
      </c>
      <c r="BA250" s="11">
        <f ca="1">IFERROR(OFFSET(ITEM_RES!$A$1,MATCH(BB250,ITEM_RES!$J:$J,0)-1,0),0)</f>
        <v>0</v>
      </c>
      <c r="BF250" s="11">
        <f ca="1">IFERROR(OFFSET(ITEM_RES!$A$1,MATCH(BG250,ITEM_RES!$J:$J,0)-1,0),0)</f>
        <v>0</v>
      </c>
      <c r="BK250" s="11">
        <f ca="1">IFERROR(OFFSET(ITEM_RES!$A$1,MATCH(BL250,ITEM_RES!$J:$J,0)-1,0),0)</f>
        <v>0</v>
      </c>
      <c r="BM250" s="11">
        <f t="shared" si="56"/>
        <v>0</v>
      </c>
    </row>
    <row r="251" spans="1:66" x14ac:dyDescent="0.3">
      <c r="A251" s="14">
        <f t="shared" si="53"/>
        <v>113040007</v>
      </c>
      <c r="B251" s="13">
        <v>11</v>
      </c>
      <c r="C251" s="12">
        <f t="shared" si="54"/>
        <v>3</v>
      </c>
      <c r="D251" s="13">
        <v>4</v>
      </c>
      <c r="E251" s="13">
        <v>0</v>
      </c>
      <c r="F251" s="12">
        <f t="shared" si="55"/>
        <v>7</v>
      </c>
      <c r="H251" s="9">
        <v>3</v>
      </c>
      <c r="I251" s="9">
        <v>7</v>
      </c>
      <c r="K251" s="55" t="s">
        <v>372</v>
      </c>
      <c r="L251" s="55"/>
      <c r="M251" s="9">
        <v>1</v>
      </c>
      <c r="N251" s="9">
        <v>15</v>
      </c>
      <c r="O251" s="9" t="s">
        <v>1105</v>
      </c>
      <c r="P251" s="55" t="s">
        <v>1367</v>
      </c>
      <c r="Q251" s="9" t="s">
        <v>675</v>
      </c>
      <c r="T251" s="9">
        <f ca="1">IFERROR(OFFSET(ITEM_RES!$A$5,MATCH(BUILDING!S251,ITEM_RES!$J$5:$J$229,0)-1,0),0)</f>
        <v>0</v>
      </c>
      <c r="W251" s="11">
        <f ca="1">IFERROR(OFFSET(ITEM_RES!$A$5,MATCH(BUILDING!V251,ITEM_RES!$J$5:$J$229,0)-1,0),0)</f>
        <v>0</v>
      </c>
      <c r="Y251" s="9" t="s">
        <v>505</v>
      </c>
      <c r="Z251" s="9">
        <v>15</v>
      </c>
      <c r="AB251" s="11">
        <f ca="1">IFERROR(OFFSET(MANOR_LEVEL!$B$1,MATCH(AC251-1,MANOR_LEVEL!$A:$A,0)-1,0),0)</f>
        <v>629433600</v>
      </c>
      <c r="AC251" s="55">
        <v>19</v>
      </c>
      <c r="AE251" s="11">
        <f t="shared" ca="1" si="77"/>
        <v>120000</v>
      </c>
      <c r="AF251" s="10">
        <f ca="1">AK251+AM251+(IFERROR(OFFSET(ITEM_RES!$R$1,MATCH(AQ251,ITEM_RES!$A:$A,0)-1,0),0)*AS251+IFERROR(OFFSET(ITEM_RES!$R$1,MATCH(AV251,ITEM_RES!$A:$A,0)-1,0),0)*AX251+IFERROR(OFFSET(ITEM_RES!$R$1,MATCH(BA251,ITEM_RES!$A:$A,0)-1,0),0)*BC251+IFERROR(OFFSET(ITEM_RES!$R$1,MATCH(BF251,ITEM_RES!$A:$A,0)-1,0),0)*BH251+IFERROR(OFFSET(ITEM_RES!$R$1,MATCH(BK251,ITEM_RES!$A:$A,0)-1,0),0)*BM251)/1000</f>
        <v>120000</v>
      </c>
      <c r="AG251" s="176">
        <f t="shared" ca="1" si="81"/>
        <v>174000</v>
      </c>
      <c r="AI251" s="11">
        <f t="shared" si="79"/>
        <v>15</v>
      </c>
      <c r="AJ251" s="10">
        <v>15</v>
      </c>
      <c r="AK251" s="11">
        <f t="shared" si="58"/>
        <v>0</v>
      </c>
      <c r="AL251" s="10">
        <v>0</v>
      </c>
      <c r="AM251" s="11">
        <f t="shared" si="68"/>
        <v>0</v>
      </c>
      <c r="AN251" s="10">
        <v>0</v>
      </c>
      <c r="AO251" s="55">
        <f t="shared" si="80"/>
        <v>1</v>
      </c>
      <c r="AQ251" s="11">
        <f ca="1">IFERROR(OFFSET(ITEM_RES!$A$1,MATCH(AR251,ITEM_RES!$J:$J,0)-1,0),0)</f>
        <v>211020801</v>
      </c>
      <c r="AR251" s="10" t="s">
        <v>425</v>
      </c>
      <c r="AS251" s="11">
        <v>20000</v>
      </c>
      <c r="AV251" s="11">
        <f ca="1">IFERROR(OFFSET(ITEM_RES!$A$1,MATCH(AW251,ITEM_RES!$J:$J,0)-1,0),0)</f>
        <v>0</v>
      </c>
      <c r="BA251" s="11">
        <f ca="1">IFERROR(OFFSET(ITEM_RES!$A$1,MATCH(BB251,ITEM_RES!$J:$J,0)-1,0),0)</f>
        <v>0</v>
      </c>
      <c r="BF251" s="11">
        <f ca="1">IFERROR(OFFSET(ITEM_RES!$A$1,MATCH(BG251,ITEM_RES!$J:$J,0)-1,0),0)</f>
        <v>0</v>
      </c>
      <c r="BK251" s="11">
        <f ca="1">IFERROR(OFFSET(ITEM_RES!$A$1,MATCH(BL251,ITEM_RES!$J:$J,0)-1,0),0)</f>
        <v>0</v>
      </c>
      <c r="BM251" s="11">
        <f t="shared" si="56"/>
        <v>0</v>
      </c>
    </row>
    <row r="252" spans="1:66" x14ac:dyDescent="0.3">
      <c r="A252" s="14">
        <f t="shared" si="53"/>
        <v>113040008</v>
      </c>
      <c r="B252" s="13">
        <v>11</v>
      </c>
      <c r="C252" s="12">
        <f t="shared" si="54"/>
        <v>3</v>
      </c>
      <c r="D252" s="13">
        <v>4</v>
      </c>
      <c r="E252" s="13">
        <v>0</v>
      </c>
      <c r="F252" s="12">
        <f t="shared" si="55"/>
        <v>8</v>
      </c>
      <c r="H252" s="9">
        <v>3</v>
      </c>
      <c r="I252" s="9">
        <v>8</v>
      </c>
      <c r="K252" s="55" t="s">
        <v>372</v>
      </c>
      <c r="L252" s="55"/>
      <c r="M252" s="9">
        <v>1</v>
      </c>
      <c r="N252" s="9">
        <v>15</v>
      </c>
      <c r="O252" s="9" t="s">
        <v>1105</v>
      </c>
      <c r="P252" s="55" t="s">
        <v>1367</v>
      </c>
      <c r="Q252" s="9" t="s">
        <v>675</v>
      </c>
      <c r="T252" s="9">
        <f ca="1">IFERROR(OFFSET(ITEM_RES!$A$5,MATCH(BUILDING!S252,ITEM_RES!$J$5:$J$229,0)-1,0),0)</f>
        <v>0</v>
      </c>
      <c r="W252" s="11">
        <f ca="1">IFERROR(OFFSET(ITEM_RES!$A$5,MATCH(BUILDING!V252,ITEM_RES!$J$5:$J$229,0)-1,0),0)</f>
        <v>0</v>
      </c>
      <c r="Y252" s="9" t="s">
        <v>505</v>
      </c>
      <c r="Z252" s="9">
        <v>16</v>
      </c>
      <c r="AB252" s="11">
        <f ca="1">IFERROR(OFFSET(MANOR_LEVEL!$B$1,MATCH(AC252-1,MANOR_LEVEL!$A:$A,0)-1,0),0)</f>
        <v>629433600</v>
      </c>
      <c r="AC252" s="55">
        <v>19</v>
      </c>
      <c r="AE252" s="11">
        <f t="shared" ca="1" si="77"/>
        <v>252000</v>
      </c>
      <c r="AF252" s="10">
        <f ca="1">AK252+AM252+(IFERROR(OFFSET(ITEM_RES!$R$1,MATCH(AQ252,ITEM_RES!$A:$A,0)-1,0),0)*AS252+IFERROR(OFFSET(ITEM_RES!$R$1,MATCH(AV252,ITEM_RES!$A:$A,0)-1,0),0)*AX252+IFERROR(OFFSET(ITEM_RES!$R$1,MATCH(BA252,ITEM_RES!$A:$A,0)-1,0),0)*BC252+IFERROR(OFFSET(ITEM_RES!$R$1,MATCH(BF252,ITEM_RES!$A:$A,0)-1,0),0)*BH252+IFERROR(OFFSET(ITEM_RES!$R$1,MATCH(BK252,ITEM_RES!$A:$A,0)-1,0),0)*BM252)/1000</f>
        <v>252000</v>
      </c>
      <c r="AG252" s="176">
        <f t="shared" ca="1" si="81"/>
        <v>372000</v>
      </c>
      <c r="AI252" s="11">
        <f t="shared" si="79"/>
        <v>30</v>
      </c>
      <c r="AJ252" s="10">
        <v>30</v>
      </c>
      <c r="AK252" s="11">
        <f t="shared" si="58"/>
        <v>0</v>
      </c>
      <c r="AL252" s="10">
        <v>0</v>
      </c>
      <c r="AM252" s="11">
        <f t="shared" si="68"/>
        <v>0</v>
      </c>
      <c r="AN252" s="10">
        <v>0</v>
      </c>
      <c r="AO252" s="55">
        <f t="shared" si="80"/>
        <v>1</v>
      </c>
      <c r="AQ252" s="11">
        <f ca="1">IFERROR(OFFSET(ITEM_RES!$A$1,MATCH(AR252,ITEM_RES!$J:$J,0)-1,0),0)</f>
        <v>211020801</v>
      </c>
      <c r="AR252" s="10" t="s">
        <v>425</v>
      </c>
      <c r="AS252" s="11">
        <v>42000</v>
      </c>
      <c r="AV252" s="11">
        <f ca="1">IFERROR(OFFSET(ITEM_RES!$A$1,MATCH(AW252,ITEM_RES!$J:$J,0)-1,0),0)</f>
        <v>0</v>
      </c>
      <c r="BA252" s="11">
        <f ca="1">IFERROR(OFFSET(ITEM_RES!$A$1,MATCH(BB252,ITEM_RES!$J:$J,0)-1,0),0)</f>
        <v>0</v>
      </c>
      <c r="BF252" s="11">
        <f ca="1">IFERROR(OFFSET(ITEM_RES!$A$1,MATCH(BG252,ITEM_RES!$J:$J,0)-1,0),0)</f>
        <v>0</v>
      </c>
      <c r="BK252" s="11">
        <f ca="1">IFERROR(OFFSET(ITEM_RES!$A$1,MATCH(BL252,ITEM_RES!$J:$J,0)-1,0),0)</f>
        <v>0</v>
      </c>
      <c r="BM252" s="11">
        <f t="shared" si="56"/>
        <v>0</v>
      </c>
    </row>
    <row r="253" spans="1:66" x14ac:dyDescent="0.3">
      <c r="A253" s="14">
        <f t="shared" si="53"/>
        <v>113040009</v>
      </c>
      <c r="B253" s="13">
        <v>11</v>
      </c>
      <c r="C253" s="12">
        <f t="shared" si="54"/>
        <v>3</v>
      </c>
      <c r="D253" s="13">
        <v>4</v>
      </c>
      <c r="E253" s="13">
        <v>0</v>
      </c>
      <c r="F253" s="12">
        <f t="shared" si="55"/>
        <v>9</v>
      </c>
      <c r="H253" s="9">
        <v>3</v>
      </c>
      <c r="I253" s="9">
        <v>9</v>
      </c>
      <c r="K253" s="55" t="s">
        <v>372</v>
      </c>
      <c r="L253" s="55"/>
      <c r="M253" s="9">
        <v>1</v>
      </c>
      <c r="N253" s="9">
        <v>15</v>
      </c>
      <c r="O253" s="9" t="s">
        <v>1419</v>
      </c>
      <c r="P253" s="55" t="s">
        <v>1421</v>
      </c>
      <c r="Q253" s="9" t="s">
        <v>675</v>
      </c>
      <c r="T253" s="9">
        <f ca="1">IFERROR(OFFSET(ITEM_RES!$A$5,MATCH(BUILDING!S253,ITEM_RES!$J$5:$J$229,0)-1,0),0)</f>
        <v>0</v>
      </c>
      <c r="W253" s="11">
        <f ca="1">IFERROR(OFFSET(ITEM_RES!$A$5,MATCH(BUILDING!V253,ITEM_RES!$J$5:$J$229,0)-1,0),0)</f>
        <v>0</v>
      </c>
      <c r="Y253" s="9" t="s">
        <v>505</v>
      </c>
      <c r="Z253" s="9">
        <v>16</v>
      </c>
      <c r="AB253" s="11">
        <f ca="1">IFERROR(OFFSET(MANOR_LEVEL!$B$1,MATCH(AC253-1,MANOR_LEVEL!$A:$A,0)-1,0),0)</f>
        <v>629433600</v>
      </c>
      <c r="AC253" s="55">
        <v>19</v>
      </c>
      <c r="AE253" s="11">
        <f t="shared" ca="1" si="77"/>
        <v>468000</v>
      </c>
      <c r="AF253" s="10">
        <f ca="1">AK253+AM253+(IFERROR(OFFSET(ITEM_RES!$R$1,MATCH(AQ253,ITEM_RES!$A:$A,0)-1,0),0)*AS253+IFERROR(OFFSET(ITEM_RES!$R$1,MATCH(AV253,ITEM_RES!$A:$A,0)-1,0),0)*AX253+IFERROR(OFFSET(ITEM_RES!$R$1,MATCH(BA253,ITEM_RES!$A:$A,0)-1,0),0)*BC253+IFERROR(OFFSET(ITEM_RES!$R$1,MATCH(BF253,ITEM_RES!$A:$A,0)-1,0),0)*BH253+IFERROR(OFFSET(ITEM_RES!$R$1,MATCH(BK253,ITEM_RES!$A:$A,0)-1,0),0)*BM253)/1000</f>
        <v>468000</v>
      </c>
      <c r="AG253" s="176">
        <f t="shared" ca="1" si="81"/>
        <v>720000</v>
      </c>
      <c r="AI253" s="11">
        <f t="shared" si="79"/>
        <v>60</v>
      </c>
      <c r="AJ253" s="10">
        <v>60</v>
      </c>
      <c r="AK253" s="11">
        <f t="shared" si="58"/>
        <v>0</v>
      </c>
      <c r="AL253" s="10">
        <v>0</v>
      </c>
      <c r="AM253" s="11">
        <f t="shared" si="68"/>
        <v>0</v>
      </c>
      <c r="AN253" s="10">
        <v>0</v>
      </c>
      <c r="AO253" s="55">
        <f t="shared" si="80"/>
        <v>1</v>
      </c>
      <c r="AQ253" s="11">
        <f ca="1">IFERROR(OFFSET(ITEM_RES!$A$1,MATCH(AR253,ITEM_RES!$J:$J,0)-1,0),0)</f>
        <v>211020801</v>
      </c>
      <c r="AR253" s="10" t="s">
        <v>425</v>
      </c>
      <c r="AS253" s="11">
        <v>78000</v>
      </c>
      <c r="AV253" s="11">
        <f ca="1">IFERROR(OFFSET(ITEM_RES!$A$1,MATCH(AW253,ITEM_RES!$J:$J,0)-1,0),0)</f>
        <v>0</v>
      </c>
      <c r="BA253" s="11">
        <f ca="1">IFERROR(OFFSET(ITEM_RES!$A$1,MATCH(BB253,ITEM_RES!$J:$J,0)-1,0),0)</f>
        <v>0</v>
      </c>
      <c r="BF253" s="11">
        <f ca="1">IFERROR(OFFSET(ITEM_RES!$A$1,MATCH(BG253,ITEM_RES!$J:$J,0)-1,0),0)</f>
        <v>0</v>
      </c>
      <c r="BK253" s="11">
        <f ca="1">IFERROR(OFFSET(ITEM_RES!$A$1,MATCH(BL253,ITEM_RES!$J:$J,0)-1,0),0)</f>
        <v>0</v>
      </c>
      <c r="BM253" s="11">
        <f t="shared" si="56"/>
        <v>0</v>
      </c>
    </row>
    <row r="254" spans="1:66" x14ac:dyDescent="0.3">
      <c r="A254" s="14">
        <f t="shared" si="53"/>
        <v>113040010</v>
      </c>
      <c r="B254" s="13">
        <v>11</v>
      </c>
      <c r="C254" s="12">
        <f t="shared" si="54"/>
        <v>3</v>
      </c>
      <c r="D254" s="13">
        <v>4</v>
      </c>
      <c r="E254" s="13">
        <v>0</v>
      </c>
      <c r="F254" s="12">
        <f t="shared" si="55"/>
        <v>10</v>
      </c>
      <c r="H254" s="9">
        <v>3</v>
      </c>
      <c r="I254" s="9">
        <v>10</v>
      </c>
      <c r="K254" s="55" t="s">
        <v>372</v>
      </c>
      <c r="L254" s="55"/>
      <c r="M254" s="9">
        <v>1</v>
      </c>
      <c r="N254" s="9">
        <v>15</v>
      </c>
      <c r="O254" s="9" t="s">
        <v>1419</v>
      </c>
      <c r="P254" s="55" t="s">
        <v>1421</v>
      </c>
      <c r="Q254" s="9" t="s">
        <v>675</v>
      </c>
      <c r="T254" s="9">
        <f ca="1">IFERROR(OFFSET(ITEM_RES!$A$5,MATCH(BUILDING!S254,ITEM_RES!$J$5:$J$229,0)-1,0),0)</f>
        <v>0</v>
      </c>
      <c r="W254" s="11">
        <f ca="1">IFERROR(OFFSET(ITEM_RES!$A$5,MATCH(BUILDING!V254,ITEM_RES!$J$5:$J$229,0)-1,0),0)</f>
        <v>0</v>
      </c>
      <c r="Y254" s="9" t="s">
        <v>505</v>
      </c>
      <c r="Z254" s="9">
        <v>16</v>
      </c>
      <c r="AB254" s="11">
        <f ca="1">IFERROR(OFFSET(MANOR_LEVEL!$B$1,MATCH(AC254-1,MANOR_LEVEL!$A:$A,0)-1,0),0)</f>
        <v>629433600</v>
      </c>
      <c r="AC254" s="55">
        <v>19</v>
      </c>
      <c r="AE254" s="11">
        <f t="shared" ca="1" si="77"/>
        <v>781000</v>
      </c>
      <c r="AF254" s="10">
        <f ca="1">AK254+AM254+(IFERROR(OFFSET(ITEM_RES!$R$1,MATCH(AQ254,ITEM_RES!$A:$A,0)-1,0),0)*AS254+IFERROR(OFFSET(ITEM_RES!$R$1,MATCH(AV254,ITEM_RES!$A:$A,0)-1,0),0)*AX254+IFERROR(OFFSET(ITEM_RES!$R$1,MATCH(BA254,ITEM_RES!$A:$A,0)-1,0),0)*BC254+IFERROR(OFFSET(ITEM_RES!$R$1,MATCH(BF254,ITEM_RES!$A:$A,0)-1,0),0)*BH254+IFERROR(OFFSET(ITEM_RES!$R$1,MATCH(BK254,ITEM_RES!$A:$A,0)-1,0),0)*BM254)/1000</f>
        <v>781000</v>
      </c>
      <c r="AG254" s="176">
        <f t="shared" ca="1" si="81"/>
        <v>1249000</v>
      </c>
      <c r="AI254" s="11">
        <f t="shared" si="79"/>
        <v>180</v>
      </c>
      <c r="AJ254" s="10">
        <v>180</v>
      </c>
      <c r="AK254" s="11">
        <f t="shared" si="58"/>
        <v>0</v>
      </c>
      <c r="AL254" s="10">
        <v>0</v>
      </c>
      <c r="AM254" s="11">
        <f t="shared" si="68"/>
        <v>0</v>
      </c>
      <c r="AN254" s="10">
        <v>0</v>
      </c>
      <c r="AO254" s="55">
        <f t="shared" si="80"/>
        <v>2</v>
      </c>
      <c r="AQ254" s="11">
        <f ca="1">IFERROR(OFFSET(ITEM_RES!$A$1,MATCH(AR254,ITEM_RES!$J:$J,0)-1,0),0)</f>
        <v>211020801</v>
      </c>
      <c r="AR254" s="10" t="s">
        <v>425</v>
      </c>
      <c r="AS254" s="11">
        <v>130000</v>
      </c>
      <c r="AV254" s="11">
        <f ca="1">IFERROR(OFFSET(ITEM_RES!$A$1,MATCH(AW254,ITEM_RES!$J:$J,0)-1,0),0)</f>
        <v>0</v>
      </c>
      <c r="BA254" s="11">
        <f ca="1">IFERROR(OFFSET(ITEM_RES!$A$1,MATCH(BB254,ITEM_RES!$J:$J,0)-1,0),0)</f>
        <v>0</v>
      </c>
      <c r="BF254" s="11">
        <f ca="1">IFERROR(OFFSET(ITEM_RES!$A$1,MATCH(BG254,ITEM_RES!$J:$J,0)-1,0),0)</f>
        <v>213010901</v>
      </c>
      <c r="BG254" s="10" t="s">
        <v>452</v>
      </c>
      <c r="BH254" s="11">
        <v>1</v>
      </c>
      <c r="BK254" s="11">
        <f ca="1">IFERROR(OFFSET(ITEM_RES!$A$1,MATCH(BL254,ITEM_RES!$J:$J,0)-1,0),0)</f>
        <v>0</v>
      </c>
      <c r="BM254" s="11">
        <f t="shared" si="56"/>
        <v>0</v>
      </c>
    </row>
    <row r="255" spans="1:66" x14ac:dyDescent="0.3">
      <c r="A255" s="14">
        <f t="shared" si="53"/>
        <v>113040011</v>
      </c>
      <c r="B255" s="13">
        <v>11</v>
      </c>
      <c r="C255" s="12">
        <f t="shared" si="54"/>
        <v>3</v>
      </c>
      <c r="D255" s="13">
        <v>4</v>
      </c>
      <c r="E255" s="13">
        <v>0</v>
      </c>
      <c r="F255" s="12">
        <f t="shared" si="55"/>
        <v>11</v>
      </c>
      <c r="H255" s="9">
        <v>3</v>
      </c>
      <c r="I255" s="9">
        <v>11</v>
      </c>
      <c r="K255" s="55" t="s">
        <v>372</v>
      </c>
      <c r="L255" s="55"/>
      <c r="M255" s="9">
        <v>1</v>
      </c>
      <c r="N255" s="9">
        <v>15</v>
      </c>
      <c r="O255" s="9" t="s">
        <v>1418</v>
      </c>
      <c r="P255" s="55" t="s">
        <v>1420</v>
      </c>
      <c r="Q255" s="9" t="s">
        <v>675</v>
      </c>
      <c r="T255" s="9">
        <f ca="1">IFERROR(OFFSET(ITEM_RES!$A$5,MATCH(BUILDING!S255,ITEM_RES!$J$5:$J$229,0)-1,0),0)</f>
        <v>0</v>
      </c>
      <c r="W255" s="11">
        <f ca="1">IFERROR(OFFSET(ITEM_RES!$A$5,MATCH(BUILDING!V255,ITEM_RES!$J$5:$J$229,0)-1,0),0)</f>
        <v>0</v>
      </c>
      <c r="Y255" s="9" t="s">
        <v>505</v>
      </c>
      <c r="Z255" s="9">
        <v>16</v>
      </c>
      <c r="AB255" s="11">
        <f ca="1">IFERROR(OFFSET(MANOR_LEVEL!$B$1,MATCH(AC255-1,MANOR_LEVEL!$A:$A,0)-1,0),0)</f>
        <v>629433600</v>
      </c>
      <c r="AC255" s="55">
        <v>19</v>
      </c>
      <c r="AE255" s="11">
        <f t="shared" ca="1" si="77"/>
        <v>1320000</v>
      </c>
      <c r="AF255" s="10">
        <f ca="1">AK255+AM255+(IFERROR(OFFSET(ITEM_RES!$R$1,MATCH(AQ255,ITEM_RES!$A:$A,0)-1,0),0)*AS255+IFERROR(OFFSET(ITEM_RES!$R$1,MATCH(AV255,ITEM_RES!$A:$A,0)-1,0),0)*AX255+IFERROR(OFFSET(ITEM_RES!$R$1,MATCH(BA255,ITEM_RES!$A:$A,0)-1,0),0)*BC255+IFERROR(OFFSET(ITEM_RES!$R$1,MATCH(BF255,ITEM_RES!$A:$A,0)-1,0),0)*BH255+IFERROR(OFFSET(ITEM_RES!$R$1,MATCH(BK255,ITEM_RES!$A:$A,0)-1,0),0)*BM255)/1000</f>
        <v>1320000</v>
      </c>
      <c r="AG255" s="176">
        <f t="shared" ca="1" si="81"/>
        <v>2101000</v>
      </c>
      <c r="AI255" s="11">
        <f t="shared" si="79"/>
        <v>360</v>
      </c>
      <c r="AJ255" s="10">
        <v>360</v>
      </c>
      <c r="AK255" s="11">
        <f t="shared" si="58"/>
        <v>0</v>
      </c>
      <c r="AL255" s="10">
        <v>0</v>
      </c>
      <c r="AM255" s="11">
        <f t="shared" si="68"/>
        <v>0</v>
      </c>
      <c r="AN255" s="10">
        <v>0</v>
      </c>
      <c r="AO255" s="55">
        <f t="shared" si="80"/>
        <v>1</v>
      </c>
      <c r="AQ255" s="11">
        <f ca="1">IFERROR(OFFSET(ITEM_RES!$A$1,MATCH(AR255,ITEM_RES!$J:$J,0)-1,0),0)</f>
        <v>211020801</v>
      </c>
      <c r="AR255" s="10" t="s">
        <v>425</v>
      </c>
      <c r="AS255" s="11">
        <v>220000</v>
      </c>
      <c r="AV255" s="11">
        <f ca="1">IFERROR(OFFSET(ITEM_RES!$A$1,MATCH(AW255,ITEM_RES!$J:$J,0)-1,0),0)</f>
        <v>0</v>
      </c>
      <c r="BA255" s="11">
        <f ca="1">IFERROR(OFFSET(ITEM_RES!$A$1,MATCH(BB255,ITEM_RES!$J:$J,0)-1,0),0)</f>
        <v>0</v>
      </c>
      <c r="BF255" s="11">
        <f ca="1">IFERROR(OFFSET(ITEM_RES!$A$1,MATCH(BG255,ITEM_RES!$J:$J,0)-1,0),0)</f>
        <v>0</v>
      </c>
      <c r="BK255" s="11">
        <f ca="1">IFERROR(OFFSET(ITEM_RES!$A$1,MATCH(BL255,ITEM_RES!$J:$J,0)-1,0),0)</f>
        <v>0</v>
      </c>
      <c r="BM255" s="11">
        <f t="shared" si="56"/>
        <v>0</v>
      </c>
    </row>
    <row r="256" spans="1:66" x14ac:dyDescent="0.3">
      <c r="A256" s="14">
        <f t="shared" si="53"/>
        <v>113040012</v>
      </c>
      <c r="B256" s="13">
        <v>11</v>
      </c>
      <c r="C256" s="12">
        <f t="shared" si="54"/>
        <v>3</v>
      </c>
      <c r="D256" s="13">
        <v>4</v>
      </c>
      <c r="E256" s="13">
        <v>0</v>
      </c>
      <c r="F256" s="12">
        <f t="shared" si="55"/>
        <v>12</v>
      </c>
      <c r="H256" s="9">
        <v>3</v>
      </c>
      <c r="I256" s="9">
        <v>12</v>
      </c>
      <c r="K256" s="55" t="s">
        <v>372</v>
      </c>
      <c r="L256" s="55"/>
      <c r="M256" s="9">
        <v>1</v>
      </c>
      <c r="N256" s="9">
        <v>15</v>
      </c>
      <c r="O256" s="9" t="s">
        <v>1418</v>
      </c>
      <c r="P256" s="55" t="s">
        <v>1420</v>
      </c>
      <c r="Q256" s="9" t="s">
        <v>675</v>
      </c>
      <c r="T256" s="9">
        <f ca="1">IFERROR(OFFSET(ITEM_RES!$A$5,MATCH(BUILDING!S256,ITEM_RES!$J$5:$J$229,0)-1,0),0)</f>
        <v>0</v>
      </c>
      <c r="W256" s="11">
        <f ca="1">IFERROR(OFFSET(ITEM_RES!$A$5,MATCH(BUILDING!V256,ITEM_RES!$J$5:$J$229,0)-1,0),0)</f>
        <v>0</v>
      </c>
      <c r="Y256" s="9" t="s">
        <v>505</v>
      </c>
      <c r="Z256" s="9">
        <v>16</v>
      </c>
      <c r="AB256" s="11">
        <f ca="1">IFERROR(OFFSET(MANOR_LEVEL!$B$1,MATCH(AC256-1,MANOR_LEVEL!$A:$A,0)-1,0),0)</f>
        <v>629433600</v>
      </c>
      <c r="AC256" s="55">
        <v>19</v>
      </c>
      <c r="AE256" s="11">
        <f t="shared" ca="1" si="77"/>
        <v>2220000</v>
      </c>
      <c r="AF256" s="10">
        <f ca="1">AK256+AM256+(IFERROR(OFFSET(ITEM_RES!$R$1,MATCH(AQ256,ITEM_RES!$A:$A,0)-1,0),0)*AS256+IFERROR(OFFSET(ITEM_RES!$R$1,MATCH(AV256,ITEM_RES!$A:$A,0)-1,0),0)*AX256+IFERROR(OFFSET(ITEM_RES!$R$1,MATCH(BA256,ITEM_RES!$A:$A,0)-1,0),0)*BC256+IFERROR(OFFSET(ITEM_RES!$R$1,MATCH(BF256,ITEM_RES!$A:$A,0)-1,0),0)*BH256+IFERROR(OFFSET(ITEM_RES!$R$1,MATCH(BK256,ITEM_RES!$A:$A,0)-1,0),0)*BM256)/1000</f>
        <v>2220000</v>
      </c>
      <c r="AG256" s="176">
        <f t="shared" ca="1" si="81"/>
        <v>3540000</v>
      </c>
      <c r="AI256" s="11">
        <f t="shared" si="79"/>
        <v>540</v>
      </c>
      <c r="AJ256" s="10">
        <v>540</v>
      </c>
      <c r="AK256" s="11">
        <f t="shared" si="58"/>
        <v>0</v>
      </c>
      <c r="AL256" s="10">
        <v>0</v>
      </c>
      <c r="AM256" s="11">
        <f t="shared" si="68"/>
        <v>0</v>
      </c>
      <c r="AN256" s="10">
        <v>0</v>
      </c>
      <c r="AO256" s="55">
        <f t="shared" si="80"/>
        <v>1</v>
      </c>
      <c r="AQ256" s="11">
        <f ca="1">IFERROR(OFFSET(ITEM_RES!$A$1,MATCH(AR256,ITEM_RES!$J:$J,0)-1,0),0)</f>
        <v>211020801</v>
      </c>
      <c r="AR256" s="10" t="s">
        <v>425</v>
      </c>
      <c r="AS256" s="11">
        <v>370000</v>
      </c>
      <c r="AV256" s="11">
        <f ca="1">IFERROR(OFFSET(ITEM_RES!$A$1,MATCH(AW256,ITEM_RES!$J:$J,0)-1,0),0)</f>
        <v>0</v>
      </c>
      <c r="BA256" s="11">
        <f ca="1">IFERROR(OFFSET(ITEM_RES!$A$1,MATCH(BB256,ITEM_RES!$J:$J,0)-1,0),0)</f>
        <v>0</v>
      </c>
      <c r="BF256" s="11">
        <f ca="1">IFERROR(OFFSET(ITEM_RES!$A$1,MATCH(BG256,ITEM_RES!$J:$J,0)-1,0),0)</f>
        <v>0</v>
      </c>
      <c r="BK256" s="11">
        <f ca="1">IFERROR(OFFSET(ITEM_RES!$A$1,MATCH(BL256,ITEM_RES!$J:$J,0)-1,0),0)</f>
        <v>0</v>
      </c>
      <c r="BM256" s="11">
        <f t="shared" si="56"/>
        <v>0</v>
      </c>
    </row>
    <row r="257" spans="1:66" x14ac:dyDescent="0.3">
      <c r="A257" s="14">
        <f t="shared" ref="A257:A320" si="82">B257*10000000+C257*1000000+D257*10000+E257*100+F257</f>
        <v>113040013</v>
      </c>
      <c r="B257" s="13">
        <v>11</v>
      </c>
      <c r="C257" s="12">
        <f t="shared" ref="C257:C320" si="83">H257</f>
        <v>3</v>
      </c>
      <c r="D257" s="13">
        <v>4</v>
      </c>
      <c r="E257" s="13">
        <v>0</v>
      </c>
      <c r="F257" s="12">
        <f t="shared" ref="F257:F320" si="84">I257</f>
        <v>13</v>
      </c>
      <c r="H257" s="9">
        <v>3</v>
      </c>
      <c r="I257" s="9">
        <v>13</v>
      </c>
      <c r="K257" s="55" t="s">
        <v>372</v>
      </c>
      <c r="L257" s="55"/>
      <c r="M257" s="9">
        <v>1</v>
      </c>
      <c r="N257" s="9">
        <v>15</v>
      </c>
      <c r="O257" s="9" t="s">
        <v>1418</v>
      </c>
      <c r="P257" s="55" t="s">
        <v>1420</v>
      </c>
      <c r="Q257" s="9" t="s">
        <v>675</v>
      </c>
      <c r="T257" s="9">
        <f ca="1">IFERROR(OFFSET(ITEM_RES!$A$5,MATCH(BUILDING!S257,ITEM_RES!$J$5:$J$229,0)-1,0),0)</f>
        <v>0</v>
      </c>
      <c r="W257" s="11">
        <f ca="1">IFERROR(OFFSET(ITEM_RES!$A$5,MATCH(BUILDING!V257,ITEM_RES!$J$5:$J$229,0)-1,0),0)</f>
        <v>0</v>
      </c>
      <c r="Y257" s="9" t="s">
        <v>505</v>
      </c>
      <c r="Z257" s="9">
        <v>16</v>
      </c>
      <c r="AB257" s="11">
        <f ca="1">IFERROR(OFFSET(MANOR_LEVEL!$B$1,MATCH(AC257-1,MANOR_LEVEL!$A:$A,0)-1,0),0)</f>
        <v>629433600</v>
      </c>
      <c r="AC257" s="55">
        <v>19</v>
      </c>
      <c r="AE257" s="11">
        <f t="shared" ca="1" si="77"/>
        <v>6200000</v>
      </c>
      <c r="AF257" s="10">
        <f ca="1">AK257+AM257+(IFERROR(OFFSET(ITEM_RES!$R$1,MATCH(AQ257,ITEM_RES!$A:$A,0)-1,0),0)*AS257+IFERROR(OFFSET(ITEM_RES!$R$1,MATCH(AV257,ITEM_RES!$A:$A,0)-1,0),0)*AX257+IFERROR(OFFSET(ITEM_RES!$R$1,MATCH(BA257,ITEM_RES!$A:$A,0)-1,0),0)*BC257+IFERROR(OFFSET(ITEM_RES!$R$1,MATCH(BF257,ITEM_RES!$A:$A,0)-1,0),0)*BH257+IFERROR(OFFSET(ITEM_RES!$R$1,MATCH(BK257,ITEM_RES!$A:$A,0)-1,0),0)*BM257)/1000</f>
        <v>6200000</v>
      </c>
      <c r="AG257" s="176">
        <f t="shared" ca="1" si="81"/>
        <v>8420000</v>
      </c>
      <c r="AI257" s="11">
        <f t="shared" si="79"/>
        <v>720</v>
      </c>
      <c r="AJ257" s="10">
        <v>720</v>
      </c>
      <c r="AK257" s="11">
        <f t="shared" si="58"/>
        <v>0</v>
      </c>
      <c r="AL257" s="10">
        <v>0</v>
      </c>
      <c r="AM257" s="11">
        <f t="shared" si="68"/>
        <v>0</v>
      </c>
      <c r="AN257" s="10">
        <v>0</v>
      </c>
      <c r="AO257" s="55">
        <f t="shared" si="80"/>
        <v>1</v>
      </c>
      <c r="AQ257" s="11">
        <f ca="1">IFERROR(OFFSET(ITEM_RES!$A$1,MATCH(AR257,ITEM_RES!$J:$J,0)-1,0),0)</f>
        <v>211020901</v>
      </c>
      <c r="AR257" s="10" t="s">
        <v>434</v>
      </c>
      <c r="AS257" s="11">
        <v>620000</v>
      </c>
      <c r="AV257" s="11">
        <f ca="1">IFERROR(OFFSET(ITEM_RES!$A$1,MATCH(AW257,ITEM_RES!$J:$J,0)-1,0),0)</f>
        <v>0</v>
      </c>
      <c r="BA257" s="11">
        <f ca="1">IFERROR(OFFSET(ITEM_RES!$A$1,MATCH(BB257,ITEM_RES!$J:$J,0)-1,0),0)</f>
        <v>0</v>
      </c>
      <c r="BF257" s="11">
        <f ca="1">IFERROR(OFFSET(ITEM_RES!$A$1,MATCH(BG257,ITEM_RES!$J:$J,0)-1,0),0)</f>
        <v>0</v>
      </c>
      <c r="BK257" s="11">
        <f ca="1">IFERROR(OFFSET(ITEM_RES!$A$1,MATCH(BL257,ITEM_RES!$J:$J,0)-1,0),0)</f>
        <v>0</v>
      </c>
      <c r="BM257" s="11">
        <f t="shared" ref="BM257:BM284" si="85">IF(BN257&lt;100,ROUND(BN257,1-LEN(ROUND(BN257,0))),ROUND(BN257,2-LEN(ROUND(BN257,0))))</f>
        <v>0</v>
      </c>
    </row>
    <row r="258" spans="1:66" x14ac:dyDescent="0.3">
      <c r="A258" s="14">
        <f t="shared" si="82"/>
        <v>113040014</v>
      </c>
      <c r="B258" s="13">
        <v>11</v>
      </c>
      <c r="C258" s="12">
        <f t="shared" si="83"/>
        <v>3</v>
      </c>
      <c r="D258" s="13">
        <v>4</v>
      </c>
      <c r="E258" s="13">
        <v>0</v>
      </c>
      <c r="F258" s="12">
        <f t="shared" si="84"/>
        <v>14</v>
      </c>
      <c r="H258" s="9">
        <v>3</v>
      </c>
      <c r="I258" s="9">
        <v>14</v>
      </c>
      <c r="K258" s="55" t="s">
        <v>372</v>
      </c>
      <c r="L258" s="55"/>
      <c r="M258" s="9">
        <v>1</v>
      </c>
      <c r="N258" s="9">
        <v>15</v>
      </c>
      <c r="O258" s="9" t="s">
        <v>1418</v>
      </c>
      <c r="P258" s="55" t="s">
        <v>1420</v>
      </c>
      <c r="Q258" s="9" t="s">
        <v>675</v>
      </c>
      <c r="T258" s="9">
        <f ca="1">IFERROR(OFFSET(ITEM_RES!$A$5,MATCH(BUILDING!S258,ITEM_RES!$J$5:$J$229,0)-1,0),0)</f>
        <v>0</v>
      </c>
      <c r="W258" s="11">
        <f ca="1">IFERROR(OFFSET(ITEM_RES!$A$5,MATCH(BUILDING!V258,ITEM_RES!$J$5:$J$229,0)-1,0),0)</f>
        <v>0</v>
      </c>
      <c r="Y258" s="9" t="s">
        <v>505</v>
      </c>
      <c r="Z258" s="9">
        <v>17</v>
      </c>
      <c r="AB258" s="11">
        <f ca="1">IFERROR(OFFSET(MANOR_LEVEL!$B$1,MATCH(AC258-1,MANOR_LEVEL!$A:$A,0)-1,0),0)</f>
        <v>629433600</v>
      </c>
      <c r="AC258" s="55">
        <v>19</v>
      </c>
      <c r="AE258" s="11">
        <f t="shared" ca="1" si="77"/>
        <v>9700000</v>
      </c>
      <c r="AF258" s="10">
        <f ca="1">AK258+AM258+(IFERROR(OFFSET(ITEM_RES!$R$1,MATCH(AQ258,ITEM_RES!$A:$A,0)-1,0),0)*AS258+IFERROR(OFFSET(ITEM_RES!$R$1,MATCH(AV258,ITEM_RES!$A:$A,0)-1,0),0)*AX258+IFERROR(OFFSET(ITEM_RES!$R$1,MATCH(BA258,ITEM_RES!$A:$A,0)-1,0),0)*BC258+IFERROR(OFFSET(ITEM_RES!$R$1,MATCH(BF258,ITEM_RES!$A:$A,0)-1,0),0)*BH258+IFERROR(OFFSET(ITEM_RES!$R$1,MATCH(BK258,ITEM_RES!$A:$A,0)-1,0),0)*BM258)/1000</f>
        <v>9700000</v>
      </c>
      <c r="AG258" s="176">
        <f t="shared" ca="1" si="81"/>
        <v>15900000</v>
      </c>
      <c r="AI258" s="11">
        <f t="shared" si="79"/>
        <v>900</v>
      </c>
      <c r="AJ258" s="10">
        <v>900</v>
      </c>
      <c r="AK258" s="11">
        <f t="shared" ref="AK258:AK321" si="86">ROUND(AL258,0)</f>
        <v>0</v>
      </c>
      <c r="AL258" s="10">
        <v>0</v>
      </c>
      <c r="AM258" s="11">
        <f t="shared" si="68"/>
        <v>0</v>
      </c>
      <c r="AN258" s="10">
        <v>0</v>
      </c>
      <c r="AO258" s="55">
        <f t="shared" si="80"/>
        <v>1</v>
      </c>
      <c r="AQ258" s="11">
        <f ca="1">IFERROR(OFFSET(ITEM_RES!$A$1,MATCH(AR258,ITEM_RES!$J:$J,0)-1,0),0)</f>
        <v>211020901</v>
      </c>
      <c r="AR258" s="10" t="s">
        <v>434</v>
      </c>
      <c r="AS258" s="11">
        <v>970000</v>
      </c>
      <c r="AV258" s="11">
        <f ca="1">IFERROR(OFFSET(ITEM_RES!$A$1,MATCH(AW258,ITEM_RES!$J:$J,0)-1,0),0)</f>
        <v>0</v>
      </c>
      <c r="BA258" s="11">
        <f ca="1">IFERROR(OFFSET(ITEM_RES!$A$1,MATCH(BB258,ITEM_RES!$J:$J,0)-1,0),0)</f>
        <v>0</v>
      </c>
      <c r="BF258" s="11">
        <f ca="1">IFERROR(OFFSET(ITEM_RES!$A$1,MATCH(BG258,ITEM_RES!$J:$J,0)-1,0),0)</f>
        <v>0</v>
      </c>
      <c r="BK258" s="11">
        <f ca="1">IFERROR(OFFSET(ITEM_RES!$A$1,MATCH(BL258,ITEM_RES!$J:$J,0)-1,0),0)</f>
        <v>0</v>
      </c>
      <c r="BM258" s="11">
        <f t="shared" si="85"/>
        <v>0</v>
      </c>
    </row>
    <row r="259" spans="1:66" x14ac:dyDescent="0.3">
      <c r="A259" s="14">
        <f t="shared" si="82"/>
        <v>113040015</v>
      </c>
      <c r="B259" s="13">
        <v>11</v>
      </c>
      <c r="C259" s="12">
        <f t="shared" si="83"/>
        <v>3</v>
      </c>
      <c r="D259" s="13">
        <v>4</v>
      </c>
      <c r="E259" s="13">
        <v>0</v>
      </c>
      <c r="F259" s="12">
        <f t="shared" si="84"/>
        <v>15</v>
      </c>
      <c r="H259" s="9">
        <v>3</v>
      </c>
      <c r="I259" s="9">
        <v>15</v>
      </c>
      <c r="K259" s="55" t="s">
        <v>372</v>
      </c>
      <c r="L259" s="55"/>
      <c r="M259" s="9">
        <v>1</v>
      </c>
      <c r="N259" s="9">
        <v>15</v>
      </c>
      <c r="O259" s="9" t="s">
        <v>1418</v>
      </c>
      <c r="P259" s="55" t="s">
        <v>1420</v>
      </c>
      <c r="Q259" s="9" t="s">
        <v>675</v>
      </c>
      <c r="T259" s="9">
        <f ca="1">IFERROR(OFFSET(ITEM_RES!$A$5,MATCH(BUILDING!S259,ITEM_RES!$J$5:$J$229,0)-1,0),0)</f>
        <v>0</v>
      </c>
      <c r="W259" s="11">
        <f ca="1">IFERROR(OFFSET(ITEM_RES!$A$5,MATCH(BUILDING!V259,ITEM_RES!$J$5:$J$229,0)-1,0),0)</f>
        <v>0</v>
      </c>
      <c r="Y259" s="9" t="s">
        <v>505</v>
      </c>
      <c r="Z259" s="9">
        <v>17</v>
      </c>
      <c r="AB259" s="11">
        <f ca="1">IFERROR(OFFSET(MANOR_LEVEL!$B$1,MATCH(AC259-1,MANOR_LEVEL!$A:$A,0)-1,0),0)</f>
        <v>629433600</v>
      </c>
      <c r="AC259" s="55">
        <v>19</v>
      </c>
      <c r="AE259" s="11">
        <f t="shared" ca="1" si="77"/>
        <v>21000000</v>
      </c>
      <c r="AF259" s="10">
        <f ca="1">AK259+AM259+(IFERROR(OFFSET(ITEM_RES!$R$1,MATCH(AQ259,ITEM_RES!$A:$A,0)-1,0),0)*AS259+IFERROR(OFFSET(ITEM_RES!$R$1,MATCH(AV259,ITEM_RES!$A:$A,0)-1,0),0)*AX259+IFERROR(OFFSET(ITEM_RES!$R$1,MATCH(BA259,ITEM_RES!$A:$A,0)-1,0),0)*BC259+IFERROR(OFFSET(ITEM_RES!$R$1,MATCH(BF259,ITEM_RES!$A:$A,0)-1,0),0)*BH259+IFERROR(OFFSET(ITEM_RES!$R$1,MATCH(BK259,ITEM_RES!$A:$A,0)-1,0),0)*BM259)/1000</f>
        <v>21000000</v>
      </c>
      <c r="AG259" s="176">
        <f t="shared" ca="1" si="81"/>
        <v>30700000</v>
      </c>
      <c r="AI259" s="11">
        <f t="shared" si="79"/>
        <v>1080</v>
      </c>
      <c r="AJ259" s="10">
        <v>1080</v>
      </c>
      <c r="AK259" s="11">
        <f t="shared" si="86"/>
        <v>0</v>
      </c>
      <c r="AL259" s="10">
        <v>0</v>
      </c>
      <c r="AM259" s="11">
        <f t="shared" si="68"/>
        <v>0</v>
      </c>
      <c r="AN259" s="10">
        <v>0</v>
      </c>
      <c r="AO259" s="55">
        <f t="shared" si="80"/>
        <v>1</v>
      </c>
      <c r="AQ259" s="11">
        <f ca="1">IFERROR(OFFSET(ITEM_RES!$A$1,MATCH(AR259,ITEM_RES!$J:$J,0)-1,0),0)</f>
        <v>211020901</v>
      </c>
      <c r="AR259" s="10" t="s">
        <v>434</v>
      </c>
      <c r="AS259" s="11">
        <v>2100000</v>
      </c>
      <c r="AV259" s="11">
        <f ca="1">IFERROR(OFFSET(ITEM_RES!$A$1,MATCH(AW259,ITEM_RES!$J:$J,0)-1,0),0)</f>
        <v>0</v>
      </c>
      <c r="BA259" s="11">
        <f ca="1">IFERROR(OFFSET(ITEM_RES!$A$1,MATCH(BB259,ITEM_RES!$J:$J,0)-1,0),0)</f>
        <v>0</v>
      </c>
      <c r="BF259" s="11">
        <f ca="1">IFERROR(OFFSET(ITEM_RES!$A$1,MATCH(BG259,ITEM_RES!$J:$J,0)-1,0),0)</f>
        <v>0</v>
      </c>
      <c r="BK259" s="11">
        <f ca="1">IFERROR(OFFSET(ITEM_RES!$A$1,MATCH(BL259,ITEM_RES!$J:$J,0)-1,0),0)</f>
        <v>0</v>
      </c>
      <c r="BM259" s="11">
        <f t="shared" si="85"/>
        <v>0</v>
      </c>
    </row>
    <row r="260" spans="1:66" x14ac:dyDescent="0.3">
      <c r="A260" s="14">
        <f t="shared" si="82"/>
        <v>113040016</v>
      </c>
      <c r="B260" s="13">
        <v>11</v>
      </c>
      <c r="C260" s="12">
        <f t="shared" si="83"/>
        <v>3</v>
      </c>
      <c r="D260" s="13">
        <v>4</v>
      </c>
      <c r="E260" s="13">
        <v>0</v>
      </c>
      <c r="F260" s="12">
        <f t="shared" si="84"/>
        <v>16</v>
      </c>
      <c r="H260" s="9">
        <v>3</v>
      </c>
      <c r="I260" s="9">
        <v>16</v>
      </c>
      <c r="K260" s="55" t="s">
        <v>372</v>
      </c>
      <c r="L260" s="55"/>
      <c r="M260" s="9">
        <v>0</v>
      </c>
      <c r="N260" s="9">
        <v>15</v>
      </c>
      <c r="O260" s="9" t="s">
        <v>1418</v>
      </c>
      <c r="P260" s="55" t="s">
        <v>1420</v>
      </c>
      <c r="Q260" s="9" t="s">
        <v>675</v>
      </c>
      <c r="T260" s="9">
        <f ca="1">IFERROR(OFFSET(ITEM_RES!$A$5,MATCH(BUILDING!S260,ITEM_RES!$J$5:$J$229,0)-1,0),0)</f>
        <v>0</v>
      </c>
      <c r="W260" s="11">
        <f ca="1">IFERROR(OFFSET(ITEM_RES!$A$5,MATCH(BUILDING!V260,ITEM_RES!$J$5:$J$229,0)-1,0),0)</f>
        <v>0</v>
      </c>
      <c r="Y260" s="9" t="s">
        <v>505</v>
      </c>
      <c r="Z260" s="9">
        <v>17</v>
      </c>
      <c r="AB260" s="11">
        <f ca="1">IFERROR(OFFSET(MANOR_LEVEL!$B$1,MATCH(AC260-1,MANOR_LEVEL!$A:$A,0)-1,0),0)</f>
        <v>629433600</v>
      </c>
      <c r="AC260" s="55">
        <v>19</v>
      </c>
      <c r="AE260" s="11">
        <f t="shared" ca="1" si="77"/>
        <v>43000000</v>
      </c>
      <c r="AF260" s="10">
        <f ca="1">AK260+AM260+(IFERROR(OFFSET(ITEM_RES!$R$1,MATCH(AQ260,ITEM_RES!$A:$A,0)-1,0),0)*AS260+IFERROR(OFFSET(ITEM_RES!$R$1,MATCH(AV260,ITEM_RES!$A:$A,0)-1,0),0)*AX260+IFERROR(OFFSET(ITEM_RES!$R$1,MATCH(BA260,ITEM_RES!$A:$A,0)-1,0),0)*BC260+IFERROR(OFFSET(ITEM_RES!$R$1,MATCH(BF260,ITEM_RES!$A:$A,0)-1,0),0)*BH260+IFERROR(OFFSET(ITEM_RES!$R$1,MATCH(BK260,ITEM_RES!$A:$A,0)-1,0),0)*BM260)/1000</f>
        <v>43000000</v>
      </c>
      <c r="AG260" s="176">
        <f t="shared" ca="1" si="81"/>
        <v>64000000</v>
      </c>
      <c r="AI260" s="11">
        <f t="shared" si="79"/>
        <v>1260</v>
      </c>
      <c r="AJ260" s="10">
        <v>1260</v>
      </c>
      <c r="AK260" s="11">
        <f t="shared" si="86"/>
        <v>0</v>
      </c>
      <c r="AL260" s="10">
        <v>0</v>
      </c>
      <c r="AM260" s="11">
        <f t="shared" si="68"/>
        <v>0</v>
      </c>
      <c r="AN260" s="10">
        <v>0</v>
      </c>
      <c r="AO260" s="55">
        <f t="shared" si="80"/>
        <v>1</v>
      </c>
      <c r="AQ260" s="11">
        <f ca="1">IFERROR(OFFSET(ITEM_RES!$A$1,MATCH(AR260,ITEM_RES!$J:$J,0)-1,0),0)</f>
        <v>211020901</v>
      </c>
      <c r="AR260" s="10" t="s">
        <v>434</v>
      </c>
      <c r="AS260" s="11">
        <v>4300000</v>
      </c>
      <c r="AV260" s="11">
        <f ca="1">IFERROR(OFFSET(ITEM_RES!$A$1,MATCH(AW260,ITEM_RES!$J:$J,0)-1,0),0)</f>
        <v>0</v>
      </c>
      <c r="BA260" s="11">
        <f ca="1">IFERROR(OFFSET(ITEM_RES!$A$1,MATCH(BB260,ITEM_RES!$J:$J,0)-1,0),0)</f>
        <v>0</v>
      </c>
      <c r="BF260" s="11">
        <f ca="1">IFERROR(OFFSET(ITEM_RES!$A$1,MATCH(BG260,ITEM_RES!$J:$J,0)-1,0),0)</f>
        <v>0</v>
      </c>
      <c r="BK260" s="11">
        <f ca="1">IFERROR(OFFSET(ITEM_RES!$A$1,MATCH(BL260,ITEM_RES!$J:$J,0)-1,0),0)</f>
        <v>0</v>
      </c>
      <c r="BM260" s="11">
        <f t="shared" si="85"/>
        <v>0</v>
      </c>
    </row>
    <row r="261" spans="1:66" x14ac:dyDescent="0.3">
      <c r="A261" s="14">
        <f t="shared" si="82"/>
        <v>113040017</v>
      </c>
      <c r="B261" s="13">
        <v>11</v>
      </c>
      <c r="C261" s="12">
        <f t="shared" si="83"/>
        <v>3</v>
      </c>
      <c r="D261" s="13">
        <v>4</v>
      </c>
      <c r="E261" s="13">
        <v>0</v>
      </c>
      <c r="F261" s="12">
        <f t="shared" si="84"/>
        <v>17</v>
      </c>
      <c r="H261" s="9">
        <v>3</v>
      </c>
      <c r="I261" s="9">
        <v>17</v>
      </c>
      <c r="K261" s="55" t="s">
        <v>372</v>
      </c>
      <c r="L261" s="55"/>
      <c r="M261" s="9">
        <v>0</v>
      </c>
      <c r="N261" s="9">
        <v>15</v>
      </c>
      <c r="O261" s="9" t="s">
        <v>1418</v>
      </c>
      <c r="P261" s="55" t="s">
        <v>1420</v>
      </c>
      <c r="Q261" s="9" t="s">
        <v>675</v>
      </c>
      <c r="T261" s="9">
        <f ca="1">IFERROR(OFFSET(ITEM_RES!$A$5,MATCH(BUILDING!S261,ITEM_RES!$J$5:$J$229,0)-1,0),0)</f>
        <v>0</v>
      </c>
      <c r="W261" s="11">
        <f ca="1">IFERROR(OFFSET(ITEM_RES!$A$5,MATCH(BUILDING!V261,ITEM_RES!$J$5:$J$229,0)-1,0),0)</f>
        <v>0</v>
      </c>
      <c r="Y261" s="9" t="s">
        <v>505</v>
      </c>
      <c r="Z261" s="9">
        <v>18</v>
      </c>
      <c r="AB261" s="11">
        <f ca="1">IFERROR(OFFSET(MANOR_LEVEL!$B$1,MATCH(AC261-1,MANOR_LEVEL!$A:$A,0)-1,0),0)</f>
        <v>629433600</v>
      </c>
      <c r="AC261" s="55">
        <v>19</v>
      </c>
      <c r="AE261" s="11">
        <f t="shared" ca="1" si="77"/>
        <v>80000000</v>
      </c>
      <c r="AF261" s="10">
        <f ca="1">AK261+AM261+(IFERROR(OFFSET(ITEM_RES!$R$1,MATCH(AQ261,ITEM_RES!$A:$A,0)-1,0),0)*AS261+IFERROR(OFFSET(ITEM_RES!$R$1,MATCH(AV261,ITEM_RES!$A:$A,0)-1,0),0)*AX261+IFERROR(OFFSET(ITEM_RES!$R$1,MATCH(BA261,ITEM_RES!$A:$A,0)-1,0),0)*BC261+IFERROR(OFFSET(ITEM_RES!$R$1,MATCH(BF261,ITEM_RES!$A:$A,0)-1,0),0)*BH261+IFERROR(OFFSET(ITEM_RES!$R$1,MATCH(BK261,ITEM_RES!$A:$A,0)-1,0),0)*BM261)/1000</f>
        <v>80000000</v>
      </c>
      <c r="AG261" s="176">
        <f t="shared" ca="1" si="81"/>
        <v>123000000</v>
      </c>
      <c r="AI261" s="11">
        <f t="shared" si="79"/>
        <v>1440</v>
      </c>
      <c r="AJ261" s="10">
        <v>1440</v>
      </c>
      <c r="AK261" s="11">
        <f t="shared" si="86"/>
        <v>0</v>
      </c>
      <c r="AL261" s="10">
        <v>0</v>
      </c>
      <c r="AM261" s="11">
        <f t="shared" si="68"/>
        <v>0</v>
      </c>
      <c r="AN261" s="10">
        <v>0</v>
      </c>
      <c r="AO261" s="55">
        <f t="shared" si="80"/>
        <v>1</v>
      </c>
      <c r="AQ261" s="11">
        <f ca="1">IFERROR(OFFSET(ITEM_RES!$A$1,MATCH(AR261,ITEM_RES!$J:$J,0)-1,0),0)</f>
        <v>211020901</v>
      </c>
      <c r="AR261" s="10" t="s">
        <v>434</v>
      </c>
      <c r="AS261" s="11">
        <v>8000000</v>
      </c>
      <c r="AV261" s="11">
        <f ca="1">IFERROR(OFFSET(ITEM_RES!$A$1,MATCH(AW261,ITEM_RES!$J:$J,0)-1,0),0)</f>
        <v>0</v>
      </c>
      <c r="BA261" s="11">
        <f ca="1">IFERROR(OFFSET(ITEM_RES!$A$1,MATCH(BB261,ITEM_RES!$J:$J,0)-1,0),0)</f>
        <v>0</v>
      </c>
      <c r="BF261" s="11">
        <f ca="1">IFERROR(OFFSET(ITEM_RES!$A$1,MATCH(BG261,ITEM_RES!$J:$J,0)-1,0),0)</f>
        <v>0</v>
      </c>
      <c r="BK261" s="11">
        <f ca="1">IFERROR(OFFSET(ITEM_RES!$A$1,MATCH(BL261,ITEM_RES!$J:$J,0)-1,0),0)</f>
        <v>0</v>
      </c>
      <c r="BM261" s="11">
        <f t="shared" si="85"/>
        <v>0</v>
      </c>
    </row>
    <row r="262" spans="1:66" x14ac:dyDescent="0.3">
      <c r="A262" s="14">
        <f t="shared" si="82"/>
        <v>113040018</v>
      </c>
      <c r="B262" s="13">
        <v>11</v>
      </c>
      <c r="C262" s="12">
        <f t="shared" si="83"/>
        <v>3</v>
      </c>
      <c r="D262" s="13">
        <v>4</v>
      </c>
      <c r="E262" s="13">
        <v>0</v>
      </c>
      <c r="F262" s="12">
        <f t="shared" si="84"/>
        <v>18</v>
      </c>
      <c r="H262" s="9">
        <v>3</v>
      </c>
      <c r="I262" s="9">
        <v>18</v>
      </c>
      <c r="K262" s="55" t="s">
        <v>372</v>
      </c>
      <c r="L262" s="55"/>
      <c r="M262" s="9">
        <v>0</v>
      </c>
      <c r="N262" s="9">
        <v>15</v>
      </c>
      <c r="O262" s="9" t="s">
        <v>1418</v>
      </c>
      <c r="P262" s="55" t="s">
        <v>1420</v>
      </c>
      <c r="Q262" s="9" t="s">
        <v>675</v>
      </c>
      <c r="T262" s="9">
        <f ca="1">IFERROR(OFFSET(ITEM_RES!$A$5,MATCH(BUILDING!S262,ITEM_RES!$J$5:$J$229,0)-1,0),0)</f>
        <v>0</v>
      </c>
      <c r="W262" s="11">
        <f ca="1">IFERROR(OFFSET(ITEM_RES!$A$5,MATCH(BUILDING!V262,ITEM_RES!$J$5:$J$229,0)-1,0),0)</f>
        <v>0</v>
      </c>
      <c r="Y262" s="9" t="s">
        <v>505</v>
      </c>
      <c r="Z262" s="9">
        <v>18</v>
      </c>
      <c r="AB262" s="11">
        <f ca="1">IFERROR(OFFSET(MANOR_LEVEL!$B$1,MATCH(AC262-1,MANOR_LEVEL!$A:$A,0)-1,0),0)</f>
        <v>629433600</v>
      </c>
      <c r="AC262" s="55">
        <v>19</v>
      </c>
      <c r="AE262" s="11">
        <f t="shared" ca="1" si="77"/>
        <v>130000000</v>
      </c>
      <c r="AF262" s="10">
        <f ca="1">AK262+AM262+(IFERROR(OFFSET(ITEM_RES!$R$1,MATCH(AQ262,ITEM_RES!$A:$A,0)-1,0),0)*AS262+IFERROR(OFFSET(ITEM_RES!$R$1,MATCH(AV262,ITEM_RES!$A:$A,0)-1,0),0)*AX262+IFERROR(OFFSET(ITEM_RES!$R$1,MATCH(BA262,ITEM_RES!$A:$A,0)-1,0),0)*BC262+IFERROR(OFFSET(ITEM_RES!$R$1,MATCH(BF262,ITEM_RES!$A:$A,0)-1,0),0)*BH262+IFERROR(OFFSET(ITEM_RES!$R$1,MATCH(BK262,ITEM_RES!$A:$A,0)-1,0),0)*BM262)/1000</f>
        <v>130000000</v>
      </c>
      <c r="AG262" s="176">
        <f t="shared" ca="1" si="81"/>
        <v>210000000</v>
      </c>
      <c r="AI262" s="11">
        <f t="shared" si="79"/>
        <v>1620</v>
      </c>
      <c r="AJ262" s="10">
        <v>1620</v>
      </c>
      <c r="AK262" s="11">
        <f t="shared" si="86"/>
        <v>0</v>
      </c>
      <c r="AL262" s="10">
        <v>0</v>
      </c>
      <c r="AM262" s="11">
        <f t="shared" ref="AM262:AM325" si="87">ROUND(AN262,0)</f>
        <v>0</v>
      </c>
      <c r="AN262" s="10">
        <v>0</v>
      </c>
      <c r="AO262" s="55">
        <f t="shared" si="80"/>
        <v>1</v>
      </c>
      <c r="AQ262" s="11">
        <f ca="1">IFERROR(OFFSET(ITEM_RES!$A$1,MATCH(AR262,ITEM_RES!$J:$J,0)-1,0),0)</f>
        <v>211020901</v>
      </c>
      <c r="AR262" s="10" t="s">
        <v>434</v>
      </c>
      <c r="AS262" s="11">
        <v>13000000</v>
      </c>
      <c r="AV262" s="11">
        <f ca="1">IFERROR(OFFSET(ITEM_RES!$A$1,MATCH(AW262,ITEM_RES!$J:$J,0)-1,0),0)</f>
        <v>0</v>
      </c>
      <c r="BA262" s="11">
        <f ca="1">IFERROR(OFFSET(ITEM_RES!$A$1,MATCH(BB262,ITEM_RES!$J:$J,0)-1,0),0)</f>
        <v>0</v>
      </c>
      <c r="BF262" s="11">
        <f ca="1">IFERROR(OFFSET(ITEM_RES!$A$1,MATCH(BG262,ITEM_RES!$J:$J,0)-1,0),0)</f>
        <v>0</v>
      </c>
      <c r="BK262" s="11">
        <f ca="1">IFERROR(OFFSET(ITEM_RES!$A$1,MATCH(BL262,ITEM_RES!$J:$J,0)-1,0),0)</f>
        <v>0</v>
      </c>
      <c r="BM262" s="11">
        <f t="shared" si="85"/>
        <v>0</v>
      </c>
    </row>
    <row r="263" spans="1:66" x14ac:dyDescent="0.3">
      <c r="A263" s="14">
        <f t="shared" si="82"/>
        <v>113040019</v>
      </c>
      <c r="B263" s="13">
        <v>11</v>
      </c>
      <c r="C263" s="12">
        <f t="shared" si="83"/>
        <v>3</v>
      </c>
      <c r="D263" s="13">
        <v>4</v>
      </c>
      <c r="E263" s="13">
        <v>0</v>
      </c>
      <c r="F263" s="12">
        <f t="shared" si="84"/>
        <v>19</v>
      </c>
      <c r="H263" s="9">
        <v>3</v>
      </c>
      <c r="I263" s="9">
        <v>19</v>
      </c>
      <c r="K263" s="55" t="s">
        <v>372</v>
      </c>
      <c r="L263" s="55"/>
      <c r="M263" s="9">
        <v>0</v>
      </c>
      <c r="N263" s="9">
        <v>15</v>
      </c>
      <c r="O263" s="9" t="s">
        <v>1418</v>
      </c>
      <c r="P263" s="55" t="s">
        <v>1420</v>
      </c>
      <c r="Q263" s="9" t="s">
        <v>675</v>
      </c>
      <c r="T263" s="9">
        <f ca="1">IFERROR(OFFSET(ITEM_RES!$A$5,MATCH(BUILDING!S263,ITEM_RES!$J$5:$J$229,0)-1,0),0)</f>
        <v>0</v>
      </c>
      <c r="W263" s="11">
        <f ca="1">IFERROR(OFFSET(ITEM_RES!$A$5,MATCH(BUILDING!V263,ITEM_RES!$J$5:$J$229,0)-1,0),0)</f>
        <v>0</v>
      </c>
      <c r="Y263" s="9" t="s">
        <v>505</v>
      </c>
      <c r="Z263" s="9">
        <v>19</v>
      </c>
      <c r="AB263" s="11">
        <f ca="1">IFERROR(OFFSET(MANOR_LEVEL!$B$1,MATCH(AC263-1,MANOR_LEVEL!$A:$A,0)-1,0),0)</f>
        <v>629433600</v>
      </c>
      <c r="AC263" s="55">
        <v>19</v>
      </c>
      <c r="AE263" s="11">
        <f t="shared" ca="1" si="77"/>
        <v>200000000</v>
      </c>
      <c r="AF263" s="10">
        <f ca="1">AK263+AM263+(IFERROR(OFFSET(ITEM_RES!$R$1,MATCH(AQ263,ITEM_RES!$A:$A,0)-1,0),0)*AS263+IFERROR(OFFSET(ITEM_RES!$R$1,MATCH(AV263,ITEM_RES!$A:$A,0)-1,0),0)*AX263+IFERROR(OFFSET(ITEM_RES!$R$1,MATCH(BA263,ITEM_RES!$A:$A,0)-1,0),0)*BC263+IFERROR(OFFSET(ITEM_RES!$R$1,MATCH(BF263,ITEM_RES!$A:$A,0)-1,0),0)*BH263+IFERROR(OFFSET(ITEM_RES!$R$1,MATCH(BK263,ITEM_RES!$A:$A,0)-1,0),0)*BM263)/1000</f>
        <v>200000000</v>
      </c>
      <c r="AG263" s="176">
        <f t="shared" ca="1" si="81"/>
        <v>330000000</v>
      </c>
      <c r="AI263" s="11">
        <f t="shared" si="79"/>
        <v>1800</v>
      </c>
      <c r="AJ263" s="10">
        <v>1800</v>
      </c>
      <c r="AK263" s="11">
        <f t="shared" si="86"/>
        <v>0</v>
      </c>
      <c r="AL263" s="10">
        <v>0</v>
      </c>
      <c r="AM263" s="11">
        <f t="shared" si="87"/>
        <v>0</v>
      </c>
      <c r="AN263" s="10">
        <v>0</v>
      </c>
      <c r="AO263" s="55">
        <f t="shared" si="80"/>
        <v>1</v>
      </c>
      <c r="AQ263" s="11">
        <f ca="1">IFERROR(OFFSET(ITEM_RES!$A$1,MATCH(AR263,ITEM_RES!$J:$J,0)-1,0),0)</f>
        <v>211020901</v>
      </c>
      <c r="AR263" s="10" t="s">
        <v>434</v>
      </c>
      <c r="AS263" s="11">
        <v>20000000</v>
      </c>
      <c r="AV263" s="11">
        <f ca="1">IFERROR(OFFSET(ITEM_RES!$A$1,MATCH(AW263,ITEM_RES!$J:$J,0)-1,0),0)</f>
        <v>0</v>
      </c>
      <c r="BA263" s="11">
        <f ca="1">IFERROR(OFFSET(ITEM_RES!$A$1,MATCH(BB263,ITEM_RES!$J:$J,0)-1,0),0)</f>
        <v>0</v>
      </c>
      <c r="BF263" s="11">
        <f ca="1">IFERROR(OFFSET(ITEM_RES!$A$1,MATCH(BG263,ITEM_RES!$J:$J,0)-1,0),0)</f>
        <v>0</v>
      </c>
      <c r="BK263" s="11">
        <f ca="1">IFERROR(OFFSET(ITEM_RES!$A$1,MATCH(BL263,ITEM_RES!$J:$J,0)-1,0),0)</f>
        <v>0</v>
      </c>
      <c r="BM263" s="11">
        <f t="shared" si="85"/>
        <v>0</v>
      </c>
    </row>
    <row r="264" spans="1:66" ht="17.25" thickBot="1" x14ac:dyDescent="0.35">
      <c r="A264" s="14">
        <f t="shared" si="82"/>
        <v>113040020</v>
      </c>
      <c r="B264" s="13">
        <v>11</v>
      </c>
      <c r="C264" s="12">
        <f t="shared" si="83"/>
        <v>3</v>
      </c>
      <c r="D264" s="13">
        <v>4</v>
      </c>
      <c r="E264" s="13">
        <v>0</v>
      </c>
      <c r="F264" s="12">
        <f t="shared" si="84"/>
        <v>20</v>
      </c>
      <c r="H264" s="9">
        <v>3</v>
      </c>
      <c r="I264" s="9">
        <v>20</v>
      </c>
      <c r="K264" s="55" t="s">
        <v>372</v>
      </c>
      <c r="L264" s="55"/>
      <c r="M264" s="9">
        <v>0</v>
      </c>
      <c r="N264" s="9">
        <v>15</v>
      </c>
      <c r="O264" s="9" t="s">
        <v>1418</v>
      </c>
      <c r="P264" s="55" t="s">
        <v>1420</v>
      </c>
      <c r="Q264" s="9" t="s">
        <v>675</v>
      </c>
      <c r="T264" s="9">
        <f ca="1">IFERROR(OFFSET(ITEM_RES!$A$5,MATCH(BUILDING!S264,ITEM_RES!$J$5:$J$229,0)-1,0),0)</f>
        <v>0</v>
      </c>
      <c r="W264" s="11">
        <f ca="1">IFERROR(OFFSET(ITEM_RES!$A$5,MATCH(BUILDING!V264,ITEM_RES!$J$5:$J$229,0)-1,0),0)</f>
        <v>0</v>
      </c>
      <c r="Y264" s="9" t="s">
        <v>505</v>
      </c>
      <c r="Z264" s="9">
        <v>20</v>
      </c>
      <c r="AB264" s="11">
        <f ca="1">IFERROR(OFFSET(MANOR_LEVEL!$B$1,MATCH(AC264-1,MANOR_LEVEL!$A:$A,0)-1,0),0)</f>
        <v>629433600</v>
      </c>
      <c r="AC264" s="55">
        <v>19</v>
      </c>
      <c r="AE264" s="11">
        <f t="shared" ca="1" si="77"/>
        <v>320000000</v>
      </c>
      <c r="AF264" s="10">
        <f ca="1">AK264+AM264+(IFERROR(OFFSET(ITEM_RES!$R$1,MATCH(AQ264,ITEM_RES!$A:$A,0)-1,0),0)*AS264+IFERROR(OFFSET(ITEM_RES!$R$1,MATCH(AV264,ITEM_RES!$A:$A,0)-1,0),0)*AX264+IFERROR(OFFSET(ITEM_RES!$R$1,MATCH(BA264,ITEM_RES!$A:$A,0)-1,0),0)*BC264+IFERROR(OFFSET(ITEM_RES!$R$1,MATCH(BF264,ITEM_RES!$A:$A,0)-1,0),0)*BH264+IFERROR(OFFSET(ITEM_RES!$R$1,MATCH(BK264,ITEM_RES!$A:$A,0)-1,0),0)*BM264)/1000</f>
        <v>320000000</v>
      </c>
      <c r="AG264" s="176">
        <f t="shared" ca="1" si="81"/>
        <v>520000000</v>
      </c>
      <c r="AI264" s="11">
        <f t="shared" si="79"/>
        <v>1980</v>
      </c>
      <c r="AJ264" s="10">
        <v>1980</v>
      </c>
      <c r="AK264" s="11">
        <f t="shared" si="86"/>
        <v>0</v>
      </c>
      <c r="AL264" s="10">
        <v>0</v>
      </c>
      <c r="AM264" s="11">
        <f t="shared" si="87"/>
        <v>0</v>
      </c>
      <c r="AN264" s="10">
        <v>0</v>
      </c>
      <c r="AO264" s="55">
        <f t="shared" si="80"/>
        <v>1</v>
      </c>
      <c r="AQ264" s="11">
        <f ca="1">IFERROR(OFFSET(ITEM_RES!$A$1,MATCH(AR264,ITEM_RES!$J:$J,0)-1,0),0)</f>
        <v>211020901</v>
      </c>
      <c r="AR264" s="10" t="s">
        <v>434</v>
      </c>
      <c r="AS264" s="11">
        <v>32000000</v>
      </c>
      <c r="AV264" s="11">
        <f ca="1">IFERROR(OFFSET(ITEM_RES!$A$1,MATCH(AW264,ITEM_RES!$J:$J,0)-1,0),0)</f>
        <v>0</v>
      </c>
      <c r="BA264" s="11">
        <f ca="1">IFERROR(OFFSET(ITEM_RES!$A$1,MATCH(BB264,ITEM_RES!$J:$J,0)-1,0),0)</f>
        <v>0</v>
      </c>
      <c r="BF264" s="11">
        <f ca="1">IFERROR(OFFSET(ITEM_RES!$A$1,MATCH(BG264,ITEM_RES!$J:$J,0)-1,0),0)</f>
        <v>0</v>
      </c>
      <c r="BK264" s="11">
        <f ca="1">IFERROR(OFFSET(ITEM_RES!$A$1,MATCH(BL264,ITEM_RES!$J:$J,0)-1,0),0)</f>
        <v>0</v>
      </c>
      <c r="BM264" s="11">
        <f t="shared" si="85"/>
        <v>0</v>
      </c>
    </row>
    <row r="265" spans="1:66" s="15" customFormat="1" x14ac:dyDescent="0.3">
      <c r="A265" s="21">
        <f>B265*10000000+C265*1000000+D265*10000+E265*100+F265</f>
        <v>113050001</v>
      </c>
      <c r="B265" s="20">
        <v>11</v>
      </c>
      <c r="C265" s="19">
        <f t="shared" si="83"/>
        <v>3</v>
      </c>
      <c r="D265" s="20">
        <v>5</v>
      </c>
      <c r="E265" s="20">
        <v>0</v>
      </c>
      <c r="F265" s="19">
        <f t="shared" si="84"/>
        <v>1</v>
      </c>
      <c r="G265" s="76"/>
      <c r="H265" s="16">
        <v>3</v>
      </c>
      <c r="I265" s="16">
        <v>1</v>
      </c>
      <c r="J265" s="76"/>
      <c r="K265" s="16" t="s">
        <v>359</v>
      </c>
      <c r="L265" s="16">
        <v>20</v>
      </c>
      <c r="M265" s="16">
        <v>1</v>
      </c>
      <c r="N265" s="16">
        <v>15</v>
      </c>
      <c r="O265" s="137"/>
      <c r="P265" s="56"/>
      <c r="Q265" s="16" t="s">
        <v>676</v>
      </c>
      <c r="R265" s="76"/>
      <c r="S265" s="83"/>
      <c r="T265" s="16">
        <f ca="1">IFERROR(OFFSET(ITEM_RES!$A$5,MATCH(BUILDING!S265,ITEM_RES!$J$5:$J$229,0)-1,0),0)</f>
        <v>0</v>
      </c>
      <c r="U265" s="18"/>
      <c r="V265" s="83"/>
      <c r="W265" s="18">
        <f ca="1">IFERROR(OFFSET(ITEM_RES!$A$5,MATCH(BUILDING!V265,ITEM_RES!$J$5:$J$229,0)-1,0),0)</f>
        <v>0</v>
      </c>
      <c r="X265" s="76"/>
      <c r="Y265" s="16" t="s">
        <v>506</v>
      </c>
      <c r="Z265" s="16">
        <v>1</v>
      </c>
      <c r="AA265" s="76"/>
      <c r="AB265" s="18">
        <f ca="1">IFERROR(OFFSET(MANOR_LEVEL!$B$1,MATCH(AC265-1,MANOR_LEVEL!$A:$A,0)-1,0),0)</f>
        <v>1077433600</v>
      </c>
      <c r="AC265" s="56">
        <v>20</v>
      </c>
      <c r="AD265" s="76"/>
      <c r="AE265" s="18">
        <f t="shared" ca="1" si="77"/>
        <v>1450</v>
      </c>
      <c r="AF265" s="17">
        <f ca="1">AK265+AM265+(IFERROR(OFFSET(ITEM_RES!$R$1,MATCH(AQ265,ITEM_RES!$A:$A,0)-1,0),0)*AS265+IFERROR(OFFSET(ITEM_RES!$R$1,MATCH(AV265,ITEM_RES!$A:$A,0)-1,0),0)*AX265+IFERROR(OFFSET(ITEM_RES!$R$1,MATCH(BA265,ITEM_RES!$A:$A,0)-1,0),0)*BC265+IFERROR(OFFSET(ITEM_RES!$R$1,MATCH(BF265,ITEM_RES!$A:$A,0)-1,0),0)*BH265+IFERROR(OFFSET(ITEM_RES!$R$1,MATCH(BK265,ITEM_RES!$A:$A,0)-1,0),0)*BM265)/1000</f>
        <v>1450</v>
      </c>
      <c r="AG265" s="178">
        <f ca="1">AE265</f>
        <v>1450</v>
      </c>
      <c r="AH265" s="76"/>
      <c r="AI265" s="18">
        <f t="shared" si="79"/>
        <v>2</v>
      </c>
      <c r="AJ265" s="17">
        <v>2</v>
      </c>
      <c r="AK265" s="18">
        <f t="shared" si="86"/>
        <v>0</v>
      </c>
      <c r="AL265" s="17">
        <v>0</v>
      </c>
      <c r="AM265" s="18">
        <f t="shared" si="87"/>
        <v>0</v>
      </c>
      <c r="AN265" s="17">
        <v>0</v>
      </c>
      <c r="AO265" s="56">
        <f t="shared" si="80"/>
        <v>3</v>
      </c>
      <c r="AP265" s="18"/>
      <c r="AQ265" s="18">
        <f ca="1">IFERROR(OFFSET(ITEM_RES!$A$1,MATCH(AR265,ITEM_RES!$J:$J,0)-1,0),0)</f>
        <v>211020801</v>
      </c>
      <c r="AR265" s="17" t="s">
        <v>425</v>
      </c>
      <c r="AS265" s="18">
        <v>50</v>
      </c>
      <c r="AT265" s="17"/>
      <c r="AU265" s="18"/>
      <c r="AV265" s="18">
        <f ca="1">IFERROR(OFFSET(ITEM_RES!$A$1,MATCH(AW265,ITEM_RES!$J:$J,0)-1,0),0)</f>
        <v>211020401</v>
      </c>
      <c r="AW265" s="17" t="s">
        <v>415</v>
      </c>
      <c r="AX265" s="18">
        <v>50</v>
      </c>
      <c r="AY265" s="17"/>
      <c r="AZ265" s="18"/>
      <c r="BA265" s="18">
        <f ca="1">IFERROR(OFFSET(ITEM_RES!$A$1,MATCH(BB265,ITEM_RES!$J:$J,0)-1,0),0)</f>
        <v>213010101</v>
      </c>
      <c r="BB265" s="17" t="s">
        <v>440</v>
      </c>
      <c r="BC265" s="18">
        <v>1</v>
      </c>
      <c r="BD265" s="17"/>
      <c r="BE265" s="18"/>
      <c r="BF265" s="18">
        <f ca="1">IFERROR(OFFSET(ITEM_RES!$A$1,MATCH(BG265,ITEM_RES!$J:$J,0)-1,0),0)</f>
        <v>0</v>
      </c>
      <c r="BG265" s="17"/>
      <c r="BH265" s="18"/>
      <c r="BI265" s="17"/>
      <c r="BJ265" s="18"/>
      <c r="BK265" s="18">
        <f ca="1">IFERROR(OFFSET(ITEM_RES!$A$1,MATCH(BL265,ITEM_RES!$J:$J,0)-1,0),0)</f>
        <v>0</v>
      </c>
      <c r="BL265" s="17"/>
      <c r="BM265" s="18">
        <f t="shared" si="85"/>
        <v>0</v>
      </c>
      <c r="BN265" s="17"/>
    </row>
    <row r="266" spans="1:66" x14ac:dyDescent="0.3">
      <c r="A266" s="14">
        <f t="shared" si="82"/>
        <v>113050002</v>
      </c>
      <c r="B266" s="13">
        <v>11</v>
      </c>
      <c r="C266" s="12">
        <f t="shared" si="83"/>
        <v>3</v>
      </c>
      <c r="D266" s="13">
        <v>5</v>
      </c>
      <c r="E266" s="13">
        <v>0</v>
      </c>
      <c r="F266" s="12">
        <f t="shared" si="84"/>
        <v>2</v>
      </c>
      <c r="H266" s="9">
        <v>3</v>
      </c>
      <c r="I266" s="9">
        <v>2</v>
      </c>
      <c r="K266" s="9" t="s">
        <v>359</v>
      </c>
      <c r="M266" s="9">
        <v>1</v>
      </c>
      <c r="N266" s="9">
        <v>15</v>
      </c>
      <c r="O266" s="138"/>
      <c r="Q266" s="9" t="s">
        <v>676</v>
      </c>
      <c r="T266" s="9">
        <f ca="1">IFERROR(OFFSET(ITEM_RES!$A$5,MATCH(BUILDING!S266,ITEM_RES!$J$5:$J$229,0)-1,0),0)</f>
        <v>0</v>
      </c>
      <c r="W266" s="11">
        <f ca="1">IFERROR(OFFSET(ITEM_RES!$A$5,MATCH(BUILDING!V266,ITEM_RES!$J$5:$J$229,0)-1,0),0)</f>
        <v>0</v>
      </c>
      <c r="Y266" s="9" t="s">
        <v>506</v>
      </c>
      <c r="Z266" s="9">
        <v>2</v>
      </c>
      <c r="AB266" s="11">
        <f ca="1">IFERROR(OFFSET(MANOR_LEVEL!$B$1,MATCH(AC266-1,MANOR_LEVEL!$A:$A,0)-1,0),0)</f>
        <v>1077433600</v>
      </c>
      <c r="AC266" s="55">
        <v>20</v>
      </c>
      <c r="AE266" s="11">
        <f t="shared" ca="1" si="77"/>
        <v>900</v>
      </c>
      <c r="AF266" s="10">
        <f ca="1">AK266+AM266+(IFERROR(OFFSET(ITEM_RES!$R$1,MATCH(AQ266,ITEM_RES!$A:$A,0)-1,0),0)*AS266+IFERROR(OFFSET(ITEM_RES!$R$1,MATCH(AV266,ITEM_RES!$A:$A,0)-1,0),0)*AX266+IFERROR(OFFSET(ITEM_RES!$R$1,MATCH(BA266,ITEM_RES!$A:$A,0)-1,0),0)*BC266+IFERROR(OFFSET(ITEM_RES!$R$1,MATCH(BF266,ITEM_RES!$A:$A,0)-1,0),0)*BH266+IFERROR(OFFSET(ITEM_RES!$R$1,MATCH(BK266,ITEM_RES!$A:$A,0)-1,0),0)*BM266)/1000</f>
        <v>900</v>
      </c>
      <c r="AG266" s="176">
        <f ca="1">AE265+AE266</f>
        <v>2350</v>
      </c>
      <c r="AI266" s="11">
        <f t="shared" si="79"/>
        <v>2</v>
      </c>
      <c r="AJ266" s="10">
        <v>2</v>
      </c>
      <c r="AK266" s="11">
        <f t="shared" si="86"/>
        <v>0</v>
      </c>
      <c r="AL266" s="10">
        <v>0</v>
      </c>
      <c r="AM266" s="11">
        <f t="shared" si="87"/>
        <v>0</v>
      </c>
      <c r="AN266" s="10">
        <v>0</v>
      </c>
      <c r="AO266" s="55">
        <f t="shared" si="80"/>
        <v>2</v>
      </c>
      <c r="AQ266" s="11">
        <f ca="1">IFERROR(OFFSET(ITEM_RES!$A$1,MATCH(AR266,ITEM_RES!$J:$J,0)-1,0),0)</f>
        <v>211020801</v>
      </c>
      <c r="AR266" s="10" t="s">
        <v>425</v>
      </c>
      <c r="AS266" s="11">
        <v>100</v>
      </c>
      <c r="AV266" s="11">
        <f ca="1">IFERROR(OFFSET(ITEM_RES!$A$1,MATCH(AW266,ITEM_RES!$J:$J,0)-1,0),0)</f>
        <v>211020401</v>
      </c>
      <c r="AW266" s="10" t="s">
        <v>415</v>
      </c>
      <c r="AX266" s="11">
        <v>100</v>
      </c>
      <c r="BA266" s="11">
        <f ca="1">IFERROR(OFFSET(ITEM_RES!$A$1,MATCH(BB266,ITEM_RES!$J:$J,0)-1,0),0)</f>
        <v>0</v>
      </c>
      <c r="BF266" s="11">
        <f ca="1">IFERROR(OFFSET(ITEM_RES!$A$1,MATCH(BG266,ITEM_RES!$J:$J,0)-1,0),0)</f>
        <v>0</v>
      </c>
      <c r="BK266" s="11">
        <f ca="1">IFERROR(OFFSET(ITEM_RES!$A$1,MATCH(BL266,ITEM_RES!$J:$J,0)-1,0),0)</f>
        <v>0</v>
      </c>
      <c r="BM266" s="11">
        <f t="shared" si="85"/>
        <v>0</v>
      </c>
    </row>
    <row r="267" spans="1:66" x14ac:dyDescent="0.3">
      <c r="A267" s="14">
        <f t="shared" si="82"/>
        <v>113050003</v>
      </c>
      <c r="B267" s="13">
        <v>11</v>
      </c>
      <c r="C267" s="12">
        <f t="shared" si="83"/>
        <v>3</v>
      </c>
      <c r="D267" s="13">
        <v>5</v>
      </c>
      <c r="E267" s="13">
        <v>0</v>
      </c>
      <c r="F267" s="12">
        <f t="shared" si="84"/>
        <v>3</v>
      </c>
      <c r="H267" s="9">
        <v>3</v>
      </c>
      <c r="I267" s="9">
        <v>3</v>
      </c>
      <c r="K267" s="9" t="s">
        <v>359</v>
      </c>
      <c r="M267" s="9">
        <v>1</v>
      </c>
      <c r="N267" s="9">
        <v>15</v>
      </c>
      <c r="O267" s="138"/>
      <c r="Q267" s="9" t="s">
        <v>676</v>
      </c>
      <c r="T267" s="9">
        <f ca="1">IFERROR(OFFSET(ITEM_RES!$A$5,MATCH(BUILDING!S267,ITEM_RES!$J$5:$J$229,0)-1,0),0)</f>
        <v>0</v>
      </c>
      <c r="W267" s="11">
        <f ca="1">IFERROR(OFFSET(ITEM_RES!$A$5,MATCH(BUILDING!V267,ITEM_RES!$J$5:$J$229,0)-1,0),0)</f>
        <v>0</v>
      </c>
      <c r="Y267" s="9" t="s">
        <v>506</v>
      </c>
      <c r="Z267" s="9">
        <v>3</v>
      </c>
      <c r="AB267" s="11">
        <f ca="1">IFERROR(OFFSET(MANOR_LEVEL!$B$1,MATCH(AC267-1,MANOR_LEVEL!$A:$A,0)-1,0),0)</f>
        <v>1077433600</v>
      </c>
      <c r="AC267" s="55">
        <v>20</v>
      </c>
      <c r="AE267" s="11">
        <f t="shared" ca="1" si="77"/>
        <v>1350</v>
      </c>
      <c r="AF267" s="10">
        <f ca="1">AK267+AM267+(IFERROR(OFFSET(ITEM_RES!$R$1,MATCH(AQ267,ITEM_RES!$A:$A,0)-1,0),0)*AS267+IFERROR(OFFSET(ITEM_RES!$R$1,MATCH(AV267,ITEM_RES!$A:$A,0)-1,0),0)*AX267+IFERROR(OFFSET(ITEM_RES!$R$1,MATCH(BA267,ITEM_RES!$A:$A,0)-1,0),0)*BC267+IFERROR(OFFSET(ITEM_RES!$R$1,MATCH(BF267,ITEM_RES!$A:$A,0)-1,0),0)*BH267+IFERROR(OFFSET(ITEM_RES!$R$1,MATCH(BK267,ITEM_RES!$A:$A,0)-1,0),0)*BM267)/1000</f>
        <v>1350</v>
      </c>
      <c r="AG267" s="176">
        <f t="shared" ref="AG267:AG284" ca="1" si="88">AE266+AE267</f>
        <v>2250</v>
      </c>
      <c r="AI267" s="11">
        <f t="shared" si="79"/>
        <v>3</v>
      </c>
      <c r="AJ267" s="10">
        <v>3</v>
      </c>
      <c r="AK267" s="11">
        <f t="shared" si="86"/>
        <v>0</v>
      </c>
      <c r="AL267" s="10">
        <v>0</v>
      </c>
      <c r="AM267" s="11">
        <f t="shared" si="87"/>
        <v>0</v>
      </c>
      <c r="AN267" s="10">
        <v>0</v>
      </c>
      <c r="AO267" s="55">
        <f t="shared" si="80"/>
        <v>2</v>
      </c>
      <c r="AQ267" s="11">
        <f ca="1">IFERROR(OFFSET(ITEM_RES!$A$1,MATCH(AR267,ITEM_RES!$J:$J,0)-1,0),0)</f>
        <v>211020801</v>
      </c>
      <c r="AR267" s="10" t="s">
        <v>425</v>
      </c>
      <c r="AS267" s="11">
        <v>150</v>
      </c>
      <c r="AV267" s="11">
        <f ca="1">IFERROR(OFFSET(ITEM_RES!$A$1,MATCH(AW267,ITEM_RES!$J:$J,0)-1,0),0)</f>
        <v>211020401</v>
      </c>
      <c r="AW267" s="10" t="s">
        <v>415</v>
      </c>
      <c r="AX267" s="11">
        <v>150</v>
      </c>
      <c r="BA267" s="11">
        <f ca="1">IFERROR(OFFSET(ITEM_RES!$A$1,MATCH(BB267,ITEM_RES!$J:$J,0)-1,0),0)</f>
        <v>0</v>
      </c>
      <c r="BF267" s="11">
        <f ca="1">IFERROR(OFFSET(ITEM_RES!$A$1,MATCH(BG267,ITEM_RES!$J:$J,0)-1,0),0)</f>
        <v>0</v>
      </c>
      <c r="BK267" s="11">
        <f ca="1">IFERROR(OFFSET(ITEM_RES!$A$1,MATCH(BL267,ITEM_RES!$J:$J,0)-1,0),0)</f>
        <v>0</v>
      </c>
      <c r="BM267" s="11">
        <f t="shared" si="85"/>
        <v>0</v>
      </c>
    </row>
    <row r="268" spans="1:66" x14ac:dyDescent="0.3">
      <c r="A268" s="14">
        <f t="shared" si="82"/>
        <v>113050004</v>
      </c>
      <c r="B268" s="13">
        <v>11</v>
      </c>
      <c r="C268" s="12">
        <f t="shared" si="83"/>
        <v>3</v>
      </c>
      <c r="D268" s="13">
        <v>5</v>
      </c>
      <c r="E268" s="13">
        <v>0</v>
      </c>
      <c r="F268" s="12">
        <f t="shared" si="84"/>
        <v>4</v>
      </c>
      <c r="H268" s="9">
        <v>3</v>
      </c>
      <c r="I268" s="9">
        <v>4</v>
      </c>
      <c r="K268" s="9" t="s">
        <v>359</v>
      </c>
      <c r="M268" s="9">
        <v>1</v>
      </c>
      <c r="N268" s="9">
        <v>15</v>
      </c>
      <c r="O268" s="138"/>
      <c r="Q268" s="9" t="s">
        <v>676</v>
      </c>
      <c r="T268" s="9">
        <f ca="1">IFERROR(OFFSET(ITEM_RES!$A$5,MATCH(BUILDING!S268,ITEM_RES!$J$5:$J$229,0)-1,0),0)</f>
        <v>0</v>
      </c>
      <c r="W268" s="11">
        <f ca="1">IFERROR(OFFSET(ITEM_RES!$A$5,MATCH(BUILDING!V268,ITEM_RES!$J$5:$J$229,0)-1,0),0)</f>
        <v>0</v>
      </c>
      <c r="Y268" s="9" t="s">
        <v>506</v>
      </c>
      <c r="Z268" s="9">
        <v>4</v>
      </c>
      <c r="AB268" s="11">
        <f ca="1">IFERROR(OFFSET(MANOR_LEVEL!$B$1,MATCH(AC268-1,MANOR_LEVEL!$A:$A,0)-1,0),0)</f>
        <v>1077433600</v>
      </c>
      <c r="AC268" s="55">
        <v>20</v>
      </c>
      <c r="AE268" s="11">
        <f t="shared" ca="1" si="77"/>
        <v>5400</v>
      </c>
      <c r="AF268" s="10">
        <f ca="1">AK268+AM268+(IFERROR(OFFSET(ITEM_RES!$R$1,MATCH(AQ268,ITEM_RES!$A:$A,0)-1,0),0)*AS268+IFERROR(OFFSET(ITEM_RES!$R$1,MATCH(AV268,ITEM_RES!$A:$A,0)-1,0),0)*AX268+IFERROR(OFFSET(ITEM_RES!$R$1,MATCH(BA268,ITEM_RES!$A:$A,0)-1,0),0)*BC268+IFERROR(OFFSET(ITEM_RES!$R$1,MATCH(BF268,ITEM_RES!$A:$A,0)-1,0),0)*BH268+IFERROR(OFFSET(ITEM_RES!$R$1,MATCH(BK268,ITEM_RES!$A:$A,0)-1,0),0)*BM268)/1000</f>
        <v>5400</v>
      </c>
      <c r="AG268" s="176">
        <f t="shared" ca="1" si="88"/>
        <v>6750</v>
      </c>
      <c r="AI268" s="11">
        <f t="shared" si="79"/>
        <v>5</v>
      </c>
      <c r="AJ268" s="10">
        <v>5</v>
      </c>
      <c r="AK268" s="11">
        <f t="shared" si="86"/>
        <v>0</v>
      </c>
      <c r="AL268" s="10">
        <v>0</v>
      </c>
      <c r="AM268" s="11">
        <f t="shared" si="87"/>
        <v>0</v>
      </c>
      <c r="AN268" s="10">
        <v>0</v>
      </c>
      <c r="AO268" s="55">
        <f t="shared" si="80"/>
        <v>2</v>
      </c>
      <c r="AQ268" s="11">
        <f ca="1">IFERROR(OFFSET(ITEM_RES!$A$1,MATCH(AR268,ITEM_RES!$J:$J,0)-1,0),0)</f>
        <v>211020801</v>
      </c>
      <c r="AR268" s="10" t="s">
        <v>425</v>
      </c>
      <c r="AS268" s="11">
        <v>600</v>
      </c>
      <c r="AV268" s="11">
        <f ca="1">IFERROR(OFFSET(ITEM_RES!$A$1,MATCH(AW268,ITEM_RES!$J:$J,0)-1,0),0)</f>
        <v>211020401</v>
      </c>
      <c r="AW268" s="10" t="s">
        <v>415</v>
      </c>
      <c r="AX268" s="11">
        <v>600</v>
      </c>
      <c r="BA268" s="11">
        <f ca="1">IFERROR(OFFSET(ITEM_RES!$A$1,MATCH(BB268,ITEM_RES!$J:$J,0)-1,0),0)</f>
        <v>0</v>
      </c>
      <c r="BF268" s="11">
        <f ca="1">IFERROR(OFFSET(ITEM_RES!$A$1,MATCH(BG268,ITEM_RES!$J:$J,0)-1,0),0)</f>
        <v>0</v>
      </c>
      <c r="BK268" s="11">
        <f ca="1">IFERROR(OFFSET(ITEM_RES!$A$1,MATCH(BL268,ITEM_RES!$J:$J,0)-1,0),0)</f>
        <v>0</v>
      </c>
      <c r="BM268" s="11">
        <f t="shared" si="85"/>
        <v>0</v>
      </c>
    </row>
    <row r="269" spans="1:66" x14ac:dyDescent="0.3">
      <c r="A269" s="14">
        <f t="shared" si="82"/>
        <v>113050005</v>
      </c>
      <c r="B269" s="13">
        <v>11</v>
      </c>
      <c r="C269" s="12">
        <f t="shared" si="83"/>
        <v>3</v>
      </c>
      <c r="D269" s="13">
        <v>5</v>
      </c>
      <c r="E269" s="13">
        <v>0</v>
      </c>
      <c r="F269" s="12">
        <f t="shared" si="84"/>
        <v>5</v>
      </c>
      <c r="H269" s="9">
        <v>3</v>
      </c>
      <c r="I269" s="9">
        <v>5</v>
      </c>
      <c r="K269" s="9" t="s">
        <v>359</v>
      </c>
      <c r="M269" s="9">
        <v>1</v>
      </c>
      <c r="N269" s="9">
        <v>15</v>
      </c>
      <c r="O269" s="138"/>
      <c r="Q269" s="9" t="s">
        <v>676</v>
      </c>
      <c r="T269" s="9">
        <f ca="1">IFERROR(OFFSET(ITEM_RES!$A$5,MATCH(BUILDING!S269,ITEM_RES!$J$5:$J$229,0)-1,0),0)</f>
        <v>0</v>
      </c>
      <c r="W269" s="11">
        <f ca="1">IFERROR(OFFSET(ITEM_RES!$A$5,MATCH(BUILDING!V269,ITEM_RES!$J$5:$J$229,0)-1,0),0)</f>
        <v>0</v>
      </c>
      <c r="Y269" s="9" t="s">
        <v>506</v>
      </c>
      <c r="Z269" s="9">
        <v>5</v>
      </c>
      <c r="AB269" s="11">
        <f ca="1">IFERROR(OFFSET(MANOR_LEVEL!$B$1,MATCH(AC269-1,MANOR_LEVEL!$A:$A,0)-1,0),0)</f>
        <v>1077433600</v>
      </c>
      <c r="AC269" s="55">
        <v>20</v>
      </c>
      <c r="AE269" s="11">
        <f t="shared" ca="1" si="77"/>
        <v>24300</v>
      </c>
      <c r="AF269" s="10">
        <f ca="1">AK269+AM269+(IFERROR(OFFSET(ITEM_RES!$R$1,MATCH(AQ269,ITEM_RES!$A:$A,0)-1,0),0)*AS269+IFERROR(OFFSET(ITEM_RES!$R$1,MATCH(AV269,ITEM_RES!$A:$A,0)-1,0),0)*AX269+IFERROR(OFFSET(ITEM_RES!$R$1,MATCH(BA269,ITEM_RES!$A:$A,0)-1,0),0)*BC269+IFERROR(OFFSET(ITEM_RES!$R$1,MATCH(BF269,ITEM_RES!$A:$A,0)-1,0),0)*BH269+IFERROR(OFFSET(ITEM_RES!$R$1,MATCH(BK269,ITEM_RES!$A:$A,0)-1,0),0)*BM269)/1000</f>
        <v>24300</v>
      </c>
      <c r="AG269" s="176">
        <f t="shared" ca="1" si="88"/>
        <v>29700</v>
      </c>
      <c r="AI269" s="11">
        <f t="shared" si="79"/>
        <v>8</v>
      </c>
      <c r="AJ269" s="10">
        <v>8</v>
      </c>
      <c r="AK269" s="11">
        <f t="shared" si="86"/>
        <v>0</v>
      </c>
      <c r="AL269" s="10">
        <v>0</v>
      </c>
      <c r="AM269" s="11">
        <f t="shared" si="87"/>
        <v>0</v>
      </c>
      <c r="AN269" s="10">
        <v>0</v>
      </c>
      <c r="AO269" s="55">
        <f t="shared" si="80"/>
        <v>2</v>
      </c>
      <c r="AQ269" s="11">
        <f ca="1">IFERROR(OFFSET(ITEM_RES!$A$1,MATCH(AR269,ITEM_RES!$J:$J,0)-1,0),0)</f>
        <v>211020801</v>
      </c>
      <c r="AR269" s="10" t="s">
        <v>425</v>
      </c>
      <c r="AS269" s="11">
        <v>2700</v>
      </c>
      <c r="AV269" s="11">
        <f ca="1">IFERROR(OFFSET(ITEM_RES!$A$1,MATCH(AW269,ITEM_RES!$J:$J,0)-1,0),0)</f>
        <v>211020401</v>
      </c>
      <c r="AW269" s="10" t="s">
        <v>415</v>
      </c>
      <c r="AX269" s="11">
        <v>2700</v>
      </c>
      <c r="BA269" s="11">
        <f ca="1">IFERROR(OFFSET(ITEM_RES!$A$1,MATCH(BB269,ITEM_RES!$J:$J,0)-1,0),0)</f>
        <v>0</v>
      </c>
      <c r="BF269" s="11">
        <f ca="1">IFERROR(OFFSET(ITEM_RES!$A$1,MATCH(BG269,ITEM_RES!$J:$J,0)-1,0),0)</f>
        <v>0</v>
      </c>
      <c r="BK269" s="11">
        <f ca="1">IFERROR(OFFSET(ITEM_RES!$A$1,MATCH(BL269,ITEM_RES!$J:$J,0)-1,0),0)</f>
        <v>0</v>
      </c>
      <c r="BM269" s="11">
        <f t="shared" si="85"/>
        <v>0</v>
      </c>
    </row>
    <row r="270" spans="1:66" x14ac:dyDescent="0.3">
      <c r="A270" s="14">
        <f t="shared" si="82"/>
        <v>113050006</v>
      </c>
      <c r="B270" s="13">
        <v>11</v>
      </c>
      <c r="C270" s="12">
        <f t="shared" si="83"/>
        <v>3</v>
      </c>
      <c r="D270" s="13">
        <v>5</v>
      </c>
      <c r="E270" s="13">
        <v>0</v>
      </c>
      <c r="F270" s="12">
        <f t="shared" si="84"/>
        <v>6</v>
      </c>
      <c r="H270" s="9">
        <v>3</v>
      </c>
      <c r="I270" s="9">
        <v>6</v>
      </c>
      <c r="K270" s="9" t="s">
        <v>359</v>
      </c>
      <c r="M270" s="9">
        <v>1</v>
      </c>
      <c r="N270" s="9">
        <v>15</v>
      </c>
      <c r="O270" s="138"/>
      <c r="Q270" s="9" t="s">
        <v>676</v>
      </c>
      <c r="T270" s="9">
        <f ca="1">IFERROR(OFFSET(ITEM_RES!$A$5,MATCH(BUILDING!S270,ITEM_RES!$J$5:$J$229,0)-1,0),0)</f>
        <v>0</v>
      </c>
      <c r="W270" s="11">
        <f ca="1">IFERROR(OFFSET(ITEM_RES!$A$5,MATCH(BUILDING!V270,ITEM_RES!$J$5:$J$229,0)-1,0),0)</f>
        <v>0</v>
      </c>
      <c r="Y270" s="9" t="s">
        <v>506</v>
      </c>
      <c r="Z270" s="9">
        <v>6</v>
      </c>
      <c r="AB270" s="11">
        <f ca="1">IFERROR(OFFSET(MANOR_LEVEL!$B$1,MATCH(AC270-1,MANOR_LEVEL!$A:$A,0)-1,0),0)</f>
        <v>1077433600</v>
      </c>
      <c r="AC270" s="55">
        <v>20</v>
      </c>
      <c r="AE270" s="11">
        <f t="shared" ca="1" si="77"/>
        <v>81000</v>
      </c>
      <c r="AF270" s="10">
        <f ca="1">AK270+AM270+(IFERROR(OFFSET(ITEM_RES!$R$1,MATCH(AQ270,ITEM_RES!$A:$A,0)-1,0),0)*AS270+IFERROR(OFFSET(ITEM_RES!$R$1,MATCH(AV270,ITEM_RES!$A:$A,0)-1,0),0)*AX270+IFERROR(OFFSET(ITEM_RES!$R$1,MATCH(BA270,ITEM_RES!$A:$A,0)-1,0),0)*BC270+IFERROR(OFFSET(ITEM_RES!$R$1,MATCH(BF270,ITEM_RES!$A:$A,0)-1,0),0)*BH270+IFERROR(OFFSET(ITEM_RES!$R$1,MATCH(BK270,ITEM_RES!$A:$A,0)-1,0),0)*BM270)/1000</f>
        <v>81000</v>
      </c>
      <c r="AG270" s="176">
        <f t="shared" ca="1" si="88"/>
        <v>105300</v>
      </c>
      <c r="AI270" s="11">
        <f t="shared" si="79"/>
        <v>10</v>
      </c>
      <c r="AJ270" s="10">
        <v>10</v>
      </c>
      <c r="AK270" s="11">
        <f t="shared" si="86"/>
        <v>0</v>
      </c>
      <c r="AL270" s="10">
        <v>0</v>
      </c>
      <c r="AM270" s="11">
        <f t="shared" si="87"/>
        <v>0</v>
      </c>
      <c r="AN270" s="10">
        <v>0</v>
      </c>
      <c r="AO270" s="55">
        <f t="shared" si="80"/>
        <v>2</v>
      </c>
      <c r="AQ270" s="11">
        <f ca="1">IFERROR(OFFSET(ITEM_RES!$A$1,MATCH(AR270,ITEM_RES!$J:$J,0)-1,0),0)</f>
        <v>211020801</v>
      </c>
      <c r="AR270" s="10" t="s">
        <v>425</v>
      </c>
      <c r="AS270" s="11">
        <v>9000</v>
      </c>
      <c r="AV270" s="11">
        <f ca="1">IFERROR(OFFSET(ITEM_RES!$A$1,MATCH(AW270,ITEM_RES!$J:$J,0)-1,0),0)</f>
        <v>211020401</v>
      </c>
      <c r="AW270" s="10" t="s">
        <v>415</v>
      </c>
      <c r="AX270" s="11">
        <v>9000</v>
      </c>
      <c r="BA270" s="11">
        <f ca="1">IFERROR(OFFSET(ITEM_RES!$A$1,MATCH(BB270,ITEM_RES!$J:$J,0)-1,0),0)</f>
        <v>0</v>
      </c>
      <c r="BF270" s="11">
        <f ca="1">IFERROR(OFFSET(ITEM_RES!$A$1,MATCH(BG270,ITEM_RES!$J:$J,0)-1,0),0)</f>
        <v>0</v>
      </c>
      <c r="BK270" s="11">
        <f ca="1">IFERROR(OFFSET(ITEM_RES!$A$1,MATCH(BL270,ITEM_RES!$J:$J,0)-1,0),0)</f>
        <v>0</v>
      </c>
      <c r="BM270" s="11">
        <f t="shared" si="85"/>
        <v>0</v>
      </c>
    </row>
    <row r="271" spans="1:66" x14ac:dyDescent="0.3">
      <c r="A271" s="14">
        <f t="shared" si="82"/>
        <v>113050007</v>
      </c>
      <c r="B271" s="13">
        <v>11</v>
      </c>
      <c r="C271" s="12">
        <f t="shared" si="83"/>
        <v>3</v>
      </c>
      <c r="D271" s="13">
        <v>5</v>
      </c>
      <c r="E271" s="13">
        <v>0</v>
      </c>
      <c r="F271" s="12">
        <f t="shared" si="84"/>
        <v>7</v>
      </c>
      <c r="H271" s="9">
        <v>3</v>
      </c>
      <c r="I271" s="9">
        <v>7</v>
      </c>
      <c r="K271" s="9" t="s">
        <v>359</v>
      </c>
      <c r="M271" s="9">
        <v>1</v>
      </c>
      <c r="N271" s="9">
        <v>15</v>
      </c>
      <c r="O271" s="138"/>
      <c r="Q271" s="9" t="s">
        <v>676</v>
      </c>
      <c r="T271" s="9">
        <f ca="1">IFERROR(OFFSET(ITEM_RES!$A$5,MATCH(BUILDING!S271,ITEM_RES!$J$5:$J$229,0)-1,0),0)</f>
        <v>0</v>
      </c>
      <c r="W271" s="11">
        <f ca="1">IFERROR(OFFSET(ITEM_RES!$A$5,MATCH(BUILDING!V271,ITEM_RES!$J$5:$J$229,0)-1,0),0)</f>
        <v>0</v>
      </c>
      <c r="Y271" s="9" t="s">
        <v>506</v>
      </c>
      <c r="Z271" s="9">
        <v>7</v>
      </c>
      <c r="AB271" s="11">
        <f ca="1">IFERROR(OFFSET(MANOR_LEVEL!$B$1,MATCH(AC271-1,MANOR_LEVEL!$A:$A,0)-1,0),0)</f>
        <v>1077433600</v>
      </c>
      <c r="AC271" s="55">
        <v>20</v>
      </c>
      <c r="AE271" s="11">
        <f t="shared" ca="1" si="77"/>
        <v>180000</v>
      </c>
      <c r="AF271" s="10">
        <f ca="1">AK271+AM271+(IFERROR(OFFSET(ITEM_RES!$R$1,MATCH(AQ271,ITEM_RES!$A:$A,0)-1,0),0)*AS271+IFERROR(OFFSET(ITEM_RES!$R$1,MATCH(AV271,ITEM_RES!$A:$A,0)-1,0),0)*AX271+IFERROR(OFFSET(ITEM_RES!$R$1,MATCH(BA271,ITEM_RES!$A:$A,0)-1,0),0)*BC271+IFERROR(OFFSET(ITEM_RES!$R$1,MATCH(BF271,ITEM_RES!$A:$A,0)-1,0),0)*BH271+IFERROR(OFFSET(ITEM_RES!$R$1,MATCH(BK271,ITEM_RES!$A:$A,0)-1,0),0)*BM271)/1000</f>
        <v>180000</v>
      </c>
      <c r="AG271" s="176">
        <f t="shared" ca="1" si="88"/>
        <v>261000</v>
      </c>
      <c r="AI271" s="11">
        <f t="shared" si="79"/>
        <v>15</v>
      </c>
      <c r="AJ271" s="10">
        <v>15</v>
      </c>
      <c r="AK271" s="11">
        <f t="shared" si="86"/>
        <v>0</v>
      </c>
      <c r="AL271" s="10">
        <v>0</v>
      </c>
      <c r="AM271" s="11">
        <f t="shared" si="87"/>
        <v>0</v>
      </c>
      <c r="AN271" s="10">
        <v>0</v>
      </c>
      <c r="AO271" s="55">
        <f t="shared" si="80"/>
        <v>2</v>
      </c>
      <c r="AQ271" s="11">
        <f ca="1">IFERROR(OFFSET(ITEM_RES!$A$1,MATCH(AR271,ITEM_RES!$J:$J,0)-1,0),0)</f>
        <v>211020801</v>
      </c>
      <c r="AR271" s="10" t="s">
        <v>425</v>
      </c>
      <c r="AS271" s="11">
        <v>20000</v>
      </c>
      <c r="AV271" s="11">
        <f ca="1">IFERROR(OFFSET(ITEM_RES!$A$1,MATCH(AW271,ITEM_RES!$J:$J,0)-1,0),0)</f>
        <v>211020401</v>
      </c>
      <c r="AW271" s="10" t="s">
        <v>415</v>
      </c>
      <c r="AX271" s="11">
        <v>20000</v>
      </c>
      <c r="BA271" s="11">
        <f ca="1">IFERROR(OFFSET(ITEM_RES!$A$1,MATCH(BB271,ITEM_RES!$J:$J,0)-1,0),0)</f>
        <v>0</v>
      </c>
      <c r="BF271" s="11">
        <f ca="1">IFERROR(OFFSET(ITEM_RES!$A$1,MATCH(BG271,ITEM_RES!$J:$J,0)-1,0),0)</f>
        <v>0</v>
      </c>
      <c r="BK271" s="11">
        <f ca="1">IFERROR(OFFSET(ITEM_RES!$A$1,MATCH(BL271,ITEM_RES!$J:$J,0)-1,0),0)</f>
        <v>0</v>
      </c>
      <c r="BM271" s="11">
        <f t="shared" si="85"/>
        <v>0</v>
      </c>
    </row>
    <row r="272" spans="1:66" x14ac:dyDescent="0.3">
      <c r="A272" s="14">
        <f t="shared" si="82"/>
        <v>113050008</v>
      </c>
      <c r="B272" s="13">
        <v>11</v>
      </c>
      <c r="C272" s="12">
        <f t="shared" si="83"/>
        <v>3</v>
      </c>
      <c r="D272" s="13">
        <v>5</v>
      </c>
      <c r="E272" s="13">
        <v>0</v>
      </c>
      <c r="F272" s="12">
        <f t="shared" si="84"/>
        <v>8</v>
      </c>
      <c r="H272" s="9">
        <v>3</v>
      </c>
      <c r="I272" s="9">
        <v>8</v>
      </c>
      <c r="K272" s="9" t="s">
        <v>359</v>
      </c>
      <c r="M272" s="9">
        <v>1</v>
      </c>
      <c r="N272" s="9">
        <v>15</v>
      </c>
      <c r="O272" s="138"/>
      <c r="Q272" s="9" t="s">
        <v>676</v>
      </c>
      <c r="T272" s="9">
        <f ca="1">IFERROR(OFFSET(ITEM_RES!$A$5,MATCH(BUILDING!S272,ITEM_RES!$J$5:$J$229,0)-1,0),0)</f>
        <v>0</v>
      </c>
      <c r="W272" s="11">
        <f ca="1">IFERROR(OFFSET(ITEM_RES!$A$5,MATCH(BUILDING!V272,ITEM_RES!$J$5:$J$229,0)-1,0),0)</f>
        <v>0</v>
      </c>
      <c r="Y272" s="9" t="s">
        <v>506</v>
      </c>
      <c r="Z272" s="9">
        <v>8</v>
      </c>
      <c r="AB272" s="11">
        <f ca="1">IFERROR(OFFSET(MANOR_LEVEL!$B$1,MATCH(AC272-1,MANOR_LEVEL!$A:$A,0)-1,0),0)</f>
        <v>1077433600</v>
      </c>
      <c r="AC272" s="55">
        <v>20</v>
      </c>
      <c r="AE272" s="11">
        <f t="shared" ca="1" si="77"/>
        <v>379000</v>
      </c>
      <c r="AF272" s="10">
        <f ca="1">AK272+AM272+(IFERROR(OFFSET(ITEM_RES!$R$1,MATCH(AQ272,ITEM_RES!$A:$A,0)-1,0),0)*AS272+IFERROR(OFFSET(ITEM_RES!$R$1,MATCH(AV272,ITEM_RES!$A:$A,0)-1,0),0)*AX272+IFERROR(OFFSET(ITEM_RES!$R$1,MATCH(BA272,ITEM_RES!$A:$A,0)-1,0),0)*BC272+IFERROR(OFFSET(ITEM_RES!$R$1,MATCH(BF272,ITEM_RES!$A:$A,0)-1,0),0)*BH272+IFERROR(OFFSET(ITEM_RES!$R$1,MATCH(BK272,ITEM_RES!$A:$A,0)-1,0),0)*BM272)/1000</f>
        <v>379000</v>
      </c>
      <c r="AG272" s="176">
        <f t="shared" ca="1" si="88"/>
        <v>559000</v>
      </c>
      <c r="AI272" s="11">
        <f t="shared" si="79"/>
        <v>30</v>
      </c>
      <c r="AJ272" s="10">
        <v>30</v>
      </c>
      <c r="AK272" s="11">
        <f t="shared" si="86"/>
        <v>0</v>
      </c>
      <c r="AL272" s="10">
        <v>0</v>
      </c>
      <c r="AM272" s="11">
        <f t="shared" si="87"/>
        <v>0</v>
      </c>
      <c r="AN272" s="10">
        <v>0</v>
      </c>
      <c r="AO272" s="55">
        <f t="shared" si="80"/>
        <v>3</v>
      </c>
      <c r="AQ272" s="11">
        <f ca="1">IFERROR(OFFSET(ITEM_RES!$A$1,MATCH(AR272,ITEM_RES!$J:$J,0)-1,0),0)</f>
        <v>211020801</v>
      </c>
      <c r="AR272" s="10" t="s">
        <v>425</v>
      </c>
      <c r="AS272" s="11">
        <v>42000</v>
      </c>
      <c r="AV272" s="11">
        <f ca="1">IFERROR(OFFSET(ITEM_RES!$A$1,MATCH(AW272,ITEM_RES!$J:$J,0)-1,0),0)</f>
        <v>211020401</v>
      </c>
      <c r="AW272" s="10" t="s">
        <v>415</v>
      </c>
      <c r="AX272" s="11">
        <v>42000</v>
      </c>
      <c r="BA272" s="11">
        <f ca="1">IFERROR(OFFSET(ITEM_RES!$A$1,MATCH(BB272,ITEM_RES!$J:$J,0)-1,0),0)</f>
        <v>0</v>
      </c>
      <c r="BF272" s="11">
        <f ca="1">IFERROR(OFFSET(ITEM_RES!$A$1,MATCH(BG272,ITEM_RES!$J:$J,0)-1,0),0)</f>
        <v>213010901</v>
      </c>
      <c r="BG272" s="10" t="s">
        <v>452</v>
      </c>
      <c r="BH272" s="11">
        <v>1</v>
      </c>
      <c r="BK272" s="11">
        <f ca="1">IFERROR(OFFSET(ITEM_RES!$A$1,MATCH(BL272,ITEM_RES!$J:$J,0)-1,0),0)</f>
        <v>0</v>
      </c>
      <c r="BM272" s="11">
        <f t="shared" si="85"/>
        <v>0</v>
      </c>
    </row>
    <row r="273" spans="1:66" x14ac:dyDescent="0.3">
      <c r="A273" s="14">
        <f t="shared" si="82"/>
        <v>113050009</v>
      </c>
      <c r="B273" s="13">
        <v>11</v>
      </c>
      <c r="C273" s="12">
        <f t="shared" si="83"/>
        <v>3</v>
      </c>
      <c r="D273" s="13">
        <v>5</v>
      </c>
      <c r="E273" s="13">
        <v>0</v>
      </c>
      <c r="F273" s="12">
        <f t="shared" si="84"/>
        <v>9</v>
      </c>
      <c r="H273" s="9">
        <v>3</v>
      </c>
      <c r="I273" s="9">
        <v>9</v>
      </c>
      <c r="K273" s="9" t="s">
        <v>359</v>
      </c>
      <c r="M273" s="9">
        <v>1</v>
      </c>
      <c r="N273" s="9">
        <v>15</v>
      </c>
      <c r="O273" s="138"/>
      <c r="Q273" s="9" t="s">
        <v>676</v>
      </c>
      <c r="T273" s="9">
        <f ca="1">IFERROR(OFFSET(ITEM_RES!$A$5,MATCH(BUILDING!S273,ITEM_RES!$J$5:$J$229,0)-1,0),0)</f>
        <v>0</v>
      </c>
      <c r="W273" s="11">
        <f ca="1">IFERROR(OFFSET(ITEM_RES!$A$5,MATCH(BUILDING!V273,ITEM_RES!$J$5:$J$229,0)-1,0),0)</f>
        <v>0</v>
      </c>
      <c r="Y273" s="9" t="s">
        <v>506</v>
      </c>
      <c r="Z273" s="9">
        <v>9</v>
      </c>
      <c r="AB273" s="11">
        <f ca="1">IFERROR(OFFSET(MANOR_LEVEL!$B$1,MATCH(AC273-1,MANOR_LEVEL!$A:$A,0)-1,0),0)</f>
        <v>1077433600</v>
      </c>
      <c r="AC273" s="55">
        <v>20</v>
      </c>
      <c r="AE273" s="11">
        <f t="shared" ca="1" si="77"/>
        <v>702000</v>
      </c>
      <c r="AF273" s="10">
        <f ca="1">AK273+AM273+(IFERROR(OFFSET(ITEM_RES!$R$1,MATCH(AQ273,ITEM_RES!$A:$A,0)-1,0),0)*AS273+IFERROR(OFFSET(ITEM_RES!$R$1,MATCH(AV273,ITEM_RES!$A:$A,0)-1,0),0)*AX273+IFERROR(OFFSET(ITEM_RES!$R$1,MATCH(BA273,ITEM_RES!$A:$A,0)-1,0),0)*BC273+IFERROR(OFFSET(ITEM_RES!$R$1,MATCH(BF273,ITEM_RES!$A:$A,0)-1,0),0)*BH273+IFERROR(OFFSET(ITEM_RES!$R$1,MATCH(BK273,ITEM_RES!$A:$A,0)-1,0),0)*BM273)/1000</f>
        <v>702000</v>
      </c>
      <c r="AG273" s="176">
        <f t="shared" ca="1" si="88"/>
        <v>1081000</v>
      </c>
      <c r="AI273" s="11">
        <f t="shared" si="79"/>
        <v>60</v>
      </c>
      <c r="AJ273" s="10">
        <v>60</v>
      </c>
      <c r="AK273" s="11">
        <f t="shared" si="86"/>
        <v>0</v>
      </c>
      <c r="AL273" s="10">
        <v>0</v>
      </c>
      <c r="AM273" s="11">
        <f t="shared" si="87"/>
        <v>0</v>
      </c>
      <c r="AN273" s="10">
        <v>0</v>
      </c>
      <c r="AO273" s="55">
        <f t="shared" si="80"/>
        <v>2</v>
      </c>
      <c r="AQ273" s="11">
        <f ca="1">IFERROR(OFFSET(ITEM_RES!$A$1,MATCH(AR273,ITEM_RES!$J:$J,0)-1,0),0)</f>
        <v>211020801</v>
      </c>
      <c r="AR273" s="10" t="s">
        <v>425</v>
      </c>
      <c r="AS273" s="11">
        <v>78000</v>
      </c>
      <c r="AV273" s="11">
        <f ca="1">IFERROR(OFFSET(ITEM_RES!$A$1,MATCH(AW273,ITEM_RES!$J:$J,0)-1,0),0)</f>
        <v>211020401</v>
      </c>
      <c r="AW273" s="10" t="s">
        <v>415</v>
      </c>
      <c r="AX273" s="11">
        <v>78000</v>
      </c>
      <c r="BA273" s="11">
        <f ca="1">IFERROR(OFFSET(ITEM_RES!$A$1,MATCH(BB273,ITEM_RES!$J:$J,0)-1,0),0)</f>
        <v>0</v>
      </c>
      <c r="BF273" s="11">
        <f ca="1">IFERROR(OFFSET(ITEM_RES!$A$1,MATCH(BG273,ITEM_RES!$J:$J,0)-1,0),0)</f>
        <v>0</v>
      </c>
      <c r="BK273" s="11">
        <f ca="1">IFERROR(OFFSET(ITEM_RES!$A$1,MATCH(BL273,ITEM_RES!$J:$J,0)-1,0),0)</f>
        <v>0</v>
      </c>
      <c r="BM273" s="11">
        <f t="shared" si="85"/>
        <v>0</v>
      </c>
    </row>
    <row r="274" spans="1:66" x14ac:dyDescent="0.3">
      <c r="A274" s="14">
        <f t="shared" si="82"/>
        <v>113050010</v>
      </c>
      <c r="B274" s="13">
        <v>11</v>
      </c>
      <c r="C274" s="12">
        <f t="shared" si="83"/>
        <v>3</v>
      </c>
      <c r="D274" s="13">
        <v>5</v>
      </c>
      <c r="E274" s="13">
        <v>0</v>
      </c>
      <c r="F274" s="12">
        <f t="shared" si="84"/>
        <v>10</v>
      </c>
      <c r="H274" s="9">
        <v>3</v>
      </c>
      <c r="I274" s="9">
        <v>10</v>
      </c>
      <c r="K274" s="9" t="s">
        <v>359</v>
      </c>
      <c r="M274" s="9">
        <v>1</v>
      </c>
      <c r="N274" s="9">
        <v>15</v>
      </c>
      <c r="O274" s="138"/>
      <c r="Q274" s="9" t="s">
        <v>676</v>
      </c>
      <c r="T274" s="9">
        <f ca="1">IFERROR(OFFSET(ITEM_RES!$A$5,MATCH(BUILDING!S274,ITEM_RES!$J$5:$J$229,0)-1,0),0)</f>
        <v>0</v>
      </c>
      <c r="W274" s="11">
        <f ca="1">IFERROR(OFFSET(ITEM_RES!$A$5,MATCH(BUILDING!V274,ITEM_RES!$J$5:$J$229,0)-1,0),0)</f>
        <v>0</v>
      </c>
      <c r="Y274" s="9" t="s">
        <v>506</v>
      </c>
      <c r="Z274" s="9">
        <v>10</v>
      </c>
      <c r="AB274" s="11">
        <f ca="1">IFERROR(OFFSET(MANOR_LEVEL!$B$1,MATCH(AC274-1,MANOR_LEVEL!$A:$A,0)-1,0),0)</f>
        <v>1077433600</v>
      </c>
      <c r="AC274" s="55">
        <v>20</v>
      </c>
      <c r="AE274" s="11">
        <f t="shared" ca="1" si="77"/>
        <v>1170000</v>
      </c>
      <c r="AF274" s="10">
        <f ca="1">AK274+AM274+(IFERROR(OFFSET(ITEM_RES!$R$1,MATCH(AQ274,ITEM_RES!$A:$A,0)-1,0),0)*AS274+IFERROR(OFFSET(ITEM_RES!$R$1,MATCH(AV274,ITEM_RES!$A:$A,0)-1,0),0)*AX274+IFERROR(OFFSET(ITEM_RES!$R$1,MATCH(BA274,ITEM_RES!$A:$A,0)-1,0),0)*BC274+IFERROR(OFFSET(ITEM_RES!$R$1,MATCH(BF274,ITEM_RES!$A:$A,0)-1,0),0)*BH274+IFERROR(OFFSET(ITEM_RES!$R$1,MATCH(BK274,ITEM_RES!$A:$A,0)-1,0),0)*BM274)/1000</f>
        <v>1170000</v>
      </c>
      <c r="AG274" s="176">
        <f t="shared" ca="1" si="88"/>
        <v>1872000</v>
      </c>
      <c r="AI274" s="11">
        <f t="shared" si="79"/>
        <v>180</v>
      </c>
      <c r="AJ274" s="10">
        <v>180</v>
      </c>
      <c r="AK274" s="11">
        <f t="shared" si="86"/>
        <v>0</v>
      </c>
      <c r="AL274" s="10">
        <v>0</v>
      </c>
      <c r="AM274" s="11">
        <f t="shared" si="87"/>
        <v>0</v>
      </c>
      <c r="AN274" s="10">
        <v>0</v>
      </c>
      <c r="AO274" s="55">
        <f t="shared" si="80"/>
        <v>2</v>
      </c>
      <c r="AQ274" s="11">
        <f ca="1">IFERROR(OFFSET(ITEM_RES!$A$1,MATCH(AR274,ITEM_RES!$J:$J,0)-1,0),0)</f>
        <v>211020801</v>
      </c>
      <c r="AR274" s="10" t="s">
        <v>425</v>
      </c>
      <c r="AS274" s="11">
        <v>130000</v>
      </c>
      <c r="AV274" s="11">
        <f ca="1">IFERROR(OFFSET(ITEM_RES!$A$1,MATCH(AW274,ITEM_RES!$J:$J,0)-1,0),0)</f>
        <v>211020401</v>
      </c>
      <c r="AW274" s="10" t="s">
        <v>415</v>
      </c>
      <c r="AX274" s="11">
        <v>130000</v>
      </c>
      <c r="BA274" s="11">
        <f ca="1">IFERROR(OFFSET(ITEM_RES!$A$1,MATCH(BB274,ITEM_RES!$J:$J,0)-1,0),0)</f>
        <v>0</v>
      </c>
      <c r="BF274" s="11">
        <f ca="1">IFERROR(OFFSET(ITEM_RES!$A$1,MATCH(BG274,ITEM_RES!$J:$J,0)-1,0),0)</f>
        <v>0</v>
      </c>
      <c r="BK274" s="11">
        <f ca="1">IFERROR(OFFSET(ITEM_RES!$A$1,MATCH(BL274,ITEM_RES!$J:$J,0)-1,0),0)</f>
        <v>0</v>
      </c>
      <c r="BM274" s="11">
        <f t="shared" si="85"/>
        <v>0</v>
      </c>
    </row>
    <row r="275" spans="1:66" x14ac:dyDescent="0.3">
      <c r="A275" s="14">
        <f t="shared" si="82"/>
        <v>113050011</v>
      </c>
      <c r="B275" s="13">
        <v>11</v>
      </c>
      <c r="C275" s="12">
        <f t="shared" si="83"/>
        <v>3</v>
      </c>
      <c r="D275" s="13">
        <v>5</v>
      </c>
      <c r="E275" s="13">
        <v>0</v>
      </c>
      <c r="F275" s="12">
        <f t="shared" si="84"/>
        <v>11</v>
      </c>
      <c r="H275" s="9">
        <v>3</v>
      </c>
      <c r="I275" s="9">
        <v>11</v>
      </c>
      <c r="K275" s="9" t="s">
        <v>359</v>
      </c>
      <c r="M275" s="9">
        <v>1</v>
      </c>
      <c r="N275" s="9">
        <v>15</v>
      </c>
      <c r="O275" s="138"/>
      <c r="Q275" s="9" t="s">
        <v>676</v>
      </c>
      <c r="T275" s="9">
        <f ca="1">IFERROR(OFFSET(ITEM_RES!$A$5,MATCH(BUILDING!S275,ITEM_RES!$J$5:$J$229,0)-1,0),0)</f>
        <v>0</v>
      </c>
      <c r="W275" s="11">
        <f ca="1">IFERROR(OFFSET(ITEM_RES!$A$5,MATCH(BUILDING!V275,ITEM_RES!$J$5:$J$229,0)-1,0),0)</f>
        <v>0</v>
      </c>
      <c r="Y275" s="9" t="s">
        <v>506</v>
      </c>
      <c r="Z275" s="9">
        <v>11</v>
      </c>
      <c r="AB275" s="11">
        <f ca="1">IFERROR(OFFSET(MANOR_LEVEL!$B$1,MATCH(AC275-1,MANOR_LEVEL!$A:$A,0)-1,0),0)</f>
        <v>1077433600</v>
      </c>
      <c r="AC275" s="55">
        <v>20</v>
      </c>
      <c r="AE275" s="11">
        <f t="shared" ca="1" si="77"/>
        <v>1980000</v>
      </c>
      <c r="AF275" s="10">
        <f ca="1">AK275+AM275+(IFERROR(OFFSET(ITEM_RES!$R$1,MATCH(AQ275,ITEM_RES!$A:$A,0)-1,0),0)*AS275+IFERROR(OFFSET(ITEM_RES!$R$1,MATCH(AV275,ITEM_RES!$A:$A,0)-1,0),0)*AX275+IFERROR(OFFSET(ITEM_RES!$R$1,MATCH(BA275,ITEM_RES!$A:$A,0)-1,0),0)*BC275+IFERROR(OFFSET(ITEM_RES!$R$1,MATCH(BF275,ITEM_RES!$A:$A,0)-1,0),0)*BH275+IFERROR(OFFSET(ITEM_RES!$R$1,MATCH(BK275,ITEM_RES!$A:$A,0)-1,0),0)*BM275)/1000</f>
        <v>1980000</v>
      </c>
      <c r="AG275" s="176">
        <f t="shared" ca="1" si="88"/>
        <v>3150000</v>
      </c>
      <c r="AI275" s="11">
        <f t="shared" si="79"/>
        <v>360</v>
      </c>
      <c r="AJ275" s="10">
        <v>360</v>
      </c>
      <c r="AK275" s="11">
        <f t="shared" si="86"/>
        <v>0</v>
      </c>
      <c r="AL275" s="10">
        <v>0</v>
      </c>
      <c r="AM275" s="11">
        <f t="shared" si="87"/>
        <v>0</v>
      </c>
      <c r="AN275" s="10">
        <v>0</v>
      </c>
      <c r="AO275" s="55">
        <f t="shared" si="80"/>
        <v>2</v>
      </c>
      <c r="AQ275" s="11">
        <f ca="1">IFERROR(OFFSET(ITEM_RES!$A$1,MATCH(AR275,ITEM_RES!$J:$J,0)-1,0),0)</f>
        <v>211020801</v>
      </c>
      <c r="AR275" s="10" t="s">
        <v>425</v>
      </c>
      <c r="AS275" s="11">
        <v>220000</v>
      </c>
      <c r="AV275" s="11">
        <f ca="1">IFERROR(OFFSET(ITEM_RES!$A$1,MATCH(AW275,ITEM_RES!$J:$J,0)-1,0),0)</f>
        <v>211020401</v>
      </c>
      <c r="AW275" s="10" t="s">
        <v>415</v>
      </c>
      <c r="AX275" s="11">
        <v>220000</v>
      </c>
      <c r="BA275" s="11">
        <f ca="1">IFERROR(OFFSET(ITEM_RES!$A$1,MATCH(BB275,ITEM_RES!$J:$J,0)-1,0),0)</f>
        <v>0</v>
      </c>
      <c r="BF275" s="11">
        <f ca="1">IFERROR(OFFSET(ITEM_RES!$A$1,MATCH(BG275,ITEM_RES!$J:$J,0)-1,0),0)</f>
        <v>0</v>
      </c>
      <c r="BK275" s="11">
        <f ca="1">IFERROR(OFFSET(ITEM_RES!$A$1,MATCH(BL275,ITEM_RES!$J:$J,0)-1,0),0)</f>
        <v>0</v>
      </c>
      <c r="BM275" s="11">
        <f t="shared" si="85"/>
        <v>0</v>
      </c>
    </row>
    <row r="276" spans="1:66" x14ac:dyDescent="0.3">
      <c r="A276" s="14">
        <f t="shared" si="82"/>
        <v>113050012</v>
      </c>
      <c r="B276" s="13">
        <v>11</v>
      </c>
      <c r="C276" s="12">
        <f t="shared" si="83"/>
        <v>3</v>
      </c>
      <c r="D276" s="13">
        <v>5</v>
      </c>
      <c r="E276" s="13">
        <v>0</v>
      </c>
      <c r="F276" s="12">
        <f t="shared" si="84"/>
        <v>12</v>
      </c>
      <c r="H276" s="9">
        <v>3</v>
      </c>
      <c r="I276" s="9">
        <v>12</v>
      </c>
      <c r="K276" s="9" t="s">
        <v>359</v>
      </c>
      <c r="M276" s="9">
        <v>1</v>
      </c>
      <c r="N276" s="9">
        <v>15</v>
      </c>
      <c r="O276" s="138"/>
      <c r="Q276" s="9" t="s">
        <v>676</v>
      </c>
      <c r="T276" s="9">
        <f ca="1">IFERROR(OFFSET(ITEM_RES!$A$5,MATCH(BUILDING!S276,ITEM_RES!$J$5:$J$229,0)-1,0),0)</f>
        <v>0</v>
      </c>
      <c r="W276" s="11">
        <f ca="1">IFERROR(OFFSET(ITEM_RES!$A$5,MATCH(BUILDING!V276,ITEM_RES!$J$5:$J$229,0)-1,0),0)</f>
        <v>0</v>
      </c>
      <c r="Y276" s="9" t="s">
        <v>506</v>
      </c>
      <c r="Z276" s="9">
        <v>12</v>
      </c>
      <c r="AB276" s="11">
        <f ca="1">IFERROR(OFFSET(MANOR_LEVEL!$B$1,MATCH(AC276-1,MANOR_LEVEL!$A:$A,0)-1,0),0)</f>
        <v>1077433600</v>
      </c>
      <c r="AC276" s="55">
        <v>20</v>
      </c>
      <c r="AE276" s="11">
        <f t="shared" ca="1" si="77"/>
        <v>3330000</v>
      </c>
      <c r="AF276" s="10">
        <f ca="1">AK276+AM276+(IFERROR(OFFSET(ITEM_RES!$R$1,MATCH(AQ276,ITEM_RES!$A:$A,0)-1,0),0)*AS276+IFERROR(OFFSET(ITEM_RES!$R$1,MATCH(AV276,ITEM_RES!$A:$A,0)-1,0),0)*AX276+IFERROR(OFFSET(ITEM_RES!$R$1,MATCH(BA276,ITEM_RES!$A:$A,0)-1,0),0)*BC276+IFERROR(OFFSET(ITEM_RES!$R$1,MATCH(BF276,ITEM_RES!$A:$A,0)-1,0),0)*BH276+IFERROR(OFFSET(ITEM_RES!$R$1,MATCH(BK276,ITEM_RES!$A:$A,0)-1,0),0)*BM276)/1000</f>
        <v>3330000</v>
      </c>
      <c r="AG276" s="176">
        <f t="shared" ca="1" si="88"/>
        <v>5310000</v>
      </c>
      <c r="AI276" s="11">
        <f t="shared" si="79"/>
        <v>540</v>
      </c>
      <c r="AJ276" s="10">
        <v>540</v>
      </c>
      <c r="AK276" s="11">
        <f t="shared" si="86"/>
        <v>0</v>
      </c>
      <c r="AL276" s="10">
        <v>0</v>
      </c>
      <c r="AM276" s="11">
        <f t="shared" si="87"/>
        <v>0</v>
      </c>
      <c r="AN276" s="10">
        <v>0</v>
      </c>
      <c r="AO276" s="55">
        <f t="shared" si="80"/>
        <v>2</v>
      </c>
      <c r="AQ276" s="11">
        <f ca="1">IFERROR(OFFSET(ITEM_RES!$A$1,MATCH(AR276,ITEM_RES!$J:$J,0)-1,0),0)</f>
        <v>211020801</v>
      </c>
      <c r="AR276" s="10" t="s">
        <v>425</v>
      </c>
      <c r="AS276" s="11">
        <v>370000</v>
      </c>
      <c r="AV276" s="11">
        <f ca="1">IFERROR(OFFSET(ITEM_RES!$A$1,MATCH(AW276,ITEM_RES!$J:$J,0)-1,0),0)</f>
        <v>211020401</v>
      </c>
      <c r="AW276" s="10" t="s">
        <v>415</v>
      </c>
      <c r="AX276" s="11">
        <v>370000</v>
      </c>
      <c r="BA276" s="11">
        <f ca="1">IFERROR(OFFSET(ITEM_RES!$A$1,MATCH(BB276,ITEM_RES!$J:$J,0)-1,0),0)</f>
        <v>0</v>
      </c>
      <c r="BF276" s="11">
        <f ca="1">IFERROR(OFFSET(ITEM_RES!$A$1,MATCH(BG276,ITEM_RES!$J:$J,0)-1,0),0)</f>
        <v>0</v>
      </c>
      <c r="BK276" s="11">
        <f ca="1">IFERROR(OFFSET(ITEM_RES!$A$1,MATCH(BL276,ITEM_RES!$J:$J,0)-1,0),0)</f>
        <v>0</v>
      </c>
      <c r="BM276" s="11">
        <f t="shared" si="85"/>
        <v>0</v>
      </c>
    </row>
    <row r="277" spans="1:66" x14ac:dyDescent="0.3">
      <c r="A277" s="14">
        <f t="shared" si="82"/>
        <v>113050013</v>
      </c>
      <c r="B277" s="13">
        <v>11</v>
      </c>
      <c r="C277" s="12">
        <f t="shared" si="83"/>
        <v>3</v>
      </c>
      <c r="D277" s="13">
        <v>5</v>
      </c>
      <c r="E277" s="13">
        <v>0</v>
      </c>
      <c r="F277" s="12">
        <f t="shared" si="84"/>
        <v>13</v>
      </c>
      <c r="H277" s="9">
        <v>3</v>
      </c>
      <c r="I277" s="9">
        <v>13</v>
      </c>
      <c r="K277" s="9" t="s">
        <v>359</v>
      </c>
      <c r="M277" s="9">
        <v>1</v>
      </c>
      <c r="N277" s="9">
        <v>15</v>
      </c>
      <c r="O277" s="138"/>
      <c r="Q277" s="9" t="s">
        <v>676</v>
      </c>
      <c r="T277" s="9">
        <f ca="1">IFERROR(OFFSET(ITEM_RES!$A$5,MATCH(BUILDING!S277,ITEM_RES!$J$5:$J$229,0)-1,0),0)</f>
        <v>0</v>
      </c>
      <c r="W277" s="11">
        <f ca="1">IFERROR(OFFSET(ITEM_RES!$A$5,MATCH(BUILDING!V277,ITEM_RES!$J$5:$J$229,0)-1,0),0)</f>
        <v>0</v>
      </c>
      <c r="Y277" s="9" t="s">
        <v>506</v>
      </c>
      <c r="Z277" s="9">
        <v>13</v>
      </c>
      <c r="AB277" s="11">
        <f ca="1">IFERROR(OFFSET(MANOR_LEVEL!$B$1,MATCH(AC277-1,MANOR_LEVEL!$A:$A,0)-1,0),0)</f>
        <v>1077433600</v>
      </c>
      <c r="AC277" s="55">
        <v>20</v>
      </c>
      <c r="AE277" s="11">
        <f t="shared" ca="1" si="77"/>
        <v>5580000</v>
      </c>
      <c r="AF277" s="10">
        <f ca="1">AK277+AM277+(IFERROR(OFFSET(ITEM_RES!$R$1,MATCH(AQ277,ITEM_RES!$A:$A,0)-1,0),0)*AS277+IFERROR(OFFSET(ITEM_RES!$R$1,MATCH(AV277,ITEM_RES!$A:$A,0)-1,0),0)*AX277+IFERROR(OFFSET(ITEM_RES!$R$1,MATCH(BA277,ITEM_RES!$A:$A,0)-1,0),0)*BC277+IFERROR(OFFSET(ITEM_RES!$R$1,MATCH(BF277,ITEM_RES!$A:$A,0)-1,0),0)*BH277+IFERROR(OFFSET(ITEM_RES!$R$1,MATCH(BK277,ITEM_RES!$A:$A,0)-1,0),0)*BM277)/1000</f>
        <v>5580000</v>
      </c>
      <c r="AG277" s="176">
        <f t="shared" ca="1" si="88"/>
        <v>8910000</v>
      </c>
      <c r="AI277" s="11">
        <f t="shared" si="79"/>
        <v>720</v>
      </c>
      <c r="AJ277" s="10">
        <v>720</v>
      </c>
      <c r="AK277" s="11">
        <f t="shared" si="86"/>
        <v>0</v>
      </c>
      <c r="AL277" s="10">
        <v>0</v>
      </c>
      <c r="AM277" s="11">
        <f t="shared" si="87"/>
        <v>0</v>
      </c>
      <c r="AN277" s="10">
        <v>0</v>
      </c>
      <c r="AO277" s="55">
        <f t="shared" si="80"/>
        <v>2</v>
      </c>
      <c r="AQ277" s="11">
        <f ca="1">IFERROR(OFFSET(ITEM_RES!$A$1,MATCH(AR277,ITEM_RES!$J:$J,0)-1,0),0)</f>
        <v>211020801</v>
      </c>
      <c r="AR277" s="10" t="s">
        <v>425</v>
      </c>
      <c r="AS277" s="11">
        <v>620000</v>
      </c>
      <c r="AV277" s="11">
        <f ca="1">IFERROR(OFFSET(ITEM_RES!$A$1,MATCH(AW277,ITEM_RES!$J:$J,0)-1,0),0)</f>
        <v>211020401</v>
      </c>
      <c r="AW277" s="10" t="s">
        <v>415</v>
      </c>
      <c r="AX277" s="11">
        <v>620000</v>
      </c>
      <c r="BA277" s="11">
        <f ca="1">IFERROR(OFFSET(ITEM_RES!$A$1,MATCH(BB277,ITEM_RES!$J:$J,0)-1,0),0)</f>
        <v>0</v>
      </c>
      <c r="BF277" s="11">
        <f ca="1">IFERROR(OFFSET(ITEM_RES!$A$1,MATCH(BG277,ITEM_RES!$J:$J,0)-1,0),0)</f>
        <v>0</v>
      </c>
      <c r="BK277" s="11">
        <f ca="1">IFERROR(OFFSET(ITEM_RES!$A$1,MATCH(BL277,ITEM_RES!$J:$J,0)-1,0),0)</f>
        <v>0</v>
      </c>
      <c r="BM277" s="11">
        <f t="shared" si="85"/>
        <v>0</v>
      </c>
    </row>
    <row r="278" spans="1:66" x14ac:dyDescent="0.3">
      <c r="A278" s="14">
        <f t="shared" si="82"/>
        <v>113050014</v>
      </c>
      <c r="B278" s="13">
        <v>11</v>
      </c>
      <c r="C278" s="12">
        <f t="shared" si="83"/>
        <v>3</v>
      </c>
      <c r="D278" s="13">
        <v>5</v>
      </c>
      <c r="E278" s="13">
        <v>0</v>
      </c>
      <c r="F278" s="12">
        <f t="shared" si="84"/>
        <v>14</v>
      </c>
      <c r="H278" s="9">
        <v>3</v>
      </c>
      <c r="I278" s="9">
        <v>14</v>
      </c>
      <c r="K278" s="9" t="s">
        <v>359</v>
      </c>
      <c r="M278" s="9">
        <v>1</v>
      </c>
      <c r="N278" s="9">
        <v>15</v>
      </c>
      <c r="O278" s="138"/>
      <c r="Q278" s="9" t="s">
        <v>676</v>
      </c>
      <c r="T278" s="9">
        <f ca="1">IFERROR(OFFSET(ITEM_RES!$A$5,MATCH(BUILDING!S278,ITEM_RES!$J$5:$J$229,0)-1,0),0)</f>
        <v>0</v>
      </c>
      <c r="W278" s="11">
        <f ca="1">IFERROR(OFFSET(ITEM_RES!$A$5,MATCH(BUILDING!V278,ITEM_RES!$J$5:$J$229,0)-1,0),0)</f>
        <v>0</v>
      </c>
      <c r="Y278" s="9" t="s">
        <v>506</v>
      </c>
      <c r="Z278" s="9">
        <v>14</v>
      </c>
      <c r="AB278" s="11">
        <f ca="1">IFERROR(OFFSET(MANOR_LEVEL!$B$1,MATCH(AC278-1,MANOR_LEVEL!$A:$A,0)-1,0),0)</f>
        <v>1077433600</v>
      </c>
      <c r="AC278" s="55">
        <v>20</v>
      </c>
      <c r="AE278" s="11">
        <f t="shared" ca="1" si="77"/>
        <v>8730000</v>
      </c>
      <c r="AF278" s="10">
        <f ca="1">AK278+AM278+(IFERROR(OFFSET(ITEM_RES!$R$1,MATCH(AQ278,ITEM_RES!$A:$A,0)-1,0),0)*AS278+IFERROR(OFFSET(ITEM_RES!$R$1,MATCH(AV278,ITEM_RES!$A:$A,0)-1,0),0)*AX278+IFERROR(OFFSET(ITEM_RES!$R$1,MATCH(BA278,ITEM_RES!$A:$A,0)-1,0),0)*BC278+IFERROR(OFFSET(ITEM_RES!$R$1,MATCH(BF278,ITEM_RES!$A:$A,0)-1,0),0)*BH278+IFERROR(OFFSET(ITEM_RES!$R$1,MATCH(BK278,ITEM_RES!$A:$A,0)-1,0),0)*BM278)/1000</f>
        <v>8730000</v>
      </c>
      <c r="AG278" s="176">
        <f t="shared" ca="1" si="88"/>
        <v>14310000</v>
      </c>
      <c r="AI278" s="11">
        <f t="shared" si="79"/>
        <v>900</v>
      </c>
      <c r="AJ278" s="10">
        <v>900</v>
      </c>
      <c r="AK278" s="11">
        <f t="shared" si="86"/>
        <v>0</v>
      </c>
      <c r="AL278" s="10">
        <v>0</v>
      </c>
      <c r="AM278" s="11">
        <f t="shared" si="87"/>
        <v>0</v>
      </c>
      <c r="AN278" s="10">
        <v>0</v>
      </c>
      <c r="AO278" s="55">
        <f t="shared" si="80"/>
        <v>2</v>
      </c>
      <c r="AQ278" s="11">
        <f ca="1">IFERROR(OFFSET(ITEM_RES!$A$1,MATCH(AR278,ITEM_RES!$J:$J,0)-1,0),0)</f>
        <v>211020801</v>
      </c>
      <c r="AR278" s="10" t="s">
        <v>425</v>
      </c>
      <c r="AS278" s="11">
        <v>970000</v>
      </c>
      <c r="AV278" s="11">
        <f ca="1">IFERROR(OFFSET(ITEM_RES!$A$1,MATCH(AW278,ITEM_RES!$J:$J,0)-1,0),0)</f>
        <v>211020401</v>
      </c>
      <c r="AW278" s="10" t="s">
        <v>415</v>
      </c>
      <c r="AX278" s="11">
        <v>970000</v>
      </c>
      <c r="BA278" s="11">
        <f ca="1">IFERROR(OFFSET(ITEM_RES!$A$1,MATCH(BB278,ITEM_RES!$J:$J,0)-1,0),0)</f>
        <v>0</v>
      </c>
      <c r="BF278" s="11">
        <f ca="1">IFERROR(OFFSET(ITEM_RES!$A$1,MATCH(BG278,ITEM_RES!$J:$J,0)-1,0),0)</f>
        <v>0</v>
      </c>
      <c r="BK278" s="11">
        <f ca="1">IFERROR(OFFSET(ITEM_RES!$A$1,MATCH(BL278,ITEM_RES!$J:$J,0)-1,0),0)</f>
        <v>0</v>
      </c>
      <c r="BM278" s="11">
        <f t="shared" si="85"/>
        <v>0</v>
      </c>
    </row>
    <row r="279" spans="1:66" x14ac:dyDescent="0.3">
      <c r="A279" s="14">
        <f t="shared" si="82"/>
        <v>113050015</v>
      </c>
      <c r="B279" s="13">
        <v>11</v>
      </c>
      <c r="C279" s="12">
        <f t="shared" si="83"/>
        <v>3</v>
      </c>
      <c r="D279" s="13">
        <v>5</v>
      </c>
      <c r="E279" s="13">
        <v>0</v>
      </c>
      <c r="F279" s="12">
        <f t="shared" si="84"/>
        <v>15</v>
      </c>
      <c r="H279" s="9">
        <v>3</v>
      </c>
      <c r="I279" s="9">
        <v>15</v>
      </c>
      <c r="K279" s="9" t="s">
        <v>359</v>
      </c>
      <c r="M279" s="9">
        <v>1</v>
      </c>
      <c r="N279" s="9">
        <v>15</v>
      </c>
      <c r="O279" s="138"/>
      <c r="Q279" s="9" t="s">
        <v>676</v>
      </c>
      <c r="T279" s="9">
        <f ca="1">IFERROR(OFFSET(ITEM_RES!$A$5,MATCH(BUILDING!S279,ITEM_RES!$J$5:$J$229,0)-1,0),0)</f>
        <v>0</v>
      </c>
      <c r="W279" s="11">
        <f ca="1">IFERROR(OFFSET(ITEM_RES!$A$5,MATCH(BUILDING!V279,ITEM_RES!$J$5:$J$229,0)-1,0),0)</f>
        <v>0</v>
      </c>
      <c r="Y279" s="9" t="s">
        <v>506</v>
      </c>
      <c r="Z279" s="9">
        <v>15</v>
      </c>
      <c r="AB279" s="11">
        <f ca="1">IFERROR(OFFSET(MANOR_LEVEL!$B$1,MATCH(AC279-1,MANOR_LEVEL!$A:$A,0)-1,0),0)</f>
        <v>1077433600</v>
      </c>
      <c r="AC279" s="55">
        <v>20</v>
      </c>
      <c r="AE279" s="11">
        <f t="shared" ca="1" si="77"/>
        <v>18900000</v>
      </c>
      <c r="AF279" s="10">
        <f ca="1">AK279+AM279+(IFERROR(OFFSET(ITEM_RES!$R$1,MATCH(AQ279,ITEM_RES!$A:$A,0)-1,0),0)*AS279+IFERROR(OFFSET(ITEM_RES!$R$1,MATCH(AV279,ITEM_RES!$A:$A,0)-1,0),0)*AX279+IFERROR(OFFSET(ITEM_RES!$R$1,MATCH(BA279,ITEM_RES!$A:$A,0)-1,0),0)*BC279+IFERROR(OFFSET(ITEM_RES!$R$1,MATCH(BF279,ITEM_RES!$A:$A,0)-1,0),0)*BH279+IFERROR(OFFSET(ITEM_RES!$R$1,MATCH(BK279,ITEM_RES!$A:$A,0)-1,0),0)*BM279)/1000</f>
        <v>18900000</v>
      </c>
      <c r="AG279" s="176">
        <f t="shared" ca="1" si="88"/>
        <v>27630000</v>
      </c>
      <c r="AI279" s="11">
        <f t="shared" si="79"/>
        <v>1080</v>
      </c>
      <c r="AJ279" s="10">
        <v>1080</v>
      </c>
      <c r="AK279" s="11">
        <f t="shared" si="86"/>
        <v>0</v>
      </c>
      <c r="AL279" s="10">
        <v>0</v>
      </c>
      <c r="AM279" s="11">
        <f t="shared" si="87"/>
        <v>0</v>
      </c>
      <c r="AN279" s="10">
        <v>0</v>
      </c>
      <c r="AO279" s="55">
        <f t="shared" si="80"/>
        <v>2</v>
      </c>
      <c r="AQ279" s="11">
        <f ca="1">IFERROR(OFFSET(ITEM_RES!$A$1,MATCH(AR279,ITEM_RES!$J:$J,0)-1,0),0)</f>
        <v>211020801</v>
      </c>
      <c r="AR279" s="10" t="s">
        <v>425</v>
      </c>
      <c r="AS279" s="11">
        <v>2100000</v>
      </c>
      <c r="AV279" s="11">
        <f ca="1">IFERROR(OFFSET(ITEM_RES!$A$1,MATCH(AW279,ITEM_RES!$J:$J,0)-1,0),0)</f>
        <v>211020401</v>
      </c>
      <c r="AW279" s="10" t="s">
        <v>426</v>
      </c>
      <c r="AX279" s="11">
        <v>2100000</v>
      </c>
      <c r="BA279" s="11">
        <f ca="1">IFERROR(OFFSET(ITEM_RES!$A$1,MATCH(BB279,ITEM_RES!$J:$J,0)-1,0),0)</f>
        <v>0</v>
      </c>
      <c r="BF279" s="11">
        <f ca="1">IFERROR(OFFSET(ITEM_RES!$A$1,MATCH(BG279,ITEM_RES!$J:$J,0)-1,0),0)</f>
        <v>0</v>
      </c>
      <c r="BK279" s="11">
        <f ca="1">IFERROR(OFFSET(ITEM_RES!$A$1,MATCH(BL279,ITEM_RES!$J:$J,0)-1,0),0)</f>
        <v>0</v>
      </c>
      <c r="BM279" s="11">
        <f t="shared" si="85"/>
        <v>0</v>
      </c>
    </row>
    <row r="280" spans="1:66" x14ac:dyDescent="0.3">
      <c r="A280" s="14">
        <f t="shared" si="82"/>
        <v>113050016</v>
      </c>
      <c r="B280" s="13">
        <v>11</v>
      </c>
      <c r="C280" s="12">
        <f t="shared" si="83"/>
        <v>3</v>
      </c>
      <c r="D280" s="13">
        <v>5</v>
      </c>
      <c r="E280" s="13">
        <v>0</v>
      </c>
      <c r="F280" s="12">
        <f t="shared" si="84"/>
        <v>16</v>
      </c>
      <c r="H280" s="9">
        <v>3</v>
      </c>
      <c r="I280" s="9">
        <v>16</v>
      </c>
      <c r="K280" s="9" t="s">
        <v>359</v>
      </c>
      <c r="M280" s="9">
        <v>0</v>
      </c>
      <c r="N280" s="9">
        <v>15</v>
      </c>
      <c r="O280" s="138"/>
      <c r="Q280" s="9" t="s">
        <v>676</v>
      </c>
      <c r="T280" s="9">
        <f ca="1">IFERROR(OFFSET(ITEM_RES!$A$5,MATCH(BUILDING!S280,ITEM_RES!$J$5:$J$229,0)-1,0),0)</f>
        <v>0</v>
      </c>
      <c r="W280" s="11">
        <f ca="1">IFERROR(OFFSET(ITEM_RES!$A$5,MATCH(BUILDING!V280,ITEM_RES!$J$5:$J$229,0)-1,0),0)</f>
        <v>0</v>
      </c>
      <c r="Y280" s="9" t="s">
        <v>506</v>
      </c>
      <c r="Z280" s="9">
        <v>16</v>
      </c>
      <c r="AB280" s="11">
        <f ca="1">IFERROR(OFFSET(MANOR_LEVEL!$B$1,MATCH(AC280-1,MANOR_LEVEL!$A:$A,0)-1,0),0)</f>
        <v>1077433600</v>
      </c>
      <c r="AC280" s="55">
        <v>20</v>
      </c>
      <c r="AE280" s="11">
        <f t="shared" ca="1" si="77"/>
        <v>38700000</v>
      </c>
      <c r="AF280" s="10">
        <f ca="1">AK280+AM280+(IFERROR(OFFSET(ITEM_RES!$R$1,MATCH(AQ280,ITEM_RES!$A:$A,0)-1,0),0)*AS280+IFERROR(OFFSET(ITEM_RES!$R$1,MATCH(AV280,ITEM_RES!$A:$A,0)-1,0),0)*AX280+IFERROR(OFFSET(ITEM_RES!$R$1,MATCH(BA280,ITEM_RES!$A:$A,0)-1,0),0)*BC280+IFERROR(OFFSET(ITEM_RES!$R$1,MATCH(BF280,ITEM_RES!$A:$A,0)-1,0),0)*BH280+IFERROR(OFFSET(ITEM_RES!$R$1,MATCH(BK280,ITEM_RES!$A:$A,0)-1,0),0)*BM280)/1000</f>
        <v>38700000</v>
      </c>
      <c r="AG280" s="176">
        <f t="shared" ca="1" si="88"/>
        <v>57600000</v>
      </c>
      <c r="AI280" s="11">
        <f t="shared" si="79"/>
        <v>1260</v>
      </c>
      <c r="AJ280" s="10">
        <v>1260</v>
      </c>
      <c r="AK280" s="11">
        <f t="shared" si="86"/>
        <v>0</v>
      </c>
      <c r="AL280" s="10">
        <v>0</v>
      </c>
      <c r="AM280" s="11">
        <f t="shared" si="87"/>
        <v>0</v>
      </c>
      <c r="AN280" s="10">
        <v>0</v>
      </c>
      <c r="AO280" s="55">
        <f t="shared" si="80"/>
        <v>2</v>
      </c>
      <c r="AQ280" s="11">
        <f ca="1">IFERROR(OFFSET(ITEM_RES!$A$1,MATCH(AR280,ITEM_RES!$J:$J,0)-1,0),0)</f>
        <v>211020801</v>
      </c>
      <c r="AR280" s="10" t="s">
        <v>425</v>
      </c>
      <c r="AS280" s="11">
        <v>4300000</v>
      </c>
      <c r="AV280" s="11">
        <f ca="1">IFERROR(OFFSET(ITEM_RES!$A$1,MATCH(AW280,ITEM_RES!$J:$J,0)-1,0),0)</f>
        <v>211020401</v>
      </c>
      <c r="AW280" s="10" t="s">
        <v>426</v>
      </c>
      <c r="AX280" s="11">
        <v>4300000</v>
      </c>
      <c r="BA280" s="11">
        <f ca="1">IFERROR(OFFSET(ITEM_RES!$A$1,MATCH(BB280,ITEM_RES!$J:$J,0)-1,0),0)</f>
        <v>0</v>
      </c>
      <c r="BF280" s="11">
        <f ca="1">IFERROR(OFFSET(ITEM_RES!$A$1,MATCH(BG280,ITEM_RES!$J:$J,0)-1,0),0)</f>
        <v>0</v>
      </c>
      <c r="BK280" s="11">
        <f ca="1">IFERROR(OFFSET(ITEM_RES!$A$1,MATCH(BL280,ITEM_RES!$J:$J,0)-1,0),0)</f>
        <v>0</v>
      </c>
      <c r="BM280" s="11">
        <f t="shared" si="85"/>
        <v>0</v>
      </c>
    </row>
    <row r="281" spans="1:66" x14ac:dyDescent="0.3">
      <c r="A281" s="14">
        <f t="shared" si="82"/>
        <v>113050017</v>
      </c>
      <c r="B281" s="13">
        <v>11</v>
      </c>
      <c r="C281" s="12">
        <f t="shared" si="83"/>
        <v>3</v>
      </c>
      <c r="D281" s="13">
        <v>5</v>
      </c>
      <c r="E281" s="13">
        <v>0</v>
      </c>
      <c r="F281" s="12">
        <f t="shared" si="84"/>
        <v>17</v>
      </c>
      <c r="H281" s="9">
        <v>3</v>
      </c>
      <c r="I281" s="9">
        <v>17</v>
      </c>
      <c r="K281" s="9" t="s">
        <v>359</v>
      </c>
      <c r="M281" s="9">
        <v>0</v>
      </c>
      <c r="N281" s="9">
        <v>15</v>
      </c>
      <c r="O281" s="138"/>
      <c r="Q281" s="9" t="s">
        <v>676</v>
      </c>
      <c r="T281" s="9">
        <f ca="1">IFERROR(OFFSET(ITEM_RES!$A$5,MATCH(BUILDING!S281,ITEM_RES!$J$5:$J$229,0)-1,0),0)</f>
        <v>0</v>
      </c>
      <c r="W281" s="11">
        <f ca="1">IFERROR(OFFSET(ITEM_RES!$A$5,MATCH(BUILDING!V281,ITEM_RES!$J$5:$J$229,0)-1,0),0)</f>
        <v>0</v>
      </c>
      <c r="Y281" s="9" t="s">
        <v>506</v>
      </c>
      <c r="Z281" s="9">
        <v>17</v>
      </c>
      <c r="AB281" s="11">
        <f ca="1">IFERROR(OFFSET(MANOR_LEVEL!$B$1,MATCH(AC281-1,MANOR_LEVEL!$A:$A,0)-1,0),0)</f>
        <v>1077433600</v>
      </c>
      <c r="AC281" s="55">
        <v>20</v>
      </c>
      <c r="AE281" s="11">
        <f t="shared" ca="1" si="77"/>
        <v>104000000</v>
      </c>
      <c r="AF281" s="10">
        <f ca="1">AK281+AM281+(IFERROR(OFFSET(ITEM_RES!$R$1,MATCH(AQ281,ITEM_RES!$A:$A,0)-1,0),0)*AS281+IFERROR(OFFSET(ITEM_RES!$R$1,MATCH(AV281,ITEM_RES!$A:$A,0)-1,0),0)*AX281+IFERROR(OFFSET(ITEM_RES!$R$1,MATCH(BA281,ITEM_RES!$A:$A,0)-1,0),0)*BC281+IFERROR(OFFSET(ITEM_RES!$R$1,MATCH(BF281,ITEM_RES!$A:$A,0)-1,0),0)*BH281+IFERROR(OFFSET(ITEM_RES!$R$1,MATCH(BK281,ITEM_RES!$A:$A,0)-1,0),0)*BM281)/1000</f>
        <v>104000000</v>
      </c>
      <c r="AG281" s="176">
        <f t="shared" ca="1" si="88"/>
        <v>142700000</v>
      </c>
      <c r="AI281" s="11">
        <f t="shared" si="79"/>
        <v>1440</v>
      </c>
      <c r="AJ281" s="10">
        <v>1440</v>
      </c>
      <c r="AK281" s="11">
        <f t="shared" si="86"/>
        <v>0</v>
      </c>
      <c r="AL281" s="10">
        <v>0</v>
      </c>
      <c r="AM281" s="11">
        <f t="shared" si="87"/>
        <v>0</v>
      </c>
      <c r="AN281" s="10">
        <v>0</v>
      </c>
      <c r="AO281" s="55">
        <f t="shared" si="80"/>
        <v>2</v>
      </c>
      <c r="AQ281" s="11">
        <f ca="1">IFERROR(OFFSET(ITEM_RES!$A$1,MATCH(AR281,ITEM_RES!$J:$J,0)-1,0),0)</f>
        <v>211020901</v>
      </c>
      <c r="AR281" s="10" t="s">
        <v>433</v>
      </c>
      <c r="AS281" s="11">
        <v>8000000</v>
      </c>
      <c r="AV281" s="11">
        <f ca="1">IFERROR(OFFSET(ITEM_RES!$A$1,MATCH(AW281,ITEM_RES!$J:$J,0)-1,0),0)</f>
        <v>211020401</v>
      </c>
      <c r="AW281" s="10" t="s">
        <v>426</v>
      </c>
      <c r="AX281" s="11">
        <v>8000000</v>
      </c>
      <c r="BA281" s="11">
        <f ca="1">IFERROR(OFFSET(ITEM_RES!$A$1,MATCH(BB281,ITEM_RES!$J:$J,0)-1,0),0)</f>
        <v>0</v>
      </c>
      <c r="BF281" s="11">
        <f ca="1">IFERROR(OFFSET(ITEM_RES!$A$1,MATCH(BG281,ITEM_RES!$J:$J,0)-1,0),0)</f>
        <v>0</v>
      </c>
      <c r="BK281" s="11">
        <f ca="1">IFERROR(OFFSET(ITEM_RES!$A$1,MATCH(BL281,ITEM_RES!$J:$J,0)-1,0),0)</f>
        <v>0</v>
      </c>
      <c r="BM281" s="11">
        <f t="shared" si="85"/>
        <v>0</v>
      </c>
    </row>
    <row r="282" spans="1:66" x14ac:dyDescent="0.3">
      <c r="A282" s="14">
        <f t="shared" si="82"/>
        <v>113050018</v>
      </c>
      <c r="B282" s="13">
        <v>11</v>
      </c>
      <c r="C282" s="12">
        <f t="shared" si="83"/>
        <v>3</v>
      </c>
      <c r="D282" s="13">
        <v>5</v>
      </c>
      <c r="E282" s="13">
        <v>0</v>
      </c>
      <c r="F282" s="12">
        <f t="shared" si="84"/>
        <v>18</v>
      </c>
      <c r="H282" s="9">
        <v>3</v>
      </c>
      <c r="I282" s="9">
        <v>18</v>
      </c>
      <c r="K282" s="9" t="s">
        <v>359</v>
      </c>
      <c r="M282" s="9">
        <v>0</v>
      </c>
      <c r="N282" s="9">
        <v>15</v>
      </c>
      <c r="O282" s="138"/>
      <c r="Q282" s="9" t="s">
        <v>676</v>
      </c>
      <c r="T282" s="9">
        <f ca="1">IFERROR(OFFSET(ITEM_RES!$A$5,MATCH(BUILDING!S282,ITEM_RES!$J$5:$J$229,0)-1,0),0)</f>
        <v>0</v>
      </c>
      <c r="W282" s="11">
        <f ca="1">IFERROR(OFFSET(ITEM_RES!$A$5,MATCH(BUILDING!V282,ITEM_RES!$J$5:$J$229,0)-1,0),0)</f>
        <v>0</v>
      </c>
      <c r="Y282" s="9" t="s">
        <v>506</v>
      </c>
      <c r="Z282" s="9">
        <v>18</v>
      </c>
      <c r="AB282" s="11">
        <f ca="1">IFERROR(OFFSET(MANOR_LEVEL!$B$1,MATCH(AC282-1,MANOR_LEVEL!$A:$A,0)-1,0),0)</f>
        <v>1077433600</v>
      </c>
      <c r="AC282" s="55">
        <v>20</v>
      </c>
      <c r="AE282" s="11">
        <f t="shared" ref="AE282:AE345" ca="1" si="89">ROUND(AF282,0)</f>
        <v>195000000</v>
      </c>
      <c r="AF282" s="10">
        <f ca="1">AK282+AM282+(IFERROR(OFFSET(ITEM_RES!$R$1,MATCH(AQ282,ITEM_RES!$A:$A,0)-1,0),0)*AS282+IFERROR(OFFSET(ITEM_RES!$R$1,MATCH(AV282,ITEM_RES!$A:$A,0)-1,0),0)*AX282+IFERROR(OFFSET(ITEM_RES!$R$1,MATCH(BA282,ITEM_RES!$A:$A,0)-1,0),0)*BC282+IFERROR(OFFSET(ITEM_RES!$R$1,MATCH(BF282,ITEM_RES!$A:$A,0)-1,0),0)*BH282+IFERROR(OFFSET(ITEM_RES!$R$1,MATCH(BK282,ITEM_RES!$A:$A,0)-1,0),0)*BM282)/1000</f>
        <v>195000000</v>
      </c>
      <c r="AG282" s="176">
        <f t="shared" ca="1" si="88"/>
        <v>299000000</v>
      </c>
      <c r="AI282" s="11">
        <f t="shared" si="79"/>
        <v>1620</v>
      </c>
      <c r="AJ282" s="10">
        <v>1620</v>
      </c>
      <c r="AK282" s="11">
        <f t="shared" si="86"/>
        <v>0</v>
      </c>
      <c r="AL282" s="10">
        <v>0</v>
      </c>
      <c r="AM282" s="11">
        <f t="shared" si="87"/>
        <v>0</v>
      </c>
      <c r="AN282" s="10">
        <v>0</v>
      </c>
      <c r="AO282" s="55">
        <f t="shared" si="80"/>
        <v>2</v>
      </c>
      <c r="AQ282" s="11">
        <f ca="1">IFERROR(OFFSET(ITEM_RES!$A$1,MATCH(AR282,ITEM_RES!$J:$J,0)-1,0),0)</f>
        <v>211020901</v>
      </c>
      <c r="AR282" s="10" t="s">
        <v>433</v>
      </c>
      <c r="AS282" s="11">
        <v>13000000</v>
      </c>
      <c r="AV282" s="11">
        <f ca="1">IFERROR(OFFSET(ITEM_RES!$A$1,MATCH(AW282,ITEM_RES!$J:$J,0)-1,0),0)</f>
        <v>211020501</v>
      </c>
      <c r="AW282" s="10" t="s">
        <v>416</v>
      </c>
      <c r="AX282" s="11">
        <v>13000000</v>
      </c>
      <c r="BA282" s="11">
        <f ca="1">IFERROR(OFFSET(ITEM_RES!$A$1,MATCH(BB282,ITEM_RES!$J:$J,0)-1,0),0)</f>
        <v>0</v>
      </c>
      <c r="BF282" s="11">
        <f ca="1">IFERROR(OFFSET(ITEM_RES!$A$1,MATCH(BG282,ITEM_RES!$J:$J,0)-1,0),0)</f>
        <v>0</v>
      </c>
      <c r="BK282" s="11">
        <f ca="1">IFERROR(OFFSET(ITEM_RES!$A$1,MATCH(BL282,ITEM_RES!$J:$J,0)-1,0),0)</f>
        <v>0</v>
      </c>
      <c r="BM282" s="11">
        <f t="shared" si="85"/>
        <v>0</v>
      </c>
    </row>
    <row r="283" spans="1:66" x14ac:dyDescent="0.3">
      <c r="A283" s="14">
        <f t="shared" si="82"/>
        <v>113050019</v>
      </c>
      <c r="B283" s="13">
        <v>11</v>
      </c>
      <c r="C283" s="12">
        <f t="shared" si="83"/>
        <v>3</v>
      </c>
      <c r="D283" s="13">
        <v>5</v>
      </c>
      <c r="E283" s="13">
        <v>0</v>
      </c>
      <c r="F283" s="12">
        <f t="shared" si="84"/>
        <v>19</v>
      </c>
      <c r="H283" s="9">
        <v>3</v>
      </c>
      <c r="I283" s="9">
        <v>19</v>
      </c>
      <c r="K283" s="9" t="s">
        <v>359</v>
      </c>
      <c r="M283" s="9">
        <v>0</v>
      </c>
      <c r="N283" s="9">
        <v>15</v>
      </c>
      <c r="O283" s="138"/>
      <c r="Q283" s="9" t="s">
        <v>676</v>
      </c>
      <c r="T283" s="9">
        <f ca="1">IFERROR(OFFSET(ITEM_RES!$A$5,MATCH(BUILDING!S283,ITEM_RES!$J$5:$J$229,0)-1,0),0)</f>
        <v>0</v>
      </c>
      <c r="W283" s="11">
        <f ca="1">IFERROR(OFFSET(ITEM_RES!$A$5,MATCH(BUILDING!V283,ITEM_RES!$J$5:$J$229,0)-1,0),0)</f>
        <v>0</v>
      </c>
      <c r="Y283" s="9" t="s">
        <v>506</v>
      </c>
      <c r="Z283" s="9">
        <v>19</v>
      </c>
      <c r="AB283" s="11">
        <f ca="1">IFERROR(OFFSET(MANOR_LEVEL!$B$1,MATCH(AC283-1,MANOR_LEVEL!$A:$A,0)-1,0),0)</f>
        <v>1077433600</v>
      </c>
      <c r="AC283" s="55">
        <v>20</v>
      </c>
      <c r="AE283" s="11">
        <f t="shared" ca="1" si="89"/>
        <v>300000000</v>
      </c>
      <c r="AF283" s="10">
        <f ca="1">AK283+AM283+(IFERROR(OFFSET(ITEM_RES!$R$1,MATCH(AQ283,ITEM_RES!$A:$A,0)-1,0),0)*AS283+IFERROR(OFFSET(ITEM_RES!$R$1,MATCH(AV283,ITEM_RES!$A:$A,0)-1,0),0)*AX283+IFERROR(OFFSET(ITEM_RES!$R$1,MATCH(BA283,ITEM_RES!$A:$A,0)-1,0),0)*BC283+IFERROR(OFFSET(ITEM_RES!$R$1,MATCH(BF283,ITEM_RES!$A:$A,0)-1,0),0)*BH283+IFERROR(OFFSET(ITEM_RES!$R$1,MATCH(BK283,ITEM_RES!$A:$A,0)-1,0),0)*BM283)/1000</f>
        <v>300000000</v>
      </c>
      <c r="AG283" s="176">
        <f t="shared" ca="1" si="88"/>
        <v>495000000</v>
      </c>
      <c r="AI283" s="11">
        <f t="shared" si="79"/>
        <v>1800</v>
      </c>
      <c r="AJ283" s="10">
        <v>1800</v>
      </c>
      <c r="AK283" s="11">
        <f t="shared" si="86"/>
        <v>0</v>
      </c>
      <c r="AL283" s="10">
        <v>0</v>
      </c>
      <c r="AM283" s="11">
        <f t="shared" si="87"/>
        <v>0</v>
      </c>
      <c r="AN283" s="10">
        <v>0</v>
      </c>
      <c r="AO283" s="55">
        <f t="shared" si="80"/>
        <v>2</v>
      </c>
      <c r="AQ283" s="11">
        <f ca="1">IFERROR(OFFSET(ITEM_RES!$A$1,MATCH(AR283,ITEM_RES!$J:$J,0)-1,0),0)</f>
        <v>211020901</v>
      </c>
      <c r="AR283" s="10" t="s">
        <v>433</v>
      </c>
      <c r="AS283" s="11">
        <v>20000000</v>
      </c>
      <c r="AV283" s="11">
        <f ca="1">IFERROR(OFFSET(ITEM_RES!$A$1,MATCH(AW283,ITEM_RES!$J:$J,0)-1,0),0)</f>
        <v>211020501</v>
      </c>
      <c r="AW283" s="10" t="s">
        <v>416</v>
      </c>
      <c r="AX283" s="11">
        <v>20000000</v>
      </c>
      <c r="BA283" s="11">
        <f ca="1">IFERROR(OFFSET(ITEM_RES!$A$1,MATCH(BB283,ITEM_RES!$J:$J,0)-1,0),0)</f>
        <v>0</v>
      </c>
      <c r="BF283" s="11">
        <f ca="1">IFERROR(OFFSET(ITEM_RES!$A$1,MATCH(BG283,ITEM_RES!$J:$J,0)-1,0),0)</f>
        <v>0</v>
      </c>
      <c r="BK283" s="11">
        <f ca="1">IFERROR(OFFSET(ITEM_RES!$A$1,MATCH(BL283,ITEM_RES!$J:$J,0)-1,0),0)</f>
        <v>0</v>
      </c>
      <c r="BM283" s="11">
        <f t="shared" si="85"/>
        <v>0</v>
      </c>
    </row>
    <row r="284" spans="1:66" ht="17.25" thickBot="1" x14ac:dyDescent="0.35">
      <c r="A284" s="14">
        <f t="shared" si="82"/>
        <v>113050020</v>
      </c>
      <c r="B284" s="13">
        <v>11</v>
      </c>
      <c r="C284" s="12">
        <f t="shared" si="83"/>
        <v>3</v>
      </c>
      <c r="D284" s="13">
        <v>5</v>
      </c>
      <c r="E284" s="13">
        <v>0</v>
      </c>
      <c r="F284" s="12">
        <f t="shared" si="84"/>
        <v>20</v>
      </c>
      <c r="H284" s="9">
        <v>3</v>
      </c>
      <c r="I284" s="9">
        <v>20</v>
      </c>
      <c r="K284" s="9" t="s">
        <v>359</v>
      </c>
      <c r="M284" s="9">
        <v>0</v>
      </c>
      <c r="N284" s="9">
        <v>15</v>
      </c>
      <c r="O284" s="138"/>
      <c r="Q284" s="9" t="s">
        <v>676</v>
      </c>
      <c r="T284" s="9">
        <f ca="1">IFERROR(OFFSET(ITEM_RES!$A$5,MATCH(BUILDING!S284,ITEM_RES!$J$5:$J$229,0)-1,0),0)</f>
        <v>0</v>
      </c>
      <c r="W284" s="11">
        <f ca="1">IFERROR(OFFSET(ITEM_RES!$A$5,MATCH(BUILDING!V284,ITEM_RES!$J$5:$J$229,0)-1,0),0)</f>
        <v>0</v>
      </c>
      <c r="Y284" s="9" t="s">
        <v>506</v>
      </c>
      <c r="Z284" s="9">
        <v>20</v>
      </c>
      <c r="AB284" s="11">
        <f ca="1">IFERROR(OFFSET(MANOR_LEVEL!$B$1,MATCH(AC284-1,MANOR_LEVEL!$A:$A,0)-1,0),0)</f>
        <v>1077433600</v>
      </c>
      <c r="AC284" s="55">
        <v>20</v>
      </c>
      <c r="AE284" s="11">
        <f t="shared" ca="1" si="89"/>
        <v>480000000</v>
      </c>
      <c r="AF284" s="10">
        <f ca="1">AK284+AM284+(IFERROR(OFFSET(ITEM_RES!$R$1,MATCH(AQ284,ITEM_RES!$A:$A,0)-1,0),0)*AS284+IFERROR(OFFSET(ITEM_RES!$R$1,MATCH(AV284,ITEM_RES!$A:$A,0)-1,0),0)*AX284+IFERROR(OFFSET(ITEM_RES!$R$1,MATCH(BA284,ITEM_RES!$A:$A,0)-1,0),0)*BC284+IFERROR(OFFSET(ITEM_RES!$R$1,MATCH(BF284,ITEM_RES!$A:$A,0)-1,0),0)*BH284+IFERROR(OFFSET(ITEM_RES!$R$1,MATCH(BK284,ITEM_RES!$A:$A,0)-1,0),0)*BM284)/1000</f>
        <v>480000000</v>
      </c>
      <c r="AG284" s="176">
        <f t="shared" ca="1" si="88"/>
        <v>780000000</v>
      </c>
      <c r="AI284" s="11">
        <f t="shared" si="79"/>
        <v>1980</v>
      </c>
      <c r="AJ284" s="10">
        <v>1980</v>
      </c>
      <c r="AK284" s="11">
        <f t="shared" si="86"/>
        <v>0</v>
      </c>
      <c r="AL284" s="10">
        <v>0</v>
      </c>
      <c r="AM284" s="11">
        <f t="shared" si="87"/>
        <v>0</v>
      </c>
      <c r="AN284" s="10">
        <v>0</v>
      </c>
      <c r="AO284" s="55">
        <f t="shared" si="80"/>
        <v>2</v>
      </c>
      <c r="AQ284" s="11">
        <f ca="1">IFERROR(OFFSET(ITEM_RES!$A$1,MATCH(AR284,ITEM_RES!$J:$J,0)-1,0),0)</f>
        <v>211020901</v>
      </c>
      <c r="AR284" s="10" t="s">
        <v>433</v>
      </c>
      <c r="AS284" s="11">
        <v>32000000</v>
      </c>
      <c r="AV284" s="11">
        <f ca="1">IFERROR(OFFSET(ITEM_RES!$A$1,MATCH(AW284,ITEM_RES!$J:$J,0)-1,0),0)</f>
        <v>211020501</v>
      </c>
      <c r="AW284" s="10" t="s">
        <v>416</v>
      </c>
      <c r="AX284" s="11">
        <v>32000000</v>
      </c>
      <c r="BA284" s="11">
        <f ca="1">IFERROR(OFFSET(ITEM_RES!$A$1,MATCH(BB284,ITEM_RES!$J:$J,0)-1,0),0)</f>
        <v>0</v>
      </c>
      <c r="BF284" s="11">
        <f ca="1">IFERROR(OFFSET(ITEM_RES!$A$1,MATCH(BG284,ITEM_RES!$J:$J,0)-1,0),0)</f>
        <v>0</v>
      </c>
      <c r="BK284" s="11">
        <f ca="1">IFERROR(OFFSET(ITEM_RES!$A$1,MATCH(BL284,ITEM_RES!$J:$J,0)-1,0),0)</f>
        <v>0</v>
      </c>
      <c r="BM284" s="11">
        <f t="shared" si="85"/>
        <v>0</v>
      </c>
    </row>
    <row r="285" spans="1:66" s="15" customFormat="1" x14ac:dyDescent="0.3">
      <c r="A285" s="21">
        <f t="shared" ref="A285:A304" si="90">B285*10000000+C285*1000000+D285*10000+E285*100+F285</f>
        <v>113060001</v>
      </c>
      <c r="B285" s="20">
        <v>11</v>
      </c>
      <c r="C285" s="19">
        <f t="shared" ref="C285:C304" si="91">H285</f>
        <v>3</v>
      </c>
      <c r="D285" s="20">
        <v>6</v>
      </c>
      <c r="E285" s="20">
        <v>0</v>
      </c>
      <c r="F285" s="19">
        <f t="shared" ref="F285:F304" si="92">I285</f>
        <v>1</v>
      </c>
      <c r="G285" s="76"/>
      <c r="H285" s="16">
        <v>3</v>
      </c>
      <c r="I285" s="16">
        <v>1</v>
      </c>
      <c r="J285" s="76"/>
      <c r="K285" s="16" t="s">
        <v>1019</v>
      </c>
      <c r="L285" s="16">
        <v>20</v>
      </c>
      <c r="M285" s="16">
        <v>1</v>
      </c>
      <c r="N285" s="16">
        <v>15</v>
      </c>
      <c r="O285" s="137" t="s">
        <v>1025</v>
      </c>
      <c r="P285" s="56" t="s">
        <v>1368</v>
      </c>
      <c r="Q285" s="16" t="s">
        <v>1020</v>
      </c>
      <c r="R285" s="76"/>
      <c r="S285" s="83"/>
      <c r="T285" s="16">
        <f ca="1">IFERROR(OFFSET(ITEM_RES!$A$5,MATCH(BUILDING!S285,ITEM_RES!$J$5:$J$229,0)-1,0),0)</f>
        <v>0</v>
      </c>
      <c r="U285" s="18"/>
      <c r="V285" s="83"/>
      <c r="W285" s="18">
        <f ca="1">IFERROR(OFFSET(ITEM_RES!$A$5,MATCH(BUILDING!V285,ITEM_RES!$J$5:$J$229,0)-1,0),0)</f>
        <v>0</v>
      </c>
      <c r="X285" s="76"/>
      <c r="Y285" s="16" t="s">
        <v>1024</v>
      </c>
      <c r="Z285" s="16">
        <v>1</v>
      </c>
      <c r="AA285" s="76"/>
      <c r="AB285" s="18">
        <f ca="1">IFERROR(OFFSET(MANOR_LEVEL!$B$1,MATCH(AC285-1,MANOR_LEVEL!$A:$A,0)-1,0),0)</f>
        <v>1077433600</v>
      </c>
      <c r="AC285" s="56">
        <v>20</v>
      </c>
      <c r="AD285" s="76"/>
      <c r="AE285" s="18">
        <f t="shared" ca="1" si="89"/>
        <v>1300</v>
      </c>
      <c r="AF285" s="17">
        <f ca="1">AK285+AM285+(IFERROR(OFFSET(ITEM_RES!$R$1,MATCH(AQ285,ITEM_RES!$A:$A,0)-1,0),0)*AS285+IFERROR(OFFSET(ITEM_RES!$R$1,MATCH(AV285,ITEM_RES!$A:$A,0)-1,0),0)*AX285+IFERROR(OFFSET(ITEM_RES!$R$1,MATCH(BA285,ITEM_RES!$A:$A,0)-1,0),0)*BC285+IFERROR(OFFSET(ITEM_RES!$R$1,MATCH(BF285,ITEM_RES!$A:$A,0)-1,0),0)*BH285+IFERROR(OFFSET(ITEM_RES!$R$1,MATCH(BK285,ITEM_RES!$A:$A,0)-1,0),0)*BM285)/1000</f>
        <v>1300</v>
      </c>
      <c r="AG285" s="178">
        <f ca="1">AE285</f>
        <v>1300</v>
      </c>
      <c r="AH285" s="76"/>
      <c r="AI285" s="18">
        <f t="shared" ref="AI285:AI304" si="93">ROUND(AJ285,0)</f>
        <v>2</v>
      </c>
      <c r="AJ285" s="17">
        <v>2</v>
      </c>
      <c r="AK285" s="18">
        <f t="shared" ref="AK285:AK304" si="94">ROUND(AL285,0)</f>
        <v>0</v>
      </c>
      <c r="AL285" s="17">
        <v>0</v>
      </c>
      <c r="AM285" s="18">
        <f t="shared" si="87"/>
        <v>0</v>
      </c>
      <c r="AN285" s="17">
        <v>0</v>
      </c>
      <c r="AO285" s="56">
        <f t="shared" ref="AO285:AO304" si="95">(AS285&gt;0)*1+(AX285&gt;0)*1+(BC285&gt;0)*1+(BH285&gt;0)*1+(BM285&gt;0)*1</f>
        <v>2</v>
      </c>
      <c r="AP285" s="18"/>
      <c r="AQ285" s="18">
        <f ca="1">IFERROR(OFFSET(ITEM_RES!$A$1,MATCH(AR285,ITEM_RES!$J:$J,0)-1,0),0)</f>
        <v>211020801</v>
      </c>
      <c r="AR285" s="17" t="s">
        <v>384</v>
      </c>
      <c r="AS285" s="18">
        <v>50</v>
      </c>
      <c r="AT285" s="17"/>
      <c r="AU285" s="18"/>
      <c r="AV285" s="18">
        <f ca="1">IFERROR(OFFSET(ITEM_RES!$A$1,MATCH(AW285,ITEM_RES!$J:$J,0)-1,0),0)</f>
        <v>0</v>
      </c>
      <c r="AW285" s="17"/>
      <c r="AX285" s="18"/>
      <c r="AY285" s="17"/>
      <c r="AZ285" s="18"/>
      <c r="BA285" s="18">
        <f ca="1">IFERROR(OFFSET(ITEM_RES!$A$1,MATCH(BB285,ITEM_RES!$J:$J,0)-1,0),0)</f>
        <v>213010101</v>
      </c>
      <c r="BB285" s="17" t="s">
        <v>387</v>
      </c>
      <c r="BC285" s="18">
        <v>1</v>
      </c>
      <c r="BD285" s="17"/>
      <c r="BE285" s="18"/>
      <c r="BF285" s="18">
        <f ca="1">IFERROR(OFFSET(ITEM_RES!$A$1,MATCH(BG285,ITEM_RES!$J:$J,0)-1,0),0)</f>
        <v>0</v>
      </c>
      <c r="BG285" s="17"/>
      <c r="BH285" s="18"/>
      <c r="BI285" s="17"/>
      <c r="BJ285" s="18"/>
      <c r="BK285" s="18">
        <f ca="1">IFERROR(OFFSET(ITEM_RES!$A$1,MATCH(BL285,ITEM_RES!$J:$J,0)-1,0),0)</f>
        <v>0</v>
      </c>
      <c r="BL285" s="17"/>
      <c r="BM285" s="18">
        <f t="shared" ref="BM285:BM304" si="96">IF(BN285&lt;100,ROUND(BN285,1-LEN(ROUND(BN285,0))),ROUND(BN285,2-LEN(ROUND(BN285,0))))</f>
        <v>0</v>
      </c>
      <c r="BN285" s="17"/>
    </row>
    <row r="286" spans="1:66" x14ac:dyDescent="0.3">
      <c r="A286" s="14">
        <f t="shared" si="90"/>
        <v>113060002</v>
      </c>
      <c r="B286" s="13">
        <v>11</v>
      </c>
      <c r="C286" s="12">
        <f t="shared" si="91"/>
        <v>3</v>
      </c>
      <c r="D286" s="13">
        <v>6</v>
      </c>
      <c r="E286" s="13">
        <v>0</v>
      </c>
      <c r="F286" s="12">
        <f t="shared" si="92"/>
        <v>2</v>
      </c>
      <c r="H286" s="9">
        <v>3</v>
      </c>
      <c r="I286" s="9">
        <v>2</v>
      </c>
      <c r="K286" s="9" t="s">
        <v>1019</v>
      </c>
      <c r="M286" s="9">
        <v>1</v>
      </c>
      <c r="N286" s="9">
        <v>15</v>
      </c>
      <c r="O286" s="138" t="s">
        <v>1025</v>
      </c>
      <c r="P286" s="55" t="s">
        <v>1368</v>
      </c>
      <c r="Q286" s="9" t="s">
        <v>1020</v>
      </c>
      <c r="T286" s="9">
        <f ca="1">IFERROR(OFFSET(ITEM_RES!$A$5,MATCH(BUILDING!S286,ITEM_RES!$J$5:$J$229,0)-1,0),0)</f>
        <v>0</v>
      </c>
      <c r="W286" s="11">
        <f ca="1">IFERROR(OFFSET(ITEM_RES!$A$5,MATCH(BUILDING!V286,ITEM_RES!$J$5:$J$229,0)-1,0),0)</f>
        <v>0</v>
      </c>
      <c r="Y286" s="9" t="s">
        <v>1023</v>
      </c>
      <c r="Z286" s="9">
        <v>2</v>
      </c>
      <c r="AB286" s="11">
        <f ca="1">IFERROR(OFFSET(MANOR_LEVEL!$B$1,MATCH(AC286-1,MANOR_LEVEL!$A:$A,0)-1,0),0)</f>
        <v>1077433600</v>
      </c>
      <c r="AC286" s="55">
        <v>20</v>
      </c>
      <c r="AE286" s="11">
        <f t="shared" ca="1" si="89"/>
        <v>600</v>
      </c>
      <c r="AF286" s="10">
        <f ca="1">AK286+AM286+(IFERROR(OFFSET(ITEM_RES!$R$1,MATCH(AQ286,ITEM_RES!$A:$A,0)-1,0),0)*AS286+IFERROR(OFFSET(ITEM_RES!$R$1,MATCH(AV286,ITEM_RES!$A:$A,0)-1,0),0)*AX286+IFERROR(OFFSET(ITEM_RES!$R$1,MATCH(BA286,ITEM_RES!$A:$A,0)-1,0),0)*BC286+IFERROR(OFFSET(ITEM_RES!$R$1,MATCH(BF286,ITEM_RES!$A:$A,0)-1,0),0)*BH286+IFERROR(OFFSET(ITEM_RES!$R$1,MATCH(BK286,ITEM_RES!$A:$A,0)-1,0),0)*BM286)/1000</f>
        <v>600</v>
      </c>
      <c r="AG286" s="176">
        <f ca="1">AE285+AE286</f>
        <v>1900</v>
      </c>
      <c r="AI286" s="11">
        <f t="shared" si="93"/>
        <v>2</v>
      </c>
      <c r="AJ286" s="10">
        <v>2</v>
      </c>
      <c r="AK286" s="11">
        <f t="shared" si="94"/>
        <v>0</v>
      </c>
      <c r="AL286" s="10">
        <v>0</v>
      </c>
      <c r="AM286" s="11">
        <f t="shared" si="87"/>
        <v>0</v>
      </c>
      <c r="AN286" s="10">
        <v>0</v>
      </c>
      <c r="AO286" s="55">
        <f t="shared" si="95"/>
        <v>1</v>
      </c>
      <c r="AQ286" s="11">
        <f ca="1">IFERROR(OFFSET(ITEM_RES!$A$1,MATCH(AR286,ITEM_RES!$J:$J,0)-1,0),0)</f>
        <v>211020801</v>
      </c>
      <c r="AR286" s="10" t="s">
        <v>384</v>
      </c>
      <c r="AS286" s="11">
        <v>100</v>
      </c>
      <c r="AV286" s="11">
        <f ca="1">IFERROR(OFFSET(ITEM_RES!$A$1,MATCH(AW286,ITEM_RES!$J:$J,0)-1,0),0)</f>
        <v>0</v>
      </c>
      <c r="BA286" s="11">
        <f ca="1">IFERROR(OFFSET(ITEM_RES!$A$1,MATCH(BB286,ITEM_RES!$J:$J,0)-1,0),0)</f>
        <v>0</v>
      </c>
      <c r="BF286" s="11">
        <f ca="1">IFERROR(OFFSET(ITEM_RES!$A$1,MATCH(BG286,ITEM_RES!$J:$J,0)-1,0),0)</f>
        <v>0</v>
      </c>
      <c r="BK286" s="11">
        <f ca="1">IFERROR(OFFSET(ITEM_RES!$A$1,MATCH(BL286,ITEM_RES!$J:$J,0)-1,0),0)</f>
        <v>0</v>
      </c>
      <c r="BM286" s="11">
        <f t="shared" si="96"/>
        <v>0</v>
      </c>
    </row>
    <row r="287" spans="1:66" x14ac:dyDescent="0.3">
      <c r="A287" s="14">
        <f t="shared" si="90"/>
        <v>113060003</v>
      </c>
      <c r="B287" s="13">
        <v>11</v>
      </c>
      <c r="C287" s="12">
        <f t="shared" si="91"/>
        <v>3</v>
      </c>
      <c r="D287" s="13">
        <v>6</v>
      </c>
      <c r="E287" s="13">
        <v>0</v>
      </c>
      <c r="F287" s="12">
        <f t="shared" si="92"/>
        <v>3</v>
      </c>
      <c r="H287" s="9">
        <v>3</v>
      </c>
      <c r="I287" s="9">
        <v>3</v>
      </c>
      <c r="K287" s="9" t="s">
        <v>1019</v>
      </c>
      <c r="M287" s="9">
        <v>1</v>
      </c>
      <c r="N287" s="9">
        <v>15</v>
      </c>
      <c r="O287" s="138" t="s">
        <v>1025</v>
      </c>
      <c r="P287" s="55" t="s">
        <v>1368</v>
      </c>
      <c r="Q287" s="9" t="s">
        <v>1020</v>
      </c>
      <c r="T287" s="9">
        <f ca="1">IFERROR(OFFSET(ITEM_RES!$A$5,MATCH(BUILDING!S287,ITEM_RES!$J$5:$J$229,0)-1,0),0)</f>
        <v>0</v>
      </c>
      <c r="W287" s="11">
        <f ca="1">IFERROR(OFFSET(ITEM_RES!$A$5,MATCH(BUILDING!V287,ITEM_RES!$J$5:$J$229,0)-1,0),0)</f>
        <v>0</v>
      </c>
      <c r="Y287" s="9" t="s">
        <v>1023</v>
      </c>
      <c r="Z287" s="9">
        <v>3</v>
      </c>
      <c r="AB287" s="11">
        <f ca="1">IFERROR(OFFSET(MANOR_LEVEL!$B$1,MATCH(AC287-1,MANOR_LEVEL!$A:$A,0)-1,0),0)</f>
        <v>1077433600</v>
      </c>
      <c r="AC287" s="55">
        <v>20</v>
      </c>
      <c r="AE287" s="11">
        <f t="shared" ca="1" si="89"/>
        <v>900</v>
      </c>
      <c r="AF287" s="10">
        <f ca="1">AK287+AM287+(IFERROR(OFFSET(ITEM_RES!$R$1,MATCH(AQ287,ITEM_RES!$A:$A,0)-1,0),0)*AS287+IFERROR(OFFSET(ITEM_RES!$R$1,MATCH(AV287,ITEM_RES!$A:$A,0)-1,0),0)*AX287+IFERROR(OFFSET(ITEM_RES!$R$1,MATCH(BA287,ITEM_RES!$A:$A,0)-1,0),0)*BC287+IFERROR(OFFSET(ITEM_RES!$R$1,MATCH(BF287,ITEM_RES!$A:$A,0)-1,0),0)*BH287+IFERROR(OFFSET(ITEM_RES!$R$1,MATCH(BK287,ITEM_RES!$A:$A,0)-1,0),0)*BM287)/1000</f>
        <v>900</v>
      </c>
      <c r="AG287" s="176">
        <f t="shared" ref="AG287:AG304" ca="1" si="97">AE286+AE287</f>
        <v>1500</v>
      </c>
      <c r="AI287" s="11">
        <f t="shared" si="93"/>
        <v>3</v>
      </c>
      <c r="AJ287" s="10">
        <v>3</v>
      </c>
      <c r="AK287" s="11">
        <f t="shared" si="94"/>
        <v>0</v>
      </c>
      <c r="AL287" s="10">
        <v>0</v>
      </c>
      <c r="AM287" s="11">
        <f t="shared" si="87"/>
        <v>0</v>
      </c>
      <c r="AN287" s="10">
        <v>0</v>
      </c>
      <c r="AO287" s="55">
        <f t="shared" si="95"/>
        <v>1</v>
      </c>
      <c r="AQ287" s="11">
        <f ca="1">IFERROR(OFFSET(ITEM_RES!$A$1,MATCH(AR287,ITEM_RES!$J:$J,0)-1,0),0)</f>
        <v>211020801</v>
      </c>
      <c r="AR287" s="10" t="s">
        <v>384</v>
      </c>
      <c r="AS287" s="11">
        <v>150</v>
      </c>
      <c r="AV287" s="11">
        <f ca="1">IFERROR(OFFSET(ITEM_RES!$A$1,MATCH(AW287,ITEM_RES!$J:$J,0)-1,0),0)</f>
        <v>0</v>
      </c>
      <c r="BA287" s="11">
        <f ca="1">IFERROR(OFFSET(ITEM_RES!$A$1,MATCH(BB287,ITEM_RES!$J:$J,0)-1,0),0)</f>
        <v>0</v>
      </c>
      <c r="BF287" s="11">
        <f ca="1">IFERROR(OFFSET(ITEM_RES!$A$1,MATCH(BG287,ITEM_RES!$J:$J,0)-1,0),0)</f>
        <v>0</v>
      </c>
      <c r="BK287" s="11">
        <f ca="1">IFERROR(OFFSET(ITEM_RES!$A$1,MATCH(BL287,ITEM_RES!$J:$J,0)-1,0),0)</f>
        <v>0</v>
      </c>
      <c r="BM287" s="11">
        <f t="shared" si="96"/>
        <v>0</v>
      </c>
    </row>
    <row r="288" spans="1:66" x14ac:dyDescent="0.3">
      <c r="A288" s="14">
        <f t="shared" si="90"/>
        <v>113060004</v>
      </c>
      <c r="B288" s="13">
        <v>11</v>
      </c>
      <c r="C288" s="12">
        <f t="shared" si="91"/>
        <v>3</v>
      </c>
      <c r="D288" s="13">
        <v>6</v>
      </c>
      <c r="E288" s="13">
        <v>0</v>
      </c>
      <c r="F288" s="12">
        <f t="shared" si="92"/>
        <v>4</v>
      </c>
      <c r="H288" s="9">
        <v>3</v>
      </c>
      <c r="I288" s="9">
        <v>4</v>
      </c>
      <c r="K288" s="9" t="s">
        <v>1019</v>
      </c>
      <c r="M288" s="9">
        <v>1</v>
      </c>
      <c r="N288" s="9">
        <v>15</v>
      </c>
      <c r="O288" s="138" t="s">
        <v>1025</v>
      </c>
      <c r="P288" s="55" t="s">
        <v>1368</v>
      </c>
      <c r="Q288" s="9" t="s">
        <v>1020</v>
      </c>
      <c r="T288" s="9">
        <f ca="1">IFERROR(OFFSET(ITEM_RES!$A$5,MATCH(BUILDING!S288,ITEM_RES!$J$5:$J$229,0)-1,0),0)</f>
        <v>0</v>
      </c>
      <c r="W288" s="11">
        <f ca="1">IFERROR(OFFSET(ITEM_RES!$A$5,MATCH(BUILDING!V288,ITEM_RES!$J$5:$J$229,0)-1,0),0)</f>
        <v>0</v>
      </c>
      <c r="Y288" s="9" t="s">
        <v>1023</v>
      </c>
      <c r="Z288" s="9">
        <v>4</v>
      </c>
      <c r="AB288" s="11">
        <f ca="1">IFERROR(OFFSET(MANOR_LEVEL!$B$1,MATCH(AC288-1,MANOR_LEVEL!$A:$A,0)-1,0),0)</f>
        <v>1077433600</v>
      </c>
      <c r="AC288" s="55">
        <v>20</v>
      </c>
      <c r="AE288" s="11">
        <f t="shared" ca="1" si="89"/>
        <v>3600</v>
      </c>
      <c r="AF288" s="10">
        <f ca="1">AK288+AM288+(IFERROR(OFFSET(ITEM_RES!$R$1,MATCH(AQ288,ITEM_RES!$A:$A,0)-1,0),0)*AS288+IFERROR(OFFSET(ITEM_RES!$R$1,MATCH(AV288,ITEM_RES!$A:$A,0)-1,0),0)*AX288+IFERROR(OFFSET(ITEM_RES!$R$1,MATCH(BA288,ITEM_RES!$A:$A,0)-1,0),0)*BC288+IFERROR(OFFSET(ITEM_RES!$R$1,MATCH(BF288,ITEM_RES!$A:$A,0)-1,0),0)*BH288+IFERROR(OFFSET(ITEM_RES!$R$1,MATCH(BK288,ITEM_RES!$A:$A,0)-1,0),0)*BM288)/1000</f>
        <v>3600</v>
      </c>
      <c r="AG288" s="176">
        <f t="shared" ca="1" si="97"/>
        <v>4500</v>
      </c>
      <c r="AI288" s="11">
        <f t="shared" si="93"/>
        <v>5</v>
      </c>
      <c r="AJ288" s="10">
        <v>5</v>
      </c>
      <c r="AK288" s="11">
        <f t="shared" si="94"/>
        <v>0</v>
      </c>
      <c r="AL288" s="10">
        <v>0</v>
      </c>
      <c r="AM288" s="11">
        <f t="shared" si="87"/>
        <v>0</v>
      </c>
      <c r="AN288" s="10">
        <v>0</v>
      </c>
      <c r="AO288" s="55">
        <f t="shared" si="95"/>
        <v>1</v>
      </c>
      <c r="AQ288" s="11">
        <f ca="1">IFERROR(OFFSET(ITEM_RES!$A$1,MATCH(AR288,ITEM_RES!$J:$J,0)-1,0),0)</f>
        <v>211020801</v>
      </c>
      <c r="AR288" s="10" t="s">
        <v>384</v>
      </c>
      <c r="AS288" s="11">
        <v>600</v>
      </c>
      <c r="AV288" s="11">
        <f ca="1">IFERROR(OFFSET(ITEM_RES!$A$1,MATCH(AW288,ITEM_RES!$J:$J,0)-1,0),0)</f>
        <v>0</v>
      </c>
      <c r="BA288" s="11">
        <f ca="1">IFERROR(OFFSET(ITEM_RES!$A$1,MATCH(BB288,ITEM_RES!$J:$J,0)-1,0),0)</f>
        <v>0</v>
      </c>
      <c r="BF288" s="11">
        <f ca="1">IFERROR(OFFSET(ITEM_RES!$A$1,MATCH(BG288,ITEM_RES!$J:$J,0)-1,0),0)</f>
        <v>0</v>
      </c>
      <c r="BK288" s="11">
        <f ca="1">IFERROR(OFFSET(ITEM_RES!$A$1,MATCH(BL288,ITEM_RES!$J:$J,0)-1,0),0)</f>
        <v>0</v>
      </c>
      <c r="BM288" s="11">
        <f t="shared" si="96"/>
        <v>0</v>
      </c>
    </row>
    <row r="289" spans="1:65" x14ac:dyDescent="0.3">
      <c r="A289" s="14">
        <f t="shared" si="90"/>
        <v>113060005</v>
      </c>
      <c r="B289" s="13">
        <v>11</v>
      </c>
      <c r="C289" s="12">
        <f t="shared" si="91"/>
        <v>3</v>
      </c>
      <c r="D289" s="13">
        <v>6</v>
      </c>
      <c r="E289" s="13">
        <v>0</v>
      </c>
      <c r="F289" s="12">
        <f t="shared" si="92"/>
        <v>5</v>
      </c>
      <c r="H289" s="9">
        <v>3</v>
      </c>
      <c r="I289" s="9">
        <v>5</v>
      </c>
      <c r="K289" s="9" t="s">
        <v>1019</v>
      </c>
      <c r="M289" s="9">
        <v>1</v>
      </c>
      <c r="N289" s="9">
        <v>15</v>
      </c>
      <c r="O289" s="138" t="s">
        <v>1025</v>
      </c>
      <c r="P289" s="55" t="s">
        <v>1368</v>
      </c>
      <c r="Q289" s="9" t="s">
        <v>1020</v>
      </c>
      <c r="T289" s="9">
        <f ca="1">IFERROR(OFFSET(ITEM_RES!$A$5,MATCH(BUILDING!S289,ITEM_RES!$J$5:$J$229,0)-1,0),0)</f>
        <v>0</v>
      </c>
      <c r="W289" s="11">
        <f ca="1">IFERROR(OFFSET(ITEM_RES!$A$5,MATCH(BUILDING!V289,ITEM_RES!$J$5:$J$229,0)-1,0),0)</f>
        <v>0</v>
      </c>
      <c r="Y289" s="9" t="s">
        <v>1023</v>
      </c>
      <c r="Z289" s="9">
        <v>5</v>
      </c>
      <c r="AB289" s="11">
        <f ca="1">IFERROR(OFFSET(MANOR_LEVEL!$B$1,MATCH(AC289-1,MANOR_LEVEL!$A:$A,0)-1,0),0)</f>
        <v>1077433600</v>
      </c>
      <c r="AC289" s="55">
        <v>20</v>
      </c>
      <c r="AE289" s="11">
        <f t="shared" ca="1" si="89"/>
        <v>16200</v>
      </c>
      <c r="AF289" s="10">
        <f ca="1">AK289+AM289+(IFERROR(OFFSET(ITEM_RES!$R$1,MATCH(AQ289,ITEM_RES!$A:$A,0)-1,0),0)*AS289+IFERROR(OFFSET(ITEM_RES!$R$1,MATCH(AV289,ITEM_RES!$A:$A,0)-1,0),0)*AX289+IFERROR(OFFSET(ITEM_RES!$R$1,MATCH(BA289,ITEM_RES!$A:$A,0)-1,0),0)*BC289+IFERROR(OFFSET(ITEM_RES!$R$1,MATCH(BF289,ITEM_RES!$A:$A,0)-1,0),0)*BH289+IFERROR(OFFSET(ITEM_RES!$R$1,MATCH(BK289,ITEM_RES!$A:$A,0)-1,0),0)*BM289)/1000</f>
        <v>16200</v>
      </c>
      <c r="AG289" s="176">
        <f t="shared" ca="1" si="97"/>
        <v>19800</v>
      </c>
      <c r="AI289" s="11">
        <f t="shared" si="93"/>
        <v>8</v>
      </c>
      <c r="AJ289" s="10">
        <v>8</v>
      </c>
      <c r="AK289" s="11">
        <f t="shared" si="94"/>
        <v>0</v>
      </c>
      <c r="AL289" s="10">
        <v>0</v>
      </c>
      <c r="AM289" s="11">
        <f t="shared" si="87"/>
        <v>0</v>
      </c>
      <c r="AN289" s="10">
        <v>0</v>
      </c>
      <c r="AO289" s="55">
        <f t="shared" si="95"/>
        <v>1</v>
      </c>
      <c r="AQ289" s="11">
        <f ca="1">IFERROR(OFFSET(ITEM_RES!$A$1,MATCH(AR289,ITEM_RES!$J:$J,0)-1,0),0)</f>
        <v>211020801</v>
      </c>
      <c r="AR289" s="10" t="s">
        <v>384</v>
      </c>
      <c r="AS289" s="11">
        <v>2700</v>
      </c>
      <c r="AV289" s="11">
        <f ca="1">IFERROR(OFFSET(ITEM_RES!$A$1,MATCH(AW289,ITEM_RES!$J:$J,0)-1,0),0)</f>
        <v>0</v>
      </c>
      <c r="BA289" s="11">
        <f ca="1">IFERROR(OFFSET(ITEM_RES!$A$1,MATCH(BB289,ITEM_RES!$J:$J,0)-1,0),0)</f>
        <v>0</v>
      </c>
      <c r="BF289" s="11">
        <f ca="1">IFERROR(OFFSET(ITEM_RES!$A$1,MATCH(BG289,ITEM_RES!$J:$J,0)-1,0),0)</f>
        <v>0</v>
      </c>
      <c r="BK289" s="11">
        <f ca="1">IFERROR(OFFSET(ITEM_RES!$A$1,MATCH(BL289,ITEM_RES!$J:$J,0)-1,0),0)</f>
        <v>0</v>
      </c>
      <c r="BM289" s="11">
        <f t="shared" si="96"/>
        <v>0</v>
      </c>
    </row>
    <row r="290" spans="1:65" x14ac:dyDescent="0.3">
      <c r="A290" s="14">
        <f t="shared" si="90"/>
        <v>113060006</v>
      </c>
      <c r="B290" s="13">
        <v>11</v>
      </c>
      <c r="C290" s="12">
        <f t="shared" si="91"/>
        <v>3</v>
      </c>
      <c r="D290" s="13">
        <v>6</v>
      </c>
      <c r="E290" s="13">
        <v>0</v>
      </c>
      <c r="F290" s="12">
        <f t="shared" si="92"/>
        <v>6</v>
      </c>
      <c r="H290" s="9">
        <v>3</v>
      </c>
      <c r="I290" s="9">
        <v>6</v>
      </c>
      <c r="K290" s="9" t="s">
        <v>1019</v>
      </c>
      <c r="M290" s="9">
        <v>1</v>
      </c>
      <c r="N290" s="9">
        <v>15</v>
      </c>
      <c r="O290" s="138" t="s">
        <v>1025</v>
      </c>
      <c r="P290" s="55" t="s">
        <v>1368</v>
      </c>
      <c r="Q290" s="9" t="s">
        <v>1020</v>
      </c>
      <c r="T290" s="9">
        <f ca="1">IFERROR(OFFSET(ITEM_RES!$A$5,MATCH(BUILDING!S290,ITEM_RES!$J$5:$J$229,0)-1,0),0)</f>
        <v>0</v>
      </c>
      <c r="W290" s="11">
        <f ca="1">IFERROR(OFFSET(ITEM_RES!$A$5,MATCH(BUILDING!V290,ITEM_RES!$J$5:$J$229,0)-1,0),0)</f>
        <v>0</v>
      </c>
      <c r="Y290" s="9" t="s">
        <v>1023</v>
      </c>
      <c r="Z290" s="9">
        <v>6</v>
      </c>
      <c r="AB290" s="11">
        <f ca="1">IFERROR(OFFSET(MANOR_LEVEL!$B$1,MATCH(AC290-1,MANOR_LEVEL!$A:$A,0)-1,0),0)</f>
        <v>1077433600</v>
      </c>
      <c r="AC290" s="55">
        <v>20</v>
      </c>
      <c r="AE290" s="11">
        <f t="shared" ca="1" si="89"/>
        <v>54000</v>
      </c>
      <c r="AF290" s="10">
        <f ca="1">AK290+AM290+(IFERROR(OFFSET(ITEM_RES!$R$1,MATCH(AQ290,ITEM_RES!$A:$A,0)-1,0),0)*AS290+IFERROR(OFFSET(ITEM_RES!$R$1,MATCH(AV290,ITEM_RES!$A:$A,0)-1,0),0)*AX290+IFERROR(OFFSET(ITEM_RES!$R$1,MATCH(BA290,ITEM_RES!$A:$A,0)-1,0),0)*BC290+IFERROR(OFFSET(ITEM_RES!$R$1,MATCH(BF290,ITEM_RES!$A:$A,0)-1,0),0)*BH290+IFERROR(OFFSET(ITEM_RES!$R$1,MATCH(BK290,ITEM_RES!$A:$A,0)-1,0),0)*BM290)/1000</f>
        <v>54000</v>
      </c>
      <c r="AG290" s="176">
        <f t="shared" ca="1" si="97"/>
        <v>70200</v>
      </c>
      <c r="AI290" s="11">
        <f t="shared" si="93"/>
        <v>10</v>
      </c>
      <c r="AJ290" s="10">
        <v>10</v>
      </c>
      <c r="AK290" s="11">
        <f t="shared" si="94"/>
        <v>0</v>
      </c>
      <c r="AL290" s="10">
        <v>0</v>
      </c>
      <c r="AM290" s="11">
        <f t="shared" si="87"/>
        <v>0</v>
      </c>
      <c r="AN290" s="10">
        <v>0</v>
      </c>
      <c r="AO290" s="55">
        <f t="shared" si="95"/>
        <v>1</v>
      </c>
      <c r="AQ290" s="11">
        <f ca="1">IFERROR(OFFSET(ITEM_RES!$A$1,MATCH(AR290,ITEM_RES!$J:$J,0)-1,0),0)</f>
        <v>211020801</v>
      </c>
      <c r="AR290" s="10" t="s">
        <v>384</v>
      </c>
      <c r="AS290" s="11">
        <v>9000</v>
      </c>
      <c r="AV290" s="11">
        <f ca="1">IFERROR(OFFSET(ITEM_RES!$A$1,MATCH(AW290,ITEM_RES!$J:$J,0)-1,0),0)</f>
        <v>0</v>
      </c>
      <c r="BA290" s="11">
        <f ca="1">IFERROR(OFFSET(ITEM_RES!$A$1,MATCH(BB290,ITEM_RES!$J:$J,0)-1,0),0)</f>
        <v>0</v>
      </c>
      <c r="BF290" s="11">
        <f ca="1">IFERROR(OFFSET(ITEM_RES!$A$1,MATCH(BG290,ITEM_RES!$J:$J,0)-1,0),0)</f>
        <v>0</v>
      </c>
      <c r="BK290" s="11">
        <f ca="1">IFERROR(OFFSET(ITEM_RES!$A$1,MATCH(BL290,ITEM_RES!$J:$J,0)-1,0),0)</f>
        <v>0</v>
      </c>
      <c r="BM290" s="11">
        <f t="shared" si="96"/>
        <v>0</v>
      </c>
    </row>
    <row r="291" spans="1:65" x14ac:dyDescent="0.3">
      <c r="A291" s="14">
        <f t="shared" si="90"/>
        <v>113060007</v>
      </c>
      <c r="B291" s="13">
        <v>11</v>
      </c>
      <c r="C291" s="12">
        <f t="shared" si="91"/>
        <v>3</v>
      </c>
      <c r="D291" s="13">
        <v>6</v>
      </c>
      <c r="E291" s="13">
        <v>0</v>
      </c>
      <c r="F291" s="12">
        <f t="shared" si="92"/>
        <v>7</v>
      </c>
      <c r="H291" s="9">
        <v>3</v>
      </c>
      <c r="I291" s="9">
        <v>7</v>
      </c>
      <c r="K291" s="9" t="s">
        <v>1019</v>
      </c>
      <c r="M291" s="9">
        <v>1</v>
      </c>
      <c r="N291" s="9">
        <v>15</v>
      </c>
      <c r="O291" s="138" t="s">
        <v>1025</v>
      </c>
      <c r="P291" s="55" t="s">
        <v>1368</v>
      </c>
      <c r="Q291" s="9" t="s">
        <v>1020</v>
      </c>
      <c r="T291" s="9">
        <f ca="1">IFERROR(OFFSET(ITEM_RES!$A$5,MATCH(BUILDING!S291,ITEM_RES!$J$5:$J$229,0)-1,0),0)</f>
        <v>0</v>
      </c>
      <c r="W291" s="11">
        <f ca="1">IFERROR(OFFSET(ITEM_RES!$A$5,MATCH(BUILDING!V291,ITEM_RES!$J$5:$J$229,0)-1,0),0)</f>
        <v>0</v>
      </c>
      <c r="Y291" s="9" t="s">
        <v>1023</v>
      </c>
      <c r="Z291" s="9">
        <v>7</v>
      </c>
      <c r="AB291" s="11">
        <f ca="1">IFERROR(OFFSET(MANOR_LEVEL!$B$1,MATCH(AC291-1,MANOR_LEVEL!$A:$A,0)-1,0),0)</f>
        <v>1077433600</v>
      </c>
      <c r="AC291" s="55">
        <v>20</v>
      </c>
      <c r="AE291" s="11">
        <f t="shared" ca="1" si="89"/>
        <v>120000</v>
      </c>
      <c r="AF291" s="10">
        <f ca="1">AK291+AM291+(IFERROR(OFFSET(ITEM_RES!$R$1,MATCH(AQ291,ITEM_RES!$A:$A,0)-1,0),0)*AS291+IFERROR(OFFSET(ITEM_RES!$R$1,MATCH(AV291,ITEM_RES!$A:$A,0)-1,0),0)*AX291+IFERROR(OFFSET(ITEM_RES!$R$1,MATCH(BA291,ITEM_RES!$A:$A,0)-1,0),0)*BC291+IFERROR(OFFSET(ITEM_RES!$R$1,MATCH(BF291,ITEM_RES!$A:$A,0)-1,0),0)*BH291+IFERROR(OFFSET(ITEM_RES!$R$1,MATCH(BK291,ITEM_RES!$A:$A,0)-1,0),0)*BM291)/1000</f>
        <v>120000</v>
      </c>
      <c r="AG291" s="176">
        <f t="shared" ca="1" si="97"/>
        <v>174000</v>
      </c>
      <c r="AI291" s="11">
        <f t="shared" si="93"/>
        <v>15</v>
      </c>
      <c r="AJ291" s="10">
        <v>15</v>
      </c>
      <c r="AK291" s="11">
        <f t="shared" si="94"/>
        <v>0</v>
      </c>
      <c r="AL291" s="10">
        <v>0</v>
      </c>
      <c r="AM291" s="11">
        <f t="shared" si="87"/>
        <v>0</v>
      </c>
      <c r="AN291" s="10">
        <v>0</v>
      </c>
      <c r="AO291" s="55">
        <f t="shared" si="95"/>
        <v>1</v>
      </c>
      <c r="AQ291" s="11">
        <f ca="1">IFERROR(OFFSET(ITEM_RES!$A$1,MATCH(AR291,ITEM_RES!$J:$J,0)-1,0),0)</f>
        <v>211020801</v>
      </c>
      <c r="AR291" s="10" t="s">
        <v>384</v>
      </c>
      <c r="AS291" s="11">
        <v>20000</v>
      </c>
      <c r="AV291" s="11">
        <f ca="1">IFERROR(OFFSET(ITEM_RES!$A$1,MATCH(AW291,ITEM_RES!$J:$J,0)-1,0),0)</f>
        <v>0</v>
      </c>
      <c r="BA291" s="11">
        <f ca="1">IFERROR(OFFSET(ITEM_RES!$A$1,MATCH(BB291,ITEM_RES!$J:$J,0)-1,0),0)</f>
        <v>0</v>
      </c>
      <c r="BF291" s="11">
        <f ca="1">IFERROR(OFFSET(ITEM_RES!$A$1,MATCH(BG291,ITEM_RES!$J:$J,0)-1,0),0)</f>
        <v>0</v>
      </c>
      <c r="BK291" s="11">
        <f ca="1">IFERROR(OFFSET(ITEM_RES!$A$1,MATCH(BL291,ITEM_RES!$J:$J,0)-1,0),0)</f>
        <v>0</v>
      </c>
      <c r="BM291" s="11">
        <f t="shared" si="96"/>
        <v>0</v>
      </c>
    </row>
    <row r="292" spans="1:65" x14ac:dyDescent="0.3">
      <c r="A292" s="14">
        <f t="shared" si="90"/>
        <v>113060008</v>
      </c>
      <c r="B292" s="13">
        <v>11</v>
      </c>
      <c r="C292" s="12">
        <f t="shared" si="91"/>
        <v>3</v>
      </c>
      <c r="D292" s="13">
        <v>6</v>
      </c>
      <c r="E292" s="13">
        <v>0</v>
      </c>
      <c r="F292" s="12">
        <f t="shared" si="92"/>
        <v>8</v>
      </c>
      <c r="H292" s="9">
        <v>3</v>
      </c>
      <c r="I292" s="9">
        <v>8</v>
      </c>
      <c r="K292" s="9" t="s">
        <v>1019</v>
      </c>
      <c r="M292" s="9">
        <v>1</v>
      </c>
      <c r="N292" s="9">
        <v>15</v>
      </c>
      <c r="O292" s="138" t="s">
        <v>1025</v>
      </c>
      <c r="P292" s="55" t="s">
        <v>1368</v>
      </c>
      <c r="Q292" s="9" t="s">
        <v>1020</v>
      </c>
      <c r="T292" s="9">
        <f ca="1">IFERROR(OFFSET(ITEM_RES!$A$5,MATCH(BUILDING!S292,ITEM_RES!$J$5:$J$229,0)-1,0),0)</f>
        <v>0</v>
      </c>
      <c r="W292" s="11">
        <f ca="1">IFERROR(OFFSET(ITEM_RES!$A$5,MATCH(BUILDING!V292,ITEM_RES!$J$5:$J$229,0)-1,0),0)</f>
        <v>0</v>
      </c>
      <c r="Y292" s="9" t="s">
        <v>1023</v>
      </c>
      <c r="Z292" s="9">
        <v>8</v>
      </c>
      <c r="AB292" s="11">
        <f ca="1">IFERROR(OFFSET(MANOR_LEVEL!$B$1,MATCH(AC292-1,MANOR_LEVEL!$A:$A,0)-1,0),0)</f>
        <v>1077433600</v>
      </c>
      <c r="AC292" s="55">
        <v>20</v>
      </c>
      <c r="AE292" s="11">
        <f t="shared" ca="1" si="89"/>
        <v>253000</v>
      </c>
      <c r="AF292" s="10">
        <f ca="1">AK292+AM292+(IFERROR(OFFSET(ITEM_RES!$R$1,MATCH(AQ292,ITEM_RES!$A:$A,0)-1,0),0)*AS292+IFERROR(OFFSET(ITEM_RES!$R$1,MATCH(AV292,ITEM_RES!$A:$A,0)-1,0),0)*AX292+IFERROR(OFFSET(ITEM_RES!$R$1,MATCH(BA292,ITEM_RES!$A:$A,0)-1,0),0)*BC292+IFERROR(OFFSET(ITEM_RES!$R$1,MATCH(BF292,ITEM_RES!$A:$A,0)-1,0),0)*BH292+IFERROR(OFFSET(ITEM_RES!$R$1,MATCH(BK292,ITEM_RES!$A:$A,0)-1,0),0)*BM292)/1000</f>
        <v>253000</v>
      </c>
      <c r="AG292" s="176">
        <f t="shared" ca="1" si="97"/>
        <v>373000</v>
      </c>
      <c r="AI292" s="11">
        <f t="shared" si="93"/>
        <v>30</v>
      </c>
      <c r="AJ292" s="10">
        <v>30</v>
      </c>
      <c r="AK292" s="11">
        <f t="shared" si="94"/>
        <v>0</v>
      </c>
      <c r="AL292" s="10">
        <v>0</v>
      </c>
      <c r="AM292" s="11">
        <f t="shared" si="87"/>
        <v>0</v>
      </c>
      <c r="AN292" s="10">
        <v>0</v>
      </c>
      <c r="AO292" s="55">
        <f t="shared" si="95"/>
        <v>2</v>
      </c>
      <c r="AQ292" s="11">
        <f ca="1">IFERROR(OFFSET(ITEM_RES!$A$1,MATCH(AR292,ITEM_RES!$J:$J,0)-1,0),0)</f>
        <v>211020801</v>
      </c>
      <c r="AR292" s="10" t="s">
        <v>384</v>
      </c>
      <c r="AS292" s="11">
        <v>42000</v>
      </c>
      <c r="AV292" s="11">
        <f ca="1">IFERROR(OFFSET(ITEM_RES!$A$1,MATCH(AW292,ITEM_RES!$J:$J,0)-1,0),0)</f>
        <v>0</v>
      </c>
      <c r="BA292" s="11">
        <f ca="1">IFERROR(OFFSET(ITEM_RES!$A$1,MATCH(BB292,ITEM_RES!$J:$J,0)-1,0),0)</f>
        <v>0</v>
      </c>
      <c r="BF292" s="11">
        <f ca="1">IFERROR(OFFSET(ITEM_RES!$A$1,MATCH(BG292,ITEM_RES!$J:$J,0)-1,0),0)</f>
        <v>213010901</v>
      </c>
      <c r="BG292" s="10" t="s">
        <v>444</v>
      </c>
      <c r="BH292" s="11">
        <v>1</v>
      </c>
      <c r="BK292" s="11">
        <f ca="1">IFERROR(OFFSET(ITEM_RES!$A$1,MATCH(BL292,ITEM_RES!$J:$J,0)-1,0),0)</f>
        <v>0</v>
      </c>
      <c r="BM292" s="11">
        <f t="shared" si="96"/>
        <v>0</v>
      </c>
    </row>
    <row r="293" spans="1:65" x14ac:dyDescent="0.3">
      <c r="A293" s="14">
        <f t="shared" si="90"/>
        <v>113060009</v>
      </c>
      <c r="B293" s="13">
        <v>11</v>
      </c>
      <c r="C293" s="12">
        <f t="shared" si="91"/>
        <v>3</v>
      </c>
      <c r="D293" s="13">
        <v>6</v>
      </c>
      <c r="E293" s="13">
        <v>0</v>
      </c>
      <c r="F293" s="12">
        <f t="shared" si="92"/>
        <v>9</v>
      </c>
      <c r="H293" s="9">
        <v>3</v>
      </c>
      <c r="I293" s="9">
        <v>9</v>
      </c>
      <c r="K293" s="9" t="s">
        <v>1019</v>
      </c>
      <c r="M293" s="9">
        <v>1</v>
      </c>
      <c r="N293" s="9">
        <v>15</v>
      </c>
      <c r="O293" s="138" t="s">
        <v>1025</v>
      </c>
      <c r="P293" s="55" t="s">
        <v>1368</v>
      </c>
      <c r="Q293" s="9" t="s">
        <v>1020</v>
      </c>
      <c r="T293" s="9">
        <f ca="1">IFERROR(OFFSET(ITEM_RES!$A$5,MATCH(BUILDING!S293,ITEM_RES!$J$5:$J$229,0)-1,0),0)</f>
        <v>0</v>
      </c>
      <c r="W293" s="11">
        <f ca="1">IFERROR(OFFSET(ITEM_RES!$A$5,MATCH(BUILDING!V293,ITEM_RES!$J$5:$J$229,0)-1,0),0)</f>
        <v>0</v>
      </c>
      <c r="Y293" s="9" t="s">
        <v>1023</v>
      </c>
      <c r="Z293" s="9">
        <v>9</v>
      </c>
      <c r="AB293" s="11">
        <f ca="1">IFERROR(OFFSET(MANOR_LEVEL!$B$1,MATCH(AC293-1,MANOR_LEVEL!$A:$A,0)-1,0),0)</f>
        <v>1077433600</v>
      </c>
      <c r="AC293" s="55">
        <v>20</v>
      </c>
      <c r="AE293" s="11">
        <f t="shared" ca="1" si="89"/>
        <v>468000</v>
      </c>
      <c r="AF293" s="10">
        <f ca="1">AK293+AM293+(IFERROR(OFFSET(ITEM_RES!$R$1,MATCH(AQ293,ITEM_RES!$A:$A,0)-1,0),0)*AS293+IFERROR(OFFSET(ITEM_RES!$R$1,MATCH(AV293,ITEM_RES!$A:$A,0)-1,0),0)*AX293+IFERROR(OFFSET(ITEM_RES!$R$1,MATCH(BA293,ITEM_RES!$A:$A,0)-1,0),0)*BC293+IFERROR(OFFSET(ITEM_RES!$R$1,MATCH(BF293,ITEM_RES!$A:$A,0)-1,0),0)*BH293+IFERROR(OFFSET(ITEM_RES!$R$1,MATCH(BK293,ITEM_RES!$A:$A,0)-1,0),0)*BM293)/1000</f>
        <v>468000</v>
      </c>
      <c r="AG293" s="176">
        <f t="shared" ca="1" si="97"/>
        <v>721000</v>
      </c>
      <c r="AI293" s="11">
        <f t="shared" si="93"/>
        <v>60</v>
      </c>
      <c r="AJ293" s="10">
        <v>60</v>
      </c>
      <c r="AK293" s="11">
        <f t="shared" si="94"/>
        <v>0</v>
      </c>
      <c r="AL293" s="10">
        <v>0</v>
      </c>
      <c r="AM293" s="11">
        <f t="shared" si="87"/>
        <v>0</v>
      </c>
      <c r="AN293" s="10">
        <v>0</v>
      </c>
      <c r="AO293" s="55">
        <f t="shared" si="95"/>
        <v>1</v>
      </c>
      <c r="AQ293" s="11">
        <f ca="1">IFERROR(OFFSET(ITEM_RES!$A$1,MATCH(AR293,ITEM_RES!$J:$J,0)-1,0),0)</f>
        <v>211020801</v>
      </c>
      <c r="AR293" s="10" t="s">
        <v>384</v>
      </c>
      <c r="AS293" s="11">
        <v>78000</v>
      </c>
      <c r="AV293" s="11">
        <f ca="1">IFERROR(OFFSET(ITEM_RES!$A$1,MATCH(AW293,ITEM_RES!$J:$J,0)-1,0),0)</f>
        <v>0</v>
      </c>
      <c r="BA293" s="11">
        <f ca="1">IFERROR(OFFSET(ITEM_RES!$A$1,MATCH(BB293,ITEM_RES!$J:$J,0)-1,0),0)</f>
        <v>0</v>
      </c>
      <c r="BF293" s="11">
        <f ca="1">IFERROR(OFFSET(ITEM_RES!$A$1,MATCH(BG293,ITEM_RES!$J:$J,0)-1,0),0)</f>
        <v>0</v>
      </c>
      <c r="BK293" s="11">
        <f ca="1">IFERROR(OFFSET(ITEM_RES!$A$1,MATCH(BL293,ITEM_RES!$J:$J,0)-1,0),0)</f>
        <v>0</v>
      </c>
      <c r="BM293" s="11">
        <f t="shared" si="96"/>
        <v>0</v>
      </c>
    </row>
    <row r="294" spans="1:65" x14ac:dyDescent="0.3">
      <c r="A294" s="14">
        <f t="shared" si="90"/>
        <v>113060010</v>
      </c>
      <c r="B294" s="13">
        <v>11</v>
      </c>
      <c r="C294" s="12">
        <f t="shared" si="91"/>
        <v>3</v>
      </c>
      <c r="D294" s="13">
        <v>6</v>
      </c>
      <c r="E294" s="13">
        <v>0</v>
      </c>
      <c r="F294" s="12">
        <f t="shared" si="92"/>
        <v>10</v>
      </c>
      <c r="H294" s="9">
        <v>3</v>
      </c>
      <c r="I294" s="9">
        <v>10</v>
      </c>
      <c r="K294" s="9" t="s">
        <v>1019</v>
      </c>
      <c r="M294" s="9">
        <v>1</v>
      </c>
      <c r="N294" s="9">
        <v>15</v>
      </c>
      <c r="O294" s="138" t="s">
        <v>1025</v>
      </c>
      <c r="P294" s="55" t="s">
        <v>1368</v>
      </c>
      <c r="Q294" s="9" t="s">
        <v>1020</v>
      </c>
      <c r="T294" s="9">
        <f ca="1">IFERROR(OFFSET(ITEM_RES!$A$5,MATCH(BUILDING!S294,ITEM_RES!$J$5:$J$229,0)-1,0),0)</f>
        <v>0</v>
      </c>
      <c r="W294" s="11">
        <f ca="1">IFERROR(OFFSET(ITEM_RES!$A$5,MATCH(BUILDING!V294,ITEM_RES!$J$5:$J$229,0)-1,0),0)</f>
        <v>0</v>
      </c>
      <c r="Y294" s="9" t="s">
        <v>1023</v>
      </c>
      <c r="Z294" s="9">
        <v>10</v>
      </c>
      <c r="AB294" s="11">
        <f ca="1">IFERROR(OFFSET(MANOR_LEVEL!$B$1,MATCH(AC294-1,MANOR_LEVEL!$A:$A,0)-1,0),0)</f>
        <v>1077433600</v>
      </c>
      <c r="AC294" s="55">
        <v>20</v>
      </c>
      <c r="AE294" s="11">
        <f t="shared" ca="1" si="89"/>
        <v>780000</v>
      </c>
      <c r="AF294" s="10">
        <f ca="1">AK294+AM294+(IFERROR(OFFSET(ITEM_RES!$R$1,MATCH(AQ294,ITEM_RES!$A:$A,0)-1,0),0)*AS294+IFERROR(OFFSET(ITEM_RES!$R$1,MATCH(AV294,ITEM_RES!$A:$A,0)-1,0),0)*AX294+IFERROR(OFFSET(ITEM_RES!$R$1,MATCH(BA294,ITEM_RES!$A:$A,0)-1,0),0)*BC294+IFERROR(OFFSET(ITEM_RES!$R$1,MATCH(BF294,ITEM_RES!$A:$A,0)-1,0),0)*BH294+IFERROR(OFFSET(ITEM_RES!$R$1,MATCH(BK294,ITEM_RES!$A:$A,0)-1,0),0)*BM294)/1000</f>
        <v>780000</v>
      </c>
      <c r="AG294" s="176">
        <f t="shared" ca="1" si="97"/>
        <v>1248000</v>
      </c>
      <c r="AI294" s="11">
        <f t="shared" si="93"/>
        <v>180</v>
      </c>
      <c r="AJ294" s="10">
        <v>180</v>
      </c>
      <c r="AK294" s="11">
        <f t="shared" si="94"/>
        <v>0</v>
      </c>
      <c r="AL294" s="10">
        <v>0</v>
      </c>
      <c r="AM294" s="11">
        <f t="shared" si="87"/>
        <v>0</v>
      </c>
      <c r="AN294" s="10">
        <v>0</v>
      </c>
      <c r="AO294" s="55">
        <f t="shared" si="95"/>
        <v>1</v>
      </c>
      <c r="AQ294" s="11">
        <f ca="1">IFERROR(OFFSET(ITEM_RES!$A$1,MATCH(AR294,ITEM_RES!$J:$J,0)-1,0),0)</f>
        <v>211020801</v>
      </c>
      <c r="AR294" s="10" t="s">
        <v>384</v>
      </c>
      <c r="AS294" s="11">
        <v>130000</v>
      </c>
      <c r="AV294" s="11">
        <f ca="1">IFERROR(OFFSET(ITEM_RES!$A$1,MATCH(AW294,ITEM_RES!$J:$J,0)-1,0),0)</f>
        <v>0</v>
      </c>
      <c r="BA294" s="11">
        <f ca="1">IFERROR(OFFSET(ITEM_RES!$A$1,MATCH(BB294,ITEM_RES!$J:$J,0)-1,0),0)</f>
        <v>0</v>
      </c>
      <c r="BF294" s="11">
        <f ca="1">IFERROR(OFFSET(ITEM_RES!$A$1,MATCH(BG294,ITEM_RES!$J:$J,0)-1,0),0)</f>
        <v>0</v>
      </c>
      <c r="BK294" s="11">
        <f ca="1">IFERROR(OFFSET(ITEM_RES!$A$1,MATCH(BL294,ITEM_RES!$J:$J,0)-1,0),0)</f>
        <v>0</v>
      </c>
      <c r="BM294" s="11">
        <f t="shared" si="96"/>
        <v>0</v>
      </c>
    </row>
    <row r="295" spans="1:65" x14ac:dyDescent="0.3">
      <c r="A295" s="14">
        <f t="shared" si="90"/>
        <v>113060011</v>
      </c>
      <c r="B295" s="13">
        <v>11</v>
      </c>
      <c r="C295" s="12">
        <f t="shared" si="91"/>
        <v>3</v>
      </c>
      <c r="D295" s="13">
        <v>6</v>
      </c>
      <c r="E295" s="13">
        <v>0</v>
      </c>
      <c r="F295" s="12">
        <f t="shared" si="92"/>
        <v>11</v>
      </c>
      <c r="H295" s="9">
        <v>3</v>
      </c>
      <c r="I295" s="9">
        <v>11</v>
      </c>
      <c r="K295" s="9" t="s">
        <v>1019</v>
      </c>
      <c r="M295" s="9">
        <v>1</v>
      </c>
      <c r="N295" s="9">
        <v>15</v>
      </c>
      <c r="O295" s="138" t="s">
        <v>1025</v>
      </c>
      <c r="P295" s="55" t="s">
        <v>1368</v>
      </c>
      <c r="Q295" s="9" t="s">
        <v>1020</v>
      </c>
      <c r="T295" s="9">
        <f ca="1">IFERROR(OFFSET(ITEM_RES!$A$5,MATCH(BUILDING!S295,ITEM_RES!$J$5:$J$229,0)-1,0),0)</f>
        <v>0</v>
      </c>
      <c r="W295" s="11">
        <f ca="1">IFERROR(OFFSET(ITEM_RES!$A$5,MATCH(BUILDING!V295,ITEM_RES!$J$5:$J$229,0)-1,0),0)</f>
        <v>0</v>
      </c>
      <c r="Y295" s="9" t="s">
        <v>1023</v>
      </c>
      <c r="Z295" s="9">
        <v>11</v>
      </c>
      <c r="AB295" s="11">
        <f ca="1">IFERROR(OFFSET(MANOR_LEVEL!$B$1,MATCH(AC295-1,MANOR_LEVEL!$A:$A,0)-1,0),0)</f>
        <v>1077433600</v>
      </c>
      <c r="AC295" s="55">
        <v>20</v>
      </c>
      <c r="AE295" s="11">
        <f t="shared" ca="1" si="89"/>
        <v>1320000</v>
      </c>
      <c r="AF295" s="10">
        <f ca="1">AK295+AM295+(IFERROR(OFFSET(ITEM_RES!$R$1,MATCH(AQ295,ITEM_RES!$A:$A,0)-1,0),0)*AS295+IFERROR(OFFSET(ITEM_RES!$R$1,MATCH(AV295,ITEM_RES!$A:$A,0)-1,0),0)*AX295+IFERROR(OFFSET(ITEM_RES!$R$1,MATCH(BA295,ITEM_RES!$A:$A,0)-1,0),0)*BC295+IFERROR(OFFSET(ITEM_RES!$R$1,MATCH(BF295,ITEM_RES!$A:$A,0)-1,0),0)*BH295+IFERROR(OFFSET(ITEM_RES!$R$1,MATCH(BK295,ITEM_RES!$A:$A,0)-1,0),0)*BM295)/1000</f>
        <v>1320000</v>
      </c>
      <c r="AG295" s="176">
        <f t="shared" ca="1" si="97"/>
        <v>2100000</v>
      </c>
      <c r="AI295" s="11">
        <f t="shared" si="93"/>
        <v>360</v>
      </c>
      <c r="AJ295" s="10">
        <v>360</v>
      </c>
      <c r="AK295" s="11">
        <f t="shared" si="94"/>
        <v>0</v>
      </c>
      <c r="AL295" s="10">
        <v>0</v>
      </c>
      <c r="AM295" s="11">
        <f t="shared" si="87"/>
        <v>0</v>
      </c>
      <c r="AN295" s="10">
        <v>0</v>
      </c>
      <c r="AO295" s="55">
        <f t="shared" si="95"/>
        <v>1</v>
      </c>
      <c r="AQ295" s="11">
        <f ca="1">IFERROR(OFFSET(ITEM_RES!$A$1,MATCH(AR295,ITEM_RES!$J:$J,0)-1,0),0)</f>
        <v>211020801</v>
      </c>
      <c r="AR295" s="10" t="s">
        <v>384</v>
      </c>
      <c r="AS295" s="11">
        <v>220000</v>
      </c>
      <c r="AV295" s="11">
        <f ca="1">IFERROR(OFFSET(ITEM_RES!$A$1,MATCH(AW295,ITEM_RES!$J:$J,0)-1,0),0)</f>
        <v>0</v>
      </c>
      <c r="BA295" s="11">
        <f ca="1">IFERROR(OFFSET(ITEM_RES!$A$1,MATCH(BB295,ITEM_RES!$J:$J,0)-1,0),0)</f>
        <v>0</v>
      </c>
      <c r="BF295" s="11">
        <f ca="1">IFERROR(OFFSET(ITEM_RES!$A$1,MATCH(BG295,ITEM_RES!$J:$J,0)-1,0),0)</f>
        <v>0</v>
      </c>
      <c r="BK295" s="11">
        <f ca="1">IFERROR(OFFSET(ITEM_RES!$A$1,MATCH(BL295,ITEM_RES!$J:$J,0)-1,0),0)</f>
        <v>0</v>
      </c>
      <c r="BM295" s="11">
        <f t="shared" si="96"/>
        <v>0</v>
      </c>
    </row>
    <row r="296" spans="1:65" x14ac:dyDescent="0.3">
      <c r="A296" s="14">
        <f t="shared" si="90"/>
        <v>113060012</v>
      </c>
      <c r="B296" s="13">
        <v>11</v>
      </c>
      <c r="C296" s="12">
        <f t="shared" si="91"/>
        <v>3</v>
      </c>
      <c r="D296" s="13">
        <v>6</v>
      </c>
      <c r="E296" s="13">
        <v>0</v>
      </c>
      <c r="F296" s="12">
        <f t="shared" si="92"/>
        <v>12</v>
      </c>
      <c r="H296" s="9">
        <v>3</v>
      </c>
      <c r="I296" s="9">
        <v>12</v>
      </c>
      <c r="K296" s="9" t="s">
        <v>1019</v>
      </c>
      <c r="M296" s="9">
        <v>1</v>
      </c>
      <c r="N296" s="9">
        <v>15</v>
      </c>
      <c r="O296" s="138" t="s">
        <v>1025</v>
      </c>
      <c r="P296" s="55" t="s">
        <v>1368</v>
      </c>
      <c r="Q296" s="9" t="s">
        <v>1020</v>
      </c>
      <c r="T296" s="9">
        <f ca="1">IFERROR(OFFSET(ITEM_RES!$A$5,MATCH(BUILDING!S296,ITEM_RES!$J$5:$J$229,0)-1,0),0)</f>
        <v>0</v>
      </c>
      <c r="W296" s="11">
        <f ca="1">IFERROR(OFFSET(ITEM_RES!$A$5,MATCH(BUILDING!V296,ITEM_RES!$J$5:$J$229,0)-1,0),0)</f>
        <v>0</v>
      </c>
      <c r="Y296" s="9" t="s">
        <v>1023</v>
      </c>
      <c r="Z296" s="9">
        <v>12</v>
      </c>
      <c r="AB296" s="11">
        <f ca="1">IFERROR(OFFSET(MANOR_LEVEL!$B$1,MATCH(AC296-1,MANOR_LEVEL!$A:$A,0)-1,0),0)</f>
        <v>1077433600</v>
      </c>
      <c r="AC296" s="55">
        <v>20</v>
      </c>
      <c r="AE296" s="11">
        <f t="shared" ca="1" si="89"/>
        <v>2220000</v>
      </c>
      <c r="AF296" s="10">
        <f ca="1">AK296+AM296+(IFERROR(OFFSET(ITEM_RES!$R$1,MATCH(AQ296,ITEM_RES!$A:$A,0)-1,0),0)*AS296+IFERROR(OFFSET(ITEM_RES!$R$1,MATCH(AV296,ITEM_RES!$A:$A,0)-1,0),0)*AX296+IFERROR(OFFSET(ITEM_RES!$R$1,MATCH(BA296,ITEM_RES!$A:$A,0)-1,0),0)*BC296+IFERROR(OFFSET(ITEM_RES!$R$1,MATCH(BF296,ITEM_RES!$A:$A,0)-1,0),0)*BH296+IFERROR(OFFSET(ITEM_RES!$R$1,MATCH(BK296,ITEM_RES!$A:$A,0)-1,0),0)*BM296)/1000</f>
        <v>2220000</v>
      </c>
      <c r="AG296" s="176">
        <f t="shared" ca="1" si="97"/>
        <v>3540000</v>
      </c>
      <c r="AI296" s="11">
        <f t="shared" si="93"/>
        <v>540</v>
      </c>
      <c r="AJ296" s="10">
        <v>540</v>
      </c>
      <c r="AK296" s="11">
        <f t="shared" si="94"/>
        <v>0</v>
      </c>
      <c r="AL296" s="10">
        <v>0</v>
      </c>
      <c r="AM296" s="11">
        <f t="shared" si="87"/>
        <v>0</v>
      </c>
      <c r="AN296" s="10">
        <v>0</v>
      </c>
      <c r="AO296" s="55">
        <f t="shared" si="95"/>
        <v>1</v>
      </c>
      <c r="AQ296" s="11">
        <f ca="1">IFERROR(OFFSET(ITEM_RES!$A$1,MATCH(AR296,ITEM_RES!$J:$J,0)-1,0),0)</f>
        <v>211020801</v>
      </c>
      <c r="AR296" s="10" t="s">
        <v>384</v>
      </c>
      <c r="AS296" s="11">
        <v>370000</v>
      </c>
      <c r="AV296" s="11">
        <f ca="1">IFERROR(OFFSET(ITEM_RES!$A$1,MATCH(AW296,ITEM_RES!$J:$J,0)-1,0),0)</f>
        <v>0</v>
      </c>
      <c r="BA296" s="11">
        <f ca="1">IFERROR(OFFSET(ITEM_RES!$A$1,MATCH(BB296,ITEM_RES!$J:$J,0)-1,0),0)</f>
        <v>0</v>
      </c>
      <c r="BF296" s="11">
        <f ca="1">IFERROR(OFFSET(ITEM_RES!$A$1,MATCH(BG296,ITEM_RES!$J:$J,0)-1,0),0)</f>
        <v>0</v>
      </c>
      <c r="BK296" s="11">
        <f ca="1">IFERROR(OFFSET(ITEM_RES!$A$1,MATCH(BL296,ITEM_RES!$J:$J,0)-1,0),0)</f>
        <v>0</v>
      </c>
      <c r="BM296" s="11">
        <f t="shared" si="96"/>
        <v>0</v>
      </c>
    </row>
    <row r="297" spans="1:65" x14ac:dyDescent="0.3">
      <c r="A297" s="14">
        <f t="shared" si="90"/>
        <v>113060013</v>
      </c>
      <c r="B297" s="13">
        <v>11</v>
      </c>
      <c r="C297" s="12">
        <f t="shared" si="91"/>
        <v>3</v>
      </c>
      <c r="D297" s="13">
        <v>6</v>
      </c>
      <c r="E297" s="13">
        <v>0</v>
      </c>
      <c r="F297" s="12">
        <f t="shared" si="92"/>
        <v>13</v>
      </c>
      <c r="H297" s="9">
        <v>3</v>
      </c>
      <c r="I297" s="9">
        <v>13</v>
      </c>
      <c r="K297" s="9" t="s">
        <v>1019</v>
      </c>
      <c r="M297" s="9">
        <v>1</v>
      </c>
      <c r="N297" s="9">
        <v>15</v>
      </c>
      <c r="O297" s="138" t="s">
        <v>1025</v>
      </c>
      <c r="P297" s="55" t="s">
        <v>1368</v>
      </c>
      <c r="Q297" s="9" t="s">
        <v>1020</v>
      </c>
      <c r="T297" s="9">
        <f ca="1">IFERROR(OFFSET(ITEM_RES!$A$5,MATCH(BUILDING!S297,ITEM_RES!$J$5:$J$229,0)-1,0),0)</f>
        <v>0</v>
      </c>
      <c r="W297" s="11">
        <f ca="1">IFERROR(OFFSET(ITEM_RES!$A$5,MATCH(BUILDING!V297,ITEM_RES!$J$5:$J$229,0)-1,0),0)</f>
        <v>0</v>
      </c>
      <c r="Y297" s="9" t="s">
        <v>1023</v>
      </c>
      <c r="Z297" s="9">
        <v>13</v>
      </c>
      <c r="AB297" s="11">
        <f ca="1">IFERROR(OFFSET(MANOR_LEVEL!$B$1,MATCH(AC297-1,MANOR_LEVEL!$A:$A,0)-1,0),0)</f>
        <v>1077433600</v>
      </c>
      <c r="AC297" s="55">
        <v>20</v>
      </c>
      <c r="AE297" s="11">
        <f t="shared" ca="1" si="89"/>
        <v>3720000</v>
      </c>
      <c r="AF297" s="10">
        <f ca="1">AK297+AM297+(IFERROR(OFFSET(ITEM_RES!$R$1,MATCH(AQ297,ITEM_RES!$A:$A,0)-1,0),0)*AS297+IFERROR(OFFSET(ITEM_RES!$R$1,MATCH(AV297,ITEM_RES!$A:$A,0)-1,0),0)*AX297+IFERROR(OFFSET(ITEM_RES!$R$1,MATCH(BA297,ITEM_RES!$A:$A,0)-1,0),0)*BC297+IFERROR(OFFSET(ITEM_RES!$R$1,MATCH(BF297,ITEM_RES!$A:$A,0)-1,0),0)*BH297+IFERROR(OFFSET(ITEM_RES!$R$1,MATCH(BK297,ITEM_RES!$A:$A,0)-1,0),0)*BM297)/1000</f>
        <v>3720000</v>
      </c>
      <c r="AG297" s="176">
        <f t="shared" ca="1" si="97"/>
        <v>5940000</v>
      </c>
      <c r="AI297" s="11">
        <f t="shared" si="93"/>
        <v>720</v>
      </c>
      <c r="AJ297" s="10">
        <v>720</v>
      </c>
      <c r="AK297" s="11">
        <f t="shared" si="94"/>
        <v>0</v>
      </c>
      <c r="AL297" s="10">
        <v>0</v>
      </c>
      <c r="AM297" s="11">
        <f t="shared" si="87"/>
        <v>0</v>
      </c>
      <c r="AN297" s="10">
        <v>0</v>
      </c>
      <c r="AO297" s="55">
        <f t="shared" si="95"/>
        <v>1</v>
      </c>
      <c r="AQ297" s="11">
        <f ca="1">IFERROR(OFFSET(ITEM_RES!$A$1,MATCH(AR297,ITEM_RES!$J:$J,0)-1,0),0)</f>
        <v>211020801</v>
      </c>
      <c r="AR297" s="10" t="s">
        <v>384</v>
      </c>
      <c r="AS297" s="11">
        <v>620000</v>
      </c>
      <c r="AV297" s="11">
        <f ca="1">IFERROR(OFFSET(ITEM_RES!$A$1,MATCH(AW297,ITEM_RES!$J:$J,0)-1,0),0)</f>
        <v>0</v>
      </c>
      <c r="BA297" s="11">
        <f ca="1">IFERROR(OFFSET(ITEM_RES!$A$1,MATCH(BB297,ITEM_RES!$J:$J,0)-1,0),0)</f>
        <v>0</v>
      </c>
      <c r="BF297" s="11">
        <f ca="1">IFERROR(OFFSET(ITEM_RES!$A$1,MATCH(BG297,ITEM_RES!$J:$J,0)-1,0),0)</f>
        <v>0</v>
      </c>
      <c r="BK297" s="11">
        <f ca="1">IFERROR(OFFSET(ITEM_RES!$A$1,MATCH(BL297,ITEM_RES!$J:$J,0)-1,0),0)</f>
        <v>0</v>
      </c>
      <c r="BM297" s="11">
        <f t="shared" si="96"/>
        <v>0</v>
      </c>
    </row>
    <row r="298" spans="1:65" x14ac:dyDescent="0.3">
      <c r="A298" s="14">
        <f t="shared" si="90"/>
        <v>113060014</v>
      </c>
      <c r="B298" s="13">
        <v>11</v>
      </c>
      <c r="C298" s="12">
        <f t="shared" si="91"/>
        <v>3</v>
      </c>
      <c r="D298" s="13">
        <v>6</v>
      </c>
      <c r="E298" s="13">
        <v>0</v>
      </c>
      <c r="F298" s="12">
        <f t="shared" si="92"/>
        <v>14</v>
      </c>
      <c r="H298" s="9">
        <v>3</v>
      </c>
      <c r="I298" s="9">
        <v>14</v>
      </c>
      <c r="K298" s="9" t="s">
        <v>1019</v>
      </c>
      <c r="M298" s="9">
        <v>1</v>
      </c>
      <c r="N298" s="9">
        <v>15</v>
      </c>
      <c r="O298" s="138" t="s">
        <v>1025</v>
      </c>
      <c r="P298" s="55" t="s">
        <v>1368</v>
      </c>
      <c r="Q298" s="9" t="s">
        <v>1020</v>
      </c>
      <c r="T298" s="9">
        <f ca="1">IFERROR(OFFSET(ITEM_RES!$A$5,MATCH(BUILDING!S298,ITEM_RES!$J$5:$J$229,0)-1,0),0)</f>
        <v>0</v>
      </c>
      <c r="W298" s="11">
        <f ca="1">IFERROR(OFFSET(ITEM_RES!$A$5,MATCH(BUILDING!V298,ITEM_RES!$J$5:$J$229,0)-1,0),0)</f>
        <v>0</v>
      </c>
      <c r="Y298" s="9" t="s">
        <v>1023</v>
      </c>
      <c r="Z298" s="9">
        <v>14</v>
      </c>
      <c r="AB298" s="11">
        <f ca="1">IFERROR(OFFSET(MANOR_LEVEL!$B$1,MATCH(AC298-1,MANOR_LEVEL!$A:$A,0)-1,0),0)</f>
        <v>1077433600</v>
      </c>
      <c r="AC298" s="55">
        <v>20</v>
      </c>
      <c r="AE298" s="11">
        <f t="shared" ca="1" si="89"/>
        <v>5820000</v>
      </c>
      <c r="AF298" s="10">
        <f ca="1">AK298+AM298+(IFERROR(OFFSET(ITEM_RES!$R$1,MATCH(AQ298,ITEM_RES!$A:$A,0)-1,0),0)*AS298+IFERROR(OFFSET(ITEM_RES!$R$1,MATCH(AV298,ITEM_RES!$A:$A,0)-1,0),0)*AX298+IFERROR(OFFSET(ITEM_RES!$R$1,MATCH(BA298,ITEM_RES!$A:$A,0)-1,0),0)*BC298+IFERROR(OFFSET(ITEM_RES!$R$1,MATCH(BF298,ITEM_RES!$A:$A,0)-1,0),0)*BH298+IFERROR(OFFSET(ITEM_RES!$R$1,MATCH(BK298,ITEM_RES!$A:$A,0)-1,0),0)*BM298)/1000</f>
        <v>5820000</v>
      </c>
      <c r="AG298" s="176">
        <f t="shared" ca="1" si="97"/>
        <v>9540000</v>
      </c>
      <c r="AI298" s="11">
        <f t="shared" si="93"/>
        <v>900</v>
      </c>
      <c r="AJ298" s="10">
        <v>900</v>
      </c>
      <c r="AK298" s="11">
        <f t="shared" si="94"/>
        <v>0</v>
      </c>
      <c r="AL298" s="10">
        <v>0</v>
      </c>
      <c r="AM298" s="11">
        <f t="shared" si="87"/>
        <v>0</v>
      </c>
      <c r="AN298" s="10">
        <v>0</v>
      </c>
      <c r="AO298" s="55">
        <f t="shared" si="95"/>
        <v>1</v>
      </c>
      <c r="AQ298" s="11">
        <f ca="1">IFERROR(OFFSET(ITEM_RES!$A$1,MATCH(AR298,ITEM_RES!$J:$J,0)-1,0),0)</f>
        <v>211020801</v>
      </c>
      <c r="AR298" s="10" t="s">
        <v>384</v>
      </c>
      <c r="AS298" s="11">
        <v>970000</v>
      </c>
      <c r="AV298" s="11">
        <f ca="1">IFERROR(OFFSET(ITEM_RES!$A$1,MATCH(AW298,ITEM_RES!$J:$J,0)-1,0),0)</f>
        <v>0</v>
      </c>
      <c r="BA298" s="11">
        <f ca="1">IFERROR(OFFSET(ITEM_RES!$A$1,MATCH(BB298,ITEM_RES!$J:$J,0)-1,0),0)</f>
        <v>0</v>
      </c>
      <c r="BF298" s="11">
        <f ca="1">IFERROR(OFFSET(ITEM_RES!$A$1,MATCH(BG298,ITEM_RES!$J:$J,0)-1,0),0)</f>
        <v>0</v>
      </c>
      <c r="BK298" s="11">
        <f ca="1">IFERROR(OFFSET(ITEM_RES!$A$1,MATCH(BL298,ITEM_RES!$J:$J,0)-1,0),0)</f>
        <v>0</v>
      </c>
      <c r="BM298" s="11">
        <f t="shared" si="96"/>
        <v>0</v>
      </c>
    </row>
    <row r="299" spans="1:65" x14ac:dyDescent="0.3">
      <c r="A299" s="14">
        <f t="shared" si="90"/>
        <v>113060015</v>
      </c>
      <c r="B299" s="13">
        <v>11</v>
      </c>
      <c r="C299" s="12">
        <f t="shared" si="91"/>
        <v>3</v>
      </c>
      <c r="D299" s="13">
        <v>6</v>
      </c>
      <c r="E299" s="13">
        <v>0</v>
      </c>
      <c r="F299" s="12">
        <f t="shared" si="92"/>
        <v>15</v>
      </c>
      <c r="H299" s="9">
        <v>3</v>
      </c>
      <c r="I299" s="9">
        <v>15</v>
      </c>
      <c r="K299" s="9" t="s">
        <v>1019</v>
      </c>
      <c r="M299" s="9">
        <v>1</v>
      </c>
      <c r="N299" s="9">
        <v>15</v>
      </c>
      <c r="O299" s="138" t="s">
        <v>1025</v>
      </c>
      <c r="P299" s="55" t="s">
        <v>1368</v>
      </c>
      <c r="Q299" s="9" t="s">
        <v>1020</v>
      </c>
      <c r="T299" s="9">
        <f ca="1">IFERROR(OFFSET(ITEM_RES!$A$5,MATCH(BUILDING!S299,ITEM_RES!$J$5:$J$229,0)-1,0),0)</f>
        <v>0</v>
      </c>
      <c r="W299" s="11">
        <f ca="1">IFERROR(OFFSET(ITEM_RES!$A$5,MATCH(BUILDING!V299,ITEM_RES!$J$5:$J$229,0)-1,0),0)</f>
        <v>0</v>
      </c>
      <c r="Y299" s="9" t="s">
        <v>1023</v>
      </c>
      <c r="Z299" s="9">
        <v>15</v>
      </c>
      <c r="AB299" s="11">
        <f ca="1">IFERROR(OFFSET(MANOR_LEVEL!$B$1,MATCH(AC299-1,MANOR_LEVEL!$A:$A,0)-1,0),0)</f>
        <v>1077433600</v>
      </c>
      <c r="AC299" s="55">
        <v>20</v>
      </c>
      <c r="AE299" s="11">
        <f t="shared" ca="1" si="89"/>
        <v>12600000</v>
      </c>
      <c r="AF299" s="10">
        <f ca="1">AK299+AM299+(IFERROR(OFFSET(ITEM_RES!$R$1,MATCH(AQ299,ITEM_RES!$A:$A,0)-1,0),0)*AS299+IFERROR(OFFSET(ITEM_RES!$R$1,MATCH(AV299,ITEM_RES!$A:$A,0)-1,0),0)*AX299+IFERROR(OFFSET(ITEM_RES!$R$1,MATCH(BA299,ITEM_RES!$A:$A,0)-1,0),0)*BC299+IFERROR(OFFSET(ITEM_RES!$R$1,MATCH(BF299,ITEM_RES!$A:$A,0)-1,0),0)*BH299+IFERROR(OFFSET(ITEM_RES!$R$1,MATCH(BK299,ITEM_RES!$A:$A,0)-1,0),0)*BM299)/1000</f>
        <v>12600000</v>
      </c>
      <c r="AG299" s="176">
        <f t="shared" ca="1" si="97"/>
        <v>18420000</v>
      </c>
      <c r="AI299" s="11">
        <f t="shared" si="93"/>
        <v>1080</v>
      </c>
      <c r="AJ299" s="10">
        <v>1080</v>
      </c>
      <c r="AK299" s="11">
        <f t="shared" si="94"/>
        <v>0</v>
      </c>
      <c r="AL299" s="10">
        <v>0</v>
      </c>
      <c r="AM299" s="11">
        <f t="shared" si="87"/>
        <v>0</v>
      </c>
      <c r="AN299" s="10">
        <v>0</v>
      </c>
      <c r="AO299" s="55">
        <f t="shared" si="95"/>
        <v>1</v>
      </c>
      <c r="AQ299" s="11">
        <f ca="1">IFERROR(OFFSET(ITEM_RES!$A$1,MATCH(AR299,ITEM_RES!$J:$J,0)-1,0),0)</f>
        <v>211020801</v>
      </c>
      <c r="AR299" s="10" t="s">
        <v>384</v>
      </c>
      <c r="AS299" s="11">
        <v>2100000</v>
      </c>
      <c r="AV299" s="11">
        <f ca="1">IFERROR(OFFSET(ITEM_RES!$A$1,MATCH(AW299,ITEM_RES!$J:$J,0)-1,0),0)</f>
        <v>0</v>
      </c>
      <c r="BA299" s="11">
        <f ca="1">IFERROR(OFFSET(ITEM_RES!$A$1,MATCH(BB299,ITEM_RES!$J:$J,0)-1,0),0)</f>
        <v>0</v>
      </c>
      <c r="BF299" s="11">
        <f ca="1">IFERROR(OFFSET(ITEM_RES!$A$1,MATCH(BG299,ITEM_RES!$J:$J,0)-1,0),0)</f>
        <v>0</v>
      </c>
      <c r="BK299" s="11">
        <f ca="1">IFERROR(OFFSET(ITEM_RES!$A$1,MATCH(BL299,ITEM_RES!$J:$J,0)-1,0),0)</f>
        <v>0</v>
      </c>
      <c r="BM299" s="11">
        <f t="shared" si="96"/>
        <v>0</v>
      </c>
    </row>
    <row r="300" spans="1:65" x14ac:dyDescent="0.3">
      <c r="A300" s="14">
        <f t="shared" si="90"/>
        <v>113060016</v>
      </c>
      <c r="B300" s="13">
        <v>11</v>
      </c>
      <c r="C300" s="12">
        <f t="shared" si="91"/>
        <v>3</v>
      </c>
      <c r="D300" s="13">
        <v>6</v>
      </c>
      <c r="E300" s="13">
        <v>0</v>
      </c>
      <c r="F300" s="12">
        <f t="shared" si="92"/>
        <v>16</v>
      </c>
      <c r="H300" s="9">
        <v>3</v>
      </c>
      <c r="I300" s="9">
        <v>16</v>
      </c>
      <c r="K300" s="9" t="s">
        <v>1019</v>
      </c>
      <c r="M300" s="9">
        <v>0</v>
      </c>
      <c r="N300" s="9">
        <v>15</v>
      </c>
      <c r="O300" s="138" t="s">
        <v>1025</v>
      </c>
      <c r="P300" s="55" t="s">
        <v>1368</v>
      </c>
      <c r="Q300" s="9" t="s">
        <v>1020</v>
      </c>
      <c r="T300" s="9">
        <f ca="1">IFERROR(OFFSET(ITEM_RES!$A$5,MATCH(BUILDING!S300,ITEM_RES!$J$5:$J$229,0)-1,0),0)</f>
        <v>0</v>
      </c>
      <c r="W300" s="11">
        <f ca="1">IFERROR(OFFSET(ITEM_RES!$A$5,MATCH(BUILDING!V300,ITEM_RES!$J$5:$J$229,0)-1,0),0)</f>
        <v>0</v>
      </c>
      <c r="Y300" s="9" t="s">
        <v>1023</v>
      </c>
      <c r="Z300" s="9">
        <v>16</v>
      </c>
      <c r="AB300" s="11">
        <f ca="1">IFERROR(OFFSET(MANOR_LEVEL!$B$1,MATCH(AC300-1,MANOR_LEVEL!$A:$A,0)-1,0),0)</f>
        <v>1077433600</v>
      </c>
      <c r="AC300" s="55">
        <v>20</v>
      </c>
      <c r="AE300" s="11">
        <f t="shared" ca="1" si="89"/>
        <v>25800000</v>
      </c>
      <c r="AF300" s="10">
        <f ca="1">AK300+AM300+(IFERROR(OFFSET(ITEM_RES!$R$1,MATCH(AQ300,ITEM_RES!$A:$A,0)-1,0),0)*AS300+IFERROR(OFFSET(ITEM_RES!$R$1,MATCH(AV300,ITEM_RES!$A:$A,0)-1,0),0)*AX300+IFERROR(OFFSET(ITEM_RES!$R$1,MATCH(BA300,ITEM_RES!$A:$A,0)-1,0),0)*BC300+IFERROR(OFFSET(ITEM_RES!$R$1,MATCH(BF300,ITEM_RES!$A:$A,0)-1,0),0)*BH300+IFERROR(OFFSET(ITEM_RES!$R$1,MATCH(BK300,ITEM_RES!$A:$A,0)-1,0),0)*BM300)/1000</f>
        <v>25800000</v>
      </c>
      <c r="AG300" s="176">
        <f t="shared" ca="1" si="97"/>
        <v>38400000</v>
      </c>
      <c r="AI300" s="11">
        <f t="shared" si="93"/>
        <v>1260</v>
      </c>
      <c r="AJ300" s="10">
        <v>1260</v>
      </c>
      <c r="AK300" s="11">
        <f t="shared" si="94"/>
        <v>0</v>
      </c>
      <c r="AL300" s="10">
        <v>0</v>
      </c>
      <c r="AM300" s="11">
        <f t="shared" si="87"/>
        <v>0</v>
      </c>
      <c r="AN300" s="10">
        <v>0</v>
      </c>
      <c r="AO300" s="55">
        <f t="shared" si="95"/>
        <v>1</v>
      </c>
      <c r="AQ300" s="11">
        <f ca="1">IFERROR(OFFSET(ITEM_RES!$A$1,MATCH(AR300,ITEM_RES!$J:$J,0)-1,0),0)</f>
        <v>211020801</v>
      </c>
      <c r="AR300" s="10" t="s">
        <v>384</v>
      </c>
      <c r="AS300" s="11">
        <v>4300000</v>
      </c>
      <c r="AV300" s="11">
        <f ca="1">IFERROR(OFFSET(ITEM_RES!$A$1,MATCH(AW300,ITEM_RES!$J:$J,0)-1,0),0)</f>
        <v>0</v>
      </c>
      <c r="BA300" s="11">
        <f ca="1">IFERROR(OFFSET(ITEM_RES!$A$1,MATCH(BB300,ITEM_RES!$J:$J,0)-1,0),0)</f>
        <v>0</v>
      </c>
      <c r="BF300" s="11">
        <f ca="1">IFERROR(OFFSET(ITEM_RES!$A$1,MATCH(BG300,ITEM_RES!$J:$J,0)-1,0),0)</f>
        <v>0</v>
      </c>
      <c r="BK300" s="11">
        <f ca="1">IFERROR(OFFSET(ITEM_RES!$A$1,MATCH(BL300,ITEM_RES!$J:$J,0)-1,0),0)</f>
        <v>0</v>
      </c>
      <c r="BM300" s="11">
        <f t="shared" si="96"/>
        <v>0</v>
      </c>
    </row>
    <row r="301" spans="1:65" x14ac:dyDescent="0.3">
      <c r="A301" s="14">
        <f t="shared" si="90"/>
        <v>113060017</v>
      </c>
      <c r="B301" s="13">
        <v>11</v>
      </c>
      <c r="C301" s="12">
        <f t="shared" si="91"/>
        <v>3</v>
      </c>
      <c r="D301" s="13">
        <v>6</v>
      </c>
      <c r="E301" s="13">
        <v>0</v>
      </c>
      <c r="F301" s="12">
        <f t="shared" si="92"/>
        <v>17</v>
      </c>
      <c r="H301" s="9">
        <v>3</v>
      </c>
      <c r="I301" s="9">
        <v>17</v>
      </c>
      <c r="K301" s="9" t="s">
        <v>1019</v>
      </c>
      <c r="M301" s="9">
        <v>0</v>
      </c>
      <c r="N301" s="9">
        <v>15</v>
      </c>
      <c r="O301" s="138" t="s">
        <v>1025</v>
      </c>
      <c r="P301" s="55" t="s">
        <v>1368</v>
      </c>
      <c r="Q301" s="9" t="s">
        <v>1020</v>
      </c>
      <c r="T301" s="9">
        <f ca="1">IFERROR(OFFSET(ITEM_RES!$A$5,MATCH(BUILDING!S301,ITEM_RES!$J$5:$J$229,0)-1,0),0)</f>
        <v>0</v>
      </c>
      <c r="W301" s="11">
        <f ca="1">IFERROR(OFFSET(ITEM_RES!$A$5,MATCH(BUILDING!V301,ITEM_RES!$J$5:$J$229,0)-1,0),0)</f>
        <v>0</v>
      </c>
      <c r="Y301" s="9" t="s">
        <v>1023</v>
      </c>
      <c r="Z301" s="9">
        <v>17</v>
      </c>
      <c r="AB301" s="11">
        <f ca="1">IFERROR(OFFSET(MANOR_LEVEL!$B$1,MATCH(AC301-1,MANOR_LEVEL!$A:$A,0)-1,0),0)</f>
        <v>1077433600</v>
      </c>
      <c r="AC301" s="55">
        <v>20</v>
      </c>
      <c r="AE301" s="11">
        <f t="shared" ca="1" si="89"/>
        <v>80000000</v>
      </c>
      <c r="AF301" s="10">
        <f ca="1">AK301+AM301+(IFERROR(OFFSET(ITEM_RES!$R$1,MATCH(AQ301,ITEM_RES!$A:$A,0)-1,0),0)*AS301+IFERROR(OFFSET(ITEM_RES!$R$1,MATCH(AV301,ITEM_RES!$A:$A,0)-1,0),0)*AX301+IFERROR(OFFSET(ITEM_RES!$R$1,MATCH(BA301,ITEM_RES!$A:$A,0)-1,0),0)*BC301+IFERROR(OFFSET(ITEM_RES!$R$1,MATCH(BF301,ITEM_RES!$A:$A,0)-1,0),0)*BH301+IFERROR(OFFSET(ITEM_RES!$R$1,MATCH(BK301,ITEM_RES!$A:$A,0)-1,0),0)*BM301)/1000</f>
        <v>80000000</v>
      </c>
      <c r="AG301" s="176">
        <f t="shared" ca="1" si="97"/>
        <v>105800000</v>
      </c>
      <c r="AI301" s="11">
        <f t="shared" si="93"/>
        <v>1440</v>
      </c>
      <c r="AJ301" s="10">
        <v>1440</v>
      </c>
      <c r="AK301" s="11">
        <f t="shared" si="94"/>
        <v>0</v>
      </c>
      <c r="AL301" s="10">
        <v>0</v>
      </c>
      <c r="AM301" s="11">
        <f t="shared" si="87"/>
        <v>0</v>
      </c>
      <c r="AN301" s="10">
        <v>0</v>
      </c>
      <c r="AO301" s="55">
        <f t="shared" si="95"/>
        <v>1</v>
      </c>
      <c r="AQ301" s="11">
        <f ca="1">IFERROR(OFFSET(ITEM_RES!$A$1,MATCH(AR301,ITEM_RES!$J:$J,0)-1,0),0)</f>
        <v>211020901</v>
      </c>
      <c r="AR301" s="10" t="s">
        <v>385</v>
      </c>
      <c r="AS301" s="11">
        <v>8000000</v>
      </c>
      <c r="AV301" s="11">
        <f ca="1">IFERROR(OFFSET(ITEM_RES!$A$1,MATCH(AW301,ITEM_RES!$J:$J,0)-1,0),0)</f>
        <v>0</v>
      </c>
      <c r="BA301" s="11">
        <f ca="1">IFERROR(OFFSET(ITEM_RES!$A$1,MATCH(BB301,ITEM_RES!$J:$J,0)-1,0),0)</f>
        <v>0</v>
      </c>
      <c r="BF301" s="11">
        <f ca="1">IFERROR(OFFSET(ITEM_RES!$A$1,MATCH(BG301,ITEM_RES!$J:$J,0)-1,0),0)</f>
        <v>0</v>
      </c>
      <c r="BK301" s="11">
        <f ca="1">IFERROR(OFFSET(ITEM_RES!$A$1,MATCH(BL301,ITEM_RES!$J:$J,0)-1,0),0)</f>
        <v>0</v>
      </c>
      <c r="BM301" s="11">
        <f t="shared" si="96"/>
        <v>0</v>
      </c>
    </row>
    <row r="302" spans="1:65" x14ac:dyDescent="0.3">
      <c r="A302" s="14">
        <f t="shared" si="90"/>
        <v>113060018</v>
      </c>
      <c r="B302" s="13">
        <v>11</v>
      </c>
      <c r="C302" s="12">
        <f t="shared" si="91"/>
        <v>3</v>
      </c>
      <c r="D302" s="13">
        <v>6</v>
      </c>
      <c r="E302" s="13">
        <v>0</v>
      </c>
      <c r="F302" s="12">
        <f t="shared" si="92"/>
        <v>18</v>
      </c>
      <c r="H302" s="9">
        <v>3</v>
      </c>
      <c r="I302" s="9">
        <v>18</v>
      </c>
      <c r="K302" s="9" t="s">
        <v>1019</v>
      </c>
      <c r="M302" s="9">
        <v>0</v>
      </c>
      <c r="N302" s="9">
        <v>15</v>
      </c>
      <c r="O302" s="138" t="s">
        <v>1025</v>
      </c>
      <c r="P302" s="55" t="s">
        <v>1368</v>
      </c>
      <c r="Q302" s="9" t="s">
        <v>1020</v>
      </c>
      <c r="T302" s="9">
        <f ca="1">IFERROR(OFFSET(ITEM_RES!$A$5,MATCH(BUILDING!S302,ITEM_RES!$J$5:$J$229,0)-1,0),0)</f>
        <v>0</v>
      </c>
      <c r="W302" s="11">
        <f ca="1">IFERROR(OFFSET(ITEM_RES!$A$5,MATCH(BUILDING!V302,ITEM_RES!$J$5:$J$229,0)-1,0),0)</f>
        <v>0</v>
      </c>
      <c r="Y302" s="9" t="s">
        <v>1023</v>
      </c>
      <c r="Z302" s="9">
        <v>18</v>
      </c>
      <c r="AB302" s="11">
        <f ca="1">IFERROR(OFFSET(MANOR_LEVEL!$B$1,MATCH(AC302-1,MANOR_LEVEL!$A:$A,0)-1,0),0)</f>
        <v>1077433600</v>
      </c>
      <c r="AC302" s="55">
        <v>20</v>
      </c>
      <c r="AE302" s="11">
        <f t="shared" ref="AE302:AE304" ca="1" si="98">ROUND(AF302,0)</f>
        <v>130000000</v>
      </c>
      <c r="AF302" s="10">
        <f ca="1">AK302+AM302+(IFERROR(OFFSET(ITEM_RES!$R$1,MATCH(AQ302,ITEM_RES!$A:$A,0)-1,0),0)*AS302+IFERROR(OFFSET(ITEM_RES!$R$1,MATCH(AV302,ITEM_RES!$A:$A,0)-1,0),0)*AX302+IFERROR(OFFSET(ITEM_RES!$R$1,MATCH(BA302,ITEM_RES!$A:$A,0)-1,0),0)*BC302+IFERROR(OFFSET(ITEM_RES!$R$1,MATCH(BF302,ITEM_RES!$A:$A,0)-1,0),0)*BH302+IFERROR(OFFSET(ITEM_RES!$R$1,MATCH(BK302,ITEM_RES!$A:$A,0)-1,0),0)*BM302)/1000</f>
        <v>130000000</v>
      </c>
      <c r="AG302" s="176">
        <f t="shared" ca="1" si="97"/>
        <v>210000000</v>
      </c>
      <c r="AI302" s="11">
        <f t="shared" si="93"/>
        <v>1620</v>
      </c>
      <c r="AJ302" s="10">
        <v>1620</v>
      </c>
      <c r="AK302" s="11">
        <f t="shared" si="94"/>
        <v>0</v>
      </c>
      <c r="AL302" s="10">
        <v>0</v>
      </c>
      <c r="AM302" s="11">
        <f t="shared" si="87"/>
        <v>0</v>
      </c>
      <c r="AN302" s="10">
        <v>0</v>
      </c>
      <c r="AO302" s="55">
        <f t="shared" si="95"/>
        <v>1</v>
      </c>
      <c r="AQ302" s="11">
        <f ca="1">IFERROR(OFFSET(ITEM_RES!$A$1,MATCH(AR302,ITEM_RES!$J:$J,0)-1,0),0)</f>
        <v>211020901</v>
      </c>
      <c r="AR302" s="10" t="s">
        <v>385</v>
      </c>
      <c r="AS302" s="11">
        <v>13000000</v>
      </c>
      <c r="AV302" s="11">
        <f ca="1">IFERROR(OFFSET(ITEM_RES!$A$1,MATCH(AW302,ITEM_RES!$J:$J,0)-1,0),0)</f>
        <v>0</v>
      </c>
      <c r="BA302" s="11">
        <f ca="1">IFERROR(OFFSET(ITEM_RES!$A$1,MATCH(BB302,ITEM_RES!$J:$J,0)-1,0),0)</f>
        <v>0</v>
      </c>
      <c r="BF302" s="11">
        <f ca="1">IFERROR(OFFSET(ITEM_RES!$A$1,MATCH(BG302,ITEM_RES!$J:$J,0)-1,0),0)</f>
        <v>0</v>
      </c>
      <c r="BK302" s="11">
        <f ca="1">IFERROR(OFFSET(ITEM_RES!$A$1,MATCH(BL302,ITEM_RES!$J:$J,0)-1,0),0)</f>
        <v>0</v>
      </c>
      <c r="BM302" s="11">
        <f t="shared" si="96"/>
        <v>0</v>
      </c>
    </row>
    <row r="303" spans="1:65" x14ac:dyDescent="0.3">
      <c r="A303" s="14">
        <f t="shared" si="90"/>
        <v>113060019</v>
      </c>
      <c r="B303" s="13">
        <v>11</v>
      </c>
      <c r="C303" s="12">
        <f t="shared" si="91"/>
        <v>3</v>
      </c>
      <c r="D303" s="13">
        <v>6</v>
      </c>
      <c r="E303" s="13">
        <v>0</v>
      </c>
      <c r="F303" s="12">
        <f t="shared" si="92"/>
        <v>19</v>
      </c>
      <c r="H303" s="9">
        <v>3</v>
      </c>
      <c r="I303" s="9">
        <v>19</v>
      </c>
      <c r="K303" s="9" t="s">
        <v>1019</v>
      </c>
      <c r="M303" s="9">
        <v>0</v>
      </c>
      <c r="N303" s="9">
        <v>15</v>
      </c>
      <c r="O303" s="138" t="s">
        <v>1025</v>
      </c>
      <c r="P303" s="55" t="s">
        <v>1368</v>
      </c>
      <c r="Q303" s="9" t="s">
        <v>1020</v>
      </c>
      <c r="T303" s="9">
        <f ca="1">IFERROR(OFFSET(ITEM_RES!$A$5,MATCH(BUILDING!S303,ITEM_RES!$J$5:$J$229,0)-1,0),0)</f>
        <v>0</v>
      </c>
      <c r="W303" s="11">
        <f ca="1">IFERROR(OFFSET(ITEM_RES!$A$5,MATCH(BUILDING!V303,ITEM_RES!$J$5:$J$229,0)-1,0),0)</f>
        <v>0</v>
      </c>
      <c r="Y303" s="9" t="s">
        <v>1023</v>
      </c>
      <c r="Z303" s="9">
        <v>19</v>
      </c>
      <c r="AB303" s="11">
        <f ca="1">IFERROR(OFFSET(MANOR_LEVEL!$B$1,MATCH(AC303-1,MANOR_LEVEL!$A:$A,0)-1,0),0)</f>
        <v>1077433600</v>
      </c>
      <c r="AC303" s="55">
        <v>20</v>
      </c>
      <c r="AE303" s="11">
        <f t="shared" ca="1" si="98"/>
        <v>200000000</v>
      </c>
      <c r="AF303" s="10">
        <f ca="1">AK303+AM303+(IFERROR(OFFSET(ITEM_RES!$R$1,MATCH(AQ303,ITEM_RES!$A:$A,0)-1,0),0)*AS303+IFERROR(OFFSET(ITEM_RES!$R$1,MATCH(AV303,ITEM_RES!$A:$A,0)-1,0),0)*AX303+IFERROR(OFFSET(ITEM_RES!$R$1,MATCH(BA303,ITEM_RES!$A:$A,0)-1,0),0)*BC303+IFERROR(OFFSET(ITEM_RES!$R$1,MATCH(BF303,ITEM_RES!$A:$A,0)-1,0),0)*BH303+IFERROR(OFFSET(ITEM_RES!$R$1,MATCH(BK303,ITEM_RES!$A:$A,0)-1,0),0)*BM303)/1000</f>
        <v>200000000</v>
      </c>
      <c r="AG303" s="176">
        <f t="shared" ca="1" si="97"/>
        <v>330000000</v>
      </c>
      <c r="AI303" s="11">
        <f t="shared" si="93"/>
        <v>1800</v>
      </c>
      <c r="AJ303" s="10">
        <v>1800</v>
      </c>
      <c r="AK303" s="11">
        <f t="shared" si="94"/>
        <v>0</v>
      </c>
      <c r="AL303" s="10">
        <v>0</v>
      </c>
      <c r="AM303" s="11">
        <f t="shared" si="87"/>
        <v>0</v>
      </c>
      <c r="AN303" s="10">
        <v>0</v>
      </c>
      <c r="AO303" s="55">
        <f t="shared" si="95"/>
        <v>1</v>
      </c>
      <c r="AQ303" s="11">
        <f ca="1">IFERROR(OFFSET(ITEM_RES!$A$1,MATCH(AR303,ITEM_RES!$J:$J,0)-1,0),0)</f>
        <v>211020901</v>
      </c>
      <c r="AR303" s="10" t="s">
        <v>385</v>
      </c>
      <c r="AS303" s="11">
        <v>20000000</v>
      </c>
      <c r="AV303" s="11">
        <f ca="1">IFERROR(OFFSET(ITEM_RES!$A$1,MATCH(AW303,ITEM_RES!$J:$J,0)-1,0),0)</f>
        <v>0</v>
      </c>
      <c r="BA303" s="11">
        <f ca="1">IFERROR(OFFSET(ITEM_RES!$A$1,MATCH(BB303,ITEM_RES!$J:$J,0)-1,0),0)</f>
        <v>0</v>
      </c>
      <c r="BF303" s="11">
        <f ca="1">IFERROR(OFFSET(ITEM_RES!$A$1,MATCH(BG303,ITEM_RES!$J:$J,0)-1,0),0)</f>
        <v>0</v>
      </c>
      <c r="BK303" s="11">
        <f ca="1">IFERROR(OFFSET(ITEM_RES!$A$1,MATCH(BL303,ITEM_RES!$J:$J,0)-1,0),0)</f>
        <v>0</v>
      </c>
      <c r="BM303" s="11">
        <f t="shared" si="96"/>
        <v>0</v>
      </c>
    </row>
    <row r="304" spans="1:65" ht="17.25" thickBot="1" x14ac:dyDescent="0.35">
      <c r="A304" s="14">
        <f t="shared" si="90"/>
        <v>113060020</v>
      </c>
      <c r="B304" s="13">
        <v>11</v>
      </c>
      <c r="C304" s="12">
        <f t="shared" si="91"/>
        <v>3</v>
      </c>
      <c r="D304" s="13">
        <v>6</v>
      </c>
      <c r="E304" s="13">
        <v>0</v>
      </c>
      <c r="F304" s="12">
        <f t="shared" si="92"/>
        <v>20</v>
      </c>
      <c r="H304" s="9">
        <v>3</v>
      </c>
      <c r="I304" s="9">
        <v>20</v>
      </c>
      <c r="K304" s="9" t="s">
        <v>1019</v>
      </c>
      <c r="M304" s="9">
        <v>0</v>
      </c>
      <c r="N304" s="9">
        <v>15</v>
      </c>
      <c r="O304" s="138" t="s">
        <v>1025</v>
      </c>
      <c r="P304" s="55" t="s">
        <v>1368</v>
      </c>
      <c r="Q304" s="9" t="s">
        <v>1020</v>
      </c>
      <c r="T304" s="9">
        <f ca="1">IFERROR(OFFSET(ITEM_RES!$A$5,MATCH(BUILDING!S304,ITEM_RES!$J$5:$J$229,0)-1,0),0)</f>
        <v>0</v>
      </c>
      <c r="W304" s="11">
        <f ca="1">IFERROR(OFFSET(ITEM_RES!$A$5,MATCH(BUILDING!V304,ITEM_RES!$J$5:$J$229,0)-1,0),0)</f>
        <v>0</v>
      </c>
      <c r="Y304" s="9" t="s">
        <v>1023</v>
      </c>
      <c r="Z304" s="9">
        <v>20</v>
      </c>
      <c r="AB304" s="11">
        <f ca="1">IFERROR(OFFSET(MANOR_LEVEL!$B$1,MATCH(AC304-1,MANOR_LEVEL!$A:$A,0)-1,0),0)</f>
        <v>1077433600</v>
      </c>
      <c r="AC304" s="55">
        <v>20</v>
      </c>
      <c r="AE304" s="11">
        <f t="shared" ca="1" si="98"/>
        <v>320000000</v>
      </c>
      <c r="AF304" s="10">
        <f ca="1">AK304+AM304+(IFERROR(OFFSET(ITEM_RES!$R$1,MATCH(AQ304,ITEM_RES!$A:$A,0)-1,0),0)*AS304+IFERROR(OFFSET(ITEM_RES!$R$1,MATCH(AV304,ITEM_RES!$A:$A,0)-1,0),0)*AX304+IFERROR(OFFSET(ITEM_RES!$R$1,MATCH(BA304,ITEM_RES!$A:$A,0)-1,0),0)*BC304+IFERROR(OFFSET(ITEM_RES!$R$1,MATCH(BF304,ITEM_RES!$A:$A,0)-1,0),0)*BH304+IFERROR(OFFSET(ITEM_RES!$R$1,MATCH(BK304,ITEM_RES!$A:$A,0)-1,0),0)*BM304)/1000</f>
        <v>320000000</v>
      </c>
      <c r="AG304" s="176">
        <f t="shared" ca="1" si="97"/>
        <v>520000000</v>
      </c>
      <c r="AI304" s="11">
        <f t="shared" si="93"/>
        <v>1980</v>
      </c>
      <c r="AJ304" s="10">
        <v>1980</v>
      </c>
      <c r="AK304" s="11">
        <f t="shared" si="94"/>
        <v>0</v>
      </c>
      <c r="AL304" s="10">
        <v>0</v>
      </c>
      <c r="AM304" s="11">
        <f t="shared" si="87"/>
        <v>0</v>
      </c>
      <c r="AN304" s="10">
        <v>0</v>
      </c>
      <c r="AO304" s="55">
        <f t="shared" si="95"/>
        <v>1</v>
      </c>
      <c r="AQ304" s="11">
        <f ca="1">IFERROR(OFFSET(ITEM_RES!$A$1,MATCH(AR304,ITEM_RES!$J:$J,0)-1,0),0)</f>
        <v>211020901</v>
      </c>
      <c r="AR304" s="10" t="s">
        <v>385</v>
      </c>
      <c r="AS304" s="11">
        <v>32000000</v>
      </c>
      <c r="AV304" s="11">
        <f ca="1">IFERROR(OFFSET(ITEM_RES!$A$1,MATCH(AW304,ITEM_RES!$J:$J,0)-1,0),0)</f>
        <v>0</v>
      </c>
      <c r="BA304" s="11">
        <f ca="1">IFERROR(OFFSET(ITEM_RES!$A$1,MATCH(BB304,ITEM_RES!$J:$J,0)-1,0),0)</f>
        <v>0</v>
      </c>
      <c r="BF304" s="11">
        <f ca="1">IFERROR(OFFSET(ITEM_RES!$A$1,MATCH(BG304,ITEM_RES!$J:$J,0)-1,0),0)</f>
        <v>0</v>
      </c>
      <c r="BK304" s="11">
        <f ca="1">IFERROR(OFFSET(ITEM_RES!$A$1,MATCH(BL304,ITEM_RES!$J:$J,0)-1,0),0)</f>
        <v>0</v>
      </c>
      <c r="BM304" s="11">
        <f t="shared" si="96"/>
        <v>0</v>
      </c>
    </row>
    <row r="305" spans="1:66" s="15" customFormat="1" x14ac:dyDescent="0.3">
      <c r="A305" s="21">
        <f t="shared" si="82"/>
        <v>111080001</v>
      </c>
      <c r="B305" s="20">
        <v>11</v>
      </c>
      <c r="C305" s="19">
        <f t="shared" si="83"/>
        <v>1</v>
      </c>
      <c r="D305" s="20">
        <v>8</v>
      </c>
      <c r="E305" s="20">
        <v>0</v>
      </c>
      <c r="F305" s="19">
        <f t="shared" si="84"/>
        <v>1</v>
      </c>
      <c r="G305" s="76"/>
      <c r="H305" s="16">
        <v>1</v>
      </c>
      <c r="I305" s="16">
        <v>1</v>
      </c>
      <c r="J305" s="76"/>
      <c r="K305" s="16" t="s">
        <v>885</v>
      </c>
      <c r="L305" s="16">
        <v>14</v>
      </c>
      <c r="M305" s="16">
        <v>1</v>
      </c>
      <c r="N305" s="16">
        <v>15</v>
      </c>
      <c r="O305" s="16" t="s">
        <v>1106</v>
      </c>
      <c r="P305" s="56" t="s">
        <v>1369</v>
      </c>
      <c r="Q305" s="16" t="s">
        <v>677</v>
      </c>
      <c r="R305" s="76"/>
      <c r="S305" s="83"/>
      <c r="T305" s="16">
        <f ca="1">IFERROR(OFFSET(ITEM_RES!$A$5,MATCH(BUILDING!S305,ITEM_RES!$J$5:$J$229,0)-1,0),0)</f>
        <v>0</v>
      </c>
      <c r="U305" s="18"/>
      <c r="V305" s="83"/>
      <c r="W305" s="18">
        <f ca="1">IFERROR(OFFSET(ITEM_RES!$A$5,MATCH(BUILDING!V305,ITEM_RES!$J$5:$J$229,0)-1,0),0)</f>
        <v>0</v>
      </c>
      <c r="X305" s="76"/>
      <c r="Y305" s="16" t="s">
        <v>507</v>
      </c>
      <c r="Z305" s="16">
        <v>16</v>
      </c>
      <c r="AA305" s="76"/>
      <c r="AB305" s="18">
        <f ca="1">IFERROR(OFFSET(MANOR_LEVEL!$B$1,MATCH(AC305-1,MANOR_LEVEL!$A:$A,0)-1,0),0)</f>
        <v>1077433600</v>
      </c>
      <c r="AC305" s="56">
        <v>20</v>
      </c>
      <c r="AD305" s="76"/>
      <c r="AE305" s="18">
        <f t="shared" ca="1" si="89"/>
        <v>1030</v>
      </c>
      <c r="AF305" s="17">
        <f ca="1">AK305+AM305+(IFERROR(OFFSET(ITEM_RES!$R$1,MATCH(AQ305,ITEM_RES!$A:$A,0)-1,0),0)*AS305+IFERROR(OFFSET(ITEM_RES!$R$1,MATCH(AV305,ITEM_RES!$A:$A,0)-1,0),0)*AX305+IFERROR(OFFSET(ITEM_RES!$R$1,MATCH(BA305,ITEM_RES!$A:$A,0)-1,0),0)*BC305+IFERROR(OFFSET(ITEM_RES!$R$1,MATCH(BF305,ITEM_RES!$A:$A,0)-1,0),0)*BH305+IFERROR(OFFSET(ITEM_RES!$R$1,MATCH(BK305,ITEM_RES!$A:$A,0)-1,0),0)*BM305)/1000</f>
        <v>1030</v>
      </c>
      <c r="AG305" s="178">
        <f ca="1">AE305</f>
        <v>1030</v>
      </c>
      <c r="AH305" s="76"/>
      <c r="AI305" s="18">
        <f t="shared" ref="AI305:AI364" si="99">ROUND(AJ305,0)</f>
        <v>2</v>
      </c>
      <c r="AJ305" s="17">
        <v>2</v>
      </c>
      <c r="AK305" s="18">
        <f t="shared" si="86"/>
        <v>0</v>
      </c>
      <c r="AL305" s="17">
        <v>0</v>
      </c>
      <c r="AM305" s="18">
        <f t="shared" si="87"/>
        <v>0</v>
      </c>
      <c r="AN305" s="17">
        <v>0</v>
      </c>
      <c r="AO305" s="56">
        <f t="shared" ref="AO305:AO365" si="100">(AS305&gt;0)*1+(AX305&gt;0)*1+(BC305&gt;0)*1+(BH305&gt;0)*1+(BM305&gt;0)*1</f>
        <v>2</v>
      </c>
      <c r="AP305" s="18"/>
      <c r="AQ305" s="18">
        <f ca="1">IFERROR(OFFSET(ITEM_RES!$A$1,MATCH(AR305,ITEM_RES!$J:$J,0)-1,0),0)</f>
        <v>211020801</v>
      </c>
      <c r="AR305" s="17" t="s">
        <v>425</v>
      </c>
      <c r="AS305" s="18">
        <v>5</v>
      </c>
      <c r="AT305" s="17"/>
      <c r="AU305" s="18"/>
      <c r="AV305" s="18">
        <f ca="1">IFERROR(OFFSET(ITEM_RES!$A$1,MATCH(AW305,ITEM_RES!$J:$J,0)-1,0),0)</f>
        <v>0</v>
      </c>
      <c r="AW305" s="17"/>
      <c r="AX305" s="18"/>
      <c r="AY305" s="17"/>
      <c r="AZ305" s="18"/>
      <c r="BA305" s="18">
        <f ca="1">IFERROR(OFFSET(ITEM_RES!$A$1,MATCH(BB305,ITEM_RES!$J:$J,0)-1,0),0)</f>
        <v>213010101</v>
      </c>
      <c r="BB305" s="17" t="s">
        <v>440</v>
      </c>
      <c r="BC305" s="18">
        <v>1</v>
      </c>
      <c r="BD305" s="17"/>
      <c r="BE305" s="18"/>
      <c r="BF305" s="18">
        <f ca="1">IFERROR(OFFSET(ITEM_RES!$A$1,MATCH(BG305,ITEM_RES!$J:$J,0)-1,0),0)</f>
        <v>0</v>
      </c>
      <c r="BG305" s="17"/>
      <c r="BH305" s="18"/>
      <c r="BI305" s="17"/>
      <c r="BJ305" s="18"/>
      <c r="BK305" s="18">
        <f ca="1">IFERROR(OFFSET(ITEM_RES!$A$1,MATCH(BL305,ITEM_RES!$J:$J,0)-1,0),0)</f>
        <v>0</v>
      </c>
      <c r="BL305" s="17"/>
      <c r="BM305" s="18"/>
      <c r="BN305" s="17"/>
    </row>
    <row r="306" spans="1:66" x14ac:dyDescent="0.3">
      <c r="A306" s="14">
        <f t="shared" si="82"/>
        <v>111080002</v>
      </c>
      <c r="B306" s="13">
        <v>11</v>
      </c>
      <c r="C306" s="12">
        <f t="shared" si="83"/>
        <v>1</v>
      </c>
      <c r="D306" s="13">
        <v>8</v>
      </c>
      <c r="E306" s="13">
        <v>0</v>
      </c>
      <c r="F306" s="12">
        <f t="shared" si="84"/>
        <v>2</v>
      </c>
      <c r="H306" s="9">
        <v>1</v>
      </c>
      <c r="I306" s="9">
        <v>2</v>
      </c>
      <c r="K306" s="9" t="s">
        <v>885</v>
      </c>
      <c r="M306" s="9">
        <v>1</v>
      </c>
      <c r="N306" s="9">
        <v>15</v>
      </c>
      <c r="O306" s="9" t="s">
        <v>1107</v>
      </c>
      <c r="P306" s="55" t="s">
        <v>1369</v>
      </c>
      <c r="Q306" s="9" t="s">
        <v>677</v>
      </c>
      <c r="T306" s="9">
        <f ca="1">IFERROR(OFFSET(ITEM_RES!$A$5,MATCH(BUILDING!S306,ITEM_RES!$J$5:$J$229,0)-1,0),0)</f>
        <v>0</v>
      </c>
      <c r="W306" s="11">
        <f ca="1">IFERROR(OFFSET(ITEM_RES!$A$5,MATCH(BUILDING!V306,ITEM_RES!$J$5:$J$229,0)-1,0),0)</f>
        <v>0</v>
      </c>
      <c r="Y306" s="9" t="s">
        <v>507</v>
      </c>
      <c r="Z306" s="9">
        <v>16</v>
      </c>
      <c r="AB306" s="11">
        <f ca="1">IFERROR(OFFSET(MANOR_LEVEL!$B$1,MATCH(AC306-1,MANOR_LEVEL!$A:$A,0)-1,0),0)</f>
        <v>1077433600</v>
      </c>
      <c r="AC306" s="55">
        <v>20</v>
      </c>
      <c r="AE306" s="11">
        <f t="shared" ca="1" si="89"/>
        <v>60</v>
      </c>
      <c r="AF306" s="10">
        <f ca="1">AK306+AM306+(IFERROR(OFFSET(ITEM_RES!$R$1,MATCH(AQ306,ITEM_RES!$A:$A,0)-1,0),0)*AS306+IFERROR(OFFSET(ITEM_RES!$R$1,MATCH(AV306,ITEM_RES!$A:$A,0)-1,0),0)*AX306+IFERROR(OFFSET(ITEM_RES!$R$1,MATCH(BA306,ITEM_RES!$A:$A,0)-1,0),0)*BC306+IFERROR(OFFSET(ITEM_RES!$R$1,MATCH(BF306,ITEM_RES!$A:$A,0)-1,0),0)*BH306+IFERROR(OFFSET(ITEM_RES!$R$1,MATCH(BK306,ITEM_RES!$A:$A,0)-1,0),0)*BM306)/1000</f>
        <v>60</v>
      </c>
      <c r="AG306" s="176">
        <f ca="1">AE305+AE306</f>
        <v>1090</v>
      </c>
      <c r="AI306" s="11">
        <f t="shared" si="99"/>
        <v>2</v>
      </c>
      <c r="AJ306" s="10">
        <v>2</v>
      </c>
      <c r="AK306" s="11">
        <f t="shared" si="86"/>
        <v>0</v>
      </c>
      <c r="AL306" s="10">
        <v>0</v>
      </c>
      <c r="AM306" s="11">
        <f t="shared" si="87"/>
        <v>0</v>
      </c>
      <c r="AN306" s="10">
        <v>0</v>
      </c>
      <c r="AO306" s="55">
        <f t="shared" si="100"/>
        <v>1</v>
      </c>
      <c r="AQ306" s="11">
        <f ca="1">IFERROR(OFFSET(ITEM_RES!$A$1,MATCH(AR306,ITEM_RES!$J:$J,0)-1,0),0)</f>
        <v>211020801</v>
      </c>
      <c r="AR306" s="10" t="s">
        <v>425</v>
      </c>
      <c r="AS306" s="11">
        <v>10</v>
      </c>
      <c r="AV306" s="11">
        <f ca="1">IFERROR(OFFSET(ITEM_RES!$A$1,MATCH(AW306,ITEM_RES!$J:$J,0)-1,0),0)</f>
        <v>0</v>
      </c>
      <c r="BA306" s="11">
        <f ca="1">IFERROR(OFFSET(ITEM_RES!$A$1,MATCH(BB306,ITEM_RES!$J:$J,0)-1,0),0)</f>
        <v>0</v>
      </c>
      <c r="BF306" s="11">
        <f ca="1">IFERROR(OFFSET(ITEM_RES!$A$1,MATCH(BG306,ITEM_RES!$J:$J,0)-1,0),0)</f>
        <v>0</v>
      </c>
      <c r="BK306" s="11">
        <f ca="1">IFERROR(OFFSET(ITEM_RES!$A$1,MATCH(BL306,ITEM_RES!$J:$J,0)-1,0),0)</f>
        <v>0</v>
      </c>
    </row>
    <row r="307" spans="1:66" x14ac:dyDescent="0.3">
      <c r="A307" s="14">
        <f t="shared" si="82"/>
        <v>111080003</v>
      </c>
      <c r="B307" s="13">
        <v>11</v>
      </c>
      <c r="C307" s="12">
        <f t="shared" si="83"/>
        <v>1</v>
      </c>
      <c r="D307" s="13">
        <v>8</v>
      </c>
      <c r="E307" s="13">
        <v>0</v>
      </c>
      <c r="F307" s="12">
        <f t="shared" si="84"/>
        <v>3</v>
      </c>
      <c r="H307" s="9">
        <v>1</v>
      </c>
      <c r="I307" s="9">
        <v>3</v>
      </c>
      <c r="K307" s="9" t="s">
        <v>885</v>
      </c>
      <c r="M307" s="9">
        <v>1</v>
      </c>
      <c r="N307" s="9">
        <v>15</v>
      </c>
      <c r="O307" s="9" t="s">
        <v>1108</v>
      </c>
      <c r="P307" s="55" t="s">
        <v>1370</v>
      </c>
      <c r="Q307" s="9" t="s">
        <v>677</v>
      </c>
      <c r="T307" s="9">
        <f ca="1">IFERROR(OFFSET(ITEM_RES!$A$5,MATCH(BUILDING!S307,ITEM_RES!$J$5:$J$229,0)-1,0),0)</f>
        <v>0</v>
      </c>
      <c r="W307" s="11">
        <f ca="1">IFERROR(OFFSET(ITEM_RES!$A$5,MATCH(BUILDING!V307,ITEM_RES!$J$5:$J$229,0)-1,0),0)</f>
        <v>0</v>
      </c>
      <c r="Y307" s="9" t="s">
        <v>507</v>
      </c>
      <c r="Z307" s="9">
        <v>16</v>
      </c>
      <c r="AB307" s="11">
        <f ca="1">IFERROR(OFFSET(MANOR_LEVEL!$B$1,MATCH(AC307-1,MANOR_LEVEL!$A:$A,0)-1,0),0)</f>
        <v>1077433600</v>
      </c>
      <c r="AC307" s="55">
        <v>20</v>
      </c>
      <c r="AE307" s="11">
        <f t="shared" ca="1" si="89"/>
        <v>90</v>
      </c>
      <c r="AF307" s="10">
        <f ca="1">AK307+AM307+(IFERROR(OFFSET(ITEM_RES!$R$1,MATCH(AQ307,ITEM_RES!$A:$A,0)-1,0),0)*AS307+IFERROR(OFFSET(ITEM_RES!$R$1,MATCH(AV307,ITEM_RES!$A:$A,0)-1,0),0)*AX307+IFERROR(OFFSET(ITEM_RES!$R$1,MATCH(BA307,ITEM_RES!$A:$A,0)-1,0),0)*BC307+IFERROR(OFFSET(ITEM_RES!$R$1,MATCH(BF307,ITEM_RES!$A:$A,0)-1,0),0)*BH307+IFERROR(OFFSET(ITEM_RES!$R$1,MATCH(BK307,ITEM_RES!$A:$A,0)-1,0),0)*BM307)/1000</f>
        <v>90</v>
      </c>
      <c r="AG307" s="176">
        <f t="shared" ref="AG307:AG324" ca="1" si="101">AE306+AE307</f>
        <v>150</v>
      </c>
      <c r="AI307" s="11">
        <f t="shared" si="99"/>
        <v>3</v>
      </c>
      <c r="AJ307" s="10">
        <v>3</v>
      </c>
      <c r="AK307" s="11">
        <f t="shared" si="86"/>
        <v>0</v>
      </c>
      <c r="AL307" s="10">
        <v>0</v>
      </c>
      <c r="AM307" s="11">
        <f t="shared" si="87"/>
        <v>0</v>
      </c>
      <c r="AN307" s="10">
        <v>0</v>
      </c>
      <c r="AO307" s="55">
        <f t="shared" si="100"/>
        <v>1</v>
      </c>
      <c r="AQ307" s="11">
        <f ca="1">IFERROR(OFFSET(ITEM_RES!$A$1,MATCH(AR307,ITEM_RES!$J:$J,0)-1,0),0)</f>
        <v>211020801</v>
      </c>
      <c r="AR307" s="10" t="s">
        <v>425</v>
      </c>
      <c r="AS307" s="11">
        <v>15</v>
      </c>
      <c r="AV307" s="11">
        <f ca="1">IFERROR(OFFSET(ITEM_RES!$A$1,MATCH(AW307,ITEM_RES!$J:$J,0)-1,0),0)</f>
        <v>0</v>
      </c>
      <c r="BA307" s="11">
        <f ca="1">IFERROR(OFFSET(ITEM_RES!$A$1,MATCH(BB307,ITEM_RES!$J:$J,0)-1,0),0)</f>
        <v>0</v>
      </c>
      <c r="BF307" s="11">
        <f ca="1">IFERROR(OFFSET(ITEM_RES!$A$1,MATCH(BG307,ITEM_RES!$J:$J,0)-1,0),0)</f>
        <v>0</v>
      </c>
      <c r="BK307" s="11">
        <f ca="1">IFERROR(OFFSET(ITEM_RES!$A$1,MATCH(BL307,ITEM_RES!$J:$J,0)-1,0),0)</f>
        <v>0</v>
      </c>
    </row>
    <row r="308" spans="1:66" x14ac:dyDescent="0.3">
      <c r="A308" s="14">
        <f t="shared" si="82"/>
        <v>111080004</v>
      </c>
      <c r="B308" s="13">
        <v>11</v>
      </c>
      <c r="C308" s="12">
        <f t="shared" si="83"/>
        <v>1</v>
      </c>
      <c r="D308" s="13">
        <v>8</v>
      </c>
      <c r="E308" s="13">
        <v>0</v>
      </c>
      <c r="F308" s="12">
        <f t="shared" si="84"/>
        <v>4</v>
      </c>
      <c r="H308" s="9">
        <v>1</v>
      </c>
      <c r="I308" s="9">
        <v>4</v>
      </c>
      <c r="K308" s="9" t="s">
        <v>885</v>
      </c>
      <c r="M308" s="9">
        <v>1</v>
      </c>
      <c r="N308" s="9">
        <v>15</v>
      </c>
      <c r="O308" s="9" t="s">
        <v>1109</v>
      </c>
      <c r="P308" s="55" t="s">
        <v>1370</v>
      </c>
      <c r="Q308" s="9" t="s">
        <v>677</v>
      </c>
      <c r="T308" s="9">
        <f ca="1">IFERROR(OFFSET(ITEM_RES!$A$5,MATCH(BUILDING!S308,ITEM_RES!$J$5:$J$229,0)-1,0),0)</f>
        <v>0</v>
      </c>
      <c r="W308" s="11">
        <f ca="1">IFERROR(OFFSET(ITEM_RES!$A$5,MATCH(BUILDING!V308,ITEM_RES!$J$5:$J$229,0)-1,0),0)</f>
        <v>0</v>
      </c>
      <c r="Y308" s="9" t="s">
        <v>507</v>
      </c>
      <c r="Z308" s="9">
        <v>16</v>
      </c>
      <c r="AB308" s="11">
        <f ca="1">IFERROR(OFFSET(MANOR_LEVEL!$B$1,MATCH(AC308-1,MANOR_LEVEL!$A:$A,0)-1,0),0)</f>
        <v>1077433600</v>
      </c>
      <c r="AC308" s="55">
        <v>20</v>
      </c>
      <c r="AE308" s="11">
        <f t="shared" ca="1" si="89"/>
        <v>120</v>
      </c>
      <c r="AF308" s="10">
        <f ca="1">AK308+AM308+(IFERROR(OFFSET(ITEM_RES!$R$1,MATCH(AQ308,ITEM_RES!$A:$A,0)-1,0),0)*AS308+IFERROR(OFFSET(ITEM_RES!$R$1,MATCH(AV308,ITEM_RES!$A:$A,0)-1,0),0)*AX308+IFERROR(OFFSET(ITEM_RES!$R$1,MATCH(BA308,ITEM_RES!$A:$A,0)-1,0),0)*BC308+IFERROR(OFFSET(ITEM_RES!$R$1,MATCH(BF308,ITEM_RES!$A:$A,0)-1,0),0)*BH308+IFERROR(OFFSET(ITEM_RES!$R$1,MATCH(BK308,ITEM_RES!$A:$A,0)-1,0),0)*BM308)/1000</f>
        <v>120</v>
      </c>
      <c r="AG308" s="176">
        <f t="shared" ca="1" si="101"/>
        <v>210</v>
      </c>
      <c r="AI308" s="11">
        <f t="shared" si="99"/>
        <v>5</v>
      </c>
      <c r="AJ308" s="10">
        <v>5</v>
      </c>
      <c r="AK308" s="11">
        <f t="shared" si="86"/>
        <v>0</v>
      </c>
      <c r="AL308" s="10">
        <v>0</v>
      </c>
      <c r="AM308" s="11">
        <f t="shared" si="87"/>
        <v>0</v>
      </c>
      <c r="AN308" s="10">
        <v>0</v>
      </c>
      <c r="AO308" s="55">
        <f t="shared" si="100"/>
        <v>1</v>
      </c>
      <c r="AQ308" s="11">
        <f ca="1">IFERROR(OFFSET(ITEM_RES!$A$1,MATCH(AR308,ITEM_RES!$J:$J,0)-1,0),0)</f>
        <v>211020801</v>
      </c>
      <c r="AR308" s="10" t="s">
        <v>425</v>
      </c>
      <c r="AS308" s="11">
        <v>20</v>
      </c>
      <c r="AV308" s="11">
        <f ca="1">IFERROR(OFFSET(ITEM_RES!$A$1,MATCH(AW308,ITEM_RES!$J:$J,0)-1,0),0)</f>
        <v>0</v>
      </c>
      <c r="BA308" s="11">
        <f ca="1">IFERROR(OFFSET(ITEM_RES!$A$1,MATCH(BB308,ITEM_RES!$J:$J,0)-1,0),0)</f>
        <v>0</v>
      </c>
      <c r="BF308" s="11">
        <f ca="1">IFERROR(OFFSET(ITEM_RES!$A$1,MATCH(BG308,ITEM_RES!$J:$J,0)-1,0),0)</f>
        <v>0</v>
      </c>
      <c r="BK308" s="11">
        <f ca="1">IFERROR(OFFSET(ITEM_RES!$A$1,MATCH(BL308,ITEM_RES!$J:$J,0)-1,0),0)</f>
        <v>0</v>
      </c>
    </row>
    <row r="309" spans="1:66" x14ac:dyDescent="0.3">
      <c r="A309" s="14">
        <f t="shared" si="82"/>
        <v>111080005</v>
      </c>
      <c r="B309" s="13">
        <v>11</v>
      </c>
      <c r="C309" s="12">
        <f t="shared" si="83"/>
        <v>1</v>
      </c>
      <c r="D309" s="13">
        <v>8</v>
      </c>
      <c r="E309" s="13">
        <v>0</v>
      </c>
      <c r="F309" s="12">
        <f t="shared" si="84"/>
        <v>5</v>
      </c>
      <c r="H309" s="9">
        <v>1</v>
      </c>
      <c r="I309" s="9">
        <v>5</v>
      </c>
      <c r="K309" s="9" t="s">
        <v>885</v>
      </c>
      <c r="M309" s="9">
        <v>1</v>
      </c>
      <c r="N309" s="9">
        <v>15</v>
      </c>
      <c r="O309" s="9" t="s">
        <v>1110</v>
      </c>
      <c r="P309" s="55" t="s">
        <v>1371</v>
      </c>
      <c r="Q309" s="9" t="s">
        <v>677</v>
      </c>
      <c r="T309" s="9">
        <f ca="1">IFERROR(OFFSET(ITEM_RES!$A$5,MATCH(BUILDING!S309,ITEM_RES!$J$5:$J$229,0)-1,0),0)</f>
        <v>0</v>
      </c>
      <c r="W309" s="11">
        <f ca="1">IFERROR(OFFSET(ITEM_RES!$A$5,MATCH(BUILDING!V309,ITEM_RES!$J$5:$J$229,0)-1,0),0)</f>
        <v>0</v>
      </c>
      <c r="Y309" s="9" t="s">
        <v>507</v>
      </c>
      <c r="Z309" s="9">
        <v>16</v>
      </c>
      <c r="AB309" s="11">
        <f ca="1">IFERROR(OFFSET(MANOR_LEVEL!$B$1,MATCH(AC309-1,MANOR_LEVEL!$A:$A,0)-1,0),0)</f>
        <v>1077433600</v>
      </c>
      <c r="AC309" s="55">
        <v>20</v>
      </c>
      <c r="AE309" s="11">
        <f t="shared" ca="1" si="89"/>
        <v>180</v>
      </c>
      <c r="AF309" s="10">
        <f ca="1">AK309+AM309+(IFERROR(OFFSET(ITEM_RES!$R$1,MATCH(AQ309,ITEM_RES!$A:$A,0)-1,0),0)*AS309+IFERROR(OFFSET(ITEM_RES!$R$1,MATCH(AV309,ITEM_RES!$A:$A,0)-1,0),0)*AX309+IFERROR(OFFSET(ITEM_RES!$R$1,MATCH(BA309,ITEM_RES!$A:$A,0)-1,0),0)*BC309+IFERROR(OFFSET(ITEM_RES!$R$1,MATCH(BF309,ITEM_RES!$A:$A,0)-1,0),0)*BH309+IFERROR(OFFSET(ITEM_RES!$R$1,MATCH(BK309,ITEM_RES!$A:$A,0)-1,0),0)*BM309)/1000</f>
        <v>180</v>
      </c>
      <c r="AG309" s="176">
        <f t="shared" ca="1" si="101"/>
        <v>300</v>
      </c>
      <c r="AI309" s="11">
        <f t="shared" si="99"/>
        <v>8</v>
      </c>
      <c r="AJ309" s="10">
        <v>8</v>
      </c>
      <c r="AK309" s="11">
        <f t="shared" si="86"/>
        <v>0</v>
      </c>
      <c r="AL309" s="10">
        <v>0</v>
      </c>
      <c r="AM309" s="11">
        <f t="shared" si="87"/>
        <v>0</v>
      </c>
      <c r="AN309" s="10">
        <v>0</v>
      </c>
      <c r="AO309" s="55">
        <f t="shared" si="100"/>
        <v>1</v>
      </c>
      <c r="AQ309" s="11">
        <f ca="1">IFERROR(OFFSET(ITEM_RES!$A$1,MATCH(AR309,ITEM_RES!$J:$J,0)-1,0),0)</f>
        <v>211020801</v>
      </c>
      <c r="AR309" s="10" t="s">
        <v>425</v>
      </c>
      <c r="AS309" s="11">
        <v>30</v>
      </c>
      <c r="AV309" s="11">
        <f ca="1">IFERROR(OFFSET(ITEM_RES!$A$1,MATCH(AW309,ITEM_RES!$J:$J,0)-1,0),0)</f>
        <v>0</v>
      </c>
      <c r="BA309" s="11">
        <f ca="1">IFERROR(OFFSET(ITEM_RES!$A$1,MATCH(BB309,ITEM_RES!$J:$J,0)-1,0),0)</f>
        <v>0</v>
      </c>
      <c r="BF309" s="11">
        <f ca="1">IFERROR(OFFSET(ITEM_RES!$A$1,MATCH(BG309,ITEM_RES!$J:$J,0)-1,0),0)</f>
        <v>0</v>
      </c>
      <c r="BK309" s="11">
        <f ca="1">IFERROR(OFFSET(ITEM_RES!$A$1,MATCH(BL309,ITEM_RES!$J:$J,0)-1,0),0)</f>
        <v>0</v>
      </c>
    </row>
    <row r="310" spans="1:66" x14ac:dyDescent="0.3">
      <c r="A310" s="14">
        <f t="shared" si="82"/>
        <v>111080006</v>
      </c>
      <c r="B310" s="13">
        <v>11</v>
      </c>
      <c r="C310" s="12">
        <f t="shared" si="83"/>
        <v>1</v>
      </c>
      <c r="D310" s="13">
        <v>8</v>
      </c>
      <c r="E310" s="13">
        <v>0</v>
      </c>
      <c r="F310" s="12">
        <f t="shared" si="84"/>
        <v>6</v>
      </c>
      <c r="H310" s="9">
        <v>1</v>
      </c>
      <c r="I310" s="9">
        <v>6</v>
      </c>
      <c r="K310" s="9" t="s">
        <v>885</v>
      </c>
      <c r="M310" s="9">
        <v>1</v>
      </c>
      <c r="N310" s="9">
        <v>15</v>
      </c>
      <c r="O310" s="9" t="s">
        <v>1111</v>
      </c>
      <c r="P310" s="55" t="s">
        <v>1371</v>
      </c>
      <c r="Q310" s="9" t="s">
        <v>677</v>
      </c>
      <c r="T310" s="9">
        <f ca="1">IFERROR(OFFSET(ITEM_RES!$A$5,MATCH(BUILDING!S310,ITEM_RES!$J$5:$J$229,0)-1,0),0)</f>
        <v>0</v>
      </c>
      <c r="W310" s="11">
        <f ca="1">IFERROR(OFFSET(ITEM_RES!$A$5,MATCH(BUILDING!V310,ITEM_RES!$J$5:$J$229,0)-1,0),0)</f>
        <v>0</v>
      </c>
      <c r="Y310" s="9" t="s">
        <v>507</v>
      </c>
      <c r="Z310" s="9">
        <v>16</v>
      </c>
      <c r="AB310" s="11">
        <f ca="1">IFERROR(OFFSET(MANOR_LEVEL!$B$1,MATCH(AC310-1,MANOR_LEVEL!$A:$A,0)-1,0),0)</f>
        <v>1077433600</v>
      </c>
      <c r="AC310" s="55">
        <v>20</v>
      </c>
      <c r="AE310" s="11">
        <f t="shared" ca="1" si="89"/>
        <v>270</v>
      </c>
      <c r="AF310" s="10">
        <f ca="1">AK310+AM310+(IFERROR(OFFSET(ITEM_RES!$R$1,MATCH(AQ310,ITEM_RES!$A:$A,0)-1,0),0)*AS310+IFERROR(OFFSET(ITEM_RES!$R$1,MATCH(AV310,ITEM_RES!$A:$A,0)-1,0),0)*AX310+IFERROR(OFFSET(ITEM_RES!$R$1,MATCH(BA310,ITEM_RES!$A:$A,0)-1,0),0)*BC310+IFERROR(OFFSET(ITEM_RES!$R$1,MATCH(BF310,ITEM_RES!$A:$A,0)-1,0),0)*BH310+IFERROR(OFFSET(ITEM_RES!$R$1,MATCH(BK310,ITEM_RES!$A:$A,0)-1,0),0)*BM310)/1000</f>
        <v>270</v>
      </c>
      <c r="AG310" s="176">
        <f t="shared" ca="1" si="101"/>
        <v>450</v>
      </c>
      <c r="AI310" s="11">
        <f t="shared" si="99"/>
        <v>10</v>
      </c>
      <c r="AJ310" s="10">
        <v>10</v>
      </c>
      <c r="AK310" s="11">
        <f t="shared" si="86"/>
        <v>0</v>
      </c>
      <c r="AL310" s="10">
        <v>0</v>
      </c>
      <c r="AM310" s="11">
        <f t="shared" si="87"/>
        <v>0</v>
      </c>
      <c r="AN310" s="10">
        <v>0</v>
      </c>
      <c r="AO310" s="55">
        <f t="shared" si="100"/>
        <v>1</v>
      </c>
      <c r="AQ310" s="11">
        <f ca="1">IFERROR(OFFSET(ITEM_RES!$A$1,MATCH(AR310,ITEM_RES!$J:$J,0)-1,0),0)</f>
        <v>211020801</v>
      </c>
      <c r="AR310" s="10" t="s">
        <v>425</v>
      </c>
      <c r="AS310" s="11">
        <v>45</v>
      </c>
      <c r="AV310" s="11">
        <f ca="1">IFERROR(OFFSET(ITEM_RES!$A$1,MATCH(AW310,ITEM_RES!$J:$J,0)-1,0),0)</f>
        <v>0</v>
      </c>
      <c r="BA310" s="11">
        <f ca="1">IFERROR(OFFSET(ITEM_RES!$A$1,MATCH(BB310,ITEM_RES!$J:$J,0)-1,0),0)</f>
        <v>0</v>
      </c>
      <c r="BF310" s="11">
        <f ca="1">IFERROR(OFFSET(ITEM_RES!$A$1,MATCH(BG310,ITEM_RES!$J:$J,0)-1,0),0)</f>
        <v>0</v>
      </c>
      <c r="BK310" s="11">
        <f ca="1">IFERROR(OFFSET(ITEM_RES!$A$1,MATCH(BL310,ITEM_RES!$J:$J,0)-1,0),0)</f>
        <v>0</v>
      </c>
    </row>
    <row r="311" spans="1:66" x14ac:dyDescent="0.3">
      <c r="A311" s="14">
        <f t="shared" si="82"/>
        <v>111080007</v>
      </c>
      <c r="B311" s="13">
        <v>11</v>
      </c>
      <c r="C311" s="12">
        <f t="shared" si="83"/>
        <v>1</v>
      </c>
      <c r="D311" s="13">
        <v>8</v>
      </c>
      <c r="E311" s="13">
        <v>0</v>
      </c>
      <c r="F311" s="12">
        <f t="shared" si="84"/>
        <v>7</v>
      </c>
      <c r="H311" s="9">
        <v>1</v>
      </c>
      <c r="I311" s="9">
        <v>7</v>
      </c>
      <c r="K311" s="9" t="s">
        <v>885</v>
      </c>
      <c r="M311" s="9">
        <v>1</v>
      </c>
      <c r="N311" s="9">
        <v>15</v>
      </c>
      <c r="O311" s="9" t="s">
        <v>1112</v>
      </c>
      <c r="P311" s="55" t="s">
        <v>1372</v>
      </c>
      <c r="Q311" s="9" t="s">
        <v>677</v>
      </c>
      <c r="T311" s="9">
        <f ca="1">IFERROR(OFFSET(ITEM_RES!$A$5,MATCH(BUILDING!S311,ITEM_RES!$J$5:$J$229,0)-1,0),0)</f>
        <v>0</v>
      </c>
      <c r="W311" s="11">
        <f ca="1">IFERROR(OFFSET(ITEM_RES!$A$5,MATCH(BUILDING!V311,ITEM_RES!$J$5:$J$229,0)-1,0),0)</f>
        <v>0</v>
      </c>
      <c r="Y311" s="9" t="s">
        <v>507</v>
      </c>
      <c r="Z311" s="9">
        <v>16</v>
      </c>
      <c r="AB311" s="11">
        <f ca="1">IFERROR(OFFSET(MANOR_LEVEL!$B$1,MATCH(AC311-1,MANOR_LEVEL!$A:$A,0)-1,0),0)</f>
        <v>1077433600</v>
      </c>
      <c r="AC311" s="55">
        <v>20</v>
      </c>
      <c r="AE311" s="11">
        <f t="shared" ca="1" si="89"/>
        <v>1080</v>
      </c>
      <c r="AF311" s="10">
        <f ca="1">AK311+AM311+(IFERROR(OFFSET(ITEM_RES!$R$1,MATCH(AQ311,ITEM_RES!$A:$A,0)-1,0),0)*AS311+IFERROR(OFFSET(ITEM_RES!$R$1,MATCH(AV311,ITEM_RES!$A:$A,0)-1,0),0)*AX311+IFERROR(OFFSET(ITEM_RES!$R$1,MATCH(BA311,ITEM_RES!$A:$A,0)-1,0),0)*BC311+IFERROR(OFFSET(ITEM_RES!$R$1,MATCH(BF311,ITEM_RES!$A:$A,0)-1,0),0)*BH311+IFERROR(OFFSET(ITEM_RES!$R$1,MATCH(BK311,ITEM_RES!$A:$A,0)-1,0),0)*BM311)/1000</f>
        <v>1080</v>
      </c>
      <c r="AG311" s="176">
        <f t="shared" ca="1" si="101"/>
        <v>1350</v>
      </c>
      <c r="AI311" s="11">
        <f t="shared" si="99"/>
        <v>15</v>
      </c>
      <c r="AJ311" s="10">
        <v>15</v>
      </c>
      <c r="AK311" s="11">
        <f t="shared" si="86"/>
        <v>0</v>
      </c>
      <c r="AL311" s="10">
        <v>0</v>
      </c>
      <c r="AM311" s="11">
        <f t="shared" si="87"/>
        <v>0</v>
      </c>
      <c r="AN311" s="10">
        <v>0</v>
      </c>
      <c r="AO311" s="55">
        <f t="shared" si="100"/>
        <v>1</v>
      </c>
      <c r="AQ311" s="11">
        <f ca="1">IFERROR(OFFSET(ITEM_RES!$A$1,MATCH(AR311,ITEM_RES!$J:$J,0)-1,0),0)</f>
        <v>211020801</v>
      </c>
      <c r="AR311" s="10" t="s">
        <v>425</v>
      </c>
      <c r="AS311" s="11">
        <v>180</v>
      </c>
      <c r="AV311" s="11">
        <f ca="1">IFERROR(OFFSET(ITEM_RES!$A$1,MATCH(AW311,ITEM_RES!$J:$J,0)-1,0),0)</f>
        <v>0</v>
      </c>
      <c r="BA311" s="11">
        <f ca="1">IFERROR(OFFSET(ITEM_RES!$A$1,MATCH(BB311,ITEM_RES!$J:$J,0)-1,0),0)</f>
        <v>0</v>
      </c>
      <c r="BF311" s="11">
        <f ca="1">IFERROR(OFFSET(ITEM_RES!$A$1,MATCH(BG311,ITEM_RES!$J:$J,0)-1,0),0)</f>
        <v>0</v>
      </c>
      <c r="BK311" s="11">
        <f ca="1">IFERROR(OFFSET(ITEM_RES!$A$1,MATCH(BL311,ITEM_RES!$J:$J,0)-1,0),0)</f>
        <v>0</v>
      </c>
    </row>
    <row r="312" spans="1:66" x14ac:dyDescent="0.3">
      <c r="A312" s="14">
        <f t="shared" si="82"/>
        <v>111080008</v>
      </c>
      <c r="B312" s="13">
        <v>11</v>
      </c>
      <c r="C312" s="12">
        <f t="shared" si="83"/>
        <v>1</v>
      </c>
      <c r="D312" s="13">
        <v>8</v>
      </c>
      <c r="E312" s="13">
        <v>0</v>
      </c>
      <c r="F312" s="12">
        <f t="shared" si="84"/>
        <v>8</v>
      </c>
      <c r="H312" s="9">
        <v>1</v>
      </c>
      <c r="I312" s="9">
        <v>8</v>
      </c>
      <c r="K312" s="9" t="s">
        <v>885</v>
      </c>
      <c r="M312" s="9">
        <v>1</v>
      </c>
      <c r="N312" s="9">
        <v>15</v>
      </c>
      <c r="O312" s="9" t="s">
        <v>1112</v>
      </c>
      <c r="P312" s="55" t="s">
        <v>1372</v>
      </c>
      <c r="Q312" s="9" t="s">
        <v>677</v>
      </c>
      <c r="T312" s="9">
        <f ca="1">IFERROR(OFFSET(ITEM_RES!$A$5,MATCH(BUILDING!S312,ITEM_RES!$J$5:$J$229,0)-1,0),0)</f>
        <v>0</v>
      </c>
      <c r="W312" s="11">
        <f ca="1">IFERROR(OFFSET(ITEM_RES!$A$5,MATCH(BUILDING!V312,ITEM_RES!$J$5:$J$229,0)-1,0),0)</f>
        <v>0</v>
      </c>
      <c r="Y312" s="9" t="s">
        <v>507</v>
      </c>
      <c r="Z312" s="9">
        <v>16</v>
      </c>
      <c r="AB312" s="11">
        <f ca="1">IFERROR(OFFSET(MANOR_LEVEL!$B$1,MATCH(AC312-1,MANOR_LEVEL!$A:$A,0)-1,0),0)</f>
        <v>1077433600</v>
      </c>
      <c r="AC312" s="55">
        <v>20</v>
      </c>
      <c r="AE312" s="11">
        <f t="shared" ca="1" si="89"/>
        <v>4860</v>
      </c>
      <c r="AF312" s="10">
        <f ca="1">AK312+AM312+(IFERROR(OFFSET(ITEM_RES!$R$1,MATCH(AQ312,ITEM_RES!$A:$A,0)-1,0),0)*AS312+IFERROR(OFFSET(ITEM_RES!$R$1,MATCH(AV312,ITEM_RES!$A:$A,0)-1,0),0)*AX312+IFERROR(OFFSET(ITEM_RES!$R$1,MATCH(BA312,ITEM_RES!$A:$A,0)-1,0),0)*BC312+IFERROR(OFFSET(ITEM_RES!$R$1,MATCH(BF312,ITEM_RES!$A:$A,0)-1,0),0)*BH312+IFERROR(OFFSET(ITEM_RES!$R$1,MATCH(BK312,ITEM_RES!$A:$A,0)-1,0),0)*BM312)/1000</f>
        <v>4860</v>
      </c>
      <c r="AG312" s="176">
        <f t="shared" ca="1" si="101"/>
        <v>5940</v>
      </c>
      <c r="AI312" s="11">
        <f t="shared" si="99"/>
        <v>30</v>
      </c>
      <c r="AJ312" s="10">
        <v>30</v>
      </c>
      <c r="AK312" s="11">
        <f t="shared" si="86"/>
        <v>0</v>
      </c>
      <c r="AL312" s="10">
        <v>0</v>
      </c>
      <c r="AM312" s="11">
        <f t="shared" si="87"/>
        <v>0</v>
      </c>
      <c r="AN312" s="10">
        <v>0</v>
      </c>
      <c r="AO312" s="55">
        <f t="shared" si="100"/>
        <v>1</v>
      </c>
      <c r="AQ312" s="11">
        <f ca="1">IFERROR(OFFSET(ITEM_RES!$A$1,MATCH(AR312,ITEM_RES!$J:$J,0)-1,0),0)</f>
        <v>211020801</v>
      </c>
      <c r="AR312" s="10" t="s">
        <v>425</v>
      </c>
      <c r="AS312" s="11">
        <v>810</v>
      </c>
      <c r="AV312" s="11">
        <f ca="1">IFERROR(OFFSET(ITEM_RES!$A$1,MATCH(AW312,ITEM_RES!$J:$J,0)-1,0),0)</f>
        <v>0</v>
      </c>
      <c r="BA312" s="11">
        <f ca="1">IFERROR(OFFSET(ITEM_RES!$A$1,MATCH(BB312,ITEM_RES!$J:$J,0)-1,0),0)</f>
        <v>0</v>
      </c>
      <c r="BF312" s="11">
        <f ca="1">IFERROR(OFFSET(ITEM_RES!$A$1,MATCH(BG312,ITEM_RES!$J:$J,0)-1,0),0)</f>
        <v>0</v>
      </c>
      <c r="BK312" s="11">
        <f ca="1">IFERROR(OFFSET(ITEM_RES!$A$1,MATCH(BL312,ITEM_RES!$J:$J,0)-1,0),0)</f>
        <v>0</v>
      </c>
    </row>
    <row r="313" spans="1:66" x14ac:dyDescent="0.3">
      <c r="A313" s="14">
        <f t="shared" si="82"/>
        <v>111080009</v>
      </c>
      <c r="B313" s="13">
        <v>11</v>
      </c>
      <c r="C313" s="12">
        <f t="shared" si="83"/>
        <v>1</v>
      </c>
      <c r="D313" s="13">
        <v>8</v>
      </c>
      <c r="E313" s="13">
        <v>0</v>
      </c>
      <c r="F313" s="12">
        <f t="shared" si="84"/>
        <v>9</v>
      </c>
      <c r="H313" s="9">
        <v>1</v>
      </c>
      <c r="I313" s="9">
        <v>9</v>
      </c>
      <c r="K313" s="9" t="s">
        <v>885</v>
      </c>
      <c r="M313" s="9">
        <v>1</v>
      </c>
      <c r="N313" s="9">
        <v>15</v>
      </c>
      <c r="O313" s="9" t="s">
        <v>1423</v>
      </c>
      <c r="P313" s="55" t="s">
        <v>1425</v>
      </c>
      <c r="Q313" s="9" t="s">
        <v>677</v>
      </c>
      <c r="T313" s="9">
        <f ca="1">IFERROR(OFFSET(ITEM_RES!$A$5,MATCH(BUILDING!S313,ITEM_RES!$J$5:$J$229,0)-1,0),0)</f>
        <v>0</v>
      </c>
      <c r="W313" s="11">
        <f ca="1">IFERROR(OFFSET(ITEM_RES!$A$5,MATCH(BUILDING!V313,ITEM_RES!$J$5:$J$229,0)-1,0),0)</f>
        <v>0</v>
      </c>
      <c r="Y313" s="9" t="s">
        <v>507</v>
      </c>
      <c r="Z313" s="9">
        <v>16</v>
      </c>
      <c r="AB313" s="11">
        <f ca="1">IFERROR(OFFSET(MANOR_LEVEL!$B$1,MATCH(AC313-1,MANOR_LEVEL!$A:$A,0)-1,0),0)</f>
        <v>1077433600</v>
      </c>
      <c r="AC313" s="55">
        <v>20</v>
      </c>
      <c r="AE313" s="11">
        <f t="shared" ca="1" si="89"/>
        <v>16200</v>
      </c>
      <c r="AF313" s="10">
        <f ca="1">AK313+AM313+(IFERROR(OFFSET(ITEM_RES!$R$1,MATCH(AQ313,ITEM_RES!$A:$A,0)-1,0),0)*AS313+IFERROR(OFFSET(ITEM_RES!$R$1,MATCH(AV313,ITEM_RES!$A:$A,0)-1,0),0)*AX313+IFERROR(OFFSET(ITEM_RES!$R$1,MATCH(BA313,ITEM_RES!$A:$A,0)-1,0),0)*BC313+IFERROR(OFFSET(ITEM_RES!$R$1,MATCH(BF313,ITEM_RES!$A:$A,0)-1,0),0)*BH313+IFERROR(OFFSET(ITEM_RES!$R$1,MATCH(BK313,ITEM_RES!$A:$A,0)-1,0),0)*BM313)/1000</f>
        <v>16200</v>
      </c>
      <c r="AG313" s="176">
        <f t="shared" ca="1" si="101"/>
        <v>21060</v>
      </c>
      <c r="AI313" s="11">
        <f t="shared" si="99"/>
        <v>60</v>
      </c>
      <c r="AJ313" s="10">
        <v>60</v>
      </c>
      <c r="AK313" s="11">
        <f t="shared" si="86"/>
        <v>0</v>
      </c>
      <c r="AL313" s="10">
        <v>0</v>
      </c>
      <c r="AM313" s="11">
        <f t="shared" si="87"/>
        <v>0</v>
      </c>
      <c r="AN313" s="10">
        <v>0</v>
      </c>
      <c r="AO313" s="55">
        <f t="shared" si="100"/>
        <v>1</v>
      </c>
      <c r="AQ313" s="11">
        <f ca="1">IFERROR(OFFSET(ITEM_RES!$A$1,MATCH(AR313,ITEM_RES!$J:$J,0)-1,0),0)</f>
        <v>211020801</v>
      </c>
      <c r="AR313" s="10" t="s">
        <v>425</v>
      </c>
      <c r="AS313" s="11">
        <v>2700</v>
      </c>
      <c r="AV313" s="11">
        <f ca="1">IFERROR(OFFSET(ITEM_RES!$A$1,MATCH(AW313,ITEM_RES!$J:$J,0)-1,0),0)</f>
        <v>0</v>
      </c>
      <c r="BA313" s="11">
        <f ca="1">IFERROR(OFFSET(ITEM_RES!$A$1,MATCH(BB313,ITEM_RES!$J:$J,0)-1,0),0)</f>
        <v>0</v>
      </c>
      <c r="BF313" s="11">
        <f ca="1">IFERROR(OFFSET(ITEM_RES!$A$1,MATCH(BG313,ITEM_RES!$J:$J,0)-1,0),0)</f>
        <v>0</v>
      </c>
      <c r="BK313" s="11">
        <f ca="1">IFERROR(OFFSET(ITEM_RES!$A$1,MATCH(BL313,ITEM_RES!$J:$J,0)-1,0),0)</f>
        <v>0</v>
      </c>
    </row>
    <row r="314" spans="1:66" x14ac:dyDescent="0.3">
      <c r="A314" s="14">
        <f t="shared" si="82"/>
        <v>111080010</v>
      </c>
      <c r="B314" s="13">
        <v>11</v>
      </c>
      <c r="C314" s="12">
        <f t="shared" si="83"/>
        <v>1</v>
      </c>
      <c r="D314" s="13">
        <v>8</v>
      </c>
      <c r="E314" s="13">
        <v>0</v>
      </c>
      <c r="F314" s="12">
        <f t="shared" si="84"/>
        <v>10</v>
      </c>
      <c r="H314" s="9">
        <v>1</v>
      </c>
      <c r="I314" s="9">
        <v>10</v>
      </c>
      <c r="K314" s="9" t="s">
        <v>885</v>
      </c>
      <c r="M314" s="9">
        <v>1</v>
      </c>
      <c r="N314" s="9">
        <v>15</v>
      </c>
      <c r="O314" s="9" t="s">
        <v>1423</v>
      </c>
      <c r="P314" s="55" t="s">
        <v>1425</v>
      </c>
      <c r="Q314" s="9" t="s">
        <v>677</v>
      </c>
      <c r="T314" s="9">
        <f ca="1">IFERROR(OFFSET(ITEM_RES!$A$5,MATCH(BUILDING!S314,ITEM_RES!$J$5:$J$229,0)-1,0),0)</f>
        <v>0</v>
      </c>
      <c r="W314" s="11">
        <f ca="1">IFERROR(OFFSET(ITEM_RES!$A$5,MATCH(BUILDING!V314,ITEM_RES!$J$5:$J$229,0)-1,0),0)</f>
        <v>0</v>
      </c>
      <c r="Y314" s="9" t="s">
        <v>507</v>
      </c>
      <c r="Z314" s="9">
        <v>16</v>
      </c>
      <c r="AB314" s="11">
        <f ca="1">IFERROR(OFFSET(MANOR_LEVEL!$B$1,MATCH(AC314-1,MANOR_LEVEL!$A:$A,0)-1,0),0)</f>
        <v>1077433600</v>
      </c>
      <c r="AC314" s="55">
        <v>20</v>
      </c>
      <c r="AE314" s="11">
        <f t="shared" ca="1" si="89"/>
        <v>36000</v>
      </c>
      <c r="AF314" s="10">
        <f ca="1">AK314+AM314+(IFERROR(OFFSET(ITEM_RES!$R$1,MATCH(AQ314,ITEM_RES!$A:$A,0)-1,0),0)*AS314+IFERROR(OFFSET(ITEM_RES!$R$1,MATCH(AV314,ITEM_RES!$A:$A,0)-1,0),0)*AX314+IFERROR(OFFSET(ITEM_RES!$R$1,MATCH(BA314,ITEM_RES!$A:$A,0)-1,0),0)*BC314+IFERROR(OFFSET(ITEM_RES!$R$1,MATCH(BF314,ITEM_RES!$A:$A,0)-1,0),0)*BH314+IFERROR(OFFSET(ITEM_RES!$R$1,MATCH(BK314,ITEM_RES!$A:$A,0)-1,0),0)*BM314)/1000</f>
        <v>36000</v>
      </c>
      <c r="AG314" s="176">
        <f t="shared" ca="1" si="101"/>
        <v>52200</v>
      </c>
      <c r="AI314" s="11">
        <f t="shared" si="99"/>
        <v>180</v>
      </c>
      <c r="AJ314" s="10">
        <v>180</v>
      </c>
      <c r="AK314" s="11">
        <f t="shared" si="86"/>
        <v>0</v>
      </c>
      <c r="AL314" s="10">
        <v>0</v>
      </c>
      <c r="AM314" s="11">
        <f t="shared" si="87"/>
        <v>0</v>
      </c>
      <c r="AN314" s="10">
        <v>0</v>
      </c>
      <c r="AO314" s="55">
        <f t="shared" si="100"/>
        <v>1</v>
      </c>
      <c r="AQ314" s="11">
        <f ca="1">IFERROR(OFFSET(ITEM_RES!$A$1,MATCH(AR314,ITEM_RES!$J:$J,0)-1,0),0)</f>
        <v>211020801</v>
      </c>
      <c r="AR314" s="10" t="s">
        <v>425</v>
      </c>
      <c r="AS314" s="11">
        <v>6000</v>
      </c>
      <c r="AV314" s="11">
        <f ca="1">IFERROR(OFFSET(ITEM_RES!$A$1,MATCH(AW314,ITEM_RES!$J:$J,0)-1,0),0)</f>
        <v>0</v>
      </c>
      <c r="BA314" s="11">
        <f ca="1">IFERROR(OFFSET(ITEM_RES!$A$1,MATCH(BB314,ITEM_RES!$J:$J,0)-1,0),0)</f>
        <v>0</v>
      </c>
      <c r="BF314" s="11">
        <f ca="1">IFERROR(OFFSET(ITEM_RES!$A$1,MATCH(BG314,ITEM_RES!$J:$J,0)-1,0),0)</f>
        <v>0</v>
      </c>
      <c r="BK314" s="11">
        <f ca="1">IFERROR(OFFSET(ITEM_RES!$A$1,MATCH(BL314,ITEM_RES!$J:$J,0)-1,0),0)</f>
        <v>0</v>
      </c>
    </row>
    <row r="315" spans="1:66" x14ac:dyDescent="0.3">
      <c r="A315" s="14">
        <f t="shared" si="82"/>
        <v>111080011</v>
      </c>
      <c r="B315" s="13">
        <v>11</v>
      </c>
      <c r="C315" s="12">
        <f t="shared" si="83"/>
        <v>1</v>
      </c>
      <c r="D315" s="13">
        <v>8</v>
      </c>
      <c r="E315" s="13">
        <v>0</v>
      </c>
      <c r="F315" s="12">
        <f t="shared" si="84"/>
        <v>11</v>
      </c>
      <c r="H315" s="9">
        <v>1</v>
      </c>
      <c r="I315" s="9">
        <v>11</v>
      </c>
      <c r="K315" s="9" t="s">
        <v>885</v>
      </c>
      <c r="M315" s="9">
        <v>1</v>
      </c>
      <c r="N315" s="9">
        <v>15</v>
      </c>
      <c r="O315" s="9" t="s">
        <v>1422</v>
      </c>
      <c r="P315" s="55" t="s">
        <v>1424</v>
      </c>
      <c r="Q315" s="9" t="s">
        <v>677</v>
      </c>
      <c r="T315" s="9">
        <f ca="1">IFERROR(OFFSET(ITEM_RES!$A$5,MATCH(BUILDING!S315,ITEM_RES!$J$5:$J$229,0)-1,0),0)</f>
        <v>0</v>
      </c>
      <c r="W315" s="11">
        <f ca="1">IFERROR(OFFSET(ITEM_RES!$A$5,MATCH(BUILDING!V315,ITEM_RES!$J$5:$J$229,0)-1,0),0)</f>
        <v>0</v>
      </c>
      <c r="Y315" s="9" t="s">
        <v>507</v>
      </c>
      <c r="Z315" s="9">
        <v>16</v>
      </c>
      <c r="AB315" s="11">
        <f ca="1">IFERROR(OFFSET(MANOR_LEVEL!$B$1,MATCH(AC315-1,MANOR_LEVEL!$A:$A,0)-1,0),0)</f>
        <v>1077433600</v>
      </c>
      <c r="AC315" s="55">
        <v>20</v>
      </c>
      <c r="AE315" s="11">
        <f t="shared" ca="1" si="89"/>
        <v>75600</v>
      </c>
      <c r="AF315" s="10">
        <f ca="1">AK315+AM315+(IFERROR(OFFSET(ITEM_RES!$R$1,MATCH(AQ315,ITEM_RES!$A:$A,0)-1,0),0)*AS315+IFERROR(OFFSET(ITEM_RES!$R$1,MATCH(AV315,ITEM_RES!$A:$A,0)-1,0),0)*AX315+IFERROR(OFFSET(ITEM_RES!$R$1,MATCH(BA315,ITEM_RES!$A:$A,0)-1,0),0)*BC315+IFERROR(OFFSET(ITEM_RES!$R$1,MATCH(BF315,ITEM_RES!$A:$A,0)-1,0),0)*BH315+IFERROR(OFFSET(ITEM_RES!$R$1,MATCH(BK315,ITEM_RES!$A:$A,0)-1,0),0)*BM315)/1000</f>
        <v>75600</v>
      </c>
      <c r="AG315" s="176">
        <f t="shared" ca="1" si="101"/>
        <v>111600</v>
      </c>
      <c r="AI315" s="11">
        <f t="shared" si="99"/>
        <v>360</v>
      </c>
      <c r="AJ315" s="10">
        <v>360</v>
      </c>
      <c r="AK315" s="11">
        <f t="shared" si="86"/>
        <v>0</v>
      </c>
      <c r="AL315" s="10">
        <v>0</v>
      </c>
      <c r="AM315" s="11">
        <f t="shared" si="87"/>
        <v>0</v>
      </c>
      <c r="AN315" s="10">
        <v>0</v>
      </c>
      <c r="AO315" s="55">
        <f t="shared" si="100"/>
        <v>1</v>
      </c>
      <c r="AQ315" s="11">
        <f ca="1">IFERROR(OFFSET(ITEM_RES!$A$1,MATCH(AR315,ITEM_RES!$J:$J,0)-1,0),0)</f>
        <v>211020801</v>
      </c>
      <c r="AR315" s="10" t="s">
        <v>425</v>
      </c>
      <c r="AS315" s="11">
        <v>12600</v>
      </c>
      <c r="AV315" s="11">
        <f ca="1">IFERROR(OFFSET(ITEM_RES!$A$1,MATCH(AW315,ITEM_RES!$J:$J,0)-1,0),0)</f>
        <v>0</v>
      </c>
      <c r="BA315" s="11">
        <f ca="1">IFERROR(OFFSET(ITEM_RES!$A$1,MATCH(BB315,ITEM_RES!$J:$J,0)-1,0),0)</f>
        <v>0</v>
      </c>
      <c r="BF315" s="11">
        <f ca="1">IFERROR(OFFSET(ITEM_RES!$A$1,MATCH(BG315,ITEM_RES!$J:$J,0)-1,0),0)</f>
        <v>0</v>
      </c>
      <c r="BK315" s="11">
        <f ca="1">IFERROR(OFFSET(ITEM_RES!$A$1,MATCH(BL315,ITEM_RES!$J:$J,0)-1,0),0)</f>
        <v>0</v>
      </c>
    </row>
    <row r="316" spans="1:66" x14ac:dyDescent="0.3">
      <c r="A316" s="14">
        <f t="shared" si="82"/>
        <v>111080012</v>
      </c>
      <c r="B316" s="13">
        <v>11</v>
      </c>
      <c r="C316" s="12">
        <f t="shared" si="83"/>
        <v>1</v>
      </c>
      <c r="D316" s="13">
        <v>8</v>
      </c>
      <c r="E316" s="13">
        <v>0</v>
      </c>
      <c r="F316" s="12">
        <f t="shared" si="84"/>
        <v>12</v>
      </c>
      <c r="H316" s="9">
        <v>1</v>
      </c>
      <c r="I316" s="9">
        <v>12</v>
      </c>
      <c r="K316" s="9" t="s">
        <v>885</v>
      </c>
      <c r="M316" s="9">
        <v>1</v>
      </c>
      <c r="N316" s="9">
        <v>15</v>
      </c>
      <c r="O316" s="9" t="s">
        <v>1422</v>
      </c>
      <c r="P316" s="55" t="s">
        <v>1424</v>
      </c>
      <c r="Q316" s="9" t="s">
        <v>677</v>
      </c>
      <c r="T316" s="9">
        <f ca="1">IFERROR(OFFSET(ITEM_RES!$A$5,MATCH(BUILDING!S316,ITEM_RES!$J$5:$J$229,0)-1,0),0)</f>
        <v>0</v>
      </c>
      <c r="W316" s="11">
        <f ca="1">IFERROR(OFFSET(ITEM_RES!$A$5,MATCH(BUILDING!V316,ITEM_RES!$J$5:$J$229,0)-1,0),0)</f>
        <v>0</v>
      </c>
      <c r="Y316" s="9" t="s">
        <v>507</v>
      </c>
      <c r="Z316" s="9">
        <v>16</v>
      </c>
      <c r="AB316" s="11">
        <f ca="1">IFERROR(OFFSET(MANOR_LEVEL!$B$1,MATCH(AC316-1,MANOR_LEVEL!$A:$A,0)-1,0),0)</f>
        <v>1077433600</v>
      </c>
      <c r="AC316" s="55">
        <v>20</v>
      </c>
      <c r="AE316" s="11">
        <f t="shared" ca="1" si="89"/>
        <v>140400</v>
      </c>
      <c r="AF316" s="10">
        <f ca="1">AK316+AM316+(IFERROR(OFFSET(ITEM_RES!$R$1,MATCH(AQ316,ITEM_RES!$A:$A,0)-1,0),0)*AS316+IFERROR(OFFSET(ITEM_RES!$R$1,MATCH(AV316,ITEM_RES!$A:$A,0)-1,0),0)*AX316+IFERROR(OFFSET(ITEM_RES!$R$1,MATCH(BA316,ITEM_RES!$A:$A,0)-1,0),0)*BC316+IFERROR(OFFSET(ITEM_RES!$R$1,MATCH(BF316,ITEM_RES!$A:$A,0)-1,0),0)*BH316+IFERROR(OFFSET(ITEM_RES!$R$1,MATCH(BK316,ITEM_RES!$A:$A,0)-1,0),0)*BM316)/1000</f>
        <v>140400</v>
      </c>
      <c r="AG316" s="176">
        <f t="shared" ca="1" si="101"/>
        <v>216000</v>
      </c>
      <c r="AI316" s="11">
        <f t="shared" si="99"/>
        <v>540</v>
      </c>
      <c r="AJ316" s="10">
        <v>540</v>
      </c>
      <c r="AK316" s="11">
        <f t="shared" si="86"/>
        <v>0</v>
      </c>
      <c r="AL316" s="10">
        <v>0</v>
      </c>
      <c r="AM316" s="11">
        <f t="shared" si="87"/>
        <v>0</v>
      </c>
      <c r="AN316" s="10">
        <v>0</v>
      </c>
      <c r="AO316" s="55">
        <f t="shared" si="100"/>
        <v>1</v>
      </c>
      <c r="AQ316" s="11">
        <f ca="1">IFERROR(OFFSET(ITEM_RES!$A$1,MATCH(AR316,ITEM_RES!$J:$J,0)-1,0),0)</f>
        <v>211020801</v>
      </c>
      <c r="AR316" s="10" t="s">
        <v>425</v>
      </c>
      <c r="AS316" s="11">
        <v>23400</v>
      </c>
      <c r="AV316" s="11">
        <f ca="1">IFERROR(OFFSET(ITEM_RES!$A$1,MATCH(AW316,ITEM_RES!$J:$J,0)-1,0),0)</f>
        <v>0</v>
      </c>
      <c r="BA316" s="11">
        <f ca="1">IFERROR(OFFSET(ITEM_RES!$A$1,MATCH(BB316,ITEM_RES!$J:$J,0)-1,0),0)</f>
        <v>0</v>
      </c>
      <c r="BF316" s="11">
        <f ca="1">IFERROR(OFFSET(ITEM_RES!$A$1,MATCH(BG316,ITEM_RES!$J:$J,0)-1,0),0)</f>
        <v>0</v>
      </c>
      <c r="BK316" s="11">
        <f ca="1">IFERROR(OFFSET(ITEM_RES!$A$1,MATCH(BL316,ITEM_RES!$J:$J,0)-1,0),0)</f>
        <v>0</v>
      </c>
    </row>
    <row r="317" spans="1:66" x14ac:dyDescent="0.3">
      <c r="A317" s="14">
        <f t="shared" si="82"/>
        <v>111080013</v>
      </c>
      <c r="B317" s="13">
        <v>11</v>
      </c>
      <c r="C317" s="12">
        <f t="shared" si="83"/>
        <v>1</v>
      </c>
      <c r="D317" s="13">
        <v>8</v>
      </c>
      <c r="E317" s="13">
        <v>0</v>
      </c>
      <c r="F317" s="12">
        <f t="shared" si="84"/>
        <v>13</v>
      </c>
      <c r="H317" s="9">
        <v>1</v>
      </c>
      <c r="I317" s="9">
        <v>13</v>
      </c>
      <c r="K317" s="9" t="s">
        <v>885</v>
      </c>
      <c r="M317" s="9">
        <v>1</v>
      </c>
      <c r="N317" s="9">
        <v>15</v>
      </c>
      <c r="O317" s="9" t="s">
        <v>1422</v>
      </c>
      <c r="P317" s="55" t="s">
        <v>1424</v>
      </c>
      <c r="Q317" s="9" t="s">
        <v>677</v>
      </c>
      <c r="T317" s="9">
        <f ca="1">IFERROR(OFFSET(ITEM_RES!$A$5,MATCH(BUILDING!S317,ITEM_RES!$J$5:$J$229,0)-1,0),0)</f>
        <v>0</v>
      </c>
      <c r="W317" s="11">
        <f ca="1">IFERROR(OFFSET(ITEM_RES!$A$5,MATCH(BUILDING!V317,ITEM_RES!$J$5:$J$229,0)-1,0),0)</f>
        <v>0</v>
      </c>
      <c r="Y317" s="9" t="s">
        <v>507</v>
      </c>
      <c r="Z317" s="9">
        <v>16</v>
      </c>
      <c r="AB317" s="11">
        <f ca="1">IFERROR(OFFSET(MANOR_LEVEL!$B$1,MATCH(AC317-1,MANOR_LEVEL!$A:$A,0)-1,0),0)</f>
        <v>1077433600</v>
      </c>
      <c r="AC317" s="55">
        <v>20</v>
      </c>
      <c r="AE317" s="11">
        <f t="shared" ca="1" si="89"/>
        <v>234000</v>
      </c>
      <c r="AF317" s="10">
        <f ca="1">AK317+AM317+(IFERROR(OFFSET(ITEM_RES!$R$1,MATCH(AQ317,ITEM_RES!$A:$A,0)-1,0),0)*AS317+IFERROR(OFFSET(ITEM_RES!$R$1,MATCH(AV317,ITEM_RES!$A:$A,0)-1,0),0)*AX317+IFERROR(OFFSET(ITEM_RES!$R$1,MATCH(BA317,ITEM_RES!$A:$A,0)-1,0),0)*BC317+IFERROR(OFFSET(ITEM_RES!$R$1,MATCH(BF317,ITEM_RES!$A:$A,0)-1,0),0)*BH317+IFERROR(OFFSET(ITEM_RES!$R$1,MATCH(BK317,ITEM_RES!$A:$A,0)-1,0),0)*BM317)/1000</f>
        <v>234000</v>
      </c>
      <c r="AG317" s="176">
        <f t="shared" ca="1" si="101"/>
        <v>374400</v>
      </c>
      <c r="AI317" s="11">
        <f t="shared" si="99"/>
        <v>720</v>
      </c>
      <c r="AJ317" s="10">
        <v>720</v>
      </c>
      <c r="AK317" s="11">
        <f t="shared" si="86"/>
        <v>0</v>
      </c>
      <c r="AL317" s="10">
        <v>0</v>
      </c>
      <c r="AM317" s="11">
        <f t="shared" si="87"/>
        <v>0</v>
      </c>
      <c r="AN317" s="10">
        <v>0</v>
      </c>
      <c r="AO317" s="55">
        <f t="shared" si="100"/>
        <v>1</v>
      </c>
      <c r="AQ317" s="11">
        <f ca="1">IFERROR(OFFSET(ITEM_RES!$A$1,MATCH(AR317,ITEM_RES!$J:$J,0)-1,0),0)</f>
        <v>211020801</v>
      </c>
      <c r="AR317" s="10" t="s">
        <v>425</v>
      </c>
      <c r="AS317" s="11">
        <v>39000</v>
      </c>
      <c r="AV317" s="11">
        <f ca="1">IFERROR(OFFSET(ITEM_RES!$A$1,MATCH(AW317,ITEM_RES!$J:$J,0)-1,0),0)</f>
        <v>0</v>
      </c>
      <c r="BA317" s="11">
        <f ca="1">IFERROR(OFFSET(ITEM_RES!$A$1,MATCH(BB317,ITEM_RES!$J:$J,0)-1,0),0)</f>
        <v>0</v>
      </c>
      <c r="BF317" s="11">
        <f ca="1">IFERROR(OFFSET(ITEM_RES!$A$1,MATCH(BG317,ITEM_RES!$J:$J,0)-1,0),0)</f>
        <v>0</v>
      </c>
      <c r="BK317" s="11">
        <f ca="1">IFERROR(OFFSET(ITEM_RES!$A$1,MATCH(BL317,ITEM_RES!$J:$J,0)-1,0),0)</f>
        <v>0</v>
      </c>
    </row>
    <row r="318" spans="1:66" x14ac:dyDescent="0.3">
      <c r="A318" s="14">
        <f t="shared" si="82"/>
        <v>111080014</v>
      </c>
      <c r="B318" s="13">
        <v>11</v>
      </c>
      <c r="C318" s="12">
        <f t="shared" si="83"/>
        <v>1</v>
      </c>
      <c r="D318" s="13">
        <v>8</v>
      </c>
      <c r="E318" s="13">
        <v>0</v>
      </c>
      <c r="F318" s="12">
        <f t="shared" si="84"/>
        <v>14</v>
      </c>
      <c r="H318" s="9">
        <v>1</v>
      </c>
      <c r="I318" s="9">
        <v>14</v>
      </c>
      <c r="K318" s="9" t="s">
        <v>885</v>
      </c>
      <c r="M318" s="9">
        <v>1</v>
      </c>
      <c r="N318" s="9">
        <v>15</v>
      </c>
      <c r="O318" s="9" t="s">
        <v>1422</v>
      </c>
      <c r="P318" s="55" t="s">
        <v>1424</v>
      </c>
      <c r="Q318" s="9" t="s">
        <v>677</v>
      </c>
      <c r="T318" s="9">
        <f ca="1">IFERROR(OFFSET(ITEM_RES!$A$5,MATCH(BUILDING!S318,ITEM_RES!$J$5:$J$229,0)-1,0),0)</f>
        <v>0</v>
      </c>
      <c r="W318" s="11">
        <f ca="1">IFERROR(OFFSET(ITEM_RES!$A$5,MATCH(BUILDING!V318,ITEM_RES!$J$5:$J$229,0)-1,0),0)</f>
        <v>0</v>
      </c>
      <c r="Y318" s="9" t="s">
        <v>507</v>
      </c>
      <c r="Z318" s="9">
        <v>17</v>
      </c>
      <c r="AB318" s="11">
        <f ca="1">IFERROR(OFFSET(MANOR_LEVEL!$B$1,MATCH(AC318-1,MANOR_LEVEL!$A:$A,0)-1,0),0)</f>
        <v>1077433600</v>
      </c>
      <c r="AC318" s="55">
        <v>20</v>
      </c>
      <c r="AE318" s="11">
        <f t="shared" ca="1" si="89"/>
        <v>397000</v>
      </c>
      <c r="AF318" s="10">
        <f ca="1">AK318+AM318+(IFERROR(OFFSET(ITEM_RES!$R$1,MATCH(AQ318,ITEM_RES!$A:$A,0)-1,0),0)*AS318+IFERROR(OFFSET(ITEM_RES!$R$1,MATCH(AV318,ITEM_RES!$A:$A,0)-1,0),0)*AX318+IFERROR(OFFSET(ITEM_RES!$R$1,MATCH(BA318,ITEM_RES!$A:$A,0)-1,0),0)*BC318+IFERROR(OFFSET(ITEM_RES!$R$1,MATCH(BF318,ITEM_RES!$A:$A,0)-1,0),0)*BH318+IFERROR(OFFSET(ITEM_RES!$R$1,MATCH(BK318,ITEM_RES!$A:$A,0)-1,0),0)*BM318)/1000</f>
        <v>397000</v>
      </c>
      <c r="AG318" s="176">
        <f t="shared" ca="1" si="101"/>
        <v>631000</v>
      </c>
      <c r="AI318" s="11">
        <f t="shared" si="99"/>
        <v>900</v>
      </c>
      <c r="AJ318" s="10">
        <v>900</v>
      </c>
      <c r="AK318" s="11">
        <f t="shared" si="86"/>
        <v>0</v>
      </c>
      <c r="AL318" s="10">
        <v>0</v>
      </c>
      <c r="AM318" s="11">
        <f t="shared" si="87"/>
        <v>0</v>
      </c>
      <c r="AN318" s="10">
        <v>0</v>
      </c>
      <c r="AO318" s="55">
        <f t="shared" si="100"/>
        <v>2</v>
      </c>
      <c r="AQ318" s="11">
        <f ca="1">IFERROR(OFFSET(ITEM_RES!$A$1,MATCH(AR318,ITEM_RES!$J:$J,0)-1,0),0)</f>
        <v>211020801</v>
      </c>
      <c r="AR318" s="10" t="s">
        <v>425</v>
      </c>
      <c r="AS318" s="11">
        <v>66000</v>
      </c>
      <c r="AV318" s="11">
        <f ca="1">IFERROR(OFFSET(ITEM_RES!$A$1,MATCH(AW318,ITEM_RES!$J:$J,0)-1,0),0)</f>
        <v>0</v>
      </c>
      <c r="BA318" s="11">
        <f ca="1">IFERROR(OFFSET(ITEM_RES!$A$1,MATCH(BB318,ITEM_RES!$J:$J,0)-1,0),0)</f>
        <v>0</v>
      </c>
      <c r="BF318" s="11">
        <f ca="1">IFERROR(OFFSET(ITEM_RES!$A$1,MATCH(BG318,ITEM_RES!$J:$J,0)-1,0),0)</f>
        <v>213010901</v>
      </c>
      <c r="BG318" s="10" t="s">
        <v>452</v>
      </c>
      <c r="BH318" s="11">
        <v>1</v>
      </c>
      <c r="BK318" s="11">
        <f ca="1">IFERROR(OFFSET(ITEM_RES!$A$1,MATCH(BL318,ITEM_RES!$J:$J,0)-1,0),0)</f>
        <v>0</v>
      </c>
    </row>
    <row r="319" spans="1:66" x14ac:dyDescent="0.3">
      <c r="A319" s="14">
        <f t="shared" si="82"/>
        <v>111080015</v>
      </c>
      <c r="B319" s="13">
        <v>11</v>
      </c>
      <c r="C319" s="12">
        <f t="shared" si="83"/>
        <v>1</v>
      </c>
      <c r="D319" s="13">
        <v>8</v>
      </c>
      <c r="E319" s="13">
        <v>0</v>
      </c>
      <c r="F319" s="12">
        <f t="shared" si="84"/>
        <v>15</v>
      </c>
      <c r="H319" s="9">
        <v>1</v>
      </c>
      <c r="I319" s="9">
        <v>15</v>
      </c>
      <c r="K319" s="9" t="s">
        <v>885</v>
      </c>
      <c r="M319" s="9">
        <v>1</v>
      </c>
      <c r="N319" s="9">
        <v>15</v>
      </c>
      <c r="O319" s="9" t="s">
        <v>1422</v>
      </c>
      <c r="P319" s="55" t="s">
        <v>1424</v>
      </c>
      <c r="Q319" s="9" t="s">
        <v>677</v>
      </c>
      <c r="T319" s="9">
        <f ca="1">IFERROR(OFFSET(ITEM_RES!$A$5,MATCH(BUILDING!S319,ITEM_RES!$J$5:$J$229,0)-1,0),0)</f>
        <v>0</v>
      </c>
      <c r="W319" s="11">
        <f ca="1">IFERROR(OFFSET(ITEM_RES!$A$5,MATCH(BUILDING!V319,ITEM_RES!$J$5:$J$229,0)-1,0),0)</f>
        <v>0</v>
      </c>
      <c r="Y319" s="9" t="s">
        <v>507</v>
      </c>
      <c r="Z319" s="9">
        <v>17</v>
      </c>
      <c r="AB319" s="11">
        <f ca="1">IFERROR(OFFSET(MANOR_LEVEL!$B$1,MATCH(AC319-1,MANOR_LEVEL!$A:$A,0)-1,0),0)</f>
        <v>1077433600</v>
      </c>
      <c r="AC319" s="55">
        <v>20</v>
      </c>
      <c r="AE319" s="11">
        <f t="shared" ca="1" si="89"/>
        <v>666000</v>
      </c>
      <c r="AF319" s="10">
        <f ca="1">AK319+AM319+(IFERROR(OFFSET(ITEM_RES!$R$1,MATCH(AQ319,ITEM_RES!$A:$A,0)-1,0),0)*AS319+IFERROR(OFFSET(ITEM_RES!$R$1,MATCH(AV319,ITEM_RES!$A:$A,0)-1,0),0)*AX319+IFERROR(OFFSET(ITEM_RES!$R$1,MATCH(BA319,ITEM_RES!$A:$A,0)-1,0),0)*BC319+IFERROR(OFFSET(ITEM_RES!$R$1,MATCH(BF319,ITEM_RES!$A:$A,0)-1,0),0)*BH319+IFERROR(OFFSET(ITEM_RES!$R$1,MATCH(BK319,ITEM_RES!$A:$A,0)-1,0),0)*BM319)/1000</f>
        <v>666000</v>
      </c>
      <c r="AG319" s="176">
        <f t="shared" ca="1" si="101"/>
        <v>1063000</v>
      </c>
      <c r="AI319" s="11">
        <f t="shared" si="99"/>
        <v>1080</v>
      </c>
      <c r="AJ319" s="10">
        <v>1080</v>
      </c>
      <c r="AK319" s="11">
        <f t="shared" si="86"/>
        <v>0</v>
      </c>
      <c r="AL319" s="10">
        <v>0</v>
      </c>
      <c r="AM319" s="11">
        <f t="shared" si="87"/>
        <v>0</v>
      </c>
      <c r="AN319" s="10">
        <v>0</v>
      </c>
      <c r="AO319" s="55">
        <f t="shared" si="100"/>
        <v>1</v>
      </c>
      <c r="AQ319" s="11">
        <f ca="1">IFERROR(OFFSET(ITEM_RES!$A$1,MATCH(AR319,ITEM_RES!$J:$J,0)-1,0),0)</f>
        <v>211020801</v>
      </c>
      <c r="AR319" s="10" t="s">
        <v>425</v>
      </c>
      <c r="AS319" s="11">
        <v>111000</v>
      </c>
      <c r="AV319" s="11">
        <f ca="1">IFERROR(OFFSET(ITEM_RES!$A$1,MATCH(AW319,ITEM_RES!$J:$J,0)-1,0),0)</f>
        <v>0</v>
      </c>
      <c r="BA319" s="11">
        <f ca="1">IFERROR(OFFSET(ITEM_RES!$A$1,MATCH(BB319,ITEM_RES!$J:$J,0)-1,0),0)</f>
        <v>0</v>
      </c>
      <c r="BF319" s="11">
        <f ca="1">IFERROR(OFFSET(ITEM_RES!$A$1,MATCH(BG319,ITEM_RES!$J:$J,0)-1,0),0)</f>
        <v>0</v>
      </c>
      <c r="BK319" s="11">
        <f ca="1">IFERROR(OFFSET(ITEM_RES!$A$1,MATCH(BL319,ITEM_RES!$J:$J,0)-1,0),0)</f>
        <v>0</v>
      </c>
    </row>
    <row r="320" spans="1:66" x14ac:dyDescent="0.3">
      <c r="A320" s="14">
        <f t="shared" si="82"/>
        <v>111080016</v>
      </c>
      <c r="B320" s="13">
        <v>11</v>
      </c>
      <c r="C320" s="12">
        <f t="shared" si="83"/>
        <v>1</v>
      </c>
      <c r="D320" s="13">
        <v>8</v>
      </c>
      <c r="E320" s="13">
        <v>0</v>
      </c>
      <c r="F320" s="12">
        <f t="shared" si="84"/>
        <v>16</v>
      </c>
      <c r="H320" s="9">
        <v>1</v>
      </c>
      <c r="I320" s="9">
        <v>16</v>
      </c>
      <c r="K320" s="9" t="s">
        <v>885</v>
      </c>
      <c r="M320" s="9">
        <v>0</v>
      </c>
      <c r="N320" s="9">
        <v>15</v>
      </c>
      <c r="O320" s="9" t="s">
        <v>1422</v>
      </c>
      <c r="P320" s="55" t="s">
        <v>1424</v>
      </c>
      <c r="Q320" s="9" t="s">
        <v>677</v>
      </c>
      <c r="T320" s="9">
        <f ca="1">IFERROR(OFFSET(ITEM_RES!$A$5,MATCH(BUILDING!S320,ITEM_RES!$J$5:$J$229,0)-1,0),0)</f>
        <v>0</v>
      </c>
      <c r="W320" s="11">
        <f ca="1">IFERROR(OFFSET(ITEM_RES!$A$5,MATCH(BUILDING!V320,ITEM_RES!$J$5:$J$229,0)-1,0),0)</f>
        <v>0</v>
      </c>
      <c r="Y320" s="9" t="s">
        <v>507</v>
      </c>
      <c r="Z320" s="9">
        <v>17</v>
      </c>
      <c r="AB320" s="11">
        <f ca="1">IFERROR(OFFSET(MANOR_LEVEL!$B$1,MATCH(AC320-1,MANOR_LEVEL!$A:$A,0)-1,0),0)</f>
        <v>1077433600</v>
      </c>
      <c r="AC320" s="55">
        <v>20</v>
      </c>
      <c r="AE320" s="11">
        <f t="shared" ca="1" si="89"/>
        <v>1116000</v>
      </c>
      <c r="AF320" s="10">
        <f ca="1">AK320+AM320+(IFERROR(OFFSET(ITEM_RES!$R$1,MATCH(AQ320,ITEM_RES!$A:$A,0)-1,0),0)*AS320+IFERROR(OFFSET(ITEM_RES!$R$1,MATCH(AV320,ITEM_RES!$A:$A,0)-1,0),0)*AX320+IFERROR(OFFSET(ITEM_RES!$R$1,MATCH(BA320,ITEM_RES!$A:$A,0)-1,0),0)*BC320+IFERROR(OFFSET(ITEM_RES!$R$1,MATCH(BF320,ITEM_RES!$A:$A,0)-1,0),0)*BH320+IFERROR(OFFSET(ITEM_RES!$R$1,MATCH(BK320,ITEM_RES!$A:$A,0)-1,0),0)*BM320)/1000</f>
        <v>1116000</v>
      </c>
      <c r="AG320" s="176">
        <f t="shared" ca="1" si="101"/>
        <v>1782000</v>
      </c>
      <c r="AI320" s="11">
        <f t="shared" si="99"/>
        <v>1260</v>
      </c>
      <c r="AJ320" s="10">
        <v>1260</v>
      </c>
      <c r="AK320" s="11">
        <f t="shared" si="86"/>
        <v>0</v>
      </c>
      <c r="AL320" s="10">
        <v>0</v>
      </c>
      <c r="AM320" s="11">
        <f t="shared" si="87"/>
        <v>0</v>
      </c>
      <c r="AN320" s="10">
        <v>0</v>
      </c>
      <c r="AO320" s="55">
        <f t="shared" si="100"/>
        <v>1</v>
      </c>
      <c r="AQ320" s="11">
        <f ca="1">IFERROR(OFFSET(ITEM_RES!$A$1,MATCH(AR320,ITEM_RES!$J:$J,0)-1,0),0)</f>
        <v>211020801</v>
      </c>
      <c r="AR320" s="10" t="s">
        <v>425</v>
      </c>
      <c r="AS320" s="11">
        <v>186000</v>
      </c>
      <c r="AV320" s="11">
        <f ca="1">IFERROR(OFFSET(ITEM_RES!$A$1,MATCH(AW320,ITEM_RES!$J:$J,0)-1,0),0)</f>
        <v>0</v>
      </c>
      <c r="BA320" s="11">
        <f ca="1">IFERROR(OFFSET(ITEM_RES!$A$1,MATCH(BB320,ITEM_RES!$J:$J,0)-1,0),0)</f>
        <v>0</v>
      </c>
      <c r="BF320" s="11">
        <f ca="1">IFERROR(OFFSET(ITEM_RES!$A$1,MATCH(BG320,ITEM_RES!$J:$J,0)-1,0),0)</f>
        <v>0</v>
      </c>
      <c r="BK320" s="11">
        <f ca="1">IFERROR(OFFSET(ITEM_RES!$A$1,MATCH(BL320,ITEM_RES!$J:$J,0)-1,0),0)</f>
        <v>0</v>
      </c>
    </row>
    <row r="321" spans="1:66" x14ac:dyDescent="0.3">
      <c r="A321" s="14">
        <f t="shared" ref="A321:A384" si="102">B321*10000000+C321*1000000+D321*10000+E321*100+F321</f>
        <v>111080017</v>
      </c>
      <c r="B321" s="13">
        <v>11</v>
      </c>
      <c r="C321" s="12">
        <f t="shared" ref="C321:C384" si="103">H321</f>
        <v>1</v>
      </c>
      <c r="D321" s="13">
        <v>8</v>
      </c>
      <c r="E321" s="13">
        <v>0</v>
      </c>
      <c r="F321" s="12">
        <f t="shared" ref="F321:F384" si="104">I321</f>
        <v>17</v>
      </c>
      <c r="H321" s="9">
        <v>1</v>
      </c>
      <c r="I321" s="9">
        <v>17</v>
      </c>
      <c r="K321" s="9" t="s">
        <v>885</v>
      </c>
      <c r="M321" s="9">
        <v>0</v>
      </c>
      <c r="N321" s="9">
        <v>15</v>
      </c>
      <c r="O321" s="9" t="s">
        <v>1422</v>
      </c>
      <c r="P321" s="55" t="s">
        <v>1424</v>
      </c>
      <c r="Q321" s="9" t="s">
        <v>677</v>
      </c>
      <c r="T321" s="9">
        <f ca="1">IFERROR(OFFSET(ITEM_RES!$A$5,MATCH(BUILDING!S321,ITEM_RES!$J$5:$J$229,0)-1,0),0)</f>
        <v>0</v>
      </c>
      <c r="W321" s="11">
        <f ca="1">IFERROR(OFFSET(ITEM_RES!$A$5,MATCH(BUILDING!V321,ITEM_RES!$J$5:$J$229,0)-1,0),0)</f>
        <v>0</v>
      </c>
      <c r="Y321" s="9" t="s">
        <v>507</v>
      </c>
      <c r="Z321" s="9">
        <v>18</v>
      </c>
      <c r="AB321" s="11">
        <f ca="1">IFERROR(OFFSET(MANOR_LEVEL!$B$1,MATCH(AC321-1,MANOR_LEVEL!$A:$A,0)-1,0),0)</f>
        <v>1077433600</v>
      </c>
      <c r="AC321" s="55">
        <v>20</v>
      </c>
      <c r="AE321" s="11">
        <f t="shared" ca="1" si="89"/>
        <v>1746000</v>
      </c>
      <c r="AF321" s="10">
        <f ca="1">AK321+AM321+(IFERROR(OFFSET(ITEM_RES!$R$1,MATCH(AQ321,ITEM_RES!$A:$A,0)-1,0),0)*AS321+IFERROR(OFFSET(ITEM_RES!$R$1,MATCH(AV321,ITEM_RES!$A:$A,0)-1,0),0)*AX321+IFERROR(OFFSET(ITEM_RES!$R$1,MATCH(BA321,ITEM_RES!$A:$A,0)-1,0),0)*BC321+IFERROR(OFFSET(ITEM_RES!$R$1,MATCH(BF321,ITEM_RES!$A:$A,0)-1,0),0)*BH321+IFERROR(OFFSET(ITEM_RES!$R$1,MATCH(BK321,ITEM_RES!$A:$A,0)-1,0),0)*BM321)/1000</f>
        <v>1746000</v>
      </c>
      <c r="AG321" s="176">
        <f t="shared" ca="1" si="101"/>
        <v>2862000</v>
      </c>
      <c r="AI321" s="11">
        <f t="shared" si="99"/>
        <v>1440</v>
      </c>
      <c r="AJ321" s="10">
        <v>1440</v>
      </c>
      <c r="AK321" s="11">
        <f t="shared" si="86"/>
        <v>0</v>
      </c>
      <c r="AL321" s="10">
        <v>0</v>
      </c>
      <c r="AM321" s="11">
        <f t="shared" si="87"/>
        <v>0</v>
      </c>
      <c r="AN321" s="10">
        <v>0</v>
      </c>
      <c r="AO321" s="55">
        <f t="shared" si="100"/>
        <v>1</v>
      </c>
      <c r="AQ321" s="11">
        <f ca="1">IFERROR(OFFSET(ITEM_RES!$A$1,MATCH(AR321,ITEM_RES!$J:$J,0)-1,0),0)</f>
        <v>211020801</v>
      </c>
      <c r="AR321" s="10" t="s">
        <v>425</v>
      </c>
      <c r="AS321" s="11">
        <v>291000</v>
      </c>
      <c r="AV321" s="11">
        <f ca="1">IFERROR(OFFSET(ITEM_RES!$A$1,MATCH(AW321,ITEM_RES!$J:$J,0)-1,0),0)</f>
        <v>0</v>
      </c>
      <c r="BA321" s="11">
        <f ca="1">IFERROR(OFFSET(ITEM_RES!$A$1,MATCH(BB321,ITEM_RES!$J:$J,0)-1,0),0)</f>
        <v>0</v>
      </c>
      <c r="BF321" s="11">
        <f ca="1">IFERROR(OFFSET(ITEM_RES!$A$1,MATCH(BG321,ITEM_RES!$J:$J,0)-1,0),0)</f>
        <v>0</v>
      </c>
      <c r="BK321" s="11">
        <f ca="1">IFERROR(OFFSET(ITEM_RES!$A$1,MATCH(BL321,ITEM_RES!$J:$J,0)-1,0),0)</f>
        <v>0</v>
      </c>
    </row>
    <row r="322" spans="1:66" x14ac:dyDescent="0.3">
      <c r="A322" s="14">
        <f t="shared" si="102"/>
        <v>111080018</v>
      </c>
      <c r="B322" s="13">
        <v>11</v>
      </c>
      <c r="C322" s="12">
        <f t="shared" si="103"/>
        <v>1</v>
      </c>
      <c r="D322" s="13">
        <v>8</v>
      </c>
      <c r="E322" s="13">
        <v>0</v>
      </c>
      <c r="F322" s="12">
        <f t="shared" si="104"/>
        <v>18</v>
      </c>
      <c r="H322" s="9">
        <v>1</v>
      </c>
      <c r="I322" s="9">
        <v>18</v>
      </c>
      <c r="K322" s="9" t="s">
        <v>885</v>
      </c>
      <c r="M322" s="9">
        <v>0</v>
      </c>
      <c r="N322" s="9">
        <v>15</v>
      </c>
      <c r="O322" s="9" t="s">
        <v>1422</v>
      </c>
      <c r="P322" s="55" t="s">
        <v>1424</v>
      </c>
      <c r="Q322" s="9" t="s">
        <v>677</v>
      </c>
      <c r="T322" s="9">
        <f ca="1">IFERROR(OFFSET(ITEM_RES!$A$5,MATCH(BUILDING!S322,ITEM_RES!$J$5:$J$229,0)-1,0),0)</f>
        <v>0</v>
      </c>
      <c r="W322" s="11">
        <f ca="1">IFERROR(OFFSET(ITEM_RES!$A$5,MATCH(BUILDING!V322,ITEM_RES!$J$5:$J$229,0)-1,0),0)</f>
        <v>0</v>
      </c>
      <c r="Y322" s="9" t="s">
        <v>507</v>
      </c>
      <c r="Z322" s="9">
        <v>18</v>
      </c>
      <c r="AB322" s="11">
        <f ca="1">IFERROR(OFFSET(MANOR_LEVEL!$B$1,MATCH(AC322-1,MANOR_LEVEL!$A:$A,0)-1,0),0)</f>
        <v>1077433600</v>
      </c>
      <c r="AC322" s="55">
        <v>20</v>
      </c>
      <c r="AE322" s="11">
        <f t="shared" ca="1" si="89"/>
        <v>3780000</v>
      </c>
      <c r="AF322" s="10">
        <f ca="1">AK322+AM322+(IFERROR(OFFSET(ITEM_RES!$R$1,MATCH(AQ322,ITEM_RES!$A:$A,0)-1,0),0)*AS322+IFERROR(OFFSET(ITEM_RES!$R$1,MATCH(AV322,ITEM_RES!$A:$A,0)-1,0),0)*AX322+IFERROR(OFFSET(ITEM_RES!$R$1,MATCH(BA322,ITEM_RES!$A:$A,0)-1,0),0)*BC322+IFERROR(OFFSET(ITEM_RES!$R$1,MATCH(BF322,ITEM_RES!$A:$A,0)-1,0),0)*BH322+IFERROR(OFFSET(ITEM_RES!$R$1,MATCH(BK322,ITEM_RES!$A:$A,0)-1,0),0)*BM322)/1000</f>
        <v>3780000</v>
      </c>
      <c r="AG322" s="176">
        <f t="shared" ca="1" si="101"/>
        <v>5526000</v>
      </c>
      <c r="AI322" s="11">
        <f t="shared" si="99"/>
        <v>1620</v>
      </c>
      <c r="AJ322" s="10">
        <v>1620</v>
      </c>
      <c r="AK322" s="11">
        <f t="shared" ref="AK322:AK384" si="105">ROUND(AL322,0)</f>
        <v>0</v>
      </c>
      <c r="AL322" s="10">
        <v>0</v>
      </c>
      <c r="AM322" s="11">
        <f t="shared" si="87"/>
        <v>0</v>
      </c>
      <c r="AN322" s="10">
        <v>0</v>
      </c>
      <c r="AO322" s="55">
        <f t="shared" si="100"/>
        <v>1</v>
      </c>
      <c r="AQ322" s="11">
        <f ca="1">IFERROR(OFFSET(ITEM_RES!$A$1,MATCH(AR322,ITEM_RES!$J:$J,0)-1,0),0)</f>
        <v>211020801</v>
      </c>
      <c r="AR322" s="10" t="s">
        <v>425</v>
      </c>
      <c r="AS322" s="11">
        <v>630000</v>
      </c>
      <c r="AV322" s="11">
        <f ca="1">IFERROR(OFFSET(ITEM_RES!$A$1,MATCH(AW322,ITEM_RES!$J:$J,0)-1,0),0)</f>
        <v>0</v>
      </c>
      <c r="BA322" s="11">
        <f ca="1">IFERROR(OFFSET(ITEM_RES!$A$1,MATCH(BB322,ITEM_RES!$J:$J,0)-1,0),0)</f>
        <v>0</v>
      </c>
      <c r="BF322" s="11">
        <f ca="1">IFERROR(OFFSET(ITEM_RES!$A$1,MATCH(BG322,ITEM_RES!$J:$J,0)-1,0),0)</f>
        <v>0</v>
      </c>
      <c r="BK322" s="11">
        <f ca="1">IFERROR(OFFSET(ITEM_RES!$A$1,MATCH(BL322,ITEM_RES!$J:$J,0)-1,0),0)</f>
        <v>0</v>
      </c>
    </row>
    <row r="323" spans="1:66" x14ac:dyDescent="0.3">
      <c r="A323" s="14">
        <f t="shared" si="102"/>
        <v>111080019</v>
      </c>
      <c r="B323" s="13">
        <v>11</v>
      </c>
      <c r="C323" s="12">
        <f t="shared" si="103"/>
        <v>1</v>
      </c>
      <c r="D323" s="13">
        <v>8</v>
      </c>
      <c r="E323" s="13">
        <v>0</v>
      </c>
      <c r="F323" s="12">
        <f t="shared" si="104"/>
        <v>19</v>
      </c>
      <c r="H323" s="9">
        <v>1</v>
      </c>
      <c r="I323" s="9">
        <v>19</v>
      </c>
      <c r="K323" s="9" t="s">
        <v>885</v>
      </c>
      <c r="M323" s="9">
        <v>0</v>
      </c>
      <c r="N323" s="9">
        <v>15</v>
      </c>
      <c r="O323" s="9" t="s">
        <v>1422</v>
      </c>
      <c r="P323" s="55" t="s">
        <v>1424</v>
      </c>
      <c r="Q323" s="9" t="s">
        <v>677</v>
      </c>
      <c r="T323" s="9">
        <f ca="1">IFERROR(OFFSET(ITEM_RES!$A$5,MATCH(BUILDING!S323,ITEM_RES!$J$5:$J$229,0)-1,0),0)</f>
        <v>0</v>
      </c>
      <c r="W323" s="11">
        <f ca="1">IFERROR(OFFSET(ITEM_RES!$A$5,MATCH(BUILDING!V323,ITEM_RES!$J$5:$J$229,0)-1,0),0)</f>
        <v>0</v>
      </c>
      <c r="Y323" s="9" t="s">
        <v>507</v>
      </c>
      <c r="Z323" s="9">
        <v>19</v>
      </c>
      <c r="AB323" s="11">
        <f ca="1">IFERROR(OFFSET(MANOR_LEVEL!$B$1,MATCH(AC323-1,MANOR_LEVEL!$A:$A,0)-1,0),0)</f>
        <v>1077433600</v>
      </c>
      <c r="AC323" s="55">
        <v>20</v>
      </c>
      <c r="AE323" s="11">
        <f t="shared" ca="1" si="89"/>
        <v>12900000</v>
      </c>
      <c r="AF323" s="10">
        <f ca="1">AK323+AM323+(IFERROR(OFFSET(ITEM_RES!$R$1,MATCH(AQ323,ITEM_RES!$A:$A,0)-1,0),0)*AS323+IFERROR(OFFSET(ITEM_RES!$R$1,MATCH(AV323,ITEM_RES!$A:$A,0)-1,0),0)*AX323+IFERROR(OFFSET(ITEM_RES!$R$1,MATCH(BA323,ITEM_RES!$A:$A,0)-1,0),0)*BC323+IFERROR(OFFSET(ITEM_RES!$R$1,MATCH(BF323,ITEM_RES!$A:$A,0)-1,0),0)*BH323+IFERROR(OFFSET(ITEM_RES!$R$1,MATCH(BK323,ITEM_RES!$A:$A,0)-1,0),0)*BM323)/1000</f>
        <v>12900000</v>
      </c>
      <c r="AG323" s="176">
        <f t="shared" ca="1" si="101"/>
        <v>16680000</v>
      </c>
      <c r="AI323" s="11">
        <f t="shared" si="99"/>
        <v>1800</v>
      </c>
      <c r="AJ323" s="10">
        <v>1800</v>
      </c>
      <c r="AK323" s="11">
        <f t="shared" si="105"/>
        <v>0</v>
      </c>
      <c r="AL323" s="10">
        <v>0</v>
      </c>
      <c r="AM323" s="11">
        <f t="shared" si="87"/>
        <v>0</v>
      </c>
      <c r="AN323" s="10">
        <v>0</v>
      </c>
      <c r="AO323" s="55">
        <f t="shared" si="100"/>
        <v>1</v>
      </c>
      <c r="AQ323" s="11">
        <f ca="1">IFERROR(OFFSET(ITEM_RES!$A$1,MATCH(AR323,ITEM_RES!$J:$J,0)-1,0),0)</f>
        <v>211020901</v>
      </c>
      <c r="AR323" s="10" t="s">
        <v>433</v>
      </c>
      <c r="AS323" s="11">
        <v>1290000</v>
      </c>
      <c r="AV323" s="11">
        <f ca="1">IFERROR(OFFSET(ITEM_RES!$A$1,MATCH(AW323,ITEM_RES!$J:$J,0)-1,0),0)</f>
        <v>0</v>
      </c>
      <c r="BA323" s="11">
        <f ca="1">IFERROR(OFFSET(ITEM_RES!$A$1,MATCH(BB323,ITEM_RES!$J:$J,0)-1,0),0)</f>
        <v>0</v>
      </c>
      <c r="BF323" s="11">
        <f ca="1">IFERROR(OFFSET(ITEM_RES!$A$1,MATCH(BG323,ITEM_RES!$J:$J,0)-1,0),0)</f>
        <v>0</v>
      </c>
      <c r="BK323" s="11">
        <f ca="1">IFERROR(OFFSET(ITEM_RES!$A$1,MATCH(BL323,ITEM_RES!$J:$J,0)-1,0),0)</f>
        <v>0</v>
      </c>
    </row>
    <row r="324" spans="1:66" ht="17.25" thickBot="1" x14ac:dyDescent="0.35">
      <c r="A324" s="14">
        <f t="shared" si="102"/>
        <v>111080020</v>
      </c>
      <c r="B324" s="13">
        <v>11</v>
      </c>
      <c r="C324" s="12">
        <f t="shared" si="103"/>
        <v>1</v>
      </c>
      <c r="D324" s="13">
        <v>8</v>
      </c>
      <c r="E324" s="13">
        <v>0</v>
      </c>
      <c r="F324" s="12">
        <f t="shared" si="104"/>
        <v>20</v>
      </c>
      <c r="H324" s="9">
        <v>1</v>
      </c>
      <c r="I324" s="9">
        <v>20</v>
      </c>
      <c r="K324" s="9" t="s">
        <v>885</v>
      </c>
      <c r="M324" s="9">
        <v>0</v>
      </c>
      <c r="N324" s="9">
        <v>15</v>
      </c>
      <c r="O324" s="9" t="s">
        <v>1422</v>
      </c>
      <c r="P324" s="55" t="s">
        <v>1424</v>
      </c>
      <c r="Q324" s="9" t="s">
        <v>677</v>
      </c>
      <c r="T324" s="9">
        <f ca="1">IFERROR(OFFSET(ITEM_RES!$A$5,MATCH(BUILDING!S324,ITEM_RES!$J$5:$J$229,0)-1,0),0)</f>
        <v>0</v>
      </c>
      <c r="W324" s="11">
        <f ca="1">IFERROR(OFFSET(ITEM_RES!$A$5,MATCH(BUILDING!V324,ITEM_RES!$J$5:$J$229,0)-1,0),0)</f>
        <v>0</v>
      </c>
      <c r="Y324" s="9" t="s">
        <v>507</v>
      </c>
      <c r="Z324" s="9">
        <v>20</v>
      </c>
      <c r="AB324" s="11">
        <f ca="1">IFERROR(OFFSET(MANOR_LEVEL!$B$1,MATCH(AC324-1,MANOR_LEVEL!$A:$A,0)-1,0),0)</f>
        <v>1077433600</v>
      </c>
      <c r="AC324" s="55">
        <v>20</v>
      </c>
      <c r="AE324" s="11">
        <f t="shared" ca="1" si="89"/>
        <v>24000000</v>
      </c>
      <c r="AF324" s="10">
        <f ca="1">AK324+AM324+(IFERROR(OFFSET(ITEM_RES!$R$1,MATCH(AQ324,ITEM_RES!$A:$A,0)-1,0),0)*AS324+IFERROR(OFFSET(ITEM_RES!$R$1,MATCH(AV324,ITEM_RES!$A:$A,0)-1,0),0)*AX324+IFERROR(OFFSET(ITEM_RES!$R$1,MATCH(BA324,ITEM_RES!$A:$A,0)-1,0),0)*BC324+IFERROR(OFFSET(ITEM_RES!$R$1,MATCH(BF324,ITEM_RES!$A:$A,0)-1,0),0)*BH324+IFERROR(OFFSET(ITEM_RES!$R$1,MATCH(BK324,ITEM_RES!$A:$A,0)-1,0),0)*BM324)/1000</f>
        <v>24000000</v>
      </c>
      <c r="AG324" s="176">
        <f t="shared" ca="1" si="101"/>
        <v>36900000</v>
      </c>
      <c r="AI324" s="11">
        <f t="shared" si="99"/>
        <v>1980</v>
      </c>
      <c r="AJ324" s="10">
        <v>1980</v>
      </c>
      <c r="AK324" s="11">
        <f t="shared" si="105"/>
        <v>0</v>
      </c>
      <c r="AL324" s="10">
        <v>0</v>
      </c>
      <c r="AM324" s="11">
        <f t="shared" si="87"/>
        <v>0</v>
      </c>
      <c r="AN324" s="10">
        <v>0</v>
      </c>
      <c r="AO324" s="55">
        <f t="shared" si="100"/>
        <v>1</v>
      </c>
      <c r="AQ324" s="11">
        <f ca="1">IFERROR(OFFSET(ITEM_RES!$A$1,MATCH(AR324,ITEM_RES!$J:$J,0)-1,0),0)</f>
        <v>211020901</v>
      </c>
      <c r="AR324" s="10" t="s">
        <v>433</v>
      </c>
      <c r="AS324" s="11">
        <v>2400000</v>
      </c>
      <c r="AV324" s="11">
        <f ca="1">IFERROR(OFFSET(ITEM_RES!$A$1,MATCH(AW324,ITEM_RES!$J:$J,0)-1,0),0)</f>
        <v>0</v>
      </c>
      <c r="BA324" s="11">
        <f ca="1">IFERROR(OFFSET(ITEM_RES!$A$1,MATCH(BB324,ITEM_RES!$J:$J,0)-1,0),0)</f>
        <v>0</v>
      </c>
      <c r="BF324" s="11">
        <f ca="1">IFERROR(OFFSET(ITEM_RES!$A$1,MATCH(BG324,ITEM_RES!$J:$J,0)-1,0),0)</f>
        <v>0</v>
      </c>
      <c r="BK324" s="11">
        <f ca="1">IFERROR(OFFSET(ITEM_RES!$A$1,MATCH(BL324,ITEM_RES!$J:$J,0)-1,0),0)</f>
        <v>0</v>
      </c>
    </row>
    <row r="325" spans="1:66" s="15" customFormat="1" x14ac:dyDescent="0.3">
      <c r="A325" s="21">
        <f t="shared" si="102"/>
        <v>112040001</v>
      </c>
      <c r="B325" s="20">
        <v>11</v>
      </c>
      <c r="C325" s="19">
        <f t="shared" si="103"/>
        <v>2</v>
      </c>
      <c r="D325" s="20">
        <v>4</v>
      </c>
      <c r="E325" s="20">
        <v>0</v>
      </c>
      <c r="F325" s="19">
        <f t="shared" si="104"/>
        <v>1</v>
      </c>
      <c r="G325" s="76"/>
      <c r="H325" s="16">
        <v>2</v>
      </c>
      <c r="I325" s="16">
        <v>1</v>
      </c>
      <c r="J325" s="76"/>
      <c r="K325" s="16" t="s">
        <v>364</v>
      </c>
      <c r="L325" s="16">
        <v>9</v>
      </c>
      <c r="M325" s="16">
        <v>1</v>
      </c>
      <c r="N325" s="16">
        <v>15</v>
      </c>
      <c r="O325" s="16" t="s">
        <v>736</v>
      </c>
      <c r="P325" s="56" t="s">
        <v>1373</v>
      </c>
      <c r="Q325" s="16" t="s">
        <v>678</v>
      </c>
      <c r="R325" s="76"/>
      <c r="S325" s="83" t="s">
        <v>535</v>
      </c>
      <c r="T325" s="16">
        <f ca="1">IFERROR(OFFSET(ITEM_RES!$A$5,MATCH(BUILDING!S325,ITEM_RES!$J$5:$J$229,0)-1,0),0)</f>
        <v>211020601</v>
      </c>
      <c r="U325" s="18">
        <v>2</v>
      </c>
      <c r="V325" s="83" t="s">
        <v>530</v>
      </c>
      <c r="W325" s="18">
        <f ca="1">IFERROR(OFFSET(ITEM_RES!$A$5,MATCH(BUILDING!V325,ITEM_RES!$J$5:$J$229,0)-1,0),0)</f>
        <v>211020701</v>
      </c>
      <c r="X325" s="76"/>
      <c r="Y325" s="16" t="s">
        <v>508</v>
      </c>
      <c r="Z325" s="16">
        <v>1</v>
      </c>
      <c r="AA325" s="76"/>
      <c r="AB325" s="18">
        <f ca="1">IFERROR(OFFSET(MANOR_LEVEL!$B$1,MATCH(AC325-1,MANOR_LEVEL!$A:$A,0)-1,0),0)</f>
        <v>1200000</v>
      </c>
      <c r="AC325" s="56">
        <v>11</v>
      </c>
      <c r="AD325" s="76"/>
      <c r="AE325" s="18">
        <f t="shared" ca="1" si="89"/>
        <v>1090</v>
      </c>
      <c r="AF325" s="17">
        <f ca="1">AK325+AM325+(IFERROR(OFFSET(ITEM_RES!$R$1,MATCH(AQ325,ITEM_RES!$A:$A,0)-1,0),0)*AS325+IFERROR(OFFSET(ITEM_RES!$R$1,MATCH(AV325,ITEM_RES!$A:$A,0)-1,0),0)*AX325+IFERROR(OFFSET(ITEM_RES!$R$1,MATCH(BA325,ITEM_RES!$A:$A,0)-1,0),0)*BC325+IFERROR(OFFSET(ITEM_RES!$R$1,MATCH(BF325,ITEM_RES!$A:$A,0)-1,0),0)*BH325+IFERROR(OFFSET(ITEM_RES!$R$1,MATCH(BK325,ITEM_RES!$A:$A,0)-1,0),0)*BM325)/1000</f>
        <v>1090</v>
      </c>
      <c r="AG325" s="178">
        <f ca="1">AE325</f>
        <v>1090</v>
      </c>
      <c r="AH325" s="76"/>
      <c r="AI325" s="18">
        <f t="shared" si="99"/>
        <v>2</v>
      </c>
      <c r="AJ325" s="17">
        <v>2</v>
      </c>
      <c r="AK325" s="18">
        <f t="shared" si="105"/>
        <v>0</v>
      </c>
      <c r="AL325" s="17">
        <v>0</v>
      </c>
      <c r="AM325" s="18">
        <f t="shared" si="87"/>
        <v>0</v>
      </c>
      <c r="AN325" s="17">
        <v>0</v>
      </c>
      <c r="AO325" s="56">
        <f t="shared" si="100"/>
        <v>3</v>
      </c>
      <c r="AP325" s="18"/>
      <c r="AQ325" s="18">
        <f ca="1">IFERROR(OFFSET(ITEM_RES!$A$1,MATCH(AR325,ITEM_RES!$J:$J,0)-1,0),0)</f>
        <v>211020401</v>
      </c>
      <c r="AR325" s="17" t="s">
        <v>426</v>
      </c>
      <c r="AS325" s="18">
        <v>20</v>
      </c>
      <c r="AT325" s="17"/>
      <c r="AU325" s="18"/>
      <c r="AV325" s="18">
        <f ca="1">IFERROR(OFFSET(ITEM_RES!$A$1,MATCH(AW325,ITEM_RES!$J:$J,0)-1,0),0)</f>
        <v>211020801</v>
      </c>
      <c r="AW325" s="17" t="s">
        <v>425</v>
      </c>
      <c r="AX325" s="18">
        <v>5</v>
      </c>
      <c r="AY325" s="17"/>
      <c r="AZ325" s="18"/>
      <c r="BA325" s="18">
        <f ca="1">IFERROR(OFFSET(ITEM_RES!$A$1,MATCH(BB325,ITEM_RES!$J:$J,0)-1,0),0)</f>
        <v>213010101</v>
      </c>
      <c r="BB325" s="17" t="s">
        <v>440</v>
      </c>
      <c r="BC325" s="18">
        <v>1</v>
      </c>
      <c r="BD325" s="17"/>
      <c r="BE325" s="18"/>
      <c r="BF325" s="18">
        <f ca="1">IFERROR(OFFSET(ITEM_RES!$A$1,MATCH(BG325,ITEM_RES!$J:$J,0)-1,0),0)</f>
        <v>0</v>
      </c>
      <c r="BG325" s="17"/>
      <c r="BH325" s="18"/>
      <c r="BI325" s="17"/>
      <c r="BJ325" s="18"/>
      <c r="BK325" s="18">
        <f ca="1">IFERROR(OFFSET(ITEM_RES!$A$1,MATCH(BL325,ITEM_RES!$J:$J,0)-1,0),0)</f>
        <v>0</v>
      </c>
      <c r="BL325" s="17"/>
      <c r="BM325" s="18"/>
      <c r="BN325" s="17"/>
    </row>
    <row r="326" spans="1:66" x14ac:dyDescent="0.3">
      <c r="A326" s="14">
        <f t="shared" si="102"/>
        <v>112040002</v>
      </c>
      <c r="B326" s="13">
        <v>11</v>
      </c>
      <c r="C326" s="12">
        <f t="shared" si="103"/>
        <v>2</v>
      </c>
      <c r="D326" s="13">
        <v>4</v>
      </c>
      <c r="E326" s="13">
        <v>0</v>
      </c>
      <c r="F326" s="12">
        <f t="shared" si="104"/>
        <v>2</v>
      </c>
      <c r="H326" s="9">
        <v>2</v>
      </c>
      <c r="I326" s="9">
        <v>2</v>
      </c>
      <c r="K326" s="9" t="s">
        <v>364</v>
      </c>
      <c r="M326" s="9">
        <v>1</v>
      </c>
      <c r="N326" s="9">
        <v>15</v>
      </c>
      <c r="O326" s="9" t="s">
        <v>736</v>
      </c>
      <c r="P326" s="55" t="s">
        <v>1373</v>
      </c>
      <c r="Q326" s="9" t="s">
        <v>678</v>
      </c>
      <c r="S326" s="81" t="s">
        <v>535</v>
      </c>
      <c r="T326" s="9">
        <f ca="1">IFERROR(OFFSET(ITEM_RES!$A$5,MATCH(BUILDING!S326,ITEM_RES!$J$5:$J$229,0)-1,0),0)</f>
        <v>211020601</v>
      </c>
      <c r="U326" s="11">
        <v>2</v>
      </c>
      <c r="V326" s="81" t="s">
        <v>530</v>
      </c>
      <c r="W326" s="11">
        <f ca="1">IFERROR(OFFSET(ITEM_RES!$A$5,MATCH(BUILDING!V326,ITEM_RES!$J$5:$J$229,0)-1,0),0)</f>
        <v>211020701</v>
      </c>
      <c r="Y326" s="9" t="s">
        <v>508</v>
      </c>
      <c r="Z326" s="9">
        <v>2</v>
      </c>
      <c r="AB326" s="11">
        <f ca="1">IFERROR(OFFSET(MANOR_LEVEL!$B$1,MATCH(AC326-1,MANOR_LEVEL!$A:$A,0)-1,0),0)</f>
        <v>1200000</v>
      </c>
      <c r="AC326" s="55">
        <v>11</v>
      </c>
      <c r="AE326" s="11">
        <f t="shared" ca="1" si="89"/>
        <v>180</v>
      </c>
      <c r="AF326" s="10">
        <f ca="1">AK326+AM326+(IFERROR(OFFSET(ITEM_RES!$R$1,MATCH(AQ326,ITEM_RES!$A:$A,0)-1,0),0)*AS326+IFERROR(OFFSET(ITEM_RES!$R$1,MATCH(AV326,ITEM_RES!$A:$A,0)-1,0),0)*AX326+IFERROR(OFFSET(ITEM_RES!$R$1,MATCH(BA326,ITEM_RES!$A:$A,0)-1,0),0)*BC326+IFERROR(OFFSET(ITEM_RES!$R$1,MATCH(BF326,ITEM_RES!$A:$A,0)-1,0),0)*BH326+IFERROR(OFFSET(ITEM_RES!$R$1,MATCH(BK326,ITEM_RES!$A:$A,0)-1,0),0)*BM326)/1000</f>
        <v>180</v>
      </c>
      <c r="AG326" s="176">
        <f ca="1">AE325+AE326</f>
        <v>1270</v>
      </c>
      <c r="AI326" s="11">
        <f t="shared" si="99"/>
        <v>2</v>
      </c>
      <c r="AJ326" s="10">
        <v>2</v>
      </c>
      <c r="AK326" s="11">
        <f t="shared" si="105"/>
        <v>0</v>
      </c>
      <c r="AL326" s="10">
        <v>0</v>
      </c>
      <c r="AM326" s="11">
        <f t="shared" ref="AM326:AM389" si="106">ROUND(AN326,0)</f>
        <v>0</v>
      </c>
      <c r="AN326" s="10">
        <v>0</v>
      </c>
      <c r="AO326" s="55">
        <f t="shared" si="100"/>
        <v>2</v>
      </c>
      <c r="AQ326" s="11">
        <f ca="1">IFERROR(OFFSET(ITEM_RES!$A$1,MATCH(AR326,ITEM_RES!$J:$J,0)-1,0),0)</f>
        <v>211020401</v>
      </c>
      <c r="AR326" s="10" t="s">
        <v>426</v>
      </c>
      <c r="AS326" s="11">
        <v>40</v>
      </c>
      <c r="AV326" s="11">
        <f ca="1">IFERROR(OFFSET(ITEM_RES!$A$1,MATCH(AW326,ITEM_RES!$J:$J,0)-1,0),0)</f>
        <v>211020801</v>
      </c>
      <c r="AW326" s="10" t="s">
        <v>425</v>
      </c>
      <c r="AX326" s="11">
        <v>10</v>
      </c>
      <c r="BA326" s="11">
        <f ca="1">IFERROR(OFFSET(ITEM_RES!$A$1,MATCH(BB326,ITEM_RES!$J:$J,0)-1,0),0)</f>
        <v>0</v>
      </c>
      <c r="BF326" s="11">
        <f ca="1">IFERROR(OFFSET(ITEM_RES!$A$1,MATCH(BG326,ITEM_RES!$J:$J,0)-1,0),0)</f>
        <v>0</v>
      </c>
      <c r="BK326" s="11">
        <f ca="1">IFERROR(OFFSET(ITEM_RES!$A$1,MATCH(BL326,ITEM_RES!$J:$J,0)-1,0),0)</f>
        <v>0</v>
      </c>
    </row>
    <row r="327" spans="1:66" x14ac:dyDescent="0.3">
      <c r="A327" s="14">
        <f t="shared" si="102"/>
        <v>112040003</v>
      </c>
      <c r="B327" s="13">
        <v>11</v>
      </c>
      <c r="C327" s="12">
        <f t="shared" si="103"/>
        <v>2</v>
      </c>
      <c r="D327" s="13">
        <v>4</v>
      </c>
      <c r="E327" s="13">
        <v>0</v>
      </c>
      <c r="F327" s="12">
        <f t="shared" si="104"/>
        <v>3</v>
      </c>
      <c r="H327" s="9">
        <v>2</v>
      </c>
      <c r="I327" s="9">
        <v>3</v>
      </c>
      <c r="K327" s="9" t="s">
        <v>364</v>
      </c>
      <c r="M327" s="9">
        <v>1</v>
      </c>
      <c r="N327" s="9">
        <v>15</v>
      </c>
      <c r="O327" s="9" t="s">
        <v>736</v>
      </c>
      <c r="P327" s="55" t="s">
        <v>1373</v>
      </c>
      <c r="Q327" s="9" t="s">
        <v>678</v>
      </c>
      <c r="S327" s="81" t="s">
        <v>535</v>
      </c>
      <c r="T327" s="9">
        <f ca="1">IFERROR(OFFSET(ITEM_RES!$A$5,MATCH(BUILDING!S327,ITEM_RES!$J$5:$J$229,0)-1,0),0)</f>
        <v>211020601</v>
      </c>
      <c r="U327" s="11">
        <v>2</v>
      </c>
      <c r="V327" s="81" t="s">
        <v>530</v>
      </c>
      <c r="W327" s="11">
        <f ca="1">IFERROR(OFFSET(ITEM_RES!$A$5,MATCH(BUILDING!V327,ITEM_RES!$J$5:$J$229,0)-1,0),0)</f>
        <v>211020701</v>
      </c>
      <c r="Y327" s="9" t="s">
        <v>508</v>
      </c>
      <c r="Z327" s="9">
        <v>3</v>
      </c>
      <c r="AB327" s="11">
        <f ca="1">IFERROR(OFFSET(MANOR_LEVEL!$B$1,MATCH(AC327-1,MANOR_LEVEL!$A:$A,0)-1,0),0)</f>
        <v>3500000</v>
      </c>
      <c r="AC327" s="55">
        <v>12</v>
      </c>
      <c r="AE327" s="11">
        <f t="shared" ca="1" si="89"/>
        <v>270</v>
      </c>
      <c r="AF327" s="10">
        <f ca="1">AK327+AM327+(IFERROR(OFFSET(ITEM_RES!$R$1,MATCH(AQ327,ITEM_RES!$A:$A,0)-1,0),0)*AS327+IFERROR(OFFSET(ITEM_RES!$R$1,MATCH(AV327,ITEM_RES!$A:$A,0)-1,0),0)*AX327+IFERROR(OFFSET(ITEM_RES!$R$1,MATCH(BA327,ITEM_RES!$A:$A,0)-1,0),0)*BC327+IFERROR(OFFSET(ITEM_RES!$R$1,MATCH(BF327,ITEM_RES!$A:$A,0)-1,0),0)*BH327+IFERROR(OFFSET(ITEM_RES!$R$1,MATCH(BK327,ITEM_RES!$A:$A,0)-1,0),0)*BM327)/1000</f>
        <v>270</v>
      </c>
      <c r="AG327" s="176">
        <f t="shared" ref="AG327:AG344" ca="1" si="107">AE326+AE327</f>
        <v>450</v>
      </c>
      <c r="AI327" s="11">
        <f t="shared" si="99"/>
        <v>3</v>
      </c>
      <c r="AJ327" s="10">
        <v>3</v>
      </c>
      <c r="AK327" s="11">
        <f t="shared" si="105"/>
        <v>0</v>
      </c>
      <c r="AL327" s="10">
        <v>0</v>
      </c>
      <c r="AM327" s="11">
        <f t="shared" si="106"/>
        <v>0</v>
      </c>
      <c r="AN327" s="10">
        <v>0</v>
      </c>
      <c r="AO327" s="55">
        <f t="shared" si="100"/>
        <v>2</v>
      </c>
      <c r="AQ327" s="11">
        <f ca="1">IFERROR(OFFSET(ITEM_RES!$A$1,MATCH(AR327,ITEM_RES!$J:$J,0)-1,0),0)</f>
        <v>211020401</v>
      </c>
      <c r="AR327" s="10" t="s">
        <v>426</v>
      </c>
      <c r="AS327" s="11">
        <v>60</v>
      </c>
      <c r="AV327" s="11">
        <f ca="1">IFERROR(OFFSET(ITEM_RES!$A$1,MATCH(AW327,ITEM_RES!$J:$J,0)-1,0),0)</f>
        <v>211020801</v>
      </c>
      <c r="AW327" s="10" t="s">
        <v>425</v>
      </c>
      <c r="AX327" s="11">
        <v>15</v>
      </c>
      <c r="BA327" s="11">
        <f ca="1">IFERROR(OFFSET(ITEM_RES!$A$1,MATCH(BB327,ITEM_RES!$J:$J,0)-1,0),0)</f>
        <v>0</v>
      </c>
      <c r="BF327" s="11">
        <f ca="1">IFERROR(OFFSET(ITEM_RES!$A$1,MATCH(BG327,ITEM_RES!$J:$J,0)-1,0),0)</f>
        <v>0</v>
      </c>
      <c r="BK327" s="11">
        <f ca="1">IFERROR(OFFSET(ITEM_RES!$A$1,MATCH(BL327,ITEM_RES!$J:$J,0)-1,0),0)</f>
        <v>0</v>
      </c>
    </row>
    <row r="328" spans="1:66" x14ac:dyDescent="0.3">
      <c r="A328" s="14">
        <f t="shared" si="102"/>
        <v>112040004</v>
      </c>
      <c r="B328" s="13">
        <v>11</v>
      </c>
      <c r="C328" s="12">
        <f t="shared" si="103"/>
        <v>2</v>
      </c>
      <c r="D328" s="13">
        <v>4</v>
      </c>
      <c r="E328" s="13">
        <v>0</v>
      </c>
      <c r="F328" s="12">
        <f t="shared" si="104"/>
        <v>4</v>
      </c>
      <c r="H328" s="9">
        <v>2</v>
      </c>
      <c r="I328" s="9">
        <v>4</v>
      </c>
      <c r="K328" s="9" t="s">
        <v>364</v>
      </c>
      <c r="M328" s="9">
        <v>1</v>
      </c>
      <c r="N328" s="9">
        <v>15</v>
      </c>
      <c r="O328" s="9" t="s">
        <v>736</v>
      </c>
      <c r="P328" s="55" t="s">
        <v>1373</v>
      </c>
      <c r="Q328" s="9" t="s">
        <v>678</v>
      </c>
      <c r="S328" s="81" t="s">
        <v>535</v>
      </c>
      <c r="T328" s="9">
        <f ca="1">IFERROR(OFFSET(ITEM_RES!$A$5,MATCH(BUILDING!S328,ITEM_RES!$J$5:$J$229,0)-1,0),0)</f>
        <v>211020601</v>
      </c>
      <c r="U328" s="11">
        <v>2</v>
      </c>
      <c r="V328" s="81" t="s">
        <v>530</v>
      </c>
      <c r="W328" s="11">
        <f ca="1">IFERROR(OFFSET(ITEM_RES!$A$5,MATCH(BUILDING!V328,ITEM_RES!$J$5:$J$229,0)-1,0),0)</f>
        <v>211020701</v>
      </c>
      <c r="Y328" s="9" t="s">
        <v>508</v>
      </c>
      <c r="Z328" s="9">
        <v>4</v>
      </c>
      <c r="AB328" s="11">
        <f ca="1">IFERROR(OFFSET(MANOR_LEVEL!$B$1,MATCH(AC328-1,MANOR_LEVEL!$A:$A,0)-1,0),0)</f>
        <v>6000000</v>
      </c>
      <c r="AC328" s="55">
        <v>13</v>
      </c>
      <c r="AE328" s="11">
        <f t="shared" ca="1" si="89"/>
        <v>840</v>
      </c>
      <c r="AF328" s="10">
        <f ca="1">AK328+AM328+(IFERROR(OFFSET(ITEM_RES!$R$1,MATCH(AQ328,ITEM_RES!$A:$A,0)-1,0),0)*AS328+IFERROR(OFFSET(ITEM_RES!$R$1,MATCH(AV328,ITEM_RES!$A:$A,0)-1,0),0)*AX328+IFERROR(OFFSET(ITEM_RES!$R$1,MATCH(BA328,ITEM_RES!$A:$A,0)-1,0),0)*BC328+IFERROR(OFFSET(ITEM_RES!$R$1,MATCH(BF328,ITEM_RES!$A:$A,0)-1,0),0)*BH328+IFERROR(OFFSET(ITEM_RES!$R$1,MATCH(BK328,ITEM_RES!$A:$A,0)-1,0),0)*BM328)/1000</f>
        <v>840</v>
      </c>
      <c r="AG328" s="176">
        <f t="shared" ca="1" si="107"/>
        <v>1110</v>
      </c>
      <c r="AI328" s="11">
        <f t="shared" si="99"/>
        <v>5</v>
      </c>
      <c r="AJ328" s="10">
        <v>5</v>
      </c>
      <c r="AK328" s="11">
        <f t="shared" si="105"/>
        <v>0</v>
      </c>
      <c r="AL328" s="10">
        <v>0</v>
      </c>
      <c r="AM328" s="11">
        <f t="shared" si="106"/>
        <v>0</v>
      </c>
      <c r="AN328" s="10">
        <v>0</v>
      </c>
      <c r="AO328" s="55">
        <f t="shared" si="100"/>
        <v>2</v>
      </c>
      <c r="AQ328" s="11">
        <f ca="1">IFERROR(OFFSET(ITEM_RES!$A$1,MATCH(AR328,ITEM_RES!$J:$J,0)-1,0),0)</f>
        <v>211020401</v>
      </c>
      <c r="AR328" s="10" t="s">
        <v>426</v>
      </c>
      <c r="AS328" s="11">
        <v>240</v>
      </c>
      <c r="AV328" s="11">
        <f ca="1">IFERROR(OFFSET(ITEM_RES!$A$1,MATCH(AW328,ITEM_RES!$J:$J,0)-1,0),0)</f>
        <v>211020801</v>
      </c>
      <c r="AW328" s="10" t="s">
        <v>425</v>
      </c>
      <c r="AX328" s="11">
        <v>20</v>
      </c>
      <c r="BA328" s="11">
        <f ca="1">IFERROR(OFFSET(ITEM_RES!$A$1,MATCH(BB328,ITEM_RES!$J:$J,0)-1,0),0)</f>
        <v>0</v>
      </c>
      <c r="BF328" s="11">
        <f ca="1">IFERROR(OFFSET(ITEM_RES!$A$1,MATCH(BG328,ITEM_RES!$J:$J,0)-1,0),0)</f>
        <v>0</v>
      </c>
      <c r="BK328" s="11">
        <f ca="1">IFERROR(OFFSET(ITEM_RES!$A$1,MATCH(BL328,ITEM_RES!$J:$J,0)-1,0),0)</f>
        <v>0</v>
      </c>
    </row>
    <row r="329" spans="1:66" x14ac:dyDescent="0.3">
      <c r="A329" s="14">
        <f t="shared" si="102"/>
        <v>112040005</v>
      </c>
      <c r="B329" s="13">
        <v>11</v>
      </c>
      <c r="C329" s="12">
        <f t="shared" si="103"/>
        <v>2</v>
      </c>
      <c r="D329" s="13">
        <v>4</v>
      </c>
      <c r="E329" s="13">
        <v>0</v>
      </c>
      <c r="F329" s="12">
        <f t="shared" si="104"/>
        <v>5</v>
      </c>
      <c r="H329" s="9">
        <v>2</v>
      </c>
      <c r="I329" s="9">
        <v>5</v>
      </c>
      <c r="K329" s="9" t="s">
        <v>364</v>
      </c>
      <c r="M329" s="9">
        <v>1</v>
      </c>
      <c r="N329" s="9">
        <v>15</v>
      </c>
      <c r="O329" s="9" t="s">
        <v>736</v>
      </c>
      <c r="P329" s="55" t="s">
        <v>1373</v>
      </c>
      <c r="Q329" s="9" t="s">
        <v>678</v>
      </c>
      <c r="S329" s="81" t="s">
        <v>535</v>
      </c>
      <c r="T329" s="9">
        <f ca="1">IFERROR(OFFSET(ITEM_RES!$A$5,MATCH(BUILDING!S329,ITEM_RES!$J$5:$J$229,0)-1,0),0)</f>
        <v>211020601</v>
      </c>
      <c r="U329" s="11">
        <v>2</v>
      </c>
      <c r="V329" s="81" t="s">
        <v>530</v>
      </c>
      <c r="W329" s="11">
        <f ca="1">IFERROR(OFFSET(ITEM_RES!$A$5,MATCH(BUILDING!V329,ITEM_RES!$J$5:$J$229,0)-1,0),0)</f>
        <v>211020701</v>
      </c>
      <c r="Y329" s="9" t="s">
        <v>508</v>
      </c>
      <c r="Z329" s="9">
        <v>5</v>
      </c>
      <c r="AB329" s="11">
        <f ca="1">IFERROR(OFFSET(MANOR_LEVEL!$B$1,MATCH(AC329-1,MANOR_LEVEL!$A:$A,0)-1,0),0)</f>
        <v>6000000</v>
      </c>
      <c r="AC329" s="55">
        <v>13</v>
      </c>
      <c r="AE329" s="11">
        <f t="shared" ca="1" si="89"/>
        <v>3420</v>
      </c>
      <c r="AF329" s="10">
        <f ca="1">AK329+AM329+(IFERROR(OFFSET(ITEM_RES!$R$1,MATCH(AQ329,ITEM_RES!$A:$A,0)-1,0),0)*AS329+IFERROR(OFFSET(ITEM_RES!$R$1,MATCH(AV329,ITEM_RES!$A:$A,0)-1,0),0)*AX329+IFERROR(OFFSET(ITEM_RES!$R$1,MATCH(BA329,ITEM_RES!$A:$A,0)-1,0),0)*BC329+IFERROR(OFFSET(ITEM_RES!$R$1,MATCH(BF329,ITEM_RES!$A:$A,0)-1,0),0)*BH329+IFERROR(OFFSET(ITEM_RES!$R$1,MATCH(BK329,ITEM_RES!$A:$A,0)-1,0),0)*BM329)/1000</f>
        <v>3420</v>
      </c>
      <c r="AG329" s="176">
        <f t="shared" ca="1" si="107"/>
        <v>4260</v>
      </c>
      <c r="AI329" s="11">
        <f t="shared" si="99"/>
        <v>8</v>
      </c>
      <c r="AJ329" s="10">
        <v>8</v>
      </c>
      <c r="AK329" s="11">
        <f t="shared" si="105"/>
        <v>0</v>
      </c>
      <c r="AL329" s="10">
        <v>0</v>
      </c>
      <c r="AM329" s="11">
        <f t="shared" si="106"/>
        <v>0</v>
      </c>
      <c r="AN329" s="10">
        <v>0</v>
      </c>
      <c r="AO329" s="55">
        <f t="shared" si="100"/>
        <v>2</v>
      </c>
      <c r="AQ329" s="11">
        <f ca="1">IFERROR(OFFSET(ITEM_RES!$A$1,MATCH(AR329,ITEM_RES!$J:$J,0)-1,0),0)</f>
        <v>211020401</v>
      </c>
      <c r="AR329" s="10" t="s">
        <v>426</v>
      </c>
      <c r="AS329" s="11">
        <v>1080</v>
      </c>
      <c r="AV329" s="11">
        <f ca="1">IFERROR(OFFSET(ITEM_RES!$A$1,MATCH(AW329,ITEM_RES!$J:$J,0)-1,0),0)</f>
        <v>211020801</v>
      </c>
      <c r="AW329" s="10" t="s">
        <v>425</v>
      </c>
      <c r="AX329" s="11">
        <v>30</v>
      </c>
      <c r="BA329" s="11">
        <f ca="1">IFERROR(OFFSET(ITEM_RES!$A$1,MATCH(BB329,ITEM_RES!$J:$J,0)-1,0),0)</f>
        <v>0</v>
      </c>
      <c r="BF329" s="11">
        <f ca="1">IFERROR(OFFSET(ITEM_RES!$A$1,MATCH(BG329,ITEM_RES!$J:$J,0)-1,0),0)</f>
        <v>0</v>
      </c>
      <c r="BK329" s="11">
        <f ca="1">IFERROR(OFFSET(ITEM_RES!$A$1,MATCH(BL329,ITEM_RES!$J:$J,0)-1,0),0)</f>
        <v>0</v>
      </c>
    </row>
    <row r="330" spans="1:66" x14ac:dyDescent="0.3">
      <c r="A330" s="14">
        <f t="shared" si="102"/>
        <v>112040006</v>
      </c>
      <c r="B330" s="13">
        <v>11</v>
      </c>
      <c r="C330" s="12">
        <f t="shared" si="103"/>
        <v>2</v>
      </c>
      <c r="D330" s="13">
        <v>4</v>
      </c>
      <c r="E330" s="13">
        <v>0</v>
      </c>
      <c r="F330" s="12">
        <f t="shared" si="104"/>
        <v>6</v>
      </c>
      <c r="H330" s="9">
        <v>2</v>
      </c>
      <c r="I330" s="9">
        <v>6</v>
      </c>
      <c r="K330" s="9" t="s">
        <v>364</v>
      </c>
      <c r="M330" s="9">
        <v>1</v>
      </c>
      <c r="N330" s="9">
        <v>15</v>
      </c>
      <c r="O330" s="9" t="s">
        <v>736</v>
      </c>
      <c r="P330" s="55" t="s">
        <v>1373</v>
      </c>
      <c r="Q330" s="9" t="s">
        <v>678</v>
      </c>
      <c r="S330" s="81" t="s">
        <v>535</v>
      </c>
      <c r="T330" s="9">
        <f ca="1">IFERROR(OFFSET(ITEM_RES!$A$5,MATCH(BUILDING!S330,ITEM_RES!$J$5:$J$229,0)-1,0),0)</f>
        <v>211020601</v>
      </c>
      <c r="U330" s="11">
        <v>2</v>
      </c>
      <c r="V330" s="81" t="s">
        <v>530</v>
      </c>
      <c r="W330" s="11">
        <f ca="1">IFERROR(OFFSET(ITEM_RES!$A$5,MATCH(BUILDING!V330,ITEM_RES!$J$5:$J$229,0)-1,0),0)</f>
        <v>211020701</v>
      </c>
      <c r="Y330" s="9" t="s">
        <v>508</v>
      </c>
      <c r="Z330" s="9">
        <v>6</v>
      </c>
      <c r="AB330" s="11">
        <f ca="1">IFERROR(OFFSET(MANOR_LEVEL!$B$1,MATCH(AC330-1,MANOR_LEVEL!$A:$A,0)-1,0),0)</f>
        <v>37000000</v>
      </c>
      <c r="AC330" s="55">
        <v>16</v>
      </c>
      <c r="AE330" s="11">
        <f t="shared" ca="1" si="89"/>
        <v>11070</v>
      </c>
      <c r="AF330" s="10">
        <f ca="1">AK330+AM330+(IFERROR(OFFSET(ITEM_RES!$R$1,MATCH(AQ330,ITEM_RES!$A:$A,0)-1,0),0)*AS330+IFERROR(OFFSET(ITEM_RES!$R$1,MATCH(AV330,ITEM_RES!$A:$A,0)-1,0),0)*AX330+IFERROR(OFFSET(ITEM_RES!$R$1,MATCH(BA330,ITEM_RES!$A:$A,0)-1,0),0)*BC330+IFERROR(OFFSET(ITEM_RES!$R$1,MATCH(BF330,ITEM_RES!$A:$A,0)-1,0),0)*BH330+IFERROR(OFFSET(ITEM_RES!$R$1,MATCH(BK330,ITEM_RES!$A:$A,0)-1,0),0)*BM330)/1000</f>
        <v>11070</v>
      </c>
      <c r="AG330" s="176">
        <f t="shared" ca="1" si="107"/>
        <v>14490</v>
      </c>
      <c r="AI330" s="11">
        <f t="shared" si="99"/>
        <v>10</v>
      </c>
      <c r="AJ330" s="10">
        <v>10</v>
      </c>
      <c r="AK330" s="11">
        <f t="shared" si="105"/>
        <v>0</v>
      </c>
      <c r="AL330" s="10">
        <v>0</v>
      </c>
      <c r="AM330" s="11">
        <f t="shared" si="106"/>
        <v>0</v>
      </c>
      <c r="AN330" s="10">
        <v>0</v>
      </c>
      <c r="AO330" s="55">
        <f t="shared" si="100"/>
        <v>2</v>
      </c>
      <c r="AQ330" s="11">
        <f ca="1">IFERROR(OFFSET(ITEM_RES!$A$1,MATCH(AR330,ITEM_RES!$J:$J,0)-1,0),0)</f>
        <v>211020401</v>
      </c>
      <c r="AR330" s="10" t="s">
        <v>426</v>
      </c>
      <c r="AS330" s="11">
        <v>3600</v>
      </c>
      <c r="AV330" s="11">
        <f ca="1">IFERROR(OFFSET(ITEM_RES!$A$1,MATCH(AW330,ITEM_RES!$J:$J,0)-1,0),0)</f>
        <v>211020801</v>
      </c>
      <c r="AW330" s="10" t="s">
        <v>425</v>
      </c>
      <c r="AX330" s="11">
        <v>45</v>
      </c>
      <c r="BA330" s="11">
        <f ca="1">IFERROR(OFFSET(ITEM_RES!$A$1,MATCH(BB330,ITEM_RES!$J:$J,0)-1,0),0)</f>
        <v>0</v>
      </c>
      <c r="BF330" s="11">
        <f ca="1">IFERROR(OFFSET(ITEM_RES!$A$1,MATCH(BG330,ITEM_RES!$J:$J,0)-1,0),0)</f>
        <v>0</v>
      </c>
      <c r="BK330" s="11">
        <f ca="1">IFERROR(OFFSET(ITEM_RES!$A$1,MATCH(BL330,ITEM_RES!$J:$J,0)-1,0),0)</f>
        <v>0</v>
      </c>
    </row>
    <row r="331" spans="1:66" x14ac:dyDescent="0.3">
      <c r="A331" s="14">
        <f t="shared" si="102"/>
        <v>112040007</v>
      </c>
      <c r="B331" s="13">
        <v>11</v>
      </c>
      <c r="C331" s="12">
        <f t="shared" si="103"/>
        <v>2</v>
      </c>
      <c r="D331" s="13">
        <v>4</v>
      </c>
      <c r="E331" s="13">
        <v>0</v>
      </c>
      <c r="F331" s="12">
        <f t="shared" si="104"/>
        <v>7</v>
      </c>
      <c r="H331" s="9">
        <v>2</v>
      </c>
      <c r="I331" s="9">
        <v>7</v>
      </c>
      <c r="K331" s="9" t="s">
        <v>363</v>
      </c>
      <c r="M331" s="9">
        <v>1</v>
      </c>
      <c r="N331" s="9">
        <v>15</v>
      </c>
      <c r="O331" s="9" t="s">
        <v>736</v>
      </c>
      <c r="P331" s="55" t="s">
        <v>1373</v>
      </c>
      <c r="Q331" s="9" t="s">
        <v>678</v>
      </c>
      <c r="S331" s="81" t="s">
        <v>535</v>
      </c>
      <c r="T331" s="9">
        <f ca="1">IFERROR(OFFSET(ITEM_RES!$A$5,MATCH(BUILDING!S331,ITEM_RES!$J$5:$J$229,0)-1,0),0)</f>
        <v>211020601</v>
      </c>
      <c r="U331" s="11">
        <v>2</v>
      </c>
      <c r="V331" s="81" t="s">
        <v>530</v>
      </c>
      <c r="W331" s="11">
        <f ca="1">IFERROR(OFFSET(ITEM_RES!$A$5,MATCH(BUILDING!V331,ITEM_RES!$J$5:$J$229,0)-1,0),0)</f>
        <v>211020701</v>
      </c>
      <c r="Y331" s="9" t="s">
        <v>508</v>
      </c>
      <c r="Z331" s="9">
        <v>7</v>
      </c>
      <c r="AB331" s="11">
        <f ca="1">IFERROR(OFFSET(MANOR_LEVEL!$B$1,MATCH(AC331-1,MANOR_LEVEL!$A:$A,0)-1,0),0)</f>
        <v>37000000</v>
      </c>
      <c r="AC331" s="55">
        <v>16</v>
      </c>
      <c r="AE331" s="11">
        <f t="shared" ca="1" si="89"/>
        <v>25080</v>
      </c>
      <c r="AF331" s="10">
        <f ca="1">AK331+AM331+(IFERROR(OFFSET(ITEM_RES!$R$1,MATCH(AQ331,ITEM_RES!$A:$A,0)-1,0),0)*AS331+IFERROR(OFFSET(ITEM_RES!$R$1,MATCH(AV331,ITEM_RES!$A:$A,0)-1,0),0)*AX331+IFERROR(OFFSET(ITEM_RES!$R$1,MATCH(BA331,ITEM_RES!$A:$A,0)-1,0),0)*BC331+IFERROR(OFFSET(ITEM_RES!$R$1,MATCH(BF331,ITEM_RES!$A:$A,0)-1,0),0)*BH331+IFERROR(OFFSET(ITEM_RES!$R$1,MATCH(BK331,ITEM_RES!$A:$A,0)-1,0),0)*BM331)/1000</f>
        <v>25080</v>
      </c>
      <c r="AG331" s="176">
        <f t="shared" ca="1" si="107"/>
        <v>36150</v>
      </c>
      <c r="AI331" s="11">
        <f t="shared" si="99"/>
        <v>15</v>
      </c>
      <c r="AJ331" s="10">
        <v>15</v>
      </c>
      <c r="AK331" s="11">
        <f t="shared" si="105"/>
        <v>0</v>
      </c>
      <c r="AL331" s="10">
        <v>0</v>
      </c>
      <c r="AM331" s="11">
        <f t="shared" si="106"/>
        <v>0</v>
      </c>
      <c r="AN331" s="10">
        <v>0</v>
      </c>
      <c r="AO331" s="55">
        <f t="shared" si="100"/>
        <v>2</v>
      </c>
      <c r="AQ331" s="11">
        <f ca="1">IFERROR(OFFSET(ITEM_RES!$A$1,MATCH(AR331,ITEM_RES!$J:$J,0)-1,0),0)</f>
        <v>211020401</v>
      </c>
      <c r="AR331" s="10" t="s">
        <v>426</v>
      </c>
      <c r="AS331" s="11">
        <v>8000</v>
      </c>
      <c r="AV331" s="11">
        <f ca="1">IFERROR(OFFSET(ITEM_RES!$A$1,MATCH(AW331,ITEM_RES!$J:$J,0)-1,0),0)</f>
        <v>211020801</v>
      </c>
      <c r="AW331" s="10" t="s">
        <v>425</v>
      </c>
      <c r="AX331" s="11">
        <v>180</v>
      </c>
      <c r="BA331" s="11">
        <f ca="1">IFERROR(OFFSET(ITEM_RES!$A$1,MATCH(BB331,ITEM_RES!$J:$J,0)-1,0),0)</f>
        <v>0</v>
      </c>
      <c r="BF331" s="11">
        <f ca="1">IFERROR(OFFSET(ITEM_RES!$A$1,MATCH(BG331,ITEM_RES!$J:$J,0)-1,0),0)</f>
        <v>0</v>
      </c>
      <c r="BK331" s="11">
        <f ca="1">IFERROR(OFFSET(ITEM_RES!$A$1,MATCH(BL331,ITEM_RES!$J:$J,0)-1,0),0)</f>
        <v>0</v>
      </c>
    </row>
    <row r="332" spans="1:66" x14ac:dyDescent="0.3">
      <c r="A332" s="14">
        <f t="shared" si="102"/>
        <v>112040008</v>
      </c>
      <c r="B332" s="13">
        <v>11</v>
      </c>
      <c r="C332" s="12">
        <f t="shared" si="103"/>
        <v>2</v>
      </c>
      <c r="D332" s="13">
        <v>4</v>
      </c>
      <c r="E332" s="13">
        <v>0</v>
      </c>
      <c r="F332" s="12">
        <f t="shared" si="104"/>
        <v>8</v>
      </c>
      <c r="H332" s="9">
        <v>2</v>
      </c>
      <c r="I332" s="9">
        <v>8</v>
      </c>
      <c r="K332" s="9" t="s">
        <v>363</v>
      </c>
      <c r="M332" s="9">
        <v>1</v>
      </c>
      <c r="N332" s="9">
        <v>15</v>
      </c>
      <c r="O332" s="9" t="s">
        <v>736</v>
      </c>
      <c r="P332" s="55" t="s">
        <v>1373</v>
      </c>
      <c r="Q332" s="9" t="s">
        <v>678</v>
      </c>
      <c r="S332" s="81" t="s">
        <v>535</v>
      </c>
      <c r="T332" s="9">
        <f ca="1">IFERROR(OFFSET(ITEM_RES!$A$5,MATCH(BUILDING!S332,ITEM_RES!$J$5:$J$229,0)-1,0),0)</f>
        <v>211020601</v>
      </c>
      <c r="U332" s="11">
        <v>2</v>
      </c>
      <c r="V332" s="81" t="s">
        <v>530</v>
      </c>
      <c r="W332" s="11">
        <f ca="1">IFERROR(OFFSET(ITEM_RES!$A$5,MATCH(BUILDING!V332,ITEM_RES!$J$5:$J$229,0)-1,0),0)</f>
        <v>211020701</v>
      </c>
      <c r="Y332" s="9" t="s">
        <v>508</v>
      </c>
      <c r="Z332" s="9">
        <v>8</v>
      </c>
      <c r="AB332" s="11">
        <f ca="1">IFERROR(OFFSET(MANOR_LEVEL!$B$1,MATCH(AC332-1,MANOR_LEVEL!$A:$A,0)-1,0),0)</f>
        <v>37000000</v>
      </c>
      <c r="AC332" s="55">
        <v>16</v>
      </c>
      <c r="AE332" s="11">
        <f t="shared" ca="1" si="89"/>
        <v>60260</v>
      </c>
      <c r="AF332" s="10">
        <f ca="1">AK332+AM332+(IFERROR(OFFSET(ITEM_RES!$R$1,MATCH(AQ332,ITEM_RES!$A:$A,0)-1,0),0)*AS332+IFERROR(OFFSET(ITEM_RES!$R$1,MATCH(AV332,ITEM_RES!$A:$A,0)-1,0),0)*AX332+IFERROR(OFFSET(ITEM_RES!$R$1,MATCH(BA332,ITEM_RES!$A:$A,0)-1,0),0)*BC332+IFERROR(OFFSET(ITEM_RES!$R$1,MATCH(BF332,ITEM_RES!$A:$A,0)-1,0),0)*BH332+IFERROR(OFFSET(ITEM_RES!$R$1,MATCH(BK332,ITEM_RES!$A:$A,0)-1,0),0)*BM332)/1000</f>
        <v>60260</v>
      </c>
      <c r="AG332" s="176">
        <f t="shared" ca="1" si="107"/>
        <v>85340</v>
      </c>
      <c r="AI332" s="11">
        <f t="shared" si="99"/>
        <v>30</v>
      </c>
      <c r="AJ332" s="10">
        <v>30</v>
      </c>
      <c r="AK332" s="11">
        <f t="shared" si="105"/>
        <v>0</v>
      </c>
      <c r="AL332" s="10">
        <v>0</v>
      </c>
      <c r="AM332" s="11">
        <f t="shared" si="106"/>
        <v>0</v>
      </c>
      <c r="AN332" s="10">
        <v>0</v>
      </c>
      <c r="AO332" s="55">
        <f t="shared" si="100"/>
        <v>3</v>
      </c>
      <c r="AQ332" s="11">
        <f ca="1">IFERROR(OFFSET(ITEM_RES!$A$1,MATCH(AR332,ITEM_RES!$J:$J,0)-1,0),0)</f>
        <v>211020401</v>
      </c>
      <c r="AR332" s="10" t="s">
        <v>426</v>
      </c>
      <c r="AS332" s="11">
        <v>16800</v>
      </c>
      <c r="AV332" s="11">
        <f ca="1">IFERROR(OFFSET(ITEM_RES!$A$1,MATCH(AW332,ITEM_RES!$J:$J,0)-1,0),0)</f>
        <v>211020801</v>
      </c>
      <c r="AW332" s="10" t="s">
        <v>425</v>
      </c>
      <c r="AX332" s="11">
        <v>810</v>
      </c>
      <c r="BA332" s="11">
        <f ca="1">IFERROR(OFFSET(ITEM_RES!$A$1,MATCH(BB332,ITEM_RES!$J:$J,0)-1,0),0)</f>
        <v>0</v>
      </c>
      <c r="BF332" s="11">
        <f ca="1">IFERROR(OFFSET(ITEM_RES!$A$1,MATCH(BG332,ITEM_RES!$J:$J,0)-1,0),0)</f>
        <v>213011001</v>
      </c>
      <c r="BG332" s="10" t="s">
        <v>453</v>
      </c>
      <c r="BH332" s="11">
        <v>1</v>
      </c>
      <c r="BK332" s="11">
        <f ca="1">IFERROR(OFFSET(ITEM_RES!$A$1,MATCH(BL332,ITEM_RES!$J:$J,0)-1,0),0)</f>
        <v>0</v>
      </c>
    </row>
    <row r="333" spans="1:66" x14ac:dyDescent="0.3">
      <c r="A333" s="14">
        <f t="shared" si="102"/>
        <v>112040009</v>
      </c>
      <c r="B333" s="13">
        <v>11</v>
      </c>
      <c r="C333" s="12">
        <f t="shared" si="103"/>
        <v>2</v>
      </c>
      <c r="D333" s="13">
        <v>4</v>
      </c>
      <c r="E333" s="13">
        <v>0</v>
      </c>
      <c r="F333" s="12">
        <f t="shared" si="104"/>
        <v>9</v>
      </c>
      <c r="H333" s="9">
        <v>2</v>
      </c>
      <c r="I333" s="9">
        <v>9</v>
      </c>
      <c r="K333" s="9" t="s">
        <v>363</v>
      </c>
      <c r="M333" s="9">
        <v>1</v>
      </c>
      <c r="N333" s="9">
        <v>15</v>
      </c>
      <c r="O333" s="9" t="s">
        <v>736</v>
      </c>
      <c r="P333" s="55" t="s">
        <v>1373</v>
      </c>
      <c r="Q333" s="9" t="s">
        <v>678</v>
      </c>
      <c r="S333" s="81" t="s">
        <v>535</v>
      </c>
      <c r="T333" s="9">
        <f ca="1">IFERROR(OFFSET(ITEM_RES!$A$5,MATCH(BUILDING!S333,ITEM_RES!$J$5:$J$229,0)-1,0),0)</f>
        <v>211020601</v>
      </c>
      <c r="U333" s="11">
        <v>2</v>
      </c>
      <c r="V333" s="81" t="s">
        <v>530</v>
      </c>
      <c r="W333" s="11">
        <f ca="1">IFERROR(OFFSET(ITEM_RES!$A$5,MATCH(BUILDING!V333,ITEM_RES!$J$5:$J$229,0)-1,0),0)</f>
        <v>211020701</v>
      </c>
      <c r="Y333" s="9" t="s">
        <v>508</v>
      </c>
      <c r="Z333" s="9">
        <v>9</v>
      </c>
      <c r="AB333" s="11">
        <f ca="1">IFERROR(OFFSET(MANOR_LEVEL!$B$1,MATCH(AC333-1,MANOR_LEVEL!$A:$A,0)-1,0),0)</f>
        <v>37000000</v>
      </c>
      <c r="AC333" s="55">
        <v>16</v>
      </c>
      <c r="AE333" s="11">
        <f t="shared" ca="1" si="89"/>
        <v>172200</v>
      </c>
      <c r="AF333" s="10">
        <f ca="1">AK333+AM333+(IFERROR(OFFSET(ITEM_RES!$R$1,MATCH(AQ333,ITEM_RES!$A:$A,0)-1,0),0)*AS333+IFERROR(OFFSET(ITEM_RES!$R$1,MATCH(AV333,ITEM_RES!$A:$A,0)-1,0),0)*AX333+IFERROR(OFFSET(ITEM_RES!$R$1,MATCH(BA333,ITEM_RES!$A:$A,0)-1,0),0)*BC333+IFERROR(OFFSET(ITEM_RES!$R$1,MATCH(BF333,ITEM_RES!$A:$A,0)-1,0),0)*BH333+IFERROR(OFFSET(ITEM_RES!$R$1,MATCH(BK333,ITEM_RES!$A:$A,0)-1,0),0)*BM333)/1000</f>
        <v>172200</v>
      </c>
      <c r="AG333" s="176">
        <f t="shared" ca="1" si="107"/>
        <v>232460</v>
      </c>
      <c r="AI333" s="11">
        <f t="shared" si="99"/>
        <v>60</v>
      </c>
      <c r="AJ333" s="10">
        <v>60</v>
      </c>
      <c r="AK333" s="11">
        <f t="shared" si="105"/>
        <v>0</v>
      </c>
      <c r="AL333" s="10">
        <v>0</v>
      </c>
      <c r="AM333" s="11">
        <f t="shared" si="106"/>
        <v>0</v>
      </c>
      <c r="AN333" s="10">
        <v>0</v>
      </c>
      <c r="AO333" s="55">
        <f t="shared" si="100"/>
        <v>2</v>
      </c>
      <c r="AQ333" s="11">
        <f ca="1">IFERROR(OFFSET(ITEM_RES!$A$1,MATCH(AR333,ITEM_RES!$J:$J,0)-1,0),0)</f>
        <v>211020501</v>
      </c>
      <c r="AR333" s="10" t="s">
        <v>424</v>
      </c>
      <c r="AS333" s="11">
        <v>31200</v>
      </c>
      <c r="AV333" s="11">
        <f ca="1">IFERROR(OFFSET(ITEM_RES!$A$1,MATCH(AW333,ITEM_RES!$J:$J,0)-1,0),0)</f>
        <v>211020801</v>
      </c>
      <c r="AW333" s="10" t="s">
        <v>425</v>
      </c>
      <c r="AX333" s="11">
        <v>2700</v>
      </c>
      <c r="BA333" s="11">
        <f ca="1">IFERROR(OFFSET(ITEM_RES!$A$1,MATCH(BB333,ITEM_RES!$J:$J,0)-1,0),0)</f>
        <v>0</v>
      </c>
      <c r="BF333" s="11">
        <f ca="1">IFERROR(OFFSET(ITEM_RES!$A$1,MATCH(BG333,ITEM_RES!$J:$J,0)-1,0),0)</f>
        <v>0</v>
      </c>
      <c r="BK333" s="11">
        <f ca="1">IFERROR(OFFSET(ITEM_RES!$A$1,MATCH(BL333,ITEM_RES!$J:$J,0)-1,0),0)</f>
        <v>0</v>
      </c>
    </row>
    <row r="334" spans="1:66" x14ac:dyDescent="0.3">
      <c r="A334" s="14">
        <f t="shared" si="102"/>
        <v>112040010</v>
      </c>
      <c r="B334" s="13">
        <v>11</v>
      </c>
      <c r="C334" s="12">
        <f t="shared" si="103"/>
        <v>2</v>
      </c>
      <c r="D334" s="13">
        <v>4</v>
      </c>
      <c r="E334" s="13">
        <v>0</v>
      </c>
      <c r="F334" s="12">
        <f t="shared" si="104"/>
        <v>10</v>
      </c>
      <c r="H334" s="9">
        <v>2</v>
      </c>
      <c r="I334" s="9">
        <v>10</v>
      </c>
      <c r="K334" s="9" t="s">
        <v>363</v>
      </c>
      <c r="M334" s="9">
        <v>1</v>
      </c>
      <c r="N334" s="9">
        <v>15</v>
      </c>
      <c r="O334" s="9" t="s">
        <v>736</v>
      </c>
      <c r="P334" s="55" t="s">
        <v>1373</v>
      </c>
      <c r="Q334" s="9" t="s">
        <v>678</v>
      </c>
      <c r="S334" s="81" t="s">
        <v>535</v>
      </c>
      <c r="T334" s="9">
        <f ca="1">IFERROR(OFFSET(ITEM_RES!$A$5,MATCH(BUILDING!S334,ITEM_RES!$J$5:$J$229,0)-1,0),0)</f>
        <v>211020601</v>
      </c>
      <c r="U334" s="11">
        <v>2</v>
      </c>
      <c r="V334" s="81" t="s">
        <v>530</v>
      </c>
      <c r="W334" s="11">
        <f ca="1">IFERROR(OFFSET(ITEM_RES!$A$5,MATCH(BUILDING!V334,ITEM_RES!$J$5:$J$229,0)-1,0),0)</f>
        <v>211020701</v>
      </c>
      <c r="Y334" s="9" t="s">
        <v>508</v>
      </c>
      <c r="Z334" s="9">
        <v>10</v>
      </c>
      <c r="AB334" s="11">
        <f ca="1">IFERROR(OFFSET(MANOR_LEVEL!$B$1,MATCH(AC334-1,MANOR_LEVEL!$A:$A,0)-1,0),0)</f>
        <v>37000000</v>
      </c>
      <c r="AC334" s="55">
        <v>16</v>
      </c>
      <c r="AE334" s="11">
        <f t="shared" ca="1" si="89"/>
        <v>296000</v>
      </c>
      <c r="AF334" s="10">
        <f ca="1">AK334+AM334+(IFERROR(OFFSET(ITEM_RES!$R$1,MATCH(AQ334,ITEM_RES!$A:$A,0)-1,0),0)*AS334+IFERROR(OFFSET(ITEM_RES!$R$1,MATCH(AV334,ITEM_RES!$A:$A,0)-1,0),0)*AX334+IFERROR(OFFSET(ITEM_RES!$R$1,MATCH(BA334,ITEM_RES!$A:$A,0)-1,0),0)*BC334+IFERROR(OFFSET(ITEM_RES!$R$1,MATCH(BF334,ITEM_RES!$A:$A,0)-1,0),0)*BH334+IFERROR(OFFSET(ITEM_RES!$R$1,MATCH(BK334,ITEM_RES!$A:$A,0)-1,0),0)*BM334)/1000</f>
        <v>296000</v>
      </c>
      <c r="AG334" s="176">
        <f t="shared" ca="1" si="107"/>
        <v>468200</v>
      </c>
      <c r="AI334" s="11">
        <f t="shared" si="99"/>
        <v>180</v>
      </c>
      <c r="AJ334" s="10">
        <v>180</v>
      </c>
      <c r="AK334" s="11">
        <f t="shared" si="105"/>
        <v>0</v>
      </c>
      <c r="AL334" s="10">
        <v>0</v>
      </c>
      <c r="AM334" s="11">
        <f t="shared" si="106"/>
        <v>0</v>
      </c>
      <c r="AN334" s="10">
        <v>0</v>
      </c>
      <c r="AO334" s="55">
        <f t="shared" si="100"/>
        <v>2</v>
      </c>
      <c r="AQ334" s="11">
        <f ca="1">IFERROR(OFFSET(ITEM_RES!$A$1,MATCH(AR334,ITEM_RES!$J:$J,0)-1,0),0)</f>
        <v>211020501</v>
      </c>
      <c r="AR334" s="10" t="s">
        <v>424</v>
      </c>
      <c r="AS334" s="11">
        <v>52000</v>
      </c>
      <c r="AV334" s="11">
        <f ca="1">IFERROR(OFFSET(ITEM_RES!$A$1,MATCH(AW334,ITEM_RES!$J:$J,0)-1,0),0)</f>
        <v>211020801</v>
      </c>
      <c r="AW334" s="10" t="s">
        <v>425</v>
      </c>
      <c r="AX334" s="11">
        <v>6000</v>
      </c>
      <c r="BA334" s="11">
        <f ca="1">IFERROR(OFFSET(ITEM_RES!$A$1,MATCH(BB334,ITEM_RES!$J:$J,0)-1,0),0)</f>
        <v>0</v>
      </c>
      <c r="BF334" s="11">
        <f ca="1">IFERROR(OFFSET(ITEM_RES!$A$1,MATCH(BG334,ITEM_RES!$J:$J,0)-1,0),0)</f>
        <v>0</v>
      </c>
      <c r="BK334" s="11">
        <f ca="1">IFERROR(OFFSET(ITEM_RES!$A$1,MATCH(BL334,ITEM_RES!$J:$J,0)-1,0),0)</f>
        <v>0</v>
      </c>
    </row>
    <row r="335" spans="1:66" x14ac:dyDescent="0.3">
      <c r="A335" s="14">
        <f t="shared" si="102"/>
        <v>112040011</v>
      </c>
      <c r="B335" s="13">
        <v>11</v>
      </c>
      <c r="C335" s="12">
        <f t="shared" si="103"/>
        <v>2</v>
      </c>
      <c r="D335" s="13">
        <v>4</v>
      </c>
      <c r="E335" s="13">
        <v>0</v>
      </c>
      <c r="F335" s="12">
        <f t="shared" si="104"/>
        <v>11</v>
      </c>
      <c r="H335" s="9">
        <v>2</v>
      </c>
      <c r="I335" s="9">
        <v>11</v>
      </c>
      <c r="K335" s="9" t="s">
        <v>363</v>
      </c>
      <c r="M335" s="9">
        <v>1</v>
      </c>
      <c r="N335" s="9">
        <v>15</v>
      </c>
      <c r="O335" s="9" t="s">
        <v>736</v>
      </c>
      <c r="P335" s="55" t="s">
        <v>1373</v>
      </c>
      <c r="Q335" s="9" t="s">
        <v>678</v>
      </c>
      <c r="S335" s="81" t="s">
        <v>535</v>
      </c>
      <c r="T335" s="9">
        <f ca="1">IFERROR(OFFSET(ITEM_RES!$A$5,MATCH(BUILDING!S335,ITEM_RES!$J$5:$J$229,0)-1,0),0)</f>
        <v>211020601</v>
      </c>
      <c r="U335" s="11">
        <v>2</v>
      </c>
      <c r="V335" s="81" t="s">
        <v>530</v>
      </c>
      <c r="W335" s="11">
        <f ca="1">IFERROR(OFFSET(ITEM_RES!$A$5,MATCH(BUILDING!V335,ITEM_RES!$J$5:$J$229,0)-1,0),0)</f>
        <v>211020701</v>
      </c>
      <c r="Y335" s="9" t="s">
        <v>508</v>
      </c>
      <c r="Z335" s="9">
        <v>11</v>
      </c>
      <c r="AB335" s="11">
        <f ca="1">IFERROR(OFFSET(MANOR_LEVEL!$B$1,MATCH(AC335-1,MANOR_LEVEL!$A:$A,0)-1,0),0)</f>
        <v>37000000</v>
      </c>
      <c r="AC335" s="55">
        <v>16</v>
      </c>
      <c r="AE335" s="11">
        <f t="shared" ca="1" si="89"/>
        <v>515600</v>
      </c>
      <c r="AF335" s="10">
        <f ca="1">AK335+AM335+(IFERROR(OFFSET(ITEM_RES!$R$1,MATCH(AQ335,ITEM_RES!$A:$A,0)-1,0),0)*AS335+IFERROR(OFFSET(ITEM_RES!$R$1,MATCH(AV335,ITEM_RES!$A:$A,0)-1,0),0)*AX335+IFERROR(OFFSET(ITEM_RES!$R$1,MATCH(BA335,ITEM_RES!$A:$A,0)-1,0),0)*BC335+IFERROR(OFFSET(ITEM_RES!$R$1,MATCH(BF335,ITEM_RES!$A:$A,0)-1,0),0)*BH335+IFERROR(OFFSET(ITEM_RES!$R$1,MATCH(BK335,ITEM_RES!$A:$A,0)-1,0),0)*BM335)/1000</f>
        <v>515600</v>
      </c>
      <c r="AG335" s="176">
        <f t="shared" ca="1" si="107"/>
        <v>811600</v>
      </c>
      <c r="AI335" s="11">
        <f t="shared" si="99"/>
        <v>360</v>
      </c>
      <c r="AJ335" s="10">
        <v>360</v>
      </c>
      <c r="AK335" s="11">
        <f t="shared" si="105"/>
        <v>0</v>
      </c>
      <c r="AL335" s="10">
        <v>0</v>
      </c>
      <c r="AM335" s="11">
        <f t="shared" si="106"/>
        <v>0</v>
      </c>
      <c r="AN335" s="10">
        <v>0</v>
      </c>
      <c r="AO335" s="55">
        <f t="shared" si="100"/>
        <v>2</v>
      </c>
      <c r="AQ335" s="11">
        <f ca="1">IFERROR(OFFSET(ITEM_RES!$A$1,MATCH(AR335,ITEM_RES!$J:$J,0)-1,0),0)</f>
        <v>211020501</v>
      </c>
      <c r="AR335" s="10" t="s">
        <v>424</v>
      </c>
      <c r="AS335" s="11">
        <v>88000</v>
      </c>
      <c r="AV335" s="11">
        <f ca="1">IFERROR(OFFSET(ITEM_RES!$A$1,MATCH(AW335,ITEM_RES!$J:$J,0)-1,0),0)</f>
        <v>211020801</v>
      </c>
      <c r="AW335" s="10" t="s">
        <v>425</v>
      </c>
      <c r="AX335" s="11">
        <v>12600</v>
      </c>
      <c r="BA335" s="11">
        <f ca="1">IFERROR(OFFSET(ITEM_RES!$A$1,MATCH(BB335,ITEM_RES!$J:$J,0)-1,0),0)</f>
        <v>0</v>
      </c>
      <c r="BF335" s="11">
        <f ca="1">IFERROR(OFFSET(ITEM_RES!$A$1,MATCH(BG335,ITEM_RES!$J:$J,0)-1,0),0)</f>
        <v>0</v>
      </c>
      <c r="BK335" s="11">
        <f ca="1">IFERROR(OFFSET(ITEM_RES!$A$1,MATCH(BL335,ITEM_RES!$J:$J,0)-1,0),0)</f>
        <v>0</v>
      </c>
    </row>
    <row r="336" spans="1:66" x14ac:dyDescent="0.3">
      <c r="A336" s="14">
        <f t="shared" si="102"/>
        <v>112040012</v>
      </c>
      <c r="B336" s="13">
        <v>11</v>
      </c>
      <c r="C336" s="12">
        <f t="shared" si="103"/>
        <v>2</v>
      </c>
      <c r="D336" s="13">
        <v>4</v>
      </c>
      <c r="E336" s="13">
        <v>0</v>
      </c>
      <c r="F336" s="12">
        <f t="shared" si="104"/>
        <v>12</v>
      </c>
      <c r="H336" s="9">
        <v>2</v>
      </c>
      <c r="I336" s="9">
        <v>12</v>
      </c>
      <c r="K336" s="9" t="s">
        <v>363</v>
      </c>
      <c r="M336" s="9">
        <v>1</v>
      </c>
      <c r="N336" s="9">
        <v>15</v>
      </c>
      <c r="O336" s="9" t="s">
        <v>736</v>
      </c>
      <c r="P336" s="55" t="s">
        <v>1373</v>
      </c>
      <c r="Q336" s="9" t="s">
        <v>678</v>
      </c>
      <c r="S336" s="81" t="s">
        <v>535</v>
      </c>
      <c r="T336" s="9">
        <f ca="1">IFERROR(OFFSET(ITEM_RES!$A$5,MATCH(BUILDING!S336,ITEM_RES!$J$5:$J$229,0)-1,0),0)</f>
        <v>211020601</v>
      </c>
      <c r="U336" s="11">
        <v>2</v>
      </c>
      <c r="V336" s="81" t="s">
        <v>530</v>
      </c>
      <c r="W336" s="11">
        <f ca="1">IFERROR(OFFSET(ITEM_RES!$A$5,MATCH(BUILDING!V336,ITEM_RES!$J$5:$J$229,0)-1,0),0)</f>
        <v>211020701</v>
      </c>
      <c r="Y336" s="9" t="s">
        <v>508</v>
      </c>
      <c r="Z336" s="9">
        <v>12</v>
      </c>
      <c r="AB336" s="11">
        <f ca="1">IFERROR(OFFSET(MANOR_LEVEL!$B$1,MATCH(AC336-1,MANOR_LEVEL!$A:$A,0)-1,0),0)</f>
        <v>37000000</v>
      </c>
      <c r="AC336" s="55">
        <v>16</v>
      </c>
      <c r="AE336" s="11">
        <f t="shared" ca="1" si="89"/>
        <v>880400</v>
      </c>
      <c r="AF336" s="10">
        <f ca="1">AK336+AM336+(IFERROR(OFFSET(ITEM_RES!$R$1,MATCH(AQ336,ITEM_RES!$A:$A,0)-1,0),0)*AS336+IFERROR(OFFSET(ITEM_RES!$R$1,MATCH(AV336,ITEM_RES!$A:$A,0)-1,0),0)*AX336+IFERROR(OFFSET(ITEM_RES!$R$1,MATCH(BA336,ITEM_RES!$A:$A,0)-1,0),0)*BC336+IFERROR(OFFSET(ITEM_RES!$R$1,MATCH(BF336,ITEM_RES!$A:$A,0)-1,0),0)*BH336+IFERROR(OFFSET(ITEM_RES!$R$1,MATCH(BK336,ITEM_RES!$A:$A,0)-1,0),0)*BM336)/1000</f>
        <v>880400</v>
      </c>
      <c r="AG336" s="176">
        <f t="shared" ca="1" si="107"/>
        <v>1396000</v>
      </c>
      <c r="AI336" s="11">
        <f t="shared" si="99"/>
        <v>540</v>
      </c>
      <c r="AJ336" s="10">
        <v>540</v>
      </c>
      <c r="AK336" s="11">
        <f t="shared" si="105"/>
        <v>0</v>
      </c>
      <c r="AL336" s="10">
        <v>0</v>
      </c>
      <c r="AM336" s="11">
        <f t="shared" si="106"/>
        <v>0</v>
      </c>
      <c r="AN336" s="10">
        <v>0</v>
      </c>
      <c r="AO336" s="55">
        <f t="shared" si="100"/>
        <v>2</v>
      </c>
      <c r="AQ336" s="11">
        <f ca="1">IFERROR(OFFSET(ITEM_RES!$A$1,MATCH(AR336,ITEM_RES!$J:$J,0)-1,0),0)</f>
        <v>211020501</v>
      </c>
      <c r="AR336" s="10" t="s">
        <v>424</v>
      </c>
      <c r="AS336" s="11">
        <v>148000</v>
      </c>
      <c r="AV336" s="11">
        <f ca="1">IFERROR(OFFSET(ITEM_RES!$A$1,MATCH(AW336,ITEM_RES!$J:$J,0)-1,0),0)</f>
        <v>211020801</v>
      </c>
      <c r="AW336" s="10" t="s">
        <v>425</v>
      </c>
      <c r="AX336" s="11">
        <v>23400</v>
      </c>
      <c r="BA336" s="11">
        <f ca="1">IFERROR(OFFSET(ITEM_RES!$A$1,MATCH(BB336,ITEM_RES!$J:$J,0)-1,0),0)</f>
        <v>0</v>
      </c>
      <c r="BF336" s="11">
        <f ca="1">IFERROR(OFFSET(ITEM_RES!$A$1,MATCH(BG336,ITEM_RES!$J:$J,0)-1,0),0)</f>
        <v>0</v>
      </c>
      <c r="BK336" s="11">
        <f ca="1">IFERROR(OFFSET(ITEM_RES!$A$1,MATCH(BL336,ITEM_RES!$J:$J,0)-1,0),0)</f>
        <v>0</v>
      </c>
    </row>
    <row r="337" spans="1:66" x14ac:dyDescent="0.3">
      <c r="A337" s="14">
        <f t="shared" si="102"/>
        <v>112040013</v>
      </c>
      <c r="B337" s="13">
        <v>11</v>
      </c>
      <c r="C337" s="12">
        <f t="shared" si="103"/>
        <v>2</v>
      </c>
      <c r="D337" s="13">
        <v>4</v>
      </c>
      <c r="E337" s="13">
        <v>0</v>
      </c>
      <c r="F337" s="12">
        <f t="shared" si="104"/>
        <v>13</v>
      </c>
      <c r="H337" s="9">
        <v>2</v>
      </c>
      <c r="I337" s="9">
        <v>13</v>
      </c>
      <c r="K337" s="9" t="s">
        <v>363</v>
      </c>
      <c r="M337" s="9">
        <v>1</v>
      </c>
      <c r="N337" s="9">
        <v>15</v>
      </c>
      <c r="O337" s="9" t="s">
        <v>736</v>
      </c>
      <c r="P337" s="55" t="s">
        <v>1373</v>
      </c>
      <c r="Q337" s="9" t="s">
        <v>678</v>
      </c>
      <c r="S337" s="81" t="s">
        <v>535</v>
      </c>
      <c r="T337" s="9">
        <f ca="1">IFERROR(OFFSET(ITEM_RES!$A$5,MATCH(BUILDING!S337,ITEM_RES!$J$5:$J$229,0)-1,0),0)</f>
        <v>211020601</v>
      </c>
      <c r="U337" s="11">
        <v>2</v>
      </c>
      <c r="V337" s="81" t="s">
        <v>530</v>
      </c>
      <c r="W337" s="11">
        <f ca="1">IFERROR(OFFSET(ITEM_RES!$A$5,MATCH(BUILDING!V337,ITEM_RES!$J$5:$J$229,0)-1,0),0)</f>
        <v>211020701</v>
      </c>
      <c r="Y337" s="9" t="s">
        <v>508</v>
      </c>
      <c r="Z337" s="9">
        <v>13</v>
      </c>
      <c r="AB337" s="11">
        <f ca="1">IFERROR(OFFSET(MANOR_LEVEL!$B$1,MATCH(AC337-1,MANOR_LEVEL!$A:$A,0)-1,0),0)</f>
        <v>37000000</v>
      </c>
      <c r="AC337" s="55">
        <v>16</v>
      </c>
      <c r="AE337" s="11">
        <f t="shared" ca="1" si="89"/>
        <v>1474000</v>
      </c>
      <c r="AF337" s="10">
        <f ca="1">AK337+AM337+(IFERROR(OFFSET(ITEM_RES!$R$1,MATCH(AQ337,ITEM_RES!$A:$A,0)-1,0),0)*AS337+IFERROR(OFFSET(ITEM_RES!$R$1,MATCH(AV337,ITEM_RES!$A:$A,0)-1,0),0)*AX337+IFERROR(OFFSET(ITEM_RES!$R$1,MATCH(BA337,ITEM_RES!$A:$A,0)-1,0),0)*BC337+IFERROR(OFFSET(ITEM_RES!$R$1,MATCH(BF337,ITEM_RES!$A:$A,0)-1,0),0)*BH337+IFERROR(OFFSET(ITEM_RES!$R$1,MATCH(BK337,ITEM_RES!$A:$A,0)-1,0),0)*BM337)/1000</f>
        <v>1474000</v>
      </c>
      <c r="AG337" s="176">
        <f t="shared" ca="1" si="107"/>
        <v>2354400</v>
      </c>
      <c r="AI337" s="11">
        <f t="shared" si="99"/>
        <v>720</v>
      </c>
      <c r="AJ337" s="10">
        <v>720</v>
      </c>
      <c r="AK337" s="11">
        <f t="shared" si="105"/>
        <v>0</v>
      </c>
      <c r="AL337" s="10">
        <v>0</v>
      </c>
      <c r="AM337" s="11">
        <f t="shared" si="106"/>
        <v>0</v>
      </c>
      <c r="AN337" s="10">
        <v>0</v>
      </c>
      <c r="AO337" s="55">
        <f t="shared" si="100"/>
        <v>2</v>
      </c>
      <c r="AQ337" s="11">
        <f ca="1">IFERROR(OFFSET(ITEM_RES!$A$1,MATCH(AR337,ITEM_RES!$J:$J,0)-1,0),0)</f>
        <v>211020501</v>
      </c>
      <c r="AR337" s="10" t="s">
        <v>424</v>
      </c>
      <c r="AS337" s="11">
        <v>248000</v>
      </c>
      <c r="AV337" s="11">
        <f ca="1">IFERROR(OFFSET(ITEM_RES!$A$1,MATCH(AW337,ITEM_RES!$J:$J,0)-1,0),0)</f>
        <v>211020801</v>
      </c>
      <c r="AW337" s="10" t="s">
        <v>425</v>
      </c>
      <c r="AX337" s="11">
        <v>39000</v>
      </c>
      <c r="BA337" s="11">
        <f ca="1">IFERROR(OFFSET(ITEM_RES!$A$1,MATCH(BB337,ITEM_RES!$J:$J,0)-1,0),0)</f>
        <v>0</v>
      </c>
      <c r="BF337" s="11">
        <f ca="1">IFERROR(OFFSET(ITEM_RES!$A$1,MATCH(BG337,ITEM_RES!$J:$J,0)-1,0),0)</f>
        <v>0</v>
      </c>
      <c r="BK337" s="11">
        <f ca="1">IFERROR(OFFSET(ITEM_RES!$A$1,MATCH(BL337,ITEM_RES!$J:$J,0)-1,0),0)</f>
        <v>0</v>
      </c>
    </row>
    <row r="338" spans="1:66" x14ac:dyDescent="0.3">
      <c r="A338" s="14">
        <f t="shared" si="102"/>
        <v>112040014</v>
      </c>
      <c r="B338" s="13">
        <v>11</v>
      </c>
      <c r="C338" s="12">
        <f t="shared" si="103"/>
        <v>2</v>
      </c>
      <c r="D338" s="13">
        <v>4</v>
      </c>
      <c r="E338" s="13">
        <v>0</v>
      </c>
      <c r="F338" s="12">
        <f t="shared" si="104"/>
        <v>14</v>
      </c>
      <c r="H338" s="9">
        <v>2</v>
      </c>
      <c r="I338" s="9">
        <v>14</v>
      </c>
      <c r="K338" s="9" t="s">
        <v>363</v>
      </c>
      <c r="M338" s="9">
        <v>1</v>
      </c>
      <c r="N338" s="9">
        <v>15</v>
      </c>
      <c r="O338" s="9" t="s">
        <v>736</v>
      </c>
      <c r="P338" s="55" t="s">
        <v>1373</v>
      </c>
      <c r="Q338" s="9" t="s">
        <v>678</v>
      </c>
      <c r="S338" s="81" t="s">
        <v>535</v>
      </c>
      <c r="T338" s="9">
        <f ca="1">IFERROR(OFFSET(ITEM_RES!$A$5,MATCH(BUILDING!S338,ITEM_RES!$J$5:$J$229,0)-1,0),0)</f>
        <v>211020601</v>
      </c>
      <c r="U338" s="11">
        <v>2</v>
      </c>
      <c r="V338" s="81" t="s">
        <v>530</v>
      </c>
      <c r="W338" s="11">
        <f ca="1">IFERROR(OFFSET(ITEM_RES!$A$5,MATCH(BUILDING!V338,ITEM_RES!$J$5:$J$229,0)-1,0),0)</f>
        <v>211020701</v>
      </c>
      <c r="Y338" s="9" t="s">
        <v>508</v>
      </c>
      <c r="Z338" s="9">
        <v>14</v>
      </c>
      <c r="AB338" s="11">
        <f ca="1">IFERROR(OFFSET(MANOR_LEVEL!$B$1,MATCH(AC338-1,MANOR_LEVEL!$A:$A,0)-1,0),0)</f>
        <v>37000000</v>
      </c>
      <c r="AC338" s="55">
        <v>16</v>
      </c>
      <c r="AE338" s="11">
        <f t="shared" ca="1" si="89"/>
        <v>2336000</v>
      </c>
      <c r="AF338" s="10">
        <f ca="1">AK338+AM338+(IFERROR(OFFSET(ITEM_RES!$R$1,MATCH(AQ338,ITEM_RES!$A:$A,0)-1,0),0)*AS338+IFERROR(OFFSET(ITEM_RES!$R$1,MATCH(AV338,ITEM_RES!$A:$A,0)-1,0),0)*AX338+IFERROR(OFFSET(ITEM_RES!$R$1,MATCH(BA338,ITEM_RES!$A:$A,0)-1,0),0)*BC338+IFERROR(OFFSET(ITEM_RES!$R$1,MATCH(BF338,ITEM_RES!$A:$A,0)-1,0),0)*BH338+IFERROR(OFFSET(ITEM_RES!$R$1,MATCH(BK338,ITEM_RES!$A:$A,0)-1,0),0)*BM338)/1000</f>
        <v>2336000</v>
      </c>
      <c r="AG338" s="176">
        <f t="shared" ca="1" si="107"/>
        <v>3810000</v>
      </c>
      <c r="AI338" s="11">
        <f t="shared" si="99"/>
        <v>900</v>
      </c>
      <c r="AJ338" s="10">
        <v>900</v>
      </c>
      <c r="AK338" s="11">
        <f t="shared" si="105"/>
        <v>0</v>
      </c>
      <c r="AL338" s="10">
        <v>0</v>
      </c>
      <c r="AM338" s="11">
        <f t="shared" si="106"/>
        <v>0</v>
      </c>
      <c r="AN338" s="10">
        <v>0</v>
      </c>
      <c r="AO338" s="55">
        <f t="shared" si="100"/>
        <v>2</v>
      </c>
      <c r="AQ338" s="11">
        <f ca="1">IFERROR(OFFSET(ITEM_RES!$A$1,MATCH(AR338,ITEM_RES!$J:$J,0)-1,0),0)</f>
        <v>211020501</v>
      </c>
      <c r="AR338" s="10" t="s">
        <v>424</v>
      </c>
      <c r="AS338" s="11">
        <v>388000</v>
      </c>
      <c r="AV338" s="11">
        <f ca="1">IFERROR(OFFSET(ITEM_RES!$A$1,MATCH(AW338,ITEM_RES!$J:$J,0)-1,0),0)</f>
        <v>211020801</v>
      </c>
      <c r="AW338" s="10" t="s">
        <v>425</v>
      </c>
      <c r="AX338" s="11">
        <v>66000</v>
      </c>
      <c r="BA338" s="11">
        <f ca="1">IFERROR(OFFSET(ITEM_RES!$A$1,MATCH(BB338,ITEM_RES!$J:$J,0)-1,0),0)</f>
        <v>0</v>
      </c>
      <c r="BF338" s="11">
        <f ca="1">IFERROR(OFFSET(ITEM_RES!$A$1,MATCH(BG338,ITEM_RES!$J:$J,0)-1,0),0)</f>
        <v>0</v>
      </c>
      <c r="BK338" s="11">
        <f ca="1">IFERROR(OFFSET(ITEM_RES!$A$1,MATCH(BL338,ITEM_RES!$J:$J,0)-1,0),0)</f>
        <v>0</v>
      </c>
    </row>
    <row r="339" spans="1:66" x14ac:dyDescent="0.3">
      <c r="A339" s="14">
        <f t="shared" si="102"/>
        <v>112040015</v>
      </c>
      <c r="B339" s="13">
        <v>11</v>
      </c>
      <c r="C339" s="12">
        <f t="shared" si="103"/>
        <v>2</v>
      </c>
      <c r="D339" s="13">
        <v>4</v>
      </c>
      <c r="E339" s="13">
        <v>0</v>
      </c>
      <c r="F339" s="12">
        <f t="shared" si="104"/>
        <v>15</v>
      </c>
      <c r="H339" s="9">
        <v>2</v>
      </c>
      <c r="I339" s="9">
        <v>15</v>
      </c>
      <c r="K339" s="9" t="s">
        <v>363</v>
      </c>
      <c r="M339" s="9">
        <v>1</v>
      </c>
      <c r="N339" s="9">
        <v>15</v>
      </c>
      <c r="O339" s="9" t="s">
        <v>736</v>
      </c>
      <c r="P339" s="55" t="s">
        <v>1373</v>
      </c>
      <c r="Q339" s="9" t="s">
        <v>678</v>
      </c>
      <c r="S339" s="81" t="s">
        <v>535</v>
      </c>
      <c r="T339" s="9">
        <f ca="1">IFERROR(OFFSET(ITEM_RES!$A$5,MATCH(BUILDING!S339,ITEM_RES!$J$5:$J$229,0)-1,0),0)</f>
        <v>211020601</v>
      </c>
      <c r="U339" s="11">
        <v>2</v>
      </c>
      <c r="V339" s="81" t="s">
        <v>530</v>
      </c>
      <c r="W339" s="11">
        <f ca="1">IFERROR(OFFSET(ITEM_RES!$A$5,MATCH(BUILDING!V339,ITEM_RES!$J$5:$J$229,0)-1,0),0)</f>
        <v>211020701</v>
      </c>
      <c r="Y339" s="9" t="s">
        <v>508</v>
      </c>
      <c r="Z339" s="9">
        <v>15</v>
      </c>
      <c r="AB339" s="11">
        <f ca="1">IFERROR(OFFSET(MANOR_LEVEL!$B$1,MATCH(AC339-1,MANOR_LEVEL!$A:$A,0)-1,0),0)</f>
        <v>37000000</v>
      </c>
      <c r="AC339" s="55">
        <v>16</v>
      </c>
      <c r="AE339" s="11">
        <f t="shared" ca="1" si="89"/>
        <v>4866000</v>
      </c>
      <c r="AF339" s="10">
        <f ca="1">AK339+AM339+(IFERROR(OFFSET(ITEM_RES!$R$1,MATCH(AQ339,ITEM_RES!$A:$A,0)-1,0),0)*AS339+IFERROR(OFFSET(ITEM_RES!$R$1,MATCH(AV339,ITEM_RES!$A:$A,0)-1,0),0)*AX339+IFERROR(OFFSET(ITEM_RES!$R$1,MATCH(BA339,ITEM_RES!$A:$A,0)-1,0),0)*BC339+IFERROR(OFFSET(ITEM_RES!$R$1,MATCH(BF339,ITEM_RES!$A:$A,0)-1,0),0)*BH339+IFERROR(OFFSET(ITEM_RES!$R$1,MATCH(BK339,ITEM_RES!$A:$A,0)-1,0),0)*BM339)/1000</f>
        <v>4866000</v>
      </c>
      <c r="AG339" s="176">
        <f t="shared" ca="1" si="107"/>
        <v>7202000</v>
      </c>
      <c r="AI339" s="11">
        <f t="shared" si="99"/>
        <v>1080</v>
      </c>
      <c r="AJ339" s="10">
        <v>1080</v>
      </c>
      <c r="AK339" s="11">
        <f t="shared" si="105"/>
        <v>0</v>
      </c>
      <c r="AL339" s="10">
        <v>0</v>
      </c>
      <c r="AM339" s="11">
        <f t="shared" si="106"/>
        <v>0</v>
      </c>
      <c r="AN339" s="10">
        <v>0</v>
      </c>
      <c r="AO339" s="55">
        <f t="shared" si="100"/>
        <v>2</v>
      </c>
      <c r="AQ339" s="11">
        <f ca="1">IFERROR(OFFSET(ITEM_RES!$A$1,MATCH(AR339,ITEM_RES!$J:$J,0)-1,0),0)</f>
        <v>211020501</v>
      </c>
      <c r="AR339" s="10" t="s">
        <v>424</v>
      </c>
      <c r="AS339" s="11">
        <v>840000</v>
      </c>
      <c r="AV339" s="11">
        <f ca="1">IFERROR(OFFSET(ITEM_RES!$A$1,MATCH(AW339,ITEM_RES!$J:$J,0)-1,0),0)</f>
        <v>211020801</v>
      </c>
      <c r="AW339" s="10" t="s">
        <v>425</v>
      </c>
      <c r="AX339" s="11">
        <v>111000</v>
      </c>
      <c r="BA339" s="11">
        <f ca="1">IFERROR(OFFSET(ITEM_RES!$A$1,MATCH(BB339,ITEM_RES!$J:$J,0)-1,0),0)</f>
        <v>0</v>
      </c>
      <c r="BF339" s="11">
        <f ca="1">IFERROR(OFFSET(ITEM_RES!$A$1,MATCH(BG339,ITEM_RES!$J:$J,0)-1,0),0)</f>
        <v>0</v>
      </c>
      <c r="BK339" s="11">
        <f ca="1">IFERROR(OFFSET(ITEM_RES!$A$1,MATCH(BL339,ITEM_RES!$J:$J,0)-1,0),0)</f>
        <v>0</v>
      </c>
    </row>
    <row r="340" spans="1:66" x14ac:dyDescent="0.3">
      <c r="A340" s="14">
        <f t="shared" si="102"/>
        <v>112040016</v>
      </c>
      <c r="B340" s="13">
        <v>11</v>
      </c>
      <c r="C340" s="12">
        <f t="shared" si="103"/>
        <v>2</v>
      </c>
      <c r="D340" s="13">
        <v>4</v>
      </c>
      <c r="E340" s="13">
        <v>0</v>
      </c>
      <c r="F340" s="12">
        <f t="shared" si="104"/>
        <v>16</v>
      </c>
      <c r="H340" s="9">
        <v>2</v>
      </c>
      <c r="I340" s="9">
        <v>16</v>
      </c>
      <c r="K340" s="9" t="s">
        <v>363</v>
      </c>
      <c r="M340" s="9">
        <v>0</v>
      </c>
      <c r="N340" s="9">
        <v>15</v>
      </c>
      <c r="O340" s="9" t="s">
        <v>736</v>
      </c>
      <c r="P340" s="55" t="s">
        <v>1373</v>
      </c>
      <c r="Q340" s="9" t="s">
        <v>678</v>
      </c>
      <c r="S340" s="81" t="s">
        <v>535</v>
      </c>
      <c r="T340" s="9">
        <f ca="1">IFERROR(OFFSET(ITEM_RES!$A$5,MATCH(BUILDING!S340,ITEM_RES!$J$5:$J$229,0)-1,0),0)</f>
        <v>211020601</v>
      </c>
      <c r="U340" s="11">
        <v>2</v>
      </c>
      <c r="V340" s="81" t="s">
        <v>530</v>
      </c>
      <c r="W340" s="11">
        <f ca="1">IFERROR(OFFSET(ITEM_RES!$A$5,MATCH(BUILDING!V340,ITEM_RES!$J$5:$J$229,0)-1,0),0)</f>
        <v>211020701</v>
      </c>
      <c r="Y340" s="9" t="s">
        <v>508</v>
      </c>
      <c r="Z340" s="9">
        <v>16</v>
      </c>
      <c r="AB340" s="11">
        <f ca="1">IFERROR(OFFSET(MANOR_LEVEL!$B$1,MATCH(AC340-1,MANOR_LEVEL!$A:$A,0)-1,0),0)</f>
        <v>37000000</v>
      </c>
      <c r="AC340" s="55">
        <v>16</v>
      </c>
      <c r="AE340" s="11">
        <f t="shared" ca="1" si="89"/>
        <v>9716000</v>
      </c>
      <c r="AF340" s="10">
        <f ca="1">AK340+AM340+(IFERROR(OFFSET(ITEM_RES!$R$1,MATCH(AQ340,ITEM_RES!$A:$A,0)-1,0),0)*AS340+IFERROR(OFFSET(ITEM_RES!$R$1,MATCH(AV340,ITEM_RES!$A:$A,0)-1,0),0)*AX340+IFERROR(OFFSET(ITEM_RES!$R$1,MATCH(BA340,ITEM_RES!$A:$A,0)-1,0),0)*BC340+IFERROR(OFFSET(ITEM_RES!$R$1,MATCH(BF340,ITEM_RES!$A:$A,0)-1,0),0)*BH340+IFERROR(OFFSET(ITEM_RES!$R$1,MATCH(BK340,ITEM_RES!$A:$A,0)-1,0),0)*BM340)/1000</f>
        <v>9716000</v>
      </c>
      <c r="AG340" s="176">
        <f t="shared" ca="1" si="107"/>
        <v>14582000</v>
      </c>
      <c r="AI340" s="11">
        <f t="shared" si="99"/>
        <v>1260</v>
      </c>
      <c r="AJ340" s="10">
        <v>1260</v>
      </c>
      <c r="AK340" s="11">
        <f t="shared" si="105"/>
        <v>0</v>
      </c>
      <c r="AL340" s="10">
        <v>0</v>
      </c>
      <c r="AM340" s="11">
        <f t="shared" si="106"/>
        <v>0</v>
      </c>
      <c r="AN340" s="10">
        <v>0</v>
      </c>
      <c r="AO340" s="55">
        <f t="shared" si="100"/>
        <v>2</v>
      </c>
      <c r="AQ340" s="11">
        <f ca="1">IFERROR(OFFSET(ITEM_RES!$A$1,MATCH(AR340,ITEM_RES!$J:$J,0)-1,0),0)</f>
        <v>211020501</v>
      </c>
      <c r="AR340" s="10" t="s">
        <v>424</v>
      </c>
      <c r="AS340" s="11">
        <v>1720000</v>
      </c>
      <c r="AV340" s="11">
        <f ca="1">IFERROR(OFFSET(ITEM_RES!$A$1,MATCH(AW340,ITEM_RES!$J:$J,0)-1,0),0)</f>
        <v>211020801</v>
      </c>
      <c r="AW340" s="10" t="s">
        <v>425</v>
      </c>
      <c r="AX340" s="11">
        <v>186000</v>
      </c>
      <c r="BA340" s="11">
        <f ca="1">IFERROR(OFFSET(ITEM_RES!$A$1,MATCH(BB340,ITEM_RES!$J:$J,0)-1,0),0)</f>
        <v>0</v>
      </c>
      <c r="BF340" s="11">
        <f ca="1">IFERROR(OFFSET(ITEM_RES!$A$1,MATCH(BG340,ITEM_RES!$J:$J,0)-1,0),0)</f>
        <v>0</v>
      </c>
      <c r="BK340" s="11">
        <f ca="1">IFERROR(OFFSET(ITEM_RES!$A$1,MATCH(BL340,ITEM_RES!$J:$J,0)-1,0),0)</f>
        <v>0</v>
      </c>
    </row>
    <row r="341" spans="1:66" x14ac:dyDescent="0.3">
      <c r="A341" s="14">
        <f t="shared" si="102"/>
        <v>112040017</v>
      </c>
      <c r="B341" s="13">
        <v>11</v>
      </c>
      <c r="C341" s="12">
        <f t="shared" si="103"/>
        <v>2</v>
      </c>
      <c r="D341" s="13">
        <v>4</v>
      </c>
      <c r="E341" s="13">
        <v>0</v>
      </c>
      <c r="F341" s="12">
        <f t="shared" si="104"/>
        <v>17</v>
      </c>
      <c r="H341" s="9">
        <v>2</v>
      </c>
      <c r="I341" s="9">
        <v>17</v>
      </c>
      <c r="K341" s="9" t="s">
        <v>363</v>
      </c>
      <c r="M341" s="9">
        <v>0</v>
      </c>
      <c r="N341" s="9">
        <v>15</v>
      </c>
      <c r="O341" s="9" t="s">
        <v>736</v>
      </c>
      <c r="P341" s="55" t="s">
        <v>1373</v>
      </c>
      <c r="Q341" s="9" t="s">
        <v>678</v>
      </c>
      <c r="S341" s="81" t="s">
        <v>535</v>
      </c>
      <c r="T341" s="9">
        <f ca="1">IFERROR(OFFSET(ITEM_RES!$A$5,MATCH(BUILDING!S341,ITEM_RES!$J$5:$J$229,0)-1,0),0)</f>
        <v>211020601</v>
      </c>
      <c r="U341" s="11">
        <v>2</v>
      </c>
      <c r="V341" s="81" t="s">
        <v>530</v>
      </c>
      <c r="W341" s="11">
        <f ca="1">IFERROR(OFFSET(ITEM_RES!$A$5,MATCH(BUILDING!V341,ITEM_RES!$J$5:$J$229,0)-1,0),0)</f>
        <v>211020701</v>
      </c>
      <c r="Y341" s="9" t="s">
        <v>508</v>
      </c>
      <c r="Z341" s="9">
        <v>17</v>
      </c>
      <c r="AB341" s="11">
        <f ca="1">IFERROR(OFFSET(MANOR_LEVEL!$B$1,MATCH(AC341-1,MANOR_LEVEL!$A:$A,0)-1,0),0)</f>
        <v>37000000</v>
      </c>
      <c r="AC341" s="55">
        <v>16</v>
      </c>
      <c r="AE341" s="11">
        <f t="shared" ca="1" si="89"/>
        <v>17746000</v>
      </c>
      <c r="AF341" s="10">
        <f ca="1">AK341+AM341+(IFERROR(OFFSET(ITEM_RES!$R$1,MATCH(AQ341,ITEM_RES!$A:$A,0)-1,0),0)*AS341+IFERROR(OFFSET(ITEM_RES!$R$1,MATCH(AV341,ITEM_RES!$A:$A,0)-1,0),0)*AX341+IFERROR(OFFSET(ITEM_RES!$R$1,MATCH(BA341,ITEM_RES!$A:$A,0)-1,0),0)*BC341+IFERROR(OFFSET(ITEM_RES!$R$1,MATCH(BF341,ITEM_RES!$A:$A,0)-1,0),0)*BH341+IFERROR(OFFSET(ITEM_RES!$R$1,MATCH(BK341,ITEM_RES!$A:$A,0)-1,0),0)*BM341)/1000</f>
        <v>17746000</v>
      </c>
      <c r="AG341" s="176">
        <f t="shared" ca="1" si="107"/>
        <v>27462000</v>
      </c>
      <c r="AI341" s="11">
        <f t="shared" si="99"/>
        <v>1440</v>
      </c>
      <c r="AJ341" s="10">
        <v>1440</v>
      </c>
      <c r="AK341" s="11">
        <f t="shared" si="105"/>
        <v>0</v>
      </c>
      <c r="AL341" s="10">
        <v>0</v>
      </c>
      <c r="AM341" s="11">
        <f t="shared" si="106"/>
        <v>0</v>
      </c>
      <c r="AN341" s="10">
        <v>0</v>
      </c>
      <c r="AO341" s="55">
        <f t="shared" si="100"/>
        <v>2</v>
      </c>
      <c r="AQ341" s="11">
        <f ca="1">IFERROR(OFFSET(ITEM_RES!$A$1,MATCH(AR341,ITEM_RES!$J:$J,0)-1,0),0)</f>
        <v>211020501</v>
      </c>
      <c r="AR341" s="10" t="s">
        <v>424</v>
      </c>
      <c r="AS341" s="11">
        <v>3200000</v>
      </c>
      <c r="AV341" s="11">
        <f ca="1">IFERROR(OFFSET(ITEM_RES!$A$1,MATCH(AW341,ITEM_RES!$J:$J,0)-1,0),0)</f>
        <v>211020801</v>
      </c>
      <c r="AW341" s="10" t="s">
        <v>425</v>
      </c>
      <c r="AX341" s="11">
        <v>291000</v>
      </c>
      <c r="BA341" s="11">
        <f ca="1">IFERROR(OFFSET(ITEM_RES!$A$1,MATCH(BB341,ITEM_RES!$J:$J,0)-1,0),0)</f>
        <v>0</v>
      </c>
      <c r="BF341" s="11">
        <f ca="1">IFERROR(OFFSET(ITEM_RES!$A$1,MATCH(BG341,ITEM_RES!$J:$J,0)-1,0),0)</f>
        <v>0</v>
      </c>
      <c r="BK341" s="11">
        <f ca="1">IFERROR(OFFSET(ITEM_RES!$A$1,MATCH(BL341,ITEM_RES!$J:$J,0)-1,0),0)</f>
        <v>0</v>
      </c>
    </row>
    <row r="342" spans="1:66" x14ac:dyDescent="0.3">
      <c r="A342" s="14">
        <f t="shared" si="102"/>
        <v>112040018</v>
      </c>
      <c r="B342" s="13">
        <v>11</v>
      </c>
      <c r="C342" s="12">
        <f t="shared" si="103"/>
        <v>2</v>
      </c>
      <c r="D342" s="13">
        <v>4</v>
      </c>
      <c r="E342" s="13">
        <v>0</v>
      </c>
      <c r="F342" s="12">
        <f t="shared" si="104"/>
        <v>18</v>
      </c>
      <c r="H342" s="9">
        <v>2</v>
      </c>
      <c r="I342" s="9">
        <v>18</v>
      </c>
      <c r="K342" s="9" t="s">
        <v>363</v>
      </c>
      <c r="M342" s="9">
        <v>0</v>
      </c>
      <c r="N342" s="9">
        <v>15</v>
      </c>
      <c r="O342" s="9" t="s">
        <v>736</v>
      </c>
      <c r="P342" s="55" t="s">
        <v>1373</v>
      </c>
      <c r="Q342" s="9" t="s">
        <v>678</v>
      </c>
      <c r="S342" s="81" t="s">
        <v>535</v>
      </c>
      <c r="T342" s="9">
        <f ca="1">IFERROR(OFFSET(ITEM_RES!$A$5,MATCH(BUILDING!S342,ITEM_RES!$J$5:$J$229,0)-1,0),0)</f>
        <v>211020601</v>
      </c>
      <c r="U342" s="11">
        <v>2</v>
      </c>
      <c r="V342" s="81" t="s">
        <v>530</v>
      </c>
      <c r="W342" s="11">
        <f ca="1">IFERROR(OFFSET(ITEM_RES!$A$5,MATCH(BUILDING!V342,ITEM_RES!$J$5:$J$229,0)-1,0),0)</f>
        <v>211020701</v>
      </c>
      <c r="Y342" s="9" t="s">
        <v>508</v>
      </c>
      <c r="Z342" s="9">
        <v>18</v>
      </c>
      <c r="AB342" s="11">
        <f ca="1">IFERROR(OFFSET(MANOR_LEVEL!$B$1,MATCH(AC342-1,MANOR_LEVEL!$A:$A,0)-1,0),0)</f>
        <v>37000000</v>
      </c>
      <c r="AC342" s="55">
        <v>16</v>
      </c>
      <c r="AE342" s="11">
        <f t="shared" ca="1" si="89"/>
        <v>29780000</v>
      </c>
      <c r="AF342" s="10">
        <f ca="1">AK342+AM342+(IFERROR(OFFSET(ITEM_RES!$R$1,MATCH(AQ342,ITEM_RES!$A:$A,0)-1,0),0)*AS342+IFERROR(OFFSET(ITEM_RES!$R$1,MATCH(AV342,ITEM_RES!$A:$A,0)-1,0),0)*AX342+IFERROR(OFFSET(ITEM_RES!$R$1,MATCH(BA342,ITEM_RES!$A:$A,0)-1,0),0)*BC342+IFERROR(OFFSET(ITEM_RES!$R$1,MATCH(BF342,ITEM_RES!$A:$A,0)-1,0),0)*BH342+IFERROR(OFFSET(ITEM_RES!$R$1,MATCH(BK342,ITEM_RES!$A:$A,0)-1,0),0)*BM342)/1000</f>
        <v>29780000</v>
      </c>
      <c r="AG342" s="176">
        <f t="shared" ca="1" si="107"/>
        <v>47526000</v>
      </c>
      <c r="AI342" s="11">
        <f t="shared" si="99"/>
        <v>1620</v>
      </c>
      <c r="AJ342" s="10">
        <v>1620</v>
      </c>
      <c r="AK342" s="11">
        <f t="shared" si="105"/>
        <v>0</v>
      </c>
      <c r="AL342" s="10">
        <v>0</v>
      </c>
      <c r="AM342" s="11">
        <f t="shared" si="106"/>
        <v>0</v>
      </c>
      <c r="AN342" s="10">
        <v>0</v>
      </c>
      <c r="AO342" s="55">
        <f t="shared" si="100"/>
        <v>2</v>
      </c>
      <c r="AQ342" s="11">
        <f ca="1">IFERROR(OFFSET(ITEM_RES!$A$1,MATCH(AR342,ITEM_RES!$J:$J,0)-1,0),0)</f>
        <v>211020501</v>
      </c>
      <c r="AR342" s="10" t="s">
        <v>424</v>
      </c>
      <c r="AS342" s="11">
        <v>5200000</v>
      </c>
      <c r="AV342" s="11">
        <f ca="1">IFERROR(OFFSET(ITEM_RES!$A$1,MATCH(AW342,ITEM_RES!$J:$J,0)-1,0),0)</f>
        <v>211020801</v>
      </c>
      <c r="AW342" s="10" t="s">
        <v>425</v>
      </c>
      <c r="AX342" s="11">
        <v>630000</v>
      </c>
      <c r="BA342" s="11">
        <f ca="1">IFERROR(OFFSET(ITEM_RES!$A$1,MATCH(BB342,ITEM_RES!$J:$J,0)-1,0),0)</f>
        <v>0</v>
      </c>
      <c r="BF342" s="11">
        <f ca="1">IFERROR(OFFSET(ITEM_RES!$A$1,MATCH(BG342,ITEM_RES!$J:$J,0)-1,0),0)</f>
        <v>0</v>
      </c>
      <c r="BK342" s="11">
        <f ca="1">IFERROR(OFFSET(ITEM_RES!$A$1,MATCH(BL342,ITEM_RES!$J:$J,0)-1,0),0)</f>
        <v>0</v>
      </c>
    </row>
    <row r="343" spans="1:66" x14ac:dyDescent="0.3">
      <c r="A343" s="14">
        <f t="shared" si="102"/>
        <v>112040019</v>
      </c>
      <c r="B343" s="13">
        <v>11</v>
      </c>
      <c r="C343" s="12">
        <f t="shared" si="103"/>
        <v>2</v>
      </c>
      <c r="D343" s="13">
        <v>4</v>
      </c>
      <c r="E343" s="13">
        <v>0</v>
      </c>
      <c r="F343" s="12">
        <f t="shared" si="104"/>
        <v>19</v>
      </c>
      <c r="H343" s="9">
        <v>2</v>
      </c>
      <c r="I343" s="9">
        <v>19</v>
      </c>
      <c r="K343" s="9" t="s">
        <v>363</v>
      </c>
      <c r="M343" s="9">
        <v>0</v>
      </c>
      <c r="N343" s="9">
        <v>15</v>
      </c>
      <c r="O343" s="9" t="s">
        <v>736</v>
      </c>
      <c r="P343" s="55" t="s">
        <v>1373</v>
      </c>
      <c r="Q343" s="9" t="s">
        <v>678</v>
      </c>
      <c r="S343" s="81" t="s">
        <v>535</v>
      </c>
      <c r="T343" s="9">
        <f ca="1">IFERROR(OFFSET(ITEM_RES!$A$5,MATCH(BUILDING!S343,ITEM_RES!$J$5:$J$229,0)-1,0),0)</f>
        <v>211020601</v>
      </c>
      <c r="U343" s="11">
        <v>2</v>
      </c>
      <c r="V343" s="81" t="s">
        <v>530</v>
      </c>
      <c r="W343" s="11">
        <f ca="1">IFERROR(OFFSET(ITEM_RES!$A$5,MATCH(BUILDING!V343,ITEM_RES!$J$5:$J$229,0)-1,0),0)</f>
        <v>211020701</v>
      </c>
      <c r="Y343" s="9" t="s">
        <v>508</v>
      </c>
      <c r="Z343" s="9">
        <v>19</v>
      </c>
      <c r="AB343" s="11">
        <f ca="1">IFERROR(OFFSET(MANOR_LEVEL!$B$1,MATCH(AC343-1,MANOR_LEVEL!$A:$A,0)-1,0),0)</f>
        <v>37000000</v>
      </c>
      <c r="AC343" s="55">
        <v>16</v>
      </c>
      <c r="AE343" s="11">
        <f t="shared" ca="1" si="89"/>
        <v>47740000</v>
      </c>
      <c r="AF343" s="10">
        <f ca="1">AK343+AM343+(IFERROR(OFFSET(ITEM_RES!$R$1,MATCH(AQ343,ITEM_RES!$A:$A,0)-1,0),0)*AS343+IFERROR(OFFSET(ITEM_RES!$R$1,MATCH(AV343,ITEM_RES!$A:$A,0)-1,0),0)*AX343+IFERROR(OFFSET(ITEM_RES!$R$1,MATCH(BA343,ITEM_RES!$A:$A,0)-1,0),0)*BC343+IFERROR(OFFSET(ITEM_RES!$R$1,MATCH(BF343,ITEM_RES!$A:$A,0)-1,0),0)*BH343+IFERROR(OFFSET(ITEM_RES!$R$1,MATCH(BK343,ITEM_RES!$A:$A,0)-1,0),0)*BM343)/1000</f>
        <v>47740000</v>
      </c>
      <c r="AG343" s="176">
        <f t="shared" ca="1" si="107"/>
        <v>77520000</v>
      </c>
      <c r="AI343" s="11">
        <f t="shared" si="99"/>
        <v>1800</v>
      </c>
      <c r="AJ343" s="10">
        <v>1800</v>
      </c>
      <c r="AK343" s="11">
        <f t="shared" si="105"/>
        <v>0</v>
      </c>
      <c r="AL343" s="10">
        <v>0</v>
      </c>
      <c r="AM343" s="11">
        <f t="shared" si="106"/>
        <v>0</v>
      </c>
      <c r="AN343" s="10">
        <v>0</v>
      </c>
      <c r="AO343" s="55">
        <f t="shared" si="100"/>
        <v>2</v>
      </c>
      <c r="AQ343" s="11">
        <f ca="1">IFERROR(OFFSET(ITEM_RES!$A$1,MATCH(AR343,ITEM_RES!$J:$J,0)-1,0),0)</f>
        <v>211020501</v>
      </c>
      <c r="AR343" s="10" t="s">
        <v>424</v>
      </c>
      <c r="AS343" s="11">
        <v>8000000</v>
      </c>
      <c r="AV343" s="11">
        <f ca="1">IFERROR(OFFSET(ITEM_RES!$A$1,MATCH(AW343,ITEM_RES!$J:$J,0)-1,0),0)</f>
        <v>211020801</v>
      </c>
      <c r="AW343" s="10" t="s">
        <v>425</v>
      </c>
      <c r="AX343" s="11">
        <v>1290000</v>
      </c>
      <c r="BA343" s="11">
        <f ca="1">IFERROR(OFFSET(ITEM_RES!$A$1,MATCH(BB343,ITEM_RES!$J:$J,0)-1,0),0)</f>
        <v>0</v>
      </c>
      <c r="BF343" s="11">
        <f ca="1">IFERROR(OFFSET(ITEM_RES!$A$1,MATCH(BG343,ITEM_RES!$J:$J,0)-1,0),0)</f>
        <v>0</v>
      </c>
      <c r="BK343" s="11">
        <f ca="1">IFERROR(OFFSET(ITEM_RES!$A$1,MATCH(BL343,ITEM_RES!$J:$J,0)-1,0),0)</f>
        <v>0</v>
      </c>
    </row>
    <row r="344" spans="1:66" ht="17.25" thickBot="1" x14ac:dyDescent="0.35">
      <c r="A344" s="14">
        <f t="shared" si="102"/>
        <v>112040020</v>
      </c>
      <c r="B344" s="13">
        <v>11</v>
      </c>
      <c r="C344" s="12">
        <f t="shared" si="103"/>
        <v>2</v>
      </c>
      <c r="D344" s="13">
        <v>4</v>
      </c>
      <c r="E344" s="13">
        <v>0</v>
      </c>
      <c r="F344" s="12">
        <f t="shared" si="104"/>
        <v>20</v>
      </c>
      <c r="H344" s="9">
        <v>2</v>
      </c>
      <c r="I344" s="9">
        <v>20</v>
      </c>
      <c r="K344" s="9" t="s">
        <v>363</v>
      </c>
      <c r="M344" s="9">
        <v>0</v>
      </c>
      <c r="N344" s="9">
        <v>15</v>
      </c>
      <c r="O344" s="9" t="s">
        <v>736</v>
      </c>
      <c r="P344" s="55" t="s">
        <v>1373</v>
      </c>
      <c r="Q344" s="9" t="s">
        <v>678</v>
      </c>
      <c r="S344" s="81" t="s">
        <v>535</v>
      </c>
      <c r="T344" s="9">
        <f ca="1">IFERROR(OFFSET(ITEM_RES!$A$5,MATCH(BUILDING!S344,ITEM_RES!$J$5:$J$229,0)-1,0),0)</f>
        <v>211020601</v>
      </c>
      <c r="U344" s="11">
        <v>2</v>
      </c>
      <c r="V344" s="81" t="s">
        <v>530</v>
      </c>
      <c r="W344" s="11">
        <f ca="1">IFERROR(OFFSET(ITEM_RES!$A$5,MATCH(BUILDING!V344,ITEM_RES!$J$5:$J$229,0)-1,0),0)</f>
        <v>211020701</v>
      </c>
      <c r="Y344" s="9" t="s">
        <v>508</v>
      </c>
      <c r="Z344" s="9">
        <v>20</v>
      </c>
      <c r="AB344" s="11">
        <f ca="1">IFERROR(OFFSET(MANOR_LEVEL!$B$1,MATCH(AC344-1,MANOR_LEVEL!$A:$A,0)-1,0),0)</f>
        <v>37000000</v>
      </c>
      <c r="AC344" s="55">
        <v>16</v>
      </c>
      <c r="AE344" s="11">
        <f t="shared" ca="1" si="89"/>
        <v>78400000</v>
      </c>
      <c r="AF344" s="10">
        <f ca="1">AK344+AM344+(IFERROR(OFFSET(ITEM_RES!$R$1,MATCH(AQ344,ITEM_RES!$A:$A,0)-1,0),0)*AS344+IFERROR(OFFSET(ITEM_RES!$R$1,MATCH(AV344,ITEM_RES!$A:$A,0)-1,0),0)*AX344+IFERROR(OFFSET(ITEM_RES!$R$1,MATCH(BA344,ITEM_RES!$A:$A,0)-1,0),0)*BC344+IFERROR(OFFSET(ITEM_RES!$R$1,MATCH(BF344,ITEM_RES!$A:$A,0)-1,0),0)*BH344+IFERROR(OFFSET(ITEM_RES!$R$1,MATCH(BK344,ITEM_RES!$A:$A,0)-1,0),0)*BM344)/1000</f>
        <v>78400000</v>
      </c>
      <c r="AG344" s="176">
        <f t="shared" ca="1" si="107"/>
        <v>126140000</v>
      </c>
      <c r="AI344" s="11">
        <f t="shared" si="99"/>
        <v>1980</v>
      </c>
      <c r="AJ344" s="10">
        <v>1980</v>
      </c>
      <c r="AK344" s="11">
        <f t="shared" si="105"/>
        <v>0</v>
      </c>
      <c r="AL344" s="10">
        <v>0</v>
      </c>
      <c r="AM344" s="11">
        <f t="shared" si="106"/>
        <v>0</v>
      </c>
      <c r="AN344" s="10">
        <v>0</v>
      </c>
      <c r="AO344" s="55">
        <f t="shared" si="100"/>
        <v>2</v>
      </c>
      <c r="AQ344" s="11">
        <f ca="1">IFERROR(OFFSET(ITEM_RES!$A$1,MATCH(AR344,ITEM_RES!$J:$J,0)-1,0),0)</f>
        <v>211020501</v>
      </c>
      <c r="AR344" s="10" t="s">
        <v>424</v>
      </c>
      <c r="AS344" s="11">
        <v>12800000</v>
      </c>
      <c r="AV344" s="11">
        <f ca="1">IFERROR(OFFSET(ITEM_RES!$A$1,MATCH(AW344,ITEM_RES!$J:$J,0)-1,0),0)</f>
        <v>211020801</v>
      </c>
      <c r="AW344" s="10" t="s">
        <v>425</v>
      </c>
      <c r="AX344" s="11">
        <v>2400000</v>
      </c>
      <c r="BA344" s="11">
        <f ca="1">IFERROR(OFFSET(ITEM_RES!$A$1,MATCH(BB344,ITEM_RES!$J:$J,0)-1,0),0)</f>
        <v>0</v>
      </c>
      <c r="BF344" s="11">
        <f ca="1">IFERROR(OFFSET(ITEM_RES!$A$1,MATCH(BG344,ITEM_RES!$J:$J,0)-1,0),0)</f>
        <v>0</v>
      </c>
      <c r="BK344" s="11">
        <f ca="1">IFERROR(OFFSET(ITEM_RES!$A$1,MATCH(BL344,ITEM_RES!$J:$J,0)-1,0),0)</f>
        <v>0</v>
      </c>
    </row>
    <row r="345" spans="1:66" s="15" customFormat="1" x14ac:dyDescent="0.3">
      <c r="A345" s="21">
        <f t="shared" si="102"/>
        <v>112050001</v>
      </c>
      <c r="B345" s="20">
        <v>11</v>
      </c>
      <c r="C345" s="19">
        <f t="shared" si="103"/>
        <v>2</v>
      </c>
      <c r="D345" s="20">
        <v>5</v>
      </c>
      <c r="E345" s="20">
        <v>0</v>
      </c>
      <c r="F345" s="19">
        <f t="shared" si="104"/>
        <v>1</v>
      </c>
      <c r="G345" s="76"/>
      <c r="H345" s="16">
        <v>2</v>
      </c>
      <c r="I345" s="16">
        <v>1</v>
      </c>
      <c r="J345" s="76"/>
      <c r="K345" s="16" t="s">
        <v>365</v>
      </c>
      <c r="L345" s="16">
        <v>11</v>
      </c>
      <c r="M345" s="16">
        <v>1</v>
      </c>
      <c r="N345" s="16">
        <v>15</v>
      </c>
      <c r="O345" s="16" t="s">
        <v>737</v>
      </c>
      <c r="P345" s="56" t="s">
        <v>1374</v>
      </c>
      <c r="Q345" s="16" t="s">
        <v>679</v>
      </c>
      <c r="R345" s="76"/>
      <c r="S345" s="83" t="s">
        <v>536</v>
      </c>
      <c r="T345" s="16">
        <f ca="1">IFERROR(OFFSET(ITEM_RES!$A$5,MATCH(BUILDING!S345,ITEM_RES!$J$5:$J$229,0)-1,0),0)</f>
        <v>211020801</v>
      </c>
      <c r="U345" s="18">
        <v>1</v>
      </c>
      <c r="V345" s="83" t="s">
        <v>385</v>
      </c>
      <c r="W345" s="18">
        <f ca="1">IFERROR(OFFSET(ITEM_RES!$A$5,MATCH(BUILDING!V345,ITEM_RES!$J$5:$J$229,0)-1,0),0)</f>
        <v>211020901</v>
      </c>
      <c r="X345" s="76"/>
      <c r="Y345" s="16" t="s">
        <v>509</v>
      </c>
      <c r="Z345" s="16">
        <v>1</v>
      </c>
      <c r="AA345" s="76"/>
      <c r="AB345" s="18">
        <f ca="1">IFERROR(OFFSET(MANOR_LEVEL!$B$1,MATCH(AC345-1,MANOR_LEVEL!$A:$A,0)-1,0),0)</f>
        <v>6000000</v>
      </c>
      <c r="AC345" s="56">
        <v>13</v>
      </c>
      <c r="AD345" s="76"/>
      <c r="AE345" s="18">
        <f t="shared" ca="1" si="89"/>
        <v>1090</v>
      </c>
      <c r="AF345" s="17">
        <f ca="1">AK345+AM345+(IFERROR(OFFSET(ITEM_RES!$R$1,MATCH(AQ345,ITEM_RES!$A:$A,0)-1,0),0)*AS345+IFERROR(OFFSET(ITEM_RES!$R$1,MATCH(AV345,ITEM_RES!$A:$A,0)-1,0),0)*AX345+IFERROR(OFFSET(ITEM_RES!$R$1,MATCH(BA345,ITEM_RES!$A:$A,0)-1,0),0)*BC345+IFERROR(OFFSET(ITEM_RES!$R$1,MATCH(BF345,ITEM_RES!$A:$A,0)-1,0),0)*BH345+IFERROR(OFFSET(ITEM_RES!$R$1,MATCH(BK345,ITEM_RES!$A:$A,0)-1,0),0)*BM345)/1000</f>
        <v>1090</v>
      </c>
      <c r="AG345" s="178">
        <f ca="1">AE345</f>
        <v>1090</v>
      </c>
      <c r="AH345" s="76"/>
      <c r="AI345" s="18">
        <f t="shared" si="99"/>
        <v>2</v>
      </c>
      <c r="AJ345" s="17">
        <v>2</v>
      </c>
      <c r="AK345" s="18">
        <f t="shared" si="105"/>
        <v>0</v>
      </c>
      <c r="AL345" s="17">
        <v>0</v>
      </c>
      <c r="AM345" s="18">
        <f t="shared" si="106"/>
        <v>0</v>
      </c>
      <c r="AN345" s="17">
        <v>0</v>
      </c>
      <c r="AO345" s="56">
        <f t="shared" si="100"/>
        <v>3</v>
      </c>
      <c r="AP345" s="18"/>
      <c r="AQ345" s="18">
        <f ca="1">IFERROR(OFFSET(ITEM_RES!$A$1,MATCH(AR345,ITEM_RES!$J:$J,0)-1,0),0)</f>
        <v>211020401</v>
      </c>
      <c r="AR345" s="17" t="s">
        <v>426</v>
      </c>
      <c r="AS345" s="18">
        <v>20</v>
      </c>
      <c r="AT345" s="17"/>
      <c r="AU345" s="18"/>
      <c r="AV345" s="18">
        <f ca="1">IFERROR(OFFSET(ITEM_RES!$A$1,MATCH(AW345,ITEM_RES!$J:$J,0)-1,0),0)</f>
        <v>211020801</v>
      </c>
      <c r="AW345" s="17" t="s">
        <v>425</v>
      </c>
      <c r="AX345" s="18">
        <v>5</v>
      </c>
      <c r="AY345" s="17"/>
      <c r="AZ345" s="18"/>
      <c r="BA345" s="18">
        <f ca="1">IFERROR(OFFSET(ITEM_RES!$A$1,MATCH(BB345,ITEM_RES!$J:$J,0)-1,0),0)</f>
        <v>213010101</v>
      </c>
      <c r="BB345" s="17" t="s">
        <v>440</v>
      </c>
      <c r="BC345" s="18">
        <v>1</v>
      </c>
      <c r="BD345" s="17"/>
      <c r="BE345" s="18"/>
      <c r="BF345" s="18">
        <f ca="1">IFERROR(OFFSET(ITEM_RES!$A$1,MATCH(BG345,ITEM_RES!$J:$J,0)-1,0),0)</f>
        <v>0</v>
      </c>
      <c r="BG345" s="17"/>
      <c r="BH345" s="18"/>
      <c r="BI345" s="17"/>
      <c r="BJ345" s="18"/>
      <c r="BK345" s="18">
        <f ca="1">IFERROR(OFFSET(ITEM_RES!$A$1,MATCH(BL345,ITEM_RES!$J:$J,0)-1,0),0)</f>
        <v>0</v>
      </c>
      <c r="BL345" s="17"/>
      <c r="BM345" s="18"/>
      <c r="BN345" s="17"/>
    </row>
    <row r="346" spans="1:66" x14ac:dyDescent="0.3">
      <c r="A346" s="14">
        <f t="shared" si="102"/>
        <v>112050002</v>
      </c>
      <c r="B346" s="13">
        <v>11</v>
      </c>
      <c r="C346" s="12">
        <f t="shared" si="103"/>
        <v>2</v>
      </c>
      <c r="D346" s="13">
        <v>5</v>
      </c>
      <c r="E346" s="13">
        <v>0</v>
      </c>
      <c r="F346" s="12">
        <f t="shared" si="104"/>
        <v>2</v>
      </c>
      <c r="H346" s="9">
        <v>2</v>
      </c>
      <c r="I346" s="9">
        <v>2</v>
      </c>
      <c r="K346" s="9" t="s">
        <v>360</v>
      </c>
      <c r="M346" s="9">
        <v>1</v>
      </c>
      <c r="N346" s="9">
        <v>15</v>
      </c>
      <c r="O346" s="9" t="s">
        <v>737</v>
      </c>
      <c r="P346" s="55" t="s">
        <v>1374</v>
      </c>
      <c r="Q346" s="9" t="s">
        <v>679</v>
      </c>
      <c r="S346" s="81" t="s">
        <v>536</v>
      </c>
      <c r="T346" s="9">
        <f ca="1">IFERROR(OFFSET(ITEM_RES!$A$5,MATCH(BUILDING!S346,ITEM_RES!$J$5:$J$229,0)-1,0),0)</f>
        <v>211020801</v>
      </c>
      <c r="U346" s="11">
        <v>1</v>
      </c>
      <c r="V346" s="81" t="s">
        <v>385</v>
      </c>
      <c r="W346" s="11">
        <f ca="1">IFERROR(OFFSET(ITEM_RES!$A$5,MATCH(BUILDING!V346,ITEM_RES!$J$5:$J$229,0)-1,0),0)</f>
        <v>211020901</v>
      </c>
      <c r="Y346" s="9" t="s">
        <v>509</v>
      </c>
      <c r="Z346" s="9">
        <v>2</v>
      </c>
      <c r="AB346" s="11">
        <f ca="1">IFERROR(OFFSET(MANOR_LEVEL!$B$1,MATCH(AC346-1,MANOR_LEVEL!$A:$A,0)-1,0),0)</f>
        <v>6000000</v>
      </c>
      <c r="AC346" s="55">
        <v>13</v>
      </c>
      <c r="AE346" s="11">
        <f t="shared" ref="AE346:AE409" ca="1" si="108">ROUND(AF346,0)</f>
        <v>180</v>
      </c>
      <c r="AF346" s="10">
        <f ca="1">AK346+AM346+(IFERROR(OFFSET(ITEM_RES!$R$1,MATCH(AQ346,ITEM_RES!$A:$A,0)-1,0),0)*AS346+IFERROR(OFFSET(ITEM_RES!$R$1,MATCH(AV346,ITEM_RES!$A:$A,0)-1,0),0)*AX346+IFERROR(OFFSET(ITEM_RES!$R$1,MATCH(BA346,ITEM_RES!$A:$A,0)-1,0),0)*BC346+IFERROR(OFFSET(ITEM_RES!$R$1,MATCH(BF346,ITEM_RES!$A:$A,0)-1,0),0)*BH346+IFERROR(OFFSET(ITEM_RES!$R$1,MATCH(BK346,ITEM_RES!$A:$A,0)-1,0),0)*BM346)/1000</f>
        <v>180</v>
      </c>
      <c r="AG346" s="176">
        <f ca="1">AE345+AE346</f>
        <v>1270</v>
      </c>
      <c r="AI346" s="11">
        <f t="shared" si="99"/>
        <v>2</v>
      </c>
      <c r="AJ346" s="10">
        <v>2</v>
      </c>
      <c r="AK346" s="11">
        <f t="shared" si="105"/>
        <v>0</v>
      </c>
      <c r="AL346" s="10">
        <v>0</v>
      </c>
      <c r="AM346" s="11">
        <f t="shared" si="106"/>
        <v>0</v>
      </c>
      <c r="AN346" s="10">
        <v>0</v>
      </c>
      <c r="AO346" s="55">
        <f t="shared" si="100"/>
        <v>2</v>
      </c>
      <c r="AQ346" s="11">
        <f ca="1">IFERROR(OFFSET(ITEM_RES!$A$1,MATCH(AR346,ITEM_RES!$J:$J,0)-1,0),0)</f>
        <v>211020401</v>
      </c>
      <c r="AR346" s="10" t="s">
        <v>426</v>
      </c>
      <c r="AS346" s="11">
        <v>40</v>
      </c>
      <c r="AV346" s="11">
        <f ca="1">IFERROR(OFFSET(ITEM_RES!$A$1,MATCH(AW346,ITEM_RES!$J:$J,0)-1,0),0)</f>
        <v>211020801</v>
      </c>
      <c r="AW346" s="10" t="s">
        <v>425</v>
      </c>
      <c r="AX346" s="11">
        <v>10</v>
      </c>
      <c r="BA346" s="11">
        <f ca="1">IFERROR(OFFSET(ITEM_RES!$A$1,MATCH(BB346,ITEM_RES!$J:$J,0)-1,0),0)</f>
        <v>0</v>
      </c>
      <c r="BF346" s="11">
        <f ca="1">IFERROR(OFFSET(ITEM_RES!$A$1,MATCH(BG346,ITEM_RES!$J:$J,0)-1,0),0)</f>
        <v>0</v>
      </c>
      <c r="BK346" s="11">
        <f ca="1">IFERROR(OFFSET(ITEM_RES!$A$1,MATCH(BL346,ITEM_RES!$J:$J,0)-1,0),0)</f>
        <v>0</v>
      </c>
    </row>
    <row r="347" spans="1:66" x14ac:dyDescent="0.3">
      <c r="A347" s="14">
        <f t="shared" si="102"/>
        <v>112050003</v>
      </c>
      <c r="B347" s="13">
        <v>11</v>
      </c>
      <c r="C347" s="12">
        <f t="shared" si="103"/>
        <v>2</v>
      </c>
      <c r="D347" s="13">
        <v>5</v>
      </c>
      <c r="E347" s="13">
        <v>0</v>
      </c>
      <c r="F347" s="12">
        <f t="shared" si="104"/>
        <v>3</v>
      </c>
      <c r="H347" s="9">
        <v>2</v>
      </c>
      <c r="I347" s="9">
        <v>3</v>
      </c>
      <c r="K347" s="9" t="s">
        <v>360</v>
      </c>
      <c r="M347" s="9">
        <v>1</v>
      </c>
      <c r="N347" s="9">
        <v>15</v>
      </c>
      <c r="O347" s="9" t="s">
        <v>737</v>
      </c>
      <c r="P347" s="55" t="s">
        <v>1374</v>
      </c>
      <c r="Q347" s="9" t="s">
        <v>679</v>
      </c>
      <c r="S347" s="81" t="s">
        <v>536</v>
      </c>
      <c r="T347" s="9">
        <f ca="1">IFERROR(OFFSET(ITEM_RES!$A$5,MATCH(BUILDING!S347,ITEM_RES!$J$5:$J$229,0)-1,0),0)</f>
        <v>211020801</v>
      </c>
      <c r="U347" s="11">
        <v>1</v>
      </c>
      <c r="V347" s="81" t="s">
        <v>385</v>
      </c>
      <c r="W347" s="11">
        <f ca="1">IFERROR(OFFSET(ITEM_RES!$A$5,MATCH(BUILDING!V347,ITEM_RES!$J$5:$J$229,0)-1,0),0)</f>
        <v>211020901</v>
      </c>
      <c r="Y347" s="9" t="s">
        <v>509</v>
      </c>
      <c r="Z347" s="9">
        <v>3</v>
      </c>
      <c r="AB347" s="11">
        <f ca="1">IFERROR(OFFSET(MANOR_LEVEL!$B$1,MATCH(AC347-1,MANOR_LEVEL!$A:$A,0)-1,0),0)</f>
        <v>6000000</v>
      </c>
      <c r="AC347" s="55">
        <v>13</v>
      </c>
      <c r="AE347" s="11">
        <f t="shared" ca="1" si="108"/>
        <v>270</v>
      </c>
      <c r="AF347" s="10">
        <f ca="1">AK347+AM347+(IFERROR(OFFSET(ITEM_RES!$R$1,MATCH(AQ347,ITEM_RES!$A:$A,0)-1,0),0)*AS347+IFERROR(OFFSET(ITEM_RES!$R$1,MATCH(AV347,ITEM_RES!$A:$A,0)-1,0),0)*AX347+IFERROR(OFFSET(ITEM_RES!$R$1,MATCH(BA347,ITEM_RES!$A:$A,0)-1,0),0)*BC347+IFERROR(OFFSET(ITEM_RES!$R$1,MATCH(BF347,ITEM_RES!$A:$A,0)-1,0),0)*BH347+IFERROR(OFFSET(ITEM_RES!$R$1,MATCH(BK347,ITEM_RES!$A:$A,0)-1,0),0)*BM347)/1000</f>
        <v>270</v>
      </c>
      <c r="AG347" s="176">
        <f t="shared" ref="AG347:AG364" ca="1" si="109">AE346+AE347</f>
        <v>450</v>
      </c>
      <c r="AI347" s="11">
        <f t="shared" si="99"/>
        <v>3</v>
      </c>
      <c r="AJ347" s="10">
        <v>3</v>
      </c>
      <c r="AK347" s="11">
        <f t="shared" si="105"/>
        <v>0</v>
      </c>
      <c r="AL347" s="10">
        <v>0</v>
      </c>
      <c r="AM347" s="11">
        <f t="shared" si="106"/>
        <v>0</v>
      </c>
      <c r="AN347" s="10">
        <v>0</v>
      </c>
      <c r="AO347" s="55">
        <f t="shared" si="100"/>
        <v>2</v>
      </c>
      <c r="AQ347" s="11">
        <f ca="1">IFERROR(OFFSET(ITEM_RES!$A$1,MATCH(AR347,ITEM_RES!$J:$J,0)-1,0),0)</f>
        <v>211020401</v>
      </c>
      <c r="AR347" s="10" t="s">
        <v>426</v>
      </c>
      <c r="AS347" s="11">
        <v>60</v>
      </c>
      <c r="AV347" s="11">
        <f ca="1">IFERROR(OFFSET(ITEM_RES!$A$1,MATCH(AW347,ITEM_RES!$J:$J,0)-1,0),0)</f>
        <v>211020801</v>
      </c>
      <c r="AW347" s="10" t="s">
        <v>425</v>
      </c>
      <c r="AX347" s="11">
        <v>15</v>
      </c>
      <c r="BA347" s="11">
        <f ca="1">IFERROR(OFFSET(ITEM_RES!$A$1,MATCH(BB347,ITEM_RES!$J:$J,0)-1,0),0)</f>
        <v>0</v>
      </c>
      <c r="BF347" s="11">
        <f ca="1">IFERROR(OFFSET(ITEM_RES!$A$1,MATCH(BG347,ITEM_RES!$J:$J,0)-1,0),0)</f>
        <v>0</v>
      </c>
      <c r="BK347" s="11">
        <f ca="1">IFERROR(OFFSET(ITEM_RES!$A$1,MATCH(BL347,ITEM_RES!$J:$J,0)-1,0),0)</f>
        <v>0</v>
      </c>
    </row>
    <row r="348" spans="1:66" x14ac:dyDescent="0.3">
      <c r="A348" s="14">
        <f t="shared" si="102"/>
        <v>112050004</v>
      </c>
      <c r="B348" s="13">
        <v>11</v>
      </c>
      <c r="C348" s="12">
        <f t="shared" si="103"/>
        <v>2</v>
      </c>
      <c r="D348" s="13">
        <v>5</v>
      </c>
      <c r="E348" s="13">
        <v>0</v>
      </c>
      <c r="F348" s="12">
        <f t="shared" si="104"/>
        <v>4</v>
      </c>
      <c r="H348" s="9">
        <v>2</v>
      </c>
      <c r="I348" s="9">
        <v>4</v>
      </c>
      <c r="K348" s="9" t="s">
        <v>360</v>
      </c>
      <c r="M348" s="9">
        <v>1</v>
      </c>
      <c r="N348" s="9">
        <v>15</v>
      </c>
      <c r="O348" s="9" t="s">
        <v>737</v>
      </c>
      <c r="P348" s="55" t="s">
        <v>1374</v>
      </c>
      <c r="Q348" s="9" t="s">
        <v>679</v>
      </c>
      <c r="S348" s="81" t="s">
        <v>536</v>
      </c>
      <c r="T348" s="9">
        <f ca="1">IFERROR(OFFSET(ITEM_RES!$A$5,MATCH(BUILDING!S348,ITEM_RES!$J$5:$J$229,0)-1,0),0)</f>
        <v>211020801</v>
      </c>
      <c r="U348" s="11">
        <v>1</v>
      </c>
      <c r="V348" s="81" t="s">
        <v>385</v>
      </c>
      <c r="W348" s="11">
        <f ca="1">IFERROR(OFFSET(ITEM_RES!$A$5,MATCH(BUILDING!V348,ITEM_RES!$J$5:$J$229,0)-1,0),0)</f>
        <v>211020901</v>
      </c>
      <c r="Y348" s="9" t="s">
        <v>509</v>
      </c>
      <c r="Z348" s="9">
        <v>4</v>
      </c>
      <c r="AB348" s="11">
        <f ca="1">IFERROR(OFFSET(MANOR_LEVEL!$B$1,MATCH(AC348-1,MANOR_LEVEL!$A:$A,0)-1,0),0)</f>
        <v>6000000</v>
      </c>
      <c r="AC348" s="55">
        <v>13</v>
      </c>
      <c r="AE348" s="11">
        <f t="shared" ca="1" si="108"/>
        <v>840</v>
      </c>
      <c r="AF348" s="10">
        <f ca="1">AK348+AM348+(IFERROR(OFFSET(ITEM_RES!$R$1,MATCH(AQ348,ITEM_RES!$A:$A,0)-1,0),0)*AS348+IFERROR(OFFSET(ITEM_RES!$R$1,MATCH(AV348,ITEM_RES!$A:$A,0)-1,0),0)*AX348+IFERROR(OFFSET(ITEM_RES!$R$1,MATCH(BA348,ITEM_RES!$A:$A,0)-1,0),0)*BC348+IFERROR(OFFSET(ITEM_RES!$R$1,MATCH(BF348,ITEM_RES!$A:$A,0)-1,0),0)*BH348+IFERROR(OFFSET(ITEM_RES!$R$1,MATCH(BK348,ITEM_RES!$A:$A,0)-1,0),0)*BM348)/1000</f>
        <v>840</v>
      </c>
      <c r="AG348" s="176">
        <f t="shared" ca="1" si="109"/>
        <v>1110</v>
      </c>
      <c r="AI348" s="11">
        <f t="shared" si="99"/>
        <v>5</v>
      </c>
      <c r="AJ348" s="10">
        <v>5</v>
      </c>
      <c r="AK348" s="11">
        <f t="shared" si="105"/>
        <v>0</v>
      </c>
      <c r="AL348" s="10">
        <v>0</v>
      </c>
      <c r="AM348" s="11">
        <f t="shared" si="106"/>
        <v>0</v>
      </c>
      <c r="AN348" s="10">
        <v>0</v>
      </c>
      <c r="AO348" s="55">
        <f t="shared" si="100"/>
        <v>2</v>
      </c>
      <c r="AQ348" s="11">
        <f ca="1">IFERROR(OFFSET(ITEM_RES!$A$1,MATCH(AR348,ITEM_RES!$J:$J,0)-1,0),0)</f>
        <v>211020401</v>
      </c>
      <c r="AR348" s="10" t="s">
        <v>426</v>
      </c>
      <c r="AS348" s="11">
        <v>240</v>
      </c>
      <c r="AV348" s="11">
        <f ca="1">IFERROR(OFFSET(ITEM_RES!$A$1,MATCH(AW348,ITEM_RES!$J:$J,0)-1,0),0)</f>
        <v>211020801</v>
      </c>
      <c r="AW348" s="10" t="s">
        <v>425</v>
      </c>
      <c r="AX348" s="11">
        <v>20</v>
      </c>
      <c r="BA348" s="11">
        <f ca="1">IFERROR(OFFSET(ITEM_RES!$A$1,MATCH(BB348,ITEM_RES!$J:$J,0)-1,0),0)</f>
        <v>0</v>
      </c>
      <c r="BF348" s="11">
        <f ca="1">IFERROR(OFFSET(ITEM_RES!$A$1,MATCH(BG348,ITEM_RES!$J:$J,0)-1,0),0)</f>
        <v>0</v>
      </c>
      <c r="BK348" s="11">
        <f ca="1">IFERROR(OFFSET(ITEM_RES!$A$1,MATCH(BL348,ITEM_RES!$J:$J,0)-1,0),0)</f>
        <v>0</v>
      </c>
    </row>
    <row r="349" spans="1:66" x14ac:dyDescent="0.3">
      <c r="A349" s="14">
        <f t="shared" si="102"/>
        <v>112050005</v>
      </c>
      <c r="B349" s="13">
        <v>11</v>
      </c>
      <c r="C349" s="12">
        <f t="shared" si="103"/>
        <v>2</v>
      </c>
      <c r="D349" s="13">
        <v>5</v>
      </c>
      <c r="E349" s="13">
        <v>0</v>
      </c>
      <c r="F349" s="12">
        <f t="shared" si="104"/>
        <v>5</v>
      </c>
      <c r="H349" s="9">
        <v>2</v>
      </c>
      <c r="I349" s="9">
        <v>5</v>
      </c>
      <c r="K349" s="9" t="s">
        <v>360</v>
      </c>
      <c r="M349" s="9">
        <v>1</v>
      </c>
      <c r="N349" s="9">
        <v>15</v>
      </c>
      <c r="O349" s="9" t="s">
        <v>737</v>
      </c>
      <c r="P349" s="55" t="s">
        <v>1374</v>
      </c>
      <c r="Q349" s="9" t="s">
        <v>679</v>
      </c>
      <c r="S349" s="81" t="s">
        <v>536</v>
      </c>
      <c r="T349" s="9">
        <f ca="1">IFERROR(OFFSET(ITEM_RES!$A$5,MATCH(BUILDING!S349,ITEM_RES!$J$5:$J$229,0)-1,0),0)</f>
        <v>211020801</v>
      </c>
      <c r="U349" s="11">
        <v>1</v>
      </c>
      <c r="V349" s="81" t="s">
        <v>385</v>
      </c>
      <c r="W349" s="11">
        <f ca="1">IFERROR(OFFSET(ITEM_RES!$A$5,MATCH(BUILDING!V349,ITEM_RES!$J$5:$J$229,0)-1,0),0)</f>
        <v>211020901</v>
      </c>
      <c r="Y349" s="9" t="s">
        <v>509</v>
      </c>
      <c r="Z349" s="9">
        <v>5</v>
      </c>
      <c r="AB349" s="11">
        <f ca="1">IFERROR(OFFSET(MANOR_LEVEL!$B$1,MATCH(AC349-1,MANOR_LEVEL!$A:$A,0)-1,0),0)</f>
        <v>6000000</v>
      </c>
      <c r="AC349" s="55">
        <v>13</v>
      </c>
      <c r="AE349" s="11">
        <f t="shared" ca="1" si="108"/>
        <v>3420</v>
      </c>
      <c r="AF349" s="10">
        <f ca="1">AK349+AM349+(IFERROR(OFFSET(ITEM_RES!$R$1,MATCH(AQ349,ITEM_RES!$A:$A,0)-1,0),0)*AS349+IFERROR(OFFSET(ITEM_RES!$R$1,MATCH(AV349,ITEM_RES!$A:$A,0)-1,0),0)*AX349+IFERROR(OFFSET(ITEM_RES!$R$1,MATCH(BA349,ITEM_RES!$A:$A,0)-1,0),0)*BC349+IFERROR(OFFSET(ITEM_RES!$R$1,MATCH(BF349,ITEM_RES!$A:$A,0)-1,0),0)*BH349+IFERROR(OFFSET(ITEM_RES!$R$1,MATCH(BK349,ITEM_RES!$A:$A,0)-1,0),0)*BM349)/1000</f>
        <v>3420</v>
      </c>
      <c r="AG349" s="176">
        <f t="shared" ca="1" si="109"/>
        <v>4260</v>
      </c>
      <c r="AI349" s="11">
        <f t="shared" si="99"/>
        <v>8</v>
      </c>
      <c r="AJ349" s="10">
        <v>8</v>
      </c>
      <c r="AK349" s="11">
        <f t="shared" si="105"/>
        <v>0</v>
      </c>
      <c r="AL349" s="10">
        <v>0</v>
      </c>
      <c r="AM349" s="11">
        <f t="shared" si="106"/>
        <v>0</v>
      </c>
      <c r="AN349" s="10">
        <v>0</v>
      </c>
      <c r="AO349" s="55">
        <f t="shared" si="100"/>
        <v>2</v>
      </c>
      <c r="AQ349" s="11">
        <f ca="1">IFERROR(OFFSET(ITEM_RES!$A$1,MATCH(AR349,ITEM_RES!$J:$J,0)-1,0),0)</f>
        <v>211020401</v>
      </c>
      <c r="AR349" s="10" t="s">
        <v>426</v>
      </c>
      <c r="AS349" s="11">
        <v>1080</v>
      </c>
      <c r="AV349" s="11">
        <f ca="1">IFERROR(OFFSET(ITEM_RES!$A$1,MATCH(AW349,ITEM_RES!$J:$J,0)-1,0),0)</f>
        <v>211020801</v>
      </c>
      <c r="AW349" s="10" t="s">
        <v>425</v>
      </c>
      <c r="AX349" s="11">
        <v>30</v>
      </c>
      <c r="BA349" s="11">
        <f ca="1">IFERROR(OFFSET(ITEM_RES!$A$1,MATCH(BB349,ITEM_RES!$J:$J,0)-1,0),0)</f>
        <v>0</v>
      </c>
      <c r="BF349" s="11">
        <f ca="1">IFERROR(OFFSET(ITEM_RES!$A$1,MATCH(BG349,ITEM_RES!$J:$J,0)-1,0),0)</f>
        <v>0</v>
      </c>
      <c r="BK349" s="11">
        <f ca="1">IFERROR(OFFSET(ITEM_RES!$A$1,MATCH(BL349,ITEM_RES!$J:$J,0)-1,0),0)</f>
        <v>0</v>
      </c>
    </row>
    <row r="350" spans="1:66" x14ac:dyDescent="0.3">
      <c r="A350" s="14">
        <f t="shared" si="102"/>
        <v>112050006</v>
      </c>
      <c r="B350" s="13">
        <v>11</v>
      </c>
      <c r="C350" s="12">
        <f t="shared" si="103"/>
        <v>2</v>
      </c>
      <c r="D350" s="13">
        <v>5</v>
      </c>
      <c r="E350" s="13">
        <v>0</v>
      </c>
      <c r="F350" s="12">
        <f t="shared" si="104"/>
        <v>6</v>
      </c>
      <c r="H350" s="9">
        <v>2</v>
      </c>
      <c r="I350" s="9">
        <v>6</v>
      </c>
      <c r="K350" s="9" t="s">
        <v>360</v>
      </c>
      <c r="M350" s="9">
        <v>1</v>
      </c>
      <c r="N350" s="9">
        <v>15</v>
      </c>
      <c r="O350" s="9" t="s">
        <v>737</v>
      </c>
      <c r="P350" s="55" t="s">
        <v>1374</v>
      </c>
      <c r="Q350" s="9" t="s">
        <v>679</v>
      </c>
      <c r="S350" s="81" t="s">
        <v>536</v>
      </c>
      <c r="T350" s="9">
        <f ca="1">IFERROR(OFFSET(ITEM_RES!$A$5,MATCH(BUILDING!S350,ITEM_RES!$J$5:$J$229,0)-1,0),0)</f>
        <v>211020801</v>
      </c>
      <c r="U350" s="11">
        <v>1</v>
      </c>
      <c r="V350" s="81" t="s">
        <v>385</v>
      </c>
      <c r="W350" s="11">
        <f ca="1">IFERROR(OFFSET(ITEM_RES!$A$5,MATCH(BUILDING!V350,ITEM_RES!$J$5:$J$229,0)-1,0),0)</f>
        <v>211020901</v>
      </c>
      <c r="Y350" s="9" t="s">
        <v>509</v>
      </c>
      <c r="Z350" s="9">
        <v>6</v>
      </c>
      <c r="AB350" s="11">
        <f ca="1">IFERROR(OFFSET(MANOR_LEVEL!$B$1,MATCH(AC350-1,MANOR_LEVEL!$A:$A,0)-1,0),0)</f>
        <v>37000000</v>
      </c>
      <c r="AC350" s="55">
        <v>16</v>
      </c>
      <c r="AE350" s="11">
        <f t="shared" ca="1" si="108"/>
        <v>11070</v>
      </c>
      <c r="AF350" s="10">
        <f ca="1">AK350+AM350+(IFERROR(OFFSET(ITEM_RES!$R$1,MATCH(AQ350,ITEM_RES!$A:$A,0)-1,0),0)*AS350+IFERROR(OFFSET(ITEM_RES!$R$1,MATCH(AV350,ITEM_RES!$A:$A,0)-1,0),0)*AX350+IFERROR(OFFSET(ITEM_RES!$R$1,MATCH(BA350,ITEM_RES!$A:$A,0)-1,0),0)*BC350+IFERROR(OFFSET(ITEM_RES!$R$1,MATCH(BF350,ITEM_RES!$A:$A,0)-1,0),0)*BH350+IFERROR(OFFSET(ITEM_RES!$R$1,MATCH(BK350,ITEM_RES!$A:$A,0)-1,0),0)*BM350)/1000</f>
        <v>11070</v>
      </c>
      <c r="AG350" s="176">
        <f t="shared" ca="1" si="109"/>
        <v>14490</v>
      </c>
      <c r="AI350" s="11">
        <f t="shared" si="99"/>
        <v>10</v>
      </c>
      <c r="AJ350" s="10">
        <v>10</v>
      </c>
      <c r="AK350" s="11">
        <f t="shared" si="105"/>
        <v>0</v>
      </c>
      <c r="AL350" s="10">
        <v>0</v>
      </c>
      <c r="AM350" s="11">
        <f t="shared" si="106"/>
        <v>0</v>
      </c>
      <c r="AN350" s="10">
        <v>0</v>
      </c>
      <c r="AO350" s="55">
        <f t="shared" si="100"/>
        <v>2</v>
      </c>
      <c r="AQ350" s="11">
        <f ca="1">IFERROR(OFFSET(ITEM_RES!$A$1,MATCH(AR350,ITEM_RES!$J:$J,0)-1,0),0)</f>
        <v>211020401</v>
      </c>
      <c r="AR350" s="10" t="s">
        <v>426</v>
      </c>
      <c r="AS350" s="11">
        <v>3600</v>
      </c>
      <c r="AV350" s="11">
        <f ca="1">IFERROR(OFFSET(ITEM_RES!$A$1,MATCH(AW350,ITEM_RES!$J:$J,0)-1,0),0)</f>
        <v>211020801</v>
      </c>
      <c r="AW350" s="10" t="s">
        <v>425</v>
      </c>
      <c r="AX350" s="11">
        <v>45</v>
      </c>
      <c r="BA350" s="11">
        <f ca="1">IFERROR(OFFSET(ITEM_RES!$A$1,MATCH(BB350,ITEM_RES!$J:$J,0)-1,0),0)</f>
        <v>0</v>
      </c>
      <c r="BF350" s="11">
        <f ca="1">IFERROR(OFFSET(ITEM_RES!$A$1,MATCH(BG350,ITEM_RES!$J:$J,0)-1,0),0)</f>
        <v>0</v>
      </c>
      <c r="BK350" s="11">
        <f ca="1">IFERROR(OFFSET(ITEM_RES!$A$1,MATCH(BL350,ITEM_RES!$J:$J,0)-1,0),0)</f>
        <v>0</v>
      </c>
    </row>
    <row r="351" spans="1:66" x14ac:dyDescent="0.3">
      <c r="A351" s="14">
        <f t="shared" si="102"/>
        <v>112050007</v>
      </c>
      <c r="B351" s="13">
        <v>11</v>
      </c>
      <c r="C351" s="12">
        <f t="shared" si="103"/>
        <v>2</v>
      </c>
      <c r="D351" s="13">
        <v>5</v>
      </c>
      <c r="E351" s="13">
        <v>0</v>
      </c>
      <c r="F351" s="12">
        <f t="shared" si="104"/>
        <v>7</v>
      </c>
      <c r="H351" s="9">
        <v>2</v>
      </c>
      <c r="I351" s="9">
        <v>7</v>
      </c>
      <c r="K351" s="9" t="s">
        <v>360</v>
      </c>
      <c r="M351" s="9">
        <v>1</v>
      </c>
      <c r="N351" s="9">
        <v>15</v>
      </c>
      <c r="O351" s="9" t="s">
        <v>737</v>
      </c>
      <c r="P351" s="55" t="s">
        <v>1374</v>
      </c>
      <c r="Q351" s="9" t="s">
        <v>679</v>
      </c>
      <c r="S351" s="81" t="s">
        <v>536</v>
      </c>
      <c r="T351" s="9">
        <f ca="1">IFERROR(OFFSET(ITEM_RES!$A$5,MATCH(BUILDING!S351,ITEM_RES!$J$5:$J$229,0)-1,0),0)</f>
        <v>211020801</v>
      </c>
      <c r="U351" s="11">
        <v>1</v>
      </c>
      <c r="V351" s="81" t="s">
        <v>385</v>
      </c>
      <c r="W351" s="11">
        <f ca="1">IFERROR(OFFSET(ITEM_RES!$A$5,MATCH(BUILDING!V351,ITEM_RES!$J$5:$J$229,0)-1,0),0)</f>
        <v>211020901</v>
      </c>
      <c r="Y351" s="9" t="s">
        <v>509</v>
      </c>
      <c r="Z351" s="9">
        <v>7</v>
      </c>
      <c r="AB351" s="11">
        <f ca="1">IFERROR(OFFSET(MANOR_LEVEL!$B$1,MATCH(AC351-1,MANOR_LEVEL!$A:$A,0)-1,0),0)</f>
        <v>37000000</v>
      </c>
      <c r="AC351" s="55">
        <v>16</v>
      </c>
      <c r="AE351" s="11">
        <f t="shared" ca="1" si="108"/>
        <v>35080</v>
      </c>
      <c r="AF351" s="10">
        <f ca="1">AK351+AM351+(IFERROR(OFFSET(ITEM_RES!$R$1,MATCH(AQ351,ITEM_RES!$A:$A,0)-1,0),0)*AS351+IFERROR(OFFSET(ITEM_RES!$R$1,MATCH(AV351,ITEM_RES!$A:$A,0)-1,0),0)*AX351+IFERROR(OFFSET(ITEM_RES!$R$1,MATCH(BA351,ITEM_RES!$A:$A,0)-1,0),0)*BC351+IFERROR(OFFSET(ITEM_RES!$R$1,MATCH(BF351,ITEM_RES!$A:$A,0)-1,0),0)*BH351+IFERROR(OFFSET(ITEM_RES!$R$1,MATCH(BK351,ITEM_RES!$A:$A,0)-1,0),0)*BM351)/1000</f>
        <v>35080</v>
      </c>
      <c r="AG351" s="176">
        <f t="shared" ca="1" si="109"/>
        <v>46150</v>
      </c>
      <c r="AI351" s="11">
        <f t="shared" si="99"/>
        <v>15</v>
      </c>
      <c r="AJ351" s="10">
        <v>15</v>
      </c>
      <c r="AK351" s="11">
        <f t="shared" si="105"/>
        <v>0</v>
      </c>
      <c r="AL351" s="10">
        <v>0</v>
      </c>
      <c r="AM351" s="11">
        <f t="shared" si="106"/>
        <v>0</v>
      </c>
      <c r="AN351" s="10">
        <v>0</v>
      </c>
      <c r="AO351" s="55">
        <f t="shared" si="100"/>
        <v>3</v>
      </c>
      <c r="AQ351" s="11">
        <f ca="1">IFERROR(OFFSET(ITEM_RES!$A$1,MATCH(AR351,ITEM_RES!$J:$J,0)-1,0),0)</f>
        <v>211020401</v>
      </c>
      <c r="AR351" s="10" t="s">
        <v>426</v>
      </c>
      <c r="AS351" s="11">
        <v>8000</v>
      </c>
      <c r="AV351" s="11">
        <f ca="1">IFERROR(OFFSET(ITEM_RES!$A$1,MATCH(AW351,ITEM_RES!$J:$J,0)-1,0),0)</f>
        <v>211020801</v>
      </c>
      <c r="AW351" s="10" t="s">
        <v>425</v>
      </c>
      <c r="AX351" s="11">
        <v>180</v>
      </c>
      <c r="BA351" s="11">
        <f ca="1">IFERROR(OFFSET(ITEM_RES!$A$1,MATCH(BB351,ITEM_RES!$J:$J,0)-1,0),0)</f>
        <v>0</v>
      </c>
      <c r="BF351" s="11">
        <f ca="1">IFERROR(OFFSET(ITEM_RES!$A$1,MATCH(BG351,ITEM_RES!$J:$J,0)-1,0),0)</f>
        <v>213011101</v>
      </c>
      <c r="BG351" s="10" t="s">
        <v>454</v>
      </c>
      <c r="BH351" s="11">
        <v>1</v>
      </c>
      <c r="BK351" s="11">
        <f ca="1">IFERROR(OFFSET(ITEM_RES!$A$1,MATCH(BL351,ITEM_RES!$J:$J,0)-1,0),0)</f>
        <v>0</v>
      </c>
    </row>
    <row r="352" spans="1:66" x14ac:dyDescent="0.3">
      <c r="A352" s="14">
        <f t="shared" si="102"/>
        <v>112050008</v>
      </c>
      <c r="B352" s="13">
        <v>11</v>
      </c>
      <c r="C352" s="12">
        <f t="shared" si="103"/>
        <v>2</v>
      </c>
      <c r="D352" s="13">
        <v>5</v>
      </c>
      <c r="E352" s="13">
        <v>0</v>
      </c>
      <c r="F352" s="12">
        <f t="shared" si="104"/>
        <v>8</v>
      </c>
      <c r="H352" s="9">
        <v>2</v>
      </c>
      <c r="I352" s="9">
        <v>8</v>
      </c>
      <c r="K352" s="9" t="s">
        <v>360</v>
      </c>
      <c r="M352" s="9">
        <v>1</v>
      </c>
      <c r="N352" s="9">
        <v>15</v>
      </c>
      <c r="O352" s="9" t="s">
        <v>737</v>
      </c>
      <c r="P352" s="55" t="s">
        <v>1374</v>
      </c>
      <c r="Q352" s="9" t="s">
        <v>679</v>
      </c>
      <c r="S352" s="81" t="s">
        <v>536</v>
      </c>
      <c r="T352" s="9">
        <f ca="1">IFERROR(OFFSET(ITEM_RES!$A$5,MATCH(BUILDING!S352,ITEM_RES!$J$5:$J$229,0)-1,0),0)</f>
        <v>211020801</v>
      </c>
      <c r="U352" s="11">
        <v>1</v>
      </c>
      <c r="V352" s="81" t="s">
        <v>385</v>
      </c>
      <c r="W352" s="11">
        <f ca="1">IFERROR(OFFSET(ITEM_RES!$A$5,MATCH(BUILDING!V352,ITEM_RES!$J$5:$J$229,0)-1,0),0)</f>
        <v>211020901</v>
      </c>
      <c r="Y352" s="9" t="s">
        <v>509</v>
      </c>
      <c r="Z352" s="9">
        <v>8</v>
      </c>
      <c r="AB352" s="11">
        <f ca="1">IFERROR(OFFSET(MANOR_LEVEL!$B$1,MATCH(AC352-1,MANOR_LEVEL!$A:$A,0)-1,0),0)</f>
        <v>37000000</v>
      </c>
      <c r="AC352" s="55">
        <v>16</v>
      </c>
      <c r="AE352" s="11">
        <f t="shared" ca="1" si="108"/>
        <v>55260</v>
      </c>
      <c r="AF352" s="10">
        <f ca="1">AK352+AM352+(IFERROR(OFFSET(ITEM_RES!$R$1,MATCH(AQ352,ITEM_RES!$A:$A,0)-1,0),0)*AS352+IFERROR(OFFSET(ITEM_RES!$R$1,MATCH(AV352,ITEM_RES!$A:$A,0)-1,0),0)*AX352+IFERROR(OFFSET(ITEM_RES!$R$1,MATCH(BA352,ITEM_RES!$A:$A,0)-1,0),0)*BC352+IFERROR(OFFSET(ITEM_RES!$R$1,MATCH(BF352,ITEM_RES!$A:$A,0)-1,0),0)*BH352+IFERROR(OFFSET(ITEM_RES!$R$1,MATCH(BK352,ITEM_RES!$A:$A,0)-1,0),0)*BM352)/1000</f>
        <v>55260</v>
      </c>
      <c r="AG352" s="176">
        <f t="shared" ca="1" si="109"/>
        <v>90340</v>
      </c>
      <c r="AI352" s="11">
        <f t="shared" si="99"/>
        <v>30</v>
      </c>
      <c r="AJ352" s="10">
        <v>30</v>
      </c>
      <c r="AK352" s="11">
        <f t="shared" si="105"/>
        <v>0</v>
      </c>
      <c r="AL352" s="10">
        <v>0</v>
      </c>
      <c r="AM352" s="11">
        <f t="shared" si="106"/>
        <v>0</v>
      </c>
      <c r="AN352" s="10">
        <v>0</v>
      </c>
      <c r="AO352" s="55">
        <f t="shared" si="100"/>
        <v>2</v>
      </c>
      <c r="AQ352" s="11">
        <f ca="1">IFERROR(OFFSET(ITEM_RES!$A$1,MATCH(AR352,ITEM_RES!$J:$J,0)-1,0),0)</f>
        <v>211020401</v>
      </c>
      <c r="AR352" s="10" t="s">
        <v>426</v>
      </c>
      <c r="AS352" s="11">
        <v>16800</v>
      </c>
      <c r="AV352" s="11">
        <f ca="1">IFERROR(OFFSET(ITEM_RES!$A$1,MATCH(AW352,ITEM_RES!$J:$J,0)-1,0),0)</f>
        <v>211020801</v>
      </c>
      <c r="AW352" s="10" t="s">
        <v>425</v>
      </c>
      <c r="AX352" s="11">
        <v>810</v>
      </c>
      <c r="BA352" s="11">
        <f ca="1">IFERROR(OFFSET(ITEM_RES!$A$1,MATCH(BB352,ITEM_RES!$J:$J,0)-1,0),0)</f>
        <v>0</v>
      </c>
      <c r="BF352" s="11">
        <f ca="1">IFERROR(OFFSET(ITEM_RES!$A$1,MATCH(BG352,ITEM_RES!$J:$J,0)-1,0),0)</f>
        <v>0</v>
      </c>
      <c r="BK352" s="11">
        <f ca="1">IFERROR(OFFSET(ITEM_RES!$A$1,MATCH(BL352,ITEM_RES!$J:$J,0)-1,0),0)</f>
        <v>0</v>
      </c>
    </row>
    <row r="353" spans="1:66" x14ac:dyDescent="0.3">
      <c r="A353" s="14">
        <f t="shared" si="102"/>
        <v>112050009</v>
      </c>
      <c r="B353" s="13">
        <v>11</v>
      </c>
      <c r="C353" s="12">
        <f t="shared" si="103"/>
        <v>2</v>
      </c>
      <c r="D353" s="13">
        <v>5</v>
      </c>
      <c r="E353" s="13">
        <v>0</v>
      </c>
      <c r="F353" s="12">
        <f t="shared" si="104"/>
        <v>9</v>
      </c>
      <c r="H353" s="9">
        <v>2</v>
      </c>
      <c r="I353" s="9">
        <v>9</v>
      </c>
      <c r="K353" s="9" t="s">
        <v>360</v>
      </c>
      <c r="M353" s="9">
        <v>1</v>
      </c>
      <c r="N353" s="9">
        <v>15</v>
      </c>
      <c r="O353" s="9" t="s">
        <v>737</v>
      </c>
      <c r="P353" s="55" t="s">
        <v>1374</v>
      </c>
      <c r="Q353" s="9" t="s">
        <v>679</v>
      </c>
      <c r="S353" s="81" t="s">
        <v>536</v>
      </c>
      <c r="T353" s="9">
        <f ca="1">IFERROR(OFFSET(ITEM_RES!$A$5,MATCH(BUILDING!S353,ITEM_RES!$J$5:$J$229,0)-1,0),0)</f>
        <v>211020801</v>
      </c>
      <c r="U353" s="11">
        <v>1</v>
      </c>
      <c r="V353" s="81" t="s">
        <v>385</v>
      </c>
      <c r="W353" s="11">
        <f ca="1">IFERROR(OFFSET(ITEM_RES!$A$5,MATCH(BUILDING!V353,ITEM_RES!$J$5:$J$229,0)-1,0),0)</f>
        <v>211020901</v>
      </c>
      <c r="Y353" s="9" t="s">
        <v>509</v>
      </c>
      <c r="Z353" s="9">
        <v>9</v>
      </c>
      <c r="AB353" s="11">
        <f ca="1">IFERROR(OFFSET(MANOR_LEVEL!$B$1,MATCH(AC353-1,MANOR_LEVEL!$A:$A,0)-1,0),0)</f>
        <v>37000000</v>
      </c>
      <c r="AC353" s="55">
        <v>16</v>
      </c>
      <c r="AE353" s="11">
        <f t="shared" ca="1" si="108"/>
        <v>109800</v>
      </c>
      <c r="AF353" s="10">
        <f ca="1">AK353+AM353+(IFERROR(OFFSET(ITEM_RES!$R$1,MATCH(AQ353,ITEM_RES!$A:$A,0)-1,0),0)*AS353+IFERROR(OFFSET(ITEM_RES!$R$1,MATCH(AV353,ITEM_RES!$A:$A,0)-1,0),0)*AX353+IFERROR(OFFSET(ITEM_RES!$R$1,MATCH(BA353,ITEM_RES!$A:$A,0)-1,0),0)*BC353+IFERROR(OFFSET(ITEM_RES!$R$1,MATCH(BF353,ITEM_RES!$A:$A,0)-1,0),0)*BH353+IFERROR(OFFSET(ITEM_RES!$R$1,MATCH(BK353,ITEM_RES!$A:$A,0)-1,0),0)*BM353)/1000</f>
        <v>109800</v>
      </c>
      <c r="AG353" s="176">
        <f t="shared" ca="1" si="109"/>
        <v>165060</v>
      </c>
      <c r="AI353" s="11">
        <f t="shared" si="99"/>
        <v>60</v>
      </c>
      <c r="AJ353" s="10">
        <v>60</v>
      </c>
      <c r="AK353" s="11">
        <f t="shared" si="105"/>
        <v>0</v>
      </c>
      <c r="AL353" s="10">
        <v>0</v>
      </c>
      <c r="AM353" s="11">
        <f t="shared" si="106"/>
        <v>0</v>
      </c>
      <c r="AN353" s="10">
        <v>0</v>
      </c>
      <c r="AO353" s="55">
        <f t="shared" si="100"/>
        <v>2</v>
      </c>
      <c r="AQ353" s="11">
        <f ca="1">IFERROR(OFFSET(ITEM_RES!$A$1,MATCH(AR353,ITEM_RES!$J:$J,0)-1,0),0)</f>
        <v>211020401</v>
      </c>
      <c r="AR353" s="10" t="s">
        <v>426</v>
      </c>
      <c r="AS353" s="11">
        <v>31200</v>
      </c>
      <c r="AV353" s="11">
        <f ca="1">IFERROR(OFFSET(ITEM_RES!$A$1,MATCH(AW353,ITEM_RES!$J:$J,0)-1,0),0)</f>
        <v>211020801</v>
      </c>
      <c r="AW353" s="10" t="s">
        <v>425</v>
      </c>
      <c r="AX353" s="11">
        <v>2700</v>
      </c>
      <c r="BA353" s="11">
        <f ca="1">IFERROR(OFFSET(ITEM_RES!$A$1,MATCH(BB353,ITEM_RES!$J:$J,0)-1,0),0)</f>
        <v>0</v>
      </c>
      <c r="BF353" s="11">
        <f ca="1">IFERROR(OFFSET(ITEM_RES!$A$1,MATCH(BG353,ITEM_RES!$J:$J,0)-1,0),0)</f>
        <v>0</v>
      </c>
      <c r="BK353" s="11">
        <f ca="1">IFERROR(OFFSET(ITEM_RES!$A$1,MATCH(BL353,ITEM_RES!$J:$J,0)-1,0),0)</f>
        <v>0</v>
      </c>
    </row>
    <row r="354" spans="1:66" x14ac:dyDescent="0.3">
      <c r="A354" s="14">
        <f t="shared" si="102"/>
        <v>112050010</v>
      </c>
      <c r="B354" s="13">
        <v>11</v>
      </c>
      <c r="C354" s="12">
        <f t="shared" si="103"/>
        <v>2</v>
      </c>
      <c r="D354" s="13">
        <v>5</v>
      </c>
      <c r="E354" s="13">
        <v>0</v>
      </c>
      <c r="F354" s="12">
        <f t="shared" si="104"/>
        <v>10</v>
      </c>
      <c r="H354" s="9">
        <v>2</v>
      </c>
      <c r="I354" s="9">
        <v>10</v>
      </c>
      <c r="K354" s="9" t="s">
        <v>360</v>
      </c>
      <c r="M354" s="9">
        <v>1</v>
      </c>
      <c r="N354" s="9">
        <v>15</v>
      </c>
      <c r="O354" s="9" t="s">
        <v>737</v>
      </c>
      <c r="P354" s="55" t="s">
        <v>1374</v>
      </c>
      <c r="Q354" s="9" t="s">
        <v>679</v>
      </c>
      <c r="S354" s="81" t="s">
        <v>536</v>
      </c>
      <c r="T354" s="9">
        <f ca="1">IFERROR(OFFSET(ITEM_RES!$A$5,MATCH(BUILDING!S354,ITEM_RES!$J$5:$J$229,0)-1,0),0)</f>
        <v>211020801</v>
      </c>
      <c r="U354" s="11">
        <v>1</v>
      </c>
      <c r="V354" s="81" t="s">
        <v>385</v>
      </c>
      <c r="W354" s="11">
        <f ca="1">IFERROR(OFFSET(ITEM_RES!$A$5,MATCH(BUILDING!V354,ITEM_RES!$J$5:$J$229,0)-1,0),0)</f>
        <v>211020901</v>
      </c>
      <c r="Y354" s="9" t="s">
        <v>509</v>
      </c>
      <c r="Z354" s="9">
        <v>10</v>
      </c>
      <c r="AB354" s="11">
        <f ca="1">IFERROR(OFFSET(MANOR_LEVEL!$B$1,MATCH(AC354-1,MANOR_LEVEL!$A:$A,0)-1,0),0)</f>
        <v>37000000</v>
      </c>
      <c r="AC354" s="55">
        <v>16</v>
      </c>
      <c r="AE354" s="11">
        <f t="shared" ca="1" si="108"/>
        <v>192000</v>
      </c>
      <c r="AF354" s="10">
        <f ca="1">AK354+AM354+(IFERROR(OFFSET(ITEM_RES!$R$1,MATCH(AQ354,ITEM_RES!$A:$A,0)-1,0),0)*AS354+IFERROR(OFFSET(ITEM_RES!$R$1,MATCH(AV354,ITEM_RES!$A:$A,0)-1,0),0)*AX354+IFERROR(OFFSET(ITEM_RES!$R$1,MATCH(BA354,ITEM_RES!$A:$A,0)-1,0),0)*BC354+IFERROR(OFFSET(ITEM_RES!$R$1,MATCH(BF354,ITEM_RES!$A:$A,0)-1,0),0)*BH354+IFERROR(OFFSET(ITEM_RES!$R$1,MATCH(BK354,ITEM_RES!$A:$A,0)-1,0),0)*BM354)/1000</f>
        <v>192000</v>
      </c>
      <c r="AG354" s="176">
        <f t="shared" ca="1" si="109"/>
        <v>301800</v>
      </c>
      <c r="AI354" s="11">
        <f t="shared" si="99"/>
        <v>180</v>
      </c>
      <c r="AJ354" s="10">
        <v>180</v>
      </c>
      <c r="AK354" s="11">
        <f t="shared" si="105"/>
        <v>0</v>
      </c>
      <c r="AL354" s="10">
        <v>0</v>
      </c>
      <c r="AM354" s="11">
        <f t="shared" si="106"/>
        <v>0</v>
      </c>
      <c r="AN354" s="10">
        <v>0</v>
      </c>
      <c r="AO354" s="55">
        <f t="shared" si="100"/>
        <v>2</v>
      </c>
      <c r="AQ354" s="11">
        <f ca="1">IFERROR(OFFSET(ITEM_RES!$A$1,MATCH(AR354,ITEM_RES!$J:$J,0)-1,0),0)</f>
        <v>211020401</v>
      </c>
      <c r="AR354" s="10" t="s">
        <v>426</v>
      </c>
      <c r="AS354" s="11">
        <v>52000</v>
      </c>
      <c r="AV354" s="11">
        <f ca="1">IFERROR(OFFSET(ITEM_RES!$A$1,MATCH(AW354,ITEM_RES!$J:$J,0)-1,0),0)</f>
        <v>211020801</v>
      </c>
      <c r="AW354" s="10" t="s">
        <v>425</v>
      </c>
      <c r="AX354" s="11">
        <v>6000</v>
      </c>
      <c r="BA354" s="11">
        <f ca="1">IFERROR(OFFSET(ITEM_RES!$A$1,MATCH(BB354,ITEM_RES!$J:$J,0)-1,0),0)</f>
        <v>0</v>
      </c>
      <c r="BF354" s="11">
        <f ca="1">IFERROR(OFFSET(ITEM_RES!$A$1,MATCH(BG354,ITEM_RES!$J:$J,0)-1,0),0)</f>
        <v>0</v>
      </c>
      <c r="BK354" s="11">
        <f ca="1">IFERROR(OFFSET(ITEM_RES!$A$1,MATCH(BL354,ITEM_RES!$J:$J,0)-1,0),0)</f>
        <v>0</v>
      </c>
    </row>
    <row r="355" spans="1:66" x14ac:dyDescent="0.3">
      <c r="A355" s="14">
        <f t="shared" si="102"/>
        <v>112050011</v>
      </c>
      <c r="B355" s="13">
        <v>11</v>
      </c>
      <c r="C355" s="12">
        <f t="shared" si="103"/>
        <v>2</v>
      </c>
      <c r="D355" s="13">
        <v>5</v>
      </c>
      <c r="E355" s="13">
        <v>0</v>
      </c>
      <c r="F355" s="12">
        <f t="shared" si="104"/>
        <v>11</v>
      </c>
      <c r="H355" s="9">
        <v>2</v>
      </c>
      <c r="I355" s="9">
        <v>11</v>
      </c>
      <c r="K355" s="9" t="s">
        <v>360</v>
      </c>
      <c r="M355" s="9">
        <v>1</v>
      </c>
      <c r="N355" s="9">
        <v>15</v>
      </c>
      <c r="O355" s="9" t="s">
        <v>737</v>
      </c>
      <c r="P355" s="55" t="s">
        <v>1374</v>
      </c>
      <c r="Q355" s="9" t="s">
        <v>679</v>
      </c>
      <c r="S355" s="81" t="s">
        <v>536</v>
      </c>
      <c r="T355" s="9">
        <f ca="1">IFERROR(OFFSET(ITEM_RES!$A$5,MATCH(BUILDING!S355,ITEM_RES!$J$5:$J$229,0)-1,0),0)</f>
        <v>211020801</v>
      </c>
      <c r="U355" s="11">
        <v>1</v>
      </c>
      <c r="V355" s="81" t="s">
        <v>385</v>
      </c>
      <c r="W355" s="11">
        <f ca="1">IFERROR(OFFSET(ITEM_RES!$A$5,MATCH(BUILDING!V355,ITEM_RES!$J$5:$J$229,0)-1,0),0)</f>
        <v>211020901</v>
      </c>
      <c r="Y355" s="9" t="s">
        <v>509</v>
      </c>
      <c r="Z355" s="9">
        <v>11</v>
      </c>
      <c r="AB355" s="11">
        <f ca="1">IFERROR(OFFSET(MANOR_LEVEL!$B$1,MATCH(AC355-1,MANOR_LEVEL!$A:$A,0)-1,0),0)</f>
        <v>37000000</v>
      </c>
      <c r="AC355" s="55">
        <v>16</v>
      </c>
      <c r="AE355" s="11">
        <f t="shared" ca="1" si="108"/>
        <v>339600</v>
      </c>
      <c r="AF355" s="10">
        <f ca="1">AK355+AM355+(IFERROR(OFFSET(ITEM_RES!$R$1,MATCH(AQ355,ITEM_RES!$A:$A,0)-1,0),0)*AS355+IFERROR(OFFSET(ITEM_RES!$R$1,MATCH(AV355,ITEM_RES!$A:$A,0)-1,0),0)*AX355+IFERROR(OFFSET(ITEM_RES!$R$1,MATCH(BA355,ITEM_RES!$A:$A,0)-1,0),0)*BC355+IFERROR(OFFSET(ITEM_RES!$R$1,MATCH(BF355,ITEM_RES!$A:$A,0)-1,0),0)*BH355+IFERROR(OFFSET(ITEM_RES!$R$1,MATCH(BK355,ITEM_RES!$A:$A,0)-1,0),0)*BM355)/1000</f>
        <v>339600</v>
      </c>
      <c r="AG355" s="176">
        <f t="shared" ca="1" si="109"/>
        <v>531600</v>
      </c>
      <c r="AI355" s="11">
        <f t="shared" si="99"/>
        <v>360</v>
      </c>
      <c r="AJ355" s="10">
        <v>360</v>
      </c>
      <c r="AK355" s="11">
        <f t="shared" si="105"/>
        <v>0</v>
      </c>
      <c r="AL355" s="10">
        <v>0</v>
      </c>
      <c r="AM355" s="11">
        <f t="shared" si="106"/>
        <v>0</v>
      </c>
      <c r="AN355" s="10">
        <v>0</v>
      </c>
      <c r="AO355" s="55">
        <f t="shared" si="100"/>
        <v>2</v>
      </c>
      <c r="AQ355" s="11">
        <f ca="1">IFERROR(OFFSET(ITEM_RES!$A$1,MATCH(AR355,ITEM_RES!$J:$J,0)-1,0),0)</f>
        <v>211020401</v>
      </c>
      <c r="AR355" s="10" t="s">
        <v>426</v>
      </c>
      <c r="AS355" s="11">
        <v>88000</v>
      </c>
      <c r="AV355" s="11">
        <f ca="1">IFERROR(OFFSET(ITEM_RES!$A$1,MATCH(AW355,ITEM_RES!$J:$J,0)-1,0),0)</f>
        <v>211020801</v>
      </c>
      <c r="AW355" s="10" t="s">
        <v>425</v>
      </c>
      <c r="AX355" s="11">
        <v>12600</v>
      </c>
      <c r="BA355" s="11">
        <f ca="1">IFERROR(OFFSET(ITEM_RES!$A$1,MATCH(BB355,ITEM_RES!$J:$J,0)-1,0),0)</f>
        <v>0</v>
      </c>
      <c r="BF355" s="11">
        <f ca="1">IFERROR(OFFSET(ITEM_RES!$A$1,MATCH(BG355,ITEM_RES!$J:$J,0)-1,0),0)</f>
        <v>0</v>
      </c>
      <c r="BK355" s="11">
        <f ca="1">IFERROR(OFFSET(ITEM_RES!$A$1,MATCH(BL355,ITEM_RES!$J:$J,0)-1,0),0)</f>
        <v>0</v>
      </c>
    </row>
    <row r="356" spans="1:66" x14ac:dyDescent="0.3">
      <c r="A356" s="14">
        <f t="shared" si="102"/>
        <v>112050012</v>
      </c>
      <c r="B356" s="13">
        <v>11</v>
      </c>
      <c r="C356" s="12">
        <f t="shared" si="103"/>
        <v>2</v>
      </c>
      <c r="D356" s="13">
        <v>5</v>
      </c>
      <c r="E356" s="13">
        <v>0</v>
      </c>
      <c r="F356" s="12">
        <f t="shared" si="104"/>
        <v>12</v>
      </c>
      <c r="H356" s="9">
        <v>2</v>
      </c>
      <c r="I356" s="9">
        <v>12</v>
      </c>
      <c r="K356" s="9" t="s">
        <v>360</v>
      </c>
      <c r="M356" s="9">
        <v>1</v>
      </c>
      <c r="N356" s="9">
        <v>15</v>
      </c>
      <c r="O356" s="9" t="s">
        <v>737</v>
      </c>
      <c r="P356" s="55" t="s">
        <v>1374</v>
      </c>
      <c r="Q356" s="9" t="s">
        <v>679</v>
      </c>
      <c r="S356" s="81" t="s">
        <v>536</v>
      </c>
      <c r="T356" s="9">
        <f ca="1">IFERROR(OFFSET(ITEM_RES!$A$5,MATCH(BUILDING!S356,ITEM_RES!$J$5:$J$229,0)-1,0),0)</f>
        <v>211020801</v>
      </c>
      <c r="U356" s="11">
        <v>1</v>
      </c>
      <c r="V356" s="81" t="s">
        <v>385</v>
      </c>
      <c r="W356" s="11">
        <f ca="1">IFERROR(OFFSET(ITEM_RES!$A$5,MATCH(BUILDING!V356,ITEM_RES!$J$5:$J$229,0)-1,0),0)</f>
        <v>211020901</v>
      </c>
      <c r="Y356" s="9" t="s">
        <v>509</v>
      </c>
      <c r="Z356" s="9">
        <v>12</v>
      </c>
      <c r="AB356" s="11">
        <f ca="1">IFERROR(OFFSET(MANOR_LEVEL!$B$1,MATCH(AC356-1,MANOR_LEVEL!$A:$A,0)-1,0),0)</f>
        <v>37000000</v>
      </c>
      <c r="AC356" s="55">
        <v>16</v>
      </c>
      <c r="AE356" s="11">
        <f t="shared" ca="1" si="108"/>
        <v>880400</v>
      </c>
      <c r="AF356" s="10">
        <f ca="1">AK356+AM356+(IFERROR(OFFSET(ITEM_RES!$R$1,MATCH(AQ356,ITEM_RES!$A:$A,0)-1,0),0)*AS356+IFERROR(OFFSET(ITEM_RES!$R$1,MATCH(AV356,ITEM_RES!$A:$A,0)-1,0),0)*AX356+IFERROR(OFFSET(ITEM_RES!$R$1,MATCH(BA356,ITEM_RES!$A:$A,0)-1,0),0)*BC356+IFERROR(OFFSET(ITEM_RES!$R$1,MATCH(BF356,ITEM_RES!$A:$A,0)-1,0),0)*BH356+IFERROR(OFFSET(ITEM_RES!$R$1,MATCH(BK356,ITEM_RES!$A:$A,0)-1,0),0)*BM356)/1000</f>
        <v>880400</v>
      </c>
      <c r="AG356" s="176">
        <f t="shared" ca="1" si="109"/>
        <v>1220000</v>
      </c>
      <c r="AI356" s="11">
        <f t="shared" si="99"/>
        <v>540</v>
      </c>
      <c r="AJ356" s="10">
        <v>540</v>
      </c>
      <c r="AK356" s="11">
        <f t="shared" si="105"/>
        <v>0</v>
      </c>
      <c r="AL356" s="10">
        <v>0</v>
      </c>
      <c r="AM356" s="11">
        <f t="shared" si="106"/>
        <v>0</v>
      </c>
      <c r="AN356" s="10">
        <v>0</v>
      </c>
      <c r="AO356" s="55">
        <f t="shared" si="100"/>
        <v>2</v>
      </c>
      <c r="AQ356" s="11">
        <f ca="1">IFERROR(OFFSET(ITEM_RES!$A$1,MATCH(AR356,ITEM_RES!$J:$J,0)-1,0),0)</f>
        <v>211020501</v>
      </c>
      <c r="AR356" s="10" t="s">
        <v>424</v>
      </c>
      <c r="AS356" s="11">
        <v>148000</v>
      </c>
      <c r="AV356" s="11">
        <f ca="1">IFERROR(OFFSET(ITEM_RES!$A$1,MATCH(AW356,ITEM_RES!$J:$J,0)-1,0),0)</f>
        <v>211020801</v>
      </c>
      <c r="AW356" s="10" t="s">
        <v>425</v>
      </c>
      <c r="AX356" s="11">
        <v>23400</v>
      </c>
      <c r="BA356" s="11">
        <f ca="1">IFERROR(OFFSET(ITEM_RES!$A$1,MATCH(BB356,ITEM_RES!$J:$J,0)-1,0),0)</f>
        <v>0</v>
      </c>
      <c r="BF356" s="11">
        <f ca="1">IFERROR(OFFSET(ITEM_RES!$A$1,MATCH(BG356,ITEM_RES!$J:$J,0)-1,0),0)</f>
        <v>0</v>
      </c>
      <c r="BK356" s="11">
        <f ca="1">IFERROR(OFFSET(ITEM_RES!$A$1,MATCH(BL356,ITEM_RES!$J:$J,0)-1,0),0)</f>
        <v>0</v>
      </c>
    </row>
    <row r="357" spans="1:66" x14ac:dyDescent="0.3">
      <c r="A357" s="14">
        <f t="shared" si="102"/>
        <v>112050013</v>
      </c>
      <c r="B357" s="13">
        <v>11</v>
      </c>
      <c r="C357" s="12">
        <f t="shared" si="103"/>
        <v>2</v>
      </c>
      <c r="D357" s="13">
        <v>5</v>
      </c>
      <c r="E357" s="13">
        <v>0</v>
      </c>
      <c r="F357" s="12">
        <f t="shared" si="104"/>
        <v>13</v>
      </c>
      <c r="H357" s="9">
        <v>2</v>
      </c>
      <c r="I357" s="9">
        <v>13</v>
      </c>
      <c r="K357" s="9" t="s">
        <v>360</v>
      </c>
      <c r="M357" s="9">
        <v>1</v>
      </c>
      <c r="N357" s="9">
        <v>15</v>
      </c>
      <c r="O357" s="9" t="s">
        <v>737</v>
      </c>
      <c r="P357" s="55" t="s">
        <v>1374</v>
      </c>
      <c r="Q357" s="9" t="s">
        <v>679</v>
      </c>
      <c r="S357" s="81" t="s">
        <v>536</v>
      </c>
      <c r="T357" s="9">
        <f ca="1">IFERROR(OFFSET(ITEM_RES!$A$5,MATCH(BUILDING!S357,ITEM_RES!$J$5:$J$229,0)-1,0),0)</f>
        <v>211020801</v>
      </c>
      <c r="U357" s="11">
        <v>1</v>
      </c>
      <c r="V357" s="81" t="s">
        <v>385</v>
      </c>
      <c r="W357" s="11">
        <f ca="1">IFERROR(OFFSET(ITEM_RES!$A$5,MATCH(BUILDING!V357,ITEM_RES!$J$5:$J$229,0)-1,0),0)</f>
        <v>211020901</v>
      </c>
      <c r="Y357" s="9" t="s">
        <v>509</v>
      </c>
      <c r="Z357" s="9">
        <v>13</v>
      </c>
      <c r="AB357" s="11">
        <f ca="1">IFERROR(OFFSET(MANOR_LEVEL!$B$1,MATCH(AC357-1,MANOR_LEVEL!$A:$A,0)-1,0),0)</f>
        <v>37000000</v>
      </c>
      <c r="AC357" s="55">
        <v>16</v>
      </c>
      <c r="AE357" s="11">
        <f t="shared" ca="1" si="108"/>
        <v>1474000</v>
      </c>
      <c r="AF357" s="10">
        <f ca="1">AK357+AM357+(IFERROR(OFFSET(ITEM_RES!$R$1,MATCH(AQ357,ITEM_RES!$A:$A,0)-1,0),0)*AS357+IFERROR(OFFSET(ITEM_RES!$R$1,MATCH(AV357,ITEM_RES!$A:$A,0)-1,0),0)*AX357+IFERROR(OFFSET(ITEM_RES!$R$1,MATCH(BA357,ITEM_RES!$A:$A,0)-1,0),0)*BC357+IFERROR(OFFSET(ITEM_RES!$R$1,MATCH(BF357,ITEM_RES!$A:$A,0)-1,0),0)*BH357+IFERROR(OFFSET(ITEM_RES!$R$1,MATCH(BK357,ITEM_RES!$A:$A,0)-1,0),0)*BM357)/1000</f>
        <v>1474000</v>
      </c>
      <c r="AG357" s="176">
        <f t="shared" ca="1" si="109"/>
        <v>2354400</v>
      </c>
      <c r="AI357" s="11">
        <f t="shared" si="99"/>
        <v>720</v>
      </c>
      <c r="AJ357" s="10">
        <v>720</v>
      </c>
      <c r="AK357" s="11">
        <f t="shared" si="105"/>
        <v>0</v>
      </c>
      <c r="AL357" s="10">
        <v>0</v>
      </c>
      <c r="AM357" s="11">
        <f t="shared" si="106"/>
        <v>0</v>
      </c>
      <c r="AN357" s="10">
        <v>0</v>
      </c>
      <c r="AO357" s="55">
        <f t="shared" si="100"/>
        <v>2</v>
      </c>
      <c r="AQ357" s="11">
        <f ca="1">IFERROR(OFFSET(ITEM_RES!$A$1,MATCH(AR357,ITEM_RES!$J:$J,0)-1,0),0)</f>
        <v>211020501</v>
      </c>
      <c r="AR357" s="10" t="s">
        <v>424</v>
      </c>
      <c r="AS357" s="11">
        <v>248000</v>
      </c>
      <c r="AV357" s="11">
        <f ca="1">IFERROR(OFFSET(ITEM_RES!$A$1,MATCH(AW357,ITEM_RES!$J:$J,0)-1,0),0)</f>
        <v>211020801</v>
      </c>
      <c r="AW357" s="10" t="s">
        <v>425</v>
      </c>
      <c r="AX357" s="11">
        <v>39000</v>
      </c>
      <c r="BA357" s="11">
        <f ca="1">IFERROR(OFFSET(ITEM_RES!$A$1,MATCH(BB357,ITEM_RES!$J:$J,0)-1,0),0)</f>
        <v>0</v>
      </c>
      <c r="BF357" s="11">
        <f ca="1">IFERROR(OFFSET(ITEM_RES!$A$1,MATCH(BG357,ITEM_RES!$J:$J,0)-1,0),0)</f>
        <v>0</v>
      </c>
      <c r="BK357" s="11">
        <f ca="1">IFERROR(OFFSET(ITEM_RES!$A$1,MATCH(BL357,ITEM_RES!$J:$J,0)-1,0),0)</f>
        <v>0</v>
      </c>
    </row>
    <row r="358" spans="1:66" x14ac:dyDescent="0.3">
      <c r="A358" s="14">
        <f t="shared" si="102"/>
        <v>112050014</v>
      </c>
      <c r="B358" s="13">
        <v>11</v>
      </c>
      <c r="C358" s="12">
        <f t="shared" si="103"/>
        <v>2</v>
      </c>
      <c r="D358" s="13">
        <v>5</v>
      </c>
      <c r="E358" s="13">
        <v>0</v>
      </c>
      <c r="F358" s="12">
        <f t="shared" si="104"/>
        <v>14</v>
      </c>
      <c r="H358" s="9">
        <v>2</v>
      </c>
      <c r="I358" s="9">
        <v>14</v>
      </c>
      <c r="K358" s="9" t="s">
        <v>360</v>
      </c>
      <c r="M358" s="9">
        <v>1</v>
      </c>
      <c r="N358" s="9">
        <v>15</v>
      </c>
      <c r="O358" s="9" t="s">
        <v>737</v>
      </c>
      <c r="P358" s="55" t="s">
        <v>1374</v>
      </c>
      <c r="Q358" s="9" t="s">
        <v>679</v>
      </c>
      <c r="S358" s="81" t="s">
        <v>536</v>
      </c>
      <c r="T358" s="9">
        <f ca="1">IFERROR(OFFSET(ITEM_RES!$A$5,MATCH(BUILDING!S358,ITEM_RES!$J$5:$J$229,0)-1,0),0)</f>
        <v>211020801</v>
      </c>
      <c r="U358" s="11">
        <v>1</v>
      </c>
      <c r="V358" s="81" t="s">
        <v>385</v>
      </c>
      <c r="W358" s="11">
        <f ca="1">IFERROR(OFFSET(ITEM_RES!$A$5,MATCH(BUILDING!V358,ITEM_RES!$J$5:$J$229,0)-1,0),0)</f>
        <v>211020901</v>
      </c>
      <c r="Y358" s="9" t="s">
        <v>509</v>
      </c>
      <c r="Z358" s="9">
        <v>14</v>
      </c>
      <c r="AB358" s="11">
        <f ca="1">IFERROR(OFFSET(MANOR_LEVEL!$B$1,MATCH(AC358-1,MANOR_LEVEL!$A:$A,0)-1,0),0)</f>
        <v>37000000</v>
      </c>
      <c r="AC358" s="55">
        <v>16</v>
      </c>
      <c r="AE358" s="11">
        <f t="shared" ca="1" si="108"/>
        <v>2336000</v>
      </c>
      <c r="AF358" s="10">
        <f ca="1">AK358+AM358+(IFERROR(OFFSET(ITEM_RES!$R$1,MATCH(AQ358,ITEM_RES!$A:$A,0)-1,0),0)*AS358+IFERROR(OFFSET(ITEM_RES!$R$1,MATCH(AV358,ITEM_RES!$A:$A,0)-1,0),0)*AX358+IFERROR(OFFSET(ITEM_RES!$R$1,MATCH(BA358,ITEM_RES!$A:$A,0)-1,0),0)*BC358+IFERROR(OFFSET(ITEM_RES!$R$1,MATCH(BF358,ITEM_RES!$A:$A,0)-1,0),0)*BH358+IFERROR(OFFSET(ITEM_RES!$R$1,MATCH(BK358,ITEM_RES!$A:$A,0)-1,0),0)*BM358)/1000</f>
        <v>2336000</v>
      </c>
      <c r="AG358" s="176">
        <f t="shared" ca="1" si="109"/>
        <v>3810000</v>
      </c>
      <c r="AI358" s="11">
        <f t="shared" si="99"/>
        <v>900</v>
      </c>
      <c r="AJ358" s="10">
        <v>900</v>
      </c>
      <c r="AK358" s="11">
        <f t="shared" si="105"/>
        <v>0</v>
      </c>
      <c r="AL358" s="10">
        <v>0</v>
      </c>
      <c r="AM358" s="11">
        <f t="shared" si="106"/>
        <v>0</v>
      </c>
      <c r="AN358" s="10">
        <v>0</v>
      </c>
      <c r="AO358" s="55">
        <f t="shared" si="100"/>
        <v>2</v>
      </c>
      <c r="AQ358" s="11">
        <f ca="1">IFERROR(OFFSET(ITEM_RES!$A$1,MATCH(AR358,ITEM_RES!$J:$J,0)-1,0),0)</f>
        <v>211020501</v>
      </c>
      <c r="AR358" s="10" t="s">
        <v>424</v>
      </c>
      <c r="AS358" s="11">
        <v>388000</v>
      </c>
      <c r="AV358" s="11">
        <f ca="1">IFERROR(OFFSET(ITEM_RES!$A$1,MATCH(AW358,ITEM_RES!$J:$J,0)-1,0),0)</f>
        <v>211020801</v>
      </c>
      <c r="AW358" s="10" t="s">
        <v>425</v>
      </c>
      <c r="AX358" s="11">
        <v>66000</v>
      </c>
      <c r="BA358" s="11">
        <f ca="1">IFERROR(OFFSET(ITEM_RES!$A$1,MATCH(BB358,ITEM_RES!$J:$J,0)-1,0),0)</f>
        <v>0</v>
      </c>
      <c r="BF358" s="11">
        <f ca="1">IFERROR(OFFSET(ITEM_RES!$A$1,MATCH(BG358,ITEM_RES!$J:$J,0)-1,0),0)</f>
        <v>0</v>
      </c>
      <c r="BK358" s="11">
        <f ca="1">IFERROR(OFFSET(ITEM_RES!$A$1,MATCH(BL358,ITEM_RES!$J:$J,0)-1,0),0)</f>
        <v>0</v>
      </c>
    </row>
    <row r="359" spans="1:66" x14ac:dyDescent="0.3">
      <c r="A359" s="14">
        <f t="shared" si="102"/>
        <v>112050015</v>
      </c>
      <c r="B359" s="13">
        <v>11</v>
      </c>
      <c r="C359" s="12">
        <f t="shared" si="103"/>
        <v>2</v>
      </c>
      <c r="D359" s="13">
        <v>5</v>
      </c>
      <c r="E359" s="13">
        <v>0</v>
      </c>
      <c r="F359" s="12">
        <f t="shared" si="104"/>
        <v>15</v>
      </c>
      <c r="H359" s="9">
        <v>2</v>
      </c>
      <c r="I359" s="9">
        <v>15</v>
      </c>
      <c r="K359" s="9" t="s">
        <v>360</v>
      </c>
      <c r="M359" s="9">
        <v>1</v>
      </c>
      <c r="N359" s="9">
        <v>15</v>
      </c>
      <c r="O359" s="9" t="s">
        <v>737</v>
      </c>
      <c r="P359" s="55" t="s">
        <v>1374</v>
      </c>
      <c r="Q359" s="9" t="s">
        <v>679</v>
      </c>
      <c r="S359" s="81" t="s">
        <v>536</v>
      </c>
      <c r="T359" s="9">
        <f ca="1">IFERROR(OFFSET(ITEM_RES!$A$5,MATCH(BUILDING!S359,ITEM_RES!$J$5:$J$229,0)-1,0),0)</f>
        <v>211020801</v>
      </c>
      <c r="U359" s="11">
        <v>1</v>
      </c>
      <c r="V359" s="81" t="s">
        <v>385</v>
      </c>
      <c r="W359" s="11">
        <f ca="1">IFERROR(OFFSET(ITEM_RES!$A$5,MATCH(BUILDING!V359,ITEM_RES!$J$5:$J$229,0)-1,0),0)</f>
        <v>211020901</v>
      </c>
      <c r="Y359" s="9" t="s">
        <v>509</v>
      </c>
      <c r="Z359" s="9">
        <v>15</v>
      </c>
      <c r="AB359" s="11">
        <f ca="1">IFERROR(OFFSET(MANOR_LEVEL!$B$1,MATCH(AC359-1,MANOR_LEVEL!$A:$A,0)-1,0),0)</f>
        <v>37000000</v>
      </c>
      <c r="AC359" s="55">
        <v>16</v>
      </c>
      <c r="AE359" s="11">
        <f t="shared" ca="1" si="108"/>
        <v>4866000</v>
      </c>
      <c r="AF359" s="10">
        <f ca="1">AK359+AM359+(IFERROR(OFFSET(ITEM_RES!$R$1,MATCH(AQ359,ITEM_RES!$A:$A,0)-1,0),0)*AS359+IFERROR(OFFSET(ITEM_RES!$R$1,MATCH(AV359,ITEM_RES!$A:$A,0)-1,0),0)*AX359+IFERROR(OFFSET(ITEM_RES!$R$1,MATCH(BA359,ITEM_RES!$A:$A,0)-1,0),0)*BC359+IFERROR(OFFSET(ITEM_RES!$R$1,MATCH(BF359,ITEM_RES!$A:$A,0)-1,0),0)*BH359+IFERROR(OFFSET(ITEM_RES!$R$1,MATCH(BK359,ITEM_RES!$A:$A,0)-1,0),0)*BM359)/1000</f>
        <v>4866000</v>
      </c>
      <c r="AG359" s="176">
        <f t="shared" ca="1" si="109"/>
        <v>7202000</v>
      </c>
      <c r="AI359" s="11">
        <f t="shared" si="99"/>
        <v>1080</v>
      </c>
      <c r="AJ359" s="10">
        <v>1080</v>
      </c>
      <c r="AK359" s="11">
        <f t="shared" si="105"/>
        <v>0</v>
      </c>
      <c r="AL359" s="10">
        <v>0</v>
      </c>
      <c r="AM359" s="11">
        <f t="shared" si="106"/>
        <v>0</v>
      </c>
      <c r="AN359" s="10">
        <v>0</v>
      </c>
      <c r="AO359" s="55">
        <f t="shared" si="100"/>
        <v>2</v>
      </c>
      <c r="AQ359" s="11">
        <f ca="1">IFERROR(OFFSET(ITEM_RES!$A$1,MATCH(AR359,ITEM_RES!$J:$J,0)-1,0),0)</f>
        <v>211020501</v>
      </c>
      <c r="AR359" s="10" t="s">
        <v>424</v>
      </c>
      <c r="AS359" s="11">
        <v>840000</v>
      </c>
      <c r="AV359" s="11">
        <f ca="1">IFERROR(OFFSET(ITEM_RES!$A$1,MATCH(AW359,ITEM_RES!$J:$J,0)-1,0),0)</f>
        <v>211020801</v>
      </c>
      <c r="AW359" s="10" t="s">
        <v>425</v>
      </c>
      <c r="AX359" s="11">
        <v>111000</v>
      </c>
      <c r="BA359" s="11">
        <f ca="1">IFERROR(OFFSET(ITEM_RES!$A$1,MATCH(BB359,ITEM_RES!$J:$J,0)-1,0),0)</f>
        <v>0</v>
      </c>
      <c r="BF359" s="11">
        <f ca="1">IFERROR(OFFSET(ITEM_RES!$A$1,MATCH(BG359,ITEM_RES!$J:$J,0)-1,0),0)</f>
        <v>0</v>
      </c>
      <c r="BK359" s="11">
        <f ca="1">IFERROR(OFFSET(ITEM_RES!$A$1,MATCH(BL359,ITEM_RES!$J:$J,0)-1,0),0)</f>
        <v>0</v>
      </c>
    </row>
    <row r="360" spans="1:66" x14ac:dyDescent="0.3">
      <c r="A360" s="14">
        <f t="shared" si="102"/>
        <v>112050016</v>
      </c>
      <c r="B360" s="13">
        <v>11</v>
      </c>
      <c r="C360" s="12">
        <f t="shared" si="103"/>
        <v>2</v>
      </c>
      <c r="D360" s="13">
        <v>5</v>
      </c>
      <c r="E360" s="13">
        <v>0</v>
      </c>
      <c r="F360" s="12">
        <f t="shared" si="104"/>
        <v>16</v>
      </c>
      <c r="H360" s="9">
        <v>2</v>
      </c>
      <c r="I360" s="9">
        <v>16</v>
      </c>
      <c r="K360" s="9" t="s">
        <v>360</v>
      </c>
      <c r="M360" s="9">
        <v>0</v>
      </c>
      <c r="N360" s="9">
        <v>15</v>
      </c>
      <c r="O360" s="9" t="s">
        <v>737</v>
      </c>
      <c r="P360" s="55" t="s">
        <v>1374</v>
      </c>
      <c r="Q360" s="9" t="s">
        <v>679</v>
      </c>
      <c r="S360" s="81" t="s">
        <v>536</v>
      </c>
      <c r="T360" s="9">
        <f ca="1">IFERROR(OFFSET(ITEM_RES!$A$5,MATCH(BUILDING!S360,ITEM_RES!$J$5:$J$229,0)-1,0),0)</f>
        <v>211020801</v>
      </c>
      <c r="U360" s="11">
        <v>1</v>
      </c>
      <c r="V360" s="81" t="s">
        <v>385</v>
      </c>
      <c r="W360" s="11">
        <f ca="1">IFERROR(OFFSET(ITEM_RES!$A$5,MATCH(BUILDING!V360,ITEM_RES!$J$5:$J$229,0)-1,0),0)</f>
        <v>211020901</v>
      </c>
      <c r="Y360" s="9" t="s">
        <v>509</v>
      </c>
      <c r="Z360" s="9">
        <v>16</v>
      </c>
      <c r="AB360" s="11">
        <f ca="1">IFERROR(OFFSET(MANOR_LEVEL!$B$1,MATCH(AC360-1,MANOR_LEVEL!$A:$A,0)-1,0),0)</f>
        <v>37000000</v>
      </c>
      <c r="AC360" s="55">
        <v>16</v>
      </c>
      <c r="AE360" s="11">
        <f t="shared" ca="1" si="108"/>
        <v>9716000</v>
      </c>
      <c r="AF360" s="10">
        <f ca="1">AK360+AM360+(IFERROR(OFFSET(ITEM_RES!$R$1,MATCH(AQ360,ITEM_RES!$A:$A,0)-1,0),0)*AS360+IFERROR(OFFSET(ITEM_RES!$R$1,MATCH(AV360,ITEM_RES!$A:$A,0)-1,0),0)*AX360+IFERROR(OFFSET(ITEM_RES!$R$1,MATCH(BA360,ITEM_RES!$A:$A,0)-1,0),0)*BC360+IFERROR(OFFSET(ITEM_RES!$R$1,MATCH(BF360,ITEM_RES!$A:$A,0)-1,0),0)*BH360+IFERROR(OFFSET(ITEM_RES!$R$1,MATCH(BK360,ITEM_RES!$A:$A,0)-1,0),0)*BM360)/1000</f>
        <v>9716000</v>
      </c>
      <c r="AG360" s="176">
        <f t="shared" ca="1" si="109"/>
        <v>14582000</v>
      </c>
      <c r="AI360" s="11">
        <f t="shared" si="99"/>
        <v>1260</v>
      </c>
      <c r="AJ360" s="10">
        <v>1260</v>
      </c>
      <c r="AK360" s="11">
        <f t="shared" si="105"/>
        <v>0</v>
      </c>
      <c r="AL360" s="10">
        <v>0</v>
      </c>
      <c r="AM360" s="11">
        <f t="shared" si="106"/>
        <v>0</v>
      </c>
      <c r="AN360" s="10">
        <v>0</v>
      </c>
      <c r="AO360" s="55">
        <f t="shared" si="100"/>
        <v>2</v>
      </c>
      <c r="AQ360" s="11">
        <f ca="1">IFERROR(OFFSET(ITEM_RES!$A$1,MATCH(AR360,ITEM_RES!$J:$J,0)-1,0),0)</f>
        <v>211020501</v>
      </c>
      <c r="AR360" s="10" t="s">
        <v>424</v>
      </c>
      <c r="AS360" s="11">
        <v>1720000</v>
      </c>
      <c r="AV360" s="11">
        <f ca="1">IFERROR(OFFSET(ITEM_RES!$A$1,MATCH(AW360,ITEM_RES!$J:$J,0)-1,0),0)</f>
        <v>211020801</v>
      </c>
      <c r="AW360" s="10" t="s">
        <v>425</v>
      </c>
      <c r="AX360" s="11">
        <v>186000</v>
      </c>
      <c r="BA360" s="11">
        <f ca="1">IFERROR(OFFSET(ITEM_RES!$A$1,MATCH(BB360,ITEM_RES!$J:$J,0)-1,0),0)</f>
        <v>0</v>
      </c>
      <c r="BF360" s="11">
        <f ca="1">IFERROR(OFFSET(ITEM_RES!$A$1,MATCH(BG360,ITEM_RES!$J:$J,0)-1,0),0)</f>
        <v>0</v>
      </c>
      <c r="BK360" s="11">
        <f ca="1">IFERROR(OFFSET(ITEM_RES!$A$1,MATCH(BL360,ITEM_RES!$J:$J,0)-1,0),0)</f>
        <v>0</v>
      </c>
    </row>
    <row r="361" spans="1:66" x14ac:dyDescent="0.3">
      <c r="A361" s="14">
        <f t="shared" si="102"/>
        <v>112050017</v>
      </c>
      <c r="B361" s="13">
        <v>11</v>
      </c>
      <c r="C361" s="12">
        <f t="shared" si="103"/>
        <v>2</v>
      </c>
      <c r="D361" s="13">
        <v>5</v>
      </c>
      <c r="E361" s="13">
        <v>0</v>
      </c>
      <c r="F361" s="12">
        <f t="shared" si="104"/>
        <v>17</v>
      </c>
      <c r="H361" s="9">
        <v>2</v>
      </c>
      <c r="I361" s="9">
        <v>17</v>
      </c>
      <c r="K361" s="9" t="s">
        <v>360</v>
      </c>
      <c r="M361" s="9">
        <v>0</v>
      </c>
      <c r="N361" s="9">
        <v>15</v>
      </c>
      <c r="O361" s="9" t="s">
        <v>737</v>
      </c>
      <c r="P361" s="55" t="s">
        <v>1374</v>
      </c>
      <c r="Q361" s="9" t="s">
        <v>679</v>
      </c>
      <c r="S361" s="81" t="s">
        <v>536</v>
      </c>
      <c r="T361" s="9">
        <f ca="1">IFERROR(OFFSET(ITEM_RES!$A$5,MATCH(BUILDING!S361,ITEM_RES!$J$5:$J$229,0)-1,0),0)</f>
        <v>211020801</v>
      </c>
      <c r="U361" s="11">
        <v>1</v>
      </c>
      <c r="V361" s="81" t="s">
        <v>385</v>
      </c>
      <c r="W361" s="11">
        <f ca="1">IFERROR(OFFSET(ITEM_RES!$A$5,MATCH(BUILDING!V361,ITEM_RES!$J$5:$J$229,0)-1,0),0)</f>
        <v>211020901</v>
      </c>
      <c r="Y361" s="9" t="s">
        <v>509</v>
      </c>
      <c r="Z361" s="9">
        <v>17</v>
      </c>
      <c r="AB361" s="11">
        <f ca="1">IFERROR(OFFSET(MANOR_LEVEL!$B$1,MATCH(AC361-1,MANOR_LEVEL!$A:$A,0)-1,0),0)</f>
        <v>37000000</v>
      </c>
      <c r="AC361" s="55">
        <v>16</v>
      </c>
      <c r="AE361" s="11">
        <f t="shared" ca="1" si="108"/>
        <v>17746000</v>
      </c>
      <c r="AF361" s="10">
        <f ca="1">AK361+AM361+(IFERROR(OFFSET(ITEM_RES!$R$1,MATCH(AQ361,ITEM_RES!$A:$A,0)-1,0),0)*AS361+IFERROR(OFFSET(ITEM_RES!$R$1,MATCH(AV361,ITEM_RES!$A:$A,0)-1,0),0)*AX361+IFERROR(OFFSET(ITEM_RES!$R$1,MATCH(BA361,ITEM_RES!$A:$A,0)-1,0),0)*BC361+IFERROR(OFFSET(ITEM_RES!$R$1,MATCH(BF361,ITEM_RES!$A:$A,0)-1,0),0)*BH361+IFERROR(OFFSET(ITEM_RES!$R$1,MATCH(BK361,ITEM_RES!$A:$A,0)-1,0),0)*BM361)/1000</f>
        <v>17746000</v>
      </c>
      <c r="AG361" s="176">
        <f t="shared" ca="1" si="109"/>
        <v>27462000</v>
      </c>
      <c r="AI361" s="11">
        <f t="shared" si="99"/>
        <v>1440</v>
      </c>
      <c r="AJ361" s="10">
        <v>1440</v>
      </c>
      <c r="AK361" s="11">
        <f t="shared" si="105"/>
        <v>0</v>
      </c>
      <c r="AL361" s="10">
        <v>0</v>
      </c>
      <c r="AM361" s="11">
        <f t="shared" si="106"/>
        <v>0</v>
      </c>
      <c r="AN361" s="10">
        <v>0</v>
      </c>
      <c r="AO361" s="55">
        <f t="shared" si="100"/>
        <v>2</v>
      </c>
      <c r="AQ361" s="11">
        <f ca="1">IFERROR(OFFSET(ITEM_RES!$A$1,MATCH(AR361,ITEM_RES!$J:$J,0)-1,0),0)</f>
        <v>211020501</v>
      </c>
      <c r="AR361" s="10" t="s">
        <v>424</v>
      </c>
      <c r="AS361" s="11">
        <v>3200000</v>
      </c>
      <c r="AV361" s="11">
        <f ca="1">IFERROR(OFFSET(ITEM_RES!$A$1,MATCH(AW361,ITEM_RES!$J:$J,0)-1,0),0)</f>
        <v>211020801</v>
      </c>
      <c r="AW361" s="10" t="s">
        <v>425</v>
      </c>
      <c r="AX361" s="11">
        <v>291000</v>
      </c>
      <c r="BA361" s="11">
        <f ca="1">IFERROR(OFFSET(ITEM_RES!$A$1,MATCH(BB361,ITEM_RES!$J:$J,0)-1,0),0)</f>
        <v>0</v>
      </c>
      <c r="BF361" s="11">
        <f ca="1">IFERROR(OFFSET(ITEM_RES!$A$1,MATCH(BG361,ITEM_RES!$J:$J,0)-1,0),0)</f>
        <v>0</v>
      </c>
      <c r="BK361" s="11">
        <f ca="1">IFERROR(OFFSET(ITEM_RES!$A$1,MATCH(BL361,ITEM_RES!$J:$J,0)-1,0),0)</f>
        <v>0</v>
      </c>
    </row>
    <row r="362" spans="1:66" x14ac:dyDescent="0.3">
      <c r="A362" s="14">
        <f t="shared" si="102"/>
        <v>112050018</v>
      </c>
      <c r="B362" s="13">
        <v>11</v>
      </c>
      <c r="C362" s="12">
        <f t="shared" si="103"/>
        <v>2</v>
      </c>
      <c r="D362" s="13">
        <v>5</v>
      </c>
      <c r="E362" s="13">
        <v>0</v>
      </c>
      <c r="F362" s="12">
        <f t="shared" si="104"/>
        <v>18</v>
      </c>
      <c r="H362" s="9">
        <v>2</v>
      </c>
      <c r="I362" s="9">
        <v>18</v>
      </c>
      <c r="K362" s="9" t="s">
        <v>360</v>
      </c>
      <c r="M362" s="9">
        <v>0</v>
      </c>
      <c r="N362" s="9">
        <v>15</v>
      </c>
      <c r="O362" s="9" t="s">
        <v>737</v>
      </c>
      <c r="P362" s="55" t="s">
        <v>1374</v>
      </c>
      <c r="Q362" s="9" t="s">
        <v>679</v>
      </c>
      <c r="S362" s="81" t="s">
        <v>536</v>
      </c>
      <c r="T362" s="9">
        <f ca="1">IFERROR(OFFSET(ITEM_RES!$A$5,MATCH(BUILDING!S362,ITEM_RES!$J$5:$J$229,0)-1,0),0)</f>
        <v>211020801</v>
      </c>
      <c r="U362" s="11">
        <v>1</v>
      </c>
      <c r="V362" s="81" t="s">
        <v>385</v>
      </c>
      <c r="W362" s="11">
        <f ca="1">IFERROR(OFFSET(ITEM_RES!$A$5,MATCH(BUILDING!V362,ITEM_RES!$J$5:$J$229,0)-1,0),0)</f>
        <v>211020901</v>
      </c>
      <c r="Y362" s="9" t="s">
        <v>509</v>
      </c>
      <c r="Z362" s="9">
        <v>18</v>
      </c>
      <c r="AB362" s="11">
        <f ca="1">IFERROR(OFFSET(MANOR_LEVEL!$B$1,MATCH(AC362-1,MANOR_LEVEL!$A:$A,0)-1,0),0)</f>
        <v>37000000</v>
      </c>
      <c r="AC362" s="55">
        <v>16</v>
      </c>
      <c r="AE362" s="11">
        <f t="shared" ca="1" si="108"/>
        <v>29780000</v>
      </c>
      <c r="AF362" s="10">
        <f ca="1">AK362+AM362+(IFERROR(OFFSET(ITEM_RES!$R$1,MATCH(AQ362,ITEM_RES!$A:$A,0)-1,0),0)*AS362+IFERROR(OFFSET(ITEM_RES!$R$1,MATCH(AV362,ITEM_RES!$A:$A,0)-1,0),0)*AX362+IFERROR(OFFSET(ITEM_RES!$R$1,MATCH(BA362,ITEM_RES!$A:$A,0)-1,0),0)*BC362+IFERROR(OFFSET(ITEM_RES!$R$1,MATCH(BF362,ITEM_RES!$A:$A,0)-1,0),0)*BH362+IFERROR(OFFSET(ITEM_RES!$R$1,MATCH(BK362,ITEM_RES!$A:$A,0)-1,0),0)*BM362)/1000</f>
        <v>29780000</v>
      </c>
      <c r="AG362" s="176">
        <f t="shared" ca="1" si="109"/>
        <v>47526000</v>
      </c>
      <c r="AI362" s="11">
        <f t="shared" si="99"/>
        <v>1620</v>
      </c>
      <c r="AJ362" s="10">
        <v>1620</v>
      </c>
      <c r="AK362" s="11">
        <f t="shared" si="105"/>
        <v>0</v>
      </c>
      <c r="AL362" s="10">
        <v>0</v>
      </c>
      <c r="AM362" s="11">
        <f t="shared" si="106"/>
        <v>0</v>
      </c>
      <c r="AN362" s="10">
        <v>0</v>
      </c>
      <c r="AO362" s="55">
        <f t="shared" si="100"/>
        <v>2</v>
      </c>
      <c r="AQ362" s="11">
        <f ca="1">IFERROR(OFFSET(ITEM_RES!$A$1,MATCH(AR362,ITEM_RES!$J:$J,0)-1,0),0)</f>
        <v>211020501</v>
      </c>
      <c r="AR362" s="10" t="s">
        <v>424</v>
      </c>
      <c r="AS362" s="11">
        <v>5200000</v>
      </c>
      <c r="AV362" s="11">
        <f ca="1">IFERROR(OFFSET(ITEM_RES!$A$1,MATCH(AW362,ITEM_RES!$J:$J,0)-1,0),0)</f>
        <v>211020801</v>
      </c>
      <c r="AW362" s="10" t="s">
        <v>425</v>
      </c>
      <c r="AX362" s="11">
        <v>630000</v>
      </c>
      <c r="BA362" s="11">
        <f ca="1">IFERROR(OFFSET(ITEM_RES!$A$1,MATCH(BB362,ITEM_RES!$J:$J,0)-1,0),0)</f>
        <v>0</v>
      </c>
      <c r="BF362" s="11">
        <f ca="1">IFERROR(OFFSET(ITEM_RES!$A$1,MATCH(BG362,ITEM_RES!$J:$J,0)-1,0),0)</f>
        <v>0</v>
      </c>
      <c r="BK362" s="11">
        <f ca="1">IFERROR(OFFSET(ITEM_RES!$A$1,MATCH(BL362,ITEM_RES!$J:$J,0)-1,0),0)</f>
        <v>0</v>
      </c>
    </row>
    <row r="363" spans="1:66" x14ac:dyDescent="0.3">
      <c r="A363" s="14">
        <f t="shared" si="102"/>
        <v>112050019</v>
      </c>
      <c r="B363" s="13">
        <v>11</v>
      </c>
      <c r="C363" s="12">
        <f t="shared" si="103"/>
        <v>2</v>
      </c>
      <c r="D363" s="13">
        <v>5</v>
      </c>
      <c r="E363" s="13">
        <v>0</v>
      </c>
      <c r="F363" s="12">
        <f t="shared" si="104"/>
        <v>19</v>
      </c>
      <c r="H363" s="9">
        <v>2</v>
      </c>
      <c r="I363" s="9">
        <v>19</v>
      </c>
      <c r="K363" s="9" t="s">
        <v>360</v>
      </c>
      <c r="M363" s="9">
        <v>0</v>
      </c>
      <c r="N363" s="9">
        <v>15</v>
      </c>
      <c r="O363" s="9" t="s">
        <v>737</v>
      </c>
      <c r="P363" s="55" t="s">
        <v>1374</v>
      </c>
      <c r="Q363" s="9" t="s">
        <v>679</v>
      </c>
      <c r="S363" s="81" t="s">
        <v>536</v>
      </c>
      <c r="T363" s="9">
        <f ca="1">IFERROR(OFFSET(ITEM_RES!$A$5,MATCH(BUILDING!S363,ITEM_RES!$J$5:$J$229,0)-1,0),0)</f>
        <v>211020801</v>
      </c>
      <c r="U363" s="11">
        <v>1</v>
      </c>
      <c r="V363" s="81" t="s">
        <v>385</v>
      </c>
      <c r="W363" s="11">
        <f ca="1">IFERROR(OFFSET(ITEM_RES!$A$5,MATCH(BUILDING!V363,ITEM_RES!$J$5:$J$229,0)-1,0),0)</f>
        <v>211020901</v>
      </c>
      <c r="Y363" s="9" t="s">
        <v>509</v>
      </c>
      <c r="Z363" s="9">
        <v>19</v>
      </c>
      <c r="AB363" s="11">
        <f ca="1">IFERROR(OFFSET(MANOR_LEVEL!$B$1,MATCH(AC363-1,MANOR_LEVEL!$A:$A,0)-1,0),0)</f>
        <v>37000000</v>
      </c>
      <c r="AC363" s="55">
        <v>16</v>
      </c>
      <c r="AE363" s="11">
        <f t="shared" ca="1" si="108"/>
        <v>47740000</v>
      </c>
      <c r="AF363" s="10">
        <f ca="1">AK363+AM363+(IFERROR(OFFSET(ITEM_RES!$R$1,MATCH(AQ363,ITEM_RES!$A:$A,0)-1,0),0)*AS363+IFERROR(OFFSET(ITEM_RES!$R$1,MATCH(AV363,ITEM_RES!$A:$A,0)-1,0),0)*AX363+IFERROR(OFFSET(ITEM_RES!$R$1,MATCH(BA363,ITEM_RES!$A:$A,0)-1,0),0)*BC363+IFERROR(OFFSET(ITEM_RES!$R$1,MATCH(BF363,ITEM_RES!$A:$A,0)-1,0),0)*BH363+IFERROR(OFFSET(ITEM_RES!$R$1,MATCH(BK363,ITEM_RES!$A:$A,0)-1,0),0)*BM363)/1000</f>
        <v>47740000</v>
      </c>
      <c r="AG363" s="176">
        <f t="shared" ca="1" si="109"/>
        <v>77520000</v>
      </c>
      <c r="AI363" s="11">
        <f t="shared" si="99"/>
        <v>1800</v>
      </c>
      <c r="AJ363" s="10">
        <v>1800</v>
      </c>
      <c r="AK363" s="11">
        <f t="shared" si="105"/>
        <v>0</v>
      </c>
      <c r="AL363" s="10">
        <v>0</v>
      </c>
      <c r="AM363" s="11">
        <f t="shared" si="106"/>
        <v>0</v>
      </c>
      <c r="AN363" s="10">
        <v>0</v>
      </c>
      <c r="AO363" s="55">
        <f t="shared" si="100"/>
        <v>2</v>
      </c>
      <c r="AQ363" s="11">
        <f ca="1">IFERROR(OFFSET(ITEM_RES!$A$1,MATCH(AR363,ITEM_RES!$J:$J,0)-1,0),0)</f>
        <v>211020501</v>
      </c>
      <c r="AR363" s="10" t="s">
        <v>424</v>
      </c>
      <c r="AS363" s="11">
        <v>8000000</v>
      </c>
      <c r="AV363" s="11">
        <f ca="1">IFERROR(OFFSET(ITEM_RES!$A$1,MATCH(AW363,ITEM_RES!$J:$J,0)-1,0),0)</f>
        <v>211020801</v>
      </c>
      <c r="AW363" s="10" t="s">
        <v>425</v>
      </c>
      <c r="AX363" s="11">
        <v>1290000</v>
      </c>
      <c r="BA363" s="11">
        <f ca="1">IFERROR(OFFSET(ITEM_RES!$A$1,MATCH(BB363,ITEM_RES!$J:$J,0)-1,0),0)</f>
        <v>0</v>
      </c>
      <c r="BF363" s="11">
        <f ca="1">IFERROR(OFFSET(ITEM_RES!$A$1,MATCH(BG363,ITEM_RES!$J:$J,0)-1,0),0)</f>
        <v>0</v>
      </c>
      <c r="BK363" s="11">
        <f ca="1">IFERROR(OFFSET(ITEM_RES!$A$1,MATCH(BL363,ITEM_RES!$J:$J,0)-1,0),0)</f>
        <v>0</v>
      </c>
    </row>
    <row r="364" spans="1:66" ht="17.25" thickBot="1" x14ac:dyDescent="0.35">
      <c r="A364" s="14">
        <f t="shared" si="102"/>
        <v>112050020</v>
      </c>
      <c r="B364" s="13">
        <v>11</v>
      </c>
      <c r="C364" s="12">
        <f t="shared" si="103"/>
        <v>2</v>
      </c>
      <c r="D364" s="13">
        <v>5</v>
      </c>
      <c r="E364" s="13">
        <v>0</v>
      </c>
      <c r="F364" s="12">
        <f t="shared" si="104"/>
        <v>20</v>
      </c>
      <c r="H364" s="9">
        <v>2</v>
      </c>
      <c r="I364" s="9">
        <v>20</v>
      </c>
      <c r="K364" s="9" t="s">
        <v>360</v>
      </c>
      <c r="M364" s="9">
        <v>0</v>
      </c>
      <c r="N364" s="9">
        <v>15</v>
      </c>
      <c r="O364" s="9" t="s">
        <v>737</v>
      </c>
      <c r="P364" s="55" t="s">
        <v>1374</v>
      </c>
      <c r="Q364" s="9" t="s">
        <v>679</v>
      </c>
      <c r="S364" s="81" t="s">
        <v>536</v>
      </c>
      <c r="T364" s="9">
        <f ca="1">IFERROR(OFFSET(ITEM_RES!$A$5,MATCH(BUILDING!S364,ITEM_RES!$J$5:$J$229,0)-1,0),0)</f>
        <v>211020801</v>
      </c>
      <c r="U364" s="11">
        <v>1</v>
      </c>
      <c r="V364" s="81" t="s">
        <v>385</v>
      </c>
      <c r="W364" s="11">
        <f ca="1">IFERROR(OFFSET(ITEM_RES!$A$5,MATCH(BUILDING!V364,ITEM_RES!$J$5:$J$229,0)-1,0),0)</f>
        <v>211020901</v>
      </c>
      <c r="Y364" s="9" t="s">
        <v>509</v>
      </c>
      <c r="Z364" s="9">
        <v>20</v>
      </c>
      <c r="AB364" s="11">
        <f ca="1">IFERROR(OFFSET(MANOR_LEVEL!$B$1,MATCH(AC364-1,MANOR_LEVEL!$A:$A,0)-1,0),0)</f>
        <v>37000000</v>
      </c>
      <c r="AC364" s="55">
        <v>16</v>
      </c>
      <c r="AE364" s="11">
        <f t="shared" ca="1" si="108"/>
        <v>78400000</v>
      </c>
      <c r="AF364" s="10">
        <f ca="1">AK364+AM364+(IFERROR(OFFSET(ITEM_RES!$R$1,MATCH(AQ364,ITEM_RES!$A:$A,0)-1,0),0)*AS364+IFERROR(OFFSET(ITEM_RES!$R$1,MATCH(AV364,ITEM_RES!$A:$A,0)-1,0),0)*AX364+IFERROR(OFFSET(ITEM_RES!$R$1,MATCH(BA364,ITEM_RES!$A:$A,0)-1,0),0)*BC364+IFERROR(OFFSET(ITEM_RES!$R$1,MATCH(BF364,ITEM_RES!$A:$A,0)-1,0),0)*BH364+IFERROR(OFFSET(ITEM_RES!$R$1,MATCH(BK364,ITEM_RES!$A:$A,0)-1,0),0)*BM364)/1000</f>
        <v>78400000</v>
      </c>
      <c r="AG364" s="176">
        <f t="shared" ca="1" si="109"/>
        <v>126140000</v>
      </c>
      <c r="AI364" s="11">
        <f t="shared" si="99"/>
        <v>1980</v>
      </c>
      <c r="AJ364" s="10">
        <v>1980</v>
      </c>
      <c r="AK364" s="11">
        <f t="shared" si="105"/>
        <v>0</v>
      </c>
      <c r="AL364" s="10">
        <v>0</v>
      </c>
      <c r="AM364" s="11">
        <f t="shared" si="106"/>
        <v>0</v>
      </c>
      <c r="AN364" s="10">
        <v>0</v>
      </c>
      <c r="AO364" s="55">
        <f t="shared" si="100"/>
        <v>2</v>
      </c>
      <c r="AQ364" s="11">
        <f ca="1">IFERROR(OFFSET(ITEM_RES!$A$1,MATCH(AR364,ITEM_RES!$J:$J,0)-1,0),0)</f>
        <v>211020501</v>
      </c>
      <c r="AR364" s="10" t="s">
        <v>424</v>
      </c>
      <c r="AS364" s="11">
        <v>12800000</v>
      </c>
      <c r="AV364" s="11">
        <f ca="1">IFERROR(OFFSET(ITEM_RES!$A$1,MATCH(AW364,ITEM_RES!$J:$J,0)-1,0),0)</f>
        <v>211020801</v>
      </c>
      <c r="AW364" s="10" t="s">
        <v>425</v>
      </c>
      <c r="AX364" s="11">
        <v>2400000</v>
      </c>
      <c r="BA364" s="11">
        <f ca="1">IFERROR(OFFSET(ITEM_RES!$A$1,MATCH(BB364,ITEM_RES!$J:$J,0)-1,0),0)</f>
        <v>0</v>
      </c>
      <c r="BF364" s="11">
        <f ca="1">IFERROR(OFFSET(ITEM_RES!$A$1,MATCH(BG364,ITEM_RES!$J:$J,0)-1,0),0)</f>
        <v>0</v>
      </c>
      <c r="BK364" s="11">
        <f ca="1">IFERROR(OFFSET(ITEM_RES!$A$1,MATCH(BL364,ITEM_RES!$J:$J,0)-1,0),0)</f>
        <v>0</v>
      </c>
    </row>
    <row r="365" spans="1:66" s="15" customFormat="1" x14ac:dyDescent="0.3">
      <c r="A365" s="21">
        <f t="shared" si="102"/>
        <v>111090001</v>
      </c>
      <c r="B365" s="20">
        <v>11</v>
      </c>
      <c r="C365" s="19">
        <f t="shared" si="103"/>
        <v>1</v>
      </c>
      <c r="D365" s="20">
        <v>9</v>
      </c>
      <c r="E365" s="20">
        <v>0</v>
      </c>
      <c r="F365" s="19">
        <f t="shared" si="104"/>
        <v>1</v>
      </c>
      <c r="G365" s="76"/>
      <c r="H365" s="16">
        <v>1</v>
      </c>
      <c r="I365" s="16">
        <v>1</v>
      </c>
      <c r="J365" s="76"/>
      <c r="K365" s="16" t="s">
        <v>367</v>
      </c>
      <c r="L365" s="16">
        <v>3</v>
      </c>
      <c r="M365" s="16">
        <v>1</v>
      </c>
      <c r="N365" s="16">
        <v>15</v>
      </c>
      <c r="O365" s="16" t="s">
        <v>1113</v>
      </c>
      <c r="P365" s="56" t="s">
        <v>1375</v>
      </c>
      <c r="Q365" s="16" t="s">
        <v>685</v>
      </c>
      <c r="R365" s="76"/>
      <c r="S365" s="83"/>
      <c r="T365" s="16">
        <f ca="1">IFERROR(OFFSET(ITEM_RES!$A$5,MATCH(BUILDING!S365,ITEM_RES!$J$5:$J$229,0)-1,0),0)</f>
        <v>0</v>
      </c>
      <c r="U365" s="18"/>
      <c r="V365" s="83" t="s">
        <v>531</v>
      </c>
      <c r="W365" s="18">
        <f ca="1">IFERROR(OFFSET(ITEM_RES!$A$5,MATCH(BUILDING!V365,ITEM_RES!$J$5:$J$229,0)-1,0),0)</f>
        <v>211020201</v>
      </c>
      <c r="X365" s="76"/>
      <c r="Y365" s="16" t="s">
        <v>510</v>
      </c>
      <c r="Z365" s="16">
        <v>1</v>
      </c>
      <c r="AA365" s="76"/>
      <c r="AB365" s="18">
        <f ca="1">IFERROR(OFFSET(MANOR_LEVEL!$B$1,MATCH(AC365-1,MANOR_LEVEL!$A:$A,0)-1,0),0)</f>
        <v>2300</v>
      </c>
      <c r="AC365" s="56">
        <v>3</v>
      </c>
      <c r="AD365" s="76"/>
      <c r="AE365" s="18">
        <f t="shared" ca="1" si="108"/>
        <v>1020</v>
      </c>
      <c r="AF365" s="17">
        <f ca="1">AK365+AM365+(IFERROR(OFFSET(ITEM_RES!$R$1,MATCH(AQ365,ITEM_RES!$A:$A,0)-1,0),0)*AS365+IFERROR(OFFSET(ITEM_RES!$R$1,MATCH(AV365,ITEM_RES!$A:$A,0)-1,0),0)*AX365+IFERROR(OFFSET(ITEM_RES!$R$1,MATCH(BA365,ITEM_RES!$A:$A,0)-1,0),0)*BC365+IFERROR(OFFSET(ITEM_RES!$R$1,MATCH(BF365,ITEM_RES!$A:$A,0)-1,0),0)*BH365+IFERROR(OFFSET(ITEM_RES!$R$1,MATCH(BK365,ITEM_RES!$A:$A,0)-1,0),0)*BM365)/1000</f>
        <v>1020</v>
      </c>
      <c r="AG365" s="178">
        <f ca="1">AE365</f>
        <v>1020</v>
      </c>
      <c r="AH365" s="76"/>
      <c r="AI365" s="18">
        <f t="shared" ref="AI365:AI408" si="110">ROUND(AJ365,0)</f>
        <v>2</v>
      </c>
      <c r="AJ365" s="17">
        <v>2</v>
      </c>
      <c r="AK365" s="18">
        <f t="shared" si="105"/>
        <v>0</v>
      </c>
      <c r="AL365" s="17">
        <v>0</v>
      </c>
      <c r="AM365" s="18">
        <f t="shared" si="106"/>
        <v>0</v>
      </c>
      <c r="AN365" s="17">
        <v>0</v>
      </c>
      <c r="AO365" s="56">
        <f t="shared" si="100"/>
        <v>2</v>
      </c>
      <c r="AP365" s="18"/>
      <c r="AQ365" s="18">
        <f ca="1">IFERROR(OFFSET(ITEM_RES!$A$1,MATCH(AR365,ITEM_RES!$J:$J,0)-1,0),0)</f>
        <v>211010501</v>
      </c>
      <c r="AR365" s="17" t="s">
        <v>419</v>
      </c>
      <c r="AS365" s="18">
        <v>20</v>
      </c>
      <c r="AT365" s="17"/>
      <c r="AU365" s="18"/>
      <c r="AV365" s="18">
        <f ca="1">IFERROR(OFFSET(ITEM_RES!$A$1,MATCH(AW365,ITEM_RES!$J:$J,0)-1,0),0)</f>
        <v>0</v>
      </c>
      <c r="AW365" s="17"/>
      <c r="AX365" s="18"/>
      <c r="AY365" s="17"/>
      <c r="AZ365" s="18"/>
      <c r="BA365" s="18">
        <f ca="1">IFERROR(OFFSET(ITEM_RES!$A$1,MATCH(BB365,ITEM_RES!$J:$J,0)-1,0),0)</f>
        <v>213010101</v>
      </c>
      <c r="BB365" s="17" t="s">
        <v>440</v>
      </c>
      <c r="BC365" s="18">
        <v>1</v>
      </c>
      <c r="BD365" s="17"/>
      <c r="BE365" s="18"/>
      <c r="BF365" s="18">
        <f ca="1">IFERROR(OFFSET(ITEM_RES!$A$1,MATCH(BG365,ITEM_RES!$J:$J,0)-1,0),0)</f>
        <v>0</v>
      </c>
      <c r="BG365" s="17"/>
      <c r="BH365" s="18"/>
      <c r="BI365" s="17"/>
      <c r="BJ365" s="18"/>
      <c r="BK365" s="18">
        <f ca="1">IFERROR(OFFSET(ITEM_RES!$A$1,MATCH(BL365,ITEM_RES!$J:$J,0)-1,0),0)</f>
        <v>0</v>
      </c>
      <c r="BL365" s="17"/>
      <c r="BM365" s="18"/>
      <c r="BN365" s="17"/>
    </row>
    <row r="366" spans="1:66" x14ac:dyDescent="0.3">
      <c r="A366" s="14">
        <f t="shared" si="102"/>
        <v>111090002</v>
      </c>
      <c r="B366" s="13">
        <v>11</v>
      </c>
      <c r="C366" s="12">
        <f t="shared" si="103"/>
        <v>1</v>
      </c>
      <c r="D366" s="13">
        <v>9</v>
      </c>
      <c r="E366" s="13">
        <v>0</v>
      </c>
      <c r="F366" s="12">
        <f t="shared" si="104"/>
        <v>2</v>
      </c>
      <c r="H366" s="9">
        <v>1</v>
      </c>
      <c r="I366" s="9">
        <v>2</v>
      </c>
      <c r="K366" s="9" t="s">
        <v>367</v>
      </c>
      <c r="M366" s="9">
        <v>1</v>
      </c>
      <c r="N366" s="9">
        <v>15</v>
      </c>
      <c r="O366" s="9" t="s">
        <v>1114</v>
      </c>
      <c r="P366" s="55" t="s">
        <v>1375</v>
      </c>
      <c r="Q366" s="9" t="s">
        <v>685</v>
      </c>
      <c r="T366" s="9">
        <f ca="1">IFERROR(OFFSET(ITEM_RES!$A$5,MATCH(BUILDING!S366,ITEM_RES!$J$5:$J$229,0)-1,0),0)</f>
        <v>0</v>
      </c>
      <c r="V366" s="81" t="s">
        <v>531</v>
      </c>
      <c r="W366" s="11">
        <f ca="1">IFERROR(OFFSET(ITEM_RES!$A$5,MATCH(BUILDING!V366,ITEM_RES!$J$5:$J$229,0)-1,0),0)</f>
        <v>211020201</v>
      </c>
      <c r="Y366" s="9" t="s">
        <v>510</v>
      </c>
      <c r="Z366" s="9">
        <v>2</v>
      </c>
      <c r="AB366" s="11">
        <f ca="1">IFERROR(OFFSET(MANOR_LEVEL!$B$1,MATCH(AC366-1,MANOR_LEVEL!$A:$A,0)-1,0),0)</f>
        <v>2300</v>
      </c>
      <c r="AC366" s="55">
        <v>3</v>
      </c>
      <c r="AE366" s="11">
        <f t="shared" ca="1" si="108"/>
        <v>40</v>
      </c>
      <c r="AF366" s="10">
        <f ca="1">AK366+AM366+(IFERROR(OFFSET(ITEM_RES!$R$1,MATCH(AQ366,ITEM_RES!$A:$A,0)-1,0),0)*AS366+IFERROR(OFFSET(ITEM_RES!$R$1,MATCH(AV366,ITEM_RES!$A:$A,0)-1,0),0)*AX366+IFERROR(OFFSET(ITEM_RES!$R$1,MATCH(BA366,ITEM_RES!$A:$A,0)-1,0),0)*BC366+IFERROR(OFFSET(ITEM_RES!$R$1,MATCH(BF366,ITEM_RES!$A:$A,0)-1,0),0)*BH366+IFERROR(OFFSET(ITEM_RES!$R$1,MATCH(BK366,ITEM_RES!$A:$A,0)-1,0),0)*BM366)/1000</f>
        <v>40</v>
      </c>
      <c r="AG366" s="176">
        <f ca="1">AE365+AE366</f>
        <v>1060</v>
      </c>
      <c r="AI366" s="11">
        <f t="shared" si="110"/>
        <v>2</v>
      </c>
      <c r="AJ366" s="10">
        <v>2</v>
      </c>
      <c r="AK366" s="11">
        <f t="shared" si="105"/>
        <v>0</v>
      </c>
      <c r="AL366" s="10">
        <v>0</v>
      </c>
      <c r="AM366" s="11">
        <f t="shared" si="106"/>
        <v>0</v>
      </c>
      <c r="AN366" s="10">
        <v>0</v>
      </c>
      <c r="AO366" s="55">
        <f t="shared" ref="AO366:AO409" si="111">(AS366&gt;0)*1+(AX366&gt;0)*1+(BC366&gt;0)*1+(BH366&gt;0)*1+(BM366&gt;0)*1</f>
        <v>1</v>
      </c>
      <c r="AQ366" s="11">
        <f ca="1">IFERROR(OFFSET(ITEM_RES!$A$1,MATCH(AR366,ITEM_RES!$J:$J,0)-1,0),0)</f>
        <v>211010501</v>
      </c>
      <c r="AR366" s="10" t="s">
        <v>419</v>
      </c>
      <c r="AS366" s="11">
        <v>40</v>
      </c>
      <c r="AV366" s="11">
        <f ca="1">IFERROR(OFFSET(ITEM_RES!$A$1,MATCH(AW366,ITEM_RES!$J:$J,0)-1,0),0)</f>
        <v>0</v>
      </c>
      <c r="BA366" s="11">
        <f ca="1">IFERROR(OFFSET(ITEM_RES!$A$1,MATCH(BB366,ITEM_RES!$J:$J,0)-1,0),0)</f>
        <v>0</v>
      </c>
      <c r="BF366" s="11">
        <f ca="1">IFERROR(OFFSET(ITEM_RES!$A$1,MATCH(BG366,ITEM_RES!$J:$J,0)-1,0),0)</f>
        <v>0</v>
      </c>
      <c r="BK366" s="11">
        <f ca="1">IFERROR(OFFSET(ITEM_RES!$A$1,MATCH(BL366,ITEM_RES!$J:$J,0)-1,0),0)</f>
        <v>0</v>
      </c>
    </row>
    <row r="367" spans="1:66" x14ac:dyDescent="0.3">
      <c r="A367" s="14">
        <f t="shared" si="102"/>
        <v>111090003</v>
      </c>
      <c r="B367" s="13">
        <v>11</v>
      </c>
      <c r="C367" s="12">
        <f t="shared" si="103"/>
        <v>1</v>
      </c>
      <c r="D367" s="13">
        <v>9</v>
      </c>
      <c r="E367" s="13">
        <v>0</v>
      </c>
      <c r="F367" s="12">
        <f t="shared" si="104"/>
        <v>3</v>
      </c>
      <c r="H367" s="9">
        <v>1</v>
      </c>
      <c r="I367" s="9">
        <v>3</v>
      </c>
      <c r="K367" s="9" t="s">
        <v>367</v>
      </c>
      <c r="M367" s="9">
        <v>1</v>
      </c>
      <c r="N367" s="9">
        <v>15</v>
      </c>
      <c r="O367" s="9" t="s">
        <v>1115</v>
      </c>
      <c r="P367" s="55" t="s">
        <v>1376</v>
      </c>
      <c r="Q367" s="9" t="s">
        <v>685</v>
      </c>
      <c r="T367" s="9">
        <f ca="1">IFERROR(OFFSET(ITEM_RES!$A$5,MATCH(BUILDING!S367,ITEM_RES!$J$5:$J$229,0)-1,0),0)</f>
        <v>0</v>
      </c>
      <c r="V367" s="81" t="s">
        <v>531</v>
      </c>
      <c r="W367" s="11">
        <f ca="1">IFERROR(OFFSET(ITEM_RES!$A$5,MATCH(BUILDING!V367,ITEM_RES!$J$5:$J$229,0)-1,0),0)</f>
        <v>211020201</v>
      </c>
      <c r="Y367" s="9" t="s">
        <v>510</v>
      </c>
      <c r="Z367" s="9">
        <v>3</v>
      </c>
      <c r="AB367" s="11">
        <f ca="1">IFERROR(OFFSET(MANOR_LEVEL!$B$1,MATCH(AC367-1,MANOR_LEVEL!$A:$A,0)-1,0),0)</f>
        <v>2300</v>
      </c>
      <c r="AC367" s="55">
        <v>3</v>
      </c>
      <c r="AE367" s="11">
        <f t="shared" ca="1" si="108"/>
        <v>60</v>
      </c>
      <c r="AF367" s="10">
        <f ca="1">AK367+AM367+(IFERROR(OFFSET(ITEM_RES!$R$1,MATCH(AQ367,ITEM_RES!$A:$A,0)-1,0),0)*AS367+IFERROR(OFFSET(ITEM_RES!$R$1,MATCH(AV367,ITEM_RES!$A:$A,0)-1,0),0)*AX367+IFERROR(OFFSET(ITEM_RES!$R$1,MATCH(BA367,ITEM_RES!$A:$A,0)-1,0),0)*BC367+IFERROR(OFFSET(ITEM_RES!$R$1,MATCH(BF367,ITEM_RES!$A:$A,0)-1,0),0)*BH367+IFERROR(OFFSET(ITEM_RES!$R$1,MATCH(BK367,ITEM_RES!$A:$A,0)-1,0),0)*BM367)/1000</f>
        <v>60</v>
      </c>
      <c r="AG367" s="176">
        <f t="shared" ref="AG367:AG384" ca="1" si="112">AE366+AE367</f>
        <v>100</v>
      </c>
      <c r="AI367" s="11">
        <f t="shared" si="110"/>
        <v>3</v>
      </c>
      <c r="AJ367" s="10">
        <v>3</v>
      </c>
      <c r="AK367" s="11">
        <f t="shared" si="105"/>
        <v>0</v>
      </c>
      <c r="AL367" s="10">
        <v>0</v>
      </c>
      <c r="AM367" s="11">
        <f t="shared" si="106"/>
        <v>0</v>
      </c>
      <c r="AN367" s="10">
        <v>0</v>
      </c>
      <c r="AO367" s="55">
        <f t="shared" si="111"/>
        <v>1</v>
      </c>
      <c r="AQ367" s="11">
        <f ca="1">IFERROR(OFFSET(ITEM_RES!$A$1,MATCH(AR367,ITEM_RES!$J:$J,0)-1,0),0)</f>
        <v>211010501</v>
      </c>
      <c r="AR367" s="10" t="s">
        <v>419</v>
      </c>
      <c r="AS367" s="11">
        <v>60</v>
      </c>
      <c r="AV367" s="11">
        <f ca="1">IFERROR(OFFSET(ITEM_RES!$A$1,MATCH(AW367,ITEM_RES!$J:$J,0)-1,0),0)</f>
        <v>0</v>
      </c>
      <c r="BA367" s="11">
        <f ca="1">IFERROR(OFFSET(ITEM_RES!$A$1,MATCH(BB367,ITEM_RES!$J:$J,0)-1,0),0)</f>
        <v>0</v>
      </c>
      <c r="BF367" s="11">
        <f ca="1">IFERROR(OFFSET(ITEM_RES!$A$1,MATCH(BG367,ITEM_RES!$J:$J,0)-1,0),0)</f>
        <v>0</v>
      </c>
      <c r="BK367" s="11">
        <f ca="1">IFERROR(OFFSET(ITEM_RES!$A$1,MATCH(BL367,ITEM_RES!$J:$J,0)-1,0),0)</f>
        <v>0</v>
      </c>
    </row>
    <row r="368" spans="1:66" x14ac:dyDescent="0.3">
      <c r="A368" s="14">
        <f t="shared" si="102"/>
        <v>111090004</v>
      </c>
      <c r="B368" s="13">
        <v>11</v>
      </c>
      <c r="C368" s="12">
        <f t="shared" si="103"/>
        <v>1</v>
      </c>
      <c r="D368" s="13">
        <v>9</v>
      </c>
      <c r="E368" s="13">
        <v>0</v>
      </c>
      <c r="F368" s="12">
        <f t="shared" si="104"/>
        <v>4</v>
      </c>
      <c r="H368" s="9">
        <v>1</v>
      </c>
      <c r="I368" s="9">
        <v>4</v>
      </c>
      <c r="K368" s="9" t="s">
        <v>367</v>
      </c>
      <c r="M368" s="9">
        <v>1</v>
      </c>
      <c r="N368" s="9">
        <v>15</v>
      </c>
      <c r="O368" s="9" t="s">
        <v>1116</v>
      </c>
      <c r="P368" s="55" t="s">
        <v>1376</v>
      </c>
      <c r="Q368" s="9" t="s">
        <v>685</v>
      </c>
      <c r="T368" s="9">
        <f ca="1">IFERROR(OFFSET(ITEM_RES!$A$5,MATCH(BUILDING!S368,ITEM_RES!$J$5:$J$229,0)-1,0),0)</f>
        <v>0</v>
      </c>
      <c r="V368" s="81" t="s">
        <v>531</v>
      </c>
      <c r="W368" s="11">
        <f ca="1">IFERROR(OFFSET(ITEM_RES!$A$5,MATCH(BUILDING!V368,ITEM_RES!$J$5:$J$229,0)-1,0),0)</f>
        <v>211020201</v>
      </c>
      <c r="Y368" s="9" t="s">
        <v>510</v>
      </c>
      <c r="Z368" s="9">
        <v>4</v>
      </c>
      <c r="AB368" s="11">
        <f ca="1">IFERROR(OFFSET(MANOR_LEVEL!$B$1,MATCH(AC368-1,MANOR_LEVEL!$A:$A,0)-1,0),0)</f>
        <v>2300</v>
      </c>
      <c r="AC368" s="55">
        <v>3</v>
      </c>
      <c r="AE368" s="11">
        <f t="shared" ca="1" si="108"/>
        <v>240</v>
      </c>
      <c r="AF368" s="10">
        <f ca="1">AK368+AM368+(IFERROR(OFFSET(ITEM_RES!$R$1,MATCH(AQ368,ITEM_RES!$A:$A,0)-1,0),0)*AS368+IFERROR(OFFSET(ITEM_RES!$R$1,MATCH(AV368,ITEM_RES!$A:$A,0)-1,0),0)*AX368+IFERROR(OFFSET(ITEM_RES!$R$1,MATCH(BA368,ITEM_RES!$A:$A,0)-1,0),0)*BC368+IFERROR(OFFSET(ITEM_RES!$R$1,MATCH(BF368,ITEM_RES!$A:$A,0)-1,0),0)*BH368+IFERROR(OFFSET(ITEM_RES!$R$1,MATCH(BK368,ITEM_RES!$A:$A,0)-1,0),0)*BM368)/1000</f>
        <v>240</v>
      </c>
      <c r="AG368" s="176">
        <f t="shared" ca="1" si="112"/>
        <v>300</v>
      </c>
      <c r="AI368" s="11">
        <f t="shared" si="110"/>
        <v>5</v>
      </c>
      <c r="AJ368" s="10">
        <v>5</v>
      </c>
      <c r="AK368" s="11">
        <f t="shared" si="105"/>
        <v>0</v>
      </c>
      <c r="AL368" s="10">
        <v>0</v>
      </c>
      <c r="AM368" s="11">
        <f t="shared" si="106"/>
        <v>0</v>
      </c>
      <c r="AN368" s="10">
        <v>0</v>
      </c>
      <c r="AO368" s="55">
        <f t="shared" si="111"/>
        <v>1</v>
      </c>
      <c r="AQ368" s="11">
        <f ca="1">IFERROR(OFFSET(ITEM_RES!$A$1,MATCH(AR368,ITEM_RES!$J:$J,0)-1,0),0)</f>
        <v>211010501</v>
      </c>
      <c r="AR368" s="10" t="s">
        <v>419</v>
      </c>
      <c r="AS368" s="11">
        <v>240</v>
      </c>
      <c r="AV368" s="11">
        <f ca="1">IFERROR(OFFSET(ITEM_RES!$A$1,MATCH(AW368,ITEM_RES!$J:$J,0)-1,0),0)</f>
        <v>0</v>
      </c>
      <c r="BA368" s="11">
        <f ca="1">IFERROR(OFFSET(ITEM_RES!$A$1,MATCH(BB368,ITEM_RES!$J:$J,0)-1,0),0)</f>
        <v>0</v>
      </c>
      <c r="BF368" s="11">
        <f ca="1">IFERROR(OFFSET(ITEM_RES!$A$1,MATCH(BG368,ITEM_RES!$J:$J,0)-1,0),0)</f>
        <v>0</v>
      </c>
      <c r="BK368" s="11">
        <f ca="1">IFERROR(OFFSET(ITEM_RES!$A$1,MATCH(BL368,ITEM_RES!$J:$J,0)-1,0),0)</f>
        <v>0</v>
      </c>
    </row>
    <row r="369" spans="1:63" x14ac:dyDescent="0.3">
      <c r="A369" s="14">
        <f t="shared" si="102"/>
        <v>111090005</v>
      </c>
      <c r="B369" s="13">
        <v>11</v>
      </c>
      <c r="C369" s="12">
        <f t="shared" si="103"/>
        <v>1</v>
      </c>
      <c r="D369" s="13">
        <v>9</v>
      </c>
      <c r="E369" s="13">
        <v>0</v>
      </c>
      <c r="F369" s="12">
        <f t="shared" si="104"/>
        <v>5</v>
      </c>
      <c r="H369" s="9">
        <v>1</v>
      </c>
      <c r="I369" s="9">
        <v>5</v>
      </c>
      <c r="K369" s="9" t="s">
        <v>367</v>
      </c>
      <c r="M369" s="9">
        <v>1</v>
      </c>
      <c r="N369" s="9">
        <v>15</v>
      </c>
      <c r="O369" s="9" t="s">
        <v>1117</v>
      </c>
      <c r="P369" s="55" t="s">
        <v>1377</v>
      </c>
      <c r="Q369" s="9" t="s">
        <v>685</v>
      </c>
      <c r="T369" s="9">
        <f ca="1">IFERROR(OFFSET(ITEM_RES!$A$5,MATCH(BUILDING!S369,ITEM_RES!$J$5:$J$229,0)-1,0),0)</f>
        <v>0</v>
      </c>
      <c r="V369" s="81" t="s">
        <v>531</v>
      </c>
      <c r="W369" s="11">
        <f ca="1">IFERROR(OFFSET(ITEM_RES!$A$5,MATCH(BUILDING!V369,ITEM_RES!$J$5:$J$229,0)-1,0),0)</f>
        <v>211020201</v>
      </c>
      <c r="Y369" s="9" t="s">
        <v>510</v>
      </c>
      <c r="Z369" s="9">
        <v>5</v>
      </c>
      <c r="AB369" s="11">
        <f ca="1">IFERROR(OFFSET(MANOR_LEVEL!$B$1,MATCH(AC369-1,MANOR_LEVEL!$A:$A,0)-1,0),0)</f>
        <v>7000</v>
      </c>
      <c r="AC369" s="55">
        <v>4</v>
      </c>
      <c r="AE369" s="11">
        <f t="shared" ca="1" si="108"/>
        <v>1620</v>
      </c>
      <c r="AF369" s="10">
        <f ca="1">AK369+AM369+(IFERROR(OFFSET(ITEM_RES!$R$1,MATCH(AQ369,ITEM_RES!$A:$A,0)-1,0),0)*AS369+IFERROR(OFFSET(ITEM_RES!$R$1,MATCH(AV369,ITEM_RES!$A:$A,0)-1,0),0)*AX369+IFERROR(OFFSET(ITEM_RES!$R$1,MATCH(BA369,ITEM_RES!$A:$A,0)-1,0),0)*BC369+IFERROR(OFFSET(ITEM_RES!$R$1,MATCH(BF369,ITEM_RES!$A:$A,0)-1,0),0)*BH369+IFERROR(OFFSET(ITEM_RES!$R$1,MATCH(BK369,ITEM_RES!$A:$A,0)-1,0),0)*BM369)/1000</f>
        <v>1620</v>
      </c>
      <c r="AG369" s="176">
        <f t="shared" ca="1" si="112"/>
        <v>1860</v>
      </c>
      <c r="AI369" s="11">
        <f t="shared" si="110"/>
        <v>8</v>
      </c>
      <c r="AJ369" s="10">
        <v>8</v>
      </c>
      <c r="AK369" s="11">
        <f t="shared" si="105"/>
        <v>0</v>
      </c>
      <c r="AL369" s="10">
        <v>0</v>
      </c>
      <c r="AM369" s="11">
        <f t="shared" si="106"/>
        <v>0</v>
      </c>
      <c r="AN369" s="10">
        <v>0</v>
      </c>
      <c r="AO369" s="55">
        <f t="shared" si="111"/>
        <v>2</v>
      </c>
      <c r="AQ369" s="11">
        <f ca="1">IFERROR(OFFSET(ITEM_RES!$A$1,MATCH(AR369,ITEM_RES!$J:$J,0)-1,0),0)</f>
        <v>211010501</v>
      </c>
      <c r="AR369" s="10" t="s">
        <v>419</v>
      </c>
      <c r="AS369" s="11">
        <v>1080</v>
      </c>
      <c r="AV369" s="11">
        <f ca="1">IFERROR(OFFSET(ITEM_RES!$A$1,MATCH(AW369,ITEM_RES!$J:$J,0)-1,0),0)</f>
        <v>211020101</v>
      </c>
      <c r="AW369" s="10" t="s">
        <v>436</v>
      </c>
      <c r="AX369" s="11">
        <v>1080</v>
      </c>
      <c r="BA369" s="11">
        <f ca="1">IFERROR(OFFSET(ITEM_RES!$A$1,MATCH(BB369,ITEM_RES!$J:$J,0)-1,0),0)</f>
        <v>0</v>
      </c>
      <c r="BF369" s="11">
        <f ca="1">IFERROR(OFFSET(ITEM_RES!$A$1,MATCH(BG369,ITEM_RES!$J:$J,0)-1,0),0)</f>
        <v>0</v>
      </c>
      <c r="BK369" s="11">
        <f ca="1">IFERROR(OFFSET(ITEM_RES!$A$1,MATCH(BL369,ITEM_RES!$J:$J,0)-1,0),0)</f>
        <v>0</v>
      </c>
    </row>
    <row r="370" spans="1:63" x14ac:dyDescent="0.3">
      <c r="A370" s="14">
        <f t="shared" si="102"/>
        <v>111090006</v>
      </c>
      <c r="B370" s="13">
        <v>11</v>
      </c>
      <c r="C370" s="12">
        <f t="shared" si="103"/>
        <v>1</v>
      </c>
      <c r="D370" s="13">
        <v>9</v>
      </c>
      <c r="E370" s="13">
        <v>0</v>
      </c>
      <c r="F370" s="12">
        <f t="shared" si="104"/>
        <v>6</v>
      </c>
      <c r="H370" s="9">
        <v>1</v>
      </c>
      <c r="I370" s="9">
        <v>6</v>
      </c>
      <c r="K370" s="9" t="s">
        <v>367</v>
      </c>
      <c r="M370" s="9">
        <v>1</v>
      </c>
      <c r="N370" s="9">
        <v>15</v>
      </c>
      <c r="O370" s="9" t="s">
        <v>1118</v>
      </c>
      <c r="P370" s="55" t="s">
        <v>1377</v>
      </c>
      <c r="Q370" s="9" t="s">
        <v>685</v>
      </c>
      <c r="T370" s="9">
        <f ca="1">IFERROR(OFFSET(ITEM_RES!$A$5,MATCH(BUILDING!S370,ITEM_RES!$J$5:$J$229,0)-1,0),0)</f>
        <v>0</v>
      </c>
      <c r="V370" s="81" t="s">
        <v>531</v>
      </c>
      <c r="W370" s="11">
        <f ca="1">IFERROR(OFFSET(ITEM_RES!$A$5,MATCH(BUILDING!V370,ITEM_RES!$J$5:$J$229,0)-1,0),0)</f>
        <v>211020201</v>
      </c>
      <c r="Y370" s="9" t="s">
        <v>510</v>
      </c>
      <c r="Z370" s="9">
        <v>6</v>
      </c>
      <c r="AB370" s="11">
        <f ca="1">IFERROR(OFFSET(MANOR_LEVEL!$B$1,MATCH(AC370-1,MANOR_LEVEL!$A:$A,0)-1,0),0)</f>
        <v>7000</v>
      </c>
      <c r="AC370" s="55">
        <v>4</v>
      </c>
      <c r="AE370" s="11">
        <f t="shared" ca="1" si="108"/>
        <v>5400</v>
      </c>
      <c r="AF370" s="10">
        <f ca="1">AK370+AM370+(IFERROR(OFFSET(ITEM_RES!$R$1,MATCH(AQ370,ITEM_RES!$A:$A,0)-1,0),0)*AS370+IFERROR(OFFSET(ITEM_RES!$R$1,MATCH(AV370,ITEM_RES!$A:$A,0)-1,0),0)*AX370+IFERROR(OFFSET(ITEM_RES!$R$1,MATCH(BA370,ITEM_RES!$A:$A,0)-1,0),0)*BC370+IFERROR(OFFSET(ITEM_RES!$R$1,MATCH(BF370,ITEM_RES!$A:$A,0)-1,0),0)*BH370+IFERROR(OFFSET(ITEM_RES!$R$1,MATCH(BK370,ITEM_RES!$A:$A,0)-1,0),0)*BM370)/1000</f>
        <v>5400</v>
      </c>
      <c r="AG370" s="176">
        <f t="shared" ca="1" si="112"/>
        <v>7020</v>
      </c>
      <c r="AI370" s="11">
        <f t="shared" si="110"/>
        <v>10</v>
      </c>
      <c r="AJ370" s="10">
        <v>10</v>
      </c>
      <c r="AK370" s="11">
        <f t="shared" si="105"/>
        <v>0</v>
      </c>
      <c r="AL370" s="10">
        <v>0</v>
      </c>
      <c r="AM370" s="11">
        <f t="shared" si="106"/>
        <v>0</v>
      </c>
      <c r="AN370" s="10">
        <v>0</v>
      </c>
      <c r="AO370" s="55">
        <f t="shared" si="111"/>
        <v>2</v>
      </c>
      <c r="AQ370" s="11">
        <f ca="1">IFERROR(OFFSET(ITEM_RES!$A$1,MATCH(AR370,ITEM_RES!$J:$J,0)-1,0),0)</f>
        <v>211010501</v>
      </c>
      <c r="AR370" s="10" t="s">
        <v>419</v>
      </c>
      <c r="AS370" s="11">
        <v>3600</v>
      </c>
      <c r="AV370" s="11">
        <f ca="1">IFERROR(OFFSET(ITEM_RES!$A$1,MATCH(AW370,ITEM_RES!$J:$J,0)-1,0),0)</f>
        <v>211020101</v>
      </c>
      <c r="AW370" s="10" t="s">
        <v>436</v>
      </c>
      <c r="AX370" s="11">
        <v>3600</v>
      </c>
      <c r="BA370" s="11">
        <f ca="1">IFERROR(OFFSET(ITEM_RES!$A$1,MATCH(BB370,ITEM_RES!$J:$J,0)-1,0),0)</f>
        <v>0</v>
      </c>
      <c r="BF370" s="11">
        <f ca="1">IFERROR(OFFSET(ITEM_RES!$A$1,MATCH(BG370,ITEM_RES!$J:$J,0)-1,0),0)</f>
        <v>0</v>
      </c>
      <c r="BK370" s="11">
        <f ca="1">IFERROR(OFFSET(ITEM_RES!$A$1,MATCH(BL370,ITEM_RES!$J:$J,0)-1,0),0)</f>
        <v>0</v>
      </c>
    </row>
    <row r="371" spans="1:63" x14ac:dyDescent="0.3">
      <c r="A371" s="14">
        <f t="shared" si="102"/>
        <v>111090007</v>
      </c>
      <c r="B371" s="13">
        <v>11</v>
      </c>
      <c r="C371" s="12">
        <f t="shared" si="103"/>
        <v>1</v>
      </c>
      <c r="D371" s="13">
        <v>9</v>
      </c>
      <c r="E371" s="13">
        <v>0</v>
      </c>
      <c r="F371" s="12">
        <f t="shared" si="104"/>
        <v>7</v>
      </c>
      <c r="H371" s="9">
        <v>1</v>
      </c>
      <c r="I371" s="9">
        <v>7</v>
      </c>
      <c r="K371" s="9" t="s">
        <v>367</v>
      </c>
      <c r="M371" s="9">
        <v>1</v>
      </c>
      <c r="N371" s="9">
        <v>15</v>
      </c>
      <c r="O371" s="9" t="s">
        <v>1119</v>
      </c>
      <c r="P371" s="55" t="s">
        <v>1378</v>
      </c>
      <c r="Q371" s="9" t="s">
        <v>685</v>
      </c>
      <c r="T371" s="9">
        <f ca="1">IFERROR(OFFSET(ITEM_RES!$A$5,MATCH(BUILDING!S371,ITEM_RES!$J$5:$J$229,0)-1,0),0)</f>
        <v>0</v>
      </c>
      <c r="V371" s="81" t="s">
        <v>531</v>
      </c>
      <c r="W371" s="11">
        <f ca="1">IFERROR(OFFSET(ITEM_RES!$A$5,MATCH(BUILDING!V371,ITEM_RES!$J$5:$J$229,0)-1,0),0)</f>
        <v>211020201</v>
      </c>
      <c r="Y371" s="9" t="s">
        <v>510</v>
      </c>
      <c r="Z371" s="9">
        <v>7</v>
      </c>
      <c r="AB371" s="11">
        <f ca="1">IFERROR(OFFSET(MANOR_LEVEL!$B$1,MATCH(AC371-1,MANOR_LEVEL!$A:$A,0)-1,0),0)</f>
        <v>7000</v>
      </c>
      <c r="AC371" s="55">
        <v>4</v>
      </c>
      <c r="AE371" s="11">
        <f t="shared" ca="1" si="108"/>
        <v>12000</v>
      </c>
      <c r="AF371" s="10">
        <f ca="1">AK371+AM371+(IFERROR(OFFSET(ITEM_RES!$R$1,MATCH(AQ371,ITEM_RES!$A:$A,0)-1,0),0)*AS371+IFERROR(OFFSET(ITEM_RES!$R$1,MATCH(AV371,ITEM_RES!$A:$A,0)-1,0),0)*AX371+IFERROR(OFFSET(ITEM_RES!$R$1,MATCH(BA371,ITEM_RES!$A:$A,0)-1,0),0)*BC371+IFERROR(OFFSET(ITEM_RES!$R$1,MATCH(BF371,ITEM_RES!$A:$A,0)-1,0),0)*BH371+IFERROR(OFFSET(ITEM_RES!$R$1,MATCH(BK371,ITEM_RES!$A:$A,0)-1,0),0)*BM371)/1000</f>
        <v>12000</v>
      </c>
      <c r="AG371" s="176">
        <f t="shared" ca="1" si="112"/>
        <v>17400</v>
      </c>
      <c r="AI371" s="11">
        <f t="shared" si="110"/>
        <v>15</v>
      </c>
      <c r="AJ371" s="10">
        <v>15</v>
      </c>
      <c r="AK371" s="11">
        <f t="shared" si="105"/>
        <v>0</v>
      </c>
      <c r="AL371" s="10">
        <v>0</v>
      </c>
      <c r="AM371" s="11">
        <f t="shared" si="106"/>
        <v>0</v>
      </c>
      <c r="AN371" s="10">
        <v>0</v>
      </c>
      <c r="AO371" s="55">
        <f t="shared" si="111"/>
        <v>2</v>
      </c>
      <c r="AQ371" s="11">
        <f ca="1">IFERROR(OFFSET(ITEM_RES!$A$1,MATCH(AR371,ITEM_RES!$J:$J,0)-1,0),0)</f>
        <v>211010501</v>
      </c>
      <c r="AR371" s="10" t="s">
        <v>419</v>
      </c>
      <c r="AS371" s="11">
        <v>8000</v>
      </c>
      <c r="AV371" s="11">
        <f ca="1">IFERROR(OFFSET(ITEM_RES!$A$1,MATCH(AW371,ITEM_RES!$J:$J,0)-1,0),0)</f>
        <v>211020101</v>
      </c>
      <c r="AW371" s="10" t="s">
        <v>436</v>
      </c>
      <c r="AX371" s="11">
        <v>8000</v>
      </c>
      <c r="BA371" s="11">
        <f ca="1">IFERROR(OFFSET(ITEM_RES!$A$1,MATCH(BB371,ITEM_RES!$J:$J,0)-1,0),0)</f>
        <v>0</v>
      </c>
      <c r="BF371" s="11">
        <f ca="1">IFERROR(OFFSET(ITEM_RES!$A$1,MATCH(BG371,ITEM_RES!$J:$J,0)-1,0),0)</f>
        <v>0</v>
      </c>
      <c r="BK371" s="11">
        <f ca="1">IFERROR(OFFSET(ITEM_RES!$A$1,MATCH(BL371,ITEM_RES!$J:$J,0)-1,0),0)</f>
        <v>0</v>
      </c>
    </row>
    <row r="372" spans="1:63" x14ac:dyDescent="0.3">
      <c r="A372" s="14">
        <f t="shared" si="102"/>
        <v>111090008</v>
      </c>
      <c r="B372" s="13">
        <v>11</v>
      </c>
      <c r="C372" s="12">
        <f t="shared" si="103"/>
        <v>1</v>
      </c>
      <c r="D372" s="13">
        <v>9</v>
      </c>
      <c r="E372" s="13">
        <v>0</v>
      </c>
      <c r="F372" s="12">
        <f t="shared" si="104"/>
        <v>8</v>
      </c>
      <c r="H372" s="9">
        <v>1</v>
      </c>
      <c r="I372" s="9">
        <v>8</v>
      </c>
      <c r="K372" s="9" t="s">
        <v>367</v>
      </c>
      <c r="M372" s="9">
        <v>1</v>
      </c>
      <c r="N372" s="9">
        <v>15</v>
      </c>
      <c r="O372" s="9" t="s">
        <v>1119</v>
      </c>
      <c r="P372" s="55" t="s">
        <v>1378</v>
      </c>
      <c r="Q372" s="9" t="s">
        <v>685</v>
      </c>
      <c r="T372" s="9">
        <f ca="1">IFERROR(OFFSET(ITEM_RES!$A$5,MATCH(BUILDING!S372,ITEM_RES!$J$5:$J$229,0)-1,0),0)</f>
        <v>0</v>
      </c>
      <c r="V372" s="81" t="s">
        <v>531</v>
      </c>
      <c r="W372" s="11">
        <f ca="1">IFERROR(OFFSET(ITEM_RES!$A$5,MATCH(BUILDING!V372,ITEM_RES!$J$5:$J$229,0)-1,0),0)</f>
        <v>211020201</v>
      </c>
      <c r="Y372" s="9" t="s">
        <v>510</v>
      </c>
      <c r="Z372" s="9">
        <v>8</v>
      </c>
      <c r="AB372" s="11">
        <f ca="1">IFERROR(OFFSET(MANOR_LEVEL!$B$1,MATCH(AC372-1,MANOR_LEVEL!$A:$A,0)-1,0),0)</f>
        <v>11000</v>
      </c>
      <c r="AC372" s="55">
        <v>5</v>
      </c>
      <c r="AE372" s="11">
        <f t="shared" ca="1" si="108"/>
        <v>25200</v>
      </c>
      <c r="AF372" s="10">
        <f ca="1">AK372+AM372+(IFERROR(OFFSET(ITEM_RES!$R$1,MATCH(AQ372,ITEM_RES!$A:$A,0)-1,0),0)*AS372+IFERROR(OFFSET(ITEM_RES!$R$1,MATCH(AV372,ITEM_RES!$A:$A,0)-1,0),0)*AX372+IFERROR(OFFSET(ITEM_RES!$R$1,MATCH(BA372,ITEM_RES!$A:$A,0)-1,0),0)*BC372+IFERROR(OFFSET(ITEM_RES!$R$1,MATCH(BF372,ITEM_RES!$A:$A,0)-1,0),0)*BH372+IFERROR(OFFSET(ITEM_RES!$R$1,MATCH(BK372,ITEM_RES!$A:$A,0)-1,0),0)*BM372)/1000</f>
        <v>25200</v>
      </c>
      <c r="AG372" s="176">
        <f t="shared" ca="1" si="112"/>
        <v>37200</v>
      </c>
      <c r="AI372" s="11">
        <f t="shared" si="110"/>
        <v>30</v>
      </c>
      <c r="AJ372" s="10">
        <v>30</v>
      </c>
      <c r="AK372" s="11">
        <f t="shared" si="105"/>
        <v>0</v>
      </c>
      <c r="AL372" s="10">
        <v>0</v>
      </c>
      <c r="AM372" s="11">
        <f t="shared" si="106"/>
        <v>0</v>
      </c>
      <c r="AN372" s="10">
        <v>0</v>
      </c>
      <c r="AO372" s="55">
        <f t="shared" si="111"/>
        <v>2</v>
      </c>
      <c r="AQ372" s="11">
        <f ca="1">IFERROR(OFFSET(ITEM_RES!$A$1,MATCH(AR372,ITEM_RES!$J:$J,0)-1,0),0)</f>
        <v>211010501</v>
      </c>
      <c r="AR372" s="10" t="s">
        <v>419</v>
      </c>
      <c r="AS372" s="11">
        <v>16800</v>
      </c>
      <c r="AV372" s="11">
        <f ca="1">IFERROR(OFFSET(ITEM_RES!$A$1,MATCH(AW372,ITEM_RES!$J:$J,0)-1,0),0)</f>
        <v>211020101</v>
      </c>
      <c r="AW372" s="10" t="s">
        <v>436</v>
      </c>
      <c r="AX372" s="11">
        <v>16800</v>
      </c>
      <c r="BA372" s="11">
        <f ca="1">IFERROR(OFFSET(ITEM_RES!$A$1,MATCH(BB372,ITEM_RES!$J:$J,0)-1,0),0)</f>
        <v>0</v>
      </c>
      <c r="BF372" s="11">
        <f ca="1">IFERROR(OFFSET(ITEM_RES!$A$1,MATCH(BG372,ITEM_RES!$J:$J,0)-1,0),0)</f>
        <v>0</v>
      </c>
      <c r="BK372" s="11">
        <f ca="1">IFERROR(OFFSET(ITEM_RES!$A$1,MATCH(BL372,ITEM_RES!$J:$J,0)-1,0),0)</f>
        <v>0</v>
      </c>
    </row>
    <row r="373" spans="1:63" x14ac:dyDescent="0.3">
      <c r="A373" s="14">
        <f t="shared" si="102"/>
        <v>111090009</v>
      </c>
      <c r="B373" s="13">
        <v>11</v>
      </c>
      <c r="C373" s="12">
        <f t="shared" si="103"/>
        <v>1</v>
      </c>
      <c r="D373" s="13">
        <v>9</v>
      </c>
      <c r="E373" s="13">
        <v>0</v>
      </c>
      <c r="F373" s="12">
        <f t="shared" si="104"/>
        <v>9</v>
      </c>
      <c r="H373" s="9">
        <v>1</v>
      </c>
      <c r="I373" s="9">
        <v>9</v>
      </c>
      <c r="K373" s="9" t="s">
        <v>367</v>
      </c>
      <c r="M373" s="9">
        <v>1</v>
      </c>
      <c r="N373" s="9">
        <v>15</v>
      </c>
      <c r="O373" s="9" t="s">
        <v>1427</v>
      </c>
      <c r="P373" s="55" t="s">
        <v>1429</v>
      </c>
      <c r="Q373" s="9" t="s">
        <v>685</v>
      </c>
      <c r="T373" s="9">
        <f ca="1">IFERROR(OFFSET(ITEM_RES!$A$5,MATCH(BUILDING!S373,ITEM_RES!$J$5:$J$229,0)-1,0),0)</f>
        <v>0</v>
      </c>
      <c r="V373" s="81" t="s">
        <v>531</v>
      </c>
      <c r="W373" s="11">
        <f ca="1">IFERROR(OFFSET(ITEM_RES!$A$5,MATCH(BUILDING!V373,ITEM_RES!$J$5:$J$229,0)-1,0),0)</f>
        <v>211020201</v>
      </c>
      <c r="Y373" s="9" t="s">
        <v>510</v>
      </c>
      <c r="Z373" s="9">
        <v>9</v>
      </c>
      <c r="AB373" s="11">
        <f ca="1">IFERROR(OFFSET(MANOR_LEVEL!$B$1,MATCH(AC373-1,MANOR_LEVEL!$A:$A,0)-1,0),0)</f>
        <v>17000</v>
      </c>
      <c r="AC373" s="55">
        <v>6</v>
      </c>
      <c r="AE373" s="11">
        <f t="shared" ca="1" si="108"/>
        <v>46800</v>
      </c>
      <c r="AF373" s="10">
        <f ca="1">AK373+AM373+(IFERROR(OFFSET(ITEM_RES!$R$1,MATCH(AQ373,ITEM_RES!$A:$A,0)-1,0),0)*AS373+IFERROR(OFFSET(ITEM_RES!$R$1,MATCH(AV373,ITEM_RES!$A:$A,0)-1,0),0)*AX373+IFERROR(OFFSET(ITEM_RES!$R$1,MATCH(BA373,ITEM_RES!$A:$A,0)-1,0),0)*BC373+IFERROR(OFFSET(ITEM_RES!$R$1,MATCH(BF373,ITEM_RES!$A:$A,0)-1,0),0)*BH373+IFERROR(OFFSET(ITEM_RES!$R$1,MATCH(BK373,ITEM_RES!$A:$A,0)-1,0),0)*BM373)/1000</f>
        <v>46800</v>
      </c>
      <c r="AG373" s="176">
        <f t="shared" ca="1" si="112"/>
        <v>72000</v>
      </c>
      <c r="AI373" s="11">
        <f t="shared" si="110"/>
        <v>60</v>
      </c>
      <c r="AJ373" s="10">
        <v>60</v>
      </c>
      <c r="AK373" s="11">
        <f t="shared" si="105"/>
        <v>0</v>
      </c>
      <c r="AL373" s="10">
        <v>0</v>
      </c>
      <c r="AM373" s="11">
        <f t="shared" si="106"/>
        <v>0</v>
      </c>
      <c r="AN373" s="10">
        <v>0</v>
      </c>
      <c r="AO373" s="55">
        <f t="shared" si="111"/>
        <v>2</v>
      </c>
      <c r="AQ373" s="11">
        <f ca="1">IFERROR(OFFSET(ITEM_RES!$A$1,MATCH(AR373,ITEM_RES!$J:$J,0)-1,0),0)</f>
        <v>211010501</v>
      </c>
      <c r="AR373" s="10" t="s">
        <v>419</v>
      </c>
      <c r="AS373" s="11">
        <v>31200</v>
      </c>
      <c r="AV373" s="11">
        <f ca="1">IFERROR(OFFSET(ITEM_RES!$A$1,MATCH(AW373,ITEM_RES!$J:$J,0)-1,0),0)</f>
        <v>211020101</v>
      </c>
      <c r="AW373" s="10" t="s">
        <v>436</v>
      </c>
      <c r="AX373" s="11">
        <v>31200</v>
      </c>
      <c r="BA373" s="11">
        <f ca="1">IFERROR(OFFSET(ITEM_RES!$A$1,MATCH(BB373,ITEM_RES!$J:$J,0)-1,0),0)</f>
        <v>0</v>
      </c>
      <c r="BF373" s="11">
        <f ca="1">IFERROR(OFFSET(ITEM_RES!$A$1,MATCH(BG373,ITEM_RES!$J:$J,0)-1,0),0)</f>
        <v>0</v>
      </c>
      <c r="BK373" s="11">
        <f ca="1">IFERROR(OFFSET(ITEM_RES!$A$1,MATCH(BL373,ITEM_RES!$J:$J,0)-1,0),0)</f>
        <v>0</v>
      </c>
    </row>
    <row r="374" spans="1:63" x14ac:dyDescent="0.3">
      <c r="A374" s="14">
        <f t="shared" si="102"/>
        <v>111090010</v>
      </c>
      <c r="B374" s="13">
        <v>11</v>
      </c>
      <c r="C374" s="12">
        <f t="shared" si="103"/>
        <v>1</v>
      </c>
      <c r="D374" s="13">
        <v>9</v>
      </c>
      <c r="E374" s="13">
        <v>0</v>
      </c>
      <c r="F374" s="12">
        <f t="shared" si="104"/>
        <v>10</v>
      </c>
      <c r="H374" s="9">
        <v>1</v>
      </c>
      <c r="I374" s="9">
        <v>10</v>
      </c>
      <c r="K374" s="9" t="s">
        <v>367</v>
      </c>
      <c r="M374" s="9">
        <v>1</v>
      </c>
      <c r="N374" s="9">
        <v>15</v>
      </c>
      <c r="O374" s="9" t="s">
        <v>1427</v>
      </c>
      <c r="P374" s="55" t="s">
        <v>1429</v>
      </c>
      <c r="Q374" s="9" t="s">
        <v>685</v>
      </c>
      <c r="T374" s="9">
        <f ca="1">IFERROR(OFFSET(ITEM_RES!$A$5,MATCH(BUILDING!S374,ITEM_RES!$J$5:$J$229,0)-1,0),0)</f>
        <v>0</v>
      </c>
      <c r="V374" s="81" t="s">
        <v>531</v>
      </c>
      <c r="W374" s="11">
        <f ca="1">IFERROR(OFFSET(ITEM_RES!$A$5,MATCH(BUILDING!V374,ITEM_RES!$J$5:$J$229,0)-1,0),0)</f>
        <v>211020201</v>
      </c>
      <c r="Y374" s="9" t="s">
        <v>510</v>
      </c>
      <c r="Z374" s="9">
        <v>10</v>
      </c>
      <c r="AB374" s="11">
        <f ca="1">IFERROR(OFFSET(MANOR_LEVEL!$B$1,MATCH(AC374-1,MANOR_LEVEL!$A:$A,0)-1,0),0)</f>
        <v>40000</v>
      </c>
      <c r="AC374" s="55">
        <v>7</v>
      </c>
      <c r="AE374" s="11">
        <f t="shared" ca="1" si="108"/>
        <v>78000</v>
      </c>
      <c r="AF374" s="10">
        <f ca="1">AK374+AM374+(IFERROR(OFFSET(ITEM_RES!$R$1,MATCH(AQ374,ITEM_RES!$A:$A,0)-1,0),0)*AS374+IFERROR(OFFSET(ITEM_RES!$R$1,MATCH(AV374,ITEM_RES!$A:$A,0)-1,0),0)*AX374+IFERROR(OFFSET(ITEM_RES!$R$1,MATCH(BA374,ITEM_RES!$A:$A,0)-1,0),0)*BC374+IFERROR(OFFSET(ITEM_RES!$R$1,MATCH(BF374,ITEM_RES!$A:$A,0)-1,0),0)*BH374+IFERROR(OFFSET(ITEM_RES!$R$1,MATCH(BK374,ITEM_RES!$A:$A,0)-1,0),0)*BM374)/1000</f>
        <v>78000</v>
      </c>
      <c r="AG374" s="176">
        <f t="shared" ca="1" si="112"/>
        <v>124800</v>
      </c>
      <c r="AI374" s="11">
        <f t="shared" si="110"/>
        <v>180</v>
      </c>
      <c r="AJ374" s="10">
        <v>180</v>
      </c>
      <c r="AK374" s="11">
        <f t="shared" si="105"/>
        <v>0</v>
      </c>
      <c r="AL374" s="10">
        <v>0</v>
      </c>
      <c r="AM374" s="11">
        <f t="shared" si="106"/>
        <v>0</v>
      </c>
      <c r="AN374" s="10">
        <v>0</v>
      </c>
      <c r="AO374" s="55">
        <f t="shared" si="111"/>
        <v>2</v>
      </c>
      <c r="AQ374" s="11">
        <f ca="1">IFERROR(OFFSET(ITEM_RES!$A$1,MATCH(AR374,ITEM_RES!$J:$J,0)-1,0),0)</f>
        <v>211010501</v>
      </c>
      <c r="AR374" s="10" t="s">
        <v>419</v>
      </c>
      <c r="AS374" s="11">
        <v>52000</v>
      </c>
      <c r="AV374" s="11">
        <f ca="1">IFERROR(OFFSET(ITEM_RES!$A$1,MATCH(AW374,ITEM_RES!$J:$J,0)-1,0),0)</f>
        <v>211020101</v>
      </c>
      <c r="AW374" s="10" t="s">
        <v>436</v>
      </c>
      <c r="AX374" s="11">
        <v>52000</v>
      </c>
      <c r="BA374" s="11">
        <f ca="1">IFERROR(OFFSET(ITEM_RES!$A$1,MATCH(BB374,ITEM_RES!$J:$J,0)-1,0),0)</f>
        <v>0</v>
      </c>
      <c r="BF374" s="11">
        <f ca="1">IFERROR(OFFSET(ITEM_RES!$A$1,MATCH(BG374,ITEM_RES!$J:$J,0)-1,0),0)</f>
        <v>0</v>
      </c>
      <c r="BK374" s="11">
        <f ca="1">IFERROR(OFFSET(ITEM_RES!$A$1,MATCH(BL374,ITEM_RES!$J:$J,0)-1,0),0)</f>
        <v>0</v>
      </c>
    </row>
    <row r="375" spans="1:63" x14ac:dyDescent="0.3">
      <c r="A375" s="14">
        <f t="shared" si="102"/>
        <v>111090011</v>
      </c>
      <c r="B375" s="13">
        <v>11</v>
      </c>
      <c r="C375" s="12">
        <f t="shared" si="103"/>
        <v>1</v>
      </c>
      <c r="D375" s="13">
        <v>9</v>
      </c>
      <c r="E375" s="13">
        <v>0</v>
      </c>
      <c r="F375" s="12">
        <f t="shared" si="104"/>
        <v>11</v>
      </c>
      <c r="H375" s="9">
        <v>1</v>
      </c>
      <c r="I375" s="9">
        <v>11</v>
      </c>
      <c r="K375" s="9" t="s">
        <v>367</v>
      </c>
      <c r="M375" s="9">
        <v>1</v>
      </c>
      <c r="N375" s="9">
        <v>15</v>
      </c>
      <c r="O375" s="9" t="s">
        <v>1426</v>
      </c>
      <c r="P375" s="55" t="s">
        <v>1428</v>
      </c>
      <c r="Q375" s="9" t="s">
        <v>685</v>
      </c>
      <c r="T375" s="9">
        <f ca="1">IFERROR(OFFSET(ITEM_RES!$A$5,MATCH(BUILDING!S375,ITEM_RES!$J$5:$J$229,0)-1,0),0)</f>
        <v>0</v>
      </c>
      <c r="V375" s="81" t="s">
        <v>531</v>
      </c>
      <c r="W375" s="11">
        <f ca="1">IFERROR(OFFSET(ITEM_RES!$A$5,MATCH(BUILDING!V375,ITEM_RES!$J$5:$J$229,0)-1,0),0)</f>
        <v>211020201</v>
      </c>
      <c r="Y375" s="9" t="s">
        <v>510</v>
      </c>
      <c r="Z375" s="9">
        <v>11</v>
      </c>
      <c r="AB375" s="11">
        <f ca="1">IFERROR(OFFSET(MANOR_LEVEL!$B$1,MATCH(AC375-1,MANOR_LEVEL!$A:$A,0)-1,0),0)</f>
        <v>100000</v>
      </c>
      <c r="AC375" s="55">
        <v>8</v>
      </c>
      <c r="AE375" s="11">
        <f t="shared" ca="1" si="108"/>
        <v>132000</v>
      </c>
      <c r="AF375" s="10">
        <f ca="1">AK375+AM375+(IFERROR(OFFSET(ITEM_RES!$R$1,MATCH(AQ375,ITEM_RES!$A:$A,0)-1,0),0)*AS375+IFERROR(OFFSET(ITEM_RES!$R$1,MATCH(AV375,ITEM_RES!$A:$A,0)-1,0),0)*AX375+IFERROR(OFFSET(ITEM_RES!$R$1,MATCH(BA375,ITEM_RES!$A:$A,0)-1,0),0)*BC375+IFERROR(OFFSET(ITEM_RES!$R$1,MATCH(BF375,ITEM_RES!$A:$A,0)-1,0),0)*BH375+IFERROR(OFFSET(ITEM_RES!$R$1,MATCH(BK375,ITEM_RES!$A:$A,0)-1,0),0)*BM375)/1000</f>
        <v>132000</v>
      </c>
      <c r="AG375" s="176">
        <f t="shared" ca="1" si="112"/>
        <v>210000</v>
      </c>
      <c r="AI375" s="11">
        <f t="shared" si="110"/>
        <v>360</v>
      </c>
      <c r="AJ375" s="10">
        <v>360</v>
      </c>
      <c r="AK375" s="11">
        <f t="shared" si="105"/>
        <v>0</v>
      </c>
      <c r="AL375" s="10">
        <v>0</v>
      </c>
      <c r="AM375" s="11">
        <f t="shared" si="106"/>
        <v>0</v>
      </c>
      <c r="AN375" s="10">
        <v>0</v>
      </c>
      <c r="AO375" s="55">
        <f t="shared" si="111"/>
        <v>2</v>
      </c>
      <c r="AQ375" s="11">
        <f ca="1">IFERROR(OFFSET(ITEM_RES!$A$1,MATCH(AR375,ITEM_RES!$J:$J,0)-1,0),0)</f>
        <v>211010501</v>
      </c>
      <c r="AR375" s="10" t="s">
        <v>419</v>
      </c>
      <c r="AS375" s="11">
        <v>88000</v>
      </c>
      <c r="AV375" s="11">
        <f ca="1">IFERROR(OFFSET(ITEM_RES!$A$1,MATCH(AW375,ITEM_RES!$J:$J,0)-1,0),0)</f>
        <v>211020101</v>
      </c>
      <c r="AW375" s="10" t="s">
        <v>436</v>
      </c>
      <c r="AX375" s="11">
        <v>88000</v>
      </c>
      <c r="BA375" s="11">
        <f ca="1">IFERROR(OFFSET(ITEM_RES!$A$1,MATCH(BB375,ITEM_RES!$J:$J,0)-1,0),0)</f>
        <v>0</v>
      </c>
      <c r="BF375" s="11">
        <f ca="1">IFERROR(OFFSET(ITEM_RES!$A$1,MATCH(BG375,ITEM_RES!$J:$J,0)-1,0),0)</f>
        <v>0</v>
      </c>
      <c r="BK375" s="11">
        <f ca="1">IFERROR(OFFSET(ITEM_RES!$A$1,MATCH(BL375,ITEM_RES!$J:$J,0)-1,0),0)</f>
        <v>0</v>
      </c>
    </row>
    <row r="376" spans="1:63" x14ac:dyDescent="0.3">
      <c r="A376" s="14">
        <f t="shared" si="102"/>
        <v>111090012</v>
      </c>
      <c r="B376" s="13">
        <v>11</v>
      </c>
      <c r="C376" s="12">
        <f t="shared" si="103"/>
        <v>1</v>
      </c>
      <c r="D376" s="13">
        <v>9</v>
      </c>
      <c r="E376" s="13">
        <v>0</v>
      </c>
      <c r="F376" s="12">
        <f t="shared" si="104"/>
        <v>12</v>
      </c>
      <c r="H376" s="9">
        <v>1</v>
      </c>
      <c r="I376" s="9">
        <v>12</v>
      </c>
      <c r="K376" s="9" t="s">
        <v>367</v>
      </c>
      <c r="M376" s="9">
        <v>1</v>
      </c>
      <c r="N376" s="9">
        <v>15</v>
      </c>
      <c r="O376" s="9" t="s">
        <v>1426</v>
      </c>
      <c r="P376" s="55" t="s">
        <v>1428</v>
      </c>
      <c r="Q376" s="9" t="s">
        <v>685</v>
      </c>
      <c r="T376" s="9">
        <f ca="1">IFERROR(OFFSET(ITEM_RES!$A$5,MATCH(BUILDING!S376,ITEM_RES!$J$5:$J$229,0)-1,0),0)</f>
        <v>0</v>
      </c>
      <c r="V376" s="81" t="s">
        <v>531</v>
      </c>
      <c r="W376" s="11">
        <f ca="1">IFERROR(OFFSET(ITEM_RES!$A$5,MATCH(BUILDING!V376,ITEM_RES!$J$5:$J$229,0)-1,0),0)</f>
        <v>211020201</v>
      </c>
      <c r="Y376" s="9" t="s">
        <v>510</v>
      </c>
      <c r="Z376" s="9">
        <v>12</v>
      </c>
      <c r="AB376" s="11">
        <f ca="1">IFERROR(OFFSET(MANOR_LEVEL!$B$1,MATCH(AC376-1,MANOR_LEVEL!$A:$A,0)-1,0),0)</f>
        <v>300000</v>
      </c>
      <c r="AC376" s="55">
        <v>9</v>
      </c>
      <c r="AE376" s="11">
        <f t="shared" ca="1" si="108"/>
        <v>222000</v>
      </c>
      <c r="AF376" s="10">
        <f ca="1">AK376+AM376+(IFERROR(OFFSET(ITEM_RES!$R$1,MATCH(AQ376,ITEM_RES!$A:$A,0)-1,0),0)*AS376+IFERROR(OFFSET(ITEM_RES!$R$1,MATCH(AV376,ITEM_RES!$A:$A,0)-1,0),0)*AX376+IFERROR(OFFSET(ITEM_RES!$R$1,MATCH(BA376,ITEM_RES!$A:$A,0)-1,0),0)*BC376+IFERROR(OFFSET(ITEM_RES!$R$1,MATCH(BF376,ITEM_RES!$A:$A,0)-1,0),0)*BH376+IFERROR(OFFSET(ITEM_RES!$R$1,MATCH(BK376,ITEM_RES!$A:$A,0)-1,0),0)*BM376)/1000</f>
        <v>222000</v>
      </c>
      <c r="AG376" s="176">
        <f t="shared" ca="1" si="112"/>
        <v>354000</v>
      </c>
      <c r="AI376" s="11">
        <f t="shared" si="110"/>
        <v>540</v>
      </c>
      <c r="AJ376" s="10">
        <v>540</v>
      </c>
      <c r="AK376" s="11">
        <f t="shared" si="105"/>
        <v>0</v>
      </c>
      <c r="AL376" s="10">
        <v>0</v>
      </c>
      <c r="AM376" s="11">
        <f t="shared" si="106"/>
        <v>0</v>
      </c>
      <c r="AN376" s="10">
        <v>0</v>
      </c>
      <c r="AO376" s="55">
        <f t="shared" si="111"/>
        <v>2</v>
      </c>
      <c r="AQ376" s="11">
        <f ca="1">IFERROR(OFFSET(ITEM_RES!$A$1,MATCH(AR376,ITEM_RES!$J:$J,0)-1,0),0)</f>
        <v>211010501</v>
      </c>
      <c r="AR376" s="10" t="s">
        <v>419</v>
      </c>
      <c r="AS376" s="11">
        <v>148000</v>
      </c>
      <c r="AV376" s="11">
        <f ca="1">IFERROR(OFFSET(ITEM_RES!$A$1,MATCH(AW376,ITEM_RES!$J:$J,0)-1,0),0)</f>
        <v>211020101</v>
      </c>
      <c r="AW376" s="10" t="s">
        <v>436</v>
      </c>
      <c r="AX376" s="11">
        <v>148000</v>
      </c>
      <c r="BA376" s="11">
        <f ca="1">IFERROR(OFFSET(ITEM_RES!$A$1,MATCH(BB376,ITEM_RES!$J:$J,0)-1,0),0)</f>
        <v>0</v>
      </c>
      <c r="BF376" s="11">
        <f ca="1">IFERROR(OFFSET(ITEM_RES!$A$1,MATCH(BG376,ITEM_RES!$J:$J,0)-1,0),0)</f>
        <v>0</v>
      </c>
      <c r="BK376" s="11">
        <f ca="1">IFERROR(OFFSET(ITEM_RES!$A$1,MATCH(BL376,ITEM_RES!$J:$J,0)-1,0),0)</f>
        <v>0</v>
      </c>
    </row>
    <row r="377" spans="1:63" x14ac:dyDescent="0.3">
      <c r="A377" s="14">
        <f t="shared" si="102"/>
        <v>111090013</v>
      </c>
      <c r="B377" s="13">
        <v>11</v>
      </c>
      <c r="C377" s="12">
        <f t="shared" si="103"/>
        <v>1</v>
      </c>
      <c r="D377" s="13">
        <v>9</v>
      </c>
      <c r="E377" s="13">
        <v>0</v>
      </c>
      <c r="F377" s="12">
        <f t="shared" si="104"/>
        <v>13</v>
      </c>
      <c r="H377" s="9">
        <v>1</v>
      </c>
      <c r="I377" s="9">
        <v>13</v>
      </c>
      <c r="K377" s="9" t="s">
        <v>367</v>
      </c>
      <c r="M377" s="9">
        <v>1</v>
      </c>
      <c r="N377" s="9">
        <v>15</v>
      </c>
      <c r="O377" s="9" t="s">
        <v>1426</v>
      </c>
      <c r="P377" s="55" t="s">
        <v>1428</v>
      </c>
      <c r="Q377" s="9" t="s">
        <v>685</v>
      </c>
      <c r="T377" s="9">
        <f ca="1">IFERROR(OFFSET(ITEM_RES!$A$5,MATCH(BUILDING!S377,ITEM_RES!$J$5:$J$229,0)-1,0),0)</f>
        <v>0</v>
      </c>
      <c r="V377" s="81" t="s">
        <v>531</v>
      </c>
      <c r="W377" s="11">
        <f ca="1">IFERROR(OFFSET(ITEM_RES!$A$5,MATCH(BUILDING!V377,ITEM_RES!$J$5:$J$229,0)-1,0),0)</f>
        <v>211020201</v>
      </c>
      <c r="Y377" s="9" t="s">
        <v>510</v>
      </c>
      <c r="Z377" s="9">
        <v>13</v>
      </c>
      <c r="AB377" s="11">
        <f ca="1">IFERROR(OFFSET(MANOR_LEVEL!$B$1,MATCH(AC377-1,MANOR_LEVEL!$A:$A,0)-1,0),0)</f>
        <v>600000</v>
      </c>
      <c r="AC377" s="55">
        <v>10</v>
      </c>
      <c r="AE377" s="11">
        <f t="shared" ca="1" si="108"/>
        <v>372000</v>
      </c>
      <c r="AF377" s="10">
        <f ca="1">AK377+AM377+(IFERROR(OFFSET(ITEM_RES!$R$1,MATCH(AQ377,ITEM_RES!$A:$A,0)-1,0),0)*AS377+IFERROR(OFFSET(ITEM_RES!$R$1,MATCH(AV377,ITEM_RES!$A:$A,0)-1,0),0)*AX377+IFERROR(OFFSET(ITEM_RES!$R$1,MATCH(BA377,ITEM_RES!$A:$A,0)-1,0),0)*BC377+IFERROR(OFFSET(ITEM_RES!$R$1,MATCH(BF377,ITEM_RES!$A:$A,0)-1,0),0)*BH377+IFERROR(OFFSET(ITEM_RES!$R$1,MATCH(BK377,ITEM_RES!$A:$A,0)-1,0),0)*BM377)/1000</f>
        <v>372000</v>
      </c>
      <c r="AG377" s="176">
        <f t="shared" ca="1" si="112"/>
        <v>594000</v>
      </c>
      <c r="AI377" s="11">
        <f t="shared" si="110"/>
        <v>720</v>
      </c>
      <c r="AJ377" s="10">
        <v>720</v>
      </c>
      <c r="AK377" s="11">
        <f t="shared" si="105"/>
        <v>0</v>
      </c>
      <c r="AL377" s="10">
        <v>0</v>
      </c>
      <c r="AM377" s="11">
        <f t="shared" si="106"/>
        <v>0</v>
      </c>
      <c r="AN377" s="10">
        <v>0</v>
      </c>
      <c r="AO377" s="55">
        <f t="shared" si="111"/>
        <v>2</v>
      </c>
      <c r="AQ377" s="11">
        <f ca="1">IFERROR(OFFSET(ITEM_RES!$A$1,MATCH(AR377,ITEM_RES!$J:$J,0)-1,0),0)</f>
        <v>211010501</v>
      </c>
      <c r="AR377" s="10" t="s">
        <v>419</v>
      </c>
      <c r="AS377" s="11">
        <v>248000</v>
      </c>
      <c r="AV377" s="11">
        <f ca="1">IFERROR(OFFSET(ITEM_RES!$A$1,MATCH(AW377,ITEM_RES!$J:$J,0)-1,0),0)</f>
        <v>211020101</v>
      </c>
      <c r="AW377" s="10" t="s">
        <v>436</v>
      </c>
      <c r="AX377" s="11">
        <v>248000</v>
      </c>
      <c r="BA377" s="11">
        <f ca="1">IFERROR(OFFSET(ITEM_RES!$A$1,MATCH(BB377,ITEM_RES!$J:$J,0)-1,0),0)</f>
        <v>0</v>
      </c>
      <c r="BF377" s="11">
        <f ca="1">IFERROR(OFFSET(ITEM_RES!$A$1,MATCH(BG377,ITEM_RES!$J:$J,0)-1,0),0)</f>
        <v>0</v>
      </c>
      <c r="BK377" s="11">
        <f ca="1">IFERROR(OFFSET(ITEM_RES!$A$1,MATCH(BL377,ITEM_RES!$J:$J,0)-1,0),0)</f>
        <v>0</v>
      </c>
    </row>
    <row r="378" spans="1:63" x14ac:dyDescent="0.3">
      <c r="A378" s="14">
        <f t="shared" si="102"/>
        <v>111090014</v>
      </c>
      <c r="B378" s="13">
        <v>11</v>
      </c>
      <c r="C378" s="12">
        <f t="shared" si="103"/>
        <v>1</v>
      </c>
      <c r="D378" s="13">
        <v>9</v>
      </c>
      <c r="E378" s="13">
        <v>0</v>
      </c>
      <c r="F378" s="12">
        <f t="shared" si="104"/>
        <v>14</v>
      </c>
      <c r="H378" s="9">
        <v>1</v>
      </c>
      <c r="I378" s="9">
        <v>14</v>
      </c>
      <c r="K378" s="9" t="s">
        <v>367</v>
      </c>
      <c r="M378" s="9">
        <v>1</v>
      </c>
      <c r="N378" s="9">
        <v>15</v>
      </c>
      <c r="O378" s="9" t="s">
        <v>1426</v>
      </c>
      <c r="P378" s="55" t="s">
        <v>1428</v>
      </c>
      <c r="Q378" s="9" t="s">
        <v>685</v>
      </c>
      <c r="T378" s="9">
        <f ca="1">IFERROR(OFFSET(ITEM_RES!$A$5,MATCH(BUILDING!S378,ITEM_RES!$J$5:$J$229,0)-1,0),0)</f>
        <v>0</v>
      </c>
      <c r="V378" s="81" t="s">
        <v>531</v>
      </c>
      <c r="W378" s="11">
        <f ca="1">IFERROR(OFFSET(ITEM_RES!$A$5,MATCH(BUILDING!V378,ITEM_RES!$J$5:$J$229,0)-1,0),0)</f>
        <v>211020201</v>
      </c>
      <c r="Y378" s="9" t="s">
        <v>510</v>
      </c>
      <c r="Z378" s="9">
        <v>14</v>
      </c>
      <c r="AB378" s="11">
        <f ca="1">IFERROR(OFFSET(MANOR_LEVEL!$B$1,MATCH(AC378-1,MANOR_LEVEL!$A:$A,0)-1,0),0)</f>
        <v>1200000</v>
      </c>
      <c r="AC378" s="55">
        <v>11</v>
      </c>
      <c r="AE378" s="11">
        <f t="shared" ca="1" si="108"/>
        <v>582000</v>
      </c>
      <c r="AF378" s="10">
        <f ca="1">AK378+AM378+(IFERROR(OFFSET(ITEM_RES!$R$1,MATCH(AQ378,ITEM_RES!$A:$A,0)-1,0),0)*AS378+IFERROR(OFFSET(ITEM_RES!$R$1,MATCH(AV378,ITEM_RES!$A:$A,0)-1,0),0)*AX378+IFERROR(OFFSET(ITEM_RES!$R$1,MATCH(BA378,ITEM_RES!$A:$A,0)-1,0),0)*BC378+IFERROR(OFFSET(ITEM_RES!$R$1,MATCH(BF378,ITEM_RES!$A:$A,0)-1,0),0)*BH378+IFERROR(OFFSET(ITEM_RES!$R$1,MATCH(BK378,ITEM_RES!$A:$A,0)-1,0),0)*BM378)/1000</f>
        <v>582000</v>
      </c>
      <c r="AG378" s="176">
        <f t="shared" ca="1" si="112"/>
        <v>954000</v>
      </c>
      <c r="AI378" s="11">
        <f t="shared" si="110"/>
        <v>900</v>
      </c>
      <c r="AJ378" s="10">
        <v>900</v>
      </c>
      <c r="AK378" s="11">
        <f t="shared" si="105"/>
        <v>0</v>
      </c>
      <c r="AL378" s="10">
        <v>0</v>
      </c>
      <c r="AM378" s="11">
        <f t="shared" si="106"/>
        <v>0</v>
      </c>
      <c r="AN378" s="10">
        <v>0</v>
      </c>
      <c r="AO378" s="55">
        <f t="shared" si="111"/>
        <v>2</v>
      </c>
      <c r="AQ378" s="11">
        <f ca="1">IFERROR(OFFSET(ITEM_RES!$A$1,MATCH(AR378,ITEM_RES!$J:$J,0)-1,0),0)</f>
        <v>211010501</v>
      </c>
      <c r="AR378" s="10" t="s">
        <v>419</v>
      </c>
      <c r="AS378" s="11">
        <v>388000</v>
      </c>
      <c r="AV378" s="11">
        <f ca="1">IFERROR(OFFSET(ITEM_RES!$A$1,MATCH(AW378,ITEM_RES!$J:$J,0)-1,0),0)</f>
        <v>211020101</v>
      </c>
      <c r="AW378" s="10" t="s">
        <v>436</v>
      </c>
      <c r="AX378" s="11">
        <v>388000</v>
      </c>
      <c r="BA378" s="11">
        <f ca="1">IFERROR(OFFSET(ITEM_RES!$A$1,MATCH(BB378,ITEM_RES!$J:$J,0)-1,0),0)</f>
        <v>0</v>
      </c>
      <c r="BF378" s="11">
        <f ca="1">IFERROR(OFFSET(ITEM_RES!$A$1,MATCH(BG378,ITEM_RES!$J:$J,0)-1,0),0)</f>
        <v>0</v>
      </c>
      <c r="BK378" s="11">
        <f ca="1">IFERROR(OFFSET(ITEM_RES!$A$1,MATCH(BL378,ITEM_RES!$J:$J,0)-1,0),0)</f>
        <v>0</v>
      </c>
    </row>
    <row r="379" spans="1:63" x14ac:dyDescent="0.3">
      <c r="A379" s="14">
        <f t="shared" si="102"/>
        <v>111090015</v>
      </c>
      <c r="B379" s="13">
        <v>11</v>
      </c>
      <c r="C379" s="12">
        <f t="shared" si="103"/>
        <v>1</v>
      </c>
      <c r="D379" s="13">
        <v>9</v>
      </c>
      <c r="E379" s="13">
        <v>0</v>
      </c>
      <c r="F379" s="12">
        <f t="shared" si="104"/>
        <v>15</v>
      </c>
      <c r="H379" s="9">
        <v>1</v>
      </c>
      <c r="I379" s="9">
        <v>15</v>
      </c>
      <c r="K379" s="9" t="s">
        <v>367</v>
      </c>
      <c r="M379" s="9">
        <v>1</v>
      </c>
      <c r="N379" s="9">
        <v>15</v>
      </c>
      <c r="O379" s="9" t="s">
        <v>1426</v>
      </c>
      <c r="P379" s="55" t="s">
        <v>1428</v>
      </c>
      <c r="Q379" s="9" t="s">
        <v>685</v>
      </c>
      <c r="T379" s="9">
        <f ca="1">IFERROR(OFFSET(ITEM_RES!$A$5,MATCH(BUILDING!S379,ITEM_RES!$J$5:$J$229,0)-1,0),0)</f>
        <v>0</v>
      </c>
      <c r="V379" s="81" t="s">
        <v>531</v>
      </c>
      <c r="W379" s="11">
        <f ca="1">IFERROR(OFFSET(ITEM_RES!$A$5,MATCH(BUILDING!V379,ITEM_RES!$J$5:$J$229,0)-1,0),0)</f>
        <v>211020201</v>
      </c>
      <c r="Y379" s="9" t="s">
        <v>510</v>
      </c>
      <c r="Z379" s="9">
        <v>15</v>
      </c>
      <c r="AB379" s="11">
        <f ca="1">IFERROR(OFFSET(MANOR_LEVEL!$B$1,MATCH(AC379-1,MANOR_LEVEL!$A:$A,0)-1,0),0)</f>
        <v>3500000</v>
      </c>
      <c r="AC379" s="55">
        <v>12</v>
      </c>
      <c r="AE379" s="11">
        <f t="shared" ca="1" si="108"/>
        <v>1764000</v>
      </c>
      <c r="AF379" s="10">
        <f ca="1">AK379+AM379+(IFERROR(OFFSET(ITEM_RES!$R$1,MATCH(AQ379,ITEM_RES!$A:$A,0)-1,0),0)*AS379+IFERROR(OFFSET(ITEM_RES!$R$1,MATCH(AV379,ITEM_RES!$A:$A,0)-1,0),0)*AX379+IFERROR(OFFSET(ITEM_RES!$R$1,MATCH(BA379,ITEM_RES!$A:$A,0)-1,0),0)*BC379+IFERROR(OFFSET(ITEM_RES!$R$1,MATCH(BF379,ITEM_RES!$A:$A,0)-1,0),0)*BH379+IFERROR(OFFSET(ITEM_RES!$R$1,MATCH(BK379,ITEM_RES!$A:$A,0)-1,0),0)*BM379)/1000</f>
        <v>1764000</v>
      </c>
      <c r="AG379" s="176">
        <f t="shared" ca="1" si="112"/>
        <v>2346000</v>
      </c>
      <c r="AI379" s="11">
        <f t="shared" si="110"/>
        <v>1080</v>
      </c>
      <c r="AJ379" s="10">
        <v>1080</v>
      </c>
      <c r="AK379" s="11">
        <f t="shared" si="105"/>
        <v>0</v>
      </c>
      <c r="AL379" s="10">
        <v>0</v>
      </c>
      <c r="AM379" s="11">
        <f t="shared" si="106"/>
        <v>0</v>
      </c>
      <c r="AN379" s="10">
        <v>0</v>
      </c>
      <c r="AO379" s="55">
        <f t="shared" si="111"/>
        <v>2</v>
      </c>
      <c r="AQ379" s="11">
        <f ca="1">IFERROR(OFFSET(ITEM_RES!$A$1,MATCH(AR379,ITEM_RES!$J:$J,0)-1,0),0)</f>
        <v>211010601</v>
      </c>
      <c r="AR379" s="10" t="s">
        <v>432</v>
      </c>
      <c r="AS379" s="11">
        <v>840000</v>
      </c>
      <c r="AV379" s="11">
        <f ca="1">IFERROR(OFFSET(ITEM_RES!$A$1,MATCH(AW379,ITEM_RES!$J:$J,0)-1,0),0)</f>
        <v>211020101</v>
      </c>
      <c r="AW379" s="10" t="s">
        <v>436</v>
      </c>
      <c r="AX379" s="11">
        <v>840000</v>
      </c>
      <c r="BA379" s="11">
        <f ca="1">IFERROR(OFFSET(ITEM_RES!$A$1,MATCH(BB379,ITEM_RES!$J:$J,0)-1,0),0)</f>
        <v>0</v>
      </c>
      <c r="BF379" s="11">
        <f ca="1">IFERROR(OFFSET(ITEM_RES!$A$1,MATCH(BG379,ITEM_RES!$J:$J,0)-1,0),0)</f>
        <v>0</v>
      </c>
      <c r="BK379" s="11">
        <f ca="1">IFERROR(OFFSET(ITEM_RES!$A$1,MATCH(BL379,ITEM_RES!$J:$J,0)-1,0),0)</f>
        <v>0</v>
      </c>
    </row>
    <row r="380" spans="1:63" x14ac:dyDescent="0.3">
      <c r="A380" s="14">
        <f t="shared" si="102"/>
        <v>111090016</v>
      </c>
      <c r="B380" s="13">
        <v>11</v>
      </c>
      <c r="C380" s="12">
        <f t="shared" si="103"/>
        <v>1</v>
      </c>
      <c r="D380" s="13">
        <v>9</v>
      </c>
      <c r="E380" s="13">
        <v>0</v>
      </c>
      <c r="F380" s="12">
        <f t="shared" si="104"/>
        <v>16</v>
      </c>
      <c r="H380" s="9">
        <v>1</v>
      </c>
      <c r="I380" s="9">
        <v>16</v>
      </c>
      <c r="K380" s="9" t="s">
        <v>367</v>
      </c>
      <c r="M380" s="9">
        <v>0</v>
      </c>
      <c r="N380" s="9">
        <v>15</v>
      </c>
      <c r="O380" s="9" t="s">
        <v>1426</v>
      </c>
      <c r="P380" s="55" t="s">
        <v>1428</v>
      </c>
      <c r="Q380" s="9" t="s">
        <v>685</v>
      </c>
      <c r="T380" s="9">
        <f ca="1">IFERROR(OFFSET(ITEM_RES!$A$5,MATCH(BUILDING!S380,ITEM_RES!$J$5:$J$229,0)-1,0),0)</f>
        <v>0</v>
      </c>
      <c r="V380" s="81" t="s">
        <v>531</v>
      </c>
      <c r="W380" s="11">
        <f ca="1">IFERROR(OFFSET(ITEM_RES!$A$5,MATCH(BUILDING!V380,ITEM_RES!$J$5:$J$229,0)-1,0),0)</f>
        <v>211020201</v>
      </c>
      <c r="Y380" s="9" t="s">
        <v>510</v>
      </c>
      <c r="Z380" s="9">
        <v>16</v>
      </c>
      <c r="AB380" s="11">
        <f ca="1">IFERROR(OFFSET(MANOR_LEVEL!$B$1,MATCH(AC380-1,MANOR_LEVEL!$A:$A,0)-1,0),0)</f>
        <v>6000000</v>
      </c>
      <c r="AC380" s="55">
        <v>13</v>
      </c>
      <c r="AE380" s="11">
        <f t="shared" ca="1" si="108"/>
        <v>3612000</v>
      </c>
      <c r="AF380" s="10">
        <f ca="1">AK380+AM380+(IFERROR(OFFSET(ITEM_RES!$R$1,MATCH(AQ380,ITEM_RES!$A:$A,0)-1,0),0)*AS380+IFERROR(OFFSET(ITEM_RES!$R$1,MATCH(AV380,ITEM_RES!$A:$A,0)-1,0),0)*AX380+IFERROR(OFFSET(ITEM_RES!$R$1,MATCH(BA380,ITEM_RES!$A:$A,0)-1,0),0)*BC380+IFERROR(OFFSET(ITEM_RES!$R$1,MATCH(BF380,ITEM_RES!$A:$A,0)-1,0),0)*BH380+IFERROR(OFFSET(ITEM_RES!$R$1,MATCH(BK380,ITEM_RES!$A:$A,0)-1,0),0)*BM380)/1000</f>
        <v>3612000</v>
      </c>
      <c r="AG380" s="176">
        <f t="shared" ca="1" si="112"/>
        <v>5376000</v>
      </c>
      <c r="AI380" s="11">
        <f t="shared" si="110"/>
        <v>1260</v>
      </c>
      <c r="AJ380" s="10">
        <v>1260</v>
      </c>
      <c r="AK380" s="11">
        <f t="shared" si="105"/>
        <v>0</v>
      </c>
      <c r="AL380" s="10">
        <v>0</v>
      </c>
      <c r="AM380" s="11">
        <f t="shared" si="106"/>
        <v>0</v>
      </c>
      <c r="AN380" s="10">
        <v>0</v>
      </c>
      <c r="AO380" s="55">
        <f t="shared" si="111"/>
        <v>2</v>
      </c>
      <c r="AQ380" s="11">
        <f ca="1">IFERROR(OFFSET(ITEM_RES!$A$1,MATCH(AR380,ITEM_RES!$J:$J,0)-1,0),0)</f>
        <v>211010601</v>
      </c>
      <c r="AR380" s="10" t="s">
        <v>432</v>
      </c>
      <c r="AS380" s="11">
        <v>1720000</v>
      </c>
      <c r="AV380" s="11">
        <f ca="1">IFERROR(OFFSET(ITEM_RES!$A$1,MATCH(AW380,ITEM_RES!$J:$J,0)-1,0),0)</f>
        <v>211020101</v>
      </c>
      <c r="AW380" s="10" t="s">
        <v>436</v>
      </c>
      <c r="AX380" s="11">
        <v>1720000</v>
      </c>
      <c r="BA380" s="11">
        <f ca="1">IFERROR(OFFSET(ITEM_RES!$A$1,MATCH(BB380,ITEM_RES!$J:$J,0)-1,0),0)</f>
        <v>0</v>
      </c>
      <c r="BF380" s="11">
        <f ca="1">IFERROR(OFFSET(ITEM_RES!$A$1,MATCH(BG380,ITEM_RES!$J:$J,0)-1,0),0)</f>
        <v>0</v>
      </c>
      <c r="BK380" s="11">
        <f ca="1">IFERROR(OFFSET(ITEM_RES!$A$1,MATCH(BL380,ITEM_RES!$J:$J,0)-1,0),0)</f>
        <v>0</v>
      </c>
    </row>
    <row r="381" spans="1:63" x14ac:dyDescent="0.3">
      <c r="A381" s="14">
        <f t="shared" si="102"/>
        <v>111090017</v>
      </c>
      <c r="B381" s="13">
        <v>11</v>
      </c>
      <c r="C381" s="12">
        <f t="shared" si="103"/>
        <v>1</v>
      </c>
      <c r="D381" s="13">
        <v>9</v>
      </c>
      <c r="E381" s="13">
        <v>0</v>
      </c>
      <c r="F381" s="12">
        <f t="shared" si="104"/>
        <v>17</v>
      </c>
      <c r="H381" s="9">
        <v>1</v>
      </c>
      <c r="I381" s="9">
        <v>17</v>
      </c>
      <c r="K381" s="9" t="s">
        <v>367</v>
      </c>
      <c r="M381" s="9">
        <v>0</v>
      </c>
      <c r="N381" s="9">
        <v>15</v>
      </c>
      <c r="O381" s="9" t="s">
        <v>1426</v>
      </c>
      <c r="P381" s="55" t="s">
        <v>1428</v>
      </c>
      <c r="Q381" s="9" t="s">
        <v>685</v>
      </c>
      <c r="T381" s="9">
        <f ca="1">IFERROR(OFFSET(ITEM_RES!$A$5,MATCH(BUILDING!S381,ITEM_RES!$J$5:$J$229,0)-1,0),0)</f>
        <v>0</v>
      </c>
      <c r="V381" s="81" t="s">
        <v>531</v>
      </c>
      <c r="W381" s="11">
        <f ca="1">IFERROR(OFFSET(ITEM_RES!$A$5,MATCH(BUILDING!V381,ITEM_RES!$J$5:$J$229,0)-1,0),0)</f>
        <v>211020201</v>
      </c>
      <c r="Y381" s="9" t="s">
        <v>510</v>
      </c>
      <c r="Z381" s="9">
        <v>17</v>
      </c>
      <c r="AB381" s="11">
        <f ca="1">IFERROR(OFFSET(MANOR_LEVEL!$B$1,MATCH(AC381-1,MANOR_LEVEL!$A:$A,0)-1,0),0)</f>
        <v>10000000</v>
      </c>
      <c r="AC381" s="55">
        <v>14</v>
      </c>
      <c r="AE381" s="11">
        <f t="shared" ca="1" si="108"/>
        <v>6720000</v>
      </c>
      <c r="AF381" s="10">
        <f ca="1">AK381+AM381+(IFERROR(OFFSET(ITEM_RES!$R$1,MATCH(AQ381,ITEM_RES!$A:$A,0)-1,0),0)*AS381+IFERROR(OFFSET(ITEM_RES!$R$1,MATCH(AV381,ITEM_RES!$A:$A,0)-1,0),0)*AX381+IFERROR(OFFSET(ITEM_RES!$R$1,MATCH(BA381,ITEM_RES!$A:$A,0)-1,0),0)*BC381+IFERROR(OFFSET(ITEM_RES!$R$1,MATCH(BF381,ITEM_RES!$A:$A,0)-1,0),0)*BH381+IFERROR(OFFSET(ITEM_RES!$R$1,MATCH(BK381,ITEM_RES!$A:$A,0)-1,0),0)*BM381)/1000</f>
        <v>6720000</v>
      </c>
      <c r="AG381" s="176">
        <f t="shared" ca="1" si="112"/>
        <v>10332000</v>
      </c>
      <c r="AI381" s="11">
        <f t="shared" si="110"/>
        <v>1440</v>
      </c>
      <c r="AJ381" s="10">
        <v>1440</v>
      </c>
      <c r="AK381" s="11">
        <f t="shared" si="105"/>
        <v>0</v>
      </c>
      <c r="AL381" s="10">
        <v>0</v>
      </c>
      <c r="AM381" s="11">
        <f t="shared" si="106"/>
        <v>0</v>
      </c>
      <c r="AN381" s="10">
        <v>0</v>
      </c>
      <c r="AO381" s="55">
        <f t="shared" si="111"/>
        <v>2</v>
      </c>
      <c r="AQ381" s="11">
        <f ca="1">IFERROR(OFFSET(ITEM_RES!$A$1,MATCH(AR381,ITEM_RES!$J:$J,0)-1,0),0)</f>
        <v>211010601</v>
      </c>
      <c r="AR381" s="10" t="s">
        <v>432</v>
      </c>
      <c r="AS381" s="11">
        <v>3200000</v>
      </c>
      <c r="AV381" s="11">
        <f ca="1">IFERROR(OFFSET(ITEM_RES!$A$1,MATCH(AW381,ITEM_RES!$J:$J,0)-1,0),0)</f>
        <v>211020101</v>
      </c>
      <c r="AW381" s="10" t="s">
        <v>436</v>
      </c>
      <c r="AX381" s="11">
        <v>3200000</v>
      </c>
      <c r="BA381" s="11">
        <f ca="1">IFERROR(OFFSET(ITEM_RES!$A$1,MATCH(BB381,ITEM_RES!$J:$J,0)-1,0),0)</f>
        <v>0</v>
      </c>
      <c r="BF381" s="11">
        <f ca="1">IFERROR(OFFSET(ITEM_RES!$A$1,MATCH(BG381,ITEM_RES!$J:$J,0)-1,0),0)</f>
        <v>0</v>
      </c>
      <c r="BK381" s="11">
        <f ca="1">IFERROR(OFFSET(ITEM_RES!$A$1,MATCH(BL381,ITEM_RES!$J:$J,0)-1,0),0)</f>
        <v>0</v>
      </c>
    </row>
    <row r="382" spans="1:63" x14ac:dyDescent="0.3">
      <c r="A382" s="14">
        <f t="shared" si="102"/>
        <v>111090018</v>
      </c>
      <c r="B382" s="13">
        <v>11</v>
      </c>
      <c r="C382" s="12">
        <f t="shared" si="103"/>
        <v>1</v>
      </c>
      <c r="D382" s="13">
        <v>9</v>
      </c>
      <c r="E382" s="13">
        <v>0</v>
      </c>
      <c r="F382" s="12">
        <f t="shared" si="104"/>
        <v>18</v>
      </c>
      <c r="H382" s="9">
        <v>1</v>
      </c>
      <c r="I382" s="9">
        <v>18</v>
      </c>
      <c r="K382" s="9" t="s">
        <v>367</v>
      </c>
      <c r="M382" s="9">
        <v>0</v>
      </c>
      <c r="N382" s="9">
        <v>15</v>
      </c>
      <c r="O382" s="9" t="s">
        <v>1426</v>
      </c>
      <c r="P382" s="55" t="s">
        <v>1428</v>
      </c>
      <c r="Q382" s="9" t="s">
        <v>685</v>
      </c>
      <c r="T382" s="9">
        <f ca="1">IFERROR(OFFSET(ITEM_RES!$A$5,MATCH(BUILDING!S382,ITEM_RES!$J$5:$J$229,0)-1,0),0)</f>
        <v>0</v>
      </c>
      <c r="V382" s="81" t="s">
        <v>531</v>
      </c>
      <c r="W382" s="11">
        <f ca="1">IFERROR(OFFSET(ITEM_RES!$A$5,MATCH(BUILDING!V382,ITEM_RES!$J$5:$J$229,0)-1,0),0)</f>
        <v>211020201</v>
      </c>
      <c r="Y382" s="9" t="s">
        <v>510</v>
      </c>
      <c r="Z382" s="9">
        <v>18</v>
      </c>
      <c r="AB382" s="11">
        <f ca="1">IFERROR(OFFSET(MANOR_LEVEL!$B$1,MATCH(AC382-1,MANOR_LEVEL!$A:$A,0)-1,0),0)</f>
        <v>17000000</v>
      </c>
      <c r="AC382" s="55">
        <v>15</v>
      </c>
      <c r="AE382" s="11">
        <f t="shared" ca="1" si="108"/>
        <v>10920000</v>
      </c>
      <c r="AF382" s="10">
        <f ca="1">AK382+AM382+(IFERROR(OFFSET(ITEM_RES!$R$1,MATCH(AQ382,ITEM_RES!$A:$A,0)-1,0),0)*AS382+IFERROR(OFFSET(ITEM_RES!$R$1,MATCH(AV382,ITEM_RES!$A:$A,0)-1,0),0)*AX382+IFERROR(OFFSET(ITEM_RES!$R$1,MATCH(BA382,ITEM_RES!$A:$A,0)-1,0),0)*BC382+IFERROR(OFFSET(ITEM_RES!$R$1,MATCH(BF382,ITEM_RES!$A:$A,0)-1,0),0)*BH382+IFERROR(OFFSET(ITEM_RES!$R$1,MATCH(BK382,ITEM_RES!$A:$A,0)-1,0),0)*BM382)/1000</f>
        <v>10920000</v>
      </c>
      <c r="AG382" s="176">
        <f t="shared" ca="1" si="112"/>
        <v>17640000</v>
      </c>
      <c r="AI382" s="11">
        <f t="shared" si="110"/>
        <v>1620</v>
      </c>
      <c r="AJ382" s="10">
        <v>1620</v>
      </c>
      <c r="AK382" s="11">
        <f t="shared" si="105"/>
        <v>0</v>
      </c>
      <c r="AL382" s="10">
        <v>0</v>
      </c>
      <c r="AM382" s="11">
        <f t="shared" si="106"/>
        <v>0</v>
      </c>
      <c r="AN382" s="10">
        <v>0</v>
      </c>
      <c r="AO382" s="55">
        <f t="shared" si="111"/>
        <v>2</v>
      </c>
      <c r="AQ382" s="11">
        <f ca="1">IFERROR(OFFSET(ITEM_RES!$A$1,MATCH(AR382,ITEM_RES!$J:$J,0)-1,0),0)</f>
        <v>211010601</v>
      </c>
      <c r="AR382" s="10" t="s">
        <v>432</v>
      </c>
      <c r="AS382" s="11">
        <v>5200000</v>
      </c>
      <c r="AV382" s="11">
        <f ca="1">IFERROR(OFFSET(ITEM_RES!$A$1,MATCH(AW382,ITEM_RES!$J:$J,0)-1,0),0)</f>
        <v>211020101</v>
      </c>
      <c r="AW382" s="10" t="s">
        <v>436</v>
      </c>
      <c r="AX382" s="11">
        <v>5200000</v>
      </c>
      <c r="BA382" s="11">
        <f ca="1">IFERROR(OFFSET(ITEM_RES!$A$1,MATCH(BB382,ITEM_RES!$J:$J,0)-1,0),0)</f>
        <v>0</v>
      </c>
      <c r="BF382" s="11">
        <f ca="1">IFERROR(OFFSET(ITEM_RES!$A$1,MATCH(BG382,ITEM_RES!$J:$J,0)-1,0),0)</f>
        <v>0</v>
      </c>
      <c r="BK382" s="11">
        <f ca="1">IFERROR(OFFSET(ITEM_RES!$A$1,MATCH(BL382,ITEM_RES!$J:$J,0)-1,0),0)</f>
        <v>0</v>
      </c>
    </row>
    <row r="383" spans="1:63" x14ac:dyDescent="0.3">
      <c r="A383" s="14">
        <f t="shared" si="102"/>
        <v>111090019</v>
      </c>
      <c r="B383" s="13">
        <v>11</v>
      </c>
      <c r="C383" s="12">
        <f t="shared" si="103"/>
        <v>1</v>
      </c>
      <c r="D383" s="13">
        <v>9</v>
      </c>
      <c r="E383" s="13">
        <v>0</v>
      </c>
      <c r="F383" s="12">
        <f t="shared" si="104"/>
        <v>19</v>
      </c>
      <c r="H383" s="9">
        <v>1</v>
      </c>
      <c r="I383" s="9">
        <v>19</v>
      </c>
      <c r="K383" s="9" t="s">
        <v>367</v>
      </c>
      <c r="M383" s="9">
        <v>0</v>
      </c>
      <c r="N383" s="9">
        <v>15</v>
      </c>
      <c r="O383" s="9" t="s">
        <v>1426</v>
      </c>
      <c r="P383" s="55" t="s">
        <v>1428</v>
      </c>
      <c r="Q383" s="9" t="s">
        <v>685</v>
      </c>
      <c r="T383" s="9">
        <f ca="1">IFERROR(OFFSET(ITEM_RES!$A$5,MATCH(BUILDING!S383,ITEM_RES!$J$5:$J$229,0)-1,0),0)</f>
        <v>0</v>
      </c>
      <c r="V383" s="81" t="s">
        <v>531</v>
      </c>
      <c r="W383" s="11">
        <f ca="1">IFERROR(OFFSET(ITEM_RES!$A$5,MATCH(BUILDING!V383,ITEM_RES!$J$5:$J$229,0)-1,0),0)</f>
        <v>211020201</v>
      </c>
      <c r="Y383" s="9" t="s">
        <v>510</v>
      </c>
      <c r="Z383" s="9">
        <v>19</v>
      </c>
      <c r="AB383" s="11">
        <f ca="1">IFERROR(OFFSET(MANOR_LEVEL!$B$1,MATCH(AC383-1,MANOR_LEVEL!$A:$A,0)-1,0),0)</f>
        <v>37000000</v>
      </c>
      <c r="AC383" s="55">
        <v>16</v>
      </c>
      <c r="AE383" s="11">
        <f t="shared" ca="1" si="108"/>
        <v>16800000</v>
      </c>
      <c r="AF383" s="10">
        <f ca="1">AK383+AM383+(IFERROR(OFFSET(ITEM_RES!$R$1,MATCH(AQ383,ITEM_RES!$A:$A,0)-1,0),0)*AS383+IFERROR(OFFSET(ITEM_RES!$R$1,MATCH(AV383,ITEM_RES!$A:$A,0)-1,0),0)*AX383+IFERROR(OFFSET(ITEM_RES!$R$1,MATCH(BA383,ITEM_RES!$A:$A,0)-1,0),0)*BC383+IFERROR(OFFSET(ITEM_RES!$R$1,MATCH(BF383,ITEM_RES!$A:$A,0)-1,0),0)*BH383+IFERROR(OFFSET(ITEM_RES!$R$1,MATCH(BK383,ITEM_RES!$A:$A,0)-1,0),0)*BM383)/1000</f>
        <v>16800000</v>
      </c>
      <c r="AG383" s="176">
        <f t="shared" ca="1" si="112"/>
        <v>27720000</v>
      </c>
      <c r="AI383" s="11">
        <f t="shared" si="110"/>
        <v>1800</v>
      </c>
      <c r="AJ383" s="10">
        <v>1800</v>
      </c>
      <c r="AK383" s="11">
        <f t="shared" si="105"/>
        <v>0</v>
      </c>
      <c r="AL383" s="10">
        <v>0</v>
      </c>
      <c r="AM383" s="11">
        <f t="shared" si="106"/>
        <v>0</v>
      </c>
      <c r="AN383" s="10">
        <v>0</v>
      </c>
      <c r="AO383" s="55">
        <f t="shared" si="111"/>
        <v>2</v>
      </c>
      <c r="AQ383" s="11">
        <f ca="1">IFERROR(OFFSET(ITEM_RES!$A$1,MATCH(AR383,ITEM_RES!$J:$J,0)-1,0),0)</f>
        <v>211010601</v>
      </c>
      <c r="AR383" s="10" t="s">
        <v>432</v>
      </c>
      <c r="AS383" s="11">
        <v>8000000</v>
      </c>
      <c r="AV383" s="11">
        <f ca="1">IFERROR(OFFSET(ITEM_RES!$A$1,MATCH(AW383,ITEM_RES!$J:$J,0)-1,0),0)</f>
        <v>211020101</v>
      </c>
      <c r="AW383" s="10" t="s">
        <v>436</v>
      </c>
      <c r="AX383" s="11">
        <v>8000000</v>
      </c>
      <c r="BA383" s="11">
        <f ca="1">IFERROR(OFFSET(ITEM_RES!$A$1,MATCH(BB383,ITEM_RES!$J:$J,0)-1,0),0)</f>
        <v>0</v>
      </c>
      <c r="BF383" s="11">
        <f ca="1">IFERROR(OFFSET(ITEM_RES!$A$1,MATCH(BG383,ITEM_RES!$J:$J,0)-1,0),0)</f>
        <v>0</v>
      </c>
      <c r="BK383" s="11">
        <f ca="1">IFERROR(OFFSET(ITEM_RES!$A$1,MATCH(BL383,ITEM_RES!$J:$J,0)-1,0),0)</f>
        <v>0</v>
      </c>
    </row>
    <row r="384" spans="1:63" ht="17.25" thickBot="1" x14ac:dyDescent="0.35">
      <c r="A384" s="14">
        <f t="shared" si="102"/>
        <v>111090020</v>
      </c>
      <c r="B384" s="13">
        <v>11</v>
      </c>
      <c r="C384" s="12">
        <f t="shared" si="103"/>
        <v>1</v>
      </c>
      <c r="D384" s="13">
        <v>9</v>
      </c>
      <c r="E384" s="13">
        <v>0</v>
      </c>
      <c r="F384" s="12">
        <f t="shared" si="104"/>
        <v>20</v>
      </c>
      <c r="H384" s="9">
        <v>1</v>
      </c>
      <c r="I384" s="9">
        <v>20</v>
      </c>
      <c r="K384" s="9" t="s">
        <v>367</v>
      </c>
      <c r="M384" s="9">
        <v>0</v>
      </c>
      <c r="N384" s="9">
        <v>15</v>
      </c>
      <c r="O384" s="9" t="s">
        <v>1426</v>
      </c>
      <c r="P384" s="55" t="s">
        <v>1428</v>
      </c>
      <c r="Q384" s="9" t="s">
        <v>685</v>
      </c>
      <c r="T384" s="9">
        <f ca="1">IFERROR(OFFSET(ITEM_RES!$A$5,MATCH(BUILDING!S384,ITEM_RES!$J$5:$J$229,0)-1,0),0)</f>
        <v>0</v>
      </c>
      <c r="V384" s="81" t="s">
        <v>531</v>
      </c>
      <c r="W384" s="11">
        <f ca="1">IFERROR(OFFSET(ITEM_RES!$A$5,MATCH(BUILDING!V384,ITEM_RES!$J$5:$J$229,0)-1,0),0)</f>
        <v>211020201</v>
      </c>
      <c r="Y384" s="9" t="s">
        <v>510</v>
      </c>
      <c r="Z384" s="9">
        <v>20</v>
      </c>
      <c r="AB384" s="11">
        <f ca="1">IFERROR(OFFSET(MANOR_LEVEL!$B$1,MATCH(AC384-1,MANOR_LEVEL!$A:$A,0)-1,0),0)</f>
        <v>85000000</v>
      </c>
      <c r="AC384" s="55">
        <v>17</v>
      </c>
      <c r="AE384" s="11">
        <f t="shared" ca="1" si="108"/>
        <v>26880000</v>
      </c>
      <c r="AF384" s="10">
        <f ca="1">AK384+AM384+(IFERROR(OFFSET(ITEM_RES!$R$1,MATCH(AQ384,ITEM_RES!$A:$A,0)-1,0),0)*AS384+IFERROR(OFFSET(ITEM_RES!$R$1,MATCH(AV384,ITEM_RES!$A:$A,0)-1,0),0)*AX384+IFERROR(OFFSET(ITEM_RES!$R$1,MATCH(BA384,ITEM_RES!$A:$A,0)-1,0),0)*BC384+IFERROR(OFFSET(ITEM_RES!$R$1,MATCH(BF384,ITEM_RES!$A:$A,0)-1,0),0)*BH384+IFERROR(OFFSET(ITEM_RES!$R$1,MATCH(BK384,ITEM_RES!$A:$A,0)-1,0),0)*BM384)/1000</f>
        <v>26880000</v>
      </c>
      <c r="AG384" s="176">
        <f t="shared" ca="1" si="112"/>
        <v>43680000</v>
      </c>
      <c r="AI384" s="11">
        <f t="shared" si="110"/>
        <v>1980</v>
      </c>
      <c r="AJ384" s="10">
        <v>1980</v>
      </c>
      <c r="AK384" s="11">
        <f t="shared" si="105"/>
        <v>0</v>
      </c>
      <c r="AL384" s="10">
        <v>0</v>
      </c>
      <c r="AM384" s="11">
        <f t="shared" si="106"/>
        <v>0</v>
      </c>
      <c r="AN384" s="10">
        <v>0</v>
      </c>
      <c r="AO384" s="55">
        <f t="shared" si="111"/>
        <v>2</v>
      </c>
      <c r="AQ384" s="11">
        <f ca="1">IFERROR(OFFSET(ITEM_RES!$A$1,MATCH(AR384,ITEM_RES!$J:$J,0)-1,0),0)</f>
        <v>211010601</v>
      </c>
      <c r="AR384" s="10" t="s">
        <v>432</v>
      </c>
      <c r="AS384" s="11">
        <v>12800000</v>
      </c>
      <c r="AV384" s="11">
        <f ca="1">IFERROR(OFFSET(ITEM_RES!$A$1,MATCH(AW384,ITEM_RES!$J:$J,0)-1,0),0)</f>
        <v>211020101</v>
      </c>
      <c r="AW384" s="10" t="s">
        <v>436</v>
      </c>
      <c r="AX384" s="11">
        <v>12800000</v>
      </c>
      <c r="BA384" s="11">
        <f ca="1">IFERROR(OFFSET(ITEM_RES!$A$1,MATCH(BB384,ITEM_RES!$J:$J,0)-1,0),0)</f>
        <v>0</v>
      </c>
      <c r="BF384" s="11">
        <f ca="1">IFERROR(OFFSET(ITEM_RES!$A$1,MATCH(BG384,ITEM_RES!$J:$J,0)-1,0),0)</f>
        <v>0</v>
      </c>
      <c r="BK384" s="11">
        <f ca="1">IFERROR(OFFSET(ITEM_RES!$A$1,MATCH(BL384,ITEM_RES!$J:$J,0)-1,0),0)</f>
        <v>0</v>
      </c>
    </row>
    <row r="385" spans="1:66" s="15" customFormat="1" x14ac:dyDescent="0.3">
      <c r="A385" s="21">
        <f t="shared" ref="A385:A428" si="113">B385*10000000+C385*1000000+D385*10000+E385*100+F385</f>
        <v>112060001</v>
      </c>
      <c r="B385" s="20">
        <v>11</v>
      </c>
      <c r="C385" s="19">
        <f t="shared" ref="C385:C428" si="114">H385</f>
        <v>2</v>
      </c>
      <c r="D385" s="20">
        <v>6</v>
      </c>
      <c r="E385" s="20">
        <v>0</v>
      </c>
      <c r="F385" s="19">
        <f t="shared" ref="F385:F428" si="115">I385</f>
        <v>1</v>
      </c>
      <c r="G385" s="76"/>
      <c r="H385" s="16">
        <v>2</v>
      </c>
      <c r="I385" s="16">
        <v>1</v>
      </c>
      <c r="J385" s="76"/>
      <c r="K385" s="16" t="s">
        <v>414</v>
      </c>
      <c r="L385" s="16">
        <v>7</v>
      </c>
      <c r="M385" s="16">
        <v>1</v>
      </c>
      <c r="N385" s="16">
        <v>15</v>
      </c>
      <c r="O385" s="16" t="s">
        <v>1017</v>
      </c>
      <c r="P385" s="56" t="s">
        <v>1379</v>
      </c>
      <c r="Q385" s="16" t="s">
        <v>684</v>
      </c>
      <c r="R385" s="76"/>
      <c r="S385" s="83" t="s">
        <v>537</v>
      </c>
      <c r="T385" s="16">
        <f ca="1">IFERROR(OFFSET(ITEM_RES!$A$5,MATCH(BUILDING!S385,ITEM_RES!$J$5:$J$229,0)-1,0),0)</f>
        <v>211020401</v>
      </c>
      <c r="U385" s="18">
        <v>1</v>
      </c>
      <c r="V385" s="83" t="s">
        <v>532</v>
      </c>
      <c r="W385" s="18">
        <f ca="1">IFERROR(OFFSET(ITEM_RES!$A$5,MATCH(BUILDING!V385,ITEM_RES!$J$5:$J$229,0)-1,0),0)</f>
        <v>211020501</v>
      </c>
      <c r="X385" s="76"/>
      <c r="Y385" s="16" t="s">
        <v>511</v>
      </c>
      <c r="Z385" s="16">
        <v>1</v>
      </c>
      <c r="AA385" s="76"/>
      <c r="AB385" s="18">
        <f ca="1">IFERROR(OFFSET(MANOR_LEVEL!$B$1,MATCH(AC385-1,MANOR_LEVEL!$A:$A,0)-1,0),0)</f>
        <v>600000</v>
      </c>
      <c r="AC385" s="56">
        <v>10</v>
      </c>
      <c r="AD385" s="76"/>
      <c r="AE385" s="18">
        <f t="shared" ca="1" si="108"/>
        <v>1030</v>
      </c>
      <c r="AF385" s="17">
        <f ca="1">AK385+AM385+(IFERROR(OFFSET(ITEM_RES!$R$1,MATCH(AQ385,ITEM_RES!$A:$A,0)-1,0),0)*AS385+IFERROR(OFFSET(ITEM_RES!$R$1,MATCH(AV385,ITEM_RES!$A:$A,0)-1,0),0)*AX385+IFERROR(OFFSET(ITEM_RES!$R$1,MATCH(BA385,ITEM_RES!$A:$A,0)-1,0),0)*BC385+IFERROR(OFFSET(ITEM_RES!$R$1,MATCH(BF385,ITEM_RES!$A:$A,0)-1,0),0)*BH385+IFERROR(OFFSET(ITEM_RES!$R$1,MATCH(BK385,ITEM_RES!$A:$A,0)-1,0),0)*BM385)/1000</f>
        <v>1030</v>
      </c>
      <c r="AG385" s="178">
        <f ca="1">AE385</f>
        <v>1030</v>
      </c>
      <c r="AH385" s="76"/>
      <c r="AI385" s="18">
        <f t="shared" si="110"/>
        <v>2</v>
      </c>
      <c r="AJ385" s="17">
        <v>2</v>
      </c>
      <c r="AK385" s="18">
        <f t="shared" ref="AK385:AK429" si="116">ROUND(AL385,0)</f>
        <v>0</v>
      </c>
      <c r="AL385" s="17">
        <v>0</v>
      </c>
      <c r="AM385" s="18">
        <f t="shared" si="106"/>
        <v>0</v>
      </c>
      <c r="AN385" s="17">
        <v>0</v>
      </c>
      <c r="AO385" s="56">
        <f t="shared" si="111"/>
        <v>2</v>
      </c>
      <c r="AP385" s="18"/>
      <c r="AQ385" s="18">
        <f ca="1">IFERROR(OFFSET(ITEM_RES!$A$1,MATCH(AR385,ITEM_RES!$J:$J,0)-1,0),0)</f>
        <v>211020801</v>
      </c>
      <c r="AR385" s="17" t="s">
        <v>427</v>
      </c>
      <c r="AS385" s="18">
        <v>5</v>
      </c>
      <c r="AT385" s="17"/>
      <c r="AU385" s="18"/>
      <c r="AV385" s="18">
        <f ca="1">IFERROR(OFFSET(ITEM_RES!$A$1,MATCH(AW385,ITEM_RES!$J:$J,0)-1,0),0)</f>
        <v>0</v>
      </c>
      <c r="AW385" s="17"/>
      <c r="AX385" s="18"/>
      <c r="AY385" s="17"/>
      <c r="AZ385" s="18"/>
      <c r="BA385" s="18">
        <f ca="1">IFERROR(OFFSET(ITEM_RES!$A$1,MATCH(BB385,ITEM_RES!$J:$J,0)-1,0),0)</f>
        <v>213010101</v>
      </c>
      <c r="BB385" s="17" t="s">
        <v>440</v>
      </c>
      <c r="BC385" s="18">
        <v>1</v>
      </c>
      <c r="BD385" s="17"/>
      <c r="BE385" s="18"/>
      <c r="BF385" s="18">
        <f ca="1">IFERROR(OFFSET(ITEM_RES!$A$1,MATCH(BG385,ITEM_RES!$J:$J,0)-1,0),0)</f>
        <v>0</v>
      </c>
      <c r="BG385" s="17"/>
      <c r="BH385" s="18"/>
      <c r="BI385" s="17"/>
      <c r="BJ385" s="18"/>
      <c r="BK385" s="18">
        <f ca="1">IFERROR(OFFSET(ITEM_RES!$A$1,MATCH(BL385,ITEM_RES!$J:$J,0)-1,0),0)</f>
        <v>0</v>
      </c>
      <c r="BL385" s="17"/>
      <c r="BM385" s="18"/>
      <c r="BN385" s="17"/>
    </row>
    <row r="386" spans="1:66" x14ac:dyDescent="0.3">
      <c r="A386" s="14">
        <f t="shared" si="113"/>
        <v>112060002</v>
      </c>
      <c r="B386" s="13">
        <v>11</v>
      </c>
      <c r="C386" s="12">
        <f t="shared" si="114"/>
        <v>2</v>
      </c>
      <c r="D386" s="13">
        <v>6</v>
      </c>
      <c r="E386" s="13">
        <v>0</v>
      </c>
      <c r="F386" s="12">
        <f t="shared" si="115"/>
        <v>2</v>
      </c>
      <c r="H386" s="9">
        <v>2</v>
      </c>
      <c r="I386" s="9">
        <v>2</v>
      </c>
      <c r="K386" s="9" t="s">
        <v>414</v>
      </c>
      <c r="M386" s="9">
        <v>1</v>
      </c>
      <c r="N386" s="9">
        <v>15</v>
      </c>
      <c r="O386" s="9" t="s">
        <v>1017</v>
      </c>
      <c r="P386" s="55" t="s">
        <v>1379</v>
      </c>
      <c r="Q386" s="9" t="s">
        <v>684</v>
      </c>
      <c r="S386" s="81" t="s">
        <v>537</v>
      </c>
      <c r="T386" s="9">
        <f ca="1">IFERROR(OFFSET(ITEM_RES!$A$5,MATCH(BUILDING!S386,ITEM_RES!$J$5:$J$229,0)-1,0),0)</f>
        <v>211020401</v>
      </c>
      <c r="U386" s="11">
        <v>1</v>
      </c>
      <c r="V386" s="81" t="s">
        <v>532</v>
      </c>
      <c r="W386" s="11">
        <f ca="1">IFERROR(OFFSET(ITEM_RES!$A$5,MATCH(BUILDING!V386,ITEM_RES!$J$5:$J$229,0)-1,0),0)</f>
        <v>211020501</v>
      </c>
      <c r="Y386" s="9" t="s">
        <v>511</v>
      </c>
      <c r="Z386" s="9">
        <v>2</v>
      </c>
      <c r="AB386" s="11">
        <f ca="1">IFERROR(OFFSET(MANOR_LEVEL!$B$1,MATCH(AC386-1,MANOR_LEVEL!$A:$A,0)-1,0),0)</f>
        <v>600000</v>
      </c>
      <c r="AC386" s="55">
        <v>10</v>
      </c>
      <c r="AE386" s="11">
        <f t="shared" ca="1" si="108"/>
        <v>60</v>
      </c>
      <c r="AF386" s="10">
        <f ca="1">AK386+AM386+(IFERROR(OFFSET(ITEM_RES!$R$1,MATCH(AQ386,ITEM_RES!$A:$A,0)-1,0),0)*AS386+IFERROR(OFFSET(ITEM_RES!$R$1,MATCH(AV386,ITEM_RES!$A:$A,0)-1,0),0)*AX386+IFERROR(OFFSET(ITEM_RES!$R$1,MATCH(BA386,ITEM_RES!$A:$A,0)-1,0),0)*BC386+IFERROR(OFFSET(ITEM_RES!$R$1,MATCH(BF386,ITEM_RES!$A:$A,0)-1,0),0)*BH386+IFERROR(OFFSET(ITEM_RES!$R$1,MATCH(BK386,ITEM_RES!$A:$A,0)-1,0),0)*BM386)/1000</f>
        <v>60</v>
      </c>
      <c r="AG386" s="176">
        <f ca="1">AE385+AE386</f>
        <v>1090</v>
      </c>
      <c r="AI386" s="11">
        <f t="shared" si="110"/>
        <v>2</v>
      </c>
      <c r="AJ386" s="10">
        <v>2</v>
      </c>
      <c r="AK386" s="11">
        <f t="shared" si="116"/>
        <v>0</v>
      </c>
      <c r="AL386" s="10">
        <v>0</v>
      </c>
      <c r="AM386" s="11">
        <f t="shared" si="106"/>
        <v>0</v>
      </c>
      <c r="AN386" s="10">
        <v>0</v>
      </c>
      <c r="AO386" s="55">
        <f t="shared" si="111"/>
        <v>1</v>
      </c>
      <c r="AQ386" s="11">
        <f ca="1">IFERROR(OFFSET(ITEM_RES!$A$1,MATCH(AR386,ITEM_RES!$J:$J,0)-1,0),0)</f>
        <v>211020801</v>
      </c>
      <c r="AR386" s="10" t="s">
        <v>427</v>
      </c>
      <c r="AS386" s="11">
        <v>10</v>
      </c>
      <c r="AV386" s="11">
        <f ca="1">IFERROR(OFFSET(ITEM_RES!$A$1,MATCH(AW386,ITEM_RES!$J:$J,0)-1,0),0)</f>
        <v>0</v>
      </c>
      <c r="BA386" s="11">
        <f ca="1">IFERROR(OFFSET(ITEM_RES!$A$1,MATCH(BB386,ITEM_RES!$J:$J,0)-1,0),0)</f>
        <v>0</v>
      </c>
      <c r="BF386" s="11">
        <f ca="1">IFERROR(OFFSET(ITEM_RES!$A$1,MATCH(BG386,ITEM_RES!$J:$J,0)-1,0),0)</f>
        <v>0</v>
      </c>
      <c r="BK386" s="11">
        <f ca="1">IFERROR(OFFSET(ITEM_RES!$A$1,MATCH(BL386,ITEM_RES!$J:$J,0)-1,0),0)</f>
        <v>0</v>
      </c>
    </row>
    <row r="387" spans="1:66" x14ac:dyDescent="0.3">
      <c r="A387" s="14">
        <f t="shared" si="113"/>
        <v>112060003</v>
      </c>
      <c r="B387" s="13">
        <v>11</v>
      </c>
      <c r="C387" s="12">
        <f t="shared" si="114"/>
        <v>2</v>
      </c>
      <c r="D387" s="13">
        <v>6</v>
      </c>
      <c r="E387" s="13">
        <v>0</v>
      </c>
      <c r="F387" s="12">
        <f t="shared" si="115"/>
        <v>3</v>
      </c>
      <c r="H387" s="9">
        <v>2</v>
      </c>
      <c r="I387" s="9">
        <v>3</v>
      </c>
      <c r="K387" s="9" t="s">
        <v>414</v>
      </c>
      <c r="M387" s="9">
        <v>1</v>
      </c>
      <c r="N387" s="9">
        <v>15</v>
      </c>
      <c r="O387" s="9" t="s">
        <v>1017</v>
      </c>
      <c r="P387" s="55" t="s">
        <v>1379</v>
      </c>
      <c r="Q387" s="9" t="s">
        <v>684</v>
      </c>
      <c r="S387" s="81" t="s">
        <v>537</v>
      </c>
      <c r="T387" s="9">
        <f ca="1">IFERROR(OFFSET(ITEM_RES!$A$5,MATCH(BUILDING!S387,ITEM_RES!$J$5:$J$229,0)-1,0),0)</f>
        <v>211020401</v>
      </c>
      <c r="U387" s="11">
        <v>1</v>
      </c>
      <c r="V387" s="81" t="s">
        <v>532</v>
      </c>
      <c r="W387" s="11">
        <f ca="1">IFERROR(OFFSET(ITEM_RES!$A$5,MATCH(BUILDING!V387,ITEM_RES!$J$5:$J$229,0)-1,0),0)</f>
        <v>211020501</v>
      </c>
      <c r="Y387" s="9" t="s">
        <v>511</v>
      </c>
      <c r="Z387" s="9">
        <v>3</v>
      </c>
      <c r="AB387" s="11">
        <f ca="1">IFERROR(OFFSET(MANOR_LEVEL!$B$1,MATCH(AC387-1,MANOR_LEVEL!$A:$A,0)-1,0),0)</f>
        <v>600000</v>
      </c>
      <c r="AC387" s="55">
        <v>10</v>
      </c>
      <c r="AE387" s="11">
        <f t="shared" ca="1" si="108"/>
        <v>90</v>
      </c>
      <c r="AF387" s="10">
        <f ca="1">AK387+AM387+(IFERROR(OFFSET(ITEM_RES!$R$1,MATCH(AQ387,ITEM_RES!$A:$A,0)-1,0),0)*AS387+IFERROR(OFFSET(ITEM_RES!$R$1,MATCH(AV387,ITEM_RES!$A:$A,0)-1,0),0)*AX387+IFERROR(OFFSET(ITEM_RES!$R$1,MATCH(BA387,ITEM_RES!$A:$A,0)-1,0),0)*BC387+IFERROR(OFFSET(ITEM_RES!$R$1,MATCH(BF387,ITEM_RES!$A:$A,0)-1,0),0)*BH387+IFERROR(OFFSET(ITEM_RES!$R$1,MATCH(BK387,ITEM_RES!$A:$A,0)-1,0),0)*BM387)/1000</f>
        <v>90</v>
      </c>
      <c r="AG387" s="176">
        <f t="shared" ref="AG387:AG404" ca="1" si="117">AE386+AE387</f>
        <v>150</v>
      </c>
      <c r="AI387" s="11">
        <f t="shared" si="110"/>
        <v>3</v>
      </c>
      <c r="AJ387" s="10">
        <v>3</v>
      </c>
      <c r="AK387" s="11">
        <f t="shared" si="116"/>
        <v>0</v>
      </c>
      <c r="AL387" s="10">
        <v>0</v>
      </c>
      <c r="AM387" s="11">
        <f t="shared" si="106"/>
        <v>0</v>
      </c>
      <c r="AN387" s="10">
        <v>0</v>
      </c>
      <c r="AO387" s="55">
        <f t="shared" si="111"/>
        <v>1</v>
      </c>
      <c r="AQ387" s="11">
        <f ca="1">IFERROR(OFFSET(ITEM_RES!$A$1,MATCH(AR387,ITEM_RES!$J:$J,0)-1,0),0)</f>
        <v>211020801</v>
      </c>
      <c r="AR387" s="10" t="s">
        <v>427</v>
      </c>
      <c r="AS387" s="11">
        <v>15</v>
      </c>
      <c r="AV387" s="11">
        <f ca="1">IFERROR(OFFSET(ITEM_RES!$A$1,MATCH(AW387,ITEM_RES!$J:$J,0)-1,0),0)</f>
        <v>0</v>
      </c>
      <c r="BA387" s="11">
        <f ca="1">IFERROR(OFFSET(ITEM_RES!$A$1,MATCH(BB387,ITEM_RES!$J:$J,0)-1,0),0)</f>
        <v>0</v>
      </c>
      <c r="BF387" s="11">
        <f ca="1">IFERROR(OFFSET(ITEM_RES!$A$1,MATCH(BG387,ITEM_RES!$J:$J,0)-1,0),0)</f>
        <v>0</v>
      </c>
      <c r="BK387" s="11">
        <f ca="1">IFERROR(OFFSET(ITEM_RES!$A$1,MATCH(BL387,ITEM_RES!$J:$J,0)-1,0),0)</f>
        <v>0</v>
      </c>
    </row>
    <row r="388" spans="1:66" x14ac:dyDescent="0.3">
      <c r="A388" s="14">
        <f t="shared" si="113"/>
        <v>112060004</v>
      </c>
      <c r="B388" s="13">
        <v>11</v>
      </c>
      <c r="C388" s="12">
        <f t="shared" si="114"/>
        <v>2</v>
      </c>
      <c r="D388" s="13">
        <v>6</v>
      </c>
      <c r="E388" s="13">
        <v>0</v>
      </c>
      <c r="F388" s="12">
        <f t="shared" si="115"/>
        <v>4</v>
      </c>
      <c r="H388" s="9">
        <v>2</v>
      </c>
      <c r="I388" s="9">
        <v>4</v>
      </c>
      <c r="K388" s="9" t="s">
        <v>414</v>
      </c>
      <c r="M388" s="9">
        <v>1</v>
      </c>
      <c r="N388" s="9">
        <v>15</v>
      </c>
      <c r="O388" s="9" t="s">
        <v>1017</v>
      </c>
      <c r="P388" s="55" t="s">
        <v>1379</v>
      </c>
      <c r="Q388" s="9" t="s">
        <v>684</v>
      </c>
      <c r="S388" s="81" t="s">
        <v>537</v>
      </c>
      <c r="T388" s="9">
        <f ca="1">IFERROR(OFFSET(ITEM_RES!$A$5,MATCH(BUILDING!S388,ITEM_RES!$J$5:$J$229,0)-1,0),0)</f>
        <v>211020401</v>
      </c>
      <c r="U388" s="11">
        <v>1</v>
      </c>
      <c r="V388" s="81" t="s">
        <v>532</v>
      </c>
      <c r="W388" s="11">
        <f ca="1">IFERROR(OFFSET(ITEM_RES!$A$5,MATCH(BUILDING!V388,ITEM_RES!$J$5:$J$229,0)-1,0),0)</f>
        <v>211020501</v>
      </c>
      <c r="Y388" s="9" t="s">
        <v>511</v>
      </c>
      <c r="Z388" s="9">
        <v>4</v>
      </c>
      <c r="AB388" s="11">
        <f ca="1">IFERROR(OFFSET(MANOR_LEVEL!$B$1,MATCH(AC388-1,MANOR_LEVEL!$A:$A,0)-1,0),0)</f>
        <v>600000</v>
      </c>
      <c r="AC388" s="55">
        <v>10</v>
      </c>
      <c r="AE388" s="11">
        <f t="shared" ca="1" si="108"/>
        <v>120</v>
      </c>
      <c r="AF388" s="10">
        <f ca="1">AK388+AM388+(IFERROR(OFFSET(ITEM_RES!$R$1,MATCH(AQ388,ITEM_RES!$A:$A,0)-1,0),0)*AS388+IFERROR(OFFSET(ITEM_RES!$R$1,MATCH(AV388,ITEM_RES!$A:$A,0)-1,0),0)*AX388+IFERROR(OFFSET(ITEM_RES!$R$1,MATCH(BA388,ITEM_RES!$A:$A,0)-1,0),0)*BC388+IFERROR(OFFSET(ITEM_RES!$R$1,MATCH(BF388,ITEM_RES!$A:$A,0)-1,0),0)*BH388+IFERROR(OFFSET(ITEM_RES!$R$1,MATCH(BK388,ITEM_RES!$A:$A,0)-1,0),0)*BM388)/1000</f>
        <v>120</v>
      </c>
      <c r="AG388" s="176">
        <f t="shared" ca="1" si="117"/>
        <v>210</v>
      </c>
      <c r="AI388" s="11">
        <f t="shared" si="110"/>
        <v>5</v>
      </c>
      <c r="AJ388" s="10">
        <v>5</v>
      </c>
      <c r="AK388" s="11">
        <f t="shared" si="116"/>
        <v>0</v>
      </c>
      <c r="AL388" s="10">
        <v>0</v>
      </c>
      <c r="AM388" s="11">
        <f t="shared" si="106"/>
        <v>0</v>
      </c>
      <c r="AN388" s="10">
        <v>0</v>
      </c>
      <c r="AO388" s="55">
        <f t="shared" si="111"/>
        <v>1</v>
      </c>
      <c r="AQ388" s="11">
        <f ca="1">IFERROR(OFFSET(ITEM_RES!$A$1,MATCH(AR388,ITEM_RES!$J:$J,0)-1,0),0)</f>
        <v>211020801</v>
      </c>
      <c r="AR388" s="10" t="s">
        <v>427</v>
      </c>
      <c r="AS388" s="11">
        <v>20</v>
      </c>
      <c r="AV388" s="11">
        <f ca="1">IFERROR(OFFSET(ITEM_RES!$A$1,MATCH(AW388,ITEM_RES!$J:$J,0)-1,0),0)</f>
        <v>0</v>
      </c>
      <c r="BA388" s="11">
        <f ca="1">IFERROR(OFFSET(ITEM_RES!$A$1,MATCH(BB388,ITEM_RES!$J:$J,0)-1,0),0)</f>
        <v>0</v>
      </c>
      <c r="BF388" s="11">
        <f ca="1">IFERROR(OFFSET(ITEM_RES!$A$1,MATCH(BG388,ITEM_RES!$J:$J,0)-1,0),0)</f>
        <v>0</v>
      </c>
      <c r="BK388" s="11">
        <f ca="1">IFERROR(OFFSET(ITEM_RES!$A$1,MATCH(BL388,ITEM_RES!$J:$J,0)-1,0),0)</f>
        <v>0</v>
      </c>
    </row>
    <row r="389" spans="1:66" x14ac:dyDescent="0.3">
      <c r="A389" s="14">
        <f t="shared" si="113"/>
        <v>112060005</v>
      </c>
      <c r="B389" s="13">
        <v>11</v>
      </c>
      <c r="C389" s="12">
        <f t="shared" si="114"/>
        <v>2</v>
      </c>
      <c r="D389" s="13">
        <v>6</v>
      </c>
      <c r="E389" s="13">
        <v>0</v>
      </c>
      <c r="F389" s="12">
        <f t="shared" si="115"/>
        <v>5</v>
      </c>
      <c r="H389" s="9">
        <v>2</v>
      </c>
      <c r="I389" s="9">
        <v>5</v>
      </c>
      <c r="K389" s="9" t="s">
        <v>414</v>
      </c>
      <c r="M389" s="9">
        <v>1</v>
      </c>
      <c r="N389" s="9">
        <v>15</v>
      </c>
      <c r="O389" s="9" t="s">
        <v>1017</v>
      </c>
      <c r="P389" s="55" t="s">
        <v>1379</v>
      </c>
      <c r="Q389" s="9" t="s">
        <v>684</v>
      </c>
      <c r="S389" s="81" t="s">
        <v>537</v>
      </c>
      <c r="T389" s="9">
        <f ca="1">IFERROR(OFFSET(ITEM_RES!$A$5,MATCH(BUILDING!S389,ITEM_RES!$J$5:$J$229,0)-1,0),0)</f>
        <v>211020401</v>
      </c>
      <c r="U389" s="11">
        <v>1</v>
      </c>
      <c r="V389" s="81" t="s">
        <v>532</v>
      </c>
      <c r="W389" s="11">
        <f ca="1">IFERROR(OFFSET(ITEM_RES!$A$5,MATCH(BUILDING!V389,ITEM_RES!$J$5:$J$229,0)-1,0),0)</f>
        <v>211020501</v>
      </c>
      <c r="Y389" s="9" t="s">
        <v>511</v>
      </c>
      <c r="Z389" s="9">
        <v>5</v>
      </c>
      <c r="AB389" s="11">
        <f ca="1">IFERROR(OFFSET(MANOR_LEVEL!$B$1,MATCH(AC389-1,MANOR_LEVEL!$A:$A,0)-1,0),0)</f>
        <v>600000</v>
      </c>
      <c r="AC389" s="55">
        <v>10</v>
      </c>
      <c r="AE389" s="11">
        <f t="shared" ca="1" si="108"/>
        <v>180</v>
      </c>
      <c r="AF389" s="10">
        <f ca="1">AK389+AM389+(IFERROR(OFFSET(ITEM_RES!$R$1,MATCH(AQ389,ITEM_RES!$A:$A,0)-1,0),0)*AS389+IFERROR(OFFSET(ITEM_RES!$R$1,MATCH(AV389,ITEM_RES!$A:$A,0)-1,0),0)*AX389+IFERROR(OFFSET(ITEM_RES!$R$1,MATCH(BA389,ITEM_RES!$A:$A,0)-1,0),0)*BC389+IFERROR(OFFSET(ITEM_RES!$R$1,MATCH(BF389,ITEM_RES!$A:$A,0)-1,0),0)*BH389+IFERROR(OFFSET(ITEM_RES!$R$1,MATCH(BK389,ITEM_RES!$A:$A,0)-1,0),0)*BM389)/1000</f>
        <v>180</v>
      </c>
      <c r="AG389" s="176">
        <f t="shared" ca="1" si="117"/>
        <v>300</v>
      </c>
      <c r="AI389" s="11">
        <f t="shared" si="110"/>
        <v>8</v>
      </c>
      <c r="AJ389" s="10">
        <v>8</v>
      </c>
      <c r="AK389" s="11">
        <f t="shared" si="116"/>
        <v>0</v>
      </c>
      <c r="AL389" s="10">
        <v>0</v>
      </c>
      <c r="AM389" s="11">
        <f t="shared" si="106"/>
        <v>0</v>
      </c>
      <c r="AN389" s="10">
        <v>0</v>
      </c>
      <c r="AO389" s="55">
        <f t="shared" si="111"/>
        <v>1</v>
      </c>
      <c r="AQ389" s="11">
        <f ca="1">IFERROR(OFFSET(ITEM_RES!$A$1,MATCH(AR389,ITEM_RES!$J:$J,0)-1,0),0)</f>
        <v>211020801</v>
      </c>
      <c r="AR389" s="10" t="s">
        <v>427</v>
      </c>
      <c r="AS389" s="11">
        <v>30</v>
      </c>
      <c r="AV389" s="11">
        <f ca="1">IFERROR(OFFSET(ITEM_RES!$A$1,MATCH(AW389,ITEM_RES!$J:$J,0)-1,0),0)</f>
        <v>0</v>
      </c>
      <c r="BA389" s="11">
        <f ca="1">IFERROR(OFFSET(ITEM_RES!$A$1,MATCH(BB389,ITEM_RES!$J:$J,0)-1,0),0)</f>
        <v>0</v>
      </c>
      <c r="BF389" s="11">
        <f ca="1">IFERROR(OFFSET(ITEM_RES!$A$1,MATCH(BG389,ITEM_RES!$J:$J,0)-1,0),0)</f>
        <v>0</v>
      </c>
      <c r="BK389" s="11">
        <f ca="1">IFERROR(OFFSET(ITEM_RES!$A$1,MATCH(BL389,ITEM_RES!$J:$J,0)-1,0),0)</f>
        <v>0</v>
      </c>
    </row>
    <row r="390" spans="1:66" x14ac:dyDescent="0.3">
      <c r="A390" s="14">
        <f t="shared" si="113"/>
        <v>112060006</v>
      </c>
      <c r="B390" s="13">
        <v>11</v>
      </c>
      <c r="C390" s="12">
        <f t="shared" si="114"/>
        <v>2</v>
      </c>
      <c r="D390" s="13">
        <v>6</v>
      </c>
      <c r="E390" s="13">
        <v>0</v>
      </c>
      <c r="F390" s="12">
        <f t="shared" si="115"/>
        <v>6</v>
      </c>
      <c r="H390" s="9">
        <v>2</v>
      </c>
      <c r="I390" s="9">
        <v>6</v>
      </c>
      <c r="K390" s="9" t="s">
        <v>414</v>
      </c>
      <c r="M390" s="9">
        <v>1</v>
      </c>
      <c r="N390" s="9">
        <v>15</v>
      </c>
      <c r="O390" s="9" t="s">
        <v>1017</v>
      </c>
      <c r="P390" s="55" t="s">
        <v>1379</v>
      </c>
      <c r="Q390" s="9" t="s">
        <v>684</v>
      </c>
      <c r="S390" s="81" t="s">
        <v>537</v>
      </c>
      <c r="T390" s="9">
        <f ca="1">IFERROR(OFFSET(ITEM_RES!$A$5,MATCH(BUILDING!S390,ITEM_RES!$J$5:$J$229,0)-1,0),0)</f>
        <v>211020401</v>
      </c>
      <c r="U390" s="11">
        <v>1</v>
      </c>
      <c r="V390" s="81" t="s">
        <v>532</v>
      </c>
      <c r="W390" s="11">
        <f ca="1">IFERROR(OFFSET(ITEM_RES!$A$5,MATCH(BUILDING!V390,ITEM_RES!$J$5:$J$229,0)-1,0),0)</f>
        <v>211020501</v>
      </c>
      <c r="Y390" s="9" t="s">
        <v>511</v>
      </c>
      <c r="Z390" s="9">
        <v>6</v>
      </c>
      <c r="AB390" s="11">
        <f ca="1">IFERROR(OFFSET(MANOR_LEVEL!$B$1,MATCH(AC390-1,MANOR_LEVEL!$A:$A,0)-1,0),0)</f>
        <v>600000</v>
      </c>
      <c r="AC390" s="55">
        <v>10</v>
      </c>
      <c r="AE390" s="11">
        <f t="shared" ca="1" si="108"/>
        <v>5270</v>
      </c>
      <c r="AF390" s="10">
        <f ca="1">AK390+AM390+(IFERROR(OFFSET(ITEM_RES!$R$1,MATCH(AQ390,ITEM_RES!$A:$A,0)-1,0),0)*AS390+IFERROR(OFFSET(ITEM_RES!$R$1,MATCH(AV390,ITEM_RES!$A:$A,0)-1,0),0)*AX390+IFERROR(OFFSET(ITEM_RES!$R$1,MATCH(BA390,ITEM_RES!$A:$A,0)-1,0),0)*BC390+IFERROR(OFFSET(ITEM_RES!$R$1,MATCH(BF390,ITEM_RES!$A:$A,0)-1,0),0)*BH390+IFERROR(OFFSET(ITEM_RES!$R$1,MATCH(BK390,ITEM_RES!$A:$A,0)-1,0),0)*BM390)/1000</f>
        <v>5270</v>
      </c>
      <c r="AG390" s="176">
        <f t="shared" ca="1" si="117"/>
        <v>5450</v>
      </c>
      <c r="AI390" s="11">
        <f t="shared" si="110"/>
        <v>10</v>
      </c>
      <c r="AJ390" s="10">
        <v>10</v>
      </c>
      <c r="AK390" s="11">
        <f t="shared" si="116"/>
        <v>0</v>
      </c>
      <c r="AL390" s="10">
        <v>0</v>
      </c>
      <c r="AM390" s="11">
        <f t="shared" ref="AM390:AM453" si="118">ROUND(AN390,0)</f>
        <v>0</v>
      </c>
      <c r="AN390" s="10">
        <v>0</v>
      </c>
      <c r="AO390" s="55">
        <f t="shared" si="111"/>
        <v>2</v>
      </c>
      <c r="AQ390" s="11">
        <f ca="1">IFERROR(OFFSET(ITEM_RES!$A$1,MATCH(AR390,ITEM_RES!$J:$J,0)-1,0),0)</f>
        <v>211020801</v>
      </c>
      <c r="AR390" s="10" t="s">
        <v>427</v>
      </c>
      <c r="AS390" s="11">
        <v>45</v>
      </c>
      <c r="AV390" s="11">
        <f ca="1">IFERROR(OFFSET(ITEM_RES!$A$1,MATCH(AW390,ITEM_RES!$J:$J,0)-1,0),0)</f>
        <v>0</v>
      </c>
      <c r="BA390" s="11">
        <f ca="1">IFERROR(OFFSET(ITEM_RES!$A$1,MATCH(BB390,ITEM_RES!$J:$J,0)-1,0),0)</f>
        <v>0</v>
      </c>
      <c r="BF390" s="11">
        <f ca="1">IFERROR(OFFSET(ITEM_RES!$A$1,MATCH(BG390,ITEM_RES!$J:$J,0)-1,0),0)</f>
        <v>213011301</v>
      </c>
      <c r="BG390" s="10" t="s">
        <v>457</v>
      </c>
      <c r="BH390" s="11">
        <v>1</v>
      </c>
      <c r="BK390" s="11">
        <f ca="1">IFERROR(OFFSET(ITEM_RES!$A$1,MATCH(BL390,ITEM_RES!$J:$J,0)-1,0),0)</f>
        <v>0</v>
      </c>
    </row>
    <row r="391" spans="1:66" x14ac:dyDescent="0.3">
      <c r="A391" s="14">
        <f t="shared" si="113"/>
        <v>112060007</v>
      </c>
      <c r="B391" s="13">
        <v>11</v>
      </c>
      <c r="C391" s="12">
        <f t="shared" si="114"/>
        <v>2</v>
      </c>
      <c r="D391" s="13">
        <v>6</v>
      </c>
      <c r="E391" s="13">
        <v>0</v>
      </c>
      <c r="F391" s="12">
        <f t="shared" si="115"/>
        <v>7</v>
      </c>
      <c r="H391" s="9">
        <v>2</v>
      </c>
      <c r="I391" s="9">
        <v>7</v>
      </c>
      <c r="K391" s="9" t="s">
        <v>414</v>
      </c>
      <c r="M391" s="9">
        <v>1</v>
      </c>
      <c r="N391" s="9">
        <v>15</v>
      </c>
      <c r="O391" s="9" t="s">
        <v>1017</v>
      </c>
      <c r="P391" s="55" t="s">
        <v>1379</v>
      </c>
      <c r="Q391" s="9" t="s">
        <v>684</v>
      </c>
      <c r="S391" s="81" t="s">
        <v>537</v>
      </c>
      <c r="T391" s="9">
        <f ca="1">IFERROR(OFFSET(ITEM_RES!$A$5,MATCH(BUILDING!S391,ITEM_RES!$J$5:$J$229,0)-1,0),0)</f>
        <v>211020401</v>
      </c>
      <c r="U391" s="11">
        <v>1</v>
      </c>
      <c r="V391" s="81" t="s">
        <v>532</v>
      </c>
      <c r="W391" s="11">
        <f ca="1">IFERROR(OFFSET(ITEM_RES!$A$5,MATCH(BUILDING!V391,ITEM_RES!$J$5:$J$229,0)-1,0),0)</f>
        <v>211020501</v>
      </c>
      <c r="Y391" s="9" t="s">
        <v>511</v>
      </c>
      <c r="Z391" s="9">
        <v>7</v>
      </c>
      <c r="AB391" s="11">
        <f ca="1">IFERROR(OFFSET(MANOR_LEVEL!$B$1,MATCH(AC391-1,MANOR_LEVEL!$A:$A,0)-1,0),0)</f>
        <v>1200000</v>
      </c>
      <c r="AC391" s="55">
        <v>11</v>
      </c>
      <c r="AE391" s="11">
        <f t="shared" ca="1" si="108"/>
        <v>1080</v>
      </c>
      <c r="AF391" s="10">
        <f ca="1">AK391+AM391+(IFERROR(OFFSET(ITEM_RES!$R$1,MATCH(AQ391,ITEM_RES!$A:$A,0)-1,0),0)*AS391+IFERROR(OFFSET(ITEM_RES!$R$1,MATCH(AV391,ITEM_RES!$A:$A,0)-1,0),0)*AX391+IFERROR(OFFSET(ITEM_RES!$R$1,MATCH(BA391,ITEM_RES!$A:$A,0)-1,0),0)*BC391+IFERROR(OFFSET(ITEM_RES!$R$1,MATCH(BF391,ITEM_RES!$A:$A,0)-1,0),0)*BH391+IFERROR(OFFSET(ITEM_RES!$R$1,MATCH(BK391,ITEM_RES!$A:$A,0)-1,0),0)*BM391)/1000</f>
        <v>1080</v>
      </c>
      <c r="AG391" s="176">
        <f t="shared" ca="1" si="117"/>
        <v>6350</v>
      </c>
      <c r="AI391" s="11">
        <f t="shared" si="110"/>
        <v>15</v>
      </c>
      <c r="AJ391" s="10">
        <v>15</v>
      </c>
      <c r="AK391" s="11">
        <f t="shared" si="116"/>
        <v>0</v>
      </c>
      <c r="AL391" s="10">
        <v>0</v>
      </c>
      <c r="AM391" s="11">
        <f t="shared" si="118"/>
        <v>0</v>
      </c>
      <c r="AN391" s="10">
        <v>0</v>
      </c>
      <c r="AO391" s="55">
        <f t="shared" si="111"/>
        <v>1</v>
      </c>
      <c r="AQ391" s="11">
        <f ca="1">IFERROR(OFFSET(ITEM_RES!$A$1,MATCH(AR391,ITEM_RES!$J:$J,0)-1,0),0)</f>
        <v>211020801</v>
      </c>
      <c r="AR391" s="10" t="s">
        <v>427</v>
      </c>
      <c r="AS391" s="11">
        <v>180</v>
      </c>
      <c r="AV391" s="11">
        <f ca="1">IFERROR(OFFSET(ITEM_RES!$A$1,MATCH(AW391,ITEM_RES!$J:$J,0)-1,0),0)</f>
        <v>0</v>
      </c>
      <c r="BA391" s="11">
        <f ca="1">IFERROR(OFFSET(ITEM_RES!$A$1,MATCH(BB391,ITEM_RES!$J:$J,0)-1,0),0)</f>
        <v>0</v>
      </c>
      <c r="BF391" s="11">
        <f ca="1">IFERROR(OFFSET(ITEM_RES!$A$1,MATCH(BG391,ITEM_RES!$J:$J,0)-1,0),0)</f>
        <v>0</v>
      </c>
      <c r="BK391" s="11">
        <f ca="1">IFERROR(OFFSET(ITEM_RES!$A$1,MATCH(BL391,ITEM_RES!$J:$J,0)-1,0),0)</f>
        <v>0</v>
      </c>
    </row>
    <row r="392" spans="1:66" x14ac:dyDescent="0.3">
      <c r="A392" s="14">
        <f t="shared" si="113"/>
        <v>112060008</v>
      </c>
      <c r="B392" s="13">
        <v>11</v>
      </c>
      <c r="C392" s="12">
        <f t="shared" si="114"/>
        <v>2</v>
      </c>
      <c r="D392" s="13">
        <v>6</v>
      </c>
      <c r="E392" s="13">
        <v>0</v>
      </c>
      <c r="F392" s="12">
        <f t="shared" si="115"/>
        <v>8</v>
      </c>
      <c r="H392" s="9">
        <v>2</v>
      </c>
      <c r="I392" s="9">
        <v>8</v>
      </c>
      <c r="K392" s="9" t="s">
        <v>414</v>
      </c>
      <c r="M392" s="9">
        <v>1</v>
      </c>
      <c r="N392" s="9">
        <v>15</v>
      </c>
      <c r="O392" s="9" t="s">
        <v>1017</v>
      </c>
      <c r="P392" s="55" t="s">
        <v>1379</v>
      </c>
      <c r="Q392" s="9" t="s">
        <v>684</v>
      </c>
      <c r="S392" s="81" t="s">
        <v>537</v>
      </c>
      <c r="T392" s="9">
        <f ca="1">IFERROR(OFFSET(ITEM_RES!$A$5,MATCH(BUILDING!S392,ITEM_RES!$J$5:$J$229,0)-1,0),0)</f>
        <v>211020401</v>
      </c>
      <c r="U392" s="11">
        <v>1</v>
      </c>
      <c r="V392" s="81" t="s">
        <v>532</v>
      </c>
      <c r="W392" s="11">
        <f ca="1">IFERROR(OFFSET(ITEM_RES!$A$5,MATCH(BUILDING!V392,ITEM_RES!$J$5:$J$229,0)-1,0),0)</f>
        <v>211020501</v>
      </c>
      <c r="Y392" s="9" t="s">
        <v>511</v>
      </c>
      <c r="Z392" s="9">
        <v>8</v>
      </c>
      <c r="AB392" s="11">
        <f ca="1">IFERROR(OFFSET(MANOR_LEVEL!$B$1,MATCH(AC392-1,MANOR_LEVEL!$A:$A,0)-1,0),0)</f>
        <v>3500000</v>
      </c>
      <c r="AC392" s="55">
        <v>12</v>
      </c>
      <c r="AE392" s="11">
        <f t="shared" ca="1" si="108"/>
        <v>4860</v>
      </c>
      <c r="AF392" s="10">
        <f ca="1">AK392+AM392+(IFERROR(OFFSET(ITEM_RES!$R$1,MATCH(AQ392,ITEM_RES!$A:$A,0)-1,0),0)*AS392+IFERROR(OFFSET(ITEM_RES!$R$1,MATCH(AV392,ITEM_RES!$A:$A,0)-1,0),0)*AX392+IFERROR(OFFSET(ITEM_RES!$R$1,MATCH(BA392,ITEM_RES!$A:$A,0)-1,0),0)*BC392+IFERROR(OFFSET(ITEM_RES!$R$1,MATCH(BF392,ITEM_RES!$A:$A,0)-1,0),0)*BH392+IFERROR(OFFSET(ITEM_RES!$R$1,MATCH(BK392,ITEM_RES!$A:$A,0)-1,0),0)*BM392)/1000</f>
        <v>4860</v>
      </c>
      <c r="AG392" s="176">
        <f t="shared" ca="1" si="117"/>
        <v>5940</v>
      </c>
      <c r="AI392" s="11">
        <f t="shared" si="110"/>
        <v>30</v>
      </c>
      <c r="AJ392" s="10">
        <v>30</v>
      </c>
      <c r="AK392" s="11">
        <f t="shared" si="116"/>
        <v>0</v>
      </c>
      <c r="AL392" s="10">
        <v>0</v>
      </c>
      <c r="AM392" s="11">
        <f t="shared" si="118"/>
        <v>0</v>
      </c>
      <c r="AN392" s="10">
        <v>0</v>
      </c>
      <c r="AO392" s="55">
        <f t="shared" si="111"/>
        <v>1</v>
      </c>
      <c r="AQ392" s="11">
        <f ca="1">IFERROR(OFFSET(ITEM_RES!$A$1,MATCH(AR392,ITEM_RES!$J:$J,0)-1,0),0)</f>
        <v>211020801</v>
      </c>
      <c r="AR392" s="10" t="s">
        <v>427</v>
      </c>
      <c r="AS392" s="11">
        <v>810</v>
      </c>
      <c r="AV392" s="11">
        <f ca="1">IFERROR(OFFSET(ITEM_RES!$A$1,MATCH(AW392,ITEM_RES!$J:$J,0)-1,0),0)</f>
        <v>0</v>
      </c>
      <c r="BA392" s="11">
        <f ca="1">IFERROR(OFFSET(ITEM_RES!$A$1,MATCH(BB392,ITEM_RES!$J:$J,0)-1,0),0)</f>
        <v>0</v>
      </c>
      <c r="BF392" s="11">
        <f ca="1">IFERROR(OFFSET(ITEM_RES!$A$1,MATCH(BG392,ITEM_RES!$J:$J,0)-1,0),0)</f>
        <v>0</v>
      </c>
      <c r="BK392" s="11">
        <f ca="1">IFERROR(OFFSET(ITEM_RES!$A$1,MATCH(BL392,ITEM_RES!$J:$J,0)-1,0),0)</f>
        <v>0</v>
      </c>
    </row>
    <row r="393" spans="1:66" x14ac:dyDescent="0.3">
      <c r="A393" s="14">
        <f t="shared" si="113"/>
        <v>112060009</v>
      </c>
      <c r="B393" s="13">
        <v>11</v>
      </c>
      <c r="C393" s="12">
        <f t="shared" si="114"/>
        <v>2</v>
      </c>
      <c r="D393" s="13">
        <v>6</v>
      </c>
      <c r="E393" s="13">
        <v>0</v>
      </c>
      <c r="F393" s="12">
        <f t="shared" si="115"/>
        <v>9</v>
      </c>
      <c r="H393" s="9">
        <v>2</v>
      </c>
      <c r="I393" s="9">
        <v>9</v>
      </c>
      <c r="K393" s="9" t="s">
        <v>414</v>
      </c>
      <c r="M393" s="9">
        <v>1</v>
      </c>
      <c r="N393" s="9">
        <v>15</v>
      </c>
      <c r="O393" s="9" t="s">
        <v>1017</v>
      </c>
      <c r="P393" s="55" t="s">
        <v>1379</v>
      </c>
      <c r="Q393" s="9" t="s">
        <v>684</v>
      </c>
      <c r="S393" s="81" t="s">
        <v>537</v>
      </c>
      <c r="T393" s="9">
        <f ca="1">IFERROR(OFFSET(ITEM_RES!$A$5,MATCH(BUILDING!S393,ITEM_RES!$J$5:$J$229,0)-1,0),0)</f>
        <v>211020401</v>
      </c>
      <c r="U393" s="11">
        <v>1</v>
      </c>
      <c r="V393" s="81" t="s">
        <v>532</v>
      </c>
      <c r="W393" s="11">
        <f ca="1">IFERROR(OFFSET(ITEM_RES!$A$5,MATCH(BUILDING!V393,ITEM_RES!$J$5:$J$229,0)-1,0),0)</f>
        <v>211020501</v>
      </c>
      <c r="Y393" s="9" t="s">
        <v>511</v>
      </c>
      <c r="Z393" s="9">
        <v>9</v>
      </c>
      <c r="AB393" s="11">
        <f ca="1">IFERROR(OFFSET(MANOR_LEVEL!$B$1,MATCH(AC393-1,MANOR_LEVEL!$A:$A,0)-1,0),0)</f>
        <v>6000000</v>
      </c>
      <c r="AC393" s="55">
        <v>13</v>
      </c>
      <c r="AE393" s="11">
        <f t="shared" ca="1" si="108"/>
        <v>16200</v>
      </c>
      <c r="AF393" s="10">
        <f ca="1">AK393+AM393+(IFERROR(OFFSET(ITEM_RES!$R$1,MATCH(AQ393,ITEM_RES!$A:$A,0)-1,0),0)*AS393+IFERROR(OFFSET(ITEM_RES!$R$1,MATCH(AV393,ITEM_RES!$A:$A,0)-1,0),0)*AX393+IFERROR(OFFSET(ITEM_RES!$R$1,MATCH(BA393,ITEM_RES!$A:$A,0)-1,0),0)*BC393+IFERROR(OFFSET(ITEM_RES!$R$1,MATCH(BF393,ITEM_RES!$A:$A,0)-1,0),0)*BH393+IFERROR(OFFSET(ITEM_RES!$R$1,MATCH(BK393,ITEM_RES!$A:$A,0)-1,0),0)*BM393)/1000</f>
        <v>16200</v>
      </c>
      <c r="AG393" s="176">
        <f t="shared" ca="1" si="117"/>
        <v>21060</v>
      </c>
      <c r="AI393" s="11">
        <f t="shared" si="110"/>
        <v>60</v>
      </c>
      <c r="AJ393" s="10">
        <v>60</v>
      </c>
      <c r="AK393" s="11">
        <f t="shared" si="116"/>
        <v>0</v>
      </c>
      <c r="AL393" s="10">
        <v>0</v>
      </c>
      <c r="AM393" s="11">
        <f t="shared" si="118"/>
        <v>0</v>
      </c>
      <c r="AN393" s="10">
        <v>0</v>
      </c>
      <c r="AO393" s="55">
        <f t="shared" si="111"/>
        <v>1</v>
      </c>
      <c r="AQ393" s="11">
        <f ca="1">IFERROR(OFFSET(ITEM_RES!$A$1,MATCH(AR393,ITEM_RES!$J:$J,0)-1,0),0)</f>
        <v>211020801</v>
      </c>
      <c r="AR393" s="10" t="s">
        <v>427</v>
      </c>
      <c r="AS393" s="11">
        <v>2700</v>
      </c>
      <c r="AV393" s="11">
        <f ca="1">IFERROR(OFFSET(ITEM_RES!$A$1,MATCH(AW393,ITEM_RES!$J:$J,0)-1,0),0)</f>
        <v>0</v>
      </c>
      <c r="BA393" s="11">
        <f ca="1">IFERROR(OFFSET(ITEM_RES!$A$1,MATCH(BB393,ITEM_RES!$J:$J,0)-1,0),0)</f>
        <v>0</v>
      </c>
      <c r="BF393" s="11">
        <f ca="1">IFERROR(OFFSET(ITEM_RES!$A$1,MATCH(BG393,ITEM_RES!$J:$J,0)-1,0),0)</f>
        <v>0</v>
      </c>
      <c r="BK393" s="11">
        <f ca="1">IFERROR(OFFSET(ITEM_RES!$A$1,MATCH(BL393,ITEM_RES!$J:$J,0)-1,0),0)</f>
        <v>0</v>
      </c>
    </row>
    <row r="394" spans="1:66" x14ac:dyDescent="0.3">
      <c r="A394" s="14">
        <f t="shared" si="113"/>
        <v>112060010</v>
      </c>
      <c r="B394" s="13">
        <v>11</v>
      </c>
      <c r="C394" s="12">
        <f t="shared" si="114"/>
        <v>2</v>
      </c>
      <c r="D394" s="13">
        <v>6</v>
      </c>
      <c r="E394" s="13">
        <v>0</v>
      </c>
      <c r="F394" s="12">
        <f t="shared" si="115"/>
        <v>10</v>
      </c>
      <c r="H394" s="9">
        <v>2</v>
      </c>
      <c r="I394" s="9">
        <v>10</v>
      </c>
      <c r="K394" s="9" t="s">
        <v>414</v>
      </c>
      <c r="M394" s="9">
        <v>1</v>
      </c>
      <c r="N394" s="9">
        <v>15</v>
      </c>
      <c r="O394" s="9" t="s">
        <v>1017</v>
      </c>
      <c r="P394" s="55" t="s">
        <v>1379</v>
      </c>
      <c r="Q394" s="9" t="s">
        <v>684</v>
      </c>
      <c r="S394" s="81" t="s">
        <v>537</v>
      </c>
      <c r="T394" s="9">
        <f ca="1">IFERROR(OFFSET(ITEM_RES!$A$5,MATCH(BUILDING!S394,ITEM_RES!$J$5:$J$229,0)-1,0),0)</f>
        <v>211020401</v>
      </c>
      <c r="U394" s="11">
        <v>1</v>
      </c>
      <c r="V394" s="81" t="s">
        <v>532</v>
      </c>
      <c r="W394" s="11">
        <f ca="1">IFERROR(OFFSET(ITEM_RES!$A$5,MATCH(BUILDING!V394,ITEM_RES!$J$5:$J$229,0)-1,0),0)</f>
        <v>211020501</v>
      </c>
      <c r="Y394" s="9" t="s">
        <v>511</v>
      </c>
      <c r="Z394" s="9">
        <v>10</v>
      </c>
      <c r="AB394" s="11">
        <f ca="1">IFERROR(OFFSET(MANOR_LEVEL!$B$1,MATCH(AC394-1,MANOR_LEVEL!$A:$A,0)-1,0),0)</f>
        <v>6000000</v>
      </c>
      <c r="AC394" s="55">
        <v>13</v>
      </c>
      <c r="AE394" s="11">
        <f t="shared" ca="1" si="108"/>
        <v>36000</v>
      </c>
      <c r="AF394" s="10">
        <f ca="1">AK394+AM394+(IFERROR(OFFSET(ITEM_RES!$R$1,MATCH(AQ394,ITEM_RES!$A:$A,0)-1,0),0)*AS394+IFERROR(OFFSET(ITEM_RES!$R$1,MATCH(AV394,ITEM_RES!$A:$A,0)-1,0),0)*AX394+IFERROR(OFFSET(ITEM_RES!$R$1,MATCH(BA394,ITEM_RES!$A:$A,0)-1,0),0)*BC394+IFERROR(OFFSET(ITEM_RES!$R$1,MATCH(BF394,ITEM_RES!$A:$A,0)-1,0),0)*BH394+IFERROR(OFFSET(ITEM_RES!$R$1,MATCH(BK394,ITEM_RES!$A:$A,0)-1,0),0)*BM394)/1000</f>
        <v>36000</v>
      </c>
      <c r="AG394" s="176">
        <f t="shared" ca="1" si="117"/>
        <v>52200</v>
      </c>
      <c r="AI394" s="11">
        <f t="shared" si="110"/>
        <v>180</v>
      </c>
      <c r="AJ394" s="10">
        <v>180</v>
      </c>
      <c r="AK394" s="11">
        <f t="shared" si="116"/>
        <v>0</v>
      </c>
      <c r="AL394" s="10">
        <v>0</v>
      </c>
      <c r="AM394" s="11">
        <f t="shared" si="118"/>
        <v>0</v>
      </c>
      <c r="AN394" s="10">
        <v>0</v>
      </c>
      <c r="AO394" s="55">
        <f t="shared" si="111"/>
        <v>1</v>
      </c>
      <c r="AQ394" s="11">
        <f ca="1">IFERROR(OFFSET(ITEM_RES!$A$1,MATCH(AR394,ITEM_RES!$J:$J,0)-1,0),0)</f>
        <v>211020801</v>
      </c>
      <c r="AR394" s="10" t="s">
        <v>427</v>
      </c>
      <c r="AS394" s="11">
        <v>6000</v>
      </c>
      <c r="AV394" s="11">
        <f ca="1">IFERROR(OFFSET(ITEM_RES!$A$1,MATCH(AW394,ITEM_RES!$J:$J,0)-1,0),0)</f>
        <v>0</v>
      </c>
      <c r="BA394" s="11">
        <f ca="1">IFERROR(OFFSET(ITEM_RES!$A$1,MATCH(BB394,ITEM_RES!$J:$J,0)-1,0),0)</f>
        <v>0</v>
      </c>
      <c r="BF394" s="11">
        <f ca="1">IFERROR(OFFSET(ITEM_RES!$A$1,MATCH(BG394,ITEM_RES!$J:$J,0)-1,0),0)</f>
        <v>0</v>
      </c>
      <c r="BK394" s="11">
        <f ca="1">IFERROR(OFFSET(ITEM_RES!$A$1,MATCH(BL394,ITEM_RES!$J:$J,0)-1,0),0)</f>
        <v>0</v>
      </c>
    </row>
    <row r="395" spans="1:66" x14ac:dyDescent="0.3">
      <c r="A395" s="14">
        <f t="shared" si="113"/>
        <v>112060011</v>
      </c>
      <c r="B395" s="13">
        <v>11</v>
      </c>
      <c r="C395" s="12">
        <f t="shared" si="114"/>
        <v>2</v>
      </c>
      <c r="D395" s="13">
        <v>6</v>
      </c>
      <c r="E395" s="13">
        <v>0</v>
      </c>
      <c r="F395" s="12">
        <f t="shared" si="115"/>
        <v>11</v>
      </c>
      <c r="H395" s="9">
        <v>2</v>
      </c>
      <c r="I395" s="9">
        <v>11</v>
      </c>
      <c r="K395" s="9" t="s">
        <v>414</v>
      </c>
      <c r="M395" s="9">
        <v>1</v>
      </c>
      <c r="N395" s="9">
        <v>15</v>
      </c>
      <c r="O395" s="9" t="s">
        <v>1017</v>
      </c>
      <c r="P395" s="55" t="s">
        <v>1379</v>
      </c>
      <c r="Q395" s="9" t="s">
        <v>684</v>
      </c>
      <c r="S395" s="81" t="s">
        <v>537</v>
      </c>
      <c r="T395" s="9">
        <f ca="1">IFERROR(OFFSET(ITEM_RES!$A$5,MATCH(BUILDING!S395,ITEM_RES!$J$5:$J$229,0)-1,0),0)</f>
        <v>211020401</v>
      </c>
      <c r="U395" s="11">
        <v>1</v>
      </c>
      <c r="V395" s="81" t="s">
        <v>532</v>
      </c>
      <c r="W395" s="11">
        <f ca="1">IFERROR(OFFSET(ITEM_RES!$A$5,MATCH(BUILDING!V395,ITEM_RES!$J$5:$J$229,0)-1,0),0)</f>
        <v>211020501</v>
      </c>
      <c r="Y395" s="9" t="s">
        <v>511</v>
      </c>
      <c r="Z395" s="9">
        <v>11</v>
      </c>
      <c r="AB395" s="11">
        <f ca="1">IFERROR(OFFSET(MANOR_LEVEL!$B$1,MATCH(AC395-1,MANOR_LEVEL!$A:$A,0)-1,0),0)</f>
        <v>10000000</v>
      </c>
      <c r="AC395" s="55">
        <v>14</v>
      </c>
      <c r="AE395" s="11">
        <f t="shared" ca="1" si="108"/>
        <v>75600</v>
      </c>
      <c r="AF395" s="10">
        <f ca="1">AK395+AM395+(IFERROR(OFFSET(ITEM_RES!$R$1,MATCH(AQ395,ITEM_RES!$A:$A,0)-1,0),0)*AS395+IFERROR(OFFSET(ITEM_RES!$R$1,MATCH(AV395,ITEM_RES!$A:$A,0)-1,0),0)*AX395+IFERROR(OFFSET(ITEM_RES!$R$1,MATCH(BA395,ITEM_RES!$A:$A,0)-1,0),0)*BC395+IFERROR(OFFSET(ITEM_RES!$R$1,MATCH(BF395,ITEM_RES!$A:$A,0)-1,0),0)*BH395+IFERROR(OFFSET(ITEM_RES!$R$1,MATCH(BK395,ITEM_RES!$A:$A,0)-1,0),0)*BM395)/1000</f>
        <v>75600</v>
      </c>
      <c r="AG395" s="176">
        <f t="shared" ca="1" si="117"/>
        <v>111600</v>
      </c>
      <c r="AI395" s="11">
        <f t="shared" si="110"/>
        <v>360</v>
      </c>
      <c r="AJ395" s="10">
        <v>360</v>
      </c>
      <c r="AK395" s="11">
        <f t="shared" si="116"/>
        <v>0</v>
      </c>
      <c r="AL395" s="10">
        <v>0</v>
      </c>
      <c r="AM395" s="11">
        <f t="shared" si="118"/>
        <v>0</v>
      </c>
      <c r="AN395" s="10">
        <v>0</v>
      </c>
      <c r="AO395" s="55">
        <f t="shared" si="111"/>
        <v>1</v>
      </c>
      <c r="AQ395" s="11">
        <f ca="1">IFERROR(OFFSET(ITEM_RES!$A$1,MATCH(AR395,ITEM_RES!$J:$J,0)-1,0),0)</f>
        <v>211020801</v>
      </c>
      <c r="AR395" s="10" t="s">
        <v>427</v>
      </c>
      <c r="AS395" s="11">
        <v>12600</v>
      </c>
      <c r="AV395" s="11">
        <f ca="1">IFERROR(OFFSET(ITEM_RES!$A$1,MATCH(AW395,ITEM_RES!$J:$J,0)-1,0),0)</f>
        <v>0</v>
      </c>
      <c r="BA395" s="11">
        <f ca="1">IFERROR(OFFSET(ITEM_RES!$A$1,MATCH(BB395,ITEM_RES!$J:$J,0)-1,0),0)</f>
        <v>0</v>
      </c>
      <c r="BF395" s="11">
        <f ca="1">IFERROR(OFFSET(ITEM_RES!$A$1,MATCH(BG395,ITEM_RES!$J:$J,0)-1,0),0)</f>
        <v>0</v>
      </c>
      <c r="BK395" s="11">
        <f ca="1">IFERROR(OFFSET(ITEM_RES!$A$1,MATCH(BL395,ITEM_RES!$J:$J,0)-1,0),0)</f>
        <v>0</v>
      </c>
    </row>
    <row r="396" spans="1:66" x14ac:dyDescent="0.3">
      <c r="A396" s="14">
        <f t="shared" si="113"/>
        <v>112060012</v>
      </c>
      <c r="B396" s="13">
        <v>11</v>
      </c>
      <c r="C396" s="12">
        <f t="shared" si="114"/>
        <v>2</v>
      </c>
      <c r="D396" s="13">
        <v>6</v>
      </c>
      <c r="E396" s="13">
        <v>0</v>
      </c>
      <c r="F396" s="12">
        <f t="shared" si="115"/>
        <v>12</v>
      </c>
      <c r="H396" s="9">
        <v>2</v>
      </c>
      <c r="I396" s="9">
        <v>12</v>
      </c>
      <c r="K396" s="9" t="s">
        <v>414</v>
      </c>
      <c r="M396" s="9">
        <v>1</v>
      </c>
      <c r="N396" s="9">
        <v>15</v>
      </c>
      <c r="O396" s="9" t="s">
        <v>1017</v>
      </c>
      <c r="P396" s="55" t="s">
        <v>1379</v>
      </c>
      <c r="Q396" s="9" t="s">
        <v>684</v>
      </c>
      <c r="S396" s="81" t="s">
        <v>537</v>
      </c>
      <c r="T396" s="9">
        <f ca="1">IFERROR(OFFSET(ITEM_RES!$A$5,MATCH(BUILDING!S396,ITEM_RES!$J$5:$J$229,0)-1,0),0)</f>
        <v>211020401</v>
      </c>
      <c r="U396" s="11">
        <v>1</v>
      </c>
      <c r="V396" s="81" t="s">
        <v>532</v>
      </c>
      <c r="W396" s="11">
        <f ca="1">IFERROR(OFFSET(ITEM_RES!$A$5,MATCH(BUILDING!V396,ITEM_RES!$J$5:$J$229,0)-1,0),0)</f>
        <v>211020501</v>
      </c>
      <c r="Y396" s="9" t="s">
        <v>511</v>
      </c>
      <c r="Z396" s="9">
        <v>12</v>
      </c>
      <c r="AB396" s="11">
        <f ca="1">IFERROR(OFFSET(MANOR_LEVEL!$B$1,MATCH(AC396-1,MANOR_LEVEL!$A:$A,0)-1,0),0)</f>
        <v>17000000</v>
      </c>
      <c r="AC396" s="55">
        <v>15</v>
      </c>
      <c r="AE396" s="11">
        <f t="shared" ca="1" si="108"/>
        <v>140400</v>
      </c>
      <c r="AF396" s="10">
        <f ca="1">AK396+AM396+(IFERROR(OFFSET(ITEM_RES!$R$1,MATCH(AQ396,ITEM_RES!$A:$A,0)-1,0),0)*AS396+IFERROR(OFFSET(ITEM_RES!$R$1,MATCH(AV396,ITEM_RES!$A:$A,0)-1,0),0)*AX396+IFERROR(OFFSET(ITEM_RES!$R$1,MATCH(BA396,ITEM_RES!$A:$A,0)-1,0),0)*BC396+IFERROR(OFFSET(ITEM_RES!$R$1,MATCH(BF396,ITEM_RES!$A:$A,0)-1,0),0)*BH396+IFERROR(OFFSET(ITEM_RES!$R$1,MATCH(BK396,ITEM_RES!$A:$A,0)-1,0),0)*BM396)/1000</f>
        <v>140400</v>
      </c>
      <c r="AG396" s="176">
        <f t="shared" ca="1" si="117"/>
        <v>216000</v>
      </c>
      <c r="AI396" s="11">
        <f t="shared" si="110"/>
        <v>540</v>
      </c>
      <c r="AJ396" s="10">
        <v>540</v>
      </c>
      <c r="AK396" s="11">
        <f t="shared" si="116"/>
        <v>0</v>
      </c>
      <c r="AL396" s="10">
        <v>0</v>
      </c>
      <c r="AM396" s="11">
        <f t="shared" si="118"/>
        <v>0</v>
      </c>
      <c r="AN396" s="10">
        <v>0</v>
      </c>
      <c r="AO396" s="55">
        <f t="shared" si="111"/>
        <v>1</v>
      </c>
      <c r="AQ396" s="11">
        <f ca="1">IFERROR(OFFSET(ITEM_RES!$A$1,MATCH(AR396,ITEM_RES!$J:$J,0)-1,0),0)</f>
        <v>211020801</v>
      </c>
      <c r="AR396" s="10" t="s">
        <v>427</v>
      </c>
      <c r="AS396" s="11">
        <v>23400</v>
      </c>
      <c r="AV396" s="11">
        <f ca="1">IFERROR(OFFSET(ITEM_RES!$A$1,MATCH(AW396,ITEM_RES!$J:$J,0)-1,0),0)</f>
        <v>0</v>
      </c>
      <c r="BA396" s="11">
        <f ca="1">IFERROR(OFFSET(ITEM_RES!$A$1,MATCH(BB396,ITEM_RES!$J:$J,0)-1,0),0)</f>
        <v>0</v>
      </c>
      <c r="BF396" s="11">
        <f ca="1">IFERROR(OFFSET(ITEM_RES!$A$1,MATCH(BG396,ITEM_RES!$J:$J,0)-1,0),0)</f>
        <v>0</v>
      </c>
      <c r="BK396" s="11">
        <f ca="1">IFERROR(OFFSET(ITEM_RES!$A$1,MATCH(BL396,ITEM_RES!$J:$J,0)-1,0),0)</f>
        <v>0</v>
      </c>
    </row>
    <row r="397" spans="1:66" x14ac:dyDescent="0.3">
      <c r="A397" s="14">
        <f t="shared" si="113"/>
        <v>112060013</v>
      </c>
      <c r="B397" s="13">
        <v>11</v>
      </c>
      <c r="C397" s="12">
        <f t="shared" si="114"/>
        <v>2</v>
      </c>
      <c r="D397" s="13">
        <v>6</v>
      </c>
      <c r="E397" s="13">
        <v>0</v>
      </c>
      <c r="F397" s="12">
        <f t="shared" si="115"/>
        <v>13</v>
      </c>
      <c r="H397" s="9">
        <v>2</v>
      </c>
      <c r="I397" s="9">
        <v>13</v>
      </c>
      <c r="K397" s="9" t="s">
        <v>414</v>
      </c>
      <c r="M397" s="9">
        <v>1</v>
      </c>
      <c r="N397" s="9">
        <v>15</v>
      </c>
      <c r="O397" s="9" t="s">
        <v>1017</v>
      </c>
      <c r="P397" s="55" t="s">
        <v>1379</v>
      </c>
      <c r="Q397" s="9" t="s">
        <v>684</v>
      </c>
      <c r="S397" s="81" t="s">
        <v>537</v>
      </c>
      <c r="T397" s="9">
        <f ca="1">IFERROR(OFFSET(ITEM_RES!$A$5,MATCH(BUILDING!S397,ITEM_RES!$J$5:$J$229,0)-1,0),0)</f>
        <v>211020401</v>
      </c>
      <c r="U397" s="11">
        <v>1</v>
      </c>
      <c r="V397" s="81" t="s">
        <v>532</v>
      </c>
      <c r="W397" s="11">
        <f ca="1">IFERROR(OFFSET(ITEM_RES!$A$5,MATCH(BUILDING!V397,ITEM_RES!$J$5:$J$229,0)-1,0),0)</f>
        <v>211020501</v>
      </c>
      <c r="Y397" s="9" t="s">
        <v>511</v>
      </c>
      <c r="Z397" s="9">
        <v>13</v>
      </c>
      <c r="AB397" s="11">
        <f ca="1">IFERROR(OFFSET(MANOR_LEVEL!$B$1,MATCH(AC397-1,MANOR_LEVEL!$A:$A,0)-1,0),0)</f>
        <v>37000000</v>
      </c>
      <c r="AC397" s="55">
        <v>16</v>
      </c>
      <c r="AE397" s="11">
        <f t="shared" ca="1" si="108"/>
        <v>234000</v>
      </c>
      <c r="AF397" s="10">
        <f ca="1">AK397+AM397+(IFERROR(OFFSET(ITEM_RES!$R$1,MATCH(AQ397,ITEM_RES!$A:$A,0)-1,0),0)*AS397+IFERROR(OFFSET(ITEM_RES!$R$1,MATCH(AV397,ITEM_RES!$A:$A,0)-1,0),0)*AX397+IFERROR(OFFSET(ITEM_RES!$R$1,MATCH(BA397,ITEM_RES!$A:$A,0)-1,0),0)*BC397+IFERROR(OFFSET(ITEM_RES!$R$1,MATCH(BF397,ITEM_RES!$A:$A,0)-1,0),0)*BH397+IFERROR(OFFSET(ITEM_RES!$R$1,MATCH(BK397,ITEM_RES!$A:$A,0)-1,0),0)*BM397)/1000</f>
        <v>234000</v>
      </c>
      <c r="AG397" s="176">
        <f t="shared" ca="1" si="117"/>
        <v>374400</v>
      </c>
      <c r="AI397" s="11">
        <f t="shared" si="110"/>
        <v>720</v>
      </c>
      <c r="AJ397" s="10">
        <v>720</v>
      </c>
      <c r="AK397" s="11">
        <f t="shared" si="116"/>
        <v>0</v>
      </c>
      <c r="AL397" s="10">
        <v>0</v>
      </c>
      <c r="AM397" s="11">
        <f t="shared" si="118"/>
        <v>0</v>
      </c>
      <c r="AN397" s="10">
        <v>0</v>
      </c>
      <c r="AO397" s="55">
        <f t="shared" si="111"/>
        <v>1</v>
      </c>
      <c r="AQ397" s="11">
        <f ca="1">IFERROR(OFFSET(ITEM_RES!$A$1,MATCH(AR397,ITEM_RES!$J:$J,0)-1,0),0)</f>
        <v>211020801</v>
      </c>
      <c r="AR397" s="10" t="s">
        <v>427</v>
      </c>
      <c r="AS397" s="11">
        <v>39000</v>
      </c>
      <c r="AV397" s="11">
        <f ca="1">IFERROR(OFFSET(ITEM_RES!$A$1,MATCH(AW397,ITEM_RES!$J:$J,0)-1,0),0)</f>
        <v>0</v>
      </c>
      <c r="BA397" s="11">
        <f ca="1">IFERROR(OFFSET(ITEM_RES!$A$1,MATCH(BB397,ITEM_RES!$J:$J,0)-1,0),0)</f>
        <v>0</v>
      </c>
      <c r="BF397" s="11">
        <f ca="1">IFERROR(OFFSET(ITEM_RES!$A$1,MATCH(BG397,ITEM_RES!$J:$J,0)-1,0),0)</f>
        <v>0</v>
      </c>
      <c r="BK397" s="11">
        <f ca="1">IFERROR(OFFSET(ITEM_RES!$A$1,MATCH(BL397,ITEM_RES!$J:$J,0)-1,0),0)</f>
        <v>0</v>
      </c>
    </row>
    <row r="398" spans="1:66" x14ac:dyDescent="0.3">
      <c r="A398" s="14">
        <f t="shared" si="113"/>
        <v>112060014</v>
      </c>
      <c r="B398" s="13">
        <v>11</v>
      </c>
      <c r="C398" s="12">
        <f t="shared" si="114"/>
        <v>2</v>
      </c>
      <c r="D398" s="13">
        <v>6</v>
      </c>
      <c r="E398" s="13">
        <v>0</v>
      </c>
      <c r="F398" s="12">
        <f t="shared" si="115"/>
        <v>14</v>
      </c>
      <c r="H398" s="9">
        <v>2</v>
      </c>
      <c r="I398" s="9">
        <v>14</v>
      </c>
      <c r="K398" s="9" t="s">
        <v>414</v>
      </c>
      <c r="M398" s="9">
        <v>1</v>
      </c>
      <c r="N398" s="9">
        <v>15</v>
      </c>
      <c r="O398" s="9" t="s">
        <v>1017</v>
      </c>
      <c r="P398" s="55" t="s">
        <v>1379</v>
      </c>
      <c r="Q398" s="9" t="s">
        <v>684</v>
      </c>
      <c r="S398" s="81" t="s">
        <v>537</v>
      </c>
      <c r="T398" s="9">
        <f ca="1">IFERROR(OFFSET(ITEM_RES!$A$5,MATCH(BUILDING!S398,ITEM_RES!$J$5:$J$229,0)-1,0),0)</f>
        <v>211020401</v>
      </c>
      <c r="U398" s="11">
        <v>1</v>
      </c>
      <c r="V398" s="81" t="s">
        <v>532</v>
      </c>
      <c r="W398" s="11">
        <f ca="1">IFERROR(OFFSET(ITEM_RES!$A$5,MATCH(BUILDING!V398,ITEM_RES!$J$5:$J$229,0)-1,0),0)</f>
        <v>211020501</v>
      </c>
      <c r="Y398" s="9" t="s">
        <v>511</v>
      </c>
      <c r="Z398" s="9">
        <v>14</v>
      </c>
      <c r="AB398" s="11">
        <f ca="1">IFERROR(OFFSET(MANOR_LEVEL!$B$1,MATCH(AC398-1,MANOR_LEVEL!$A:$A,0)-1,0),0)</f>
        <v>85000000</v>
      </c>
      <c r="AC398" s="55">
        <v>17</v>
      </c>
      <c r="AE398" s="11">
        <f t="shared" ca="1" si="108"/>
        <v>396000</v>
      </c>
      <c r="AF398" s="10">
        <f ca="1">AK398+AM398+(IFERROR(OFFSET(ITEM_RES!$R$1,MATCH(AQ398,ITEM_RES!$A:$A,0)-1,0),0)*AS398+IFERROR(OFFSET(ITEM_RES!$R$1,MATCH(AV398,ITEM_RES!$A:$A,0)-1,0),0)*AX398+IFERROR(OFFSET(ITEM_RES!$R$1,MATCH(BA398,ITEM_RES!$A:$A,0)-1,0),0)*BC398+IFERROR(OFFSET(ITEM_RES!$R$1,MATCH(BF398,ITEM_RES!$A:$A,0)-1,0),0)*BH398+IFERROR(OFFSET(ITEM_RES!$R$1,MATCH(BK398,ITEM_RES!$A:$A,0)-1,0),0)*BM398)/1000</f>
        <v>396000</v>
      </c>
      <c r="AG398" s="176">
        <f t="shared" ca="1" si="117"/>
        <v>630000</v>
      </c>
      <c r="AI398" s="11">
        <f t="shared" si="110"/>
        <v>900</v>
      </c>
      <c r="AJ398" s="10">
        <v>900</v>
      </c>
      <c r="AK398" s="11">
        <f t="shared" si="116"/>
        <v>0</v>
      </c>
      <c r="AL398" s="10">
        <v>0</v>
      </c>
      <c r="AM398" s="11">
        <f t="shared" si="118"/>
        <v>0</v>
      </c>
      <c r="AN398" s="10">
        <v>0</v>
      </c>
      <c r="AO398" s="55">
        <f t="shared" si="111"/>
        <v>1</v>
      </c>
      <c r="AQ398" s="11">
        <f ca="1">IFERROR(OFFSET(ITEM_RES!$A$1,MATCH(AR398,ITEM_RES!$J:$J,0)-1,0),0)</f>
        <v>211020801</v>
      </c>
      <c r="AR398" s="10" t="s">
        <v>427</v>
      </c>
      <c r="AS398" s="11">
        <v>66000</v>
      </c>
      <c r="AV398" s="11">
        <f ca="1">IFERROR(OFFSET(ITEM_RES!$A$1,MATCH(AW398,ITEM_RES!$J:$J,0)-1,0),0)</f>
        <v>0</v>
      </c>
      <c r="BA398" s="11">
        <f ca="1">IFERROR(OFFSET(ITEM_RES!$A$1,MATCH(BB398,ITEM_RES!$J:$J,0)-1,0),0)</f>
        <v>0</v>
      </c>
      <c r="BF398" s="11">
        <f ca="1">IFERROR(OFFSET(ITEM_RES!$A$1,MATCH(BG398,ITEM_RES!$J:$J,0)-1,0),0)</f>
        <v>0</v>
      </c>
      <c r="BK398" s="11">
        <f ca="1">IFERROR(OFFSET(ITEM_RES!$A$1,MATCH(BL398,ITEM_RES!$J:$J,0)-1,0),0)</f>
        <v>0</v>
      </c>
    </row>
    <row r="399" spans="1:66" x14ac:dyDescent="0.3">
      <c r="A399" s="14">
        <f t="shared" si="113"/>
        <v>112060015</v>
      </c>
      <c r="B399" s="13">
        <v>11</v>
      </c>
      <c r="C399" s="12">
        <f t="shared" si="114"/>
        <v>2</v>
      </c>
      <c r="D399" s="13">
        <v>6</v>
      </c>
      <c r="E399" s="13">
        <v>0</v>
      </c>
      <c r="F399" s="12">
        <f t="shared" si="115"/>
        <v>15</v>
      </c>
      <c r="H399" s="9">
        <v>2</v>
      </c>
      <c r="I399" s="9">
        <v>15</v>
      </c>
      <c r="K399" s="9" t="s">
        <v>414</v>
      </c>
      <c r="M399" s="9">
        <v>1</v>
      </c>
      <c r="N399" s="9">
        <v>15</v>
      </c>
      <c r="O399" s="9" t="s">
        <v>1017</v>
      </c>
      <c r="P399" s="55" t="s">
        <v>1379</v>
      </c>
      <c r="Q399" s="9" t="s">
        <v>684</v>
      </c>
      <c r="S399" s="81" t="s">
        <v>537</v>
      </c>
      <c r="T399" s="9">
        <f ca="1">IFERROR(OFFSET(ITEM_RES!$A$5,MATCH(BUILDING!S399,ITEM_RES!$J$5:$J$229,0)-1,0),0)</f>
        <v>211020401</v>
      </c>
      <c r="U399" s="11">
        <v>1</v>
      </c>
      <c r="V399" s="81" t="s">
        <v>532</v>
      </c>
      <c r="W399" s="11">
        <f ca="1">IFERROR(OFFSET(ITEM_RES!$A$5,MATCH(BUILDING!V399,ITEM_RES!$J$5:$J$229,0)-1,0),0)</f>
        <v>211020501</v>
      </c>
      <c r="Y399" s="9" t="s">
        <v>511</v>
      </c>
      <c r="Z399" s="9">
        <v>15</v>
      </c>
      <c r="AB399" s="11">
        <f ca="1">IFERROR(OFFSET(MANOR_LEVEL!$B$1,MATCH(AC399-1,MANOR_LEVEL!$A:$A,0)-1,0),0)</f>
        <v>345433600</v>
      </c>
      <c r="AC399" s="55">
        <v>18</v>
      </c>
      <c r="AE399" s="11">
        <f t="shared" ca="1" si="108"/>
        <v>666000</v>
      </c>
      <c r="AF399" s="10">
        <f ca="1">AK399+AM399+(IFERROR(OFFSET(ITEM_RES!$R$1,MATCH(AQ399,ITEM_RES!$A:$A,0)-1,0),0)*AS399+IFERROR(OFFSET(ITEM_RES!$R$1,MATCH(AV399,ITEM_RES!$A:$A,0)-1,0),0)*AX399+IFERROR(OFFSET(ITEM_RES!$R$1,MATCH(BA399,ITEM_RES!$A:$A,0)-1,0),0)*BC399+IFERROR(OFFSET(ITEM_RES!$R$1,MATCH(BF399,ITEM_RES!$A:$A,0)-1,0),0)*BH399+IFERROR(OFFSET(ITEM_RES!$R$1,MATCH(BK399,ITEM_RES!$A:$A,0)-1,0),0)*BM399)/1000</f>
        <v>666000</v>
      </c>
      <c r="AG399" s="176">
        <f t="shared" ca="1" si="117"/>
        <v>1062000</v>
      </c>
      <c r="AI399" s="11">
        <f t="shared" si="110"/>
        <v>1080</v>
      </c>
      <c r="AJ399" s="10">
        <v>1080</v>
      </c>
      <c r="AK399" s="11">
        <f t="shared" si="116"/>
        <v>0</v>
      </c>
      <c r="AL399" s="10">
        <v>0</v>
      </c>
      <c r="AM399" s="11">
        <f t="shared" si="118"/>
        <v>0</v>
      </c>
      <c r="AN399" s="10">
        <v>0</v>
      </c>
      <c r="AO399" s="55">
        <f t="shared" si="111"/>
        <v>1</v>
      </c>
      <c r="AQ399" s="11">
        <f ca="1">IFERROR(OFFSET(ITEM_RES!$A$1,MATCH(AR399,ITEM_RES!$J:$J,0)-1,0),0)</f>
        <v>211020801</v>
      </c>
      <c r="AR399" s="10" t="s">
        <v>427</v>
      </c>
      <c r="AS399" s="11">
        <v>111000</v>
      </c>
      <c r="AV399" s="11">
        <f ca="1">IFERROR(OFFSET(ITEM_RES!$A$1,MATCH(AW399,ITEM_RES!$J:$J,0)-1,0),0)</f>
        <v>0</v>
      </c>
      <c r="BA399" s="11">
        <f ca="1">IFERROR(OFFSET(ITEM_RES!$A$1,MATCH(BB399,ITEM_RES!$J:$J,0)-1,0),0)</f>
        <v>0</v>
      </c>
      <c r="BF399" s="11">
        <f ca="1">IFERROR(OFFSET(ITEM_RES!$A$1,MATCH(BG399,ITEM_RES!$J:$J,0)-1,0),0)</f>
        <v>0</v>
      </c>
      <c r="BK399" s="11">
        <f ca="1">IFERROR(OFFSET(ITEM_RES!$A$1,MATCH(BL399,ITEM_RES!$J:$J,0)-1,0),0)</f>
        <v>0</v>
      </c>
    </row>
    <row r="400" spans="1:66" x14ac:dyDescent="0.3">
      <c r="A400" s="14">
        <f t="shared" si="113"/>
        <v>112060016</v>
      </c>
      <c r="B400" s="13">
        <v>11</v>
      </c>
      <c r="C400" s="12">
        <f t="shared" si="114"/>
        <v>2</v>
      </c>
      <c r="D400" s="13">
        <v>6</v>
      </c>
      <c r="E400" s="13">
        <v>0</v>
      </c>
      <c r="F400" s="12">
        <f t="shared" si="115"/>
        <v>16</v>
      </c>
      <c r="H400" s="9">
        <v>2</v>
      </c>
      <c r="I400" s="9">
        <v>16</v>
      </c>
      <c r="K400" s="9" t="s">
        <v>414</v>
      </c>
      <c r="M400" s="9">
        <v>0</v>
      </c>
      <c r="N400" s="9">
        <v>15</v>
      </c>
      <c r="O400" s="9" t="s">
        <v>1017</v>
      </c>
      <c r="P400" s="55" t="s">
        <v>1379</v>
      </c>
      <c r="Q400" s="9" t="s">
        <v>684</v>
      </c>
      <c r="S400" s="81" t="s">
        <v>537</v>
      </c>
      <c r="T400" s="9">
        <f ca="1">IFERROR(OFFSET(ITEM_RES!$A$5,MATCH(BUILDING!S400,ITEM_RES!$J$5:$J$229,0)-1,0),0)</f>
        <v>211020401</v>
      </c>
      <c r="U400" s="11">
        <v>1</v>
      </c>
      <c r="V400" s="81" t="s">
        <v>532</v>
      </c>
      <c r="W400" s="11">
        <f ca="1">IFERROR(OFFSET(ITEM_RES!$A$5,MATCH(BUILDING!V400,ITEM_RES!$J$5:$J$229,0)-1,0),0)</f>
        <v>211020501</v>
      </c>
      <c r="Y400" s="9" t="s">
        <v>511</v>
      </c>
      <c r="Z400" s="9">
        <v>16</v>
      </c>
      <c r="AB400" s="11">
        <f ca="1">IFERROR(OFFSET(MANOR_LEVEL!$B$1,MATCH(AC400-1,MANOR_LEVEL!$A:$A,0)-1,0),0)</f>
        <v>345433600</v>
      </c>
      <c r="AC400" s="55">
        <v>18</v>
      </c>
      <c r="AE400" s="11">
        <f t="shared" ca="1" si="108"/>
        <v>1116000</v>
      </c>
      <c r="AF400" s="10">
        <f ca="1">AK400+AM400+(IFERROR(OFFSET(ITEM_RES!$R$1,MATCH(AQ400,ITEM_RES!$A:$A,0)-1,0),0)*AS400+IFERROR(OFFSET(ITEM_RES!$R$1,MATCH(AV400,ITEM_RES!$A:$A,0)-1,0),0)*AX400+IFERROR(OFFSET(ITEM_RES!$R$1,MATCH(BA400,ITEM_RES!$A:$A,0)-1,0),0)*BC400+IFERROR(OFFSET(ITEM_RES!$R$1,MATCH(BF400,ITEM_RES!$A:$A,0)-1,0),0)*BH400+IFERROR(OFFSET(ITEM_RES!$R$1,MATCH(BK400,ITEM_RES!$A:$A,0)-1,0),0)*BM400)/1000</f>
        <v>1116000</v>
      </c>
      <c r="AG400" s="176">
        <f t="shared" ca="1" si="117"/>
        <v>1782000</v>
      </c>
      <c r="AI400" s="11">
        <f t="shared" si="110"/>
        <v>1260</v>
      </c>
      <c r="AJ400" s="10">
        <v>1260</v>
      </c>
      <c r="AK400" s="11">
        <f t="shared" si="116"/>
        <v>0</v>
      </c>
      <c r="AL400" s="10">
        <v>0</v>
      </c>
      <c r="AM400" s="11">
        <f t="shared" si="118"/>
        <v>0</v>
      </c>
      <c r="AN400" s="10">
        <v>0</v>
      </c>
      <c r="AO400" s="55">
        <f t="shared" si="111"/>
        <v>1</v>
      </c>
      <c r="AQ400" s="11">
        <f ca="1">IFERROR(OFFSET(ITEM_RES!$A$1,MATCH(AR400,ITEM_RES!$J:$J,0)-1,0),0)</f>
        <v>211020801</v>
      </c>
      <c r="AR400" s="10" t="s">
        <v>427</v>
      </c>
      <c r="AS400" s="11">
        <v>186000</v>
      </c>
      <c r="AV400" s="11">
        <f ca="1">IFERROR(OFFSET(ITEM_RES!$A$1,MATCH(AW400,ITEM_RES!$J:$J,0)-1,0),0)</f>
        <v>0</v>
      </c>
      <c r="BA400" s="11">
        <f ca="1">IFERROR(OFFSET(ITEM_RES!$A$1,MATCH(BB400,ITEM_RES!$J:$J,0)-1,0),0)</f>
        <v>0</v>
      </c>
      <c r="BF400" s="11">
        <f ca="1">IFERROR(OFFSET(ITEM_RES!$A$1,MATCH(BG400,ITEM_RES!$J:$J,0)-1,0),0)</f>
        <v>0</v>
      </c>
      <c r="BK400" s="11">
        <f ca="1">IFERROR(OFFSET(ITEM_RES!$A$1,MATCH(BL400,ITEM_RES!$J:$J,0)-1,0),0)</f>
        <v>0</v>
      </c>
    </row>
    <row r="401" spans="1:66" x14ac:dyDescent="0.3">
      <c r="A401" s="14">
        <f t="shared" si="113"/>
        <v>112060017</v>
      </c>
      <c r="B401" s="13">
        <v>11</v>
      </c>
      <c r="C401" s="12">
        <f t="shared" si="114"/>
        <v>2</v>
      </c>
      <c r="D401" s="13">
        <v>6</v>
      </c>
      <c r="E401" s="13">
        <v>0</v>
      </c>
      <c r="F401" s="12">
        <f t="shared" si="115"/>
        <v>17</v>
      </c>
      <c r="H401" s="9">
        <v>2</v>
      </c>
      <c r="I401" s="9">
        <v>17</v>
      </c>
      <c r="K401" s="9" t="s">
        <v>414</v>
      </c>
      <c r="M401" s="9">
        <v>0</v>
      </c>
      <c r="N401" s="9">
        <v>15</v>
      </c>
      <c r="O401" s="9" t="s">
        <v>1017</v>
      </c>
      <c r="P401" s="55" t="s">
        <v>1379</v>
      </c>
      <c r="Q401" s="9" t="s">
        <v>684</v>
      </c>
      <c r="S401" s="81" t="s">
        <v>537</v>
      </c>
      <c r="T401" s="9">
        <f ca="1">IFERROR(OFFSET(ITEM_RES!$A$5,MATCH(BUILDING!S401,ITEM_RES!$J$5:$J$229,0)-1,0),0)</f>
        <v>211020401</v>
      </c>
      <c r="U401" s="11">
        <v>1</v>
      </c>
      <c r="V401" s="81" t="s">
        <v>532</v>
      </c>
      <c r="W401" s="11">
        <f ca="1">IFERROR(OFFSET(ITEM_RES!$A$5,MATCH(BUILDING!V401,ITEM_RES!$J$5:$J$229,0)-1,0),0)</f>
        <v>211020501</v>
      </c>
      <c r="Y401" s="9" t="s">
        <v>511</v>
      </c>
      <c r="Z401" s="9">
        <v>17</v>
      </c>
      <c r="AB401" s="11">
        <f ca="1">IFERROR(OFFSET(MANOR_LEVEL!$B$1,MATCH(AC401-1,MANOR_LEVEL!$A:$A,0)-1,0),0)</f>
        <v>345433600</v>
      </c>
      <c r="AC401" s="55">
        <v>18</v>
      </c>
      <c r="AE401" s="11">
        <f t="shared" ca="1" si="108"/>
        <v>1746000</v>
      </c>
      <c r="AF401" s="10">
        <f ca="1">AK401+AM401+(IFERROR(OFFSET(ITEM_RES!$R$1,MATCH(AQ401,ITEM_RES!$A:$A,0)-1,0),0)*AS401+IFERROR(OFFSET(ITEM_RES!$R$1,MATCH(AV401,ITEM_RES!$A:$A,0)-1,0),0)*AX401+IFERROR(OFFSET(ITEM_RES!$R$1,MATCH(BA401,ITEM_RES!$A:$A,0)-1,0),0)*BC401+IFERROR(OFFSET(ITEM_RES!$R$1,MATCH(BF401,ITEM_RES!$A:$A,0)-1,0),0)*BH401+IFERROR(OFFSET(ITEM_RES!$R$1,MATCH(BK401,ITEM_RES!$A:$A,0)-1,0),0)*BM401)/1000</f>
        <v>1746000</v>
      </c>
      <c r="AG401" s="176">
        <f t="shared" ca="1" si="117"/>
        <v>2862000</v>
      </c>
      <c r="AI401" s="11">
        <f t="shared" si="110"/>
        <v>1440</v>
      </c>
      <c r="AJ401" s="10">
        <v>1440</v>
      </c>
      <c r="AK401" s="11">
        <f t="shared" si="116"/>
        <v>0</v>
      </c>
      <c r="AL401" s="10">
        <v>0</v>
      </c>
      <c r="AM401" s="11">
        <f t="shared" si="118"/>
        <v>0</v>
      </c>
      <c r="AN401" s="10">
        <v>0</v>
      </c>
      <c r="AO401" s="55">
        <f t="shared" si="111"/>
        <v>1</v>
      </c>
      <c r="AQ401" s="11">
        <f ca="1">IFERROR(OFFSET(ITEM_RES!$A$1,MATCH(AR401,ITEM_RES!$J:$J,0)-1,0),0)</f>
        <v>211020801</v>
      </c>
      <c r="AR401" s="10" t="s">
        <v>427</v>
      </c>
      <c r="AS401" s="11">
        <v>291000</v>
      </c>
      <c r="AV401" s="11">
        <f ca="1">IFERROR(OFFSET(ITEM_RES!$A$1,MATCH(AW401,ITEM_RES!$J:$J,0)-1,0),0)</f>
        <v>0</v>
      </c>
      <c r="BA401" s="11">
        <f ca="1">IFERROR(OFFSET(ITEM_RES!$A$1,MATCH(BB401,ITEM_RES!$J:$J,0)-1,0),0)</f>
        <v>0</v>
      </c>
      <c r="BF401" s="11">
        <f ca="1">IFERROR(OFFSET(ITEM_RES!$A$1,MATCH(BG401,ITEM_RES!$J:$J,0)-1,0),0)</f>
        <v>0</v>
      </c>
      <c r="BK401" s="11">
        <f ca="1">IFERROR(OFFSET(ITEM_RES!$A$1,MATCH(BL401,ITEM_RES!$J:$J,0)-1,0),0)</f>
        <v>0</v>
      </c>
    </row>
    <row r="402" spans="1:66" x14ac:dyDescent="0.3">
      <c r="A402" s="14">
        <f t="shared" si="113"/>
        <v>112060018</v>
      </c>
      <c r="B402" s="13">
        <v>11</v>
      </c>
      <c r="C402" s="12">
        <f t="shared" si="114"/>
        <v>2</v>
      </c>
      <c r="D402" s="13">
        <v>6</v>
      </c>
      <c r="E402" s="13">
        <v>0</v>
      </c>
      <c r="F402" s="12">
        <f t="shared" si="115"/>
        <v>18</v>
      </c>
      <c r="H402" s="9">
        <v>2</v>
      </c>
      <c r="I402" s="9">
        <v>18</v>
      </c>
      <c r="K402" s="9" t="s">
        <v>414</v>
      </c>
      <c r="M402" s="9">
        <v>0</v>
      </c>
      <c r="N402" s="9">
        <v>15</v>
      </c>
      <c r="O402" s="9" t="s">
        <v>1017</v>
      </c>
      <c r="P402" s="55" t="s">
        <v>1379</v>
      </c>
      <c r="Q402" s="9" t="s">
        <v>684</v>
      </c>
      <c r="S402" s="81" t="s">
        <v>537</v>
      </c>
      <c r="T402" s="9">
        <f ca="1">IFERROR(OFFSET(ITEM_RES!$A$5,MATCH(BUILDING!S402,ITEM_RES!$J$5:$J$229,0)-1,0),0)</f>
        <v>211020401</v>
      </c>
      <c r="U402" s="11">
        <v>1</v>
      </c>
      <c r="V402" s="81" t="s">
        <v>532</v>
      </c>
      <c r="W402" s="11">
        <f ca="1">IFERROR(OFFSET(ITEM_RES!$A$5,MATCH(BUILDING!V402,ITEM_RES!$J$5:$J$229,0)-1,0),0)</f>
        <v>211020501</v>
      </c>
      <c r="Y402" s="9" t="s">
        <v>511</v>
      </c>
      <c r="Z402" s="9">
        <v>18</v>
      </c>
      <c r="AB402" s="11">
        <f ca="1">IFERROR(OFFSET(MANOR_LEVEL!$B$1,MATCH(AC402-1,MANOR_LEVEL!$A:$A,0)-1,0),0)</f>
        <v>345433600</v>
      </c>
      <c r="AC402" s="55">
        <v>18</v>
      </c>
      <c r="AE402" s="11">
        <f t="shared" ca="1" si="108"/>
        <v>3780000</v>
      </c>
      <c r="AF402" s="10">
        <f ca="1">AK402+AM402+(IFERROR(OFFSET(ITEM_RES!$R$1,MATCH(AQ402,ITEM_RES!$A:$A,0)-1,0),0)*AS402+IFERROR(OFFSET(ITEM_RES!$R$1,MATCH(AV402,ITEM_RES!$A:$A,0)-1,0),0)*AX402+IFERROR(OFFSET(ITEM_RES!$R$1,MATCH(BA402,ITEM_RES!$A:$A,0)-1,0),0)*BC402+IFERROR(OFFSET(ITEM_RES!$R$1,MATCH(BF402,ITEM_RES!$A:$A,0)-1,0),0)*BH402+IFERROR(OFFSET(ITEM_RES!$R$1,MATCH(BK402,ITEM_RES!$A:$A,0)-1,0),0)*BM402)/1000</f>
        <v>3780000</v>
      </c>
      <c r="AG402" s="176">
        <f t="shared" ca="1" si="117"/>
        <v>5526000</v>
      </c>
      <c r="AI402" s="11">
        <f t="shared" si="110"/>
        <v>1620</v>
      </c>
      <c r="AJ402" s="10">
        <v>1620</v>
      </c>
      <c r="AK402" s="11">
        <f t="shared" si="116"/>
        <v>0</v>
      </c>
      <c r="AL402" s="10">
        <v>0</v>
      </c>
      <c r="AM402" s="11">
        <f t="shared" si="118"/>
        <v>0</v>
      </c>
      <c r="AN402" s="10">
        <v>0</v>
      </c>
      <c r="AO402" s="55">
        <f t="shared" si="111"/>
        <v>1</v>
      </c>
      <c r="AQ402" s="11">
        <f ca="1">IFERROR(OFFSET(ITEM_RES!$A$1,MATCH(AR402,ITEM_RES!$J:$J,0)-1,0),0)</f>
        <v>211020801</v>
      </c>
      <c r="AR402" s="10" t="s">
        <v>427</v>
      </c>
      <c r="AS402" s="11">
        <v>630000</v>
      </c>
      <c r="AV402" s="11">
        <f ca="1">IFERROR(OFFSET(ITEM_RES!$A$1,MATCH(AW402,ITEM_RES!$J:$J,0)-1,0),0)</f>
        <v>0</v>
      </c>
      <c r="BA402" s="11">
        <f ca="1">IFERROR(OFFSET(ITEM_RES!$A$1,MATCH(BB402,ITEM_RES!$J:$J,0)-1,0),0)</f>
        <v>0</v>
      </c>
      <c r="BF402" s="11">
        <f ca="1">IFERROR(OFFSET(ITEM_RES!$A$1,MATCH(BG402,ITEM_RES!$J:$J,0)-1,0),0)</f>
        <v>0</v>
      </c>
      <c r="BK402" s="11">
        <f ca="1">IFERROR(OFFSET(ITEM_RES!$A$1,MATCH(BL402,ITEM_RES!$J:$J,0)-1,0),0)</f>
        <v>0</v>
      </c>
    </row>
    <row r="403" spans="1:66" x14ac:dyDescent="0.3">
      <c r="A403" s="14">
        <f t="shared" si="113"/>
        <v>112060019</v>
      </c>
      <c r="B403" s="13">
        <v>11</v>
      </c>
      <c r="C403" s="12">
        <f t="shared" si="114"/>
        <v>2</v>
      </c>
      <c r="D403" s="13">
        <v>6</v>
      </c>
      <c r="E403" s="13">
        <v>0</v>
      </c>
      <c r="F403" s="12">
        <f t="shared" si="115"/>
        <v>19</v>
      </c>
      <c r="H403" s="9">
        <v>2</v>
      </c>
      <c r="I403" s="9">
        <v>19</v>
      </c>
      <c r="K403" s="9" t="s">
        <v>414</v>
      </c>
      <c r="M403" s="9">
        <v>0</v>
      </c>
      <c r="N403" s="9">
        <v>15</v>
      </c>
      <c r="O403" s="9" t="s">
        <v>1017</v>
      </c>
      <c r="P403" s="55" t="s">
        <v>1379</v>
      </c>
      <c r="Q403" s="9" t="s">
        <v>684</v>
      </c>
      <c r="S403" s="81" t="s">
        <v>537</v>
      </c>
      <c r="T403" s="9">
        <f ca="1">IFERROR(OFFSET(ITEM_RES!$A$5,MATCH(BUILDING!S403,ITEM_RES!$J$5:$J$229,0)-1,0),0)</f>
        <v>211020401</v>
      </c>
      <c r="U403" s="11">
        <v>1</v>
      </c>
      <c r="V403" s="81" t="s">
        <v>532</v>
      </c>
      <c r="W403" s="11">
        <f ca="1">IFERROR(OFFSET(ITEM_RES!$A$5,MATCH(BUILDING!V403,ITEM_RES!$J$5:$J$229,0)-1,0),0)</f>
        <v>211020501</v>
      </c>
      <c r="Y403" s="9" t="s">
        <v>511</v>
      </c>
      <c r="Z403" s="9">
        <v>19</v>
      </c>
      <c r="AB403" s="11">
        <f ca="1">IFERROR(OFFSET(MANOR_LEVEL!$B$1,MATCH(AC403-1,MANOR_LEVEL!$A:$A,0)-1,0),0)</f>
        <v>345433600</v>
      </c>
      <c r="AC403" s="55">
        <v>18</v>
      </c>
      <c r="AE403" s="11">
        <f t="shared" ca="1" si="108"/>
        <v>7740000</v>
      </c>
      <c r="AF403" s="10">
        <f ca="1">AK403+AM403+(IFERROR(OFFSET(ITEM_RES!$R$1,MATCH(AQ403,ITEM_RES!$A:$A,0)-1,0),0)*AS403+IFERROR(OFFSET(ITEM_RES!$R$1,MATCH(AV403,ITEM_RES!$A:$A,0)-1,0),0)*AX403+IFERROR(OFFSET(ITEM_RES!$R$1,MATCH(BA403,ITEM_RES!$A:$A,0)-1,0),0)*BC403+IFERROR(OFFSET(ITEM_RES!$R$1,MATCH(BF403,ITEM_RES!$A:$A,0)-1,0),0)*BH403+IFERROR(OFFSET(ITEM_RES!$R$1,MATCH(BK403,ITEM_RES!$A:$A,0)-1,0),0)*BM403)/1000</f>
        <v>7740000</v>
      </c>
      <c r="AG403" s="176">
        <f t="shared" ca="1" si="117"/>
        <v>11520000</v>
      </c>
      <c r="AI403" s="11">
        <f t="shared" si="110"/>
        <v>1800</v>
      </c>
      <c r="AJ403" s="10">
        <v>1800</v>
      </c>
      <c r="AK403" s="11">
        <f t="shared" si="116"/>
        <v>0</v>
      </c>
      <c r="AL403" s="10">
        <v>0</v>
      </c>
      <c r="AM403" s="11">
        <f t="shared" si="118"/>
        <v>0</v>
      </c>
      <c r="AN403" s="10">
        <v>0</v>
      </c>
      <c r="AO403" s="55">
        <f t="shared" si="111"/>
        <v>1</v>
      </c>
      <c r="AQ403" s="11">
        <f ca="1">IFERROR(OFFSET(ITEM_RES!$A$1,MATCH(AR403,ITEM_RES!$J:$J,0)-1,0),0)</f>
        <v>211020801</v>
      </c>
      <c r="AR403" s="10" t="s">
        <v>427</v>
      </c>
      <c r="AS403" s="11">
        <v>1290000</v>
      </c>
      <c r="AV403" s="11">
        <f ca="1">IFERROR(OFFSET(ITEM_RES!$A$1,MATCH(AW403,ITEM_RES!$J:$J,0)-1,0),0)</f>
        <v>0</v>
      </c>
      <c r="BA403" s="11">
        <f ca="1">IFERROR(OFFSET(ITEM_RES!$A$1,MATCH(BB403,ITEM_RES!$J:$J,0)-1,0),0)</f>
        <v>0</v>
      </c>
      <c r="BF403" s="11">
        <f ca="1">IFERROR(OFFSET(ITEM_RES!$A$1,MATCH(BG403,ITEM_RES!$J:$J,0)-1,0),0)</f>
        <v>0</v>
      </c>
      <c r="BK403" s="11">
        <f ca="1">IFERROR(OFFSET(ITEM_RES!$A$1,MATCH(BL403,ITEM_RES!$J:$J,0)-1,0),0)</f>
        <v>0</v>
      </c>
    </row>
    <row r="404" spans="1:66" ht="17.25" thickBot="1" x14ac:dyDescent="0.35">
      <c r="A404" s="14">
        <f t="shared" si="113"/>
        <v>112060020</v>
      </c>
      <c r="B404" s="13">
        <v>11</v>
      </c>
      <c r="C404" s="12">
        <f t="shared" si="114"/>
        <v>2</v>
      </c>
      <c r="D404" s="13">
        <v>6</v>
      </c>
      <c r="E404" s="13">
        <v>0</v>
      </c>
      <c r="F404" s="12">
        <f t="shared" si="115"/>
        <v>20</v>
      </c>
      <c r="H404" s="9">
        <v>2</v>
      </c>
      <c r="I404" s="9">
        <v>20</v>
      </c>
      <c r="K404" s="9" t="s">
        <v>414</v>
      </c>
      <c r="M404" s="9">
        <v>0</v>
      </c>
      <c r="N404" s="9">
        <v>15</v>
      </c>
      <c r="O404" s="9" t="s">
        <v>1017</v>
      </c>
      <c r="P404" s="55" t="s">
        <v>1379</v>
      </c>
      <c r="Q404" s="9" t="s">
        <v>684</v>
      </c>
      <c r="S404" s="81" t="s">
        <v>537</v>
      </c>
      <c r="T404" s="9">
        <f ca="1">IFERROR(OFFSET(ITEM_RES!$A$5,MATCH(BUILDING!S404,ITEM_RES!$J$5:$J$229,0)-1,0),0)</f>
        <v>211020401</v>
      </c>
      <c r="U404" s="11">
        <v>1</v>
      </c>
      <c r="V404" s="81" t="s">
        <v>532</v>
      </c>
      <c r="W404" s="11">
        <f ca="1">IFERROR(OFFSET(ITEM_RES!$A$5,MATCH(BUILDING!V404,ITEM_RES!$J$5:$J$229,0)-1,0),0)</f>
        <v>211020501</v>
      </c>
      <c r="Y404" s="9" t="s">
        <v>511</v>
      </c>
      <c r="Z404" s="9">
        <v>20</v>
      </c>
      <c r="AB404" s="11">
        <f ca="1">IFERROR(OFFSET(MANOR_LEVEL!$B$1,MATCH(AC404-1,MANOR_LEVEL!$A:$A,0)-1,0),0)</f>
        <v>345433600</v>
      </c>
      <c r="AC404" s="55">
        <v>18</v>
      </c>
      <c r="AE404" s="11">
        <f t="shared" ca="1" si="108"/>
        <v>14400000</v>
      </c>
      <c r="AF404" s="10">
        <f ca="1">AK404+AM404+(IFERROR(OFFSET(ITEM_RES!$R$1,MATCH(AQ404,ITEM_RES!$A:$A,0)-1,0),0)*AS404+IFERROR(OFFSET(ITEM_RES!$R$1,MATCH(AV404,ITEM_RES!$A:$A,0)-1,0),0)*AX404+IFERROR(OFFSET(ITEM_RES!$R$1,MATCH(BA404,ITEM_RES!$A:$A,0)-1,0),0)*BC404+IFERROR(OFFSET(ITEM_RES!$R$1,MATCH(BF404,ITEM_RES!$A:$A,0)-1,0),0)*BH404+IFERROR(OFFSET(ITEM_RES!$R$1,MATCH(BK404,ITEM_RES!$A:$A,0)-1,0),0)*BM404)/1000</f>
        <v>14400000</v>
      </c>
      <c r="AG404" s="176">
        <f t="shared" ca="1" si="117"/>
        <v>22140000</v>
      </c>
      <c r="AI404" s="11">
        <f t="shared" si="110"/>
        <v>1980</v>
      </c>
      <c r="AJ404" s="10">
        <v>1980</v>
      </c>
      <c r="AK404" s="11">
        <f t="shared" si="116"/>
        <v>0</v>
      </c>
      <c r="AL404" s="10">
        <v>0</v>
      </c>
      <c r="AM404" s="11">
        <f t="shared" si="118"/>
        <v>0</v>
      </c>
      <c r="AN404" s="10">
        <v>0</v>
      </c>
      <c r="AO404" s="55">
        <f t="shared" si="111"/>
        <v>1</v>
      </c>
      <c r="AQ404" s="11">
        <f ca="1">IFERROR(OFFSET(ITEM_RES!$A$1,MATCH(AR404,ITEM_RES!$J:$J,0)-1,0),0)</f>
        <v>211020801</v>
      </c>
      <c r="AR404" s="10" t="s">
        <v>427</v>
      </c>
      <c r="AS404" s="11">
        <v>2400000</v>
      </c>
      <c r="AV404" s="11">
        <f ca="1">IFERROR(OFFSET(ITEM_RES!$A$1,MATCH(AW404,ITEM_RES!$J:$J,0)-1,0),0)</f>
        <v>0</v>
      </c>
      <c r="BA404" s="11">
        <f ca="1">IFERROR(OFFSET(ITEM_RES!$A$1,MATCH(BB404,ITEM_RES!$J:$J,0)-1,0),0)</f>
        <v>0</v>
      </c>
      <c r="BF404" s="11">
        <f ca="1">IFERROR(OFFSET(ITEM_RES!$A$1,MATCH(BG404,ITEM_RES!$J:$J,0)-1,0),0)</f>
        <v>0</v>
      </c>
      <c r="BK404" s="11">
        <f ca="1">IFERROR(OFFSET(ITEM_RES!$A$1,MATCH(BL404,ITEM_RES!$J:$J,0)-1,0),0)</f>
        <v>0</v>
      </c>
    </row>
    <row r="405" spans="1:66" s="15" customFormat="1" x14ac:dyDescent="0.3">
      <c r="A405" s="21">
        <f t="shared" si="113"/>
        <v>112070001</v>
      </c>
      <c r="B405" s="20">
        <v>11</v>
      </c>
      <c r="C405" s="19">
        <f t="shared" si="114"/>
        <v>2</v>
      </c>
      <c r="D405" s="20">
        <v>7</v>
      </c>
      <c r="E405" s="20">
        <v>0</v>
      </c>
      <c r="F405" s="19">
        <f t="shared" si="115"/>
        <v>1</v>
      </c>
      <c r="G405" s="76"/>
      <c r="H405" s="16">
        <v>2</v>
      </c>
      <c r="I405" s="16">
        <v>1</v>
      </c>
      <c r="J405" s="76"/>
      <c r="K405" s="16" t="s">
        <v>517</v>
      </c>
      <c r="L405" s="16">
        <v>3</v>
      </c>
      <c r="M405" s="16">
        <v>1</v>
      </c>
      <c r="N405" s="16">
        <v>15</v>
      </c>
      <c r="O405" s="16" t="s">
        <v>1120</v>
      </c>
      <c r="P405" s="56" t="s">
        <v>1380</v>
      </c>
      <c r="Q405" s="16" t="s">
        <v>680</v>
      </c>
      <c r="R405" s="76"/>
      <c r="S405" s="83" t="s">
        <v>531</v>
      </c>
      <c r="T405" s="16">
        <f ca="1">IFERROR(OFFSET(ITEM_RES!$A$5,MATCH(BUILDING!S405,ITEM_RES!$J$5:$J$229,0)-1,0),0)</f>
        <v>211020201</v>
      </c>
      <c r="U405" s="18">
        <v>1</v>
      </c>
      <c r="V405" s="83" t="s">
        <v>533</v>
      </c>
      <c r="W405" s="18">
        <f ca="1">IFERROR(OFFSET(ITEM_RES!$A$5,MATCH(BUILDING!V405,ITEM_RES!$J$5:$J$229,0)-1,0),0)</f>
        <v>211020301</v>
      </c>
      <c r="X405" s="76"/>
      <c r="Y405" s="16" t="s">
        <v>512</v>
      </c>
      <c r="Z405" s="16">
        <v>1</v>
      </c>
      <c r="AA405" s="76"/>
      <c r="AB405" s="18">
        <f ca="1">IFERROR(OFFSET(MANOR_LEVEL!$B$1,MATCH(AC405-1,MANOR_LEVEL!$A:$A,0)-1,0),0)</f>
        <v>17000</v>
      </c>
      <c r="AC405" s="56">
        <v>6</v>
      </c>
      <c r="AD405" s="76"/>
      <c r="AE405" s="18">
        <f t="shared" ca="1" si="108"/>
        <v>1090</v>
      </c>
      <c r="AF405" s="17">
        <f ca="1">AK405+AM405+(IFERROR(OFFSET(ITEM_RES!$R$1,MATCH(AQ405,ITEM_RES!$A:$A,0)-1,0),0)*AS405+IFERROR(OFFSET(ITEM_RES!$R$1,MATCH(AV405,ITEM_RES!$A:$A,0)-1,0),0)*AX405+IFERROR(OFFSET(ITEM_RES!$R$1,MATCH(BA405,ITEM_RES!$A:$A,0)-1,0),0)*BC405+IFERROR(OFFSET(ITEM_RES!$R$1,MATCH(BF405,ITEM_RES!$A:$A,0)-1,0),0)*BH405+IFERROR(OFFSET(ITEM_RES!$R$1,MATCH(BK405,ITEM_RES!$A:$A,0)-1,0),0)*BM405)/1000</f>
        <v>1090</v>
      </c>
      <c r="AG405" s="178">
        <f ca="1">AE405</f>
        <v>1090</v>
      </c>
      <c r="AH405" s="76"/>
      <c r="AI405" s="18">
        <f t="shared" si="110"/>
        <v>2</v>
      </c>
      <c r="AJ405" s="17">
        <v>2</v>
      </c>
      <c r="AK405" s="18">
        <f t="shared" si="116"/>
        <v>0</v>
      </c>
      <c r="AL405" s="17">
        <v>0</v>
      </c>
      <c r="AM405" s="18">
        <f t="shared" si="118"/>
        <v>0</v>
      </c>
      <c r="AN405" s="17">
        <v>0</v>
      </c>
      <c r="AO405" s="56">
        <f t="shared" si="111"/>
        <v>3</v>
      </c>
      <c r="AP405" s="18"/>
      <c r="AQ405" s="18">
        <f ca="1">IFERROR(OFFSET(ITEM_RES!$A$1,MATCH(AR405,ITEM_RES!$J:$J,0)-1,0),0)</f>
        <v>211020801</v>
      </c>
      <c r="AR405" s="17" t="s">
        <v>1438</v>
      </c>
      <c r="AS405" s="18">
        <v>5</v>
      </c>
      <c r="AT405" s="17"/>
      <c r="AU405" s="18"/>
      <c r="AV405" s="18">
        <f ca="1">IFERROR(OFFSET(ITEM_RES!$A$1,MATCH(AW405,ITEM_RES!$J:$J,0)-1,0),0)</f>
        <v>211020401</v>
      </c>
      <c r="AW405" s="17" t="s">
        <v>426</v>
      </c>
      <c r="AX405" s="18">
        <v>20</v>
      </c>
      <c r="AY405" s="17"/>
      <c r="AZ405" s="18"/>
      <c r="BA405" s="18">
        <f ca="1">IFERROR(OFFSET(ITEM_RES!$A$1,MATCH(BB405,ITEM_RES!$J:$J,0)-1,0),0)</f>
        <v>213010101</v>
      </c>
      <c r="BB405" s="17" t="s">
        <v>440</v>
      </c>
      <c r="BC405" s="18">
        <v>1</v>
      </c>
      <c r="BD405" s="17"/>
      <c r="BE405" s="18"/>
      <c r="BF405" s="18">
        <f ca="1">IFERROR(OFFSET(ITEM_RES!$A$1,MATCH(BG405,ITEM_RES!$J:$J,0)-1,0),0)</f>
        <v>0</v>
      </c>
      <c r="BG405" s="17"/>
      <c r="BH405" s="18"/>
      <c r="BI405" s="17"/>
      <c r="BJ405" s="18"/>
      <c r="BK405" s="18">
        <f ca="1">IFERROR(OFFSET(ITEM_RES!$A$1,MATCH(BL405,ITEM_RES!$J:$J,0)-1,0),0)</f>
        <v>0</v>
      </c>
      <c r="BL405" s="17"/>
      <c r="BM405" s="18"/>
      <c r="BN405" s="17"/>
    </row>
    <row r="406" spans="1:66" x14ac:dyDescent="0.3">
      <c r="A406" s="14">
        <f t="shared" si="113"/>
        <v>112070002</v>
      </c>
      <c r="B406" s="13">
        <v>11</v>
      </c>
      <c r="C406" s="12">
        <f t="shared" si="114"/>
        <v>2</v>
      </c>
      <c r="D406" s="13">
        <v>7</v>
      </c>
      <c r="E406" s="13">
        <v>0</v>
      </c>
      <c r="F406" s="12">
        <f t="shared" si="115"/>
        <v>2</v>
      </c>
      <c r="H406" s="9">
        <v>2</v>
      </c>
      <c r="I406" s="9">
        <v>2</v>
      </c>
      <c r="K406" s="9" t="s">
        <v>361</v>
      </c>
      <c r="M406" s="9">
        <v>1</v>
      </c>
      <c r="N406" s="9">
        <v>15</v>
      </c>
      <c r="O406" s="9" t="s">
        <v>1120</v>
      </c>
      <c r="P406" s="55" t="s">
        <v>1380</v>
      </c>
      <c r="Q406" s="9" t="s">
        <v>680</v>
      </c>
      <c r="S406" s="81" t="s">
        <v>531</v>
      </c>
      <c r="T406" s="9">
        <f ca="1">IFERROR(OFFSET(ITEM_RES!$A$5,MATCH(BUILDING!S406,ITEM_RES!$J$5:$J$229,0)-1,0),0)</f>
        <v>211020201</v>
      </c>
      <c r="U406" s="11">
        <v>1</v>
      </c>
      <c r="V406" s="81" t="s">
        <v>533</v>
      </c>
      <c r="W406" s="11">
        <f ca="1">IFERROR(OFFSET(ITEM_RES!$A$5,MATCH(BUILDING!V406,ITEM_RES!$J$5:$J$229,0)-1,0),0)</f>
        <v>211020301</v>
      </c>
      <c r="Y406" s="9" t="s">
        <v>512</v>
      </c>
      <c r="Z406" s="9">
        <v>2</v>
      </c>
      <c r="AB406" s="11">
        <f ca="1">IFERROR(OFFSET(MANOR_LEVEL!$B$1,MATCH(AC406-1,MANOR_LEVEL!$A:$A,0)-1,0),0)</f>
        <v>100000</v>
      </c>
      <c r="AC406" s="55">
        <v>8</v>
      </c>
      <c r="AE406" s="11">
        <f t="shared" ca="1" si="108"/>
        <v>180</v>
      </c>
      <c r="AF406" s="10">
        <f ca="1">AK406+AM406+(IFERROR(OFFSET(ITEM_RES!$R$1,MATCH(AQ406,ITEM_RES!$A:$A,0)-1,0),0)*AS406+IFERROR(OFFSET(ITEM_RES!$R$1,MATCH(AV406,ITEM_RES!$A:$A,0)-1,0),0)*AX406+IFERROR(OFFSET(ITEM_RES!$R$1,MATCH(BA406,ITEM_RES!$A:$A,0)-1,0),0)*BC406+IFERROR(OFFSET(ITEM_RES!$R$1,MATCH(BF406,ITEM_RES!$A:$A,0)-1,0),0)*BH406+IFERROR(OFFSET(ITEM_RES!$R$1,MATCH(BK406,ITEM_RES!$A:$A,0)-1,0),0)*BM406)/1000</f>
        <v>180</v>
      </c>
      <c r="AG406" s="176">
        <f ca="1">AE405+AE406</f>
        <v>1270</v>
      </c>
      <c r="AI406" s="11">
        <f t="shared" si="110"/>
        <v>2</v>
      </c>
      <c r="AJ406" s="10">
        <v>2</v>
      </c>
      <c r="AK406" s="11">
        <f t="shared" si="116"/>
        <v>0</v>
      </c>
      <c r="AL406" s="10">
        <v>0</v>
      </c>
      <c r="AM406" s="11">
        <f t="shared" si="118"/>
        <v>0</v>
      </c>
      <c r="AN406" s="10">
        <v>0</v>
      </c>
      <c r="AO406" s="55">
        <f t="shared" si="111"/>
        <v>2</v>
      </c>
      <c r="AQ406" s="11">
        <f ca="1">IFERROR(OFFSET(ITEM_RES!$A$1,MATCH(AR406,ITEM_RES!$J:$J,0)-1,0),0)</f>
        <v>211020801</v>
      </c>
      <c r="AR406" s="10" t="s">
        <v>1438</v>
      </c>
      <c r="AS406" s="11">
        <v>10</v>
      </c>
      <c r="AV406" s="11">
        <f ca="1">IFERROR(OFFSET(ITEM_RES!$A$1,MATCH(AW406,ITEM_RES!$J:$J,0)-1,0),0)</f>
        <v>211020401</v>
      </c>
      <c r="AW406" s="10" t="s">
        <v>426</v>
      </c>
      <c r="AX406" s="11">
        <v>40</v>
      </c>
      <c r="BA406" s="11">
        <f ca="1">IFERROR(OFFSET(ITEM_RES!$A$1,MATCH(BB406,ITEM_RES!$J:$J,0)-1,0),0)</f>
        <v>0</v>
      </c>
      <c r="BF406" s="11">
        <f ca="1">IFERROR(OFFSET(ITEM_RES!$A$1,MATCH(BG406,ITEM_RES!$J:$J,0)-1,0),0)</f>
        <v>0</v>
      </c>
      <c r="BK406" s="11">
        <f ca="1">IFERROR(OFFSET(ITEM_RES!$A$1,MATCH(BL406,ITEM_RES!$J:$J,0)-1,0),0)</f>
        <v>0</v>
      </c>
    </row>
    <row r="407" spans="1:66" x14ac:dyDescent="0.3">
      <c r="A407" s="14">
        <f t="shared" si="113"/>
        <v>112070003</v>
      </c>
      <c r="B407" s="13">
        <v>11</v>
      </c>
      <c r="C407" s="12">
        <f t="shared" si="114"/>
        <v>2</v>
      </c>
      <c r="D407" s="13">
        <v>7</v>
      </c>
      <c r="E407" s="13">
        <v>0</v>
      </c>
      <c r="F407" s="12">
        <f t="shared" si="115"/>
        <v>3</v>
      </c>
      <c r="H407" s="9">
        <v>2</v>
      </c>
      <c r="I407" s="9">
        <v>3</v>
      </c>
      <c r="K407" s="9" t="s">
        <v>361</v>
      </c>
      <c r="M407" s="9">
        <v>1</v>
      </c>
      <c r="N407" s="9">
        <v>15</v>
      </c>
      <c r="O407" s="9" t="s">
        <v>1121</v>
      </c>
      <c r="P407" s="55" t="s">
        <v>1381</v>
      </c>
      <c r="Q407" s="9" t="s">
        <v>680</v>
      </c>
      <c r="S407" s="81" t="s">
        <v>531</v>
      </c>
      <c r="T407" s="9">
        <f ca="1">IFERROR(OFFSET(ITEM_RES!$A$5,MATCH(BUILDING!S407,ITEM_RES!$J$5:$J$229,0)-1,0),0)</f>
        <v>211020201</v>
      </c>
      <c r="U407" s="11">
        <v>1</v>
      </c>
      <c r="V407" s="81" t="s">
        <v>533</v>
      </c>
      <c r="W407" s="11">
        <f ca="1">IFERROR(OFFSET(ITEM_RES!$A$5,MATCH(BUILDING!V407,ITEM_RES!$J$5:$J$229,0)-1,0),0)</f>
        <v>211020301</v>
      </c>
      <c r="Y407" s="9" t="s">
        <v>512</v>
      </c>
      <c r="Z407" s="9">
        <v>3</v>
      </c>
      <c r="AB407" s="11">
        <f ca="1">IFERROR(OFFSET(MANOR_LEVEL!$B$1,MATCH(AC407-1,MANOR_LEVEL!$A:$A,0)-1,0),0)</f>
        <v>300000</v>
      </c>
      <c r="AC407" s="55">
        <v>9</v>
      </c>
      <c r="AE407" s="11">
        <f t="shared" ca="1" si="108"/>
        <v>270</v>
      </c>
      <c r="AF407" s="10">
        <f ca="1">AK407+AM407+(IFERROR(OFFSET(ITEM_RES!$R$1,MATCH(AQ407,ITEM_RES!$A:$A,0)-1,0),0)*AS407+IFERROR(OFFSET(ITEM_RES!$R$1,MATCH(AV407,ITEM_RES!$A:$A,0)-1,0),0)*AX407+IFERROR(OFFSET(ITEM_RES!$R$1,MATCH(BA407,ITEM_RES!$A:$A,0)-1,0),0)*BC407+IFERROR(OFFSET(ITEM_RES!$R$1,MATCH(BF407,ITEM_RES!$A:$A,0)-1,0),0)*BH407+IFERROR(OFFSET(ITEM_RES!$R$1,MATCH(BK407,ITEM_RES!$A:$A,0)-1,0),0)*BM407)/1000</f>
        <v>270</v>
      </c>
      <c r="AG407" s="176">
        <f t="shared" ref="AG407:AG424" ca="1" si="119">AE406+AE407</f>
        <v>450</v>
      </c>
      <c r="AI407" s="11">
        <f t="shared" si="110"/>
        <v>3</v>
      </c>
      <c r="AJ407" s="10">
        <v>3</v>
      </c>
      <c r="AK407" s="11">
        <f t="shared" si="116"/>
        <v>0</v>
      </c>
      <c r="AL407" s="10">
        <v>0</v>
      </c>
      <c r="AM407" s="11">
        <f t="shared" si="118"/>
        <v>0</v>
      </c>
      <c r="AN407" s="10">
        <v>0</v>
      </c>
      <c r="AO407" s="55">
        <f t="shared" si="111"/>
        <v>2</v>
      </c>
      <c r="AQ407" s="11">
        <f ca="1">IFERROR(OFFSET(ITEM_RES!$A$1,MATCH(AR407,ITEM_RES!$J:$J,0)-1,0),0)</f>
        <v>211020801</v>
      </c>
      <c r="AR407" s="10" t="s">
        <v>1438</v>
      </c>
      <c r="AS407" s="11">
        <v>15</v>
      </c>
      <c r="AV407" s="11">
        <f ca="1">IFERROR(OFFSET(ITEM_RES!$A$1,MATCH(AW407,ITEM_RES!$J:$J,0)-1,0),0)</f>
        <v>211020401</v>
      </c>
      <c r="AW407" s="10" t="s">
        <v>426</v>
      </c>
      <c r="AX407" s="11">
        <v>60</v>
      </c>
      <c r="BA407" s="11">
        <f ca="1">IFERROR(OFFSET(ITEM_RES!$A$1,MATCH(BB407,ITEM_RES!$J:$J,0)-1,0),0)</f>
        <v>0</v>
      </c>
      <c r="BF407" s="11">
        <f ca="1">IFERROR(OFFSET(ITEM_RES!$A$1,MATCH(BG407,ITEM_RES!$J:$J,0)-1,0),0)</f>
        <v>0</v>
      </c>
      <c r="BK407" s="11">
        <f ca="1">IFERROR(OFFSET(ITEM_RES!$A$1,MATCH(BL407,ITEM_RES!$J:$J,0)-1,0),0)</f>
        <v>0</v>
      </c>
    </row>
    <row r="408" spans="1:66" x14ac:dyDescent="0.3">
      <c r="A408" s="14">
        <f t="shared" si="113"/>
        <v>112070004</v>
      </c>
      <c r="B408" s="13">
        <v>11</v>
      </c>
      <c r="C408" s="12">
        <f t="shared" si="114"/>
        <v>2</v>
      </c>
      <c r="D408" s="13">
        <v>7</v>
      </c>
      <c r="E408" s="13">
        <v>0</v>
      </c>
      <c r="F408" s="12">
        <f t="shared" si="115"/>
        <v>4</v>
      </c>
      <c r="H408" s="9">
        <v>2</v>
      </c>
      <c r="I408" s="9">
        <v>4</v>
      </c>
      <c r="K408" s="9" t="s">
        <v>361</v>
      </c>
      <c r="M408" s="9">
        <v>1</v>
      </c>
      <c r="N408" s="9">
        <v>15</v>
      </c>
      <c r="O408" s="9" t="s">
        <v>1122</v>
      </c>
      <c r="P408" s="55" t="s">
        <v>1381</v>
      </c>
      <c r="Q408" s="9" t="s">
        <v>680</v>
      </c>
      <c r="S408" s="81" t="s">
        <v>531</v>
      </c>
      <c r="T408" s="9">
        <f ca="1">IFERROR(OFFSET(ITEM_RES!$A$5,MATCH(BUILDING!S408,ITEM_RES!$J$5:$J$229,0)-1,0),0)</f>
        <v>211020201</v>
      </c>
      <c r="U408" s="11">
        <v>1</v>
      </c>
      <c r="V408" s="81" t="s">
        <v>533</v>
      </c>
      <c r="W408" s="11">
        <f ca="1">IFERROR(OFFSET(ITEM_RES!$A$5,MATCH(BUILDING!V408,ITEM_RES!$J$5:$J$229,0)-1,0),0)</f>
        <v>211020301</v>
      </c>
      <c r="Y408" s="9" t="s">
        <v>512</v>
      </c>
      <c r="Z408" s="9">
        <v>4</v>
      </c>
      <c r="AB408" s="11">
        <f ca="1">IFERROR(OFFSET(MANOR_LEVEL!$B$1,MATCH(AC408-1,MANOR_LEVEL!$A:$A,0)-1,0),0)</f>
        <v>300000</v>
      </c>
      <c r="AC408" s="55">
        <v>9</v>
      </c>
      <c r="AE408" s="11">
        <f t="shared" ca="1" si="108"/>
        <v>840</v>
      </c>
      <c r="AF408" s="10">
        <f ca="1">AK408+AM408+(IFERROR(OFFSET(ITEM_RES!$R$1,MATCH(AQ408,ITEM_RES!$A:$A,0)-1,0),0)*AS408+IFERROR(OFFSET(ITEM_RES!$R$1,MATCH(AV408,ITEM_RES!$A:$A,0)-1,0),0)*AX408+IFERROR(OFFSET(ITEM_RES!$R$1,MATCH(BA408,ITEM_RES!$A:$A,0)-1,0),0)*BC408+IFERROR(OFFSET(ITEM_RES!$R$1,MATCH(BF408,ITEM_RES!$A:$A,0)-1,0),0)*BH408+IFERROR(OFFSET(ITEM_RES!$R$1,MATCH(BK408,ITEM_RES!$A:$A,0)-1,0),0)*BM408)/1000</f>
        <v>840</v>
      </c>
      <c r="AG408" s="176">
        <f t="shared" ca="1" si="119"/>
        <v>1110</v>
      </c>
      <c r="AI408" s="11">
        <f t="shared" si="110"/>
        <v>5</v>
      </c>
      <c r="AJ408" s="10">
        <v>5</v>
      </c>
      <c r="AK408" s="11">
        <f t="shared" si="116"/>
        <v>0</v>
      </c>
      <c r="AL408" s="10">
        <v>0</v>
      </c>
      <c r="AM408" s="11">
        <f t="shared" si="118"/>
        <v>0</v>
      </c>
      <c r="AN408" s="10">
        <v>0</v>
      </c>
      <c r="AO408" s="55">
        <f t="shared" si="111"/>
        <v>2</v>
      </c>
      <c r="AQ408" s="11">
        <f ca="1">IFERROR(OFFSET(ITEM_RES!$A$1,MATCH(AR408,ITEM_RES!$J:$J,0)-1,0),0)</f>
        <v>211020801</v>
      </c>
      <c r="AR408" s="10" t="s">
        <v>1438</v>
      </c>
      <c r="AS408" s="11">
        <v>20</v>
      </c>
      <c r="AV408" s="11">
        <f ca="1">IFERROR(OFFSET(ITEM_RES!$A$1,MATCH(AW408,ITEM_RES!$J:$J,0)-1,0),0)</f>
        <v>211020401</v>
      </c>
      <c r="AW408" s="10" t="s">
        <v>426</v>
      </c>
      <c r="AX408" s="11">
        <v>240</v>
      </c>
      <c r="BA408" s="11">
        <f ca="1">IFERROR(OFFSET(ITEM_RES!$A$1,MATCH(BB408,ITEM_RES!$J:$J,0)-1,0),0)</f>
        <v>0</v>
      </c>
      <c r="BF408" s="11">
        <f ca="1">IFERROR(OFFSET(ITEM_RES!$A$1,MATCH(BG408,ITEM_RES!$J:$J,0)-1,0),0)</f>
        <v>0</v>
      </c>
      <c r="BK408" s="11">
        <f ca="1">IFERROR(OFFSET(ITEM_RES!$A$1,MATCH(BL408,ITEM_RES!$J:$J,0)-1,0),0)</f>
        <v>0</v>
      </c>
    </row>
    <row r="409" spans="1:66" x14ac:dyDescent="0.3">
      <c r="A409" s="14">
        <f t="shared" si="113"/>
        <v>112070005</v>
      </c>
      <c r="B409" s="13">
        <v>11</v>
      </c>
      <c r="C409" s="12">
        <f t="shared" si="114"/>
        <v>2</v>
      </c>
      <c r="D409" s="13">
        <v>7</v>
      </c>
      <c r="E409" s="13">
        <v>0</v>
      </c>
      <c r="F409" s="12">
        <f t="shared" si="115"/>
        <v>5</v>
      </c>
      <c r="H409" s="9">
        <v>2</v>
      </c>
      <c r="I409" s="9">
        <v>5</v>
      </c>
      <c r="K409" s="9" t="s">
        <v>361</v>
      </c>
      <c r="M409" s="9">
        <v>1</v>
      </c>
      <c r="N409" s="9">
        <v>15</v>
      </c>
      <c r="O409" s="9" t="s">
        <v>1123</v>
      </c>
      <c r="P409" s="55" t="s">
        <v>1382</v>
      </c>
      <c r="Q409" s="9" t="s">
        <v>680</v>
      </c>
      <c r="S409" s="81" t="s">
        <v>531</v>
      </c>
      <c r="T409" s="9">
        <f ca="1">IFERROR(OFFSET(ITEM_RES!$A$5,MATCH(BUILDING!S409,ITEM_RES!$J$5:$J$229,0)-1,0),0)</f>
        <v>211020201</v>
      </c>
      <c r="U409" s="11">
        <v>1</v>
      </c>
      <c r="V409" s="81" t="s">
        <v>533</v>
      </c>
      <c r="W409" s="11">
        <f ca="1">IFERROR(OFFSET(ITEM_RES!$A$5,MATCH(BUILDING!V409,ITEM_RES!$J$5:$J$229,0)-1,0),0)</f>
        <v>211020301</v>
      </c>
      <c r="Y409" s="9" t="s">
        <v>512</v>
      </c>
      <c r="Z409" s="9">
        <v>5</v>
      </c>
      <c r="AB409" s="11">
        <f ca="1">IFERROR(OFFSET(MANOR_LEVEL!$B$1,MATCH(AC409-1,MANOR_LEVEL!$A:$A,0)-1,0),0)</f>
        <v>600000</v>
      </c>
      <c r="AC409" s="55">
        <v>10</v>
      </c>
      <c r="AE409" s="11">
        <f t="shared" ca="1" si="108"/>
        <v>3420</v>
      </c>
      <c r="AF409" s="10">
        <f ca="1">AK409+AM409+(IFERROR(OFFSET(ITEM_RES!$R$1,MATCH(AQ409,ITEM_RES!$A:$A,0)-1,0),0)*AS409+IFERROR(OFFSET(ITEM_RES!$R$1,MATCH(AV409,ITEM_RES!$A:$A,0)-1,0),0)*AX409+IFERROR(OFFSET(ITEM_RES!$R$1,MATCH(BA409,ITEM_RES!$A:$A,0)-1,0),0)*BC409+IFERROR(OFFSET(ITEM_RES!$R$1,MATCH(BF409,ITEM_RES!$A:$A,0)-1,0),0)*BH409+IFERROR(OFFSET(ITEM_RES!$R$1,MATCH(BK409,ITEM_RES!$A:$A,0)-1,0),0)*BM409)/1000</f>
        <v>3420</v>
      </c>
      <c r="AG409" s="176">
        <f t="shared" ca="1" si="119"/>
        <v>4260</v>
      </c>
      <c r="AI409" s="11">
        <f t="shared" ref="AI409:AI472" si="120">ROUND(AJ409,0)</f>
        <v>8</v>
      </c>
      <c r="AJ409" s="10">
        <v>8</v>
      </c>
      <c r="AK409" s="11">
        <f t="shared" si="116"/>
        <v>0</v>
      </c>
      <c r="AL409" s="10">
        <v>0</v>
      </c>
      <c r="AM409" s="11">
        <f t="shared" si="118"/>
        <v>0</v>
      </c>
      <c r="AN409" s="10">
        <v>0</v>
      </c>
      <c r="AO409" s="55">
        <f t="shared" si="111"/>
        <v>2</v>
      </c>
      <c r="AQ409" s="11">
        <f ca="1">IFERROR(OFFSET(ITEM_RES!$A$1,MATCH(AR409,ITEM_RES!$J:$J,0)-1,0),0)</f>
        <v>211020801</v>
      </c>
      <c r="AR409" s="10" t="s">
        <v>1438</v>
      </c>
      <c r="AS409" s="11">
        <v>30</v>
      </c>
      <c r="AV409" s="11">
        <f ca="1">IFERROR(OFFSET(ITEM_RES!$A$1,MATCH(AW409,ITEM_RES!$J:$J,0)-1,0),0)</f>
        <v>211020401</v>
      </c>
      <c r="AW409" s="10" t="s">
        <v>426</v>
      </c>
      <c r="AX409" s="11">
        <v>1080</v>
      </c>
      <c r="BA409" s="11">
        <f ca="1">IFERROR(OFFSET(ITEM_RES!$A$1,MATCH(BB409,ITEM_RES!$J:$J,0)-1,0),0)</f>
        <v>0</v>
      </c>
      <c r="BF409" s="11">
        <f ca="1">IFERROR(OFFSET(ITEM_RES!$A$1,MATCH(BG409,ITEM_RES!$J:$J,0)-1,0),0)</f>
        <v>0</v>
      </c>
      <c r="BK409" s="11">
        <f ca="1">IFERROR(OFFSET(ITEM_RES!$A$1,MATCH(BL409,ITEM_RES!$J:$J,0)-1,0),0)</f>
        <v>0</v>
      </c>
    </row>
    <row r="410" spans="1:66" x14ac:dyDescent="0.3">
      <c r="A410" s="14">
        <f t="shared" si="113"/>
        <v>112070006</v>
      </c>
      <c r="B410" s="13">
        <v>11</v>
      </c>
      <c r="C410" s="12">
        <f t="shared" si="114"/>
        <v>2</v>
      </c>
      <c r="D410" s="13">
        <v>7</v>
      </c>
      <c r="E410" s="13">
        <v>0</v>
      </c>
      <c r="F410" s="12">
        <f t="shared" si="115"/>
        <v>6</v>
      </c>
      <c r="H410" s="9">
        <v>2</v>
      </c>
      <c r="I410" s="9">
        <v>6</v>
      </c>
      <c r="K410" s="9" t="s">
        <v>361</v>
      </c>
      <c r="M410" s="9">
        <v>1</v>
      </c>
      <c r="N410" s="9">
        <v>15</v>
      </c>
      <c r="O410" s="9" t="s">
        <v>1124</v>
      </c>
      <c r="P410" s="55" t="s">
        <v>1382</v>
      </c>
      <c r="Q410" s="9" t="s">
        <v>680</v>
      </c>
      <c r="S410" s="81" t="s">
        <v>531</v>
      </c>
      <c r="T410" s="9">
        <f ca="1">IFERROR(OFFSET(ITEM_RES!$A$5,MATCH(BUILDING!S410,ITEM_RES!$J$5:$J$229,0)-1,0),0)</f>
        <v>211020201</v>
      </c>
      <c r="U410" s="11">
        <v>1</v>
      </c>
      <c r="V410" s="81" t="s">
        <v>533</v>
      </c>
      <c r="W410" s="11">
        <f ca="1">IFERROR(OFFSET(ITEM_RES!$A$5,MATCH(BUILDING!V410,ITEM_RES!$J$5:$J$229,0)-1,0),0)</f>
        <v>211020301</v>
      </c>
      <c r="Y410" s="9" t="s">
        <v>512</v>
      </c>
      <c r="Z410" s="9">
        <v>6</v>
      </c>
      <c r="AB410" s="11">
        <f ca="1">IFERROR(OFFSET(MANOR_LEVEL!$B$1,MATCH(AC410-1,MANOR_LEVEL!$A:$A,0)-1,0),0)</f>
        <v>600000</v>
      </c>
      <c r="AC410" s="55">
        <v>10</v>
      </c>
      <c r="AE410" s="11">
        <f t="shared" ref="AE410:AE473" ca="1" si="121">ROUND(AF410,0)</f>
        <v>11070</v>
      </c>
      <c r="AF410" s="10">
        <f ca="1">AK410+AM410+(IFERROR(OFFSET(ITEM_RES!$R$1,MATCH(AQ410,ITEM_RES!$A:$A,0)-1,0),0)*AS410+IFERROR(OFFSET(ITEM_RES!$R$1,MATCH(AV410,ITEM_RES!$A:$A,0)-1,0),0)*AX410+IFERROR(OFFSET(ITEM_RES!$R$1,MATCH(BA410,ITEM_RES!$A:$A,0)-1,0),0)*BC410+IFERROR(OFFSET(ITEM_RES!$R$1,MATCH(BF410,ITEM_RES!$A:$A,0)-1,0),0)*BH410+IFERROR(OFFSET(ITEM_RES!$R$1,MATCH(BK410,ITEM_RES!$A:$A,0)-1,0),0)*BM410)/1000</f>
        <v>11070</v>
      </c>
      <c r="AG410" s="176">
        <f t="shared" ca="1" si="119"/>
        <v>14490</v>
      </c>
      <c r="AI410" s="11">
        <f t="shared" si="120"/>
        <v>10</v>
      </c>
      <c r="AJ410" s="10">
        <v>10</v>
      </c>
      <c r="AK410" s="11">
        <f t="shared" si="116"/>
        <v>0</v>
      </c>
      <c r="AL410" s="10">
        <v>0</v>
      </c>
      <c r="AM410" s="11">
        <f t="shared" si="118"/>
        <v>0</v>
      </c>
      <c r="AN410" s="10">
        <v>0</v>
      </c>
      <c r="AO410" s="55">
        <f t="shared" ref="AO410:AO473" si="122">(AS410&gt;0)*1+(AX410&gt;0)*1+(BC410&gt;0)*1+(BH410&gt;0)*1+(BM410&gt;0)*1</f>
        <v>2</v>
      </c>
      <c r="AQ410" s="11">
        <f ca="1">IFERROR(OFFSET(ITEM_RES!$A$1,MATCH(AR410,ITEM_RES!$J:$J,0)-1,0),0)</f>
        <v>211020801</v>
      </c>
      <c r="AR410" s="10" t="s">
        <v>1438</v>
      </c>
      <c r="AS410" s="11">
        <v>45</v>
      </c>
      <c r="AV410" s="11">
        <f ca="1">IFERROR(OFFSET(ITEM_RES!$A$1,MATCH(AW410,ITEM_RES!$J:$J,0)-1,0),0)</f>
        <v>211020401</v>
      </c>
      <c r="AW410" s="10" t="s">
        <v>426</v>
      </c>
      <c r="AX410" s="11">
        <v>3600</v>
      </c>
      <c r="BA410" s="11">
        <f ca="1">IFERROR(OFFSET(ITEM_RES!$A$1,MATCH(BB410,ITEM_RES!$J:$J,0)-1,0),0)</f>
        <v>0</v>
      </c>
      <c r="BF410" s="11">
        <f ca="1">IFERROR(OFFSET(ITEM_RES!$A$1,MATCH(BG410,ITEM_RES!$J:$J,0)-1,0),0)</f>
        <v>0</v>
      </c>
      <c r="BK410" s="11">
        <f ca="1">IFERROR(OFFSET(ITEM_RES!$A$1,MATCH(BL410,ITEM_RES!$J:$J,0)-1,0),0)</f>
        <v>0</v>
      </c>
    </row>
    <row r="411" spans="1:66" x14ac:dyDescent="0.3">
      <c r="A411" s="14">
        <f t="shared" si="113"/>
        <v>112070007</v>
      </c>
      <c r="B411" s="13">
        <v>11</v>
      </c>
      <c r="C411" s="12">
        <f t="shared" si="114"/>
        <v>2</v>
      </c>
      <c r="D411" s="13">
        <v>7</v>
      </c>
      <c r="E411" s="13">
        <v>0</v>
      </c>
      <c r="F411" s="12">
        <f t="shared" si="115"/>
        <v>7</v>
      </c>
      <c r="H411" s="9">
        <v>2</v>
      </c>
      <c r="I411" s="9">
        <v>7</v>
      </c>
      <c r="K411" s="9" t="s">
        <v>361</v>
      </c>
      <c r="M411" s="9">
        <v>1</v>
      </c>
      <c r="N411" s="9">
        <v>15</v>
      </c>
      <c r="O411" s="9" t="s">
        <v>1125</v>
      </c>
      <c r="P411" s="55" t="s">
        <v>1383</v>
      </c>
      <c r="Q411" s="9" t="s">
        <v>680</v>
      </c>
      <c r="S411" s="81" t="s">
        <v>531</v>
      </c>
      <c r="T411" s="9">
        <f ca="1">IFERROR(OFFSET(ITEM_RES!$A$5,MATCH(BUILDING!S411,ITEM_RES!$J$5:$J$229,0)-1,0),0)</f>
        <v>211020201</v>
      </c>
      <c r="U411" s="11">
        <v>1</v>
      </c>
      <c r="V411" s="81" t="s">
        <v>533</v>
      </c>
      <c r="W411" s="11">
        <f ca="1">IFERROR(OFFSET(ITEM_RES!$A$5,MATCH(BUILDING!V411,ITEM_RES!$J$5:$J$229,0)-1,0),0)</f>
        <v>211020301</v>
      </c>
      <c r="Y411" s="9" t="s">
        <v>512</v>
      </c>
      <c r="Z411" s="9">
        <v>7</v>
      </c>
      <c r="AB411" s="11">
        <f ca="1">IFERROR(OFFSET(MANOR_LEVEL!$B$1,MATCH(AC411-1,MANOR_LEVEL!$A:$A,0)-1,0),0)</f>
        <v>1200000</v>
      </c>
      <c r="AC411" s="55">
        <v>11</v>
      </c>
      <c r="AE411" s="11">
        <f t="shared" ca="1" si="121"/>
        <v>25080</v>
      </c>
      <c r="AF411" s="10">
        <f ca="1">AK411+AM411+(IFERROR(OFFSET(ITEM_RES!$R$1,MATCH(AQ411,ITEM_RES!$A:$A,0)-1,0),0)*AS411+IFERROR(OFFSET(ITEM_RES!$R$1,MATCH(AV411,ITEM_RES!$A:$A,0)-1,0),0)*AX411+IFERROR(OFFSET(ITEM_RES!$R$1,MATCH(BA411,ITEM_RES!$A:$A,0)-1,0),0)*BC411+IFERROR(OFFSET(ITEM_RES!$R$1,MATCH(BF411,ITEM_RES!$A:$A,0)-1,0),0)*BH411+IFERROR(OFFSET(ITEM_RES!$R$1,MATCH(BK411,ITEM_RES!$A:$A,0)-1,0),0)*BM411)/1000</f>
        <v>25080</v>
      </c>
      <c r="AG411" s="176">
        <f t="shared" ca="1" si="119"/>
        <v>36150</v>
      </c>
      <c r="AI411" s="11">
        <f t="shared" si="120"/>
        <v>15</v>
      </c>
      <c r="AJ411" s="10">
        <v>15</v>
      </c>
      <c r="AK411" s="11">
        <f t="shared" si="116"/>
        <v>0</v>
      </c>
      <c r="AL411" s="10">
        <v>0</v>
      </c>
      <c r="AM411" s="11">
        <f t="shared" si="118"/>
        <v>0</v>
      </c>
      <c r="AN411" s="10">
        <v>0</v>
      </c>
      <c r="AO411" s="55">
        <f t="shared" si="122"/>
        <v>2</v>
      </c>
      <c r="AQ411" s="11">
        <f ca="1">IFERROR(OFFSET(ITEM_RES!$A$1,MATCH(AR411,ITEM_RES!$J:$J,0)-1,0),0)</f>
        <v>211020801</v>
      </c>
      <c r="AR411" s="10" t="s">
        <v>1438</v>
      </c>
      <c r="AS411" s="11">
        <v>180</v>
      </c>
      <c r="AV411" s="11">
        <f ca="1">IFERROR(OFFSET(ITEM_RES!$A$1,MATCH(AW411,ITEM_RES!$J:$J,0)-1,0),0)</f>
        <v>211020401</v>
      </c>
      <c r="AW411" s="10" t="s">
        <v>426</v>
      </c>
      <c r="AX411" s="11">
        <v>8000</v>
      </c>
      <c r="BA411" s="11">
        <f ca="1">IFERROR(OFFSET(ITEM_RES!$A$1,MATCH(BB411,ITEM_RES!$J:$J,0)-1,0),0)</f>
        <v>0</v>
      </c>
      <c r="BF411" s="11">
        <f ca="1">IFERROR(OFFSET(ITEM_RES!$A$1,MATCH(BG411,ITEM_RES!$J:$J,0)-1,0),0)</f>
        <v>0</v>
      </c>
      <c r="BK411" s="11">
        <f ca="1">IFERROR(OFFSET(ITEM_RES!$A$1,MATCH(BL411,ITEM_RES!$J:$J,0)-1,0),0)</f>
        <v>0</v>
      </c>
    </row>
    <row r="412" spans="1:66" x14ac:dyDescent="0.3">
      <c r="A412" s="14">
        <f t="shared" si="113"/>
        <v>112070008</v>
      </c>
      <c r="B412" s="13">
        <v>11</v>
      </c>
      <c r="C412" s="12">
        <f t="shared" si="114"/>
        <v>2</v>
      </c>
      <c r="D412" s="13">
        <v>7</v>
      </c>
      <c r="E412" s="13">
        <v>0</v>
      </c>
      <c r="F412" s="12">
        <f t="shared" si="115"/>
        <v>8</v>
      </c>
      <c r="H412" s="9">
        <v>2</v>
      </c>
      <c r="I412" s="9">
        <v>8</v>
      </c>
      <c r="K412" s="9" t="s">
        <v>361</v>
      </c>
      <c r="M412" s="9">
        <v>1</v>
      </c>
      <c r="N412" s="9">
        <v>15</v>
      </c>
      <c r="O412" s="9" t="s">
        <v>1125</v>
      </c>
      <c r="P412" s="55" t="s">
        <v>1383</v>
      </c>
      <c r="Q412" s="9" t="s">
        <v>680</v>
      </c>
      <c r="S412" s="81" t="s">
        <v>531</v>
      </c>
      <c r="T412" s="9">
        <f ca="1">IFERROR(OFFSET(ITEM_RES!$A$5,MATCH(BUILDING!S412,ITEM_RES!$J$5:$J$229,0)-1,0),0)</f>
        <v>211020201</v>
      </c>
      <c r="U412" s="11">
        <v>1</v>
      </c>
      <c r="V412" s="81" t="s">
        <v>533</v>
      </c>
      <c r="W412" s="11">
        <f ca="1">IFERROR(OFFSET(ITEM_RES!$A$5,MATCH(BUILDING!V412,ITEM_RES!$J$5:$J$229,0)-1,0),0)</f>
        <v>211020301</v>
      </c>
      <c r="Y412" s="9" t="s">
        <v>512</v>
      </c>
      <c r="Z412" s="9">
        <v>8</v>
      </c>
      <c r="AB412" s="11">
        <f ca="1">IFERROR(OFFSET(MANOR_LEVEL!$B$1,MATCH(AC412-1,MANOR_LEVEL!$A:$A,0)-1,0),0)</f>
        <v>3500000</v>
      </c>
      <c r="AC412" s="55">
        <v>12</v>
      </c>
      <c r="AE412" s="11">
        <f t="shared" ca="1" si="121"/>
        <v>55260</v>
      </c>
      <c r="AF412" s="10">
        <f ca="1">AK412+AM412+(IFERROR(OFFSET(ITEM_RES!$R$1,MATCH(AQ412,ITEM_RES!$A:$A,0)-1,0),0)*AS412+IFERROR(OFFSET(ITEM_RES!$R$1,MATCH(AV412,ITEM_RES!$A:$A,0)-1,0),0)*AX412+IFERROR(OFFSET(ITEM_RES!$R$1,MATCH(BA412,ITEM_RES!$A:$A,0)-1,0),0)*BC412+IFERROR(OFFSET(ITEM_RES!$R$1,MATCH(BF412,ITEM_RES!$A:$A,0)-1,0),0)*BH412+IFERROR(OFFSET(ITEM_RES!$R$1,MATCH(BK412,ITEM_RES!$A:$A,0)-1,0),0)*BM412)/1000</f>
        <v>55260</v>
      </c>
      <c r="AG412" s="176">
        <f t="shared" ca="1" si="119"/>
        <v>80340</v>
      </c>
      <c r="AI412" s="11">
        <f t="shared" si="120"/>
        <v>30</v>
      </c>
      <c r="AJ412" s="10">
        <v>30</v>
      </c>
      <c r="AK412" s="11">
        <f t="shared" si="116"/>
        <v>0</v>
      </c>
      <c r="AL412" s="10">
        <v>0</v>
      </c>
      <c r="AM412" s="11">
        <f t="shared" si="118"/>
        <v>0</v>
      </c>
      <c r="AN412" s="10">
        <v>0</v>
      </c>
      <c r="AO412" s="55">
        <f t="shared" si="122"/>
        <v>2</v>
      </c>
      <c r="AQ412" s="11">
        <f ca="1">IFERROR(OFFSET(ITEM_RES!$A$1,MATCH(AR412,ITEM_RES!$J:$J,0)-1,0),0)</f>
        <v>211020801</v>
      </c>
      <c r="AR412" s="10" t="s">
        <v>1438</v>
      </c>
      <c r="AS412" s="11">
        <v>810</v>
      </c>
      <c r="AV412" s="11">
        <f ca="1">IFERROR(OFFSET(ITEM_RES!$A$1,MATCH(AW412,ITEM_RES!$J:$J,0)-1,0),0)</f>
        <v>211020401</v>
      </c>
      <c r="AW412" s="10" t="s">
        <v>426</v>
      </c>
      <c r="AX412" s="11">
        <v>16800</v>
      </c>
      <c r="BA412" s="11">
        <f ca="1">IFERROR(OFFSET(ITEM_RES!$A$1,MATCH(BB412,ITEM_RES!$J:$J,0)-1,0),0)</f>
        <v>0</v>
      </c>
      <c r="BF412" s="11">
        <f ca="1">IFERROR(OFFSET(ITEM_RES!$A$1,MATCH(BG412,ITEM_RES!$J:$J,0)-1,0),0)</f>
        <v>0</v>
      </c>
      <c r="BK412" s="11">
        <f ca="1">IFERROR(OFFSET(ITEM_RES!$A$1,MATCH(BL412,ITEM_RES!$J:$J,0)-1,0),0)</f>
        <v>0</v>
      </c>
    </row>
    <row r="413" spans="1:66" x14ac:dyDescent="0.3">
      <c r="A413" s="14">
        <f t="shared" si="113"/>
        <v>112070009</v>
      </c>
      <c r="B413" s="13">
        <v>11</v>
      </c>
      <c r="C413" s="12">
        <f t="shared" si="114"/>
        <v>2</v>
      </c>
      <c r="D413" s="13">
        <v>7</v>
      </c>
      <c r="E413" s="13">
        <v>0</v>
      </c>
      <c r="F413" s="12">
        <f t="shared" si="115"/>
        <v>9</v>
      </c>
      <c r="H413" s="9">
        <v>2</v>
      </c>
      <c r="I413" s="9">
        <v>9</v>
      </c>
      <c r="K413" s="9" t="s">
        <v>361</v>
      </c>
      <c r="M413" s="9">
        <v>1</v>
      </c>
      <c r="N413" s="9">
        <v>15</v>
      </c>
      <c r="O413" s="9" t="s">
        <v>1431</v>
      </c>
      <c r="P413" s="55" t="s">
        <v>1433</v>
      </c>
      <c r="Q413" s="9" t="s">
        <v>680</v>
      </c>
      <c r="S413" s="81" t="s">
        <v>531</v>
      </c>
      <c r="T413" s="9">
        <f ca="1">IFERROR(OFFSET(ITEM_RES!$A$5,MATCH(BUILDING!S413,ITEM_RES!$J$5:$J$229,0)-1,0),0)</f>
        <v>211020201</v>
      </c>
      <c r="U413" s="11">
        <v>1</v>
      </c>
      <c r="V413" s="81" t="s">
        <v>533</v>
      </c>
      <c r="W413" s="11">
        <f ca="1">IFERROR(OFFSET(ITEM_RES!$A$5,MATCH(BUILDING!V413,ITEM_RES!$J$5:$J$229,0)-1,0),0)</f>
        <v>211020301</v>
      </c>
      <c r="Y413" s="9" t="s">
        <v>512</v>
      </c>
      <c r="Z413" s="9">
        <v>9</v>
      </c>
      <c r="AB413" s="11">
        <f ca="1">IFERROR(OFFSET(MANOR_LEVEL!$B$1,MATCH(AC413-1,MANOR_LEVEL!$A:$A,0)-1,0),0)</f>
        <v>6000000</v>
      </c>
      <c r="AC413" s="55">
        <v>13</v>
      </c>
      <c r="AE413" s="11">
        <f t="shared" ca="1" si="121"/>
        <v>109800</v>
      </c>
      <c r="AF413" s="10">
        <f ca="1">AK413+AM413+(IFERROR(OFFSET(ITEM_RES!$R$1,MATCH(AQ413,ITEM_RES!$A:$A,0)-1,0),0)*AS413+IFERROR(OFFSET(ITEM_RES!$R$1,MATCH(AV413,ITEM_RES!$A:$A,0)-1,0),0)*AX413+IFERROR(OFFSET(ITEM_RES!$R$1,MATCH(BA413,ITEM_RES!$A:$A,0)-1,0),0)*BC413+IFERROR(OFFSET(ITEM_RES!$R$1,MATCH(BF413,ITEM_RES!$A:$A,0)-1,0),0)*BH413+IFERROR(OFFSET(ITEM_RES!$R$1,MATCH(BK413,ITEM_RES!$A:$A,0)-1,0),0)*BM413)/1000</f>
        <v>109800</v>
      </c>
      <c r="AG413" s="176">
        <f t="shared" ca="1" si="119"/>
        <v>165060</v>
      </c>
      <c r="AI413" s="11">
        <f t="shared" si="120"/>
        <v>60</v>
      </c>
      <c r="AJ413" s="10">
        <v>60</v>
      </c>
      <c r="AK413" s="11">
        <f t="shared" si="116"/>
        <v>0</v>
      </c>
      <c r="AL413" s="10">
        <v>0</v>
      </c>
      <c r="AM413" s="11">
        <f t="shared" si="118"/>
        <v>0</v>
      </c>
      <c r="AN413" s="10">
        <v>0</v>
      </c>
      <c r="AO413" s="55">
        <f t="shared" si="122"/>
        <v>2</v>
      </c>
      <c r="AQ413" s="11">
        <f ca="1">IFERROR(OFFSET(ITEM_RES!$A$1,MATCH(AR413,ITEM_RES!$J:$J,0)-1,0),0)</f>
        <v>211020801</v>
      </c>
      <c r="AR413" s="10" t="s">
        <v>1438</v>
      </c>
      <c r="AS413" s="11">
        <v>2700</v>
      </c>
      <c r="AV413" s="11">
        <f ca="1">IFERROR(OFFSET(ITEM_RES!$A$1,MATCH(AW413,ITEM_RES!$J:$J,0)-1,0),0)</f>
        <v>211020401</v>
      </c>
      <c r="AW413" s="10" t="s">
        <v>426</v>
      </c>
      <c r="AX413" s="11">
        <v>31200</v>
      </c>
      <c r="BA413" s="11">
        <f ca="1">IFERROR(OFFSET(ITEM_RES!$A$1,MATCH(BB413,ITEM_RES!$J:$J,0)-1,0),0)</f>
        <v>0</v>
      </c>
      <c r="BF413" s="11">
        <f ca="1">IFERROR(OFFSET(ITEM_RES!$A$1,MATCH(BG413,ITEM_RES!$J:$J,0)-1,0),0)</f>
        <v>0</v>
      </c>
      <c r="BK413" s="11">
        <f ca="1">IFERROR(OFFSET(ITEM_RES!$A$1,MATCH(BL413,ITEM_RES!$J:$J,0)-1,0),0)</f>
        <v>0</v>
      </c>
    </row>
    <row r="414" spans="1:66" x14ac:dyDescent="0.3">
      <c r="A414" s="14">
        <f t="shared" si="113"/>
        <v>112070010</v>
      </c>
      <c r="B414" s="13">
        <v>11</v>
      </c>
      <c r="C414" s="12">
        <f t="shared" si="114"/>
        <v>2</v>
      </c>
      <c r="D414" s="13">
        <v>7</v>
      </c>
      <c r="E414" s="13">
        <v>0</v>
      </c>
      <c r="F414" s="12">
        <f t="shared" si="115"/>
        <v>10</v>
      </c>
      <c r="H414" s="9">
        <v>2</v>
      </c>
      <c r="I414" s="9">
        <v>10</v>
      </c>
      <c r="K414" s="9" t="s">
        <v>361</v>
      </c>
      <c r="M414" s="9">
        <v>1</v>
      </c>
      <c r="N414" s="9">
        <v>15</v>
      </c>
      <c r="O414" s="9" t="s">
        <v>1431</v>
      </c>
      <c r="P414" s="55" t="s">
        <v>1433</v>
      </c>
      <c r="Q414" s="9" t="s">
        <v>680</v>
      </c>
      <c r="S414" s="81" t="s">
        <v>531</v>
      </c>
      <c r="T414" s="9">
        <f ca="1">IFERROR(OFFSET(ITEM_RES!$A$5,MATCH(BUILDING!S414,ITEM_RES!$J$5:$J$229,0)-1,0),0)</f>
        <v>211020201</v>
      </c>
      <c r="U414" s="11">
        <v>1</v>
      </c>
      <c r="V414" s="81" t="s">
        <v>533</v>
      </c>
      <c r="W414" s="11">
        <f ca="1">IFERROR(OFFSET(ITEM_RES!$A$5,MATCH(BUILDING!V414,ITEM_RES!$J$5:$J$229,0)-1,0),0)</f>
        <v>211020301</v>
      </c>
      <c r="Y414" s="9" t="s">
        <v>512</v>
      </c>
      <c r="Z414" s="9">
        <v>10</v>
      </c>
      <c r="AB414" s="11">
        <f ca="1">IFERROR(OFFSET(MANOR_LEVEL!$B$1,MATCH(AC414-1,MANOR_LEVEL!$A:$A,0)-1,0),0)</f>
        <v>6000000</v>
      </c>
      <c r="AC414" s="55">
        <v>13</v>
      </c>
      <c r="AE414" s="11">
        <f t="shared" ca="1" si="121"/>
        <v>192000</v>
      </c>
      <c r="AF414" s="10">
        <f ca="1">AK414+AM414+(IFERROR(OFFSET(ITEM_RES!$R$1,MATCH(AQ414,ITEM_RES!$A:$A,0)-1,0),0)*AS414+IFERROR(OFFSET(ITEM_RES!$R$1,MATCH(AV414,ITEM_RES!$A:$A,0)-1,0),0)*AX414+IFERROR(OFFSET(ITEM_RES!$R$1,MATCH(BA414,ITEM_RES!$A:$A,0)-1,0),0)*BC414+IFERROR(OFFSET(ITEM_RES!$R$1,MATCH(BF414,ITEM_RES!$A:$A,0)-1,0),0)*BH414+IFERROR(OFFSET(ITEM_RES!$R$1,MATCH(BK414,ITEM_RES!$A:$A,0)-1,0),0)*BM414)/1000</f>
        <v>192000</v>
      </c>
      <c r="AG414" s="176">
        <f t="shared" ca="1" si="119"/>
        <v>301800</v>
      </c>
      <c r="AI414" s="11">
        <f t="shared" si="120"/>
        <v>180</v>
      </c>
      <c r="AJ414" s="10">
        <v>180</v>
      </c>
      <c r="AK414" s="11">
        <f t="shared" si="116"/>
        <v>0</v>
      </c>
      <c r="AL414" s="10">
        <v>0</v>
      </c>
      <c r="AM414" s="11">
        <f t="shared" si="118"/>
        <v>0</v>
      </c>
      <c r="AN414" s="10">
        <v>0</v>
      </c>
      <c r="AO414" s="55">
        <f t="shared" si="122"/>
        <v>2</v>
      </c>
      <c r="AQ414" s="11">
        <f ca="1">IFERROR(OFFSET(ITEM_RES!$A$1,MATCH(AR414,ITEM_RES!$J:$J,0)-1,0),0)</f>
        <v>211020801</v>
      </c>
      <c r="AR414" s="10" t="s">
        <v>1438</v>
      </c>
      <c r="AS414" s="11">
        <v>6000</v>
      </c>
      <c r="AV414" s="11">
        <f ca="1">IFERROR(OFFSET(ITEM_RES!$A$1,MATCH(AW414,ITEM_RES!$J:$J,0)-1,0),0)</f>
        <v>211020401</v>
      </c>
      <c r="AW414" s="10" t="s">
        <v>426</v>
      </c>
      <c r="AX414" s="11">
        <v>52000</v>
      </c>
      <c r="BA414" s="11">
        <f ca="1">IFERROR(OFFSET(ITEM_RES!$A$1,MATCH(BB414,ITEM_RES!$J:$J,0)-1,0),0)</f>
        <v>0</v>
      </c>
      <c r="BF414" s="11">
        <f ca="1">IFERROR(OFFSET(ITEM_RES!$A$1,MATCH(BG414,ITEM_RES!$J:$J,0)-1,0),0)</f>
        <v>0</v>
      </c>
      <c r="BK414" s="11">
        <f ca="1">IFERROR(OFFSET(ITEM_RES!$A$1,MATCH(BL414,ITEM_RES!$J:$J,0)-1,0),0)</f>
        <v>0</v>
      </c>
    </row>
    <row r="415" spans="1:66" x14ac:dyDescent="0.3">
      <c r="A415" s="14">
        <f t="shared" si="113"/>
        <v>112070011</v>
      </c>
      <c r="B415" s="13">
        <v>11</v>
      </c>
      <c r="C415" s="12">
        <f t="shared" si="114"/>
        <v>2</v>
      </c>
      <c r="D415" s="13">
        <v>7</v>
      </c>
      <c r="E415" s="13">
        <v>0</v>
      </c>
      <c r="F415" s="12">
        <f t="shared" si="115"/>
        <v>11</v>
      </c>
      <c r="H415" s="9">
        <v>2</v>
      </c>
      <c r="I415" s="9">
        <v>11</v>
      </c>
      <c r="K415" s="9" t="s">
        <v>361</v>
      </c>
      <c r="M415" s="9">
        <v>1</v>
      </c>
      <c r="N415" s="9">
        <v>15</v>
      </c>
      <c r="O415" s="9" t="s">
        <v>1430</v>
      </c>
      <c r="P415" s="55" t="s">
        <v>1432</v>
      </c>
      <c r="Q415" s="9" t="s">
        <v>680</v>
      </c>
      <c r="S415" s="81" t="s">
        <v>531</v>
      </c>
      <c r="T415" s="9">
        <f ca="1">IFERROR(OFFSET(ITEM_RES!$A$5,MATCH(BUILDING!S415,ITEM_RES!$J$5:$J$229,0)-1,0),0)</f>
        <v>211020201</v>
      </c>
      <c r="U415" s="11">
        <v>1</v>
      </c>
      <c r="V415" s="81" t="s">
        <v>533</v>
      </c>
      <c r="W415" s="11">
        <f ca="1">IFERROR(OFFSET(ITEM_RES!$A$5,MATCH(BUILDING!V415,ITEM_RES!$J$5:$J$229,0)-1,0),0)</f>
        <v>211020301</v>
      </c>
      <c r="Y415" s="9" t="s">
        <v>512</v>
      </c>
      <c r="Z415" s="9">
        <v>11</v>
      </c>
      <c r="AB415" s="11">
        <f ca="1">IFERROR(OFFSET(MANOR_LEVEL!$B$1,MATCH(AC415-1,MANOR_LEVEL!$A:$A,0)-1,0),0)</f>
        <v>10000000</v>
      </c>
      <c r="AC415" s="55">
        <v>14</v>
      </c>
      <c r="AE415" s="11">
        <f t="shared" ca="1" si="121"/>
        <v>342600</v>
      </c>
      <c r="AF415" s="10">
        <f ca="1">AK415+AM415+(IFERROR(OFFSET(ITEM_RES!$R$1,MATCH(AQ415,ITEM_RES!$A:$A,0)-1,0),0)*AS415+IFERROR(OFFSET(ITEM_RES!$R$1,MATCH(AV415,ITEM_RES!$A:$A,0)-1,0),0)*AX415+IFERROR(OFFSET(ITEM_RES!$R$1,MATCH(BA415,ITEM_RES!$A:$A,0)-1,0),0)*BC415+IFERROR(OFFSET(ITEM_RES!$R$1,MATCH(BF415,ITEM_RES!$A:$A,0)-1,0),0)*BH415+IFERROR(OFFSET(ITEM_RES!$R$1,MATCH(BK415,ITEM_RES!$A:$A,0)-1,0),0)*BM415)/1000</f>
        <v>342600</v>
      </c>
      <c r="AG415" s="176">
        <f t="shared" ca="1" si="119"/>
        <v>534600</v>
      </c>
      <c r="AI415" s="11">
        <f t="shared" si="120"/>
        <v>360</v>
      </c>
      <c r="AJ415" s="10">
        <v>360</v>
      </c>
      <c r="AK415" s="11">
        <f t="shared" si="116"/>
        <v>0</v>
      </c>
      <c r="AL415" s="10">
        <v>0</v>
      </c>
      <c r="AM415" s="11">
        <f t="shared" si="118"/>
        <v>0</v>
      </c>
      <c r="AN415" s="10">
        <v>0</v>
      </c>
      <c r="AO415" s="55">
        <f t="shared" si="122"/>
        <v>3</v>
      </c>
      <c r="AQ415" s="11">
        <f ca="1">IFERROR(OFFSET(ITEM_RES!$A$1,MATCH(AR415,ITEM_RES!$J:$J,0)-1,0),0)</f>
        <v>211020801</v>
      </c>
      <c r="AR415" s="10" t="s">
        <v>1438</v>
      </c>
      <c r="AS415" s="11">
        <v>12600</v>
      </c>
      <c r="AV415" s="11">
        <f ca="1">IFERROR(OFFSET(ITEM_RES!$A$1,MATCH(AW415,ITEM_RES!$J:$J,0)-1,0),0)</f>
        <v>211020401</v>
      </c>
      <c r="AW415" s="10" t="s">
        <v>426</v>
      </c>
      <c r="AX415" s="11">
        <v>88000</v>
      </c>
      <c r="BA415" s="11">
        <f ca="1">IFERROR(OFFSET(ITEM_RES!$A$1,MATCH(BB415,ITEM_RES!$J:$J,0)-1,0),0)</f>
        <v>0</v>
      </c>
      <c r="BF415" s="11">
        <f ca="1">IFERROR(OFFSET(ITEM_RES!$A$1,MATCH(BG415,ITEM_RES!$J:$J,0)-1,0),0)</f>
        <v>213011201</v>
      </c>
      <c r="BG415" s="10" t="s">
        <v>455</v>
      </c>
      <c r="BH415" s="11">
        <v>1</v>
      </c>
      <c r="BK415" s="11">
        <f ca="1">IFERROR(OFFSET(ITEM_RES!$A$1,MATCH(BL415,ITEM_RES!$J:$J,0)-1,0),0)</f>
        <v>0</v>
      </c>
    </row>
    <row r="416" spans="1:66" x14ac:dyDescent="0.3">
      <c r="A416" s="14">
        <f t="shared" si="113"/>
        <v>112070012</v>
      </c>
      <c r="B416" s="13">
        <v>11</v>
      </c>
      <c r="C416" s="12">
        <f t="shared" si="114"/>
        <v>2</v>
      </c>
      <c r="D416" s="13">
        <v>7</v>
      </c>
      <c r="E416" s="13">
        <v>0</v>
      </c>
      <c r="F416" s="12">
        <f t="shared" si="115"/>
        <v>12</v>
      </c>
      <c r="H416" s="9">
        <v>2</v>
      </c>
      <c r="I416" s="9">
        <v>12</v>
      </c>
      <c r="K416" s="9" t="s">
        <v>361</v>
      </c>
      <c r="M416" s="9">
        <v>1</v>
      </c>
      <c r="N416" s="9">
        <v>15</v>
      </c>
      <c r="O416" s="9" t="s">
        <v>1430</v>
      </c>
      <c r="P416" s="55" t="s">
        <v>1432</v>
      </c>
      <c r="Q416" s="9" t="s">
        <v>680</v>
      </c>
      <c r="S416" s="81" t="s">
        <v>531</v>
      </c>
      <c r="T416" s="9">
        <f ca="1">IFERROR(OFFSET(ITEM_RES!$A$5,MATCH(BUILDING!S416,ITEM_RES!$J$5:$J$229,0)-1,0),0)</f>
        <v>211020201</v>
      </c>
      <c r="U416" s="11">
        <v>1</v>
      </c>
      <c r="V416" s="81" t="s">
        <v>533</v>
      </c>
      <c r="W416" s="11">
        <f ca="1">IFERROR(OFFSET(ITEM_RES!$A$5,MATCH(BUILDING!V416,ITEM_RES!$J$5:$J$229,0)-1,0),0)</f>
        <v>211020301</v>
      </c>
      <c r="Y416" s="9" t="s">
        <v>512</v>
      </c>
      <c r="Z416" s="9">
        <v>12</v>
      </c>
      <c r="AB416" s="11">
        <f ca="1">IFERROR(OFFSET(MANOR_LEVEL!$B$1,MATCH(AC416-1,MANOR_LEVEL!$A:$A,0)-1,0),0)</f>
        <v>17000000</v>
      </c>
      <c r="AC416" s="55">
        <v>15</v>
      </c>
      <c r="AE416" s="11">
        <f t="shared" ca="1" si="121"/>
        <v>584400</v>
      </c>
      <c r="AF416" s="10">
        <f ca="1">AK416+AM416+(IFERROR(OFFSET(ITEM_RES!$R$1,MATCH(AQ416,ITEM_RES!$A:$A,0)-1,0),0)*AS416+IFERROR(OFFSET(ITEM_RES!$R$1,MATCH(AV416,ITEM_RES!$A:$A,0)-1,0),0)*AX416+IFERROR(OFFSET(ITEM_RES!$R$1,MATCH(BA416,ITEM_RES!$A:$A,0)-1,0),0)*BC416+IFERROR(OFFSET(ITEM_RES!$R$1,MATCH(BF416,ITEM_RES!$A:$A,0)-1,0),0)*BH416+IFERROR(OFFSET(ITEM_RES!$R$1,MATCH(BK416,ITEM_RES!$A:$A,0)-1,0),0)*BM416)/1000</f>
        <v>584400</v>
      </c>
      <c r="AG416" s="176">
        <f t="shared" ca="1" si="119"/>
        <v>927000</v>
      </c>
      <c r="AI416" s="11">
        <f t="shared" si="120"/>
        <v>540</v>
      </c>
      <c r="AJ416" s="10">
        <v>540</v>
      </c>
      <c r="AK416" s="11">
        <f t="shared" si="116"/>
        <v>0</v>
      </c>
      <c r="AL416" s="10">
        <v>0</v>
      </c>
      <c r="AM416" s="11">
        <f t="shared" si="118"/>
        <v>0</v>
      </c>
      <c r="AN416" s="10">
        <v>0</v>
      </c>
      <c r="AO416" s="55">
        <f t="shared" si="122"/>
        <v>2</v>
      </c>
      <c r="AQ416" s="11">
        <f ca="1">IFERROR(OFFSET(ITEM_RES!$A$1,MATCH(AR416,ITEM_RES!$J:$J,0)-1,0),0)</f>
        <v>211020801</v>
      </c>
      <c r="AR416" s="10" t="s">
        <v>1438</v>
      </c>
      <c r="AS416" s="11">
        <v>23400</v>
      </c>
      <c r="AV416" s="11">
        <f ca="1">IFERROR(OFFSET(ITEM_RES!$A$1,MATCH(AW416,ITEM_RES!$J:$J,0)-1,0),0)</f>
        <v>211020401</v>
      </c>
      <c r="AW416" s="10" t="s">
        <v>426</v>
      </c>
      <c r="AX416" s="11">
        <v>148000</v>
      </c>
      <c r="BA416" s="11">
        <f ca="1">IFERROR(OFFSET(ITEM_RES!$A$1,MATCH(BB416,ITEM_RES!$J:$J,0)-1,0),0)</f>
        <v>0</v>
      </c>
      <c r="BF416" s="11">
        <f ca="1">IFERROR(OFFSET(ITEM_RES!$A$1,MATCH(BG416,ITEM_RES!$J:$J,0)-1,0),0)</f>
        <v>0</v>
      </c>
      <c r="BK416" s="11">
        <f ca="1">IFERROR(OFFSET(ITEM_RES!$A$1,MATCH(BL416,ITEM_RES!$J:$J,0)-1,0),0)</f>
        <v>0</v>
      </c>
    </row>
    <row r="417" spans="1:66" x14ac:dyDescent="0.3">
      <c r="A417" s="14">
        <f t="shared" si="113"/>
        <v>112070013</v>
      </c>
      <c r="B417" s="13">
        <v>11</v>
      </c>
      <c r="C417" s="12">
        <f t="shared" si="114"/>
        <v>2</v>
      </c>
      <c r="D417" s="13">
        <v>7</v>
      </c>
      <c r="E417" s="13">
        <v>0</v>
      </c>
      <c r="F417" s="12">
        <f t="shared" si="115"/>
        <v>13</v>
      </c>
      <c r="H417" s="9">
        <v>2</v>
      </c>
      <c r="I417" s="9">
        <v>13</v>
      </c>
      <c r="K417" s="9" t="s">
        <v>361</v>
      </c>
      <c r="M417" s="9">
        <v>1</v>
      </c>
      <c r="N417" s="9">
        <v>15</v>
      </c>
      <c r="O417" s="9" t="s">
        <v>1430</v>
      </c>
      <c r="P417" s="55" t="s">
        <v>1432</v>
      </c>
      <c r="Q417" s="9" t="s">
        <v>680</v>
      </c>
      <c r="S417" s="81" t="s">
        <v>531</v>
      </c>
      <c r="T417" s="9">
        <f ca="1">IFERROR(OFFSET(ITEM_RES!$A$5,MATCH(BUILDING!S417,ITEM_RES!$J$5:$J$229,0)-1,0),0)</f>
        <v>211020201</v>
      </c>
      <c r="U417" s="11">
        <v>1</v>
      </c>
      <c r="V417" s="81" t="s">
        <v>533</v>
      </c>
      <c r="W417" s="11">
        <f ca="1">IFERROR(OFFSET(ITEM_RES!$A$5,MATCH(BUILDING!V417,ITEM_RES!$J$5:$J$229,0)-1,0),0)</f>
        <v>211020301</v>
      </c>
      <c r="Y417" s="9" t="s">
        <v>512</v>
      </c>
      <c r="Z417" s="9">
        <v>13</v>
      </c>
      <c r="AB417" s="11">
        <f ca="1">IFERROR(OFFSET(MANOR_LEVEL!$B$1,MATCH(AC417-1,MANOR_LEVEL!$A:$A,0)-1,0),0)</f>
        <v>37000000</v>
      </c>
      <c r="AC417" s="55">
        <v>16</v>
      </c>
      <c r="AE417" s="11">
        <f t="shared" ca="1" si="121"/>
        <v>978000</v>
      </c>
      <c r="AF417" s="10">
        <f ca="1">AK417+AM417+(IFERROR(OFFSET(ITEM_RES!$R$1,MATCH(AQ417,ITEM_RES!$A:$A,0)-1,0),0)*AS417+IFERROR(OFFSET(ITEM_RES!$R$1,MATCH(AV417,ITEM_RES!$A:$A,0)-1,0),0)*AX417+IFERROR(OFFSET(ITEM_RES!$R$1,MATCH(BA417,ITEM_RES!$A:$A,0)-1,0),0)*BC417+IFERROR(OFFSET(ITEM_RES!$R$1,MATCH(BF417,ITEM_RES!$A:$A,0)-1,0),0)*BH417+IFERROR(OFFSET(ITEM_RES!$R$1,MATCH(BK417,ITEM_RES!$A:$A,0)-1,0),0)*BM417)/1000</f>
        <v>978000</v>
      </c>
      <c r="AG417" s="176">
        <f t="shared" ca="1" si="119"/>
        <v>1562400</v>
      </c>
      <c r="AI417" s="11">
        <f t="shared" si="120"/>
        <v>720</v>
      </c>
      <c r="AJ417" s="10">
        <v>720</v>
      </c>
      <c r="AK417" s="11">
        <f t="shared" si="116"/>
        <v>0</v>
      </c>
      <c r="AL417" s="10">
        <v>0</v>
      </c>
      <c r="AM417" s="11">
        <f t="shared" si="118"/>
        <v>0</v>
      </c>
      <c r="AN417" s="10">
        <v>0</v>
      </c>
      <c r="AO417" s="55">
        <f t="shared" si="122"/>
        <v>2</v>
      </c>
      <c r="AQ417" s="11">
        <f ca="1">IFERROR(OFFSET(ITEM_RES!$A$1,MATCH(AR417,ITEM_RES!$J:$J,0)-1,0),0)</f>
        <v>211020801</v>
      </c>
      <c r="AR417" s="10" t="s">
        <v>1438</v>
      </c>
      <c r="AS417" s="11">
        <v>39000</v>
      </c>
      <c r="AV417" s="11">
        <f ca="1">IFERROR(OFFSET(ITEM_RES!$A$1,MATCH(AW417,ITEM_RES!$J:$J,0)-1,0),0)</f>
        <v>211020401</v>
      </c>
      <c r="AW417" s="10" t="s">
        <v>426</v>
      </c>
      <c r="AX417" s="11">
        <v>248000</v>
      </c>
      <c r="BA417" s="11">
        <f ca="1">IFERROR(OFFSET(ITEM_RES!$A$1,MATCH(BB417,ITEM_RES!$J:$J,0)-1,0),0)</f>
        <v>0</v>
      </c>
      <c r="BF417" s="11">
        <f ca="1">IFERROR(OFFSET(ITEM_RES!$A$1,MATCH(BG417,ITEM_RES!$J:$J,0)-1,0),0)</f>
        <v>0</v>
      </c>
      <c r="BK417" s="11">
        <f ca="1">IFERROR(OFFSET(ITEM_RES!$A$1,MATCH(BL417,ITEM_RES!$J:$J,0)-1,0),0)</f>
        <v>0</v>
      </c>
    </row>
    <row r="418" spans="1:66" x14ac:dyDescent="0.3">
      <c r="A418" s="14">
        <f t="shared" si="113"/>
        <v>112070014</v>
      </c>
      <c r="B418" s="13">
        <v>11</v>
      </c>
      <c r="C418" s="12">
        <f t="shared" si="114"/>
        <v>2</v>
      </c>
      <c r="D418" s="13">
        <v>7</v>
      </c>
      <c r="E418" s="13">
        <v>0</v>
      </c>
      <c r="F418" s="12">
        <f t="shared" si="115"/>
        <v>14</v>
      </c>
      <c r="H418" s="9">
        <v>2</v>
      </c>
      <c r="I418" s="9">
        <v>14</v>
      </c>
      <c r="K418" s="9" t="s">
        <v>361</v>
      </c>
      <c r="M418" s="9">
        <v>1</v>
      </c>
      <c r="N418" s="9">
        <v>15</v>
      </c>
      <c r="O418" s="9" t="s">
        <v>1430</v>
      </c>
      <c r="P418" s="55" t="s">
        <v>1432</v>
      </c>
      <c r="Q418" s="9" t="s">
        <v>680</v>
      </c>
      <c r="S418" s="81" t="s">
        <v>531</v>
      </c>
      <c r="T418" s="9">
        <f ca="1">IFERROR(OFFSET(ITEM_RES!$A$5,MATCH(BUILDING!S418,ITEM_RES!$J$5:$J$229,0)-1,0),0)</f>
        <v>211020201</v>
      </c>
      <c r="U418" s="11">
        <v>1</v>
      </c>
      <c r="V418" s="81" t="s">
        <v>533</v>
      </c>
      <c r="W418" s="11">
        <f ca="1">IFERROR(OFFSET(ITEM_RES!$A$5,MATCH(BUILDING!V418,ITEM_RES!$J$5:$J$229,0)-1,0),0)</f>
        <v>211020301</v>
      </c>
      <c r="Y418" s="9" t="s">
        <v>512</v>
      </c>
      <c r="Z418" s="9">
        <v>14</v>
      </c>
      <c r="AB418" s="11">
        <f ca="1">IFERROR(OFFSET(MANOR_LEVEL!$B$1,MATCH(AC418-1,MANOR_LEVEL!$A:$A,0)-1,0),0)</f>
        <v>85000000</v>
      </c>
      <c r="AC418" s="55">
        <v>17</v>
      </c>
      <c r="AE418" s="11">
        <f t="shared" ca="1" si="121"/>
        <v>1824000</v>
      </c>
      <c r="AF418" s="10">
        <f ca="1">AK418+AM418+(IFERROR(OFFSET(ITEM_RES!$R$1,MATCH(AQ418,ITEM_RES!$A:$A,0)-1,0),0)*AS418+IFERROR(OFFSET(ITEM_RES!$R$1,MATCH(AV418,ITEM_RES!$A:$A,0)-1,0),0)*AX418+IFERROR(OFFSET(ITEM_RES!$R$1,MATCH(BA418,ITEM_RES!$A:$A,0)-1,0),0)*BC418+IFERROR(OFFSET(ITEM_RES!$R$1,MATCH(BF418,ITEM_RES!$A:$A,0)-1,0),0)*BH418+IFERROR(OFFSET(ITEM_RES!$R$1,MATCH(BK418,ITEM_RES!$A:$A,0)-1,0),0)*BM418)/1000</f>
        <v>1824000</v>
      </c>
      <c r="AG418" s="176">
        <f t="shared" ca="1" si="119"/>
        <v>2802000</v>
      </c>
      <c r="AI418" s="11">
        <f t="shared" si="120"/>
        <v>900</v>
      </c>
      <c r="AJ418" s="10">
        <v>900</v>
      </c>
      <c r="AK418" s="11">
        <f t="shared" si="116"/>
        <v>0</v>
      </c>
      <c r="AL418" s="10">
        <v>0</v>
      </c>
      <c r="AM418" s="11">
        <f t="shared" si="118"/>
        <v>0</v>
      </c>
      <c r="AN418" s="10">
        <v>0</v>
      </c>
      <c r="AO418" s="55">
        <f t="shared" si="122"/>
        <v>2</v>
      </c>
      <c r="AQ418" s="11">
        <f ca="1">IFERROR(OFFSET(ITEM_RES!$A$1,MATCH(AR418,ITEM_RES!$J:$J,0)-1,0),0)</f>
        <v>211020901</v>
      </c>
      <c r="AR418" s="10" t="s">
        <v>1439</v>
      </c>
      <c r="AS418" s="11">
        <v>66000</v>
      </c>
      <c r="AV418" s="11">
        <f ca="1">IFERROR(OFFSET(ITEM_RES!$A$1,MATCH(AW418,ITEM_RES!$J:$J,0)-1,0),0)</f>
        <v>211020401</v>
      </c>
      <c r="AW418" s="10" t="s">
        <v>426</v>
      </c>
      <c r="AX418" s="11">
        <v>388000</v>
      </c>
      <c r="BA418" s="11">
        <f ca="1">IFERROR(OFFSET(ITEM_RES!$A$1,MATCH(BB418,ITEM_RES!$J:$J,0)-1,0),0)</f>
        <v>0</v>
      </c>
      <c r="BF418" s="11">
        <f ca="1">IFERROR(OFFSET(ITEM_RES!$A$1,MATCH(BG418,ITEM_RES!$J:$J,0)-1,0),0)</f>
        <v>0</v>
      </c>
      <c r="BK418" s="11">
        <f ca="1">IFERROR(OFFSET(ITEM_RES!$A$1,MATCH(BL418,ITEM_RES!$J:$J,0)-1,0),0)</f>
        <v>0</v>
      </c>
    </row>
    <row r="419" spans="1:66" x14ac:dyDescent="0.3">
      <c r="A419" s="14">
        <f t="shared" si="113"/>
        <v>112070015</v>
      </c>
      <c r="B419" s="13">
        <v>11</v>
      </c>
      <c r="C419" s="12">
        <f t="shared" si="114"/>
        <v>2</v>
      </c>
      <c r="D419" s="13">
        <v>7</v>
      </c>
      <c r="E419" s="13">
        <v>0</v>
      </c>
      <c r="F419" s="12">
        <f t="shared" si="115"/>
        <v>15</v>
      </c>
      <c r="H419" s="9">
        <v>2</v>
      </c>
      <c r="I419" s="9">
        <v>15</v>
      </c>
      <c r="K419" s="9" t="s">
        <v>361</v>
      </c>
      <c r="M419" s="9">
        <v>1</v>
      </c>
      <c r="N419" s="9">
        <v>15</v>
      </c>
      <c r="O419" s="9" t="s">
        <v>1430</v>
      </c>
      <c r="P419" s="55" t="s">
        <v>1432</v>
      </c>
      <c r="Q419" s="9" t="s">
        <v>680</v>
      </c>
      <c r="S419" s="81" t="s">
        <v>531</v>
      </c>
      <c r="T419" s="9">
        <f ca="1">IFERROR(OFFSET(ITEM_RES!$A$5,MATCH(BUILDING!S419,ITEM_RES!$J$5:$J$229,0)-1,0),0)</f>
        <v>211020201</v>
      </c>
      <c r="U419" s="11">
        <v>1</v>
      </c>
      <c r="V419" s="81" t="s">
        <v>533</v>
      </c>
      <c r="W419" s="11">
        <f ca="1">IFERROR(OFFSET(ITEM_RES!$A$5,MATCH(BUILDING!V419,ITEM_RES!$J$5:$J$229,0)-1,0),0)</f>
        <v>211020301</v>
      </c>
      <c r="Y419" s="9" t="s">
        <v>512</v>
      </c>
      <c r="Z419" s="9">
        <v>15</v>
      </c>
      <c r="AB419" s="11">
        <f ca="1">IFERROR(OFFSET(MANOR_LEVEL!$B$1,MATCH(AC419-1,MANOR_LEVEL!$A:$A,0)-1,0),0)</f>
        <v>345433600</v>
      </c>
      <c r="AC419" s="55">
        <v>18</v>
      </c>
      <c r="AE419" s="11">
        <f t="shared" ca="1" si="121"/>
        <v>5310000</v>
      </c>
      <c r="AF419" s="10">
        <f ca="1">AK419+AM419+(IFERROR(OFFSET(ITEM_RES!$R$1,MATCH(AQ419,ITEM_RES!$A:$A,0)-1,0),0)*AS419+IFERROR(OFFSET(ITEM_RES!$R$1,MATCH(AV419,ITEM_RES!$A:$A,0)-1,0),0)*AX419+IFERROR(OFFSET(ITEM_RES!$R$1,MATCH(BA419,ITEM_RES!$A:$A,0)-1,0),0)*BC419+IFERROR(OFFSET(ITEM_RES!$R$1,MATCH(BF419,ITEM_RES!$A:$A,0)-1,0),0)*BH419+IFERROR(OFFSET(ITEM_RES!$R$1,MATCH(BK419,ITEM_RES!$A:$A,0)-1,0),0)*BM419)/1000</f>
        <v>5310000</v>
      </c>
      <c r="AG419" s="176">
        <f t="shared" ca="1" si="119"/>
        <v>7134000</v>
      </c>
      <c r="AI419" s="11">
        <f t="shared" si="120"/>
        <v>1080</v>
      </c>
      <c r="AJ419" s="10">
        <v>1080</v>
      </c>
      <c r="AK419" s="11">
        <f t="shared" si="116"/>
        <v>0</v>
      </c>
      <c r="AL419" s="10">
        <v>0</v>
      </c>
      <c r="AM419" s="11">
        <f t="shared" si="118"/>
        <v>0</v>
      </c>
      <c r="AN419" s="10">
        <v>0</v>
      </c>
      <c r="AO419" s="55">
        <f t="shared" si="122"/>
        <v>2</v>
      </c>
      <c r="AQ419" s="11">
        <f ca="1">IFERROR(OFFSET(ITEM_RES!$A$1,MATCH(AR419,ITEM_RES!$J:$J,0)-1,0),0)</f>
        <v>211020901</v>
      </c>
      <c r="AR419" s="10" t="s">
        <v>1439</v>
      </c>
      <c r="AS419" s="11">
        <v>111000</v>
      </c>
      <c r="AV419" s="11">
        <f ca="1">IFERROR(OFFSET(ITEM_RES!$A$1,MATCH(AW419,ITEM_RES!$J:$J,0)-1,0),0)</f>
        <v>211020501</v>
      </c>
      <c r="AW419" s="10" t="s">
        <v>417</v>
      </c>
      <c r="AX419" s="11">
        <v>840000</v>
      </c>
      <c r="BA419" s="11">
        <f ca="1">IFERROR(OFFSET(ITEM_RES!$A$1,MATCH(BB419,ITEM_RES!$J:$J,0)-1,0),0)</f>
        <v>0</v>
      </c>
      <c r="BF419" s="11">
        <f ca="1">IFERROR(OFFSET(ITEM_RES!$A$1,MATCH(BG419,ITEM_RES!$J:$J,0)-1,0),0)</f>
        <v>0</v>
      </c>
      <c r="BK419" s="11">
        <f ca="1">IFERROR(OFFSET(ITEM_RES!$A$1,MATCH(BL419,ITEM_RES!$J:$J,0)-1,0),0)</f>
        <v>0</v>
      </c>
    </row>
    <row r="420" spans="1:66" x14ac:dyDescent="0.3">
      <c r="A420" s="14">
        <f t="shared" si="113"/>
        <v>112070016</v>
      </c>
      <c r="B420" s="13">
        <v>11</v>
      </c>
      <c r="C420" s="12">
        <f t="shared" si="114"/>
        <v>2</v>
      </c>
      <c r="D420" s="13">
        <v>7</v>
      </c>
      <c r="E420" s="13">
        <v>0</v>
      </c>
      <c r="F420" s="12">
        <f t="shared" si="115"/>
        <v>16</v>
      </c>
      <c r="H420" s="9">
        <v>2</v>
      </c>
      <c r="I420" s="9">
        <v>16</v>
      </c>
      <c r="K420" s="9" t="s">
        <v>361</v>
      </c>
      <c r="M420" s="9">
        <v>0</v>
      </c>
      <c r="N420" s="9">
        <v>15</v>
      </c>
      <c r="O420" s="9" t="s">
        <v>1430</v>
      </c>
      <c r="P420" s="55" t="s">
        <v>1432</v>
      </c>
      <c r="Q420" s="9" t="s">
        <v>680</v>
      </c>
      <c r="S420" s="81" t="s">
        <v>531</v>
      </c>
      <c r="T420" s="9">
        <f ca="1">IFERROR(OFFSET(ITEM_RES!$A$5,MATCH(BUILDING!S420,ITEM_RES!$J$5:$J$229,0)-1,0),0)</f>
        <v>211020201</v>
      </c>
      <c r="U420" s="11">
        <v>1</v>
      </c>
      <c r="V420" s="81" t="s">
        <v>533</v>
      </c>
      <c r="W420" s="11">
        <f ca="1">IFERROR(OFFSET(ITEM_RES!$A$5,MATCH(BUILDING!V420,ITEM_RES!$J$5:$J$229,0)-1,0),0)</f>
        <v>211020301</v>
      </c>
      <c r="Y420" s="9" t="s">
        <v>512</v>
      </c>
      <c r="Z420" s="9">
        <v>16</v>
      </c>
      <c r="AB420" s="11">
        <f ca="1">IFERROR(OFFSET(MANOR_LEVEL!$B$1,MATCH(AC420-1,MANOR_LEVEL!$A:$A,0)-1,0),0)</f>
        <v>345433600</v>
      </c>
      <c r="AC420" s="55">
        <v>18</v>
      </c>
      <c r="AE420" s="11">
        <f t="shared" ca="1" si="121"/>
        <v>10460000</v>
      </c>
      <c r="AF420" s="10">
        <f ca="1">AK420+AM420+(IFERROR(OFFSET(ITEM_RES!$R$1,MATCH(AQ420,ITEM_RES!$A:$A,0)-1,0),0)*AS420+IFERROR(OFFSET(ITEM_RES!$R$1,MATCH(AV420,ITEM_RES!$A:$A,0)-1,0),0)*AX420+IFERROR(OFFSET(ITEM_RES!$R$1,MATCH(BA420,ITEM_RES!$A:$A,0)-1,0),0)*BC420+IFERROR(OFFSET(ITEM_RES!$R$1,MATCH(BF420,ITEM_RES!$A:$A,0)-1,0),0)*BH420+IFERROR(OFFSET(ITEM_RES!$R$1,MATCH(BK420,ITEM_RES!$A:$A,0)-1,0),0)*BM420)/1000</f>
        <v>10460000</v>
      </c>
      <c r="AG420" s="176">
        <f t="shared" ca="1" si="119"/>
        <v>15770000</v>
      </c>
      <c r="AI420" s="11">
        <f t="shared" si="120"/>
        <v>1260</v>
      </c>
      <c r="AJ420" s="10">
        <v>1260</v>
      </c>
      <c r="AK420" s="11">
        <f t="shared" si="116"/>
        <v>0</v>
      </c>
      <c r="AL420" s="10">
        <v>0</v>
      </c>
      <c r="AM420" s="11">
        <f t="shared" si="118"/>
        <v>0</v>
      </c>
      <c r="AN420" s="10">
        <v>0</v>
      </c>
      <c r="AO420" s="55">
        <f t="shared" si="122"/>
        <v>2</v>
      </c>
      <c r="AQ420" s="11">
        <f ca="1">IFERROR(OFFSET(ITEM_RES!$A$1,MATCH(AR420,ITEM_RES!$J:$J,0)-1,0),0)</f>
        <v>211020901</v>
      </c>
      <c r="AR420" s="10" t="s">
        <v>1439</v>
      </c>
      <c r="AS420" s="11">
        <v>186000</v>
      </c>
      <c r="AV420" s="11">
        <f ca="1">IFERROR(OFFSET(ITEM_RES!$A$1,MATCH(AW420,ITEM_RES!$J:$J,0)-1,0),0)</f>
        <v>211020501</v>
      </c>
      <c r="AW420" s="10" t="s">
        <v>417</v>
      </c>
      <c r="AX420" s="11">
        <v>1720000</v>
      </c>
      <c r="BA420" s="11">
        <f ca="1">IFERROR(OFFSET(ITEM_RES!$A$1,MATCH(BB420,ITEM_RES!$J:$J,0)-1,0),0)</f>
        <v>0</v>
      </c>
      <c r="BF420" s="11">
        <f ca="1">IFERROR(OFFSET(ITEM_RES!$A$1,MATCH(BG420,ITEM_RES!$J:$J,0)-1,0),0)</f>
        <v>0</v>
      </c>
      <c r="BK420" s="11">
        <f ca="1">IFERROR(OFFSET(ITEM_RES!$A$1,MATCH(BL420,ITEM_RES!$J:$J,0)-1,0),0)</f>
        <v>0</v>
      </c>
    </row>
    <row r="421" spans="1:66" x14ac:dyDescent="0.3">
      <c r="A421" s="14">
        <f t="shared" si="113"/>
        <v>112070017</v>
      </c>
      <c r="B421" s="13">
        <v>11</v>
      </c>
      <c r="C421" s="12">
        <f t="shared" si="114"/>
        <v>2</v>
      </c>
      <c r="D421" s="13">
        <v>7</v>
      </c>
      <c r="E421" s="13">
        <v>0</v>
      </c>
      <c r="F421" s="12">
        <f t="shared" si="115"/>
        <v>17</v>
      </c>
      <c r="H421" s="9">
        <v>2</v>
      </c>
      <c r="I421" s="9">
        <v>17</v>
      </c>
      <c r="K421" s="9" t="s">
        <v>361</v>
      </c>
      <c r="M421" s="9">
        <v>0</v>
      </c>
      <c r="N421" s="9">
        <v>15</v>
      </c>
      <c r="O421" s="9" t="s">
        <v>1430</v>
      </c>
      <c r="P421" s="55" t="s">
        <v>1432</v>
      </c>
      <c r="Q421" s="9" t="s">
        <v>680</v>
      </c>
      <c r="S421" s="81" t="s">
        <v>531</v>
      </c>
      <c r="T421" s="9">
        <f ca="1">IFERROR(OFFSET(ITEM_RES!$A$5,MATCH(BUILDING!S421,ITEM_RES!$J$5:$J$229,0)-1,0),0)</f>
        <v>211020201</v>
      </c>
      <c r="U421" s="11">
        <v>1</v>
      </c>
      <c r="V421" s="81" t="s">
        <v>533</v>
      </c>
      <c r="W421" s="11">
        <f ca="1">IFERROR(OFFSET(ITEM_RES!$A$5,MATCH(BUILDING!V421,ITEM_RES!$J$5:$J$229,0)-1,0),0)</f>
        <v>211020301</v>
      </c>
      <c r="Y421" s="9" t="s">
        <v>512</v>
      </c>
      <c r="Z421" s="9">
        <v>17</v>
      </c>
      <c r="AB421" s="11">
        <f ca="1">IFERROR(OFFSET(MANOR_LEVEL!$B$1,MATCH(AC421-1,MANOR_LEVEL!$A:$A,0)-1,0),0)</f>
        <v>345433600</v>
      </c>
      <c r="AC421" s="55">
        <v>18</v>
      </c>
      <c r="AE421" s="11">
        <f t="shared" ca="1" si="121"/>
        <v>18910000</v>
      </c>
      <c r="AF421" s="10">
        <f ca="1">AK421+AM421+(IFERROR(OFFSET(ITEM_RES!$R$1,MATCH(AQ421,ITEM_RES!$A:$A,0)-1,0),0)*AS421+IFERROR(OFFSET(ITEM_RES!$R$1,MATCH(AV421,ITEM_RES!$A:$A,0)-1,0),0)*AX421+IFERROR(OFFSET(ITEM_RES!$R$1,MATCH(BA421,ITEM_RES!$A:$A,0)-1,0),0)*BC421+IFERROR(OFFSET(ITEM_RES!$R$1,MATCH(BF421,ITEM_RES!$A:$A,0)-1,0),0)*BH421+IFERROR(OFFSET(ITEM_RES!$R$1,MATCH(BK421,ITEM_RES!$A:$A,0)-1,0),0)*BM421)/1000</f>
        <v>18910000</v>
      </c>
      <c r="AG421" s="176">
        <f t="shared" ca="1" si="119"/>
        <v>29370000</v>
      </c>
      <c r="AI421" s="11">
        <f t="shared" si="120"/>
        <v>1440</v>
      </c>
      <c r="AJ421" s="10">
        <v>1440</v>
      </c>
      <c r="AK421" s="11">
        <f t="shared" si="116"/>
        <v>0</v>
      </c>
      <c r="AL421" s="10">
        <v>0</v>
      </c>
      <c r="AM421" s="11">
        <f t="shared" si="118"/>
        <v>0</v>
      </c>
      <c r="AN421" s="10">
        <v>0</v>
      </c>
      <c r="AO421" s="55">
        <f t="shared" si="122"/>
        <v>2</v>
      </c>
      <c r="AQ421" s="11">
        <f ca="1">IFERROR(OFFSET(ITEM_RES!$A$1,MATCH(AR421,ITEM_RES!$J:$J,0)-1,0),0)</f>
        <v>211020901</v>
      </c>
      <c r="AR421" s="10" t="s">
        <v>1439</v>
      </c>
      <c r="AS421" s="11">
        <v>291000</v>
      </c>
      <c r="AV421" s="11">
        <f ca="1">IFERROR(OFFSET(ITEM_RES!$A$1,MATCH(AW421,ITEM_RES!$J:$J,0)-1,0),0)</f>
        <v>211020501</v>
      </c>
      <c r="AW421" s="10" t="s">
        <v>417</v>
      </c>
      <c r="AX421" s="11">
        <v>3200000</v>
      </c>
      <c r="BA421" s="11">
        <f ca="1">IFERROR(OFFSET(ITEM_RES!$A$1,MATCH(BB421,ITEM_RES!$J:$J,0)-1,0),0)</f>
        <v>0</v>
      </c>
      <c r="BF421" s="11">
        <f ca="1">IFERROR(OFFSET(ITEM_RES!$A$1,MATCH(BG421,ITEM_RES!$J:$J,0)-1,0),0)</f>
        <v>0</v>
      </c>
      <c r="BK421" s="11">
        <f ca="1">IFERROR(OFFSET(ITEM_RES!$A$1,MATCH(BL421,ITEM_RES!$J:$J,0)-1,0),0)</f>
        <v>0</v>
      </c>
    </row>
    <row r="422" spans="1:66" x14ac:dyDescent="0.3">
      <c r="A422" s="14">
        <f t="shared" si="113"/>
        <v>112070018</v>
      </c>
      <c r="B422" s="13">
        <v>11</v>
      </c>
      <c r="C422" s="12">
        <f t="shared" si="114"/>
        <v>2</v>
      </c>
      <c r="D422" s="13">
        <v>7</v>
      </c>
      <c r="E422" s="13">
        <v>0</v>
      </c>
      <c r="F422" s="12">
        <f t="shared" si="115"/>
        <v>18</v>
      </c>
      <c r="H422" s="9">
        <v>2</v>
      </c>
      <c r="I422" s="9">
        <v>18</v>
      </c>
      <c r="K422" s="9" t="s">
        <v>361</v>
      </c>
      <c r="M422" s="9">
        <v>0</v>
      </c>
      <c r="N422" s="9">
        <v>15</v>
      </c>
      <c r="O422" s="9" t="s">
        <v>1430</v>
      </c>
      <c r="P422" s="55" t="s">
        <v>1432</v>
      </c>
      <c r="Q422" s="9" t="s">
        <v>680</v>
      </c>
      <c r="S422" s="81" t="s">
        <v>531</v>
      </c>
      <c r="T422" s="9">
        <f ca="1">IFERROR(OFFSET(ITEM_RES!$A$5,MATCH(BUILDING!S422,ITEM_RES!$J$5:$J$229,0)-1,0),0)</f>
        <v>211020201</v>
      </c>
      <c r="U422" s="11">
        <v>1</v>
      </c>
      <c r="V422" s="81" t="s">
        <v>533</v>
      </c>
      <c r="W422" s="11">
        <f ca="1">IFERROR(OFFSET(ITEM_RES!$A$5,MATCH(BUILDING!V422,ITEM_RES!$J$5:$J$229,0)-1,0),0)</f>
        <v>211020301</v>
      </c>
      <c r="Y422" s="9" t="s">
        <v>512</v>
      </c>
      <c r="Z422" s="9">
        <v>18</v>
      </c>
      <c r="AB422" s="11">
        <f ca="1">IFERROR(OFFSET(MANOR_LEVEL!$B$1,MATCH(AC422-1,MANOR_LEVEL!$A:$A,0)-1,0),0)</f>
        <v>345433600</v>
      </c>
      <c r="AC422" s="55">
        <v>18</v>
      </c>
      <c r="AE422" s="11">
        <f t="shared" ca="1" si="121"/>
        <v>32300000</v>
      </c>
      <c r="AF422" s="10">
        <f ca="1">AK422+AM422+(IFERROR(OFFSET(ITEM_RES!$R$1,MATCH(AQ422,ITEM_RES!$A:$A,0)-1,0),0)*AS422+IFERROR(OFFSET(ITEM_RES!$R$1,MATCH(AV422,ITEM_RES!$A:$A,0)-1,0),0)*AX422+IFERROR(OFFSET(ITEM_RES!$R$1,MATCH(BA422,ITEM_RES!$A:$A,0)-1,0),0)*BC422+IFERROR(OFFSET(ITEM_RES!$R$1,MATCH(BF422,ITEM_RES!$A:$A,0)-1,0),0)*BH422+IFERROR(OFFSET(ITEM_RES!$R$1,MATCH(BK422,ITEM_RES!$A:$A,0)-1,0),0)*BM422)/1000</f>
        <v>32300000</v>
      </c>
      <c r="AG422" s="176">
        <f t="shared" ca="1" si="119"/>
        <v>51210000</v>
      </c>
      <c r="AI422" s="11">
        <f t="shared" si="120"/>
        <v>1620</v>
      </c>
      <c r="AJ422" s="10">
        <v>1620</v>
      </c>
      <c r="AK422" s="11">
        <f t="shared" si="116"/>
        <v>0</v>
      </c>
      <c r="AL422" s="10">
        <v>0</v>
      </c>
      <c r="AM422" s="11">
        <f t="shared" si="118"/>
        <v>0</v>
      </c>
      <c r="AN422" s="10">
        <v>0</v>
      </c>
      <c r="AO422" s="55">
        <f t="shared" si="122"/>
        <v>2</v>
      </c>
      <c r="AQ422" s="11">
        <f ca="1">IFERROR(OFFSET(ITEM_RES!$A$1,MATCH(AR422,ITEM_RES!$J:$J,0)-1,0),0)</f>
        <v>211020901</v>
      </c>
      <c r="AR422" s="10" t="s">
        <v>1439</v>
      </c>
      <c r="AS422" s="11">
        <v>630000</v>
      </c>
      <c r="AV422" s="11">
        <f ca="1">IFERROR(OFFSET(ITEM_RES!$A$1,MATCH(AW422,ITEM_RES!$J:$J,0)-1,0),0)</f>
        <v>211020501</v>
      </c>
      <c r="AW422" s="10" t="s">
        <v>417</v>
      </c>
      <c r="AX422" s="11">
        <v>5200000</v>
      </c>
      <c r="BA422" s="11">
        <f ca="1">IFERROR(OFFSET(ITEM_RES!$A$1,MATCH(BB422,ITEM_RES!$J:$J,0)-1,0),0)</f>
        <v>0</v>
      </c>
      <c r="BF422" s="11">
        <f ca="1">IFERROR(OFFSET(ITEM_RES!$A$1,MATCH(BG422,ITEM_RES!$J:$J,0)-1,0),0)</f>
        <v>0</v>
      </c>
      <c r="BK422" s="11">
        <f ca="1">IFERROR(OFFSET(ITEM_RES!$A$1,MATCH(BL422,ITEM_RES!$J:$J,0)-1,0),0)</f>
        <v>0</v>
      </c>
    </row>
    <row r="423" spans="1:66" x14ac:dyDescent="0.3">
      <c r="A423" s="14">
        <f t="shared" si="113"/>
        <v>112070019</v>
      </c>
      <c r="B423" s="13">
        <v>11</v>
      </c>
      <c r="C423" s="12">
        <f t="shared" si="114"/>
        <v>2</v>
      </c>
      <c r="D423" s="13">
        <v>7</v>
      </c>
      <c r="E423" s="13">
        <v>0</v>
      </c>
      <c r="F423" s="12">
        <f t="shared" si="115"/>
        <v>19</v>
      </c>
      <c r="H423" s="9">
        <v>2</v>
      </c>
      <c r="I423" s="9">
        <v>19</v>
      </c>
      <c r="K423" s="9" t="s">
        <v>361</v>
      </c>
      <c r="M423" s="9">
        <v>0</v>
      </c>
      <c r="N423" s="9">
        <v>15</v>
      </c>
      <c r="O423" s="9" t="s">
        <v>1430</v>
      </c>
      <c r="P423" s="55" t="s">
        <v>1432</v>
      </c>
      <c r="Q423" s="9" t="s">
        <v>680</v>
      </c>
      <c r="S423" s="81" t="s">
        <v>531</v>
      </c>
      <c r="T423" s="9">
        <f ca="1">IFERROR(OFFSET(ITEM_RES!$A$5,MATCH(BUILDING!S423,ITEM_RES!$J$5:$J$229,0)-1,0),0)</f>
        <v>211020201</v>
      </c>
      <c r="U423" s="11">
        <v>1</v>
      </c>
      <c r="V423" s="81" t="s">
        <v>533</v>
      </c>
      <c r="W423" s="11">
        <f ca="1">IFERROR(OFFSET(ITEM_RES!$A$5,MATCH(BUILDING!V423,ITEM_RES!$J$5:$J$229,0)-1,0),0)</f>
        <v>211020301</v>
      </c>
      <c r="Y423" s="9" t="s">
        <v>512</v>
      </c>
      <c r="Z423" s="9">
        <v>19</v>
      </c>
      <c r="AB423" s="11">
        <f ca="1">IFERROR(OFFSET(MANOR_LEVEL!$B$1,MATCH(AC423-1,MANOR_LEVEL!$A:$A,0)-1,0),0)</f>
        <v>345433600</v>
      </c>
      <c r="AC423" s="55">
        <v>18</v>
      </c>
      <c r="AE423" s="11">
        <f t="shared" ca="1" si="121"/>
        <v>52900000</v>
      </c>
      <c r="AF423" s="10">
        <f ca="1">AK423+AM423+(IFERROR(OFFSET(ITEM_RES!$R$1,MATCH(AQ423,ITEM_RES!$A:$A,0)-1,0),0)*AS423+IFERROR(OFFSET(ITEM_RES!$R$1,MATCH(AV423,ITEM_RES!$A:$A,0)-1,0),0)*AX423+IFERROR(OFFSET(ITEM_RES!$R$1,MATCH(BA423,ITEM_RES!$A:$A,0)-1,0),0)*BC423+IFERROR(OFFSET(ITEM_RES!$R$1,MATCH(BF423,ITEM_RES!$A:$A,0)-1,0),0)*BH423+IFERROR(OFFSET(ITEM_RES!$R$1,MATCH(BK423,ITEM_RES!$A:$A,0)-1,0),0)*BM423)/1000</f>
        <v>52900000</v>
      </c>
      <c r="AG423" s="176">
        <f t="shared" ca="1" si="119"/>
        <v>85200000</v>
      </c>
      <c r="AI423" s="11">
        <f t="shared" si="120"/>
        <v>1800</v>
      </c>
      <c r="AJ423" s="10">
        <v>1800</v>
      </c>
      <c r="AK423" s="11">
        <f t="shared" si="116"/>
        <v>0</v>
      </c>
      <c r="AL423" s="10">
        <v>0</v>
      </c>
      <c r="AM423" s="11">
        <f t="shared" si="118"/>
        <v>0</v>
      </c>
      <c r="AN423" s="10">
        <v>0</v>
      </c>
      <c r="AO423" s="55">
        <f t="shared" si="122"/>
        <v>2</v>
      </c>
      <c r="AQ423" s="11">
        <f ca="1">IFERROR(OFFSET(ITEM_RES!$A$1,MATCH(AR423,ITEM_RES!$J:$J,0)-1,0),0)</f>
        <v>211020901</v>
      </c>
      <c r="AR423" s="10" t="s">
        <v>1439</v>
      </c>
      <c r="AS423" s="11">
        <v>1290000</v>
      </c>
      <c r="AV423" s="11">
        <f ca="1">IFERROR(OFFSET(ITEM_RES!$A$1,MATCH(AW423,ITEM_RES!$J:$J,0)-1,0),0)</f>
        <v>211020501</v>
      </c>
      <c r="AW423" s="10" t="s">
        <v>417</v>
      </c>
      <c r="AX423" s="11">
        <v>8000000</v>
      </c>
      <c r="BA423" s="11">
        <f ca="1">IFERROR(OFFSET(ITEM_RES!$A$1,MATCH(BB423,ITEM_RES!$J:$J,0)-1,0),0)</f>
        <v>0</v>
      </c>
      <c r="BF423" s="11">
        <f ca="1">IFERROR(OFFSET(ITEM_RES!$A$1,MATCH(BG423,ITEM_RES!$J:$J,0)-1,0),0)</f>
        <v>0</v>
      </c>
      <c r="BK423" s="11">
        <f ca="1">IFERROR(OFFSET(ITEM_RES!$A$1,MATCH(BL423,ITEM_RES!$J:$J,0)-1,0),0)</f>
        <v>0</v>
      </c>
    </row>
    <row r="424" spans="1:66" ht="17.25" thickBot="1" x14ac:dyDescent="0.35">
      <c r="A424" s="14">
        <f t="shared" si="113"/>
        <v>112070020</v>
      </c>
      <c r="B424" s="13">
        <v>11</v>
      </c>
      <c r="C424" s="12">
        <f t="shared" si="114"/>
        <v>2</v>
      </c>
      <c r="D424" s="13">
        <v>7</v>
      </c>
      <c r="E424" s="13">
        <v>0</v>
      </c>
      <c r="F424" s="12">
        <f t="shared" si="115"/>
        <v>20</v>
      </c>
      <c r="H424" s="9">
        <v>2</v>
      </c>
      <c r="I424" s="9">
        <v>20</v>
      </c>
      <c r="K424" s="9" t="s">
        <v>361</v>
      </c>
      <c r="M424" s="9">
        <v>0</v>
      </c>
      <c r="N424" s="9">
        <v>15</v>
      </c>
      <c r="O424" s="9" t="s">
        <v>1430</v>
      </c>
      <c r="P424" s="55" t="s">
        <v>1432</v>
      </c>
      <c r="Q424" s="9" t="s">
        <v>680</v>
      </c>
      <c r="S424" s="81" t="s">
        <v>531</v>
      </c>
      <c r="T424" s="9">
        <f ca="1">IFERROR(OFFSET(ITEM_RES!$A$5,MATCH(BUILDING!S424,ITEM_RES!$J$5:$J$229,0)-1,0),0)</f>
        <v>211020201</v>
      </c>
      <c r="U424" s="11">
        <v>1</v>
      </c>
      <c r="V424" s="81" t="s">
        <v>533</v>
      </c>
      <c r="W424" s="11">
        <f ca="1">IFERROR(OFFSET(ITEM_RES!$A$5,MATCH(BUILDING!V424,ITEM_RES!$J$5:$J$229,0)-1,0),0)</f>
        <v>211020301</v>
      </c>
      <c r="Y424" s="9" t="s">
        <v>512</v>
      </c>
      <c r="Z424" s="9">
        <v>20</v>
      </c>
      <c r="AB424" s="11">
        <f ca="1">IFERROR(OFFSET(MANOR_LEVEL!$B$1,MATCH(AC424-1,MANOR_LEVEL!$A:$A,0)-1,0),0)</f>
        <v>345433600</v>
      </c>
      <c r="AC424" s="55">
        <v>18</v>
      </c>
      <c r="AE424" s="11">
        <f t="shared" ca="1" si="121"/>
        <v>88000000</v>
      </c>
      <c r="AF424" s="10">
        <f ca="1">AK424+AM424+(IFERROR(OFFSET(ITEM_RES!$R$1,MATCH(AQ424,ITEM_RES!$A:$A,0)-1,0),0)*AS424+IFERROR(OFFSET(ITEM_RES!$R$1,MATCH(AV424,ITEM_RES!$A:$A,0)-1,0),0)*AX424+IFERROR(OFFSET(ITEM_RES!$R$1,MATCH(BA424,ITEM_RES!$A:$A,0)-1,0),0)*BC424+IFERROR(OFFSET(ITEM_RES!$R$1,MATCH(BF424,ITEM_RES!$A:$A,0)-1,0),0)*BH424+IFERROR(OFFSET(ITEM_RES!$R$1,MATCH(BK424,ITEM_RES!$A:$A,0)-1,0),0)*BM424)/1000</f>
        <v>88000000</v>
      </c>
      <c r="AG424" s="176">
        <f t="shared" ca="1" si="119"/>
        <v>140900000</v>
      </c>
      <c r="AI424" s="11">
        <f t="shared" si="120"/>
        <v>1980</v>
      </c>
      <c r="AJ424" s="10">
        <v>1980</v>
      </c>
      <c r="AK424" s="11">
        <f t="shared" si="116"/>
        <v>0</v>
      </c>
      <c r="AL424" s="10">
        <v>0</v>
      </c>
      <c r="AM424" s="11">
        <f t="shared" si="118"/>
        <v>0</v>
      </c>
      <c r="AN424" s="10">
        <v>0</v>
      </c>
      <c r="AO424" s="55">
        <f t="shared" si="122"/>
        <v>2</v>
      </c>
      <c r="AQ424" s="11">
        <f ca="1">IFERROR(OFFSET(ITEM_RES!$A$1,MATCH(AR424,ITEM_RES!$J:$J,0)-1,0),0)</f>
        <v>211020901</v>
      </c>
      <c r="AR424" s="10" t="s">
        <v>1439</v>
      </c>
      <c r="AS424" s="11">
        <v>2400000</v>
      </c>
      <c r="AV424" s="11">
        <f ca="1">IFERROR(OFFSET(ITEM_RES!$A$1,MATCH(AW424,ITEM_RES!$J:$J,0)-1,0),0)</f>
        <v>211020501</v>
      </c>
      <c r="AW424" s="10" t="s">
        <v>417</v>
      </c>
      <c r="AX424" s="11">
        <v>12800000</v>
      </c>
      <c r="BA424" s="11">
        <f ca="1">IFERROR(OFFSET(ITEM_RES!$A$1,MATCH(BB424,ITEM_RES!$J:$J,0)-1,0),0)</f>
        <v>0</v>
      </c>
      <c r="BF424" s="11">
        <f ca="1">IFERROR(OFFSET(ITEM_RES!$A$1,MATCH(BG424,ITEM_RES!$J:$J,0)-1,0),0)</f>
        <v>0</v>
      </c>
      <c r="BK424" s="11">
        <f ca="1">IFERROR(OFFSET(ITEM_RES!$A$1,MATCH(BL424,ITEM_RES!$J:$J,0)-1,0),0)</f>
        <v>0</v>
      </c>
    </row>
    <row r="425" spans="1:66" s="15" customFormat="1" x14ac:dyDescent="0.3">
      <c r="A425" s="21">
        <f t="shared" si="113"/>
        <v>114010001</v>
      </c>
      <c r="B425" s="20">
        <v>11</v>
      </c>
      <c r="C425" s="19">
        <f t="shared" si="114"/>
        <v>4</v>
      </c>
      <c r="D425" s="20">
        <v>1</v>
      </c>
      <c r="E425" s="20">
        <v>0</v>
      </c>
      <c r="F425" s="19">
        <f t="shared" si="115"/>
        <v>1</v>
      </c>
      <c r="G425" s="76"/>
      <c r="H425" s="16">
        <v>4</v>
      </c>
      <c r="I425" s="16">
        <v>1</v>
      </c>
      <c r="J425" s="76"/>
      <c r="K425" s="16" t="s">
        <v>428</v>
      </c>
      <c r="L425" s="16"/>
      <c r="M425" s="16">
        <v>1</v>
      </c>
      <c r="N425" s="16">
        <v>15</v>
      </c>
      <c r="O425" s="137"/>
      <c r="P425" s="56"/>
      <c r="Q425" s="16" t="s">
        <v>681</v>
      </c>
      <c r="R425" s="76"/>
      <c r="S425" s="83"/>
      <c r="T425" s="16">
        <f ca="1">IFERROR(OFFSET(ITEM_RES!$A$5,MATCH(BUILDING!S425,ITEM_RES!$J$5:$J$229,0)-1,0),0)</f>
        <v>0</v>
      </c>
      <c r="U425" s="18"/>
      <c r="V425" s="83"/>
      <c r="W425" s="18">
        <f ca="1">IFERROR(OFFSET(ITEM_RES!$A$5,MATCH(BUILDING!V425,ITEM_RES!$J$5:$J$229,0)-1,0),0)</f>
        <v>0</v>
      </c>
      <c r="X425" s="76"/>
      <c r="Y425" s="16" t="s">
        <v>513</v>
      </c>
      <c r="Z425" s="16">
        <v>1</v>
      </c>
      <c r="AA425" s="76"/>
      <c r="AB425" s="18">
        <f ca="1">IFERROR(OFFSET(MANOR_LEVEL!$B$1,MATCH(AC425-1,MANOR_LEVEL!$A:$A,0)-1,0),0)</f>
        <v>0</v>
      </c>
      <c r="AC425" s="56">
        <v>1</v>
      </c>
      <c r="AD425" s="76"/>
      <c r="AE425" s="18">
        <f t="shared" ca="1" si="121"/>
        <v>1150</v>
      </c>
      <c r="AF425" s="17">
        <f ca="1">AK425+AM425+(IFERROR(OFFSET(ITEM_RES!$R$1,MATCH(AQ425,ITEM_RES!$A:$A,0)-1,0),0)*AS425+IFERROR(OFFSET(ITEM_RES!$R$1,MATCH(AV425,ITEM_RES!$A:$A,0)-1,0),0)*AX425+IFERROR(OFFSET(ITEM_RES!$R$1,MATCH(BA425,ITEM_RES!$A:$A,0)-1,0),0)*BC425+IFERROR(OFFSET(ITEM_RES!$R$1,MATCH(BF425,ITEM_RES!$A:$A,0)-1,0),0)*BH425+IFERROR(OFFSET(ITEM_RES!$R$1,MATCH(BK425,ITEM_RES!$A:$A,0)-1,0),0)*BM425)/1000</f>
        <v>1150</v>
      </c>
      <c r="AG425" s="178">
        <f ca="1">AE425</f>
        <v>1150</v>
      </c>
      <c r="AH425" s="76"/>
      <c r="AI425" s="18">
        <f t="shared" si="120"/>
        <v>2</v>
      </c>
      <c r="AJ425" s="17">
        <v>2</v>
      </c>
      <c r="AK425" s="18">
        <f t="shared" si="116"/>
        <v>0</v>
      </c>
      <c r="AL425" s="17">
        <v>0</v>
      </c>
      <c r="AM425" s="18">
        <f t="shared" si="118"/>
        <v>0</v>
      </c>
      <c r="AN425" s="17">
        <v>0</v>
      </c>
      <c r="AO425" s="56">
        <f t="shared" si="122"/>
        <v>2</v>
      </c>
      <c r="AP425" s="18"/>
      <c r="AQ425" s="18">
        <f ca="1">IFERROR(OFFSET(ITEM_RES!$A$1,MATCH(AR425,ITEM_RES!$J:$J,0)-1,0),0)</f>
        <v>211020401</v>
      </c>
      <c r="AR425" s="17" t="s">
        <v>426</v>
      </c>
      <c r="AS425" s="18">
        <v>50</v>
      </c>
      <c r="AT425" s="17"/>
      <c r="AU425" s="18"/>
      <c r="AV425" s="18">
        <f ca="1">IFERROR(OFFSET(ITEM_RES!$A$1,MATCH(AW425,ITEM_RES!$J:$J,0)-1,0),0)</f>
        <v>0</v>
      </c>
      <c r="AW425" s="17"/>
      <c r="AX425" s="18"/>
      <c r="AY425" s="17"/>
      <c r="AZ425" s="18"/>
      <c r="BA425" s="18">
        <f ca="1">IFERROR(OFFSET(ITEM_RES!$A$1,MATCH(BB425,ITEM_RES!$J:$J,0)-1,0),0)</f>
        <v>213010101</v>
      </c>
      <c r="BB425" s="17" t="s">
        <v>440</v>
      </c>
      <c r="BC425" s="18">
        <v>1</v>
      </c>
      <c r="BD425" s="17"/>
      <c r="BE425" s="18"/>
      <c r="BF425" s="18">
        <f ca="1">IFERROR(OFFSET(ITEM_RES!$A$1,MATCH(BG425,ITEM_RES!$J:$J,0)-1,0),0)</f>
        <v>0</v>
      </c>
      <c r="BG425" s="17"/>
      <c r="BH425" s="18"/>
      <c r="BI425" s="17"/>
      <c r="BJ425" s="18"/>
      <c r="BK425" s="18">
        <f ca="1">IFERROR(OFFSET(ITEM_RES!$A$1,MATCH(BL425,ITEM_RES!$J:$J,0)-1,0),0)</f>
        <v>0</v>
      </c>
      <c r="BL425" s="17"/>
      <c r="BM425" s="18"/>
      <c r="BN425" s="17"/>
    </row>
    <row r="426" spans="1:66" x14ac:dyDescent="0.3">
      <c r="A426" s="14">
        <f t="shared" si="113"/>
        <v>114010002</v>
      </c>
      <c r="B426" s="13">
        <v>11</v>
      </c>
      <c r="C426" s="12">
        <f t="shared" si="114"/>
        <v>4</v>
      </c>
      <c r="D426" s="13">
        <v>1</v>
      </c>
      <c r="E426" s="13">
        <v>0</v>
      </c>
      <c r="F426" s="12">
        <f t="shared" si="115"/>
        <v>2</v>
      </c>
      <c r="H426" s="9">
        <v>4</v>
      </c>
      <c r="I426" s="9">
        <v>2</v>
      </c>
      <c r="K426" s="9" t="s">
        <v>428</v>
      </c>
      <c r="M426" s="9">
        <v>1</v>
      </c>
      <c r="N426" s="9">
        <v>15</v>
      </c>
      <c r="O426" s="138"/>
      <c r="Q426" s="9" t="s">
        <v>681</v>
      </c>
      <c r="T426" s="9">
        <f ca="1">IFERROR(OFFSET(ITEM_RES!$A$5,MATCH(BUILDING!S426,ITEM_RES!$J$5:$J$229,0)-1,0),0)</f>
        <v>0</v>
      </c>
      <c r="W426" s="11">
        <f ca="1">IFERROR(OFFSET(ITEM_RES!$A$5,MATCH(BUILDING!V426,ITEM_RES!$J$5:$J$229,0)-1,0),0)</f>
        <v>0</v>
      </c>
      <c r="Y426" s="9" t="s">
        <v>513</v>
      </c>
      <c r="Z426" s="9">
        <v>2</v>
      </c>
      <c r="AB426" s="11">
        <f ca="1">IFERROR(OFFSET(MANOR_LEVEL!$B$1,MATCH(AC426-1,MANOR_LEVEL!$A:$A,0)-1,0),0)</f>
        <v>0</v>
      </c>
      <c r="AC426" s="55">
        <v>1</v>
      </c>
      <c r="AE426" s="11">
        <f t="shared" ca="1" si="121"/>
        <v>300</v>
      </c>
      <c r="AF426" s="10">
        <f ca="1">AK426+AM426+(IFERROR(OFFSET(ITEM_RES!$R$1,MATCH(AQ426,ITEM_RES!$A:$A,0)-1,0),0)*AS426+IFERROR(OFFSET(ITEM_RES!$R$1,MATCH(AV426,ITEM_RES!$A:$A,0)-1,0),0)*AX426+IFERROR(OFFSET(ITEM_RES!$R$1,MATCH(BA426,ITEM_RES!$A:$A,0)-1,0),0)*BC426+IFERROR(OFFSET(ITEM_RES!$R$1,MATCH(BF426,ITEM_RES!$A:$A,0)-1,0),0)*BH426+IFERROR(OFFSET(ITEM_RES!$R$1,MATCH(BK426,ITEM_RES!$A:$A,0)-1,0),0)*BM426)/1000</f>
        <v>300</v>
      </c>
      <c r="AG426" s="176">
        <f ca="1">AE425+AE426</f>
        <v>1450</v>
      </c>
      <c r="AI426" s="11">
        <f t="shared" si="120"/>
        <v>2</v>
      </c>
      <c r="AJ426" s="10">
        <v>2</v>
      </c>
      <c r="AK426" s="11">
        <f t="shared" si="116"/>
        <v>0</v>
      </c>
      <c r="AL426" s="10">
        <v>0</v>
      </c>
      <c r="AM426" s="11">
        <f t="shared" si="118"/>
        <v>0</v>
      </c>
      <c r="AN426" s="10">
        <v>0</v>
      </c>
      <c r="AO426" s="55">
        <f t="shared" si="122"/>
        <v>1</v>
      </c>
      <c r="AQ426" s="11">
        <f ca="1">IFERROR(OFFSET(ITEM_RES!$A$1,MATCH(AR426,ITEM_RES!$J:$J,0)-1,0),0)</f>
        <v>211020401</v>
      </c>
      <c r="AR426" s="10" t="s">
        <v>426</v>
      </c>
      <c r="AS426" s="11">
        <v>100</v>
      </c>
      <c r="AV426" s="11">
        <f ca="1">IFERROR(OFFSET(ITEM_RES!$A$1,MATCH(AW426,ITEM_RES!$J:$J,0)-1,0),0)</f>
        <v>0</v>
      </c>
      <c r="BA426" s="11">
        <f ca="1">IFERROR(OFFSET(ITEM_RES!$A$1,MATCH(BB426,ITEM_RES!$J:$J,0)-1,0),0)</f>
        <v>0</v>
      </c>
      <c r="BF426" s="11">
        <f ca="1">IFERROR(OFFSET(ITEM_RES!$A$1,MATCH(BG426,ITEM_RES!$J:$J,0)-1,0),0)</f>
        <v>0</v>
      </c>
      <c r="BK426" s="11">
        <f ca="1">IFERROR(OFFSET(ITEM_RES!$A$1,MATCH(BL426,ITEM_RES!$J:$J,0)-1,0),0)</f>
        <v>0</v>
      </c>
    </row>
    <row r="427" spans="1:66" x14ac:dyDescent="0.3">
      <c r="A427" s="14">
        <f t="shared" si="113"/>
        <v>114010003</v>
      </c>
      <c r="B427" s="13">
        <v>11</v>
      </c>
      <c r="C427" s="12">
        <f t="shared" si="114"/>
        <v>4</v>
      </c>
      <c r="D427" s="13">
        <v>1</v>
      </c>
      <c r="E427" s="13">
        <v>0</v>
      </c>
      <c r="F427" s="12">
        <f t="shared" si="115"/>
        <v>3</v>
      </c>
      <c r="H427" s="9">
        <v>4</v>
      </c>
      <c r="I427" s="9">
        <v>3</v>
      </c>
      <c r="K427" s="9" t="s">
        <v>428</v>
      </c>
      <c r="M427" s="9">
        <v>1</v>
      </c>
      <c r="N427" s="9">
        <v>15</v>
      </c>
      <c r="O427" s="138"/>
      <c r="Q427" s="9" t="s">
        <v>681</v>
      </c>
      <c r="T427" s="9">
        <f ca="1">IFERROR(OFFSET(ITEM_RES!$A$5,MATCH(BUILDING!S427,ITEM_RES!$J$5:$J$229,0)-1,0),0)</f>
        <v>0</v>
      </c>
      <c r="W427" s="11">
        <f ca="1">IFERROR(OFFSET(ITEM_RES!$A$5,MATCH(BUILDING!V427,ITEM_RES!$J$5:$J$229,0)-1,0),0)</f>
        <v>0</v>
      </c>
      <c r="Y427" s="9" t="s">
        <v>513</v>
      </c>
      <c r="Z427" s="9">
        <v>3</v>
      </c>
      <c r="AB427" s="11">
        <f ca="1">IFERROR(OFFSET(MANOR_LEVEL!$B$1,MATCH(AC427-1,MANOR_LEVEL!$A:$A,0)-1,0),0)</f>
        <v>0</v>
      </c>
      <c r="AC427" s="55">
        <v>1</v>
      </c>
      <c r="AE427" s="11">
        <f t="shared" ca="1" si="121"/>
        <v>450</v>
      </c>
      <c r="AF427" s="10">
        <f ca="1">AK427+AM427+(IFERROR(OFFSET(ITEM_RES!$R$1,MATCH(AQ427,ITEM_RES!$A:$A,0)-1,0),0)*AS427+IFERROR(OFFSET(ITEM_RES!$R$1,MATCH(AV427,ITEM_RES!$A:$A,0)-1,0),0)*AX427+IFERROR(OFFSET(ITEM_RES!$R$1,MATCH(BA427,ITEM_RES!$A:$A,0)-1,0),0)*BC427+IFERROR(OFFSET(ITEM_RES!$R$1,MATCH(BF427,ITEM_RES!$A:$A,0)-1,0),0)*BH427+IFERROR(OFFSET(ITEM_RES!$R$1,MATCH(BK427,ITEM_RES!$A:$A,0)-1,0),0)*BM427)/1000</f>
        <v>450</v>
      </c>
      <c r="AG427" s="176">
        <f t="shared" ref="AG427:AG444" ca="1" si="123">AE426+AE427</f>
        <v>750</v>
      </c>
      <c r="AI427" s="11">
        <f t="shared" si="120"/>
        <v>3</v>
      </c>
      <c r="AJ427" s="10">
        <v>3</v>
      </c>
      <c r="AK427" s="11">
        <f t="shared" si="116"/>
        <v>0</v>
      </c>
      <c r="AL427" s="10">
        <v>0</v>
      </c>
      <c r="AM427" s="11">
        <f t="shared" si="118"/>
        <v>0</v>
      </c>
      <c r="AN427" s="10">
        <v>0</v>
      </c>
      <c r="AO427" s="55">
        <f t="shared" si="122"/>
        <v>1</v>
      </c>
      <c r="AQ427" s="11">
        <f ca="1">IFERROR(OFFSET(ITEM_RES!$A$1,MATCH(AR427,ITEM_RES!$J:$J,0)-1,0),0)</f>
        <v>211020401</v>
      </c>
      <c r="AR427" s="10" t="s">
        <v>426</v>
      </c>
      <c r="AS427" s="11">
        <v>150</v>
      </c>
      <c r="AV427" s="11">
        <f ca="1">IFERROR(OFFSET(ITEM_RES!$A$1,MATCH(AW427,ITEM_RES!$J:$J,0)-1,0),0)</f>
        <v>0</v>
      </c>
      <c r="BA427" s="11">
        <f ca="1">IFERROR(OFFSET(ITEM_RES!$A$1,MATCH(BB427,ITEM_RES!$J:$J,0)-1,0),0)</f>
        <v>0</v>
      </c>
      <c r="BF427" s="11">
        <f ca="1">IFERROR(OFFSET(ITEM_RES!$A$1,MATCH(BG427,ITEM_RES!$J:$J,0)-1,0),0)</f>
        <v>0</v>
      </c>
      <c r="BK427" s="11">
        <f ca="1">IFERROR(OFFSET(ITEM_RES!$A$1,MATCH(BL427,ITEM_RES!$J:$J,0)-1,0),0)</f>
        <v>0</v>
      </c>
    </row>
    <row r="428" spans="1:66" x14ac:dyDescent="0.3">
      <c r="A428" s="14">
        <f t="shared" si="113"/>
        <v>114010004</v>
      </c>
      <c r="B428" s="13">
        <v>11</v>
      </c>
      <c r="C428" s="12">
        <f t="shared" si="114"/>
        <v>4</v>
      </c>
      <c r="D428" s="13">
        <v>1</v>
      </c>
      <c r="E428" s="13">
        <v>0</v>
      </c>
      <c r="F428" s="12">
        <f t="shared" si="115"/>
        <v>4</v>
      </c>
      <c r="H428" s="9">
        <v>4</v>
      </c>
      <c r="I428" s="9">
        <v>4</v>
      </c>
      <c r="K428" s="9" t="s">
        <v>428</v>
      </c>
      <c r="M428" s="9">
        <v>1</v>
      </c>
      <c r="N428" s="9">
        <v>15</v>
      </c>
      <c r="O428" s="138"/>
      <c r="Q428" s="9" t="s">
        <v>681</v>
      </c>
      <c r="T428" s="9">
        <f ca="1">IFERROR(OFFSET(ITEM_RES!$A$5,MATCH(BUILDING!S428,ITEM_RES!$J$5:$J$229,0)-1,0),0)</f>
        <v>0</v>
      </c>
      <c r="W428" s="11">
        <f ca="1">IFERROR(OFFSET(ITEM_RES!$A$5,MATCH(BUILDING!V428,ITEM_RES!$J$5:$J$229,0)-1,0),0)</f>
        <v>0</v>
      </c>
      <c r="Y428" s="9" t="s">
        <v>513</v>
      </c>
      <c r="Z428" s="9">
        <v>4</v>
      </c>
      <c r="AB428" s="11">
        <f ca="1">IFERROR(OFFSET(MANOR_LEVEL!$B$1,MATCH(AC428-1,MANOR_LEVEL!$A:$A,0)-1,0),0)</f>
        <v>800</v>
      </c>
      <c r="AC428" s="55">
        <v>2</v>
      </c>
      <c r="AE428" s="11">
        <f t="shared" ca="1" si="121"/>
        <v>1800</v>
      </c>
      <c r="AF428" s="10">
        <f ca="1">AK428+AM428+(IFERROR(OFFSET(ITEM_RES!$R$1,MATCH(AQ428,ITEM_RES!$A:$A,0)-1,0),0)*AS428+IFERROR(OFFSET(ITEM_RES!$R$1,MATCH(AV428,ITEM_RES!$A:$A,0)-1,0),0)*AX428+IFERROR(OFFSET(ITEM_RES!$R$1,MATCH(BA428,ITEM_RES!$A:$A,0)-1,0),0)*BC428+IFERROR(OFFSET(ITEM_RES!$R$1,MATCH(BF428,ITEM_RES!$A:$A,0)-1,0),0)*BH428+IFERROR(OFFSET(ITEM_RES!$R$1,MATCH(BK428,ITEM_RES!$A:$A,0)-1,0),0)*BM428)/1000</f>
        <v>1800</v>
      </c>
      <c r="AG428" s="176">
        <f t="shared" ca="1" si="123"/>
        <v>2250</v>
      </c>
      <c r="AI428" s="11">
        <f t="shared" si="120"/>
        <v>5</v>
      </c>
      <c r="AJ428" s="10">
        <v>5</v>
      </c>
      <c r="AK428" s="11">
        <f t="shared" si="116"/>
        <v>0</v>
      </c>
      <c r="AL428" s="10">
        <v>0</v>
      </c>
      <c r="AM428" s="11">
        <f t="shared" si="118"/>
        <v>0</v>
      </c>
      <c r="AN428" s="10">
        <v>0</v>
      </c>
      <c r="AO428" s="55">
        <f t="shared" si="122"/>
        <v>1</v>
      </c>
      <c r="AQ428" s="11">
        <f ca="1">IFERROR(OFFSET(ITEM_RES!$A$1,MATCH(AR428,ITEM_RES!$J:$J,0)-1,0),0)</f>
        <v>211020401</v>
      </c>
      <c r="AR428" s="10" t="s">
        <v>426</v>
      </c>
      <c r="AS428" s="11">
        <v>600</v>
      </c>
      <c r="AV428" s="11">
        <f ca="1">IFERROR(OFFSET(ITEM_RES!$A$1,MATCH(AW428,ITEM_RES!$J:$J,0)-1,0),0)</f>
        <v>0</v>
      </c>
      <c r="BA428" s="11">
        <f ca="1">IFERROR(OFFSET(ITEM_RES!$A$1,MATCH(BB428,ITEM_RES!$J:$J,0)-1,0),0)</f>
        <v>0</v>
      </c>
      <c r="BF428" s="11">
        <f ca="1">IFERROR(OFFSET(ITEM_RES!$A$1,MATCH(BG428,ITEM_RES!$J:$J,0)-1,0),0)</f>
        <v>0</v>
      </c>
      <c r="BK428" s="11">
        <f ca="1">IFERROR(OFFSET(ITEM_RES!$A$1,MATCH(BL428,ITEM_RES!$J:$J,0)-1,0),0)</f>
        <v>0</v>
      </c>
    </row>
    <row r="429" spans="1:66" x14ac:dyDescent="0.3">
      <c r="A429" s="14">
        <f t="shared" ref="A429:A492" si="124">B429*10000000+C429*1000000+D429*10000+E429*100+F429</f>
        <v>114010005</v>
      </c>
      <c r="B429" s="13">
        <v>11</v>
      </c>
      <c r="C429" s="12">
        <f t="shared" ref="C429:C492" si="125">H429</f>
        <v>4</v>
      </c>
      <c r="D429" s="13">
        <v>1</v>
      </c>
      <c r="E429" s="13">
        <v>0</v>
      </c>
      <c r="F429" s="12">
        <f t="shared" ref="F429:F492" si="126">I429</f>
        <v>5</v>
      </c>
      <c r="H429" s="9">
        <v>4</v>
      </c>
      <c r="I429" s="9">
        <v>5</v>
      </c>
      <c r="K429" s="9" t="s">
        <v>428</v>
      </c>
      <c r="M429" s="9">
        <v>1</v>
      </c>
      <c r="N429" s="9">
        <v>15</v>
      </c>
      <c r="O429" s="138"/>
      <c r="Q429" s="9" t="s">
        <v>681</v>
      </c>
      <c r="T429" s="9">
        <f ca="1">IFERROR(OFFSET(ITEM_RES!$A$5,MATCH(BUILDING!S429,ITEM_RES!$J$5:$J$229,0)-1,0),0)</f>
        <v>0</v>
      </c>
      <c r="W429" s="11">
        <f ca="1">IFERROR(OFFSET(ITEM_RES!$A$5,MATCH(BUILDING!V429,ITEM_RES!$J$5:$J$229,0)-1,0),0)</f>
        <v>0</v>
      </c>
      <c r="Y429" s="9" t="s">
        <v>513</v>
      </c>
      <c r="Z429" s="9">
        <v>5</v>
      </c>
      <c r="AB429" s="11">
        <f ca="1">IFERROR(OFFSET(MANOR_LEVEL!$B$1,MATCH(AC429-1,MANOR_LEVEL!$A:$A,0)-1,0),0)</f>
        <v>800</v>
      </c>
      <c r="AC429" s="55">
        <v>2</v>
      </c>
      <c r="AE429" s="11">
        <f t="shared" ca="1" si="121"/>
        <v>8100</v>
      </c>
      <c r="AF429" s="10">
        <f ca="1">AK429+AM429+(IFERROR(OFFSET(ITEM_RES!$R$1,MATCH(AQ429,ITEM_RES!$A:$A,0)-1,0),0)*AS429+IFERROR(OFFSET(ITEM_RES!$R$1,MATCH(AV429,ITEM_RES!$A:$A,0)-1,0),0)*AX429+IFERROR(OFFSET(ITEM_RES!$R$1,MATCH(BA429,ITEM_RES!$A:$A,0)-1,0),0)*BC429+IFERROR(OFFSET(ITEM_RES!$R$1,MATCH(BF429,ITEM_RES!$A:$A,0)-1,0),0)*BH429+IFERROR(OFFSET(ITEM_RES!$R$1,MATCH(BK429,ITEM_RES!$A:$A,0)-1,0),0)*BM429)/1000</f>
        <v>8100</v>
      </c>
      <c r="AG429" s="176">
        <f t="shared" ca="1" si="123"/>
        <v>9900</v>
      </c>
      <c r="AI429" s="11">
        <f t="shared" si="120"/>
        <v>8</v>
      </c>
      <c r="AJ429" s="10">
        <v>8</v>
      </c>
      <c r="AK429" s="11">
        <f t="shared" si="116"/>
        <v>0</v>
      </c>
      <c r="AL429" s="10">
        <v>0</v>
      </c>
      <c r="AM429" s="11">
        <f t="shared" si="118"/>
        <v>0</v>
      </c>
      <c r="AN429" s="10">
        <v>0</v>
      </c>
      <c r="AO429" s="55">
        <f t="shared" si="122"/>
        <v>1</v>
      </c>
      <c r="AQ429" s="11">
        <f ca="1">IFERROR(OFFSET(ITEM_RES!$A$1,MATCH(AR429,ITEM_RES!$J:$J,0)-1,0),0)</f>
        <v>211020401</v>
      </c>
      <c r="AR429" s="10" t="s">
        <v>426</v>
      </c>
      <c r="AS429" s="11">
        <v>2700</v>
      </c>
      <c r="AV429" s="11">
        <f ca="1">IFERROR(OFFSET(ITEM_RES!$A$1,MATCH(AW429,ITEM_RES!$J:$J,0)-1,0),0)</f>
        <v>0</v>
      </c>
      <c r="BA429" s="11">
        <f ca="1">IFERROR(OFFSET(ITEM_RES!$A$1,MATCH(BB429,ITEM_RES!$J:$J,0)-1,0),0)</f>
        <v>0</v>
      </c>
      <c r="BF429" s="11">
        <f ca="1">IFERROR(OFFSET(ITEM_RES!$A$1,MATCH(BG429,ITEM_RES!$J:$J,0)-1,0),0)</f>
        <v>0</v>
      </c>
      <c r="BK429" s="11">
        <f ca="1">IFERROR(OFFSET(ITEM_RES!$A$1,MATCH(BL429,ITEM_RES!$J:$J,0)-1,0),0)</f>
        <v>0</v>
      </c>
    </row>
    <row r="430" spans="1:66" x14ac:dyDescent="0.3">
      <c r="A430" s="14">
        <f t="shared" si="124"/>
        <v>114010006</v>
      </c>
      <c r="B430" s="13">
        <v>11</v>
      </c>
      <c r="C430" s="12">
        <f t="shared" si="125"/>
        <v>4</v>
      </c>
      <c r="D430" s="13">
        <v>1</v>
      </c>
      <c r="E430" s="13">
        <v>0</v>
      </c>
      <c r="F430" s="12">
        <f t="shared" si="126"/>
        <v>6</v>
      </c>
      <c r="H430" s="9">
        <v>4</v>
      </c>
      <c r="I430" s="9">
        <v>6</v>
      </c>
      <c r="K430" s="9" t="s">
        <v>428</v>
      </c>
      <c r="M430" s="9">
        <v>1</v>
      </c>
      <c r="N430" s="9">
        <v>15</v>
      </c>
      <c r="O430" s="138"/>
      <c r="Q430" s="9" t="s">
        <v>681</v>
      </c>
      <c r="T430" s="9">
        <f ca="1">IFERROR(OFFSET(ITEM_RES!$A$5,MATCH(BUILDING!S430,ITEM_RES!$J$5:$J$229,0)-1,0),0)</f>
        <v>0</v>
      </c>
      <c r="W430" s="11">
        <f ca="1">IFERROR(OFFSET(ITEM_RES!$A$5,MATCH(BUILDING!V430,ITEM_RES!$J$5:$J$229,0)-1,0),0)</f>
        <v>0</v>
      </c>
      <c r="Y430" s="9" t="s">
        <v>513</v>
      </c>
      <c r="Z430" s="9">
        <v>6</v>
      </c>
      <c r="AB430" s="11">
        <f ca="1">IFERROR(OFFSET(MANOR_LEVEL!$B$1,MATCH(AC430-1,MANOR_LEVEL!$A:$A,0)-1,0),0)</f>
        <v>800</v>
      </c>
      <c r="AC430" s="55">
        <v>2</v>
      </c>
      <c r="AE430" s="11">
        <f t="shared" ca="1" si="121"/>
        <v>27000</v>
      </c>
      <c r="AF430" s="10">
        <f ca="1">AK430+AM430+(IFERROR(OFFSET(ITEM_RES!$R$1,MATCH(AQ430,ITEM_RES!$A:$A,0)-1,0),0)*AS430+IFERROR(OFFSET(ITEM_RES!$R$1,MATCH(AV430,ITEM_RES!$A:$A,0)-1,0),0)*AX430+IFERROR(OFFSET(ITEM_RES!$R$1,MATCH(BA430,ITEM_RES!$A:$A,0)-1,0),0)*BC430+IFERROR(OFFSET(ITEM_RES!$R$1,MATCH(BF430,ITEM_RES!$A:$A,0)-1,0),0)*BH430+IFERROR(OFFSET(ITEM_RES!$R$1,MATCH(BK430,ITEM_RES!$A:$A,0)-1,0),0)*BM430)/1000</f>
        <v>27000</v>
      </c>
      <c r="AG430" s="176">
        <f t="shared" ca="1" si="123"/>
        <v>35100</v>
      </c>
      <c r="AI430" s="11">
        <f t="shared" si="120"/>
        <v>10</v>
      </c>
      <c r="AJ430" s="10">
        <v>10</v>
      </c>
      <c r="AK430" s="11">
        <f t="shared" ref="AK430:AK493" si="127">ROUND(AL430,0)</f>
        <v>0</v>
      </c>
      <c r="AL430" s="10">
        <v>0</v>
      </c>
      <c r="AM430" s="11">
        <f t="shared" si="118"/>
        <v>0</v>
      </c>
      <c r="AN430" s="10">
        <v>0</v>
      </c>
      <c r="AO430" s="55">
        <f t="shared" si="122"/>
        <v>1</v>
      </c>
      <c r="AQ430" s="11">
        <f ca="1">IFERROR(OFFSET(ITEM_RES!$A$1,MATCH(AR430,ITEM_RES!$J:$J,0)-1,0),0)</f>
        <v>211020401</v>
      </c>
      <c r="AR430" s="10" t="s">
        <v>426</v>
      </c>
      <c r="AS430" s="11">
        <v>9000</v>
      </c>
      <c r="AV430" s="11">
        <f ca="1">IFERROR(OFFSET(ITEM_RES!$A$1,MATCH(AW430,ITEM_RES!$J:$J,0)-1,0),0)</f>
        <v>0</v>
      </c>
      <c r="BA430" s="11">
        <f ca="1">IFERROR(OFFSET(ITEM_RES!$A$1,MATCH(BB430,ITEM_RES!$J:$J,0)-1,0),0)</f>
        <v>0</v>
      </c>
      <c r="BF430" s="11">
        <f ca="1">IFERROR(OFFSET(ITEM_RES!$A$1,MATCH(BG430,ITEM_RES!$J:$J,0)-1,0),0)</f>
        <v>0</v>
      </c>
      <c r="BK430" s="11">
        <f ca="1">IFERROR(OFFSET(ITEM_RES!$A$1,MATCH(BL430,ITEM_RES!$J:$J,0)-1,0),0)</f>
        <v>0</v>
      </c>
    </row>
    <row r="431" spans="1:66" x14ac:dyDescent="0.3">
      <c r="A431" s="14">
        <f t="shared" si="124"/>
        <v>114010007</v>
      </c>
      <c r="B431" s="13">
        <v>11</v>
      </c>
      <c r="C431" s="12">
        <f t="shared" si="125"/>
        <v>4</v>
      </c>
      <c r="D431" s="13">
        <v>1</v>
      </c>
      <c r="E431" s="13">
        <v>0</v>
      </c>
      <c r="F431" s="12">
        <f t="shared" si="126"/>
        <v>7</v>
      </c>
      <c r="H431" s="9">
        <v>4</v>
      </c>
      <c r="I431" s="9">
        <v>7</v>
      </c>
      <c r="K431" s="9" t="s">
        <v>428</v>
      </c>
      <c r="M431" s="9">
        <v>1</v>
      </c>
      <c r="N431" s="9">
        <v>15</v>
      </c>
      <c r="O431" s="138"/>
      <c r="Q431" s="9" t="s">
        <v>681</v>
      </c>
      <c r="T431" s="9">
        <f ca="1">IFERROR(OFFSET(ITEM_RES!$A$5,MATCH(BUILDING!S431,ITEM_RES!$J$5:$J$229,0)-1,0),0)</f>
        <v>0</v>
      </c>
      <c r="W431" s="11">
        <f ca="1">IFERROR(OFFSET(ITEM_RES!$A$5,MATCH(BUILDING!V431,ITEM_RES!$J$5:$J$229,0)-1,0),0)</f>
        <v>0</v>
      </c>
      <c r="Y431" s="9" t="s">
        <v>513</v>
      </c>
      <c r="Z431" s="9">
        <v>7</v>
      </c>
      <c r="AB431" s="11">
        <f ca="1">IFERROR(OFFSET(MANOR_LEVEL!$B$1,MATCH(AC431-1,MANOR_LEVEL!$A:$A,0)-1,0),0)</f>
        <v>800</v>
      </c>
      <c r="AC431" s="55">
        <v>2</v>
      </c>
      <c r="AE431" s="11">
        <f t="shared" ca="1" si="121"/>
        <v>60000</v>
      </c>
      <c r="AF431" s="10">
        <f ca="1">AK431+AM431+(IFERROR(OFFSET(ITEM_RES!$R$1,MATCH(AQ431,ITEM_RES!$A:$A,0)-1,0),0)*AS431+IFERROR(OFFSET(ITEM_RES!$R$1,MATCH(AV431,ITEM_RES!$A:$A,0)-1,0),0)*AX431+IFERROR(OFFSET(ITEM_RES!$R$1,MATCH(BA431,ITEM_RES!$A:$A,0)-1,0),0)*BC431+IFERROR(OFFSET(ITEM_RES!$R$1,MATCH(BF431,ITEM_RES!$A:$A,0)-1,0),0)*BH431+IFERROR(OFFSET(ITEM_RES!$R$1,MATCH(BK431,ITEM_RES!$A:$A,0)-1,0),0)*BM431)/1000</f>
        <v>60000</v>
      </c>
      <c r="AG431" s="176">
        <f t="shared" ca="1" si="123"/>
        <v>87000</v>
      </c>
      <c r="AI431" s="11">
        <f t="shared" si="120"/>
        <v>15</v>
      </c>
      <c r="AJ431" s="10">
        <v>15</v>
      </c>
      <c r="AK431" s="11">
        <f t="shared" si="127"/>
        <v>0</v>
      </c>
      <c r="AL431" s="10">
        <v>0</v>
      </c>
      <c r="AM431" s="11">
        <f t="shared" si="118"/>
        <v>0</v>
      </c>
      <c r="AN431" s="10">
        <v>0</v>
      </c>
      <c r="AO431" s="55">
        <f t="shared" si="122"/>
        <v>1</v>
      </c>
      <c r="AQ431" s="11">
        <f ca="1">IFERROR(OFFSET(ITEM_RES!$A$1,MATCH(AR431,ITEM_RES!$J:$J,0)-1,0),0)</f>
        <v>211020401</v>
      </c>
      <c r="AR431" s="10" t="s">
        <v>426</v>
      </c>
      <c r="AS431" s="11">
        <v>20000</v>
      </c>
      <c r="AV431" s="11">
        <f ca="1">IFERROR(OFFSET(ITEM_RES!$A$1,MATCH(AW431,ITEM_RES!$J:$J,0)-1,0),0)</f>
        <v>0</v>
      </c>
      <c r="BA431" s="11">
        <f ca="1">IFERROR(OFFSET(ITEM_RES!$A$1,MATCH(BB431,ITEM_RES!$J:$J,0)-1,0),0)</f>
        <v>0</v>
      </c>
      <c r="BF431" s="11">
        <f ca="1">IFERROR(OFFSET(ITEM_RES!$A$1,MATCH(BG431,ITEM_RES!$J:$J,0)-1,0),0)</f>
        <v>0</v>
      </c>
      <c r="BK431" s="11">
        <f ca="1">IFERROR(OFFSET(ITEM_RES!$A$1,MATCH(BL431,ITEM_RES!$J:$J,0)-1,0),0)</f>
        <v>0</v>
      </c>
    </row>
    <row r="432" spans="1:66" x14ac:dyDescent="0.3">
      <c r="A432" s="14">
        <f t="shared" si="124"/>
        <v>114010008</v>
      </c>
      <c r="B432" s="13">
        <v>11</v>
      </c>
      <c r="C432" s="12">
        <f t="shared" si="125"/>
        <v>4</v>
      </c>
      <c r="D432" s="13">
        <v>1</v>
      </c>
      <c r="E432" s="13">
        <v>0</v>
      </c>
      <c r="F432" s="12">
        <f t="shared" si="126"/>
        <v>8</v>
      </c>
      <c r="H432" s="9">
        <v>4</v>
      </c>
      <c r="I432" s="9">
        <v>8</v>
      </c>
      <c r="K432" s="9" t="s">
        <v>369</v>
      </c>
      <c r="M432" s="9">
        <v>1</v>
      </c>
      <c r="N432" s="9">
        <v>15</v>
      </c>
      <c r="O432" s="138"/>
      <c r="Q432" s="9" t="s">
        <v>682</v>
      </c>
      <c r="T432" s="9">
        <f ca="1">IFERROR(OFFSET(ITEM_RES!$A$5,MATCH(BUILDING!S432,ITEM_RES!$J$5:$J$229,0)-1,0),0)</f>
        <v>0</v>
      </c>
      <c r="W432" s="11">
        <f ca="1">IFERROR(OFFSET(ITEM_RES!$A$5,MATCH(BUILDING!V432,ITEM_RES!$J$5:$J$229,0)-1,0),0)</f>
        <v>0</v>
      </c>
      <c r="Y432" s="9" t="s">
        <v>513</v>
      </c>
      <c r="Z432" s="9">
        <v>8</v>
      </c>
      <c r="AB432" s="11">
        <f ca="1">IFERROR(OFFSET(MANOR_LEVEL!$B$1,MATCH(AC432-1,MANOR_LEVEL!$A:$A,0)-1,0),0)</f>
        <v>2300</v>
      </c>
      <c r="AC432" s="55">
        <v>3</v>
      </c>
      <c r="AE432" s="11">
        <f t="shared" ca="1" si="121"/>
        <v>210000</v>
      </c>
      <c r="AF432" s="10">
        <f ca="1">AK432+AM432+(IFERROR(OFFSET(ITEM_RES!$R$1,MATCH(AQ432,ITEM_RES!$A:$A,0)-1,0),0)*AS432+IFERROR(OFFSET(ITEM_RES!$R$1,MATCH(AV432,ITEM_RES!$A:$A,0)-1,0),0)*AX432+IFERROR(OFFSET(ITEM_RES!$R$1,MATCH(BA432,ITEM_RES!$A:$A,0)-1,0),0)*BC432+IFERROR(OFFSET(ITEM_RES!$R$1,MATCH(BF432,ITEM_RES!$A:$A,0)-1,0),0)*BH432+IFERROR(OFFSET(ITEM_RES!$R$1,MATCH(BK432,ITEM_RES!$A:$A,0)-1,0),0)*BM432)/1000</f>
        <v>210000</v>
      </c>
      <c r="AG432" s="176">
        <f t="shared" ca="1" si="123"/>
        <v>270000</v>
      </c>
      <c r="AI432" s="11">
        <f t="shared" si="120"/>
        <v>30</v>
      </c>
      <c r="AJ432" s="10">
        <v>30</v>
      </c>
      <c r="AK432" s="11">
        <f t="shared" si="127"/>
        <v>0</v>
      </c>
      <c r="AL432" s="10">
        <v>0</v>
      </c>
      <c r="AM432" s="11">
        <f t="shared" si="118"/>
        <v>0</v>
      </c>
      <c r="AN432" s="10">
        <v>0</v>
      </c>
      <c r="AO432" s="55">
        <f t="shared" si="122"/>
        <v>1</v>
      </c>
      <c r="AQ432" s="11">
        <f ca="1">IFERROR(OFFSET(ITEM_RES!$A$1,MATCH(AR432,ITEM_RES!$J:$J,0)-1,0),0)</f>
        <v>211020501</v>
      </c>
      <c r="AR432" s="10" t="s">
        <v>424</v>
      </c>
      <c r="AS432" s="11">
        <v>42000</v>
      </c>
      <c r="AV432" s="11">
        <f ca="1">IFERROR(OFFSET(ITEM_RES!$A$1,MATCH(AW432,ITEM_RES!$J:$J,0)-1,0),0)</f>
        <v>0</v>
      </c>
      <c r="BA432" s="11">
        <f ca="1">IFERROR(OFFSET(ITEM_RES!$A$1,MATCH(BB432,ITEM_RES!$J:$J,0)-1,0),0)</f>
        <v>0</v>
      </c>
      <c r="BF432" s="11">
        <f ca="1">IFERROR(OFFSET(ITEM_RES!$A$1,MATCH(BG432,ITEM_RES!$J:$J,0)-1,0),0)</f>
        <v>0</v>
      </c>
      <c r="BK432" s="11">
        <f ca="1">IFERROR(OFFSET(ITEM_RES!$A$1,MATCH(BL432,ITEM_RES!$J:$J,0)-1,0),0)</f>
        <v>0</v>
      </c>
    </row>
    <row r="433" spans="1:66" x14ac:dyDescent="0.3">
      <c r="A433" s="14">
        <f t="shared" si="124"/>
        <v>114010009</v>
      </c>
      <c r="B433" s="13">
        <v>11</v>
      </c>
      <c r="C433" s="12">
        <f t="shared" si="125"/>
        <v>4</v>
      </c>
      <c r="D433" s="13">
        <v>1</v>
      </c>
      <c r="E433" s="13">
        <v>0</v>
      </c>
      <c r="F433" s="12">
        <f t="shared" si="126"/>
        <v>9</v>
      </c>
      <c r="H433" s="9">
        <v>4</v>
      </c>
      <c r="I433" s="9">
        <v>9</v>
      </c>
      <c r="K433" s="9" t="s">
        <v>369</v>
      </c>
      <c r="M433" s="9">
        <v>1</v>
      </c>
      <c r="N433" s="9">
        <v>15</v>
      </c>
      <c r="O433" s="138"/>
      <c r="Q433" s="9" t="s">
        <v>682</v>
      </c>
      <c r="T433" s="9">
        <f ca="1">IFERROR(OFFSET(ITEM_RES!$A$5,MATCH(BUILDING!S433,ITEM_RES!$J$5:$J$229,0)-1,0),0)</f>
        <v>0</v>
      </c>
      <c r="W433" s="11">
        <f ca="1">IFERROR(OFFSET(ITEM_RES!$A$5,MATCH(BUILDING!V433,ITEM_RES!$J$5:$J$229,0)-1,0),0)</f>
        <v>0</v>
      </c>
      <c r="Y433" s="9" t="s">
        <v>513</v>
      </c>
      <c r="Z433" s="9">
        <v>9</v>
      </c>
      <c r="AB433" s="11">
        <f ca="1">IFERROR(OFFSET(MANOR_LEVEL!$B$1,MATCH(AC433-1,MANOR_LEVEL!$A:$A,0)-1,0),0)</f>
        <v>2300</v>
      </c>
      <c r="AC433" s="55">
        <v>3</v>
      </c>
      <c r="AE433" s="11">
        <f t="shared" ca="1" si="121"/>
        <v>390000</v>
      </c>
      <c r="AF433" s="10">
        <f ca="1">AK433+AM433+(IFERROR(OFFSET(ITEM_RES!$R$1,MATCH(AQ433,ITEM_RES!$A:$A,0)-1,0),0)*AS433+IFERROR(OFFSET(ITEM_RES!$R$1,MATCH(AV433,ITEM_RES!$A:$A,0)-1,0),0)*AX433+IFERROR(OFFSET(ITEM_RES!$R$1,MATCH(BA433,ITEM_RES!$A:$A,0)-1,0),0)*BC433+IFERROR(OFFSET(ITEM_RES!$R$1,MATCH(BF433,ITEM_RES!$A:$A,0)-1,0),0)*BH433+IFERROR(OFFSET(ITEM_RES!$R$1,MATCH(BK433,ITEM_RES!$A:$A,0)-1,0),0)*BM433)/1000</f>
        <v>390000</v>
      </c>
      <c r="AG433" s="176">
        <f t="shared" ca="1" si="123"/>
        <v>600000</v>
      </c>
      <c r="AI433" s="11">
        <f t="shared" si="120"/>
        <v>60</v>
      </c>
      <c r="AJ433" s="10">
        <v>60</v>
      </c>
      <c r="AK433" s="11">
        <f t="shared" si="127"/>
        <v>0</v>
      </c>
      <c r="AL433" s="10">
        <v>0</v>
      </c>
      <c r="AM433" s="11">
        <f t="shared" si="118"/>
        <v>0</v>
      </c>
      <c r="AN433" s="10">
        <v>0</v>
      </c>
      <c r="AO433" s="55">
        <f t="shared" si="122"/>
        <v>1</v>
      </c>
      <c r="AQ433" s="11">
        <f ca="1">IFERROR(OFFSET(ITEM_RES!$A$1,MATCH(AR433,ITEM_RES!$J:$J,0)-1,0),0)</f>
        <v>211020501</v>
      </c>
      <c r="AR433" s="10" t="s">
        <v>424</v>
      </c>
      <c r="AS433" s="11">
        <v>78000</v>
      </c>
      <c r="AV433" s="11">
        <f ca="1">IFERROR(OFFSET(ITEM_RES!$A$1,MATCH(AW433,ITEM_RES!$J:$J,0)-1,0),0)</f>
        <v>0</v>
      </c>
      <c r="BA433" s="11">
        <f ca="1">IFERROR(OFFSET(ITEM_RES!$A$1,MATCH(BB433,ITEM_RES!$J:$J,0)-1,0),0)</f>
        <v>0</v>
      </c>
      <c r="BF433" s="11">
        <f ca="1">IFERROR(OFFSET(ITEM_RES!$A$1,MATCH(BG433,ITEM_RES!$J:$J,0)-1,0),0)</f>
        <v>0</v>
      </c>
      <c r="BK433" s="11">
        <f ca="1">IFERROR(OFFSET(ITEM_RES!$A$1,MATCH(BL433,ITEM_RES!$J:$J,0)-1,0),0)</f>
        <v>0</v>
      </c>
    </row>
    <row r="434" spans="1:66" x14ac:dyDescent="0.3">
      <c r="A434" s="14">
        <f t="shared" si="124"/>
        <v>114010010</v>
      </c>
      <c r="B434" s="13">
        <v>11</v>
      </c>
      <c r="C434" s="12">
        <f t="shared" si="125"/>
        <v>4</v>
      </c>
      <c r="D434" s="13">
        <v>1</v>
      </c>
      <c r="E434" s="13">
        <v>0</v>
      </c>
      <c r="F434" s="12">
        <f t="shared" si="126"/>
        <v>10</v>
      </c>
      <c r="H434" s="9">
        <v>4</v>
      </c>
      <c r="I434" s="9">
        <v>10</v>
      </c>
      <c r="K434" s="9" t="s">
        <v>369</v>
      </c>
      <c r="M434" s="9">
        <v>1</v>
      </c>
      <c r="N434" s="9">
        <v>15</v>
      </c>
      <c r="O434" s="138"/>
      <c r="Q434" s="9" t="s">
        <v>682</v>
      </c>
      <c r="T434" s="9">
        <f ca="1">IFERROR(OFFSET(ITEM_RES!$A$5,MATCH(BUILDING!S434,ITEM_RES!$J$5:$J$229,0)-1,0),0)</f>
        <v>0</v>
      </c>
      <c r="W434" s="11">
        <f ca="1">IFERROR(OFFSET(ITEM_RES!$A$5,MATCH(BUILDING!V434,ITEM_RES!$J$5:$J$229,0)-1,0),0)</f>
        <v>0</v>
      </c>
      <c r="Y434" s="9" t="s">
        <v>513</v>
      </c>
      <c r="Z434" s="9">
        <v>10</v>
      </c>
      <c r="AB434" s="11">
        <f ca="1">IFERROR(OFFSET(MANOR_LEVEL!$B$1,MATCH(AC434-1,MANOR_LEVEL!$A:$A,0)-1,0),0)</f>
        <v>2300</v>
      </c>
      <c r="AC434" s="55">
        <v>3</v>
      </c>
      <c r="AE434" s="11">
        <f t="shared" ca="1" si="121"/>
        <v>650000</v>
      </c>
      <c r="AF434" s="10">
        <f ca="1">AK434+AM434+(IFERROR(OFFSET(ITEM_RES!$R$1,MATCH(AQ434,ITEM_RES!$A:$A,0)-1,0),0)*AS434+IFERROR(OFFSET(ITEM_RES!$R$1,MATCH(AV434,ITEM_RES!$A:$A,0)-1,0),0)*AX434+IFERROR(OFFSET(ITEM_RES!$R$1,MATCH(BA434,ITEM_RES!$A:$A,0)-1,0),0)*BC434+IFERROR(OFFSET(ITEM_RES!$R$1,MATCH(BF434,ITEM_RES!$A:$A,0)-1,0),0)*BH434+IFERROR(OFFSET(ITEM_RES!$R$1,MATCH(BK434,ITEM_RES!$A:$A,0)-1,0),0)*BM434)/1000</f>
        <v>650000</v>
      </c>
      <c r="AG434" s="176">
        <f t="shared" ca="1" si="123"/>
        <v>1040000</v>
      </c>
      <c r="AI434" s="11">
        <f t="shared" si="120"/>
        <v>180</v>
      </c>
      <c r="AJ434" s="10">
        <v>180</v>
      </c>
      <c r="AK434" s="11">
        <f t="shared" si="127"/>
        <v>0</v>
      </c>
      <c r="AL434" s="10">
        <v>0</v>
      </c>
      <c r="AM434" s="11">
        <f t="shared" si="118"/>
        <v>0</v>
      </c>
      <c r="AN434" s="10">
        <v>0</v>
      </c>
      <c r="AO434" s="55">
        <f t="shared" si="122"/>
        <v>1</v>
      </c>
      <c r="AQ434" s="11">
        <f ca="1">IFERROR(OFFSET(ITEM_RES!$A$1,MATCH(AR434,ITEM_RES!$J:$J,0)-1,0),0)</f>
        <v>211020501</v>
      </c>
      <c r="AR434" s="10" t="s">
        <v>424</v>
      </c>
      <c r="AS434" s="11">
        <v>130000</v>
      </c>
      <c r="AV434" s="11">
        <f ca="1">IFERROR(OFFSET(ITEM_RES!$A$1,MATCH(AW434,ITEM_RES!$J:$J,0)-1,0),0)</f>
        <v>0</v>
      </c>
      <c r="BA434" s="11">
        <f ca="1">IFERROR(OFFSET(ITEM_RES!$A$1,MATCH(BB434,ITEM_RES!$J:$J,0)-1,0),0)</f>
        <v>0</v>
      </c>
      <c r="BF434" s="11">
        <f ca="1">IFERROR(OFFSET(ITEM_RES!$A$1,MATCH(BG434,ITEM_RES!$J:$J,0)-1,0),0)</f>
        <v>0</v>
      </c>
      <c r="BK434" s="11">
        <f ca="1">IFERROR(OFFSET(ITEM_RES!$A$1,MATCH(BL434,ITEM_RES!$J:$J,0)-1,0),0)</f>
        <v>0</v>
      </c>
    </row>
    <row r="435" spans="1:66" x14ac:dyDescent="0.3">
      <c r="A435" s="14">
        <f t="shared" si="124"/>
        <v>114010011</v>
      </c>
      <c r="B435" s="13">
        <v>11</v>
      </c>
      <c r="C435" s="12">
        <f t="shared" si="125"/>
        <v>4</v>
      </c>
      <c r="D435" s="13">
        <v>1</v>
      </c>
      <c r="E435" s="13">
        <v>0</v>
      </c>
      <c r="F435" s="12">
        <f t="shared" si="126"/>
        <v>11</v>
      </c>
      <c r="H435" s="9">
        <v>4</v>
      </c>
      <c r="I435" s="9">
        <v>11</v>
      </c>
      <c r="K435" s="9" t="s">
        <v>369</v>
      </c>
      <c r="M435" s="9">
        <v>1</v>
      </c>
      <c r="N435" s="9">
        <v>15</v>
      </c>
      <c r="O435" s="138"/>
      <c r="Q435" s="9" t="s">
        <v>682</v>
      </c>
      <c r="T435" s="9">
        <f ca="1">IFERROR(OFFSET(ITEM_RES!$A$5,MATCH(BUILDING!S435,ITEM_RES!$J$5:$J$229,0)-1,0),0)</f>
        <v>0</v>
      </c>
      <c r="W435" s="11">
        <f ca="1">IFERROR(OFFSET(ITEM_RES!$A$5,MATCH(BUILDING!V435,ITEM_RES!$J$5:$J$229,0)-1,0),0)</f>
        <v>0</v>
      </c>
      <c r="Y435" s="9" t="s">
        <v>513</v>
      </c>
      <c r="Z435" s="9">
        <v>11</v>
      </c>
      <c r="AB435" s="11">
        <f ca="1">IFERROR(OFFSET(MANOR_LEVEL!$B$1,MATCH(AC435-1,MANOR_LEVEL!$A:$A,0)-1,0),0)</f>
        <v>2300</v>
      </c>
      <c r="AC435" s="55">
        <v>3</v>
      </c>
      <c r="AE435" s="11">
        <f t="shared" ca="1" si="121"/>
        <v>1100000</v>
      </c>
      <c r="AF435" s="10">
        <f ca="1">AK435+AM435+(IFERROR(OFFSET(ITEM_RES!$R$1,MATCH(AQ435,ITEM_RES!$A:$A,0)-1,0),0)*AS435+IFERROR(OFFSET(ITEM_RES!$R$1,MATCH(AV435,ITEM_RES!$A:$A,0)-1,0),0)*AX435+IFERROR(OFFSET(ITEM_RES!$R$1,MATCH(BA435,ITEM_RES!$A:$A,0)-1,0),0)*BC435+IFERROR(OFFSET(ITEM_RES!$R$1,MATCH(BF435,ITEM_RES!$A:$A,0)-1,0),0)*BH435+IFERROR(OFFSET(ITEM_RES!$R$1,MATCH(BK435,ITEM_RES!$A:$A,0)-1,0),0)*BM435)/1000</f>
        <v>1100000</v>
      </c>
      <c r="AG435" s="176">
        <f t="shared" ca="1" si="123"/>
        <v>1750000</v>
      </c>
      <c r="AI435" s="11">
        <f t="shared" si="120"/>
        <v>360</v>
      </c>
      <c r="AJ435" s="10">
        <v>360</v>
      </c>
      <c r="AK435" s="11">
        <f t="shared" si="127"/>
        <v>0</v>
      </c>
      <c r="AL435" s="10">
        <v>0</v>
      </c>
      <c r="AM435" s="11">
        <f t="shared" si="118"/>
        <v>0</v>
      </c>
      <c r="AN435" s="10">
        <v>0</v>
      </c>
      <c r="AO435" s="55">
        <f t="shared" si="122"/>
        <v>1</v>
      </c>
      <c r="AQ435" s="11">
        <f ca="1">IFERROR(OFFSET(ITEM_RES!$A$1,MATCH(AR435,ITEM_RES!$J:$J,0)-1,0),0)</f>
        <v>211020501</v>
      </c>
      <c r="AR435" s="10" t="s">
        <v>424</v>
      </c>
      <c r="AS435" s="11">
        <v>220000</v>
      </c>
      <c r="AV435" s="11">
        <f ca="1">IFERROR(OFFSET(ITEM_RES!$A$1,MATCH(AW435,ITEM_RES!$J:$J,0)-1,0),0)</f>
        <v>0</v>
      </c>
      <c r="BA435" s="11">
        <f ca="1">IFERROR(OFFSET(ITEM_RES!$A$1,MATCH(BB435,ITEM_RES!$J:$J,0)-1,0),0)</f>
        <v>0</v>
      </c>
      <c r="BF435" s="11">
        <f ca="1">IFERROR(OFFSET(ITEM_RES!$A$1,MATCH(BG435,ITEM_RES!$J:$J,0)-1,0),0)</f>
        <v>0</v>
      </c>
      <c r="BK435" s="11">
        <f ca="1">IFERROR(OFFSET(ITEM_RES!$A$1,MATCH(BL435,ITEM_RES!$J:$J,0)-1,0),0)</f>
        <v>0</v>
      </c>
    </row>
    <row r="436" spans="1:66" x14ac:dyDescent="0.3">
      <c r="A436" s="14">
        <f t="shared" si="124"/>
        <v>114010012</v>
      </c>
      <c r="B436" s="13">
        <v>11</v>
      </c>
      <c r="C436" s="12">
        <f t="shared" si="125"/>
        <v>4</v>
      </c>
      <c r="D436" s="13">
        <v>1</v>
      </c>
      <c r="E436" s="13">
        <v>0</v>
      </c>
      <c r="F436" s="12">
        <f t="shared" si="126"/>
        <v>12</v>
      </c>
      <c r="H436" s="9">
        <v>4</v>
      </c>
      <c r="I436" s="9">
        <v>12</v>
      </c>
      <c r="K436" s="9" t="s">
        <v>369</v>
      </c>
      <c r="M436" s="9">
        <v>1</v>
      </c>
      <c r="N436" s="9">
        <v>15</v>
      </c>
      <c r="O436" s="138"/>
      <c r="Q436" s="9" t="s">
        <v>682</v>
      </c>
      <c r="T436" s="9">
        <f ca="1">IFERROR(OFFSET(ITEM_RES!$A$5,MATCH(BUILDING!S436,ITEM_RES!$J$5:$J$229,0)-1,0),0)</f>
        <v>0</v>
      </c>
      <c r="W436" s="11">
        <f ca="1">IFERROR(OFFSET(ITEM_RES!$A$5,MATCH(BUILDING!V436,ITEM_RES!$J$5:$J$229,0)-1,0),0)</f>
        <v>0</v>
      </c>
      <c r="Y436" s="9" t="s">
        <v>513</v>
      </c>
      <c r="Z436" s="9">
        <v>12</v>
      </c>
      <c r="AB436" s="11">
        <f ca="1">IFERROR(OFFSET(MANOR_LEVEL!$B$1,MATCH(AC436-1,MANOR_LEVEL!$A:$A,0)-1,0),0)</f>
        <v>7000</v>
      </c>
      <c r="AC436" s="55">
        <v>4</v>
      </c>
      <c r="AE436" s="11">
        <f t="shared" ca="1" si="121"/>
        <v>1850000</v>
      </c>
      <c r="AF436" s="10">
        <f ca="1">AK436+AM436+(IFERROR(OFFSET(ITEM_RES!$R$1,MATCH(AQ436,ITEM_RES!$A:$A,0)-1,0),0)*AS436+IFERROR(OFFSET(ITEM_RES!$R$1,MATCH(AV436,ITEM_RES!$A:$A,0)-1,0),0)*AX436+IFERROR(OFFSET(ITEM_RES!$R$1,MATCH(BA436,ITEM_RES!$A:$A,0)-1,0),0)*BC436+IFERROR(OFFSET(ITEM_RES!$R$1,MATCH(BF436,ITEM_RES!$A:$A,0)-1,0),0)*BH436+IFERROR(OFFSET(ITEM_RES!$R$1,MATCH(BK436,ITEM_RES!$A:$A,0)-1,0),0)*BM436)/1000</f>
        <v>1850000</v>
      </c>
      <c r="AG436" s="176">
        <f t="shared" ca="1" si="123"/>
        <v>2950000</v>
      </c>
      <c r="AI436" s="11">
        <f t="shared" si="120"/>
        <v>540</v>
      </c>
      <c r="AJ436" s="10">
        <v>540</v>
      </c>
      <c r="AK436" s="11">
        <f t="shared" si="127"/>
        <v>0</v>
      </c>
      <c r="AL436" s="10">
        <v>0</v>
      </c>
      <c r="AM436" s="11">
        <f t="shared" si="118"/>
        <v>0</v>
      </c>
      <c r="AN436" s="10">
        <v>0</v>
      </c>
      <c r="AO436" s="55">
        <f t="shared" si="122"/>
        <v>1</v>
      </c>
      <c r="AQ436" s="11">
        <f ca="1">IFERROR(OFFSET(ITEM_RES!$A$1,MATCH(AR436,ITEM_RES!$J:$J,0)-1,0),0)</f>
        <v>211020501</v>
      </c>
      <c r="AR436" s="10" t="s">
        <v>424</v>
      </c>
      <c r="AS436" s="11">
        <v>370000</v>
      </c>
      <c r="AV436" s="11">
        <f ca="1">IFERROR(OFFSET(ITEM_RES!$A$1,MATCH(AW436,ITEM_RES!$J:$J,0)-1,0),0)</f>
        <v>0</v>
      </c>
      <c r="BA436" s="11">
        <f ca="1">IFERROR(OFFSET(ITEM_RES!$A$1,MATCH(BB436,ITEM_RES!$J:$J,0)-1,0),0)</f>
        <v>0</v>
      </c>
      <c r="BF436" s="11">
        <f ca="1">IFERROR(OFFSET(ITEM_RES!$A$1,MATCH(BG436,ITEM_RES!$J:$J,0)-1,0),0)</f>
        <v>0</v>
      </c>
      <c r="BK436" s="11">
        <f ca="1">IFERROR(OFFSET(ITEM_RES!$A$1,MATCH(BL436,ITEM_RES!$J:$J,0)-1,0),0)</f>
        <v>0</v>
      </c>
    </row>
    <row r="437" spans="1:66" x14ac:dyDescent="0.3">
      <c r="A437" s="14">
        <f t="shared" si="124"/>
        <v>114010013</v>
      </c>
      <c r="B437" s="13">
        <v>11</v>
      </c>
      <c r="C437" s="12">
        <f t="shared" si="125"/>
        <v>4</v>
      </c>
      <c r="D437" s="13">
        <v>1</v>
      </c>
      <c r="E437" s="13">
        <v>0</v>
      </c>
      <c r="F437" s="12">
        <f t="shared" si="126"/>
        <v>13</v>
      </c>
      <c r="H437" s="9">
        <v>4</v>
      </c>
      <c r="I437" s="9">
        <v>13</v>
      </c>
      <c r="K437" s="9" t="s">
        <v>369</v>
      </c>
      <c r="M437" s="9">
        <v>1</v>
      </c>
      <c r="N437" s="9">
        <v>15</v>
      </c>
      <c r="O437" s="138"/>
      <c r="Q437" s="9" t="s">
        <v>682</v>
      </c>
      <c r="T437" s="9">
        <f ca="1">IFERROR(OFFSET(ITEM_RES!$A$5,MATCH(BUILDING!S437,ITEM_RES!$J$5:$J$229,0)-1,0),0)</f>
        <v>0</v>
      </c>
      <c r="W437" s="11">
        <f ca="1">IFERROR(OFFSET(ITEM_RES!$A$5,MATCH(BUILDING!V437,ITEM_RES!$J$5:$J$229,0)-1,0),0)</f>
        <v>0</v>
      </c>
      <c r="Y437" s="9" t="s">
        <v>513</v>
      </c>
      <c r="Z437" s="9">
        <v>13</v>
      </c>
      <c r="AB437" s="11">
        <f ca="1">IFERROR(OFFSET(MANOR_LEVEL!$B$1,MATCH(AC437-1,MANOR_LEVEL!$A:$A,0)-1,0),0)</f>
        <v>7000</v>
      </c>
      <c r="AC437" s="55">
        <v>4</v>
      </c>
      <c r="AE437" s="11">
        <f t="shared" ca="1" si="121"/>
        <v>3105000</v>
      </c>
      <c r="AF437" s="10">
        <f ca="1">AK437+AM437+(IFERROR(OFFSET(ITEM_RES!$R$1,MATCH(AQ437,ITEM_RES!$A:$A,0)-1,0),0)*AS437+IFERROR(OFFSET(ITEM_RES!$R$1,MATCH(AV437,ITEM_RES!$A:$A,0)-1,0),0)*AX437+IFERROR(OFFSET(ITEM_RES!$R$1,MATCH(BA437,ITEM_RES!$A:$A,0)-1,0),0)*BC437+IFERROR(OFFSET(ITEM_RES!$R$1,MATCH(BF437,ITEM_RES!$A:$A,0)-1,0),0)*BH437+IFERROR(OFFSET(ITEM_RES!$R$1,MATCH(BK437,ITEM_RES!$A:$A,0)-1,0),0)*BM437)/1000</f>
        <v>3105000</v>
      </c>
      <c r="AG437" s="176">
        <f t="shared" ca="1" si="123"/>
        <v>4955000</v>
      </c>
      <c r="AI437" s="11">
        <f t="shared" si="120"/>
        <v>720</v>
      </c>
      <c r="AJ437" s="10">
        <v>720</v>
      </c>
      <c r="AK437" s="11">
        <f t="shared" si="127"/>
        <v>0</v>
      </c>
      <c r="AL437" s="10">
        <v>0</v>
      </c>
      <c r="AM437" s="11">
        <f t="shared" si="118"/>
        <v>0</v>
      </c>
      <c r="AN437" s="10">
        <v>0</v>
      </c>
      <c r="AO437" s="55">
        <f t="shared" si="122"/>
        <v>2</v>
      </c>
      <c r="AQ437" s="11">
        <f ca="1">IFERROR(OFFSET(ITEM_RES!$A$1,MATCH(AR437,ITEM_RES!$J:$J,0)-1,0),0)</f>
        <v>211020501</v>
      </c>
      <c r="AR437" s="10" t="s">
        <v>424</v>
      </c>
      <c r="AS437" s="11">
        <v>620000</v>
      </c>
      <c r="AV437" s="11">
        <f ca="1">IFERROR(OFFSET(ITEM_RES!$A$1,MATCH(AW437,ITEM_RES!$J:$J,0)-1,0),0)</f>
        <v>0</v>
      </c>
      <c r="BA437" s="11">
        <f ca="1">IFERROR(OFFSET(ITEM_RES!$A$1,MATCH(BB437,ITEM_RES!$J:$J,0)-1,0),0)</f>
        <v>0</v>
      </c>
      <c r="BF437" s="11">
        <f ca="1">IFERROR(OFFSET(ITEM_RES!$A$1,MATCH(BG437,ITEM_RES!$J:$J,0)-1,0),0)</f>
        <v>213011301</v>
      </c>
      <c r="BG437" s="10" t="s">
        <v>458</v>
      </c>
      <c r="BH437" s="11">
        <v>1</v>
      </c>
      <c r="BK437" s="11">
        <f ca="1">IFERROR(OFFSET(ITEM_RES!$A$1,MATCH(BL437,ITEM_RES!$J:$J,0)-1,0),0)</f>
        <v>0</v>
      </c>
    </row>
    <row r="438" spans="1:66" x14ac:dyDescent="0.3">
      <c r="A438" s="14">
        <f t="shared" si="124"/>
        <v>114010014</v>
      </c>
      <c r="B438" s="13">
        <v>11</v>
      </c>
      <c r="C438" s="12">
        <f t="shared" si="125"/>
        <v>4</v>
      </c>
      <c r="D438" s="13">
        <v>1</v>
      </c>
      <c r="E438" s="13">
        <v>0</v>
      </c>
      <c r="F438" s="12">
        <f t="shared" si="126"/>
        <v>14</v>
      </c>
      <c r="H438" s="9">
        <v>4</v>
      </c>
      <c r="I438" s="9">
        <v>14</v>
      </c>
      <c r="K438" s="9" t="s">
        <v>369</v>
      </c>
      <c r="M438" s="9">
        <v>1</v>
      </c>
      <c r="N438" s="9">
        <v>15</v>
      </c>
      <c r="O438" s="138"/>
      <c r="Q438" s="9" t="s">
        <v>682</v>
      </c>
      <c r="T438" s="9">
        <f ca="1">IFERROR(OFFSET(ITEM_RES!$A$5,MATCH(BUILDING!S438,ITEM_RES!$J$5:$J$229,0)-1,0),0)</f>
        <v>0</v>
      </c>
      <c r="W438" s="11">
        <f ca="1">IFERROR(OFFSET(ITEM_RES!$A$5,MATCH(BUILDING!V438,ITEM_RES!$J$5:$J$229,0)-1,0),0)</f>
        <v>0</v>
      </c>
      <c r="Y438" s="9" t="s">
        <v>513</v>
      </c>
      <c r="Z438" s="9">
        <v>14</v>
      </c>
      <c r="AB438" s="11">
        <f ca="1">IFERROR(OFFSET(MANOR_LEVEL!$B$1,MATCH(AC438-1,MANOR_LEVEL!$A:$A,0)-1,0),0)</f>
        <v>7000</v>
      </c>
      <c r="AC438" s="55">
        <v>4</v>
      </c>
      <c r="AE438" s="11">
        <f t="shared" ca="1" si="121"/>
        <v>4850000</v>
      </c>
      <c r="AF438" s="10">
        <f ca="1">AK438+AM438+(IFERROR(OFFSET(ITEM_RES!$R$1,MATCH(AQ438,ITEM_RES!$A:$A,0)-1,0),0)*AS438+IFERROR(OFFSET(ITEM_RES!$R$1,MATCH(AV438,ITEM_RES!$A:$A,0)-1,0),0)*AX438+IFERROR(OFFSET(ITEM_RES!$R$1,MATCH(BA438,ITEM_RES!$A:$A,0)-1,0),0)*BC438+IFERROR(OFFSET(ITEM_RES!$R$1,MATCH(BF438,ITEM_RES!$A:$A,0)-1,0),0)*BH438+IFERROR(OFFSET(ITEM_RES!$R$1,MATCH(BK438,ITEM_RES!$A:$A,0)-1,0),0)*BM438)/1000</f>
        <v>4850000</v>
      </c>
      <c r="AG438" s="176">
        <f t="shared" ca="1" si="123"/>
        <v>7955000</v>
      </c>
      <c r="AI438" s="11">
        <f t="shared" si="120"/>
        <v>900</v>
      </c>
      <c r="AJ438" s="10">
        <v>900</v>
      </c>
      <c r="AK438" s="11">
        <f t="shared" si="127"/>
        <v>0</v>
      </c>
      <c r="AL438" s="10">
        <v>0</v>
      </c>
      <c r="AM438" s="11">
        <f t="shared" si="118"/>
        <v>0</v>
      </c>
      <c r="AN438" s="10">
        <v>0</v>
      </c>
      <c r="AO438" s="55">
        <f t="shared" si="122"/>
        <v>1</v>
      </c>
      <c r="AQ438" s="11">
        <f ca="1">IFERROR(OFFSET(ITEM_RES!$A$1,MATCH(AR438,ITEM_RES!$J:$J,0)-1,0),0)</f>
        <v>211020501</v>
      </c>
      <c r="AR438" s="10" t="s">
        <v>424</v>
      </c>
      <c r="AS438" s="11">
        <v>970000</v>
      </c>
      <c r="AV438" s="11">
        <f ca="1">IFERROR(OFFSET(ITEM_RES!$A$1,MATCH(AW438,ITEM_RES!$J:$J,0)-1,0),0)</f>
        <v>0</v>
      </c>
      <c r="BA438" s="11">
        <f ca="1">IFERROR(OFFSET(ITEM_RES!$A$1,MATCH(BB438,ITEM_RES!$J:$J,0)-1,0),0)</f>
        <v>0</v>
      </c>
      <c r="BF438" s="11">
        <f ca="1">IFERROR(OFFSET(ITEM_RES!$A$1,MATCH(BG438,ITEM_RES!$J:$J,0)-1,0),0)</f>
        <v>0</v>
      </c>
      <c r="BK438" s="11">
        <f ca="1">IFERROR(OFFSET(ITEM_RES!$A$1,MATCH(BL438,ITEM_RES!$J:$J,0)-1,0),0)</f>
        <v>0</v>
      </c>
    </row>
    <row r="439" spans="1:66" x14ac:dyDescent="0.3">
      <c r="A439" s="14">
        <f t="shared" si="124"/>
        <v>114010015</v>
      </c>
      <c r="B439" s="13">
        <v>11</v>
      </c>
      <c r="C439" s="12">
        <f t="shared" si="125"/>
        <v>4</v>
      </c>
      <c r="D439" s="13">
        <v>1</v>
      </c>
      <c r="E439" s="13">
        <v>0</v>
      </c>
      <c r="F439" s="12">
        <f t="shared" si="126"/>
        <v>15</v>
      </c>
      <c r="H439" s="9">
        <v>4</v>
      </c>
      <c r="I439" s="9">
        <v>15</v>
      </c>
      <c r="K439" s="9" t="s">
        <v>369</v>
      </c>
      <c r="M439" s="9">
        <v>1</v>
      </c>
      <c r="N439" s="9">
        <v>15</v>
      </c>
      <c r="O439" s="138"/>
      <c r="Q439" s="9" t="s">
        <v>682</v>
      </c>
      <c r="T439" s="9">
        <f ca="1">IFERROR(OFFSET(ITEM_RES!$A$5,MATCH(BUILDING!S439,ITEM_RES!$J$5:$J$229,0)-1,0),0)</f>
        <v>0</v>
      </c>
      <c r="W439" s="11">
        <f ca="1">IFERROR(OFFSET(ITEM_RES!$A$5,MATCH(BUILDING!V439,ITEM_RES!$J$5:$J$229,0)-1,0),0)</f>
        <v>0</v>
      </c>
      <c r="Y439" s="9" t="s">
        <v>513</v>
      </c>
      <c r="Z439" s="9">
        <v>15</v>
      </c>
      <c r="AB439" s="11">
        <f ca="1">IFERROR(OFFSET(MANOR_LEVEL!$B$1,MATCH(AC439-1,MANOR_LEVEL!$A:$A,0)-1,0),0)</f>
        <v>11000</v>
      </c>
      <c r="AC439" s="55">
        <v>5</v>
      </c>
      <c r="AE439" s="11">
        <f t="shared" ca="1" si="121"/>
        <v>10500000</v>
      </c>
      <c r="AF439" s="10">
        <f ca="1">AK439+AM439+(IFERROR(OFFSET(ITEM_RES!$R$1,MATCH(AQ439,ITEM_RES!$A:$A,0)-1,0),0)*AS439+IFERROR(OFFSET(ITEM_RES!$R$1,MATCH(AV439,ITEM_RES!$A:$A,0)-1,0),0)*AX439+IFERROR(OFFSET(ITEM_RES!$R$1,MATCH(BA439,ITEM_RES!$A:$A,0)-1,0),0)*BC439+IFERROR(OFFSET(ITEM_RES!$R$1,MATCH(BF439,ITEM_RES!$A:$A,0)-1,0),0)*BH439+IFERROR(OFFSET(ITEM_RES!$R$1,MATCH(BK439,ITEM_RES!$A:$A,0)-1,0),0)*BM439)/1000</f>
        <v>10500000</v>
      </c>
      <c r="AG439" s="176">
        <f t="shared" ca="1" si="123"/>
        <v>15350000</v>
      </c>
      <c r="AI439" s="11">
        <f t="shared" si="120"/>
        <v>1080</v>
      </c>
      <c r="AJ439" s="10">
        <v>1080</v>
      </c>
      <c r="AK439" s="11">
        <f t="shared" si="127"/>
        <v>0</v>
      </c>
      <c r="AL439" s="10">
        <v>0</v>
      </c>
      <c r="AM439" s="11">
        <f t="shared" si="118"/>
        <v>0</v>
      </c>
      <c r="AN439" s="10">
        <v>0</v>
      </c>
      <c r="AO439" s="55">
        <f t="shared" si="122"/>
        <v>1</v>
      </c>
      <c r="AQ439" s="11">
        <f ca="1">IFERROR(OFFSET(ITEM_RES!$A$1,MATCH(AR439,ITEM_RES!$J:$J,0)-1,0),0)</f>
        <v>211020501</v>
      </c>
      <c r="AR439" s="10" t="s">
        <v>424</v>
      </c>
      <c r="AS439" s="11">
        <v>2100000</v>
      </c>
      <c r="AV439" s="11">
        <f ca="1">IFERROR(OFFSET(ITEM_RES!$A$1,MATCH(AW439,ITEM_RES!$J:$J,0)-1,0),0)</f>
        <v>0</v>
      </c>
      <c r="BA439" s="11">
        <f ca="1">IFERROR(OFFSET(ITEM_RES!$A$1,MATCH(BB439,ITEM_RES!$J:$J,0)-1,0),0)</f>
        <v>0</v>
      </c>
      <c r="BF439" s="11">
        <f ca="1">IFERROR(OFFSET(ITEM_RES!$A$1,MATCH(BG439,ITEM_RES!$J:$J,0)-1,0),0)</f>
        <v>0</v>
      </c>
      <c r="BK439" s="11">
        <f ca="1">IFERROR(OFFSET(ITEM_RES!$A$1,MATCH(BL439,ITEM_RES!$J:$J,0)-1,0),0)</f>
        <v>0</v>
      </c>
    </row>
    <row r="440" spans="1:66" x14ac:dyDescent="0.3">
      <c r="A440" s="14">
        <f t="shared" si="124"/>
        <v>114010016</v>
      </c>
      <c r="B440" s="13">
        <v>11</v>
      </c>
      <c r="C440" s="12">
        <f t="shared" si="125"/>
        <v>4</v>
      </c>
      <c r="D440" s="13">
        <v>1</v>
      </c>
      <c r="E440" s="13">
        <v>0</v>
      </c>
      <c r="F440" s="12">
        <f t="shared" si="126"/>
        <v>16</v>
      </c>
      <c r="H440" s="9">
        <v>4</v>
      </c>
      <c r="I440" s="9">
        <v>16</v>
      </c>
      <c r="K440" s="9" t="s">
        <v>369</v>
      </c>
      <c r="M440" s="9">
        <v>0</v>
      </c>
      <c r="N440" s="9">
        <v>15</v>
      </c>
      <c r="O440" s="138"/>
      <c r="Q440" s="9" t="s">
        <v>682</v>
      </c>
      <c r="T440" s="9">
        <f ca="1">IFERROR(OFFSET(ITEM_RES!$A$5,MATCH(BUILDING!S440,ITEM_RES!$J$5:$J$229,0)-1,0),0)</f>
        <v>0</v>
      </c>
      <c r="W440" s="11">
        <f ca="1">IFERROR(OFFSET(ITEM_RES!$A$5,MATCH(BUILDING!V440,ITEM_RES!$J$5:$J$229,0)-1,0),0)</f>
        <v>0</v>
      </c>
      <c r="Y440" s="9" t="s">
        <v>513</v>
      </c>
      <c r="Z440" s="9">
        <v>16</v>
      </c>
      <c r="AB440" s="11">
        <f ca="1">IFERROR(OFFSET(MANOR_LEVEL!$B$1,MATCH(AC440-1,MANOR_LEVEL!$A:$A,0)-1,0),0)</f>
        <v>11000</v>
      </c>
      <c r="AC440" s="55">
        <v>5</v>
      </c>
      <c r="AE440" s="11">
        <f t="shared" ca="1" si="121"/>
        <v>21500000</v>
      </c>
      <c r="AF440" s="10">
        <f ca="1">AK440+AM440+(IFERROR(OFFSET(ITEM_RES!$R$1,MATCH(AQ440,ITEM_RES!$A:$A,0)-1,0),0)*AS440+IFERROR(OFFSET(ITEM_RES!$R$1,MATCH(AV440,ITEM_RES!$A:$A,0)-1,0),0)*AX440+IFERROR(OFFSET(ITEM_RES!$R$1,MATCH(BA440,ITEM_RES!$A:$A,0)-1,0),0)*BC440+IFERROR(OFFSET(ITEM_RES!$R$1,MATCH(BF440,ITEM_RES!$A:$A,0)-1,0),0)*BH440+IFERROR(OFFSET(ITEM_RES!$R$1,MATCH(BK440,ITEM_RES!$A:$A,0)-1,0),0)*BM440)/1000</f>
        <v>21500000</v>
      </c>
      <c r="AG440" s="176">
        <f t="shared" ca="1" si="123"/>
        <v>32000000</v>
      </c>
      <c r="AI440" s="11">
        <f t="shared" si="120"/>
        <v>1260</v>
      </c>
      <c r="AJ440" s="10">
        <v>1260</v>
      </c>
      <c r="AK440" s="11">
        <f t="shared" si="127"/>
        <v>0</v>
      </c>
      <c r="AL440" s="10">
        <v>0</v>
      </c>
      <c r="AM440" s="11">
        <f t="shared" si="118"/>
        <v>0</v>
      </c>
      <c r="AN440" s="10">
        <v>0</v>
      </c>
      <c r="AO440" s="55">
        <f t="shared" si="122"/>
        <v>1</v>
      </c>
      <c r="AQ440" s="11">
        <f ca="1">IFERROR(OFFSET(ITEM_RES!$A$1,MATCH(AR440,ITEM_RES!$J:$J,0)-1,0),0)</f>
        <v>211020501</v>
      </c>
      <c r="AR440" s="10" t="s">
        <v>424</v>
      </c>
      <c r="AS440" s="11">
        <v>4300000</v>
      </c>
      <c r="AV440" s="11">
        <f ca="1">IFERROR(OFFSET(ITEM_RES!$A$1,MATCH(AW440,ITEM_RES!$J:$J,0)-1,0),0)</f>
        <v>0</v>
      </c>
      <c r="BA440" s="11">
        <f ca="1">IFERROR(OFFSET(ITEM_RES!$A$1,MATCH(BB440,ITEM_RES!$J:$J,0)-1,0),0)</f>
        <v>0</v>
      </c>
      <c r="BF440" s="11">
        <f ca="1">IFERROR(OFFSET(ITEM_RES!$A$1,MATCH(BG440,ITEM_RES!$J:$J,0)-1,0),0)</f>
        <v>0</v>
      </c>
      <c r="BK440" s="11">
        <f ca="1">IFERROR(OFFSET(ITEM_RES!$A$1,MATCH(BL440,ITEM_RES!$J:$J,0)-1,0),0)</f>
        <v>0</v>
      </c>
    </row>
    <row r="441" spans="1:66" x14ac:dyDescent="0.3">
      <c r="A441" s="14">
        <f t="shared" si="124"/>
        <v>114010017</v>
      </c>
      <c r="B441" s="13">
        <v>11</v>
      </c>
      <c r="C441" s="12">
        <f t="shared" si="125"/>
        <v>4</v>
      </c>
      <c r="D441" s="13">
        <v>1</v>
      </c>
      <c r="E441" s="13">
        <v>0</v>
      </c>
      <c r="F441" s="12">
        <f t="shared" si="126"/>
        <v>17</v>
      </c>
      <c r="H441" s="9">
        <v>4</v>
      </c>
      <c r="I441" s="9">
        <v>17</v>
      </c>
      <c r="K441" s="9" t="s">
        <v>369</v>
      </c>
      <c r="M441" s="9">
        <v>0</v>
      </c>
      <c r="N441" s="9">
        <v>15</v>
      </c>
      <c r="O441" s="138"/>
      <c r="Q441" s="9" t="s">
        <v>682</v>
      </c>
      <c r="T441" s="9">
        <f ca="1">IFERROR(OFFSET(ITEM_RES!$A$5,MATCH(BUILDING!S441,ITEM_RES!$J$5:$J$229,0)-1,0),0)</f>
        <v>0</v>
      </c>
      <c r="W441" s="11">
        <f ca="1">IFERROR(OFFSET(ITEM_RES!$A$5,MATCH(BUILDING!V441,ITEM_RES!$J$5:$J$229,0)-1,0),0)</f>
        <v>0</v>
      </c>
      <c r="Y441" s="9" t="s">
        <v>513</v>
      </c>
      <c r="Z441" s="9">
        <v>17</v>
      </c>
      <c r="AB441" s="11">
        <f ca="1">IFERROR(OFFSET(MANOR_LEVEL!$B$1,MATCH(AC441-1,MANOR_LEVEL!$A:$A,0)-1,0),0)</f>
        <v>17000</v>
      </c>
      <c r="AC441" s="55">
        <v>6</v>
      </c>
      <c r="AE441" s="11">
        <f t="shared" ca="1" si="121"/>
        <v>40000000</v>
      </c>
      <c r="AF441" s="10">
        <f ca="1">AK441+AM441+(IFERROR(OFFSET(ITEM_RES!$R$1,MATCH(AQ441,ITEM_RES!$A:$A,0)-1,0),0)*AS441+IFERROR(OFFSET(ITEM_RES!$R$1,MATCH(AV441,ITEM_RES!$A:$A,0)-1,0),0)*AX441+IFERROR(OFFSET(ITEM_RES!$R$1,MATCH(BA441,ITEM_RES!$A:$A,0)-1,0),0)*BC441+IFERROR(OFFSET(ITEM_RES!$R$1,MATCH(BF441,ITEM_RES!$A:$A,0)-1,0),0)*BH441+IFERROR(OFFSET(ITEM_RES!$R$1,MATCH(BK441,ITEM_RES!$A:$A,0)-1,0),0)*BM441)/1000</f>
        <v>40000000</v>
      </c>
      <c r="AG441" s="176">
        <f t="shared" ca="1" si="123"/>
        <v>61500000</v>
      </c>
      <c r="AI441" s="11">
        <f t="shared" si="120"/>
        <v>1440</v>
      </c>
      <c r="AJ441" s="10">
        <v>1440</v>
      </c>
      <c r="AK441" s="11">
        <f t="shared" si="127"/>
        <v>0</v>
      </c>
      <c r="AL441" s="10">
        <v>0</v>
      </c>
      <c r="AM441" s="11">
        <f t="shared" si="118"/>
        <v>0</v>
      </c>
      <c r="AN441" s="10">
        <v>0</v>
      </c>
      <c r="AO441" s="55">
        <f t="shared" si="122"/>
        <v>1</v>
      </c>
      <c r="AQ441" s="11">
        <f ca="1">IFERROR(OFFSET(ITEM_RES!$A$1,MATCH(AR441,ITEM_RES!$J:$J,0)-1,0),0)</f>
        <v>211020501</v>
      </c>
      <c r="AR441" s="10" t="s">
        <v>424</v>
      </c>
      <c r="AS441" s="11">
        <v>8000000</v>
      </c>
      <c r="AV441" s="11">
        <f ca="1">IFERROR(OFFSET(ITEM_RES!$A$1,MATCH(AW441,ITEM_RES!$J:$J,0)-1,0),0)</f>
        <v>0</v>
      </c>
      <c r="BA441" s="11">
        <f ca="1">IFERROR(OFFSET(ITEM_RES!$A$1,MATCH(BB441,ITEM_RES!$J:$J,0)-1,0),0)</f>
        <v>0</v>
      </c>
      <c r="BF441" s="11">
        <f ca="1">IFERROR(OFFSET(ITEM_RES!$A$1,MATCH(BG441,ITEM_RES!$J:$J,0)-1,0),0)</f>
        <v>0</v>
      </c>
      <c r="BK441" s="11">
        <f ca="1">IFERROR(OFFSET(ITEM_RES!$A$1,MATCH(BL441,ITEM_RES!$J:$J,0)-1,0),0)</f>
        <v>0</v>
      </c>
    </row>
    <row r="442" spans="1:66" x14ac:dyDescent="0.3">
      <c r="A442" s="14">
        <f t="shared" si="124"/>
        <v>114010018</v>
      </c>
      <c r="B442" s="13">
        <v>11</v>
      </c>
      <c r="C442" s="12">
        <f t="shared" si="125"/>
        <v>4</v>
      </c>
      <c r="D442" s="13">
        <v>1</v>
      </c>
      <c r="E442" s="13">
        <v>0</v>
      </c>
      <c r="F442" s="12">
        <f t="shared" si="126"/>
        <v>18</v>
      </c>
      <c r="H442" s="9">
        <v>4</v>
      </c>
      <c r="I442" s="9">
        <v>18</v>
      </c>
      <c r="K442" s="9" t="s">
        <v>369</v>
      </c>
      <c r="M442" s="9">
        <v>0</v>
      </c>
      <c r="N442" s="9">
        <v>15</v>
      </c>
      <c r="O442" s="138"/>
      <c r="Q442" s="9" t="s">
        <v>682</v>
      </c>
      <c r="T442" s="9">
        <f ca="1">IFERROR(OFFSET(ITEM_RES!$A$5,MATCH(BUILDING!S442,ITEM_RES!$J$5:$J$229,0)-1,0),0)</f>
        <v>0</v>
      </c>
      <c r="W442" s="11">
        <f ca="1">IFERROR(OFFSET(ITEM_RES!$A$5,MATCH(BUILDING!V442,ITEM_RES!$J$5:$J$229,0)-1,0),0)</f>
        <v>0</v>
      </c>
      <c r="Y442" s="9" t="s">
        <v>513</v>
      </c>
      <c r="Z442" s="9">
        <v>18</v>
      </c>
      <c r="AB442" s="11">
        <f ca="1">IFERROR(OFFSET(MANOR_LEVEL!$B$1,MATCH(AC442-1,MANOR_LEVEL!$A:$A,0)-1,0),0)</f>
        <v>40000</v>
      </c>
      <c r="AC442" s="55">
        <v>7</v>
      </c>
      <c r="AE442" s="11">
        <f t="shared" ca="1" si="121"/>
        <v>65000000</v>
      </c>
      <c r="AF442" s="10">
        <f ca="1">AK442+AM442+(IFERROR(OFFSET(ITEM_RES!$R$1,MATCH(AQ442,ITEM_RES!$A:$A,0)-1,0),0)*AS442+IFERROR(OFFSET(ITEM_RES!$R$1,MATCH(AV442,ITEM_RES!$A:$A,0)-1,0),0)*AX442+IFERROR(OFFSET(ITEM_RES!$R$1,MATCH(BA442,ITEM_RES!$A:$A,0)-1,0),0)*BC442+IFERROR(OFFSET(ITEM_RES!$R$1,MATCH(BF442,ITEM_RES!$A:$A,0)-1,0),0)*BH442+IFERROR(OFFSET(ITEM_RES!$R$1,MATCH(BK442,ITEM_RES!$A:$A,0)-1,0),0)*BM442)/1000</f>
        <v>65000000</v>
      </c>
      <c r="AG442" s="176">
        <f t="shared" ca="1" si="123"/>
        <v>105000000</v>
      </c>
      <c r="AI442" s="11">
        <f t="shared" si="120"/>
        <v>1620</v>
      </c>
      <c r="AJ442" s="10">
        <v>1620</v>
      </c>
      <c r="AK442" s="11">
        <f t="shared" si="127"/>
        <v>0</v>
      </c>
      <c r="AL442" s="10">
        <v>0</v>
      </c>
      <c r="AM442" s="11">
        <f t="shared" si="118"/>
        <v>0</v>
      </c>
      <c r="AN442" s="10">
        <v>0</v>
      </c>
      <c r="AO442" s="55">
        <f t="shared" si="122"/>
        <v>1</v>
      </c>
      <c r="AQ442" s="11">
        <f ca="1">IFERROR(OFFSET(ITEM_RES!$A$1,MATCH(AR442,ITEM_RES!$J:$J,0)-1,0),0)</f>
        <v>211020501</v>
      </c>
      <c r="AR442" s="10" t="s">
        <v>424</v>
      </c>
      <c r="AS442" s="11">
        <v>13000000</v>
      </c>
      <c r="AV442" s="11">
        <f ca="1">IFERROR(OFFSET(ITEM_RES!$A$1,MATCH(AW442,ITEM_RES!$J:$J,0)-1,0),0)</f>
        <v>0</v>
      </c>
      <c r="BA442" s="11">
        <f ca="1">IFERROR(OFFSET(ITEM_RES!$A$1,MATCH(BB442,ITEM_RES!$J:$J,0)-1,0),0)</f>
        <v>0</v>
      </c>
      <c r="BF442" s="11">
        <f ca="1">IFERROR(OFFSET(ITEM_RES!$A$1,MATCH(BG442,ITEM_RES!$J:$J,0)-1,0),0)</f>
        <v>0</v>
      </c>
      <c r="BK442" s="11">
        <f ca="1">IFERROR(OFFSET(ITEM_RES!$A$1,MATCH(BL442,ITEM_RES!$J:$J,0)-1,0),0)</f>
        <v>0</v>
      </c>
    </row>
    <row r="443" spans="1:66" x14ac:dyDescent="0.3">
      <c r="A443" s="14">
        <f t="shared" si="124"/>
        <v>114010019</v>
      </c>
      <c r="B443" s="13">
        <v>11</v>
      </c>
      <c r="C443" s="12">
        <f t="shared" si="125"/>
        <v>4</v>
      </c>
      <c r="D443" s="13">
        <v>1</v>
      </c>
      <c r="E443" s="13">
        <v>0</v>
      </c>
      <c r="F443" s="12">
        <f t="shared" si="126"/>
        <v>19</v>
      </c>
      <c r="H443" s="9">
        <v>4</v>
      </c>
      <c r="I443" s="9">
        <v>19</v>
      </c>
      <c r="K443" s="9" t="s">
        <v>369</v>
      </c>
      <c r="M443" s="9">
        <v>0</v>
      </c>
      <c r="N443" s="9">
        <v>15</v>
      </c>
      <c r="O443" s="138"/>
      <c r="Q443" s="9" t="s">
        <v>682</v>
      </c>
      <c r="T443" s="9">
        <f ca="1">IFERROR(OFFSET(ITEM_RES!$A$5,MATCH(BUILDING!S443,ITEM_RES!$J$5:$J$229,0)-1,0),0)</f>
        <v>0</v>
      </c>
      <c r="W443" s="11">
        <f ca="1">IFERROR(OFFSET(ITEM_RES!$A$5,MATCH(BUILDING!V443,ITEM_RES!$J$5:$J$229,0)-1,0),0)</f>
        <v>0</v>
      </c>
      <c r="Y443" s="9" t="s">
        <v>513</v>
      </c>
      <c r="Z443" s="9">
        <v>19</v>
      </c>
      <c r="AB443" s="11">
        <f ca="1">IFERROR(OFFSET(MANOR_LEVEL!$B$1,MATCH(AC443-1,MANOR_LEVEL!$A:$A,0)-1,0),0)</f>
        <v>40000</v>
      </c>
      <c r="AC443" s="55">
        <v>7</v>
      </c>
      <c r="AE443" s="11">
        <f t="shared" ca="1" si="121"/>
        <v>100000000</v>
      </c>
      <c r="AF443" s="10">
        <f ca="1">AK443+AM443+(IFERROR(OFFSET(ITEM_RES!$R$1,MATCH(AQ443,ITEM_RES!$A:$A,0)-1,0),0)*AS443+IFERROR(OFFSET(ITEM_RES!$R$1,MATCH(AV443,ITEM_RES!$A:$A,0)-1,0),0)*AX443+IFERROR(OFFSET(ITEM_RES!$R$1,MATCH(BA443,ITEM_RES!$A:$A,0)-1,0),0)*BC443+IFERROR(OFFSET(ITEM_RES!$R$1,MATCH(BF443,ITEM_RES!$A:$A,0)-1,0),0)*BH443+IFERROR(OFFSET(ITEM_RES!$R$1,MATCH(BK443,ITEM_RES!$A:$A,0)-1,0),0)*BM443)/1000</f>
        <v>100000000</v>
      </c>
      <c r="AG443" s="176">
        <f t="shared" ca="1" si="123"/>
        <v>165000000</v>
      </c>
      <c r="AI443" s="11">
        <f t="shared" si="120"/>
        <v>1800</v>
      </c>
      <c r="AJ443" s="10">
        <v>1800</v>
      </c>
      <c r="AK443" s="11">
        <f t="shared" si="127"/>
        <v>0</v>
      </c>
      <c r="AL443" s="10">
        <v>0</v>
      </c>
      <c r="AM443" s="11">
        <f t="shared" si="118"/>
        <v>0</v>
      </c>
      <c r="AN443" s="10">
        <v>0</v>
      </c>
      <c r="AO443" s="55">
        <f t="shared" si="122"/>
        <v>1</v>
      </c>
      <c r="AQ443" s="11">
        <f ca="1">IFERROR(OFFSET(ITEM_RES!$A$1,MATCH(AR443,ITEM_RES!$J:$J,0)-1,0),0)</f>
        <v>211020501</v>
      </c>
      <c r="AR443" s="10" t="s">
        <v>424</v>
      </c>
      <c r="AS443" s="11">
        <v>20000000</v>
      </c>
      <c r="AV443" s="11">
        <f ca="1">IFERROR(OFFSET(ITEM_RES!$A$1,MATCH(AW443,ITEM_RES!$J:$J,0)-1,0),0)</f>
        <v>0</v>
      </c>
      <c r="BA443" s="11">
        <f ca="1">IFERROR(OFFSET(ITEM_RES!$A$1,MATCH(BB443,ITEM_RES!$J:$J,0)-1,0),0)</f>
        <v>0</v>
      </c>
      <c r="BF443" s="11">
        <f ca="1">IFERROR(OFFSET(ITEM_RES!$A$1,MATCH(BG443,ITEM_RES!$J:$J,0)-1,0),0)</f>
        <v>0</v>
      </c>
      <c r="BK443" s="11">
        <f ca="1">IFERROR(OFFSET(ITEM_RES!$A$1,MATCH(BL443,ITEM_RES!$J:$J,0)-1,0),0)</f>
        <v>0</v>
      </c>
    </row>
    <row r="444" spans="1:66" ht="17.25" thickBot="1" x14ac:dyDescent="0.35">
      <c r="A444" s="14">
        <f t="shared" si="124"/>
        <v>114010020</v>
      </c>
      <c r="B444" s="13">
        <v>11</v>
      </c>
      <c r="C444" s="12">
        <f t="shared" si="125"/>
        <v>4</v>
      </c>
      <c r="D444" s="13">
        <v>1</v>
      </c>
      <c r="E444" s="13">
        <v>0</v>
      </c>
      <c r="F444" s="12">
        <f t="shared" si="126"/>
        <v>20</v>
      </c>
      <c r="H444" s="9">
        <v>4</v>
      </c>
      <c r="I444" s="9">
        <v>20</v>
      </c>
      <c r="K444" s="9" t="s">
        <v>369</v>
      </c>
      <c r="M444" s="9">
        <v>0</v>
      </c>
      <c r="N444" s="9">
        <v>15</v>
      </c>
      <c r="O444" s="138"/>
      <c r="Q444" s="9" t="s">
        <v>682</v>
      </c>
      <c r="T444" s="9">
        <f ca="1">IFERROR(OFFSET(ITEM_RES!$A$5,MATCH(BUILDING!S444,ITEM_RES!$J$5:$J$229,0)-1,0),0)</f>
        <v>0</v>
      </c>
      <c r="W444" s="11">
        <f ca="1">IFERROR(OFFSET(ITEM_RES!$A$5,MATCH(BUILDING!V444,ITEM_RES!$J$5:$J$229,0)-1,0),0)</f>
        <v>0</v>
      </c>
      <c r="Y444" s="9" t="s">
        <v>513</v>
      </c>
      <c r="Z444" s="9">
        <v>20</v>
      </c>
      <c r="AB444" s="11">
        <f ca="1">IFERROR(OFFSET(MANOR_LEVEL!$B$1,MATCH(AC444-1,MANOR_LEVEL!$A:$A,0)-1,0),0)</f>
        <v>40000</v>
      </c>
      <c r="AC444" s="55">
        <v>7</v>
      </c>
      <c r="AE444" s="11">
        <f t="shared" ca="1" si="121"/>
        <v>160000000</v>
      </c>
      <c r="AF444" s="10">
        <f ca="1">AK444+AM444+(IFERROR(OFFSET(ITEM_RES!$R$1,MATCH(AQ444,ITEM_RES!$A:$A,0)-1,0),0)*AS444+IFERROR(OFFSET(ITEM_RES!$R$1,MATCH(AV444,ITEM_RES!$A:$A,0)-1,0),0)*AX444+IFERROR(OFFSET(ITEM_RES!$R$1,MATCH(BA444,ITEM_RES!$A:$A,0)-1,0),0)*BC444+IFERROR(OFFSET(ITEM_RES!$R$1,MATCH(BF444,ITEM_RES!$A:$A,0)-1,0),0)*BH444+IFERROR(OFFSET(ITEM_RES!$R$1,MATCH(BK444,ITEM_RES!$A:$A,0)-1,0),0)*BM444)/1000</f>
        <v>160000000</v>
      </c>
      <c r="AG444" s="176">
        <f t="shared" ca="1" si="123"/>
        <v>260000000</v>
      </c>
      <c r="AI444" s="11">
        <f t="shared" si="120"/>
        <v>1980</v>
      </c>
      <c r="AJ444" s="10">
        <v>1980</v>
      </c>
      <c r="AK444" s="11">
        <f t="shared" si="127"/>
        <v>0</v>
      </c>
      <c r="AL444" s="10">
        <v>0</v>
      </c>
      <c r="AM444" s="11">
        <f t="shared" si="118"/>
        <v>0</v>
      </c>
      <c r="AN444" s="10">
        <v>0</v>
      </c>
      <c r="AO444" s="55">
        <f t="shared" si="122"/>
        <v>1</v>
      </c>
      <c r="AQ444" s="11">
        <f ca="1">IFERROR(OFFSET(ITEM_RES!$A$1,MATCH(AR444,ITEM_RES!$J:$J,0)-1,0),0)</f>
        <v>211020501</v>
      </c>
      <c r="AR444" s="10" t="s">
        <v>424</v>
      </c>
      <c r="AS444" s="11">
        <v>32000000</v>
      </c>
      <c r="AV444" s="11">
        <f ca="1">IFERROR(OFFSET(ITEM_RES!$A$1,MATCH(AW444,ITEM_RES!$J:$J,0)-1,0),0)</f>
        <v>0</v>
      </c>
      <c r="BA444" s="11">
        <f ca="1">IFERROR(OFFSET(ITEM_RES!$A$1,MATCH(BB444,ITEM_RES!$J:$J,0)-1,0),0)</f>
        <v>0</v>
      </c>
      <c r="BF444" s="11">
        <f ca="1">IFERROR(OFFSET(ITEM_RES!$A$1,MATCH(BG444,ITEM_RES!$J:$J,0)-1,0),0)</f>
        <v>0</v>
      </c>
      <c r="BK444" s="11">
        <f ca="1">IFERROR(OFFSET(ITEM_RES!$A$1,MATCH(BL444,ITEM_RES!$J:$J,0)-1,0),0)</f>
        <v>0</v>
      </c>
    </row>
    <row r="445" spans="1:66" s="15" customFormat="1" x14ac:dyDescent="0.3">
      <c r="A445" s="21">
        <f t="shared" si="124"/>
        <v>114020001</v>
      </c>
      <c r="B445" s="20">
        <v>11</v>
      </c>
      <c r="C445" s="19">
        <f t="shared" si="125"/>
        <v>4</v>
      </c>
      <c r="D445" s="20">
        <v>2</v>
      </c>
      <c r="E445" s="20">
        <v>0</v>
      </c>
      <c r="F445" s="19">
        <f t="shared" si="126"/>
        <v>1</v>
      </c>
      <c r="G445" s="76"/>
      <c r="H445" s="16">
        <v>4</v>
      </c>
      <c r="I445" s="16">
        <v>1</v>
      </c>
      <c r="J445" s="76"/>
      <c r="K445" s="16" t="s">
        <v>371</v>
      </c>
      <c r="L445" s="16">
        <v>1</v>
      </c>
      <c r="M445" s="16">
        <v>1</v>
      </c>
      <c r="N445" s="16">
        <v>15</v>
      </c>
      <c r="O445" s="16" t="s">
        <v>1128</v>
      </c>
      <c r="P445" s="56" t="s">
        <v>1384</v>
      </c>
      <c r="Q445" s="16" t="s">
        <v>683</v>
      </c>
      <c r="R445" s="76"/>
      <c r="S445" s="83"/>
      <c r="T445" s="16">
        <f ca="1">IFERROR(OFFSET(ITEM_RES!$A$5,MATCH(BUILDING!S445,ITEM_RES!$J$5:$J$229,0)-1,0),0)</f>
        <v>0</v>
      </c>
      <c r="U445" s="18"/>
      <c r="V445" s="83"/>
      <c r="W445" s="18">
        <f ca="1">IFERROR(OFFSET(ITEM_RES!$A$5,MATCH(BUILDING!V445,ITEM_RES!$J$5:$J$229,0)-1,0),0)</f>
        <v>0</v>
      </c>
      <c r="X445" s="76"/>
      <c r="Y445" s="16" t="s">
        <v>514</v>
      </c>
      <c r="Z445" s="16">
        <v>2</v>
      </c>
      <c r="AA445" s="76"/>
      <c r="AB445" s="18">
        <f ca="1">IFERROR(OFFSET(MANOR_LEVEL!$B$1,MATCH(AC445-1,MANOR_LEVEL!$A:$A,0)-1,0),0)</f>
        <v>800</v>
      </c>
      <c r="AC445" s="56">
        <v>2</v>
      </c>
      <c r="AD445" s="76"/>
      <c r="AE445" s="18">
        <f t="shared" ca="1" si="121"/>
        <v>1036</v>
      </c>
      <c r="AF445" s="17">
        <f ca="1">AK445+AM445+(IFERROR(OFFSET(ITEM_RES!$R$1,MATCH(AQ445,ITEM_RES!$A:$A,0)-1,0),0)*AS445+IFERROR(OFFSET(ITEM_RES!$R$1,MATCH(AV445,ITEM_RES!$A:$A,0)-1,0),0)*AX445+IFERROR(OFFSET(ITEM_RES!$R$1,MATCH(BA445,ITEM_RES!$A:$A,0)-1,0),0)*BC445+IFERROR(OFFSET(ITEM_RES!$R$1,MATCH(BF445,ITEM_RES!$A:$A,0)-1,0),0)*BH445+IFERROR(OFFSET(ITEM_RES!$R$1,MATCH(BK445,ITEM_RES!$A:$A,0)-1,0),0)*BM445)/1000</f>
        <v>1036</v>
      </c>
      <c r="AG445" s="178">
        <f ca="1">AE445</f>
        <v>1036</v>
      </c>
      <c r="AH445" s="76"/>
      <c r="AI445" s="18">
        <f t="shared" si="120"/>
        <v>2</v>
      </c>
      <c r="AJ445" s="17">
        <v>2</v>
      </c>
      <c r="AK445" s="18">
        <f t="shared" si="127"/>
        <v>0</v>
      </c>
      <c r="AL445" s="17">
        <v>0</v>
      </c>
      <c r="AM445" s="18">
        <f t="shared" si="118"/>
        <v>0</v>
      </c>
      <c r="AN445" s="17">
        <v>0</v>
      </c>
      <c r="AO445" s="56">
        <f t="shared" si="122"/>
        <v>3</v>
      </c>
      <c r="AP445" s="18"/>
      <c r="AQ445" s="18">
        <f ca="1">IFERROR(OFFSET(ITEM_RES!$A$1,MATCH(AR445,ITEM_RES!$J:$J,0)-1,0),0)</f>
        <v>211020201</v>
      </c>
      <c r="AR445" s="17" t="s">
        <v>1324</v>
      </c>
      <c r="AS445" s="18">
        <v>5</v>
      </c>
      <c r="AT445" s="17"/>
      <c r="AU445" s="18"/>
      <c r="AV445" s="18">
        <f ca="1">IFERROR(OFFSET(ITEM_RES!$A$1,MATCH(AW445,ITEM_RES!$J:$J,0)-1,0),0)</f>
        <v>211020801</v>
      </c>
      <c r="AW445" s="17" t="s">
        <v>1438</v>
      </c>
      <c r="AX445" s="18">
        <v>1</v>
      </c>
      <c r="AY445" s="17"/>
      <c r="AZ445" s="18"/>
      <c r="BA445" s="18">
        <f ca="1">IFERROR(OFFSET(ITEM_RES!$A$1,MATCH(BB445,ITEM_RES!$J:$J,0)-1,0),0)</f>
        <v>213010101</v>
      </c>
      <c r="BB445" s="17" t="s">
        <v>440</v>
      </c>
      <c r="BC445" s="18">
        <v>1</v>
      </c>
      <c r="BD445" s="17"/>
      <c r="BE445" s="18"/>
      <c r="BF445" s="18">
        <f ca="1">IFERROR(OFFSET(ITEM_RES!$A$1,MATCH(BG445,ITEM_RES!$J:$J,0)-1,0),0)</f>
        <v>0</v>
      </c>
      <c r="BG445" s="17"/>
      <c r="BH445" s="18"/>
      <c r="BI445" s="17"/>
      <c r="BJ445" s="18"/>
      <c r="BK445" s="18">
        <f ca="1">IFERROR(OFFSET(ITEM_RES!$A$1,MATCH(BL445,ITEM_RES!$J:$J,0)-1,0),0)</f>
        <v>0</v>
      </c>
      <c r="BL445" s="17"/>
      <c r="BM445" s="18"/>
      <c r="BN445" s="17"/>
    </row>
    <row r="446" spans="1:66" x14ac:dyDescent="0.3">
      <c r="A446" s="14">
        <f t="shared" si="124"/>
        <v>114020002</v>
      </c>
      <c r="B446" s="13">
        <v>11</v>
      </c>
      <c r="C446" s="12">
        <f t="shared" si="125"/>
        <v>4</v>
      </c>
      <c r="D446" s="13">
        <v>2</v>
      </c>
      <c r="E446" s="13">
        <v>0</v>
      </c>
      <c r="F446" s="12">
        <f t="shared" si="126"/>
        <v>2</v>
      </c>
      <c r="H446" s="9">
        <v>4</v>
      </c>
      <c r="I446" s="9">
        <v>2</v>
      </c>
      <c r="K446" s="9" t="s">
        <v>371</v>
      </c>
      <c r="M446" s="9">
        <v>1</v>
      </c>
      <c r="N446" s="9">
        <v>15</v>
      </c>
      <c r="O446" s="9" t="s">
        <v>1126</v>
      </c>
      <c r="P446" s="55" t="s">
        <v>1384</v>
      </c>
      <c r="Q446" s="9" t="s">
        <v>683</v>
      </c>
      <c r="T446" s="9">
        <f ca="1">IFERROR(OFFSET(ITEM_RES!$A$5,MATCH(BUILDING!S446,ITEM_RES!$J$5:$J$229,0)-1,0),0)</f>
        <v>0</v>
      </c>
      <c r="W446" s="11">
        <f ca="1">IFERROR(OFFSET(ITEM_RES!$A$5,MATCH(BUILDING!V446,ITEM_RES!$J$5:$J$229,0)-1,0),0)</f>
        <v>0</v>
      </c>
      <c r="Y446" s="9" t="s">
        <v>514</v>
      </c>
      <c r="Z446" s="9">
        <v>3</v>
      </c>
      <c r="AB446" s="11">
        <f ca="1">IFERROR(OFFSET(MANOR_LEVEL!$B$1,MATCH(AC446-1,MANOR_LEVEL!$A:$A,0)-1,0),0)</f>
        <v>800</v>
      </c>
      <c r="AC446" s="55">
        <v>2</v>
      </c>
      <c r="AE446" s="11">
        <f t="shared" ca="1" si="121"/>
        <v>90</v>
      </c>
      <c r="AF446" s="10">
        <f ca="1">AK446+AM446+(IFERROR(OFFSET(ITEM_RES!$R$1,MATCH(AQ446,ITEM_RES!$A:$A,0)-1,0),0)*AS446+IFERROR(OFFSET(ITEM_RES!$R$1,MATCH(AV446,ITEM_RES!$A:$A,0)-1,0),0)*AX446+IFERROR(OFFSET(ITEM_RES!$R$1,MATCH(BA446,ITEM_RES!$A:$A,0)-1,0),0)*BC446+IFERROR(OFFSET(ITEM_RES!$R$1,MATCH(BF446,ITEM_RES!$A:$A,0)-1,0),0)*BH446+IFERROR(OFFSET(ITEM_RES!$R$1,MATCH(BK446,ITEM_RES!$A:$A,0)-1,0),0)*BM446)/1000</f>
        <v>90</v>
      </c>
      <c r="AG446" s="176">
        <f ca="1">AE445+AE446</f>
        <v>1126</v>
      </c>
      <c r="AI446" s="11">
        <f t="shared" si="120"/>
        <v>2</v>
      </c>
      <c r="AJ446" s="10">
        <v>2</v>
      </c>
      <c r="AK446" s="11">
        <f t="shared" si="127"/>
        <v>0</v>
      </c>
      <c r="AL446" s="10">
        <v>0</v>
      </c>
      <c r="AM446" s="11">
        <f t="shared" si="118"/>
        <v>0</v>
      </c>
      <c r="AN446" s="10">
        <v>0</v>
      </c>
      <c r="AO446" s="55">
        <f t="shared" si="122"/>
        <v>2</v>
      </c>
      <c r="AQ446" s="11">
        <f ca="1">IFERROR(OFFSET(ITEM_RES!$A$1,MATCH(AR446,ITEM_RES!$J:$J,0)-1,0),0)</f>
        <v>211020201</v>
      </c>
      <c r="AR446" s="10" t="s">
        <v>1324</v>
      </c>
      <c r="AS446" s="11">
        <v>10</v>
      </c>
      <c r="AV446" s="11">
        <f ca="1">IFERROR(OFFSET(ITEM_RES!$A$1,MATCH(AW446,ITEM_RES!$J:$J,0)-1,0),0)</f>
        <v>211020801</v>
      </c>
      <c r="AW446" s="10" t="s">
        <v>1438</v>
      </c>
      <c r="AX446" s="11">
        <v>5</v>
      </c>
      <c r="BA446" s="11">
        <f ca="1">IFERROR(OFFSET(ITEM_RES!$A$1,MATCH(BB446,ITEM_RES!$J:$J,0)-1,0),0)</f>
        <v>0</v>
      </c>
      <c r="BF446" s="11">
        <f ca="1">IFERROR(OFFSET(ITEM_RES!$A$1,MATCH(BG446,ITEM_RES!$J:$J,0)-1,0),0)</f>
        <v>0</v>
      </c>
      <c r="BK446" s="11">
        <f ca="1">IFERROR(OFFSET(ITEM_RES!$A$1,MATCH(BL446,ITEM_RES!$J:$J,0)-1,0),0)</f>
        <v>0</v>
      </c>
    </row>
    <row r="447" spans="1:66" x14ac:dyDescent="0.3">
      <c r="A447" s="14">
        <f t="shared" si="124"/>
        <v>114020003</v>
      </c>
      <c r="B447" s="13">
        <v>11</v>
      </c>
      <c r="C447" s="12">
        <f t="shared" si="125"/>
        <v>4</v>
      </c>
      <c r="D447" s="13">
        <v>2</v>
      </c>
      <c r="E447" s="13">
        <v>0</v>
      </c>
      <c r="F447" s="12">
        <f t="shared" si="126"/>
        <v>3</v>
      </c>
      <c r="H447" s="9">
        <v>4</v>
      </c>
      <c r="I447" s="9">
        <v>3</v>
      </c>
      <c r="K447" s="9" t="s">
        <v>371</v>
      </c>
      <c r="M447" s="9">
        <v>1</v>
      </c>
      <c r="N447" s="9">
        <v>15</v>
      </c>
      <c r="O447" s="9" t="s">
        <v>1127</v>
      </c>
      <c r="P447" s="55" t="s">
        <v>1385</v>
      </c>
      <c r="Q447" s="9" t="s">
        <v>683</v>
      </c>
      <c r="T447" s="9">
        <f ca="1">IFERROR(OFFSET(ITEM_RES!$A$5,MATCH(BUILDING!S447,ITEM_RES!$J$5:$J$229,0)-1,0),0)</f>
        <v>0</v>
      </c>
      <c r="W447" s="11">
        <f ca="1">IFERROR(OFFSET(ITEM_RES!$A$5,MATCH(BUILDING!V447,ITEM_RES!$J$5:$J$229,0)-1,0),0)</f>
        <v>0</v>
      </c>
      <c r="Y447" s="9" t="s">
        <v>514</v>
      </c>
      <c r="Z447" s="9">
        <v>4</v>
      </c>
      <c r="AB447" s="11">
        <f ca="1">IFERROR(OFFSET(MANOR_LEVEL!$B$1,MATCH(AC447-1,MANOR_LEVEL!$A:$A,0)-1,0),0)</f>
        <v>800</v>
      </c>
      <c r="AC447" s="55">
        <v>2</v>
      </c>
      <c r="AE447" s="11">
        <f t="shared" ca="1" si="121"/>
        <v>990</v>
      </c>
      <c r="AF447" s="10">
        <f ca="1">AK447+AM447+(IFERROR(OFFSET(ITEM_RES!$R$1,MATCH(AQ447,ITEM_RES!$A:$A,0)-1,0),0)*AS447+IFERROR(OFFSET(ITEM_RES!$R$1,MATCH(AV447,ITEM_RES!$A:$A,0)-1,0),0)*AX447+IFERROR(OFFSET(ITEM_RES!$R$1,MATCH(BA447,ITEM_RES!$A:$A,0)-1,0),0)*BC447+IFERROR(OFFSET(ITEM_RES!$R$1,MATCH(BF447,ITEM_RES!$A:$A,0)-1,0),0)*BH447+IFERROR(OFFSET(ITEM_RES!$R$1,MATCH(BK447,ITEM_RES!$A:$A,0)-1,0),0)*BM447)/1000</f>
        <v>990</v>
      </c>
      <c r="AG447" s="176">
        <f t="shared" ref="AG447:AG464" ca="1" si="128">AE446+AE447</f>
        <v>1080</v>
      </c>
      <c r="AI447" s="11">
        <f t="shared" si="120"/>
        <v>3</v>
      </c>
      <c r="AJ447" s="10">
        <v>3</v>
      </c>
      <c r="AK447" s="11">
        <f t="shared" si="127"/>
        <v>0</v>
      </c>
      <c r="AL447" s="10">
        <v>0</v>
      </c>
      <c r="AM447" s="11">
        <f t="shared" si="118"/>
        <v>0</v>
      </c>
      <c r="AN447" s="10">
        <v>0</v>
      </c>
      <c r="AO447" s="55">
        <f t="shared" si="122"/>
        <v>2</v>
      </c>
      <c r="AQ447" s="11">
        <f ca="1">IFERROR(OFFSET(ITEM_RES!$A$1,MATCH(AR447,ITEM_RES!$J:$J,0)-1,0),0)</f>
        <v>211020201</v>
      </c>
      <c r="AR447" s="10" t="s">
        <v>1324</v>
      </c>
      <c r="AS447" s="11">
        <v>150</v>
      </c>
      <c r="AV447" s="11">
        <f ca="1">IFERROR(OFFSET(ITEM_RES!$A$1,MATCH(AW447,ITEM_RES!$J:$J,0)-1,0),0)</f>
        <v>211020801</v>
      </c>
      <c r="AW447" s="10" t="s">
        <v>1438</v>
      </c>
      <c r="AX447" s="11">
        <v>15</v>
      </c>
      <c r="BA447" s="11">
        <f ca="1">IFERROR(OFFSET(ITEM_RES!$A$1,MATCH(BB447,ITEM_RES!$J:$J,0)-1,0),0)</f>
        <v>0</v>
      </c>
      <c r="BF447" s="11">
        <f ca="1">IFERROR(OFFSET(ITEM_RES!$A$1,MATCH(BG447,ITEM_RES!$J:$J,0)-1,0),0)</f>
        <v>0</v>
      </c>
      <c r="BK447" s="11">
        <f ca="1">IFERROR(OFFSET(ITEM_RES!$A$1,MATCH(BL447,ITEM_RES!$J:$J,0)-1,0),0)</f>
        <v>0</v>
      </c>
    </row>
    <row r="448" spans="1:66" x14ac:dyDescent="0.3">
      <c r="A448" s="14">
        <f t="shared" si="124"/>
        <v>114020004</v>
      </c>
      <c r="B448" s="13">
        <v>11</v>
      </c>
      <c r="C448" s="12">
        <f t="shared" si="125"/>
        <v>4</v>
      </c>
      <c r="D448" s="13">
        <v>2</v>
      </c>
      <c r="E448" s="13">
        <v>0</v>
      </c>
      <c r="F448" s="12">
        <f t="shared" si="126"/>
        <v>4</v>
      </c>
      <c r="H448" s="9">
        <v>4</v>
      </c>
      <c r="I448" s="9">
        <v>4</v>
      </c>
      <c r="K448" s="9" t="s">
        <v>371</v>
      </c>
      <c r="M448" s="9">
        <v>1</v>
      </c>
      <c r="N448" s="9">
        <v>15</v>
      </c>
      <c r="O448" s="9" t="s">
        <v>1127</v>
      </c>
      <c r="P448" s="55" t="s">
        <v>1385</v>
      </c>
      <c r="Q448" s="9" t="s">
        <v>683</v>
      </c>
      <c r="T448" s="9">
        <f ca="1">IFERROR(OFFSET(ITEM_RES!$A$5,MATCH(BUILDING!S448,ITEM_RES!$J$5:$J$229,0)-1,0),0)</f>
        <v>0</v>
      </c>
      <c r="W448" s="11">
        <f ca="1">IFERROR(OFFSET(ITEM_RES!$A$5,MATCH(BUILDING!V448,ITEM_RES!$J$5:$J$229,0)-1,0),0)</f>
        <v>0</v>
      </c>
      <c r="Y448" s="9" t="s">
        <v>514</v>
      </c>
      <c r="Z448" s="9">
        <v>4</v>
      </c>
      <c r="AB448" s="11">
        <f ca="1">IFERROR(OFFSET(MANOR_LEVEL!$B$1,MATCH(AC448-1,MANOR_LEVEL!$A:$A,0)-1,0),0)</f>
        <v>800</v>
      </c>
      <c r="AC448" s="55">
        <v>2</v>
      </c>
      <c r="AE448" s="11">
        <f t="shared" ca="1" si="121"/>
        <v>3720</v>
      </c>
      <c r="AF448" s="10">
        <f ca="1">AK448+AM448+(IFERROR(OFFSET(ITEM_RES!$R$1,MATCH(AQ448,ITEM_RES!$A:$A,0)-1,0),0)*AS448+IFERROR(OFFSET(ITEM_RES!$R$1,MATCH(AV448,ITEM_RES!$A:$A,0)-1,0),0)*AX448+IFERROR(OFFSET(ITEM_RES!$R$1,MATCH(BA448,ITEM_RES!$A:$A,0)-1,0),0)*BC448+IFERROR(OFFSET(ITEM_RES!$R$1,MATCH(BF448,ITEM_RES!$A:$A,0)-1,0),0)*BH448+IFERROR(OFFSET(ITEM_RES!$R$1,MATCH(BK448,ITEM_RES!$A:$A,0)-1,0),0)*BM448)/1000</f>
        <v>3720</v>
      </c>
      <c r="AG448" s="176">
        <f t="shared" ca="1" si="128"/>
        <v>4710</v>
      </c>
      <c r="AI448" s="11">
        <f t="shared" si="120"/>
        <v>5</v>
      </c>
      <c r="AJ448" s="10">
        <v>5</v>
      </c>
      <c r="AK448" s="11">
        <f t="shared" si="127"/>
        <v>0</v>
      </c>
      <c r="AL448" s="10">
        <v>0</v>
      </c>
      <c r="AM448" s="11">
        <f t="shared" si="118"/>
        <v>0</v>
      </c>
      <c r="AN448" s="10">
        <v>0</v>
      </c>
      <c r="AO448" s="55">
        <f t="shared" si="122"/>
        <v>2</v>
      </c>
      <c r="AQ448" s="11">
        <f ca="1">IFERROR(OFFSET(ITEM_RES!$A$1,MATCH(AR448,ITEM_RES!$J:$J,0)-1,0),0)</f>
        <v>211020201</v>
      </c>
      <c r="AR448" s="10" t="s">
        <v>1324</v>
      </c>
      <c r="AS448" s="11">
        <v>600</v>
      </c>
      <c r="AV448" s="11">
        <f ca="1">IFERROR(OFFSET(ITEM_RES!$A$1,MATCH(AW448,ITEM_RES!$J:$J,0)-1,0),0)</f>
        <v>211020801</v>
      </c>
      <c r="AW448" s="10" t="s">
        <v>1438</v>
      </c>
      <c r="AX448" s="11">
        <v>20</v>
      </c>
      <c r="BA448" s="11">
        <f ca="1">IFERROR(OFFSET(ITEM_RES!$A$1,MATCH(BB448,ITEM_RES!$J:$J,0)-1,0),0)</f>
        <v>0</v>
      </c>
      <c r="BF448" s="11">
        <f ca="1">IFERROR(OFFSET(ITEM_RES!$A$1,MATCH(BG448,ITEM_RES!$J:$J,0)-1,0),0)</f>
        <v>0</v>
      </c>
      <c r="BK448" s="11">
        <f ca="1">IFERROR(OFFSET(ITEM_RES!$A$1,MATCH(BL448,ITEM_RES!$J:$J,0)-1,0),0)</f>
        <v>0</v>
      </c>
    </row>
    <row r="449" spans="1:63" x14ac:dyDescent="0.3">
      <c r="A449" s="14">
        <f t="shared" si="124"/>
        <v>114020005</v>
      </c>
      <c r="B449" s="13">
        <v>11</v>
      </c>
      <c r="C449" s="12">
        <f t="shared" si="125"/>
        <v>4</v>
      </c>
      <c r="D449" s="13">
        <v>2</v>
      </c>
      <c r="E449" s="13">
        <v>0</v>
      </c>
      <c r="F449" s="12">
        <f t="shared" si="126"/>
        <v>5</v>
      </c>
      <c r="H449" s="9">
        <v>4</v>
      </c>
      <c r="I449" s="9">
        <v>5</v>
      </c>
      <c r="K449" s="9" t="s">
        <v>371</v>
      </c>
      <c r="M449" s="9">
        <v>1</v>
      </c>
      <c r="N449" s="9">
        <v>15</v>
      </c>
      <c r="O449" s="9" t="s">
        <v>1129</v>
      </c>
      <c r="P449" s="55" t="s">
        <v>1386</v>
      </c>
      <c r="Q449" s="9" t="s">
        <v>683</v>
      </c>
      <c r="T449" s="9">
        <f ca="1">IFERROR(OFFSET(ITEM_RES!$A$5,MATCH(BUILDING!S449,ITEM_RES!$J$5:$J$229,0)-1,0),0)</f>
        <v>0</v>
      </c>
      <c r="W449" s="11">
        <f ca="1">IFERROR(OFFSET(ITEM_RES!$A$5,MATCH(BUILDING!V449,ITEM_RES!$J$5:$J$229,0)-1,0),0)</f>
        <v>0</v>
      </c>
      <c r="Y449" s="9" t="s">
        <v>514</v>
      </c>
      <c r="Z449" s="9">
        <v>5</v>
      </c>
      <c r="AB449" s="11">
        <f ca="1">IFERROR(OFFSET(MANOR_LEVEL!$B$1,MATCH(AC449-1,MANOR_LEVEL!$A:$A,0)-1,0),0)</f>
        <v>800</v>
      </c>
      <c r="AC449" s="55">
        <v>2</v>
      </c>
      <c r="AE449" s="11">
        <f t="shared" ca="1" si="121"/>
        <v>16380</v>
      </c>
      <c r="AF449" s="10">
        <f ca="1">AK449+AM449+(IFERROR(OFFSET(ITEM_RES!$R$1,MATCH(AQ449,ITEM_RES!$A:$A,0)-1,0),0)*AS449+IFERROR(OFFSET(ITEM_RES!$R$1,MATCH(AV449,ITEM_RES!$A:$A,0)-1,0),0)*AX449+IFERROR(OFFSET(ITEM_RES!$R$1,MATCH(BA449,ITEM_RES!$A:$A,0)-1,0),0)*BC449+IFERROR(OFFSET(ITEM_RES!$R$1,MATCH(BF449,ITEM_RES!$A:$A,0)-1,0),0)*BH449+IFERROR(OFFSET(ITEM_RES!$R$1,MATCH(BK449,ITEM_RES!$A:$A,0)-1,0),0)*BM449)/1000</f>
        <v>16380</v>
      </c>
      <c r="AG449" s="176">
        <f t="shared" ca="1" si="128"/>
        <v>20100</v>
      </c>
      <c r="AI449" s="11">
        <f t="shared" si="120"/>
        <v>8</v>
      </c>
      <c r="AJ449" s="10">
        <v>8</v>
      </c>
      <c r="AK449" s="11">
        <f t="shared" si="127"/>
        <v>0</v>
      </c>
      <c r="AL449" s="10">
        <v>0</v>
      </c>
      <c r="AM449" s="11">
        <f t="shared" si="118"/>
        <v>0</v>
      </c>
      <c r="AN449" s="10">
        <v>0</v>
      </c>
      <c r="AO449" s="55">
        <f t="shared" si="122"/>
        <v>2</v>
      </c>
      <c r="AQ449" s="11">
        <f ca="1">IFERROR(OFFSET(ITEM_RES!$A$1,MATCH(AR449,ITEM_RES!$J:$J,0)-1,0),0)</f>
        <v>211020201</v>
      </c>
      <c r="AR449" s="10" t="s">
        <v>1324</v>
      </c>
      <c r="AS449" s="11">
        <v>2700</v>
      </c>
      <c r="AV449" s="11">
        <f ca="1">IFERROR(OFFSET(ITEM_RES!$A$1,MATCH(AW449,ITEM_RES!$J:$J,0)-1,0),0)</f>
        <v>211020801</v>
      </c>
      <c r="AW449" s="10" t="s">
        <v>1438</v>
      </c>
      <c r="AX449" s="11">
        <v>30</v>
      </c>
      <c r="BA449" s="11">
        <f ca="1">IFERROR(OFFSET(ITEM_RES!$A$1,MATCH(BB449,ITEM_RES!$J:$J,0)-1,0),0)</f>
        <v>0</v>
      </c>
      <c r="BF449" s="11">
        <f ca="1">IFERROR(OFFSET(ITEM_RES!$A$1,MATCH(BG449,ITEM_RES!$J:$J,0)-1,0),0)</f>
        <v>0</v>
      </c>
      <c r="BK449" s="11">
        <f ca="1">IFERROR(OFFSET(ITEM_RES!$A$1,MATCH(BL449,ITEM_RES!$J:$J,0)-1,0),0)</f>
        <v>0</v>
      </c>
    </row>
    <row r="450" spans="1:63" x14ac:dyDescent="0.3">
      <c r="A450" s="14">
        <f t="shared" si="124"/>
        <v>114020006</v>
      </c>
      <c r="B450" s="13">
        <v>11</v>
      </c>
      <c r="C450" s="12">
        <f t="shared" si="125"/>
        <v>4</v>
      </c>
      <c r="D450" s="13">
        <v>2</v>
      </c>
      <c r="E450" s="13">
        <v>0</v>
      </c>
      <c r="F450" s="12">
        <f t="shared" si="126"/>
        <v>6</v>
      </c>
      <c r="H450" s="9">
        <v>4</v>
      </c>
      <c r="I450" s="9">
        <v>6</v>
      </c>
      <c r="K450" s="9" t="s">
        <v>371</v>
      </c>
      <c r="M450" s="9">
        <v>1</v>
      </c>
      <c r="N450" s="9">
        <v>15</v>
      </c>
      <c r="O450" s="9" t="s">
        <v>1129</v>
      </c>
      <c r="P450" s="55" t="s">
        <v>1386</v>
      </c>
      <c r="Q450" s="9" t="s">
        <v>683</v>
      </c>
      <c r="T450" s="9">
        <f ca="1">IFERROR(OFFSET(ITEM_RES!$A$5,MATCH(BUILDING!S450,ITEM_RES!$J$5:$J$229,0)-1,0),0)</f>
        <v>0</v>
      </c>
      <c r="W450" s="11">
        <f ca="1">IFERROR(OFFSET(ITEM_RES!$A$5,MATCH(BUILDING!V450,ITEM_RES!$J$5:$J$229,0)-1,0),0)</f>
        <v>0</v>
      </c>
      <c r="Y450" s="9" t="s">
        <v>514</v>
      </c>
      <c r="Z450" s="9">
        <v>6</v>
      </c>
      <c r="AB450" s="11">
        <f ca="1">IFERROR(OFFSET(MANOR_LEVEL!$B$1,MATCH(AC450-1,MANOR_LEVEL!$A:$A,0)-1,0),0)</f>
        <v>2300</v>
      </c>
      <c r="AC450" s="55">
        <v>3</v>
      </c>
      <c r="AE450" s="11">
        <f t="shared" ca="1" si="121"/>
        <v>54270</v>
      </c>
      <c r="AF450" s="10">
        <f ca="1">AK450+AM450+(IFERROR(OFFSET(ITEM_RES!$R$1,MATCH(AQ450,ITEM_RES!$A:$A,0)-1,0),0)*AS450+IFERROR(OFFSET(ITEM_RES!$R$1,MATCH(AV450,ITEM_RES!$A:$A,0)-1,0),0)*AX450+IFERROR(OFFSET(ITEM_RES!$R$1,MATCH(BA450,ITEM_RES!$A:$A,0)-1,0),0)*BC450+IFERROR(OFFSET(ITEM_RES!$R$1,MATCH(BF450,ITEM_RES!$A:$A,0)-1,0),0)*BH450+IFERROR(OFFSET(ITEM_RES!$R$1,MATCH(BK450,ITEM_RES!$A:$A,0)-1,0),0)*BM450)/1000</f>
        <v>54270</v>
      </c>
      <c r="AG450" s="176">
        <f t="shared" ca="1" si="128"/>
        <v>70650</v>
      </c>
      <c r="AI450" s="11">
        <f t="shared" si="120"/>
        <v>10</v>
      </c>
      <c r="AJ450" s="10">
        <v>10</v>
      </c>
      <c r="AK450" s="11">
        <f t="shared" si="127"/>
        <v>0</v>
      </c>
      <c r="AL450" s="10">
        <v>0</v>
      </c>
      <c r="AM450" s="11">
        <f t="shared" si="118"/>
        <v>0</v>
      </c>
      <c r="AN450" s="10">
        <v>0</v>
      </c>
      <c r="AO450" s="55">
        <f t="shared" si="122"/>
        <v>2</v>
      </c>
      <c r="AQ450" s="11">
        <f ca="1">IFERROR(OFFSET(ITEM_RES!$A$1,MATCH(AR450,ITEM_RES!$J:$J,0)-1,0),0)</f>
        <v>211020201</v>
      </c>
      <c r="AR450" s="10" t="s">
        <v>1324</v>
      </c>
      <c r="AS450" s="11">
        <v>9000</v>
      </c>
      <c r="AV450" s="11">
        <f ca="1">IFERROR(OFFSET(ITEM_RES!$A$1,MATCH(AW450,ITEM_RES!$J:$J,0)-1,0),0)</f>
        <v>211020801</v>
      </c>
      <c r="AW450" s="10" t="s">
        <v>1438</v>
      </c>
      <c r="AX450" s="11">
        <v>45</v>
      </c>
      <c r="BA450" s="11">
        <f ca="1">IFERROR(OFFSET(ITEM_RES!$A$1,MATCH(BB450,ITEM_RES!$J:$J,0)-1,0),0)</f>
        <v>0</v>
      </c>
      <c r="BF450" s="11">
        <f ca="1">IFERROR(OFFSET(ITEM_RES!$A$1,MATCH(BG450,ITEM_RES!$J:$J,0)-1,0),0)</f>
        <v>0</v>
      </c>
      <c r="BK450" s="11">
        <f ca="1">IFERROR(OFFSET(ITEM_RES!$A$1,MATCH(BL450,ITEM_RES!$J:$J,0)-1,0),0)</f>
        <v>0</v>
      </c>
    </row>
    <row r="451" spans="1:63" x14ac:dyDescent="0.3">
      <c r="A451" s="14">
        <f t="shared" si="124"/>
        <v>114020007</v>
      </c>
      <c r="B451" s="13">
        <v>11</v>
      </c>
      <c r="C451" s="12">
        <f t="shared" si="125"/>
        <v>4</v>
      </c>
      <c r="D451" s="13">
        <v>2</v>
      </c>
      <c r="E451" s="13">
        <v>0</v>
      </c>
      <c r="F451" s="12">
        <f t="shared" si="126"/>
        <v>7</v>
      </c>
      <c r="H451" s="9">
        <v>4</v>
      </c>
      <c r="I451" s="9">
        <v>7</v>
      </c>
      <c r="K451" s="9" t="s">
        <v>371</v>
      </c>
      <c r="M451" s="9">
        <v>1</v>
      </c>
      <c r="N451" s="9">
        <v>15</v>
      </c>
      <c r="O451" s="9" t="s">
        <v>1130</v>
      </c>
      <c r="P451" s="55" t="s">
        <v>1387</v>
      </c>
      <c r="Q451" s="9" t="s">
        <v>683</v>
      </c>
      <c r="T451" s="9">
        <f ca="1">IFERROR(OFFSET(ITEM_RES!$A$5,MATCH(BUILDING!S451,ITEM_RES!$J$5:$J$229,0)-1,0),0)</f>
        <v>0</v>
      </c>
      <c r="W451" s="11">
        <f ca="1">IFERROR(OFFSET(ITEM_RES!$A$5,MATCH(BUILDING!V451,ITEM_RES!$J$5:$J$229,0)-1,0),0)</f>
        <v>0</v>
      </c>
      <c r="Y451" s="9" t="s">
        <v>514</v>
      </c>
      <c r="Z451" s="9">
        <v>7</v>
      </c>
      <c r="AB451" s="11">
        <f ca="1">IFERROR(OFFSET(MANOR_LEVEL!$B$1,MATCH(AC451-1,MANOR_LEVEL!$A:$A,0)-1,0),0)</f>
        <v>7000</v>
      </c>
      <c r="AC451" s="55">
        <v>4</v>
      </c>
      <c r="AE451" s="11">
        <f t="shared" ca="1" si="121"/>
        <v>121080</v>
      </c>
      <c r="AF451" s="10">
        <f ca="1">AK451+AM451+(IFERROR(OFFSET(ITEM_RES!$R$1,MATCH(AQ451,ITEM_RES!$A:$A,0)-1,0),0)*AS451+IFERROR(OFFSET(ITEM_RES!$R$1,MATCH(AV451,ITEM_RES!$A:$A,0)-1,0),0)*AX451+IFERROR(OFFSET(ITEM_RES!$R$1,MATCH(BA451,ITEM_RES!$A:$A,0)-1,0),0)*BC451+IFERROR(OFFSET(ITEM_RES!$R$1,MATCH(BF451,ITEM_RES!$A:$A,0)-1,0),0)*BH451+IFERROR(OFFSET(ITEM_RES!$R$1,MATCH(BK451,ITEM_RES!$A:$A,0)-1,0),0)*BM451)/1000</f>
        <v>121080</v>
      </c>
      <c r="AG451" s="176">
        <f t="shared" ca="1" si="128"/>
        <v>175350</v>
      </c>
      <c r="AI451" s="11">
        <f t="shared" si="120"/>
        <v>15</v>
      </c>
      <c r="AJ451" s="10">
        <v>15</v>
      </c>
      <c r="AK451" s="11">
        <f t="shared" si="127"/>
        <v>0</v>
      </c>
      <c r="AL451" s="10">
        <v>0</v>
      </c>
      <c r="AM451" s="11">
        <f t="shared" si="118"/>
        <v>0</v>
      </c>
      <c r="AN451" s="10">
        <v>0</v>
      </c>
      <c r="AO451" s="55">
        <f t="shared" si="122"/>
        <v>2</v>
      </c>
      <c r="AQ451" s="11">
        <f ca="1">IFERROR(OFFSET(ITEM_RES!$A$1,MATCH(AR451,ITEM_RES!$J:$J,0)-1,0),0)</f>
        <v>211020201</v>
      </c>
      <c r="AR451" s="10" t="s">
        <v>1324</v>
      </c>
      <c r="AS451" s="11">
        <v>20000</v>
      </c>
      <c r="AV451" s="11">
        <f ca="1">IFERROR(OFFSET(ITEM_RES!$A$1,MATCH(AW451,ITEM_RES!$J:$J,0)-1,0),0)</f>
        <v>211020801</v>
      </c>
      <c r="AW451" s="10" t="s">
        <v>1438</v>
      </c>
      <c r="AX451" s="11">
        <v>180</v>
      </c>
      <c r="BA451" s="11">
        <f ca="1">IFERROR(OFFSET(ITEM_RES!$A$1,MATCH(BB451,ITEM_RES!$J:$J,0)-1,0),0)</f>
        <v>0</v>
      </c>
      <c r="BF451" s="11">
        <f ca="1">IFERROR(OFFSET(ITEM_RES!$A$1,MATCH(BG451,ITEM_RES!$J:$J,0)-1,0),0)</f>
        <v>0</v>
      </c>
      <c r="BK451" s="11">
        <f ca="1">IFERROR(OFFSET(ITEM_RES!$A$1,MATCH(BL451,ITEM_RES!$J:$J,0)-1,0),0)</f>
        <v>0</v>
      </c>
    </row>
    <row r="452" spans="1:63" x14ac:dyDescent="0.3">
      <c r="A452" s="14">
        <f t="shared" si="124"/>
        <v>114020008</v>
      </c>
      <c r="B452" s="13">
        <v>11</v>
      </c>
      <c r="C452" s="12">
        <f t="shared" si="125"/>
        <v>4</v>
      </c>
      <c r="D452" s="13">
        <v>2</v>
      </c>
      <c r="E452" s="13">
        <v>0</v>
      </c>
      <c r="F452" s="12">
        <f t="shared" si="126"/>
        <v>8</v>
      </c>
      <c r="H452" s="9">
        <v>4</v>
      </c>
      <c r="I452" s="9">
        <v>8</v>
      </c>
      <c r="K452" s="9" t="s">
        <v>371</v>
      </c>
      <c r="M452" s="9">
        <v>1</v>
      </c>
      <c r="N452" s="9">
        <v>15</v>
      </c>
      <c r="O452" s="9" t="s">
        <v>1130</v>
      </c>
      <c r="P452" s="55" t="s">
        <v>1387</v>
      </c>
      <c r="Q452" s="9" t="s">
        <v>683</v>
      </c>
      <c r="T452" s="9">
        <f ca="1">IFERROR(OFFSET(ITEM_RES!$A$5,MATCH(BUILDING!S452,ITEM_RES!$J$5:$J$229,0)-1,0),0)</f>
        <v>0</v>
      </c>
      <c r="W452" s="11">
        <f ca="1">IFERROR(OFFSET(ITEM_RES!$A$5,MATCH(BUILDING!V452,ITEM_RES!$J$5:$J$229,0)-1,0),0)</f>
        <v>0</v>
      </c>
      <c r="Y452" s="9" t="s">
        <v>514</v>
      </c>
      <c r="Z452" s="9">
        <v>8</v>
      </c>
      <c r="AB452" s="11">
        <f ca="1">IFERROR(OFFSET(MANOR_LEVEL!$B$1,MATCH(AC452-1,MANOR_LEVEL!$A:$A,0)-1,0),0)</f>
        <v>11000</v>
      </c>
      <c r="AC452" s="55">
        <v>5</v>
      </c>
      <c r="AE452" s="11">
        <f t="shared" ca="1" si="121"/>
        <v>424860</v>
      </c>
      <c r="AF452" s="10">
        <f ca="1">AK452+AM452+(IFERROR(OFFSET(ITEM_RES!$R$1,MATCH(AQ452,ITEM_RES!$A:$A,0)-1,0),0)*AS452+IFERROR(OFFSET(ITEM_RES!$R$1,MATCH(AV452,ITEM_RES!$A:$A,0)-1,0),0)*AX452+IFERROR(OFFSET(ITEM_RES!$R$1,MATCH(BA452,ITEM_RES!$A:$A,0)-1,0),0)*BC452+IFERROR(OFFSET(ITEM_RES!$R$1,MATCH(BF452,ITEM_RES!$A:$A,0)-1,0),0)*BH452+IFERROR(OFFSET(ITEM_RES!$R$1,MATCH(BK452,ITEM_RES!$A:$A,0)-1,0),0)*BM452)/1000</f>
        <v>424860</v>
      </c>
      <c r="AG452" s="176">
        <f t="shared" ca="1" si="128"/>
        <v>545940</v>
      </c>
      <c r="AI452" s="11">
        <f t="shared" si="120"/>
        <v>30</v>
      </c>
      <c r="AJ452" s="10">
        <v>30</v>
      </c>
      <c r="AK452" s="11">
        <f t="shared" si="127"/>
        <v>0</v>
      </c>
      <c r="AL452" s="10">
        <v>0</v>
      </c>
      <c r="AM452" s="11">
        <f t="shared" si="118"/>
        <v>0</v>
      </c>
      <c r="AN452" s="10">
        <v>0</v>
      </c>
      <c r="AO452" s="55">
        <f t="shared" si="122"/>
        <v>2</v>
      </c>
      <c r="AQ452" s="11">
        <f ca="1">IFERROR(OFFSET(ITEM_RES!$A$1,MATCH(AR452,ITEM_RES!$J:$J,0)-1,0),0)</f>
        <v>211020301</v>
      </c>
      <c r="AR452" s="10" t="s">
        <v>1325</v>
      </c>
      <c r="AS452" s="11">
        <v>42000</v>
      </c>
      <c r="AV452" s="11">
        <f ca="1">IFERROR(OFFSET(ITEM_RES!$A$1,MATCH(AW452,ITEM_RES!$J:$J,0)-1,0),0)</f>
        <v>211020801</v>
      </c>
      <c r="AW452" s="10" t="s">
        <v>1438</v>
      </c>
      <c r="AX452" s="11">
        <v>810</v>
      </c>
      <c r="BA452" s="11">
        <f ca="1">IFERROR(OFFSET(ITEM_RES!$A$1,MATCH(BB452,ITEM_RES!$J:$J,0)-1,0),0)</f>
        <v>0</v>
      </c>
      <c r="BF452" s="11">
        <f ca="1">IFERROR(OFFSET(ITEM_RES!$A$1,MATCH(BG452,ITEM_RES!$J:$J,0)-1,0),0)</f>
        <v>0</v>
      </c>
      <c r="BK452" s="11">
        <f ca="1">IFERROR(OFFSET(ITEM_RES!$A$1,MATCH(BL452,ITEM_RES!$J:$J,0)-1,0),0)</f>
        <v>0</v>
      </c>
    </row>
    <row r="453" spans="1:63" x14ac:dyDescent="0.3">
      <c r="A453" s="14">
        <f t="shared" si="124"/>
        <v>114020009</v>
      </c>
      <c r="B453" s="13">
        <v>11</v>
      </c>
      <c r="C453" s="12">
        <f t="shared" si="125"/>
        <v>4</v>
      </c>
      <c r="D453" s="13">
        <v>2</v>
      </c>
      <c r="E453" s="13">
        <v>0</v>
      </c>
      <c r="F453" s="12">
        <f t="shared" si="126"/>
        <v>9</v>
      </c>
      <c r="H453" s="9">
        <v>4</v>
      </c>
      <c r="I453" s="9">
        <v>9</v>
      </c>
      <c r="K453" s="9" t="s">
        <v>371</v>
      </c>
      <c r="M453" s="9">
        <v>1</v>
      </c>
      <c r="N453" s="9">
        <v>15</v>
      </c>
      <c r="O453" s="9" t="s">
        <v>1435</v>
      </c>
      <c r="P453" s="55" t="s">
        <v>1437</v>
      </c>
      <c r="Q453" s="9" t="s">
        <v>683</v>
      </c>
      <c r="T453" s="9">
        <f ca="1">IFERROR(OFFSET(ITEM_RES!$A$5,MATCH(BUILDING!S453,ITEM_RES!$J$5:$J$229,0)-1,0),0)</f>
        <v>0</v>
      </c>
      <c r="W453" s="11">
        <f ca="1">IFERROR(OFFSET(ITEM_RES!$A$5,MATCH(BUILDING!V453,ITEM_RES!$J$5:$J$229,0)-1,0),0)</f>
        <v>0</v>
      </c>
      <c r="Y453" s="9" t="s">
        <v>514</v>
      </c>
      <c r="Z453" s="9">
        <v>9</v>
      </c>
      <c r="AB453" s="11">
        <f ca="1">IFERROR(OFFSET(MANOR_LEVEL!$B$1,MATCH(AC453-1,MANOR_LEVEL!$A:$A,0)-1,0),0)</f>
        <v>17000</v>
      </c>
      <c r="AC453" s="55">
        <v>6</v>
      </c>
      <c r="AE453" s="11">
        <f t="shared" ca="1" si="121"/>
        <v>796200</v>
      </c>
      <c r="AF453" s="10">
        <f ca="1">AK453+AM453+(IFERROR(OFFSET(ITEM_RES!$R$1,MATCH(AQ453,ITEM_RES!$A:$A,0)-1,0),0)*AS453+IFERROR(OFFSET(ITEM_RES!$R$1,MATCH(AV453,ITEM_RES!$A:$A,0)-1,0),0)*AX453+IFERROR(OFFSET(ITEM_RES!$R$1,MATCH(BA453,ITEM_RES!$A:$A,0)-1,0),0)*BC453+IFERROR(OFFSET(ITEM_RES!$R$1,MATCH(BF453,ITEM_RES!$A:$A,0)-1,0),0)*BH453+IFERROR(OFFSET(ITEM_RES!$R$1,MATCH(BK453,ITEM_RES!$A:$A,0)-1,0),0)*BM453)/1000</f>
        <v>796200</v>
      </c>
      <c r="AG453" s="176">
        <f t="shared" ca="1" si="128"/>
        <v>1221060</v>
      </c>
      <c r="AI453" s="11">
        <f t="shared" si="120"/>
        <v>60</v>
      </c>
      <c r="AJ453" s="10">
        <v>60</v>
      </c>
      <c r="AK453" s="11">
        <f t="shared" si="127"/>
        <v>0</v>
      </c>
      <c r="AL453" s="10">
        <v>0</v>
      </c>
      <c r="AM453" s="11">
        <f t="shared" si="118"/>
        <v>0</v>
      </c>
      <c r="AN453" s="10">
        <v>0</v>
      </c>
      <c r="AO453" s="55">
        <f t="shared" si="122"/>
        <v>2</v>
      </c>
      <c r="AQ453" s="11">
        <f ca="1">IFERROR(OFFSET(ITEM_RES!$A$1,MATCH(AR453,ITEM_RES!$J:$J,0)-1,0),0)</f>
        <v>211020301</v>
      </c>
      <c r="AR453" s="10" t="s">
        <v>1325</v>
      </c>
      <c r="AS453" s="11">
        <v>78000</v>
      </c>
      <c r="AV453" s="11">
        <f ca="1">IFERROR(OFFSET(ITEM_RES!$A$1,MATCH(AW453,ITEM_RES!$J:$J,0)-1,0),0)</f>
        <v>211020801</v>
      </c>
      <c r="AW453" s="10" t="s">
        <v>1438</v>
      </c>
      <c r="AX453" s="11">
        <v>2700</v>
      </c>
      <c r="BA453" s="11">
        <f ca="1">IFERROR(OFFSET(ITEM_RES!$A$1,MATCH(BB453,ITEM_RES!$J:$J,0)-1,0),0)</f>
        <v>0</v>
      </c>
      <c r="BF453" s="11">
        <f ca="1">IFERROR(OFFSET(ITEM_RES!$A$1,MATCH(BG453,ITEM_RES!$J:$J,0)-1,0),0)</f>
        <v>0</v>
      </c>
      <c r="BK453" s="11">
        <f ca="1">IFERROR(OFFSET(ITEM_RES!$A$1,MATCH(BL453,ITEM_RES!$J:$J,0)-1,0),0)</f>
        <v>0</v>
      </c>
    </row>
    <row r="454" spans="1:63" x14ac:dyDescent="0.3">
      <c r="A454" s="14">
        <f t="shared" si="124"/>
        <v>114020010</v>
      </c>
      <c r="B454" s="13">
        <v>11</v>
      </c>
      <c r="C454" s="12">
        <f t="shared" si="125"/>
        <v>4</v>
      </c>
      <c r="D454" s="13">
        <v>2</v>
      </c>
      <c r="E454" s="13">
        <v>0</v>
      </c>
      <c r="F454" s="12">
        <f t="shared" si="126"/>
        <v>10</v>
      </c>
      <c r="H454" s="9">
        <v>4</v>
      </c>
      <c r="I454" s="9">
        <v>10</v>
      </c>
      <c r="K454" s="9" t="s">
        <v>371</v>
      </c>
      <c r="M454" s="9">
        <v>1</v>
      </c>
      <c r="N454" s="9">
        <v>15</v>
      </c>
      <c r="O454" s="9" t="s">
        <v>1435</v>
      </c>
      <c r="P454" s="55" t="s">
        <v>1437</v>
      </c>
      <c r="Q454" s="9" t="s">
        <v>683</v>
      </c>
      <c r="T454" s="9">
        <f ca="1">IFERROR(OFFSET(ITEM_RES!$A$5,MATCH(BUILDING!S454,ITEM_RES!$J$5:$J$229,0)-1,0),0)</f>
        <v>0</v>
      </c>
      <c r="W454" s="11">
        <f ca="1">IFERROR(OFFSET(ITEM_RES!$A$5,MATCH(BUILDING!V454,ITEM_RES!$J$5:$J$229,0)-1,0),0)</f>
        <v>0</v>
      </c>
      <c r="Y454" s="9" t="s">
        <v>514</v>
      </c>
      <c r="Z454" s="9">
        <v>10</v>
      </c>
      <c r="AB454" s="11">
        <f ca="1">IFERROR(OFFSET(MANOR_LEVEL!$B$1,MATCH(AC454-1,MANOR_LEVEL!$A:$A,0)-1,0),0)</f>
        <v>40000</v>
      </c>
      <c r="AC454" s="55">
        <v>7</v>
      </c>
      <c r="AE454" s="11">
        <f t="shared" ca="1" si="121"/>
        <v>1336000</v>
      </c>
      <c r="AF454" s="10">
        <f ca="1">AK454+AM454+(IFERROR(OFFSET(ITEM_RES!$R$1,MATCH(AQ454,ITEM_RES!$A:$A,0)-1,0),0)*AS454+IFERROR(OFFSET(ITEM_RES!$R$1,MATCH(AV454,ITEM_RES!$A:$A,0)-1,0),0)*AX454+IFERROR(OFFSET(ITEM_RES!$R$1,MATCH(BA454,ITEM_RES!$A:$A,0)-1,0),0)*BC454+IFERROR(OFFSET(ITEM_RES!$R$1,MATCH(BF454,ITEM_RES!$A:$A,0)-1,0),0)*BH454+IFERROR(OFFSET(ITEM_RES!$R$1,MATCH(BK454,ITEM_RES!$A:$A,0)-1,0),0)*BM454)/1000</f>
        <v>1336000</v>
      </c>
      <c r="AG454" s="176">
        <f t="shared" ca="1" si="128"/>
        <v>2132200</v>
      </c>
      <c r="AI454" s="11">
        <f t="shared" si="120"/>
        <v>180</v>
      </c>
      <c r="AJ454" s="10">
        <v>180</v>
      </c>
      <c r="AK454" s="11">
        <f t="shared" si="127"/>
        <v>0</v>
      </c>
      <c r="AL454" s="10">
        <v>0</v>
      </c>
      <c r="AM454" s="11">
        <f t="shared" ref="AM454:AM504" si="129">ROUND(AN454,0)</f>
        <v>0</v>
      </c>
      <c r="AN454" s="10">
        <v>0</v>
      </c>
      <c r="AO454" s="55">
        <f t="shared" si="122"/>
        <v>2</v>
      </c>
      <c r="AQ454" s="11">
        <f ca="1">IFERROR(OFFSET(ITEM_RES!$A$1,MATCH(AR454,ITEM_RES!$J:$J,0)-1,0),0)</f>
        <v>211020301</v>
      </c>
      <c r="AR454" s="10" t="s">
        <v>1325</v>
      </c>
      <c r="AS454" s="11">
        <v>130000</v>
      </c>
      <c r="AV454" s="11">
        <f ca="1">IFERROR(OFFSET(ITEM_RES!$A$1,MATCH(AW454,ITEM_RES!$J:$J,0)-1,0),0)</f>
        <v>211020801</v>
      </c>
      <c r="AW454" s="10" t="s">
        <v>1438</v>
      </c>
      <c r="AX454" s="11">
        <v>6000</v>
      </c>
      <c r="BA454" s="11">
        <f ca="1">IFERROR(OFFSET(ITEM_RES!$A$1,MATCH(BB454,ITEM_RES!$J:$J,0)-1,0),0)</f>
        <v>0</v>
      </c>
      <c r="BF454" s="11">
        <f ca="1">IFERROR(OFFSET(ITEM_RES!$A$1,MATCH(BG454,ITEM_RES!$J:$J,0)-1,0),0)</f>
        <v>0</v>
      </c>
      <c r="BK454" s="11">
        <f ca="1">IFERROR(OFFSET(ITEM_RES!$A$1,MATCH(BL454,ITEM_RES!$J:$J,0)-1,0),0)</f>
        <v>0</v>
      </c>
    </row>
    <row r="455" spans="1:63" x14ac:dyDescent="0.3">
      <c r="A455" s="14">
        <f t="shared" si="124"/>
        <v>114020011</v>
      </c>
      <c r="B455" s="13">
        <v>11</v>
      </c>
      <c r="C455" s="12">
        <f t="shared" si="125"/>
        <v>4</v>
      </c>
      <c r="D455" s="13">
        <v>2</v>
      </c>
      <c r="E455" s="13">
        <v>0</v>
      </c>
      <c r="F455" s="12">
        <f t="shared" si="126"/>
        <v>11</v>
      </c>
      <c r="H455" s="9">
        <v>4</v>
      </c>
      <c r="I455" s="9">
        <v>11</v>
      </c>
      <c r="K455" s="9" t="s">
        <v>371</v>
      </c>
      <c r="M455" s="9">
        <v>1</v>
      </c>
      <c r="N455" s="9">
        <v>15</v>
      </c>
      <c r="O455" s="9" t="s">
        <v>1434</v>
      </c>
      <c r="P455" s="55" t="s">
        <v>1436</v>
      </c>
      <c r="Q455" s="9" t="s">
        <v>683</v>
      </c>
      <c r="T455" s="9">
        <f ca="1">IFERROR(OFFSET(ITEM_RES!$A$5,MATCH(BUILDING!S455,ITEM_RES!$J$5:$J$229,0)-1,0),0)</f>
        <v>0</v>
      </c>
      <c r="W455" s="11">
        <f ca="1">IFERROR(OFFSET(ITEM_RES!$A$5,MATCH(BUILDING!V455,ITEM_RES!$J$5:$J$229,0)-1,0),0)</f>
        <v>0</v>
      </c>
      <c r="Y455" s="9" t="s">
        <v>514</v>
      </c>
      <c r="Z455" s="9">
        <v>11</v>
      </c>
      <c r="AB455" s="11">
        <f ca="1">IFERROR(OFFSET(MANOR_LEVEL!$B$1,MATCH(AC455-1,MANOR_LEVEL!$A:$A,0)-1,0),0)</f>
        <v>100000</v>
      </c>
      <c r="AC455" s="55">
        <v>8</v>
      </c>
      <c r="AE455" s="11">
        <f t="shared" ca="1" si="121"/>
        <v>2275600</v>
      </c>
      <c r="AF455" s="10">
        <f ca="1">AK455+AM455+(IFERROR(OFFSET(ITEM_RES!$R$1,MATCH(AQ455,ITEM_RES!$A:$A,0)-1,0),0)*AS455+IFERROR(OFFSET(ITEM_RES!$R$1,MATCH(AV455,ITEM_RES!$A:$A,0)-1,0),0)*AX455+IFERROR(OFFSET(ITEM_RES!$R$1,MATCH(BA455,ITEM_RES!$A:$A,0)-1,0),0)*BC455+IFERROR(OFFSET(ITEM_RES!$R$1,MATCH(BF455,ITEM_RES!$A:$A,0)-1,0),0)*BH455+IFERROR(OFFSET(ITEM_RES!$R$1,MATCH(BK455,ITEM_RES!$A:$A,0)-1,0),0)*BM455)/1000</f>
        <v>2275600</v>
      </c>
      <c r="AG455" s="176">
        <f t="shared" ca="1" si="128"/>
        <v>3611600</v>
      </c>
      <c r="AI455" s="11">
        <f t="shared" si="120"/>
        <v>360</v>
      </c>
      <c r="AJ455" s="10">
        <v>360</v>
      </c>
      <c r="AK455" s="11">
        <f t="shared" si="127"/>
        <v>0</v>
      </c>
      <c r="AL455" s="10">
        <v>0</v>
      </c>
      <c r="AM455" s="11">
        <f t="shared" si="129"/>
        <v>0</v>
      </c>
      <c r="AN455" s="10">
        <v>0</v>
      </c>
      <c r="AO455" s="55">
        <f t="shared" si="122"/>
        <v>2</v>
      </c>
      <c r="AQ455" s="11">
        <f ca="1">IFERROR(OFFSET(ITEM_RES!$A$1,MATCH(AR455,ITEM_RES!$J:$J,0)-1,0),0)</f>
        <v>211020301</v>
      </c>
      <c r="AR455" s="10" t="s">
        <v>1325</v>
      </c>
      <c r="AS455" s="11">
        <v>220000</v>
      </c>
      <c r="AV455" s="11">
        <f ca="1">IFERROR(OFFSET(ITEM_RES!$A$1,MATCH(AW455,ITEM_RES!$J:$J,0)-1,0),0)</f>
        <v>211020801</v>
      </c>
      <c r="AW455" s="10" t="s">
        <v>1438</v>
      </c>
      <c r="AX455" s="11">
        <v>12600</v>
      </c>
      <c r="BA455" s="11">
        <f ca="1">IFERROR(OFFSET(ITEM_RES!$A$1,MATCH(BB455,ITEM_RES!$J:$J,0)-1,0),0)</f>
        <v>0</v>
      </c>
      <c r="BF455" s="11">
        <f ca="1">IFERROR(OFFSET(ITEM_RES!$A$1,MATCH(BG455,ITEM_RES!$J:$J,0)-1,0),0)</f>
        <v>0</v>
      </c>
      <c r="BK455" s="11">
        <f ca="1">IFERROR(OFFSET(ITEM_RES!$A$1,MATCH(BL455,ITEM_RES!$J:$J,0)-1,0),0)</f>
        <v>0</v>
      </c>
    </row>
    <row r="456" spans="1:63" x14ac:dyDescent="0.3">
      <c r="A456" s="14">
        <f t="shared" si="124"/>
        <v>114020012</v>
      </c>
      <c r="B456" s="13">
        <v>11</v>
      </c>
      <c r="C456" s="12">
        <f t="shared" si="125"/>
        <v>4</v>
      </c>
      <c r="D456" s="13">
        <v>2</v>
      </c>
      <c r="E456" s="13">
        <v>0</v>
      </c>
      <c r="F456" s="12">
        <f t="shared" si="126"/>
        <v>12</v>
      </c>
      <c r="H456" s="9">
        <v>4</v>
      </c>
      <c r="I456" s="9">
        <v>12</v>
      </c>
      <c r="K456" s="9" t="s">
        <v>371</v>
      </c>
      <c r="M456" s="9">
        <v>1</v>
      </c>
      <c r="N456" s="9">
        <v>15</v>
      </c>
      <c r="O456" s="9" t="s">
        <v>1434</v>
      </c>
      <c r="P456" s="55" t="s">
        <v>1436</v>
      </c>
      <c r="Q456" s="9" t="s">
        <v>683</v>
      </c>
      <c r="T456" s="9">
        <f ca="1">IFERROR(OFFSET(ITEM_RES!$A$5,MATCH(BUILDING!S456,ITEM_RES!$J$5:$J$229,0)-1,0),0)</f>
        <v>0</v>
      </c>
      <c r="W456" s="11">
        <f ca="1">IFERROR(OFFSET(ITEM_RES!$A$5,MATCH(BUILDING!V456,ITEM_RES!$J$5:$J$229,0)-1,0),0)</f>
        <v>0</v>
      </c>
      <c r="Y456" s="9" t="s">
        <v>514</v>
      </c>
      <c r="Z456" s="9">
        <v>12</v>
      </c>
      <c r="AB456" s="11">
        <f ca="1">IFERROR(OFFSET(MANOR_LEVEL!$B$1,MATCH(AC456-1,MANOR_LEVEL!$A:$A,0)-1,0),0)</f>
        <v>300000</v>
      </c>
      <c r="AC456" s="55">
        <v>9</v>
      </c>
      <c r="AE456" s="11">
        <f t="shared" ca="1" si="121"/>
        <v>2361400</v>
      </c>
      <c r="AF456" s="10">
        <f ca="1">AK456+AM456+(IFERROR(OFFSET(ITEM_RES!$R$1,MATCH(AQ456,ITEM_RES!$A:$A,0)-1,0),0)*AS456+IFERROR(OFFSET(ITEM_RES!$R$1,MATCH(AV456,ITEM_RES!$A:$A,0)-1,0),0)*AX456+IFERROR(OFFSET(ITEM_RES!$R$1,MATCH(BA456,ITEM_RES!$A:$A,0)-1,0),0)*BC456+IFERROR(OFFSET(ITEM_RES!$R$1,MATCH(BF456,ITEM_RES!$A:$A,0)-1,0),0)*BH456+IFERROR(OFFSET(ITEM_RES!$R$1,MATCH(BK456,ITEM_RES!$A:$A,0)-1,0),0)*BM456)/1000</f>
        <v>2361400</v>
      </c>
      <c r="AG456" s="176">
        <f t="shared" ca="1" si="128"/>
        <v>4637000</v>
      </c>
      <c r="AI456" s="11">
        <f t="shared" si="120"/>
        <v>540</v>
      </c>
      <c r="AJ456" s="10">
        <v>540</v>
      </c>
      <c r="AK456" s="11">
        <f t="shared" si="127"/>
        <v>0</v>
      </c>
      <c r="AL456" s="10">
        <v>0</v>
      </c>
      <c r="AM456" s="11">
        <f t="shared" si="129"/>
        <v>0</v>
      </c>
      <c r="AN456" s="10">
        <v>0</v>
      </c>
      <c r="AO456" s="55">
        <f t="shared" si="122"/>
        <v>3</v>
      </c>
      <c r="AQ456" s="11">
        <f ca="1">IFERROR(OFFSET(ITEM_RES!$A$1,MATCH(AR456,ITEM_RES!$J:$J,0)-1,0),0)</f>
        <v>211020801</v>
      </c>
      <c r="AR456" s="10" t="s">
        <v>384</v>
      </c>
      <c r="AS456" s="11">
        <v>370000</v>
      </c>
      <c r="AV456" s="11">
        <f ca="1">IFERROR(OFFSET(ITEM_RES!$A$1,MATCH(AW456,ITEM_RES!$J:$J,0)-1,0),0)</f>
        <v>211020801</v>
      </c>
      <c r="AW456" s="10" t="s">
        <v>1438</v>
      </c>
      <c r="AX456" s="11">
        <v>23400</v>
      </c>
      <c r="BA456" s="11">
        <f ca="1">IFERROR(OFFSET(ITEM_RES!$A$1,MATCH(BB456,ITEM_RES!$J:$J,0)-1,0),0)</f>
        <v>0</v>
      </c>
      <c r="BF456" s="11">
        <f ca="1">IFERROR(OFFSET(ITEM_RES!$A$1,MATCH(BG456,ITEM_RES!$J:$J,0)-1,0),0)</f>
        <v>213011401</v>
      </c>
      <c r="BG456" s="10" t="s">
        <v>459</v>
      </c>
      <c r="BH456" s="11">
        <v>1</v>
      </c>
      <c r="BK456" s="11">
        <f ca="1">IFERROR(OFFSET(ITEM_RES!$A$1,MATCH(BL456,ITEM_RES!$J:$J,0)-1,0),0)</f>
        <v>0</v>
      </c>
    </row>
    <row r="457" spans="1:63" x14ac:dyDescent="0.3">
      <c r="A457" s="14">
        <f t="shared" si="124"/>
        <v>114020013</v>
      </c>
      <c r="B457" s="13">
        <v>11</v>
      </c>
      <c r="C457" s="12">
        <f t="shared" si="125"/>
        <v>4</v>
      </c>
      <c r="D457" s="13">
        <v>2</v>
      </c>
      <c r="E457" s="13">
        <v>0</v>
      </c>
      <c r="F457" s="12">
        <f t="shared" si="126"/>
        <v>13</v>
      </c>
      <c r="H457" s="9">
        <v>4</v>
      </c>
      <c r="I457" s="9">
        <v>13</v>
      </c>
      <c r="K457" s="9" t="s">
        <v>371</v>
      </c>
      <c r="M457" s="9">
        <v>1</v>
      </c>
      <c r="N457" s="9">
        <v>15</v>
      </c>
      <c r="O457" s="9" t="s">
        <v>1434</v>
      </c>
      <c r="P457" s="55" t="s">
        <v>1436</v>
      </c>
      <c r="Q457" s="9" t="s">
        <v>683</v>
      </c>
      <c r="T457" s="9">
        <f ca="1">IFERROR(OFFSET(ITEM_RES!$A$5,MATCH(BUILDING!S457,ITEM_RES!$J$5:$J$229,0)-1,0),0)</f>
        <v>0</v>
      </c>
      <c r="W457" s="11">
        <f ca="1">IFERROR(OFFSET(ITEM_RES!$A$5,MATCH(BUILDING!V457,ITEM_RES!$J$5:$J$229,0)-1,0),0)</f>
        <v>0</v>
      </c>
      <c r="Y457" s="9" t="s">
        <v>514</v>
      </c>
      <c r="Z457" s="9">
        <v>13</v>
      </c>
      <c r="AB457" s="11">
        <f ca="1">IFERROR(OFFSET(MANOR_LEVEL!$B$1,MATCH(AC457-1,MANOR_LEVEL!$A:$A,0)-1,0),0)</f>
        <v>600000</v>
      </c>
      <c r="AC457" s="55">
        <v>10</v>
      </c>
      <c r="AE457" s="11">
        <f t="shared" ca="1" si="121"/>
        <v>3954000</v>
      </c>
      <c r="AF457" s="10">
        <f ca="1">AK457+AM457+(IFERROR(OFFSET(ITEM_RES!$R$1,MATCH(AQ457,ITEM_RES!$A:$A,0)-1,0),0)*AS457+IFERROR(OFFSET(ITEM_RES!$R$1,MATCH(AV457,ITEM_RES!$A:$A,0)-1,0),0)*AX457+IFERROR(OFFSET(ITEM_RES!$R$1,MATCH(BA457,ITEM_RES!$A:$A,0)-1,0),0)*BC457+IFERROR(OFFSET(ITEM_RES!$R$1,MATCH(BF457,ITEM_RES!$A:$A,0)-1,0),0)*BH457+IFERROR(OFFSET(ITEM_RES!$R$1,MATCH(BK457,ITEM_RES!$A:$A,0)-1,0),0)*BM457)/1000</f>
        <v>3954000</v>
      </c>
      <c r="AG457" s="176">
        <f t="shared" ca="1" si="128"/>
        <v>6315400</v>
      </c>
      <c r="AI457" s="11">
        <f t="shared" si="120"/>
        <v>720</v>
      </c>
      <c r="AJ457" s="10">
        <v>720</v>
      </c>
      <c r="AK457" s="11">
        <f t="shared" si="127"/>
        <v>0</v>
      </c>
      <c r="AL457" s="10">
        <v>0</v>
      </c>
      <c r="AM457" s="11">
        <f t="shared" si="129"/>
        <v>0</v>
      </c>
      <c r="AN457" s="10">
        <v>0</v>
      </c>
      <c r="AO457" s="55">
        <f t="shared" si="122"/>
        <v>2</v>
      </c>
      <c r="AQ457" s="11">
        <f ca="1">IFERROR(OFFSET(ITEM_RES!$A$1,MATCH(AR457,ITEM_RES!$J:$J,0)-1,0),0)</f>
        <v>211020801</v>
      </c>
      <c r="AR457" s="10" t="s">
        <v>384</v>
      </c>
      <c r="AS457" s="11">
        <v>620000</v>
      </c>
      <c r="AV457" s="11">
        <f ca="1">IFERROR(OFFSET(ITEM_RES!$A$1,MATCH(AW457,ITEM_RES!$J:$J,0)-1,0),0)</f>
        <v>211020801</v>
      </c>
      <c r="AW457" s="10" t="s">
        <v>1438</v>
      </c>
      <c r="AX457" s="11">
        <v>39000</v>
      </c>
      <c r="BA457" s="11">
        <f ca="1">IFERROR(OFFSET(ITEM_RES!$A$1,MATCH(BB457,ITEM_RES!$J:$J,0)-1,0),0)</f>
        <v>0</v>
      </c>
      <c r="BF457" s="11">
        <f ca="1">IFERROR(OFFSET(ITEM_RES!$A$1,MATCH(BG457,ITEM_RES!$J:$J,0)-1,0),0)</f>
        <v>0</v>
      </c>
      <c r="BK457" s="11">
        <f ca="1">IFERROR(OFFSET(ITEM_RES!$A$1,MATCH(BL457,ITEM_RES!$J:$J,0)-1,0),0)</f>
        <v>0</v>
      </c>
    </row>
    <row r="458" spans="1:63" x14ac:dyDescent="0.3">
      <c r="A458" s="14">
        <f t="shared" si="124"/>
        <v>114020014</v>
      </c>
      <c r="B458" s="13">
        <v>11</v>
      </c>
      <c r="C458" s="12">
        <f t="shared" si="125"/>
        <v>4</v>
      </c>
      <c r="D458" s="13">
        <v>2</v>
      </c>
      <c r="E458" s="13">
        <v>0</v>
      </c>
      <c r="F458" s="12">
        <f t="shared" si="126"/>
        <v>14</v>
      </c>
      <c r="H458" s="9">
        <v>4</v>
      </c>
      <c r="I458" s="9">
        <v>14</v>
      </c>
      <c r="K458" s="9" t="s">
        <v>371</v>
      </c>
      <c r="M458" s="9">
        <v>1</v>
      </c>
      <c r="N458" s="9">
        <v>15</v>
      </c>
      <c r="O458" s="9" t="s">
        <v>1434</v>
      </c>
      <c r="P458" s="55" t="s">
        <v>1436</v>
      </c>
      <c r="Q458" s="9" t="s">
        <v>683</v>
      </c>
      <c r="T458" s="9">
        <f ca="1">IFERROR(OFFSET(ITEM_RES!$A$5,MATCH(BUILDING!S458,ITEM_RES!$J$5:$J$229,0)-1,0),0)</f>
        <v>0</v>
      </c>
      <c r="W458" s="11">
        <f ca="1">IFERROR(OFFSET(ITEM_RES!$A$5,MATCH(BUILDING!V458,ITEM_RES!$J$5:$J$229,0)-1,0),0)</f>
        <v>0</v>
      </c>
      <c r="Y458" s="9" t="s">
        <v>514</v>
      </c>
      <c r="Z458" s="9">
        <v>14</v>
      </c>
      <c r="AB458" s="11">
        <f ca="1">IFERROR(OFFSET(MANOR_LEVEL!$B$1,MATCH(AC458-1,MANOR_LEVEL!$A:$A,0)-1,0),0)</f>
        <v>1200000</v>
      </c>
      <c r="AC458" s="55">
        <v>11</v>
      </c>
      <c r="AE458" s="11">
        <f t="shared" ca="1" si="121"/>
        <v>6480000</v>
      </c>
      <c r="AF458" s="10">
        <f ca="1">AK458+AM458+(IFERROR(OFFSET(ITEM_RES!$R$1,MATCH(AQ458,ITEM_RES!$A:$A,0)-1,0),0)*AS458+IFERROR(OFFSET(ITEM_RES!$R$1,MATCH(AV458,ITEM_RES!$A:$A,0)-1,0),0)*AX458+IFERROR(OFFSET(ITEM_RES!$R$1,MATCH(BA458,ITEM_RES!$A:$A,0)-1,0),0)*BC458+IFERROR(OFFSET(ITEM_RES!$R$1,MATCH(BF458,ITEM_RES!$A:$A,0)-1,0),0)*BH458+IFERROR(OFFSET(ITEM_RES!$R$1,MATCH(BK458,ITEM_RES!$A:$A,0)-1,0),0)*BM458)/1000</f>
        <v>6480000</v>
      </c>
      <c r="AG458" s="176">
        <f t="shared" ca="1" si="128"/>
        <v>10434000</v>
      </c>
      <c r="AI458" s="11">
        <f t="shared" si="120"/>
        <v>900</v>
      </c>
      <c r="AJ458" s="10">
        <v>900</v>
      </c>
      <c r="AK458" s="11">
        <f t="shared" si="127"/>
        <v>0</v>
      </c>
      <c r="AL458" s="10">
        <v>0</v>
      </c>
      <c r="AM458" s="11">
        <f t="shared" si="129"/>
        <v>0</v>
      </c>
      <c r="AN458" s="10">
        <v>0</v>
      </c>
      <c r="AO458" s="55">
        <f t="shared" si="122"/>
        <v>2</v>
      </c>
      <c r="AQ458" s="11">
        <f ca="1">IFERROR(OFFSET(ITEM_RES!$A$1,MATCH(AR458,ITEM_RES!$J:$J,0)-1,0),0)</f>
        <v>211020801</v>
      </c>
      <c r="AR458" s="10" t="s">
        <v>384</v>
      </c>
      <c r="AS458" s="11">
        <v>970000</v>
      </c>
      <c r="AV458" s="11">
        <f ca="1">IFERROR(OFFSET(ITEM_RES!$A$1,MATCH(AW458,ITEM_RES!$J:$J,0)-1,0),0)</f>
        <v>211020901</v>
      </c>
      <c r="AW458" s="10" t="s">
        <v>1439</v>
      </c>
      <c r="AX458" s="11">
        <v>66000</v>
      </c>
      <c r="BA458" s="11">
        <f ca="1">IFERROR(OFFSET(ITEM_RES!$A$1,MATCH(BB458,ITEM_RES!$J:$J,0)-1,0),0)</f>
        <v>0</v>
      </c>
      <c r="BF458" s="11">
        <f ca="1">IFERROR(OFFSET(ITEM_RES!$A$1,MATCH(BG458,ITEM_RES!$J:$J,0)-1,0),0)</f>
        <v>0</v>
      </c>
      <c r="BK458" s="11">
        <f ca="1">IFERROR(OFFSET(ITEM_RES!$A$1,MATCH(BL458,ITEM_RES!$J:$J,0)-1,0),0)</f>
        <v>0</v>
      </c>
    </row>
    <row r="459" spans="1:63" x14ac:dyDescent="0.3">
      <c r="A459" s="14">
        <f t="shared" si="124"/>
        <v>114020015</v>
      </c>
      <c r="B459" s="13">
        <v>11</v>
      </c>
      <c r="C459" s="12">
        <f t="shared" si="125"/>
        <v>4</v>
      </c>
      <c r="D459" s="13">
        <v>2</v>
      </c>
      <c r="E459" s="13">
        <v>0</v>
      </c>
      <c r="F459" s="12">
        <f t="shared" si="126"/>
        <v>15</v>
      </c>
      <c r="H459" s="9">
        <v>4</v>
      </c>
      <c r="I459" s="9">
        <v>15</v>
      </c>
      <c r="K459" s="9" t="s">
        <v>371</v>
      </c>
      <c r="M459" s="9">
        <v>1</v>
      </c>
      <c r="N459" s="9">
        <v>15</v>
      </c>
      <c r="O459" s="9" t="s">
        <v>1434</v>
      </c>
      <c r="P459" s="55" t="s">
        <v>1436</v>
      </c>
      <c r="Q459" s="9" t="s">
        <v>683</v>
      </c>
      <c r="T459" s="9">
        <f ca="1">IFERROR(OFFSET(ITEM_RES!$A$5,MATCH(BUILDING!S459,ITEM_RES!$J$5:$J$229,0)-1,0),0)</f>
        <v>0</v>
      </c>
      <c r="W459" s="11">
        <f ca="1">IFERROR(OFFSET(ITEM_RES!$A$5,MATCH(BUILDING!V459,ITEM_RES!$J$5:$J$229,0)-1,0),0)</f>
        <v>0</v>
      </c>
      <c r="Y459" s="9" t="s">
        <v>514</v>
      </c>
      <c r="Z459" s="9">
        <v>15</v>
      </c>
      <c r="AB459" s="11">
        <f ca="1">IFERROR(OFFSET(MANOR_LEVEL!$B$1,MATCH(AC459-1,MANOR_LEVEL!$A:$A,0)-1,0),0)</f>
        <v>3500000</v>
      </c>
      <c r="AC459" s="55">
        <v>12</v>
      </c>
      <c r="AE459" s="11">
        <f t="shared" ca="1" si="121"/>
        <v>13710000</v>
      </c>
      <c r="AF459" s="10">
        <f ca="1">AK459+AM459+(IFERROR(OFFSET(ITEM_RES!$R$1,MATCH(AQ459,ITEM_RES!$A:$A,0)-1,0),0)*AS459+IFERROR(OFFSET(ITEM_RES!$R$1,MATCH(AV459,ITEM_RES!$A:$A,0)-1,0),0)*AX459+IFERROR(OFFSET(ITEM_RES!$R$1,MATCH(BA459,ITEM_RES!$A:$A,0)-1,0),0)*BC459+IFERROR(OFFSET(ITEM_RES!$R$1,MATCH(BF459,ITEM_RES!$A:$A,0)-1,0),0)*BH459+IFERROR(OFFSET(ITEM_RES!$R$1,MATCH(BK459,ITEM_RES!$A:$A,0)-1,0),0)*BM459)/1000</f>
        <v>13710000</v>
      </c>
      <c r="AG459" s="176">
        <f t="shared" ca="1" si="128"/>
        <v>20190000</v>
      </c>
      <c r="AI459" s="11">
        <f t="shared" si="120"/>
        <v>1080</v>
      </c>
      <c r="AJ459" s="10">
        <v>1080</v>
      </c>
      <c r="AK459" s="11">
        <f t="shared" si="127"/>
        <v>0</v>
      </c>
      <c r="AL459" s="10">
        <v>0</v>
      </c>
      <c r="AM459" s="11">
        <f t="shared" si="129"/>
        <v>0</v>
      </c>
      <c r="AN459" s="10">
        <v>0</v>
      </c>
      <c r="AO459" s="55">
        <f t="shared" si="122"/>
        <v>2</v>
      </c>
      <c r="AQ459" s="11">
        <f ca="1">IFERROR(OFFSET(ITEM_RES!$A$1,MATCH(AR459,ITEM_RES!$J:$J,0)-1,0),0)</f>
        <v>211020801</v>
      </c>
      <c r="AR459" s="10" t="s">
        <v>384</v>
      </c>
      <c r="AS459" s="11">
        <v>2100000</v>
      </c>
      <c r="AV459" s="11">
        <f ca="1">IFERROR(OFFSET(ITEM_RES!$A$1,MATCH(AW459,ITEM_RES!$J:$J,0)-1,0),0)</f>
        <v>211020901</v>
      </c>
      <c r="AW459" s="10" t="s">
        <v>1439</v>
      </c>
      <c r="AX459" s="11">
        <v>111000</v>
      </c>
      <c r="BA459" s="11">
        <f ca="1">IFERROR(OFFSET(ITEM_RES!$A$1,MATCH(BB459,ITEM_RES!$J:$J,0)-1,0),0)</f>
        <v>0</v>
      </c>
      <c r="BF459" s="11">
        <f ca="1">IFERROR(OFFSET(ITEM_RES!$A$1,MATCH(BG459,ITEM_RES!$J:$J,0)-1,0),0)</f>
        <v>0</v>
      </c>
      <c r="BK459" s="11">
        <f ca="1">IFERROR(OFFSET(ITEM_RES!$A$1,MATCH(BL459,ITEM_RES!$J:$J,0)-1,0),0)</f>
        <v>0</v>
      </c>
    </row>
    <row r="460" spans="1:63" x14ac:dyDescent="0.3">
      <c r="A460" s="14">
        <f t="shared" si="124"/>
        <v>114020016</v>
      </c>
      <c r="B460" s="13">
        <v>11</v>
      </c>
      <c r="C460" s="12">
        <f t="shared" si="125"/>
        <v>4</v>
      </c>
      <c r="D460" s="13">
        <v>2</v>
      </c>
      <c r="E460" s="13">
        <v>0</v>
      </c>
      <c r="F460" s="12">
        <f t="shared" si="126"/>
        <v>16</v>
      </c>
      <c r="H460" s="9">
        <v>4</v>
      </c>
      <c r="I460" s="9">
        <v>16</v>
      </c>
      <c r="K460" s="9" t="s">
        <v>371</v>
      </c>
      <c r="M460" s="9">
        <v>0</v>
      </c>
      <c r="N460" s="9">
        <v>15</v>
      </c>
      <c r="O460" s="9" t="s">
        <v>1434</v>
      </c>
      <c r="P460" s="55" t="s">
        <v>1436</v>
      </c>
      <c r="Q460" s="9" t="s">
        <v>683</v>
      </c>
      <c r="T460" s="9">
        <f ca="1">IFERROR(OFFSET(ITEM_RES!$A$5,MATCH(BUILDING!S460,ITEM_RES!$J$5:$J$229,0)-1,0),0)</f>
        <v>0</v>
      </c>
      <c r="W460" s="11">
        <f ca="1">IFERROR(OFFSET(ITEM_RES!$A$5,MATCH(BUILDING!V460,ITEM_RES!$J$5:$J$229,0)-1,0),0)</f>
        <v>0</v>
      </c>
      <c r="Y460" s="9" t="s">
        <v>514</v>
      </c>
      <c r="Z460" s="9">
        <v>16</v>
      </c>
      <c r="AB460" s="11">
        <f ca="1">IFERROR(OFFSET(MANOR_LEVEL!$B$1,MATCH(AC460-1,MANOR_LEVEL!$A:$A,0)-1,0),0)</f>
        <v>6000000</v>
      </c>
      <c r="AC460" s="55">
        <v>13</v>
      </c>
      <c r="AE460" s="11">
        <f t="shared" ca="1" si="121"/>
        <v>44860000</v>
      </c>
      <c r="AF460" s="10">
        <f ca="1">AK460+AM460+(IFERROR(OFFSET(ITEM_RES!$R$1,MATCH(AQ460,ITEM_RES!$A:$A,0)-1,0),0)*AS460+IFERROR(OFFSET(ITEM_RES!$R$1,MATCH(AV460,ITEM_RES!$A:$A,0)-1,0),0)*AX460+IFERROR(OFFSET(ITEM_RES!$R$1,MATCH(BA460,ITEM_RES!$A:$A,0)-1,0),0)*BC460+IFERROR(OFFSET(ITEM_RES!$R$1,MATCH(BF460,ITEM_RES!$A:$A,0)-1,0),0)*BH460+IFERROR(OFFSET(ITEM_RES!$R$1,MATCH(BK460,ITEM_RES!$A:$A,0)-1,0),0)*BM460)/1000</f>
        <v>44860000</v>
      </c>
      <c r="AG460" s="176">
        <f t="shared" ca="1" si="128"/>
        <v>58570000</v>
      </c>
      <c r="AI460" s="11">
        <f t="shared" si="120"/>
        <v>1260</v>
      </c>
      <c r="AJ460" s="10">
        <v>1260</v>
      </c>
      <c r="AK460" s="11">
        <f t="shared" si="127"/>
        <v>0</v>
      </c>
      <c r="AL460" s="10">
        <v>0</v>
      </c>
      <c r="AM460" s="11">
        <f t="shared" si="129"/>
        <v>0</v>
      </c>
      <c r="AN460" s="10">
        <v>0</v>
      </c>
      <c r="AO460" s="55">
        <f t="shared" si="122"/>
        <v>2</v>
      </c>
      <c r="AQ460" s="11">
        <f ca="1">IFERROR(OFFSET(ITEM_RES!$A$1,MATCH(AR460,ITEM_RES!$J:$J,0)-1,0),0)</f>
        <v>211020901</v>
      </c>
      <c r="AR460" s="10" t="s">
        <v>435</v>
      </c>
      <c r="AS460" s="11">
        <v>4300000</v>
      </c>
      <c r="AV460" s="11">
        <f ca="1">IFERROR(OFFSET(ITEM_RES!$A$1,MATCH(AW460,ITEM_RES!$J:$J,0)-1,0),0)</f>
        <v>211020901</v>
      </c>
      <c r="AW460" s="10" t="s">
        <v>1439</v>
      </c>
      <c r="AX460" s="11">
        <v>186000</v>
      </c>
      <c r="BA460" s="11">
        <f ca="1">IFERROR(OFFSET(ITEM_RES!$A$1,MATCH(BB460,ITEM_RES!$J:$J,0)-1,0),0)</f>
        <v>0</v>
      </c>
      <c r="BF460" s="11">
        <f ca="1">IFERROR(OFFSET(ITEM_RES!$A$1,MATCH(BG460,ITEM_RES!$J:$J,0)-1,0),0)</f>
        <v>0</v>
      </c>
      <c r="BK460" s="11">
        <f ca="1">IFERROR(OFFSET(ITEM_RES!$A$1,MATCH(BL460,ITEM_RES!$J:$J,0)-1,0),0)</f>
        <v>0</v>
      </c>
    </row>
    <row r="461" spans="1:63" x14ac:dyDescent="0.3">
      <c r="A461" s="14">
        <f t="shared" si="124"/>
        <v>114020017</v>
      </c>
      <c r="B461" s="13">
        <v>11</v>
      </c>
      <c r="C461" s="12">
        <f t="shared" si="125"/>
        <v>4</v>
      </c>
      <c r="D461" s="13">
        <v>2</v>
      </c>
      <c r="E461" s="13">
        <v>0</v>
      </c>
      <c r="F461" s="12">
        <f t="shared" si="126"/>
        <v>17</v>
      </c>
      <c r="H461" s="9">
        <v>4</v>
      </c>
      <c r="I461" s="9">
        <v>17</v>
      </c>
      <c r="K461" s="9" t="s">
        <v>371</v>
      </c>
      <c r="M461" s="9">
        <v>0</v>
      </c>
      <c r="N461" s="9">
        <v>15</v>
      </c>
      <c r="O461" s="9" t="s">
        <v>1434</v>
      </c>
      <c r="P461" s="55" t="s">
        <v>1436</v>
      </c>
      <c r="Q461" s="9" t="s">
        <v>683</v>
      </c>
      <c r="T461" s="9">
        <f ca="1">IFERROR(OFFSET(ITEM_RES!$A$5,MATCH(BUILDING!S461,ITEM_RES!$J$5:$J$229,0)-1,0),0)</f>
        <v>0</v>
      </c>
      <c r="W461" s="11">
        <f ca="1">IFERROR(OFFSET(ITEM_RES!$A$5,MATCH(BUILDING!V461,ITEM_RES!$J$5:$J$229,0)-1,0),0)</f>
        <v>0</v>
      </c>
      <c r="Y461" s="9" t="s">
        <v>514</v>
      </c>
      <c r="Z461" s="9">
        <v>17</v>
      </c>
      <c r="AB461" s="11">
        <f ca="1">IFERROR(OFFSET(MANOR_LEVEL!$B$1,MATCH(AC461-1,MANOR_LEVEL!$A:$A,0)-1,0),0)</f>
        <v>10000000</v>
      </c>
      <c r="AC461" s="55">
        <v>14</v>
      </c>
      <c r="AE461" s="11">
        <f t="shared" ca="1" si="121"/>
        <v>82910000</v>
      </c>
      <c r="AF461" s="10">
        <f ca="1">AK461+AM461+(IFERROR(OFFSET(ITEM_RES!$R$1,MATCH(AQ461,ITEM_RES!$A:$A,0)-1,0),0)*AS461+IFERROR(OFFSET(ITEM_RES!$R$1,MATCH(AV461,ITEM_RES!$A:$A,0)-1,0),0)*AX461+IFERROR(OFFSET(ITEM_RES!$R$1,MATCH(BA461,ITEM_RES!$A:$A,0)-1,0),0)*BC461+IFERROR(OFFSET(ITEM_RES!$R$1,MATCH(BF461,ITEM_RES!$A:$A,0)-1,0),0)*BH461+IFERROR(OFFSET(ITEM_RES!$R$1,MATCH(BK461,ITEM_RES!$A:$A,0)-1,0),0)*BM461)/1000</f>
        <v>82910000</v>
      </c>
      <c r="AG461" s="176">
        <f t="shared" ca="1" si="128"/>
        <v>127770000</v>
      </c>
      <c r="AI461" s="11">
        <f t="shared" si="120"/>
        <v>1440</v>
      </c>
      <c r="AJ461" s="10">
        <v>1440</v>
      </c>
      <c r="AK461" s="11">
        <f t="shared" si="127"/>
        <v>0</v>
      </c>
      <c r="AL461" s="10">
        <v>0</v>
      </c>
      <c r="AM461" s="11">
        <f t="shared" si="129"/>
        <v>0</v>
      </c>
      <c r="AN461" s="10">
        <v>0</v>
      </c>
      <c r="AO461" s="55">
        <f t="shared" si="122"/>
        <v>2</v>
      </c>
      <c r="AQ461" s="11">
        <f ca="1">IFERROR(OFFSET(ITEM_RES!$A$1,MATCH(AR461,ITEM_RES!$J:$J,0)-1,0),0)</f>
        <v>211020901</v>
      </c>
      <c r="AR461" s="10" t="s">
        <v>435</v>
      </c>
      <c r="AS461" s="11">
        <v>8000000</v>
      </c>
      <c r="AV461" s="11">
        <f ca="1">IFERROR(OFFSET(ITEM_RES!$A$1,MATCH(AW461,ITEM_RES!$J:$J,0)-1,0),0)</f>
        <v>211020901</v>
      </c>
      <c r="AW461" s="10" t="s">
        <v>1439</v>
      </c>
      <c r="AX461" s="11">
        <v>291000</v>
      </c>
      <c r="BA461" s="11">
        <f ca="1">IFERROR(OFFSET(ITEM_RES!$A$1,MATCH(BB461,ITEM_RES!$J:$J,0)-1,0),0)</f>
        <v>0</v>
      </c>
      <c r="BF461" s="11">
        <f ca="1">IFERROR(OFFSET(ITEM_RES!$A$1,MATCH(BG461,ITEM_RES!$J:$J,0)-1,0),0)</f>
        <v>0</v>
      </c>
      <c r="BK461" s="11">
        <f ca="1">IFERROR(OFFSET(ITEM_RES!$A$1,MATCH(BL461,ITEM_RES!$J:$J,0)-1,0),0)</f>
        <v>0</v>
      </c>
    </row>
    <row r="462" spans="1:63" x14ac:dyDescent="0.3">
      <c r="A462" s="14">
        <f t="shared" si="124"/>
        <v>114020018</v>
      </c>
      <c r="B462" s="13">
        <v>11</v>
      </c>
      <c r="C462" s="12">
        <f t="shared" si="125"/>
        <v>4</v>
      </c>
      <c r="D462" s="13">
        <v>2</v>
      </c>
      <c r="E462" s="13">
        <v>0</v>
      </c>
      <c r="F462" s="12">
        <f t="shared" si="126"/>
        <v>18</v>
      </c>
      <c r="H462" s="9">
        <v>4</v>
      </c>
      <c r="I462" s="9">
        <v>18</v>
      </c>
      <c r="K462" s="9" t="s">
        <v>371</v>
      </c>
      <c r="M462" s="9">
        <v>0</v>
      </c>
      <c r="N462" s="9">
        <v>15</v>
      </c>
      <c r="O462" s="9" t="s">
        <v>1434</v>
      </c>
      <c r="P462" s="55" t="s">
        <v>1436</v>
      </c>
      <c r="Q462" s="9" t="s">
        <v>683</v>
      </c>
      <c r="T462" s="9">
        <f ca="1">IFERROR(OFFSET(ITEM_RES!$A$5,MATCH(BUILDING!S462,ITEM_RES!$J$5:$J$229,0)-1,0),0)</f>
        <v>0</v>
      </c>
      <c r="W462" s="11">
        <f ca="1">IFERROR(OFFSET(ITEM_RES!$A$5,MATCH(BUILDING!V462,ITEM_RES!$J$5:$J$229,0)-1,0),0)</f>
        <v>0</v>
      </c>
      <c r="Y462" s="9" t="s">
        <v>514</v>
      </c>
      <c r="Z462" s="9">
        <v>18</v>
      </c>
      <c r="AB462" s="11">
        <f ca="1">IFERROR(OFFSET(MANOR_LEVEL!$B$1,MATCH(AC462-1,MANOR_LEVEL!$A:$A,0)-1,0),0)</f>
        <v>17000000</v>
      </c>
      <c r="AC462" s="55">
        <v>15</v>
      </c>
      <c r="AE462" s="11">
        <f t="shared" ca="1" si="121"/>
        <v>136300000</v>
      </c>
      <c r="AF462" s="10">
        <f ca="1">AK462+AM462+(IFERROR(OFFSET(ITEM_RES!$R$1,MATCH(AQ462,ITEM_RES!$A:$A,0)-1,0),0)*AS462+IFERROR(OFFSET(ITEM_RES!$R$1,MATCH(AV462,ITEM_RES!$A:$A,0)-1,0),0)*AX462+IFERROR(OFFSET(ITEM_RES!$R$1,MATCH(BA462,ITEM_RES!$A:$A,0)-1,0),0)*BC462+IFERROR(OFFSET(ITEM_RES!$R$1,MATCH(BF462,ITEM_RES!$A:$A,0)-1,0),0)*BH462+IFERROR(OFFSET(ITEM_RES!$R$1,MATCH(BK462,ITEM_RES!$A:$A,0)-1,0),0)*BM462)/1000</f>
        <v>136300000</v>
      </c>
      <c r="AG462" s="176">
        <f t="shared" ca="1" si="128"/>
        <v>219210000</v>
      </c>
      <c r="AI462" s="11">
        <f t="shared" si="120"/>
        <v>1620</v>
      </c>
      <c r="AJ462" s="10">
        <v>1620</v>
      </c>
      <c r="AK462" s="11">
        <f t="shared" si="127"/>
        <v>0</v>
      </c>
      <c r="AL462" s="10">
        <v>0</v>
      </c>
      <c r="AM462" s="11">
        <f t="shared" si="129"/>
        <v>0</v>
      </c>
      <c r="AN462" s="10">
        <v>0</v>
      </c>
      <c r="AO462" s="55">
        <f t="shared" si="122"/>
        <v>2</v>
      </c>
      <c r="AQ462" s="11">
        <f ca="1">IFERROR(OFFSET(ITEM_RES!$A$1,MATCH(AR462,ITEM_RES!$J:$J,0)-1,0),0)</f>
        <v>211020901</v>
      </c>
      <c r="AR462" s="10" t="s">
        <v>435</v>
      </c>
      <c r="AS462" s="11">
        <v>13000000</v>
      </c>
      <c r="AV462" s="11">
        <f ca="1">IFERROR(OFFSET(ITEM_RES!$A$1,MATCH(AW462,ITEM_RES!$J:$J,0)-1,0),0)</f>
        <v>211020901</v>
      </c>
      <c r="AW462" s="10" t="s">
        <v>1439</v>
      </c>
      <c r="AX462" s="11">
        <v>630000</v>
      </c>
      <c r="BA462" s="11">
        <f ca="1">IFERROR(OFFSET(ITEM_RES!$A$1,MATCH(BB462,ITEM_RES!$J:$J,0)-1,0),0)</f>
        <v>0</v>
      </c>
      <c r="BF462" s="11">
        <f ca="1">IFERROR(OFFSET(ITEM_RES!$A$1,MATCH(BG462,ITEM_RES!$J:$J,0)-1,0),0)</f>
        <v>0</v>
      </c>
      <c r="BK462" s="11">
        <f ca="1">IFERROR(OFFSET(ITEM_RES!$A$1,MATCH(BL462,ITEM_RES!$J:$J,0)-1,0),0)</f>
        <v>0</v>
      </c>
    </row>
    <row r="463" spans="1:63" x14ac:dyDescent="0.3">
      <c r="A463" s="14">
        <f t="shared" si="124"/>
        <v>114020019</v>
      </c>
      <c r="B463" s="13">
        <v>11</v>
      </c>
      <c r="C463" s="12">
        <f t="shared" si="125"/>
        <v>4</v>
      </c>
      <c r="D463" s="13">
        <v>2</v>
      </c>
      <c r="E463" s="13">
        <v>0</v>
      </c>
      <c r="F463" s="12">
        <f t="shared" si="126"/>
        <v>19</v>
      </c>
      <c r="H463" s="9">
        <v>4</v>
      </c>
      <c r="I463" s="9">
        <v>19</v>
      </c>
      <c r="K463" s="9" t="s">
        <v>371</v>
      </c>
      <c r="M463" s="9">
        <v>0</v>
      </c>
      <c r="N463" s="9">
        <v>15</v>
      </c>
      <c r="O463" s="9" t="s">
        <v>1434</v>
      </c>
      <c r="P463" s="55" t="s">
        <v>1436</v>
      </c>
      <c r="Q463" s="9" t="s">
        <v>683</v>
      </c>
      <c r="T463" s="9">
        <f ca="1">IFERROR(OFFSET(ITEM_RES!$A$5,MATCH(BUILDING!S463,ITEM_RES!$J$5:$J$229,0)-1,0),0)</f>
        <v>0</v>
      </c>
      <c r="W463" s="11">
        <f ca="1">IFERROR(OFFSET(ITEM_RES!$A$5,MATCH(BUILDING!V463,ITEM_RES!$J$5:$J$229,0)-1,0),0)</f>
        <v>0</v>
      </c>
      <c r="Y463" s="9" t="s">
        <v>514</v>
      </c>
      <c r="Z463" s="9">
        <v>19</v>
      </c>
      <c r="AB463" s="11">
        <f ca="1">IFERROR(OFFSET(MANOR_LEVEL!$B$1,MATCH(AC463-1,MANOR_LEVEL!$A:$A,0)-1,0),0)</f>
        <v>37000000</v>
      </c>
      <c r="AC463" s="55">
        <v>16</v>
      </c>
      <c r="AE463" s="11">
        <f t="shared" ca="1" si="121"/>
        <v>212900000</v>
      </c>
      <c r="AF463" s="10">
        <f ca="1">AK463+AM463+(IFERROR(OFFSET(ITEM_RES!$R$1,MATCH(AQ463,ITEM_RES!$A:$A,0)-1,0),0)*AS463+IFERROR(OFFSET(ITEM_RES!$R$1,MATCH(AV463,ITEM_RES!$A:$A,0)-1,0),0)*AX463+IFERROR(OFFSET(ITEM_RES!$R$1,MATCH(BA463,ITEM_RES!$A:$A,0)-1,0),0)*BC463+IFERROR(OFFSET(ITEM_RES!$R$1,MATCH(BF463,ITEM_RES!$A:$A,0)-1,0),0)*BH463+IFERROR(OFFSET(ITEM_RES!$R$1,MATCH(BK463,ITEM_RES!$A:$A,0)-1,0),0)*BM463)/1000</f>
        <v>212900000</v>
      </c>
      <c r="AG463" s="176">
        <f t="shared" ca="1" si="128"/>
        <v>349200000</v>
      </c>
      <c r="AI463" s="11">
        <f t="shared" si="120"/>
        <v>1800</v>
      </c>
      <c r="AJ463" s="10">
        <v>1800</v>
      </c>
      <c r="AK463" s="11">
        <f t="shared" si="127"/>
        <v>0</v>
      </c>
      <c r="AL463" s="10">
        <v>0</v>
      </c>
      <c r="AM463" s="11">
        <f t="shared" si="129"/>
        <v>0</v>
      </c>
      <c r="AN463" s="10">
        <v>0</v>
      </c>
      <c r="AO463" s="55">
        <f t="shared" si="122"/>
        <v>2</v>
      </c>
      <c r="AQ463" s="11">
        <f ca="1">IFERROR(OFFSET(ITEM_RES!$A$1,MATCH(AR463,ITEM_RES!$J:$J,0)-1,0),0)</f>
        <v>211020901</v>
      </c>
      <c r="AR463" s="10" t="s">
        <v>435</v>
      </c>
      <c r="AS463" s="11">
        <v>20000000</v>
      </c>
      <c r="AV463" s="11">
        <f ca="1">IFERROR(OFFSET(ITEM_RES!$A$1,MATCH(AW463,ITEM_RES!$J:$J,0)-1,0),0)</f>
        <v>211020901</v>
      </c>
      <c r="AW463" s="10" t="s">
        <v>1439</v>
      </c>
      <c r="AX463" s="11">
        <v>1290000</v>
      </c>
      <c r="BA463" s="11">
        <f ca="1">IFERROR(OFFSET(ITEM_RES!$A$1,MATCH(BB463,ITEM_RES!$J:$J,0)-1,0),0)</f>
        <v>0</v>
      </c>
      <c r="BF463" s="11">
        <f ca="1">IFERROR(OFFSET(ITEM_RES!$A$1,MATCH(BG463,ITEM_RES!$J:$J,0)-1,0),0)</f>
        <v>0</v>
      </c>
      <c r="BK463" s="11">
        <f ca="1">IFERROR(OFFSET(ITEM_RES!$A$1,MATCH(BL463,ITEM_RES!$J:$J,0)-1,0),0)</f>
        <v>0</v>
      </c>
    </row>
    <row r="464" spans="1:63" ht="17.25" thickBot="1" x14ac:dyDescent="0.35">
      <c r="A464" s="14">
        <f t="shared" si="124"/>
        <v>114020020</v>
      </c>
      <c r="B464" s="13">
        <v>11</v>
      </c>
      <c r="C464" s="12">
        <f t="shared" si="125"/>
        <v>4</v>
      </c>
      <c r="D464" s="13">
        <v>2</v>
      </c>
      <c r="E464" s="13">
        <v>0</v>
      </c>
      <c r="F464" s="12">
        <f t="shared" si="126"/>
        <v>20</v>
      </c>
      <c r="H464" s="9">
        <v>4</v>
      </c>
      <c r="I464" s="9">
        <v>20</v>
      </c>
      <c r="K464" s="9" t="s">
        <v>371</v>
      </c>
      <c r="M464" s="9">
        <v>0</v>
      </c>
      <c r="N464" s="9">
        <v>15</v>
      </c>
      <c r="O464" s="9" t="s">
        <v>1434</v>
      </c>
      <c r="P464" s="55" t="s">
        <v>1436</v>
      </c>
      <c r="Q464" s="9" t="s">
        <v>683</v>
      </c>
      <c r="T464" s="9">
        <f ca="1">IFERROR(OFFSET(ITEM_RES!$A$5,MATCH(BUILDING!S464,ITEM_RES!$J$5:$J$229,0)-1,0),0)</f>
        <v>0</v>
      </c>
      <c r="W464" s="11">
        <f ca="1">IFERROR(OFFSET(ITEM_RES!$A$5,MATCH(BUILDING!V464,ITEM_RES!$J$5:$J$229,0)-1,0),0)</f>
        <v>0</v>
      </c>
      <c r="Y464" s="9" t="s">
        <v>514</v>
      </c>
      <c r="Z464" s="9">
        <v>20</v>
      </c>
      <c r="AB464" s="11">
        <f ca="1">IFERROR(OFFSET(MANOR_LEVEL!$B$1,MATCH(AC464-1,MANOR_LEVEL!$A:$A,0)-1,0),0)</f>
        <v>85000000</v>
      </c>
      <c r="AC464" s="55">
        <v>17</v>
      </c>
      <c r="AE464" s="11">
        <f t="shared" ca="1" si="121"/>
        <v>344000000</v>
      </c>
      <c r="AF464" s="10">
        <f ca="1">AK464+AM464+(IFERROR(OFFSET(ITEM_RES!$R$1,MATCH(AQ464,ITEM_RES!$A:$A,0)-1,0),0)*AS464+IFERROR(OFFSET(ITEM_RES!$R$1,MATCH(AV464,ITEM_RES!$A:$A,0)-1,0),0)*AX464+IFERROR(OFFSET(ITEM_RES!$R$1,MATCH(BA464,ITEM_RES!$A:$A,0)-1,0),0)*BC464+IFERROR(OFFSET(ITEM_RES!$R$1,MATCH(BF464,ITEM_RES!$A:$A,0)-1,0),0)*BH464+IFERROR(OFFSET(ITEM_RES!$R$1,MATCH(BK464,ITEM_RES!$A:$A,0)-1,0),0)*BM464)/1000</f>
        <v>344000000</v>
      </c>
      <c r="AG464" s="176">
        <f t="shared" ca="1" si="128"/>
        <v>556900000</v>
      </c>
      <c r="AI464" s="11">
        <f t="shared" si="120"/>
        <v>1980</v>
      </c>
      <c r="AJ464" s="10">
        <v>1980</v>
      </c>
      <c r="AK464" s="11">
        <f t="shared" si="127"/>
        <v>0</v>
      </c>
      <c r="AL464" s="10">
        <v>0</v>
      </c>
      <c r="AM464" s="11">
        <f t="shared" si="129"/>
        <v>0</v>
      </c>
      <c r="AN464" s="10">
        <v>0</v>
      </c>
      <c r="AO464" s="55">
        <f t="shared" si="122"/>
        <v>2</v>
      </c>
      <c r="AQ464" s="11">
        <f ca="1">IFERROR(OFFSET(ITEM_RES!$A$1,MATCH(AR464,ITEM_RES!$J:$J,0)-1,0),0)</f>
        <v>211020901</v>
      </c>
      <c r="AR464" s="10" t="s">
        <v>435</v>
      </c>
      <c r="AS464" s="11">
        <v>32000000</v>
      </c>
      <c r="AV464" s="11">
        <f ca="1">IFERROR(OFFSET(ITEM_RES!$A$1,MATCH(AW464,ITEM_RES!$J:$J,0)-1,0),0)</f>
        <v>211020901</v>
      </c>
      <c r="AW464" s="10" t="s">
        <v>1439</v>
      </c>
      <c r="AX464" s="11">
        <v>2400000</v>
      </c>
      <c r="BA464" s="11">
        <f ca="1">IFERROR(OFFSET(ITEM_RES!$A$1,MATCH(BB464,ITEM_RES!$J:$J,0)-1,0),0)</f>
        <v>0</v>
      </c>
      <c r="BF464" s="11">
        <f ca="1">IFERROR(OFFSET(ITEM_RES!$A$1,MATCH(BG464,ITEM_RES!$J:$J,0)-1,0),0)</f>
        <v>0</v>
      </c>
      <c r="BK464" s="11">
        <f ca="1">IFERROR(OFFSET(ITEM_RES!$A$1,MATCH(BL464,ITEM_RES!$J:$J,0)-1,0),0)</f>
        <v>0</v>
      </c>
    </row>
    <row r="465" spans="1:66" s="15" customFormat="1" x14ac:dyDescent="0.3">
      <c r="A465" s="21">
        <f t="shared" si="124"/>
        <v>115010001</v>
      </c>
      <c r="B465" s="20">
        <v>11</v>
      </c>
      <c r="C465" s="19">
        <f t="shared" si="125"/>
        <v>5</v>
      </c>
      <c r="D465" s="20">
        <v>1</v>
      </c>
      <c r="E465" s="20">
        <v>0</v>
      </c>
      <c r="F465" s="19">
        <f t="shared" si="126"/>
        <v>1</v>
      </c>
      <c r="G465" s="76"/>
      <c r="H465" s="16">
        <v>5</v>
      </c>
      <c r="I465" s="16">
        <v>1</v>
      </c>
      <c r="J465" s="76"/>
      <c r="K465" s="16" t="s">
        <v>999</v>
      </c>
      <c r="L465" s="16">
        <v>5</v>
      </c>
      <c r="M465" s="16">
        <v>1</v>
      </c>
      <c r="N465" s="16">
        <v>15</v>
      </c>
      <c r="O465" s="16" t="s">
        <v>1131</v>
      </c>
      <c r="P465" s="56" t="s">
        <v>1388</v>
      </c>
      <c r="Q465" s="16">
        <v>2222</v>
      </c>
      <c r="R465" s="76"/>
      <c r="S465" s="83"/>
      <c r="T465" s="16">
        <f ca="1">IFERROR(OFFSET(ITEM_RES!$A$5,MATCH(BUILDING!S465,ITEM_RES!$J$5:$J$229,0)-1,0),0)</f>
        <v>0</v>
      </c>
      <c r="U465" s="18"/>
      <c r="V465" s="83"/>
      <c r="W465" s="18">
        <f ca="1">IFERROR(OFFSET(ITEM_RES!$A$5,MATCH(BUILDING!V465,ITEM_RES!$J$5:$J$229,0)-1,0),0)</f>
        <v>0</v>
      </c>
      <c r="X465" s="76"/>
      <c r="Y465" s="16" t="s">
        <v>515</v>
      </c>
      <c r="Z465" s="16">
        <v>7</v>
      </c>
      <c r="AA465" s="76"/>
      <c r="AB465" s="18">
        <f ca="1">IFERROR(OFFSET(MANOR_LEVEL!$B$1,MATCH(AC465-1,MANOR_LEVEL!$A:$A,0)-1,0),0)</f>
        <v>11000</v>
      </c>
      <c r="AC465" s="56">
        <v>5</v>
      </c>
      <c r="AD465" s="76"/>
      <c r="AE465" s="18">
        <f t="shared" ca="1" si="121"/>
        <v>2120</v>
      </c>
      <c r="AF465" s="17">
        <f ca="1">AK465+AM465+(IFERROR(OFFSET(ITEM_RES!$R$1,MATCH(AQ465,ITEM_RES!$A:$A,0)-1,0),0)*AS465+IFERROR(OFFSET(ITEM_RES!$R$1,MATCH(AV465,ITEM_RES!$A:$A,0)-1,0),0)*AX465+IFERROR(OFFSET(ITEM_RES!$R$1,MATCH(BA465,ITEM_RES!$A:$A,0)-1,0),0)*BC465+IFERROR(OFFSET(ITEM_RES!$R$1,MATCH(BF465,ITEM_RES!$A:$A,0)-1,0),0)*BH465+IFERROR(OFFSET(ITEM_RES!$R$1,MATCH(BK465,ITEM_RES!$A:$A,0)-1,0),0)*BM465)/1000</f>
        <v>2120</v>
      </c>
      <c r="AG465" s="178">
        <f ca="1">AE465</f>
        <v>2120</v>
      </c>
      <c r="AH465" s="76"/>
      <c r="AI465" s="18">
        <f t="shared" si="120"/>
        <v>2</v>
      </c>
      <c r="AJ465" s="17">
        <v>2</v>
      </c>
      <c r="AK465" s="18">
        <f t="shared" si="127"/>
        <v>0</v>
      </c>
      <c r="AL465" s="17">
        <v>0</v>
      </c>
      <c r="AM465" s="18">
        <f t="shared" si="129"/>
        <v>0</v>
      </c>
      <c r="AN465" s="17">
        <v>0</v>
      </c>
      <c r="AO465" s="56">
        <f t="shared" si="122"/>
        <v>3</v>
      </c>
      <c r="AP465" s="18"/>
      <c r="AQ465" s="18">
        <f ca="1">IFERROR(OFFSET(ITEM_RES!$A$1,MATCH(AR465,ITEM_RES!$J:$J,0)-1,0),0)</f>
        <v>211020801</v>
      </c>
      <c r="AR465" s="17" t="s">
        <v>427</v>
      </c>
      <c r="AS465" s="18">
        <v>20</v>
      </c>
      <c r="AT465" s="17"/>
      <c r="AU465" s="18"/>
      <c r="AV465" s="18">
        <f ca="1">IFERROR(OFFSET(ITEM_RES!$A$1,MATCH(AW465,ITEM_RES!$J:$J,0)-1,0),0)</f>
        <v>0</v>
      </c>
      <c r="AW465" s="17"/>
      <c r="AX465" s="18"/>
      <c r="AY465" s="17"/>
      <c r="AZ465" s="18"/>
      <c r="BA465" s="18">
        <f ca="1">IFERROR(OFFSET(ITEM_RES!$A$1,MATCH(BB465,ITEM_RES!$J:$J,0)-1,0),0)</f>
        <v>213010101</v>
      </c>
      <c r="BB465" s="17" t="s">
        <v>440</v>
      </c>
      <c r="BC465" s="18">
        <v>1</v>
      </c>
      <c r="BD465" s="17"/>
      <c r="BE465" s="18"/>
      <c r="BF465" s="18">
        <f ca="1">IFERROR(OFFSET(ITEM_RES!$A$1,MATCH(BG465,ITEM_RES!$J:$J,0)-1,0),0)</f>
        <v>213010201</v>
      </c>
      <c r="BG465" s="17" t="s">
        <v>462</v>
      </c>
      <c r="BH465" s="18">
        <v>1</v>
      </c>
      <c r="BI465" s="17"/>
      <c r="BJ465" s="18"/>
      <c r="BK465" s="18">
        <f ca="1">IFERROR(OFFSET(ITEM_RES!$A$1,MATCH(BL465,ITEM_RES!$J:$J,0)-1,0),0)</f>
        <v>0</v>
      </c>
      <c r="BL465" s="17"/>
      <c r="BM465" s="18"/>
      <c r="BN465" s="17"/>
    </row>
    <row r="466" spans="1:66" x14ac:dyDescent="0.3">
      <c r="A466" s="14">
        <f t="shared" si="124"/>
        <v>115010002</v>
      </c>
      <c r="B466" s="13">
        <v>11</v>
      </c>
      <c r="C466" s="12">
        <f t="shared" si="125"/>
        <v>5</v>
      </c>
      <c r="D466" s="13">
        <v>1</v>
      </c>
      <c r="E466" s="13">
        <v>0</v>
      </c>
      <c r="F466" s="12">
        <f t="shared" si="126"/>
        <v>2</v>
      </c>
      <c r="H466" s="9">
        <v>5</v>
      </c>
      <c r="I466" s="9">
        <v>2</v>
      </c>
      <c r="K466" s="9" t="s">
        <v>999</v>
      </c>
      <c r="M466" s="9">
        <v>1</v>
      </c>
      <c r="N466" s="9">
        <v>15</v>
      </c>
      <c r="O466" s="9" t="s">
        <v>1132</v>
      </c>
      <c r="P466" s="55" t="s">
        <v>1388</v>
      </c>
      <c r="Q466" s="9">
        <v>2222</v>
      </c>
      <c r="T466" s="9">
        <f ca="1">IFERROR(OFFSET(ITEM_RES!$A$5,MATCH(BUILDING!S466,ITEM_RES!$J$5:$J$229,0)-1,0),0)</f>
        <v>0</v>
      </c>
      <c r="W466" s="11">
        <f ca="1">IFERROR(OFFSET(ITEM_RES!$A$5,MATCH(BUILDING!V466,ITEM_RES!$J$5:$J$229,0)-1,0),0)</f>
        <v>0</v>
      </c>
      <c r="Y466" s="9" t="s">
        <v>515</v>
      </c>
      <c r="Z466" s="9">
        <v>7</v>
      </c>
      <c r="AB466" s="11">
        <f ca="1">IFERROR(OFFSET(MANOR_LEVEL!$B$1,MATCH(AC466-1,MANOR_LEVEL!$A:$A,0)-1,0),0)</f>
        <v>11000</v>
      </c>
      <c r="AC466" s="55">
        <v>5</v>
      </c>
      <c r="AE466" s="11">
        <f t="shared" ca="1" si="121"/>
        <v>240</v>
      </c>
      <c r="AF466" s="10">
        <f ca="1">AK466+AM466+(IFERROR(OFFSET(ITEM_RES!$R$1,MATCH(AQ466,ITEM_RES!$A:$A,0)-1,0),0)*AS466+IFERROR(OFFSET(ITEM_RES!$R$1,MATCH(AV466,ITEM_RES!$A:$A,0)-1,0),0)*AX466+IFERROR(OFFSET(ITEM_RES!$R$1,MATCH(BA466,ITEM_RES!$A:$A,0)-1,0),0)*BC466+IFERROR(OFFSET(ITEM_RES!$R$1,MATCH(BF466,ITEM_RES!$A:$A,0)-1,0),0)*BH466+IFERROR(OFFSET(ITEM_RES!$R$1,MATCH(BK466,ITEM_RES!$A:$A,0)-1,0),0)*BM466)/1000</f>
        <v>240</v>
      </c>
      <c r="AG466" s="176">
        <f ca="1">AE465+AE466</f>
        <v>2360</v>
      </c>
      <c r="AI466" s="11">
        <f t="shared" si="120"/>
        <v>2</v>
      </c>
      <c r="AJ466" s="10">
        <v>2</v>
      </c>
      <c r="AK466" s="11">
        <f t="shared" si="127"/>
        <v>0</v>
      </c>
      <c r="AL466" s="10">
        <v>0</v>
      </c>
      <c r="AM466" s="11">
        <f t="shared" si="129"/>
        <v>0</v>
      </c>
      <c r="AN466" s="10">
        <v>0</v>
      </c>
      <c r="AO466" s="55">
        <f t="shared" si="122"/>
        <v>1</v>
      </c>
      <c r="AQ466" s="11">
        <f ca="1">IFERROR(OFFSET(ITEM_RES!$A$1,MATCH(AR466,ITEM_RES!$J:$J,0)-1,0),0)</f>
        <v>211020801</v>
      </c>
      <c r="AR466" s="10" t="s">
        <v>427</v>
      </c>
      <c r="AS466" s="11">
        <v>40</v>
      </c>
      <c r="AV466" s="11">
        <f ca="1">IFERROR(OFFSET(ITEM_RES!$A$1,MATCH(AW466,ITEM_RES!$J:$J,0)-1,0),0)</f>
        <v>0</v>
      </c>
      <c r="BA466" s="11">
        <f ca="1">IFERROR(OFFSET(ITEM_RES!$A$1,MATCH(BB466,ITEM_RES!$J:$J,0)-1,0),0)</f>
        <v>0</v>
      </c>
      <c r="BF466" s="11">
        <f ca="1">IFERROR(OFFSET(ITEM_RES!$A$1,MATCH(BG466,ITEM_RES!$J:$J,0)-1,0),0)</f>
        <v>0</v>
      </c>
      <c r="BK466" s="11">
        <f ca="1">IFERROR(OFFSET(ITEM_RES!$A$1,MATCH(BL466,ITEM_RES!$J:$J,0)-1,0),0)</f>
        <v>0</v>
      </c>
    </row>
    <row r="467" spans="1:66" x14ac:dyDescent="0.3">
      <c r="A467" s="14">
        <f t="shared" si="124"/>
        <v>115010003</v>
      </c>
      <c r="B467" s="13">
        <v>11</v>
      </c>
      <c r="C467" s="12">
        <f t="shared" si="125"/>
        <v>5</v>
      </c>
      <c r="D467" s="13">
        <v>1</v>
      </c>
      <c r="E467" s="13">
        <v>0</v>
      </c>
      <c r="F467" s="12">
        <f t="shared" si="126"/>
        <v>3</v>
      </c>
      <c r="H467" s="9">
        <v>5</v>
      </c>
      <c r="I467" s="9">
        <v>3</v>
      </c>
      <c r="K467" s="9" t="s">
        <v>362</v>
      </c>
      <c r="M467" s="9">
        <v>1</v>
      </c>
      <c r="N467" s="9">
        <v>15</v>
      </c>
      <c r="O467" s="9" t="s">
        <v>1133</v>
      </c>
      <c r="P467" s="55" t="s">
        <v>1389</v>
      </c>
      <c r="Q467" s="9">
        <v>2222</v>
      </c>
      <c r="T467" s="9">
        <f ca="1">IFERROR(OFFSET(ITEM_RES!$A$5,MATCH(BUILDING!S467,ITEM_RES!$J$5:$J$229,0)-1,0),0)</f>
        <v>0</v>
      </c>
      <c r="W467" s="11">
        <f ca="1">IFERROR(OFFSET(ITEM_RES!$A$5,MATCH(BUILDING!V467,ITEM_RES!$J$5:$J$229,0)-1,0),0)</f>
        <v>0</v>
      </c>
      <c r="Y467" s="9" t="s">
        <v>515</v>
      </c>
      <c r="Z467" s="9">
        <v>7</v>
      </c>
      <c r="AB467" s="11">
        <f ca="1">IFERROR(OFFSET(MANOR_LEVEL!$B$1,MATCH(AC467-1,MANOR_LEVEL!$A:$A,0)-1,0),0)</f>
        <v>11000</v>
      </c>
      <c r="AC467" s="55">
        <v>5</v>
      </c>
      <c r="AE467" s="11">
        <f t="shared" ca="1" si="121"/>
        <v>360</v>
      </c>
      <c r="AF467" s="10">
        <f ca="1">AK467+AM467+(IFERROR(OFFSET(ITEM_RES!$R$1,MATCH(AQ467,ITEM_RES!$A:$A,0)-1,0),0)*AS467+IFERROR(OFFSET(ITEM_RES!$R$1,MATCH(AV467,ITEM_RES!$A:$A,0)-1,0),0)*AX467+IFERROR(OFFSET(ITEM_RES!$R$1,MATCH(BA467,ITEM_RES!$A:$A,0)-1,0),0)*BC467+IFERROR(OFFSET(ITEM_RES!$R$1,MATCH(BF467,ITEM_RES!$A:$A,0)-1,0),0)*BH467+IFERROR(OFFSET(ITEM_RES!$R$1,MATCH(BK467,ITEM_RES!$A:$A,0)-1,0),0)*BM467)/1000</f>
        <v>360</v>
      </c>
      <c r="AG467" s="176">
        <f t="shared" ref="AG467:AG484" ca="1" si="130">AE466+AE467</f>
        <v>600</v>
      </c>
      <c r="AI467" s="11">
        <f t="shared" si="120"/>
        <v>3</v>
      </c>
      <c r="AJ467" s="10">
        <v>3</v>
      </c>
      <c r="AK467" s="11">
        <f t="shared" si="127"/>
        <v>0</v>
      </c>
      <c r="AL467" s="10">
        <v>0</v>
      </c>
      <c r="AM467" s="11">
        <f t="shared" si="129"/>
        <v>0</v>
      </c>
      <c r="AN467" s="10">
        <v>0</v>
      </c>
      <c r="AO467" s="55">
        <f t="shared" si="122"/>
        <v>1</v>
      </c>
      <c r="AQ467" s="11">
        <f ca="1">IFERROR(OFFSET(ITEM_RES!$A$1,MATCH(AR467,ITEM_RES!$J:$J,0)-1,0),0)</f>
        <v>211020801</v>
      </c>
      <c r="AR467" s="10" t="s">
        <v>427</v>
      </c>
      <c r="AS467" s="11">
        <v>60</v>
      </c>
      <c r="AV467" s="11">
        <f ca="1">IFERROR(OFFSET(ITEM_RES!$A$1,MATCH(AW467,ITEM_RES!$J:$J,0)-1,0),0)</f>
        <v>0</v>
      </c>
      <c r="BA467" s="11">
        <f ca="1">IFERROR(OFFSET(ITEM_RES!$A$1,MATCH(BB467,ITEM_RES!$J:$J,0)-1,0),0)</f>
        <v>0</v>
      </c>
      <c r="BF467" s="11">
        <f ca="1">IFERROR(OFFSET(ITEM_RES!$A$1,MATCH(BG467,ITEM_RES!$J:$J,0)-1,0),0)</f>
        <v>0</v>
      </c>
      <c r="BK467" s="11">
        <f ca="1">IFERROR(OFFSET(ITEM_RES!$A$1,MATCH(BL467,ITEM_RES!$J:$J,0)-1,0),0)</f>
        <v>0</v>
      </c>
    </row>
    <row r="468" spans="1:66" x14ac:dyDescent="0.3">
      <c r="A468" s="14">
        <f t="shared" si="124"/>
        <v>115010004</v>
      </c>
      <c r="B468" s="13">
        <v>11</v>
      </c>
      <c r="C468" s="12">
        <f t="shared" si="125"/>
        <v>5</v>
      </c>
      <c r="D468" s="13">
        <v>1</v>
      </c>
      <c r="E468" s="13">
        <v>0</v>
      </c>
      <c r="F468" s="12">
        <f t="shared" si="126"/>
        <v>4</v>
      </c>
      <c r="H468" s="9">
        <v>5</v>
      </c>
      <c r="I468" s="9">
        <v>4</v>
      </c>
      <c r="K468" s="9" t="s">
        <v>362</v>
      </c>
      <c r="M468" s="9">
        <v>1</v>
      </c>
      <c r="N468" s="9">
        <v>15</v>
      </c>
      <c r="O468" s="9" t="s">
        <v>1133</v>
      </c>
      <c r="P468" s="55" t="s">
        <v>1389</v>
      </c>
      <c r="Q468" s="9">
        <v>2222</v>
      </c>
      <c r="T468" s="9">
        <f ca="1">IFERROR(OFFSET(ITEM_RES!$A$5,MATCH(BUILDING!S468,ITEM_RES!$J$5:$J$229,0)-1,0),0)</f>
        <v>0</v>
      </c>
      <c r="W468" s="11">
        <f ca="1">IFERROR(OFFSET(ITEM_RES!$A$5,MATCH(BUILDING!V468,ITEM_RES!$J$5:$J$229,0)-1,0),0)</f>
        <v>0</v>
      </c>
      <c r="Y468" s="9" t="s">
        <v>515</v>
      </c>
      <c r="Z468" s="9">
        <v>7</v>
      </c>
      <c r="AB468" s="11">
        <f ca="1">IFERROR(OFFSET(MANOR_LEVEL!$B$1,MATCH(AC468-1,MANOR_LEVEL!$A:$A,0)-1,0),0)</f>
        <v>11000</v>
      </c>
      <c r="AC468" s="55">
        <v>5</v>
      </c>
      <c r="AE468" s="11">
        <f t="shared" ca="1" si="121"/>
        <v>1440</v>
      </c>
      <c r="AF468" s="10">
        <f ca="1">AK468+AM468+(IFERROR(OFFSET(ITEM_RES!$R$1,MATCH(AQ468,ITEM_RES!$A:$A,0)-1,0),0)*AS468+IFERROR(OFFSET(ITEM_RES!$R$1,MATCH(AV468,ITEM_RES!$A:$A,0)-1,0),0)*AX468+IFERROR(OFFSET(ITEM_RES!$R$1,MATCH(BA468,ITEM_RES!$A:$A,0)-1,0),0)*BC468+IFERROR(OFFSET(ITEM_RES!$R$1,MATCH(BF468,ITEM_RES!$A:$A,0)-1,0),0)*BH468+IFERROR(OFFSET(ITEM_RES!$R$1,MATCH(BK468,ITEM_RES!$A:$A,0)-1,0),0)*BM468)/1000</f>
        <v>1440</v>
      </c>
      <c r="AG468" s="176">
        <f t="shared" ca="1" si="130"/>
        <v>1800</v>
      </c>
      <c r="AI468" s="11">
        <f t="shared" si="120"/>
        <v>5</v>
      </c>
      <c r="AJ468" s="10">
        <v>5</v>
      </c>
      <c r="AK468" s="11">
        <f t="shared" si="127"/>
        <v>0</v>
      </c>
      <c r="AL468" s="10">
        <v>0</v>
      </c>
      <c r="AM468" s="11">
        <f t="shared" si="129"/>
        <v>0</v>
      </c>
      <c r="AN468" s="10">
        <v>0</v>
      </c>
      <c r="AO468" s="55">
        <f t="shared" si="122"/>
        <v>1</v>
      </c>
      <c r="AQ468" s="11">
        <f ca="1">IFERROR(OFFSET(ITEM_RES!$A$1,MATCH(AR468,ITEM_RES!$J:$J,0)-1,0),0)</f>
        <v>211020801</v>
      </c>
      <c r="AR468" s="10" t="s">
        <v>427</v>
      </c>
      <c r="AS468" s="11">
        <v>240</v>
      </c>
      <c r="AV468" s="11">
        <f ca="1">IFERROR(OFFSET(ITEM_RES!$A$1,MATCH(AW468,ITEM_RES!$J:$J,0)-1,0),0)</f>
        <v>0</v>
      </c>
      <c r="BA468" s="11">
        <f ca="1">IFERROR(OFFSET(ITEM_RES!$A$1,MATCH(BB468,ITEM_RES!$J:$J,0)-1,0),0)</f>
        <v>0</v>
      </c>
      <c r="BF468" s="11">
        <f ca="1">IFERROR(OFFSET(ITEM_RES!$A$1,MATCH(BG468,ITEM_RES!$J:$J,0)-1,0),0)</f>
        <v>0</v>
      </c>
      <c r="BK468" s="11">
        <f ca="1">IFERROR(OFFSET(ITEM_RES!$A$1,MATCH(BL468,ITEM_RES!$J:$J,0)-1,0),0)</f>
        <v>0</v>
      </c>
    </row>
    <row r="469" spans="1:66" x14ac:dyDescent="0.3">
      <c r="A469" s="14">
        <f t="shared" si="124"/>
        <v>115010005</v>
      </c>
      <c r="B469" s="13">
        <v>11</v>
      </c>
      <c r="C469" s="12">
        <f t="shared" si="125"/>
        <v>5</v>
      </c>
      <c r="D469" s="13">
        <v>1</v>
      </c>
      <c r="E469" s="13">
        <v>0</v>
      </c>
      <c r="F469" s="12">
        <f t="shared" si="126"/>
        <v>5</v>
      </c>
      <c r="H469" s="9">
        <v>5</v>
      </c>
      <c r="I469" s="9">
        <v>5</v>
      </c>
      <c r="K469" s="9" t="s">
        <v>362</v>
      </c>
      <c r="M469" s="9">
        <v>1</v>
      </c>
      <c r="N469" s="9">
        <v>15</v>
      </c>
      <c r="O469" s="9" t="s">
        <v>1133</v>
      </c>
      <c r="P469" s="55" t="s">
        <v>1389</v>
      </c>
      <c r="Q469" s="9">
        <v>2222</v>
      </c>
      <c r="T469" s="9">
        <f ca="1">IFERROR(OFFSET(ITEM_RES!$A$5,MATCH(BUILDING!S469,ITEM_RES!$J$5:$J$229,0)-1,0),0)</f>
        <v>0</v>
      </c>
      <c r="W469" s="11">
        <f ca="1">IFERROR(OFFSET(ITEM_RES!$A$5,MATCH(BUILDING!V469,ITEM_RES!$J$5:$J$229,0)-1,0),0)</f>
        <v>0</v>
      </c>
      <c r="Y469" s="9" t="s">
        <v>515</v>
      </c>
      <c r="Z469" s="9">
        <v>7</v>
      </c>
      <c r="AB469" s="11">
        <f ca="1">IFERROR(OFFSET(MANOR_LEVEL!$B$1,MATCH(AC469-1,MANOR_LEVEL!$A:$A,0)-1,0),0)</f>
        <v>11000</v>
      </c>
      <c r="AC469" s="55">
        <v>5</v>
      </c>
      <c r="AE469" s="11">
        <f t="shared" ca="1" si="121"/>
        <v>6480</v>
      </c>
      <c r="AF469" s="10">
        <f ca="1">AK469+AM469+(IFERROR(OFFSET(ITEM_RES!$R$1,MATCH(AQ469,ITEM_RES!$A:$A,0)-1,0),0)*AS469+IFERROR(OFFSET(ITEM_RES!$R$1,MATCH(AV469,ITEM_RES!$A:$A,0)-1,0),0)*AX469+IFERROR(OFFSET(ITEM_RES!$R$1,MATCH(BA469,ITEM_RES!$A:$A,0)-1,0),0)*BC469+IFERROR(OFFSET(ITEM_RES!$R$1,MATCH(BF469,ITEM_RES!$A:$A,0)-1,0),0)*BH469+IFERROR(OFFSET(ITEM_RES!$R$1,MATCH(BK469,ITEM_RES!$A:$A,0)-1,0),0)*BM469)/1000</f>
        <v>6480</v>
      </c>
      <c r="AG469" s="176">
        <f t="shared" ca="1" si="130"/>
        <v>7920</v>
      </c>
      <c r="AI469" s="11">
        <f t="shared" si="120"/>
        <v>8</v>
      </c>
      <c r="AJ469" s="10">
        <v>8</v>
      </c>
      <c r="AK469" s="11">
        <f t="shared" si="127"/>
        <v>0</v>
      </c>
      <c r="AL469" s="10">
        <v>0</v>
      </c>
      <c r="AM469" s="11">
        <f t="shared" si="129"/>
        <v>0</v>
      </c>
      <c r="AN469" s="10">
        <v>0</v>
      </c>
      <c r="AO469" s="55">
        <f t="shared" si="122"/>
        <v>1</v>
      </c>
      <c r="AQ469" s="11">
        <f ca="1">IFERROR(OFFSET(ITEM_RES!$A$1,MATCH(AR469,ITEM_RES!$J:$J,0)-1,0),0)</f>
        <v>211020801</v>
      </c>
      <c r="AR469" s="10" t="s">
        <v>427</v>
      </c>
      <c r="AS469" s="11">
        <v>1080</v>
      </c>
      <c r="AV469" s="11">
        <f ca="1">IFERROR(OFFSET(ITEM_RES!$A$1,MATCH(AW469,ITEM_RES!$J:$J,0)-1,0),0)</f>
        <v>0</v>
      </c>
      <c r="BA469" s="11">
        <f ca="1">IFERROR(OFFSET(ITEM_RES!$A$1,MATCH(BB469,ITEM_RES!$J:$J,0)-1,0),0)</f>
        <v>0</v>
      </c>
      <c r="BF469" s="11">
        <f ca="1">IFERROR(OFFSET(ITEM_RES!$A$1,MATCH(BG469,ITEM_RES!$J:$J,0)-1,0),0)</f>
        <v>0</v>
      </c>
      <c r="BK469" s="11">
        <f ca="1">IFERROR(OFFSET(ITEM_RES!$A$1,MATCH(BL469,ITEM_RES!$J:$J,0)-1,0),0)</f>
        <v>0</v>
      </c>
    </row>
    <row r="470" spans="1:66" x14ac:dyDescent="0.3">
      <c r="A470" s="14">
        <f t="shared" si="124"/>
        <v>115010006</v>
      </c>
      <c r="B470" s="13">
        <v>11</v>
      </c>
      <c r="C470" s="12">
        <f t="shared" si="125"/>
        <v>5</v>
      </c>
      <c r="D470" s="13">
        <v>1</v>
      </c>
      <c r="E470" s="13">
        <v>0</v>
      </c>
      <c r="F470" s="12">
        <f t="shared" si="126"/>
        <v>6</v>
      </c>
      <c r="H470" s="9">
        <v>5</v>
      </c>
      <c r="I470" s="9">
        <v>6</v>
      </c>
      <c r="K470" s="9" t="s">
        <v>362</v>
      </c>
      <c r="M470" s="9">
        <v>1</v>
      </c>
      <c r="N470" s="9">
        <v>15</v>
      </c>
      <c r="O470" s="9" t="s">
        <v>1133</v>
      </c>
      <c r="P470" s="55" t="s">
        <v>1389</v>
      </c>
      <c r="Q470" s="9">
        <v>2222</v>
      </c>
      <c r="T470" s="9">
        <f ca="1">IFERROR(OFFSET(ITEM_RES!$A$5,MATCH(BUILDING!S470,ITEM_RES!$J$5:$J$229,0)-1,0),0)</f>
        <v>0</v>
      </c>
      <c r="W470" s="11">
        <f ca="1">IFERROR(OFFSET(ITEM_RES!$A$5,MATCH(BUILDING!V470,ITEM_RES!$J$5:$J$229,0)-1,0),0)</f>
        <v>0</v>
      </c>
      <c r="Y470" s="9" t="s">
        <v>515</v>
      </c>
      <c r="Z470" s="9">
        <v>7</v>
      </c>
      <c r="AB470" s="11">
        <f ca="1">IFERROR(OFFSET(MANOR_LEVEL!$B$1,MATCH(AC470-1,MANOR_LEVEL!$A:$A,0)-1,0),0)</f>
        <v>11000</v>
      </c>
      <c r="AC470" s="55">
        <v>5</v>
      </c>
      <c r="AE470" s="11">
        <f t="shared" ca="1" si="121"/>
        <v>21600</v>
      </c>
      <c r="AF470" s="10">
        <f ca="1">AK470+AM470+(IFERROR(OFFSET(ITEM_RES!$R$1,MATCH(AQ470,ITEM_RES!$A:$A,0)-1,0),0)*AS470+IFERROR(OFFSET(ITEM_RES!$R$1,MATCH(AV470,ITEM_RES!$A:$A,0)-1,0),0)*AX470+IFERROR(OFFSET(ITEM_RES!$R$1,MATCH(BA470,ITEM_RES!$A:$A,0)-1,0),0)*BC470+IFERROR(OFFSET(ITEM_RES!$R$1,MATCH(BF470,ITEM_RES!$A:$A,0)-1,0),0)*BH470+IFERROR(OFFSET(ITEM_RES!$R$1,MATCH(BK470,ITEM_RES!$A:$A,0)-1,0),0)*BM470)/1000</f>
        <v>21600</v>
      </c>
      <c r="AG470" s="176">
        <f t="shared" ca="1" si="130"/>
        <v>28080</v>
      </c>
      <c r="AI470" s="11">
        <f t="shared" si="120"/>
        <v>10</v>
      </c>
      <c r="AJ470" s="10">
        <v>10</v>
      </c>
      <c r="AK470" s="11">
        <f t="shared" si="127"/>
        <v>0</v>
      </c>
      <c r="AL470" s="10">
        <v>0</v>
      </c>
      <c r="AM470" s="11">
        <f t="shared" si="129"/>
        <v>0</v>
      </c>
      <c r="AN470" s="10">
        <v>0</v>
      </c>
      <c r="AO470" s="55">
        <f t="shared" si="122"/>
        <v>1</v>
      </c>
      <c r="AQ470" s="11">
        <f ca="1">IFERROR(OFFSET(ITEM_RES!$A$1,MATCH(AR470,ITEM_RES!$J:$J,0)-1,0),0)</f>
        <v>211020801</v>
      </c>
      <c r="AR470" s="10" t="s">
        <v>427</v>
      </c>
      <c r="AS470" s="11">
        <v>3600</v>
      </c>
      <c r="AV470" s="11">
        <f ca="1">IFERROR(OFFSET(ITEM_RES!$A$1,MATCH(AW470,ITEM_RES!$J:$J,0)-1,0),0)</f>
        <v>0</v>
      </c>
      <c r="BA470" s="11">
        <f ca="1">IFERROR(OFFSET(ITEM_RES!$A$1,MATCH(BB470,ITEM_RES!$J:$J,0)-1,0),0)</f>
        <v>0</v>
      </c>
      <c r="BF470" s="11">
        <f ca="1">IFERROR(OFFSET(ITEM_RES!$A$1,MATCH(BG470,ITEM_RES!$J:$J,0)-1,0),0)</f>
        <v>0</v>
      </c>
      <c r="BK470" s="11">
        <f ca="1">IFERROR(OFFSET(ITEM_RES!$A$1,MATCH(BL470,ITEM_RES!$J:$J,0)-1,0),0)</f>
        <v>0</v>
      </c>
    </row>
    <row r="471" spans="1:66" x14ac:dyDescent="0.3">
      <c r="A471" s="14">
        <f t="shared" si="124"/>
        <v>115010007</v>
      </c>
      <c r="B471" s="13">
        <v>11</v>
      </c>
      <c r="C471" s="12">
        <f t="shared" si="125"/>
        <v>5</v>
      </c>
      <c r="D471" s="13">
        <v>1</v>
      </c>
      <c r="E471" s="13">
        <v>0</v>
      </c>
      <c r="F471" s="12">
        <f t="shared" si="126"/>
        <v>7</v>
      </c>
      <c r="H471" s="9">
        <v>5</v>
      </c>
      <c r="I471" s="9">
        <v>7</v>
      </c>
      <c r="K471" s="9" t="s">
        <v>362</v>
      </c>
      <c r="M471" s="9">
        <v>1</v>
      </c>
      <c r="N471" s="9">
        <v>15</v>
      </c>
      <c r="O471" s="9" t="s">
        <v>1133</v>
      </c>
      <c r="P471" s="55" t="s">
        <v>1389</v>
      </c>
      <c r="Q471" s="9">
        <v>2222</v>
      </c>
      <c r="T471" s="9">
        <f ca="1">IFERROR(OFFSET(ITEM_RES!$A$5,MATCH(BUILDING!S471,ITEM_RES!$J$5:$J$229,0)-1,0),0)</f>
        <v>0</v>
      </c>
      <c r="W471" s="11">
        <f ca="1">IFERROR(OFFSET(ITEM_RES!$A$5,MATCH(BUILDING!V471,ITEM_RES!$J$5:$J$229,0)-1,0),0)</f>
        <v>0</v>
      </c>
      <c r="Y471" s="9" t="s">
        <v>515</v>
      </c>
      <c r="Z471" s="9">
        <v>7</v>
      </c>
      <c r="AB471" s="11">
        <f ca="1">IFERROR(OFFSET(MANOR_LEVEL!$B$1,MATCH(AC471-1,MANOR_LEVEL!$A:$A,0)-1,0),0)</f>
        <v>11000</v>
      </c>
      <c r="AC471" s="55">
        <v>5</v>
      </c>
      <c r="AE471" s="11">
        <f t="shared" ca="1" si="121"/>
        <v>48000</v>
      </c>
      <c r="AF471" s="10">
        <f ca="1">AK471+AM471+(IFERROR(OFFSET(ITEM_RES!$R$1,MATCH(AQ471,ITEM_RES!$A:$A,0)-1,0),0)*AS471+IFERROR(OFFSET(ITEM_RES!$R$1,MATCH(AV471,ITEM_RES!$A:$A,0)-1,0),0)*AX471+IFERROR(OFFSET(ITEM_RES!$R$1,MATCH(BA471,ITEM_RES!$A:$A,0)-1,0),0)*BC471+IFERROR(OFFSET(ITEM_RES!$R$1,MATCH(BF471,ITEM_RES!$A:$A,0)-1,0),0)*BH471+IFERROR(OFFSET(ITEM_RES!$R$1,MATCH(BK471,ITEM_RES!$A:$A,0)-1,0),0)*BM471)/1000</f>
        <v>48000</v>
      </c>
      <c r="AG471" s="176">
        <f t="shared" ca="1" si="130"/>
        <v>69600</v>
      </c>
      <c r="AI471" s="11">
        <f t="shared" si="120"/>
        <v>15</v>
      </c>
      <c r="AJ471" s="10">
        <v>15</v>
      </c>
      <c r="AK471" s="11">
        <f t="shared" si="127"/>
        <v>0</v>
      </c>
      <c r="AL471" s="10">
        <v>0</v>
      </c>
      <c r="AM471" s="11">
        <f t="shared" si="129"/>
        <v>0</v>
      </c>
      <c r="AN471" s="10">
        <v>0</v>
      </c>
      <c r="AO471" s="55">
        <f t="shared" si="122"/>
        <v>1</v>
      </c>
      <c r="AQ471" s="11">
        <f ca="1">IFERROR(OFFSET(ITEM_RES!$A$1,MATCH(AR471,ITEM_RES!$J:$J,0)-1,0),0)</f>
        <v>211020801</v>
      </c>
      <c r="AR471" s="10" t="s">
        <v>427</v>
      </c>
      <c r="AS471" s="11">
        <v>8000</v>
      </c>
      <c r="AV471" s="11">
        <f ca="1">IFERROR(OFFSET(ITEM_RES!$A$1,MATCH(AW471,ITEM_RES!$J:$J,0)-1,0),0)</f>
        <v>0</v>
      </c>
      <c r="BA471" s="11">
        <f ca="1">IFERROR(OFFSET(ITEM_RES!$A$1,MATCH(BB471,ITEM_RES!$J:$J,0)-1,0),0)</f>
        <v>0</v>
      </c>
      <c r="BF471" s="11">
        <f ca="1">IFERROR(OFFSET(ITEM_RES!$A$1,MATCH(BG471,ITEM_RES!$J:$J,0)-1,0),0)</f>
        <v>0</v>
      </c>
      <c r="BK471" s="11">
        <f ca="1">IFERROR(OFFSET(ITEM_RES!$A$1,MATCH(BL471,ITEM_RES!$J:$J,0)-1,0),0)</f>
        <v>0</v>
      </c>
    </row>
    <row r="472" spans="1:66" x14ac:dyDescent="0.3">
      <c r="A472" s="14">
        <f t="shared" si="124"/>
        <v>115010008</v>
      </c>
      <c r="B472" s="13">
        <v>11</v>
      </c>
      <c r="C472" s="12">
        <f t="shared" si="125"/>
        <v>5</v>
      </c>
      <c r="D472" s="13">
        <v>1</v>
      </c>
      <c r="E472" s="13">
        <v>0</v>
      </c>
      <c r="F472" s="12">
        <f t="shared" si="126"/>
        <v>8</v>
      </c>
      <c r="H472" s="9">
        <v>5</v>
      </c>
      <c r="I472" s="9">
        <v>8</v>
      </c>
      <c r="K472" s="9" t="s">
        <v>362</v>
      </c>
      <c r="M472" s="9">
        <v>1</v>
      </c>
      <c r="N472" s="9">
        <v>15</v>
      </c>
      <c r="O472" s="9" t="s">
        <v>1133</v>
      </c>
      <c r="P472" s="55" t="s">
        <v>1389</v>
      </c>
      <c r="Q472" s="9">
        <v>2222</v>
      </c>
      <c r="T472" s="9">
        <f ca="1">IFERROR(OFFSET(ITEM_RES!$A$5,MATCH(BUILDING!S472,ITEM_RES!$J$5:$J$229,0)-1,0),0)</f>
        <v>0</v>
      </c>
      <c r="W472" s="11">
        <f ca="1">IFERROR(OFFSET(ITEM_RES!$A$5,MATCH(BUILDING!V472,ITEM_RES!$J$5:$J$229,0)-1,0),0)</f>
        <v>0</v>
      </c>
      <c r="Y472" s="9" t="s">
        <v>515</v>
      </c>
      <c r="Z472" s="9">
        <v>8</v>
      </c>
      <c r="AB472" s="11">
        <f ca="1">IFERROR(OFFSET(MANOR_LEVEL!$B$1,MATCH(AC472-1,MANOR_LEVEL!$A:$A,0)-1,0),0)</f>
        <v>11000</v>
      </c>
      <c r="AC472" s="55">
        <v>5</v>
      </c>
      <c r="AE472" s="11">
        <f t="shared" ca="1" si="121"/>
        <v>100800</v>
      </c>
      <c r="AF472" s="10">
        <f ca="1">AK472+AM472+(IFERROR(OFFSET(ITEM_RES!$R$1,MATCH(AQ472,ITEM_RES!$A:$A,0)-1,0),0)*AS472+IFERROR(OFFSET(ITEM_RES!$R$1,MATCH(AV472,ITEM_RES!$A:$A,0)-1,0),0)*AX472+IFERROR(OFFSET(ITEM_RES!$R$1,MATCH(BA472,ITEM_RES!$A:$A,0)-1,0),0)*BC472+IFERROR(OFFSET(ITEM_RES!$R$1,MATCH(BF472,ITEM_RES!$A:$A,0)-1,0),0)*BH472+IFERROR(OFFSET(ITEM_RES!$R$1,MATCH(BK472,ITEM_RES!$A:$A,0)-1,0),0)*BM472)/1000</f>
        <v>100800</v>
      </c>
      <c r="AG472" s="176">
        <f t="shared" ca="1" si="130"/>
        <v>148800</v>
      </c>
      <c r="AI472" s="11">
        <f t="shared" si="120"/>
        <v>30</v>
      </c>
      <c r="AJ472" s="10">
        <v>30</v>
      </c>
      <c r="AK472" s="11">
        <f t="shared" si="127"/>
        <v>0</v>
      </c>
      <c r="AL472" s="10">
        <v>0</v>
      </c>
      <c r="AM472" s="11">
        <f t="shared" si="129"/>
        <v>0</v>
      </c>
      <c r="AN472" s="10">
        <v>0</v>
      </c>
      <c r="AO472" s="55">
        <f t="shared" si="122"/>
        <v>1</v>
      </c>
      <c r="AQ472" s="11">
        <f ca="1">IFERROR(OFFSET(ITEM_RES!$A$1,MATCH(AR472,ITEM_RES!$J:$J,0)-1,0),0)</f>
        <v>211020801</v>
      </c>
      <c r="AR472" s="10" t="s">
        <v>427</v>
      </c>
      <c r="AS472" s="11">
        <v>16800</v>
      </c>
      <c r="AV472" s="11">
        <f ca="1">IFERROR(OFFSET(ITEM_RES!$A$1,MATCH(AW472,ITEM_RES!$J:$J,0)-1,0),0)</f>
        <v>0</v>
      </c>
      <c r="BA472" s="11">
        <f ca="1">IFERROR(OFFSET(ITEM_RES!$A$1,MATCH(BB472,ITEM_RES!$J:$J,0)-1,0),0)</f>
        <v>0</v>
      </c>
      <c r="BF472" s="11">
        <f ca="1">IFERROR(OFFSET(ITEM_RES!$A$1,MATCH(BG472,ITEM_RES!$J:$J,0)-1,0),0)</f>
        <v>0</v>
      </c>
      <c r="BK472" s="11">
        <f ca="1">IFERROR(OFFSET(ITEM_RES!$A$1,MATCH(BL472,ITEM_RES!$J:$J,0)-1,0),0)</f>
        <v>0</v>
      </c>
    </row>
    <row r="473" spans="1:66" x14ac:dyDescent="0.3">
      <c r="A473" s="14">
        <f t="shared" si="124"/>
        <v>115010009</v>
      </c>
      <c r="B473" s="13">
        <v>11</v>
      </c>
      <c r="C473" s="12">
        <f t="shared" si="125"/>
        <v>5</v>
      </c>
      <c r="D473" s="13">
        <v>1</v>
      </c>
      <c r="E473" s="13">
        <v>0</v>
      </c>
      <c r="F473" s="12">
        <f t="shared" si="126"/>
        <v>9</v>
      </c>
      <c r="H473" s="9">
        <v>5</v>
      </c>
      <c r="I473" s="9">
        <v>9</v>
      </c>
      <c r="K473" s="9" t="s">
        <v>362</v>
      </c>
      <c r="M473" s="9">
        <v>1</v>
      </c>
      <c r="N473" s="9">
        <v>15</v>
      </c>
      <c r="O473" s="9" t="s">
        <v>1134</v>
      </c>
      <c r="P473" s="55" t="s">
        <v>1390</v>
      </c>
      <c r="Q473" s="9">
        <v>2222</v>
      </c>
      <c r="T473" s="9">
        <f ca="1">IFERROR(OFFSET(ITEM_RES!$A$5,MATCH(BUILDING!S473,ITEM_RES!$J$5:$J$229,0)-1,0),0)</f>
        <v>0</v>
      </c>
      <c r="W473" s="11">
        <f ca="1">IFERROR(OFFSET(ITEM_RES!$A$5,MATCH(BUILDING!V473,ITEM_RES!$J$5:$J$229,0)-1,0),0)</f>
        <v>0</v>
      </c>
      <c r="Y473" s="9" t="s">
        <v>515</v>
      </c>
      <c r="Z473" s="9">
        <v>9</v>
      </c>
      <c r="AB473" s="11">
        <f ca="1">IFERROR(OFFSET(MANOR_LEVEL!$B$1,MATCH(AC473-1,MANOR_LEVEL!$A:$A,0)-1,0),0)</f>
        <v>17000</v>
      </c>
      <c r="AC473" s="55">
        <v>6</v>
      </c>
      <c r="AE473" s="11">
        <f t="shared" ca="1" si="121"/>
        <v>187200</v>
      </c>
      <c r="AF473" s="10">
        <f ca="1">AK473+AM473+(IFERROR(OFFSET(ITEM_RES!$R$1,MATCH(AQ473,ITEM_RES!$A:$A,0)-1,0),0)*AS473+IFERROR(OFFSET(ITEM_RES!$R$1,MATCH(AV473,ITEM_RES!$A:$A,0)-1,0),0)*AX473+IFERROR(OFFSET(ITEM_RES!$R$1,MATCH(BA473,ITEM_RES!$A:$A,0)-1,0),0)*BC473+IFERROR(OFFSET(ITEM_RES!$R$1,MATCH(BF473,ITEM_RES!$A:$A,0)-1,0),0)*BH473+IFERROR(OFFSET(ITEM_RES!$R$1,MATCH(BK473,ITEM_RES!$A:$A,0)-1,0),0)*BM473)/1000</f>
        <v>187200</v>
      </c>
      <c r="AG473" s="176">
        <f t="shared" ca="1" si="130"/>
        <v>288000</v>
      </c>
      <c r="AI473" s="11">
        <f t="shared" ref="AI473:AI504" si="131">ROUND(AJ473,0)</f>
        <v>60</v>
      </c>
      <c r="AJ473" s="10">
        <v>60</v>
      </c>
      <c r="AK473" s="11">
        <f t="shared" si="127"/>
        <v>0</v>
      </c>
      <c r="AL473" s="10">
        <v>0</v>
      </c>
      <c r="AM473" s="11">
        <f t="shared" si="129"/>
        <v>0</v>
      </c>
      <c r="AN473" s="10">
        <v>0</v>
      </c>
      <c r="AO473" s="55">
        <f t="shared" si="122"/>
        <v>1</v>
      </c>
      <c r="AQ473" s="11">
        <f ca="1">IFERROR(OFFSET(ITEM_RES!$A$1,MATCH(AR473,ITEM_RES!$J:$J,0)-1,0),0)</f>
        <v>211020801</v>
      </c>
      <c r="AR473" s="10" t="s">
        <v>427</v>
      </c>
      <c r="AS473" s="11">
        <v>31200</v>
      </c>
      <c r="AV473" s="11">
        <f ca="1">IFERROR(OFFSET(ITEM_RES!$A$1,MATCH(AW473,ITEM_RES!$J:$J,0)-1,0),0)</f>
        <v>0</v>
      </c>
      <c r="BA473" s="11">
        <f ca="1">IFERROR(OFFSET(ITEM_RES!$A$1,MATCH(BB473,ITEM_RES!$J:$J,0)-1,0),0)</f>
        <v>0</v>
      </c>
      <c r="BF473" s="11">
        <f ca="1">IFERROR(OFFSET(ITEM_RES!$A$1,MATCH(BG473,ITEM_RES!$J:$J,0)-1,0),0)</f>
        <v>0</v>
      </c>
      <c r="BK473" s="11">
        <f ca="1">IFERROR(OFFSET(ITEM_RES!$A$1,MATCH(BL473,ITEM_RES!$J:$J,0)-1,0),0)</f>
        <v>0</v>
      </c>
    </row>
    <row r="474" spans="1:66" x14ac:dyDescent="0.3">
      <c r="A474" s="14">
        <f t="shared" si="124"/>
        <v>115010010</v>
      </c>
      <c r="B474" s="13">
        <v>11</v>
      </c>
      <c r="C474" s="12">
        <f t="shared" si="125"/>
        <v>5</v>
      </c>
      <c r="D474" s="13">
        <v>1</v>
      </c>
      <c r="E474" s="13">
        <v>0</v>
      </c>
      <c r="F474" s="12">
        <f t="shared" si="126"/>
        <v>10</v>
      </c>
      <c r="H474" s="9">
        <v>5</v>
      </c>
      <c r="I474" s="9">
        <v>10</v>
      </c>
      <c r="K474" s="9" t="s">
        <v>362</v>
      </c>
      <c r="M474" s="9">
        <v>1</v>
      </c>
      <c r="N474" s="9">
        <v>15</v>
      </c>
      <c r="O474" s="9" t="s">
        <v>1134</v>
      </c>
      <c r="P474" s="55" t="s">
        <v>1390</v>
      </c>
      <c r="Q474" s="9">
        <v>2222</v>
      </c>
      <c r="T474" s="9">
        <f ca="1">IFERROR(OFFSET(ITEM_RES!$A$5,MATCH(BUILDING!S474,ITEM_RES!$J$5:$J$229,0)-1,0),0)</f>
        <v>0</v>
      </c>
      <c r="W474" s="11">
        <f ca="1">IFERROR(OFFSET(ITEM_RES!$A$5,MATCH(BUILDING!V474,ITEM_RES!$J$5:$J$229,0)-1,0),0)</f>
        <v>0</v>
      </c>
      <c r="Y474" s="9" t="s">
        <v>515</v>
      </c>
      <c r="Z474" s="9">
        <v>10</v>
      </c>
      <c r="AB474" s="11">
        <f ca="1">IFERROR(OFFSET(MANOR_LEVEL!$B$1,MATCH(AC474-1,MANOR_LEVEL!$A:$A,0)-1,0),0)</f>
        <v>40000</v>
      </c>
      <c r="AC474" s="55">
        <v>7</v>
      </c>
      <c r="AE474" s="11">
        <f t="shared" ref="AE474:AE504" ca="1" si="132">ROUND(AF474,0)</f>
        <v>313000</v>
      </c>
      <c r="AF474" s="10">
        <f ca="1">AK474+AM474+(IFERROR(OFFSET(ITEM_RES!$R$1,MATCH(AQ474,ITEM_RES!$A:$A,0)-1,0),0)*AS474+IFERROR(OFFSET(ITEM_RES!$R$1,MATCH(AV474,ITEM_RES!$A:$A,0)-1,0),0)*AX474+IFERROR(OFFSET(ITEM_RES!$R$1,MATCH(BA474,ITEM_RES!$A:$A,0)-1,0),0)*BC474+IFERROR(OFFSET(ITEM_RES!$R$1,MATCH(BF474,ITEM_RES!$A:$A,0)-1,0),0)*BH474+IFERROR(OFFSET(ITEM_RES!$R$1,MATCH(BK474,ITEM_RES!$A:$A,0)-1,0),0)*BM474)/1000</f>
        <v>313000</v>
      </c>
      <c r="AG474" s="176">
        <f t="shared" ca="1" si="130"/>
        <v>500200</v>
      </c>
      <c r="AI474" s="11">
        <f t="shared" si="131"/>
        <v>180</v>
      </c>
      <c r="AJ474" s="10">
        <v>180</v>
      </c>
      <c r="AK474" s="11">
        <f t="shared" si="127"/>
        <v>0</v>
      </c>
      <c r="AL474" s="10">
        <v>0</v>
      </c>
      <c r="AM474" s="11">
        <f t="shared" si="129"/>
        <v>0</v>
      </c>
      <c r="AN474" s="10">
        <v>0</v>
      </c>
      <c r="AO474" s="55">
        <f t="shared" ref="AO474:AO504" si="133">(AS474&gt;0)*1+(AX474&gt;0)*1+(BC474&gt;0)*1+(BH474&gt;0)*1+(BM474&gt;0)*1</f>
        <v>2</v>
      </c>
      <c r="AQ474" s="11">
        <f ca="1">IFERROR(OFFSET(ITEM_RES!$A$1,MATCH(AR474,ITEM_RES!$J:$J,0)-1,0),0)</f>
        <v>211020801</v>
      </c>
      <c r="AR474" s="10" t="s">
        <v>427</v>
      </c>
      <c r="AS474" s="11">
        <v>52000</v>
      </c>
      <c r="AV474" s="11">
        <f ca="1">IFERROR(OFFSET(ITEM_RES!$A$1,MATCH(AW474,ITEM_RES!$J:$J,0)-1,0),0)</f>
        <v>0</v>
      </c>
      <c r="BA474" s="11">
        <f ca="1">IFERROR(OFFSET(ITEM_RES!$A$1,MATCH(BB474,ITEM_RES!$J:$J,0)-1,0),0)</f>
        <v>0</v>
      </c>
      <c r="BF474" s="11">
        <f ca="1">IFERROR(OFFSET(ITEM_RES!$A$1,MATCH(BG474,ITEM_RES!$J:$J,0)-1,0),0)</f>
        <v>213011501</v>
      </c>
      <c r="BG474" s="10" t="s">
        <v>463</v>
      </c>
      <c r="BH474" s="11">
        <v>1</v>
      </c>
      <c r="BK474" s="11">
        <f ca="1">IFERROR(OFFSET(ITEM_RES!$A$1,MATCH(BL474,ITEM_RES!$J:$J,0)-1,0),0)</f>
        <v>0</v>
      </c>
    </row>
    <row r="475" spans="1:66" x14ac:dyDescent="0.3">
      <c r="A475" s="14">
        <f t="shared" si="124"/>
        <v>115010011</v>
      </c>
      <c r="B475" s="13">
        <v>11</v>
      </c>
      <c r="C475" s="12">
        <f t="shared" si="125"/>
        <v>5</v>
      </c>
      <c r="D475" s="13">
        <v>1</v>
      </c>
      <c r="E475" s="13">
        <v>0</v>
      </c>
      <c r="F475" s="12">
        <f t="shared" si="126"/>
        <v>11</v>
      </c>
      <c r="H475" s="9">
        <v>5</v>
      </c>
      <c r="I475" s="9">
        <v>11</v>
      </c>
      <c r="K475" s="9" t="s">
        <v>362</v>
      </c>
      <c r="M475" s="9">
        <v>1</v>
      </c>
      <c r="N475" s="9">
        <v>15</v>
      </c>
      <c r="O475" s="9" t="s">
        <v>1134</v>
      </c>
      <c r="P475" s="55" t="s">
        <v>1390</v>
      </c>
      <c r="Q475" s="9">
        <v>2222</v>
      </c>
      <c r="T475" s="9">
        <f ca="1">IFERROR(OFFSET(ITEM_RES!$A$5,MATCH(BUILDING!S475,ITEM_RES!$J$5:$J$229,0)-1,0),0)</f>
        <v>0</v>
      </c>
      <c r="W475" s="11">
        <f ca="1">IFERROR(OFFSET(ITEM_RES!$A$5,MATCH(BUILDING!V475,ITEM_RES!$J$5:$J$229,0)-1,0),0)</f>
        <v>0</v>
      </c>
      <c r="Y475" s="9" t="s">
        <v>515</v>
      </c>
      <c r="Z475" s="9">
        <v>11</v>
      </c>
      <c r="AB475" s="11">
        <f ca="1">IFERROR(OFFSET(MANOR_LEVEL!$B$1,MATCH(AC475-1,MANOR_LEVEL!$A:$A,0)-1,0),0)</f>
        <v>100000</v>
      </c>
      <c r="AC475" s="55">
        <v>8</v>
      </c>
      <c r="AE475" s="11">
        <f t="shared" ca="1" si="132"/>
        <v>528000</v>
      </c>
      <c r="AF475" s="10">
        <f ca="1">AK475+AM475+(IFERROR(OFFSET(ITEM_RES!$R$1,MATCH(AQ475,ITEM_RES!$A:$A,0)-1,0),0)*AS475+IFERROR(OFFSET(ITEM_RES!$R$1,MATCH(AV475,ITEM_RES!$A:$A,0)-1,0),0)*AX475+IFERROR(OFFSET(ITEM_RES!$R$1,MATCH(BA475,ITEM_RES!$A:$A,0)-1,0),0)*BC475+IFERROR(OFFSET(ITEM_RES!$R$1,MATCH(BF475,ITEM_RES!$A:$A,0)-1,0),0)*BH475+IFERROR(OFFSET(ITEM_RES!$R$1,MATCH(BK475,ITEM_RES!$A:$A,0)-1,0),0)*BM475)/1000</f>
        <v>528000</v>
      </c>
      <c r="AG475" s="176">
        <f t="shared" ca="1" si="130"/>
        <v>841000</v>
      </c>
      <c r="AI475" s="11">
        <f t="shared" si="131"/>
        <v>360</v>
      </c>
      <c r="AJ475" s="10">
        <v>360</v>
      </c>
      <c r="AK475" s="11">
        <f t="shared" si="127"/>
        <v>0</v>
      </c>
      <c r="AL475" s="10">
        <v>0</v>
      </c>
      <c r="AM475" s="11">
        <f t="shared" si="129"/>
        <v>0</v>
      </c>
      <c r="AN475" s="10">
        <v>0</v>
      </c>
      <c r="AO475" s="55">
        <f t="shared" si="133"/>
        <v>1</v>
      </c>
      <c r="AQ475" s="11">
        <f ca="1">IFERROR(OFFSET(ITEM_RES!$A$1,MATCH(AR475,ITEM_RES!$J:$J,0)-1,0),0)</f>
        <v>211020801</v>
      </c>
      <c r="AR475" s="10" t="s">
        <v>427</v>
      </c>
      <c r="AS475" s="11">
        <v>88000</v>
      </c>
      <c r="AV475" s="11">
        <f ca="1">IFERROR(OFFSET(ITEM_RES!$A$1,MATCH(AW475,ITEM_RES!$J:$J,0)-1,0),0)</f>
        <v>0</v>
      </c>
      <c r="BA475" s="11">
        <f ca="1">IFERROR(OFFSET(ITEM_RES!$A$1,MATCH(BB475,ITEM_RES!$J:$J,0)-1,0),0)</f>
        <v>0</v>
      </c>
      <c r="BF475" s="11">
        <f ca="1">IFERROR(OFFSET(ITEM_RES!$A$1,MATCH(BG475,ITEM_RES!$J:$J,0)-1,0),0)</f>
        <v>0</v>
      </c>
      <c r="BK475" s="11">
        <f ca="1">IFERROR(OFFSET(ITEM_RES!$A$1,MATCH(BL475,ITEM_RES!$J:$J,0)-1,0),0)</f>
        <v>0</v>
      </c>
    </row>
    <row r="476" spans="1:66" x14ac:dyDescent="0.3">
      <c r="A476" s="14">
        <f t="shared" si="124"/>
        <v>115010012</v>
      </c>
      <c r="B476" s="13">
        <v>11</v>
      </c>
      <c r="C476" s="12">
        <f t="shared" si="125"/>
        <v>5</v>
      </c>
      <c r="D476" s="13">
        <v>1</v>
      </c>
      <c r="E476" s="13">
        <v>0</v>
      </c>
      <c r="F476" s="12">
        <f t="shared" si="126"/>
        <v>12</v>
      </c>
      <c r="H476" s="9">
        <v>5</v>
      </c>
      <c r="I476" s="9">
        <v>12</v>
      </c>
      <c r="K476" s="9" t="s">
        <v>362</v>
      </c>
      <c r="M476" s="9">
        <v>1</v>
      </c>
      <c r="N476" s="9">
        <v>15</v>
      </c>
      <c r="O476" s="9" t="s">
        <v>1134</v>
      </c>
      <c r="P476" s="55" t="s">
        <v>1390</v>
      </c>
      <c r="Q476" s="9">
        <v>2222</v>
      </c>
      <c r="T476" s="9">
        <f ca="1">IFERROR(OFFSET(ITEM_RES!$A$5,MATCH(BUILDING!S476,ITEM_RES!$J$5:$J$229,0)-1,0),0)</f>
        <v>0</v>
      </c>
      <c r="W476" s="11">
        <f ca="1">IFERROR(OFFSET(ITEM_RES!$A$5,MATCH(BUILDING!V476,ITEM_RES!$J$5:$J$229,0)-1,0),0)</f>
        <v>0</v>
      </c>
      <c r="Y476" s="9" t="s">
        <v>515</v>
      </c>
      <c r="Z476" s="9">
        <v>12</v>
      </c>
      <c r="AB476" s="11">
        <f ca="1">IFERROR(OFFSET(MANOR_LEVEL!$B$1,MATCH(AC476-1,MANOR_LEVEL!$A:$A,0)-1,0),0)</f>
        <v>300000</v>
      </c>
      <c r="AC476" s="55">
        <v>9</v>
      </c>
      <c r="AE476" s="11">
        <f t="shared" ca="1" si="132"/>
        <v>888000</v>
      </c>
      <c r="AF476" s="10">
        <f ca="1">AK476+AM476+(IFERROR(OFFSET(ITEM_RES!$R$1,MATCH(AQ476,ITEM_RES!$A:$A,0)-1,0),0)*AS476+IFERROR(OFFSET(ITEM_RES!$R$1,MATCH(AV476,ITEM_RES!$A:$A,0)-1,0),0)*AX476+IFERROR(OFFSET(ITEM_RES!$R$1,MATCH(BA476,ITEM_RES!$A:$A,0)-1,0),0)*BC476+IFERROR(OFFSET(ITEM_RES!$R$1,MATCH(BF476,ITEM_RES!$A:$A,0)-1,0),0)*BH476+IFERROR(OFFSET(ITEM_RES!$R$1,MATCH(BK476,ITEM_RES!$A:$A,0)-1,0),0)*BM476)/1000</f>
        <v>888000</v>
      </c>
      <c r="AG476" s="176">
        <f t="shared" ca="1" si="130"/>
        <v>1416000</v>
      </c>
      <c r="AI476" s="11">
        <f t="shared" si="131"/>
        <v>540</v>
      </c>
      <c r="AJ476" s="10">
        <v>540</v>
      </c>
      <c r="AK476" s="11">
        <f t="shared" si="127"/>
        <v>0</v>
      </c>
      <c r="AL476" s="10">
        <v>0</v>
      </c>
      <c r="AM476" s="11">
        <f t="shared" si="129"/>
        <v>0</v>
      </c>
      <c r="AN476" s="10">
        <v>0</v>
      </c>
      <c r="AO476" s="55">
        <f t="shared" si="133"/>
        <v>1</v>
      </c>
      <c r="AQ476" s="11">
        <f ca="1">IFERROR(OFFSET(ITEM_RES!$A$1,MATCH(AR476,ITEM_RES!$J:$J,0)-1,0),0)</f>
        <v>211020801</v>
      </c>
      <c r="AR476" s="10" t="s">
        <v>427</v>
      </c>
      <c r="AS476" s="11">
        <v>148000</v>
      </c>
      <c r="AV476" s="11">
        <f ca="1">IFERROR(OFFSET(ITEM_RES!$A$1,MATCH(AW476,ITEM_RES!$J:$J,0)-1,0),0)</f>
        <v>0</v>
      </c>
      <c r="BA476" s="11">
        <f ca="1">IFERROR(OFFSET(ITEM_RES!$A$1,MATCH(BB476,ITEM_RES!$J:$J,0)-1,0),0)</f>
        <v>0</v>
      </c>
      <c r="BF476" s="11">
        <f ca="1">IFERROR(OFFSET(ITEM_RES!$A$1,MATCH(BG476,ITEM_RES!$J:$J,0)-1,0),0)</f>
        <v>0</v>
      </c>
      <c r="BK476" s="11">
        <f ca="1">IFERROR(OFFSET(ITEM_RES!$A$1,MATCH(BL476,ITEM_RES!$J:$J,0)-1,0),0)</f>
        <v>0</v>
      </c>
    </row>
    <row r="477" spans="1:66" x14ac:dyDescent="0.3">
      <c r="A477" s="14">
        <f t="shared" si="124"/>
        <v>115010013</v>
      </c>
      <c r="B477" s="13">
        <v>11</v>
      </c>
      <c r="C477" s="12">
        <f t="shared" si="125"/>
        <v>5</v>
      </c>
      <c r="D477" s="13">
        <v>1</v>
      </c>
      <c r="E477" s="13">
        <v>0</v>
      </c>
      <c r="F477" s="12">
        <f t="shared" si="126"/>
        <v>13</v>
      </c>
      <c r="H477" s="9">
        <v>5</v>
      </c>
      <c r="I477" s="9">
        <v>13</v>
      </c>
      <c r="K477" s="9" t="s">
        <v>362</v>
      </c>
      <c r="M477" s="9">
        <v>1</v>
      </c>
      <c r="N477" s="9">
        <v>15</v>
      </c>
      <c r="O477" s="9" t="s">
        <v>1135</v>
      </c>
      <c r="P477" s="55" t="s">
        <v>1391</v>
      </c>
      <c r="Q477" s="9">
        <v>2222</v>
      </c>
      <c r="T477" s="9">
        <f ca="1">IFERROR(OFFSET(ITEM_RES!$A$5,MATCH(BUILDING!S477,ITEM_RES!$J$5:$J$229,0)-1,0),0)</f>
        <v>0</v>
      </c>
      <c r="W477" s="11">
        <f ca="1">IFERROR(OFFSET(ITEM_RES!$A$5,MATCH(BUILDING!V477,ITEM_RES!$J$5:$J$229,0)-1,0),0)</f>
        <v>0</v>
      </c>
      <c r="Y477" s="9" t="s">
        <v>515</v>
      </c>
      <c r="Z477" s="9">
        <v>13</v>
      </c>
      <c r="AB477" s="11">
        <f ca="1">IFERROR(OFFSET(MANOR_LEVEL!$B$1,MATCH(AC477-1,MANOR_LEVEL!$A:$A,0)-1,0),0)</f>
        <v>600000</v>
      </c>
      <c r="AC477" s="55">
        <v>10</v>
      </c>
      <c r="AE477" s="11">
        <f t="shared" ca="1" si="132"/>
        <v>1488000</v>
      </c>
      <c r="AF477" s="10">
        <f ca="1">AK477+AM477+(IFERROR(OFFSET(ITEM_RES!$R$1,MATCH(AQ477,ITEM_RES!$A:$A,0)-1,0),0)*AS477+IFERROR(OFFSET(ITEM_RES!$R$1,MATCH(AV477,ITEM_RES!$A:$A,0)-1,0),0)*AX477+IFERROR(OFFSET(ITEM_RES!$R$1,MATCH(BA477,ITEM_RES!$A:$A,0)-1,0),0)*BC477+IFERROR(OFFSET(ITEM_RES!$R$1,MATCH(BF477,ITEM_RES!$A:$A,0)-1,0),0)*BH477+IFERROR(OFFSET(ITEM_RES!$R$1,MATCH(BK477,ITEM_RES!$A:$A,0)-1,0),0)*BM477)/1000</f>
        <v>1488000</v>
      </c>
      <c r="AG477" s="176">
        <f t="shared" ca="1" si="130"/>
        <v>2376000</v>
      </c>
      <c r="AI477" s="11">
        <f t="shared" si="131"/>
        <v>720</v>
      </c>
      <c r="AJ477" s="10">
        <v>720</v>
      </c>
      <c r="AK477" s="11">
        <f t="shared" si="127"/>
        <v>0</v>
      </c>
      <c r="AL477" s="10">
        <v>0</v>
      </c>
      <c r="AM477" s="11">
        <f t="shared" si="129"/>
        <v>0</v>
      </c>
      <c r="AN477" s="10">
        <v>0</v>
      </c>
      <c r="AO477" s="55">
        <f t="shared" si="133"/>
        <v>1</v>
      </c>
      <c r="AQ477" s="11">
        <f ca="1">IFERROR(OFFSET(ITEM_RES!$A$1,MATCH(AR477,ITEM_RES!$J:$J,0)-1,0),0)</f>
        <v>211020801</v>
      </c>
      <c r="AR477" s="10" t="s">
        <v>427</v>
      </c>
      <c r="AS477" s="11">
        <v>248000</v>
      </c>
      <c r="AV477" s="11">
        <f ca="1">IFERROR(OFFSET(ITEM_RES!$A$1,MATCH(AW477,ITEM_RES!$J:$J,0)-1,0),0)</f>
        <v>0</v>
      </c>
      <c r="BA477" s="11">
        <f ca="1">IFERROR(OFFSET(ITEM_RES!$A$1,MATCH(BB477,ITEM_RES!$J:$J,0)-1,0),0)</f>
        <v>0</v>
      </c>
      <c r="BF477" s="11">
        <f ca="1">IFERROR(OFFSET(ITEM_RES!$A$1,MATCH(BG477,ITEM_RES!$J:$J,0)-1,0),0)</f>
        <v>0</v>
      </c>
      <c r="BK477" s="11">
        <f ca="1">IFERROR(OFFSET(ITEM_RES!$A$1,MATCH(BL477,ITEM_RES!$J:$J,0)-1,0),0)</f>
        <v>0</v>
      </c>
    </row>
    <row r="478" spans="1:66" x14ac:dyDescent="0.3">
      <c r="A478" s="14">
        <f t="shared" si="124"/>
        <v>115010014</v>
      </c>
      <c r="B478" s="13">
        <v>11</v>
      </c>
      <c r="C478" s="12">
        <f t="shared" si="125"/>
        <v>5</v>
      </c>
      <c r="D478" s="13">
        <v>1</v>
      </c>
      <c r="E478" s="13">
        <v>0</v>
      </c>
      <c r="F478" s="12">
        <f t="shared" si="126"/>
        <v>14</v>
      </c>
      <c r="H478" s="9">
        <v>5</v>
      </c>
      <c r="I478" s="9">
        <v>14</v>
      </c>
      <c r="K478" s="9" t="s">
        <v>362</v>
      </c>
      <c r="M478" s="9">
        <v>1</v>
      </c>
      <c r="N478" s="9">
        <v>15</v>
      </c>
      <c r="O478" s="9" t="s">
        <v>1135</v>
      </c>
      <c r="P478" s="55" t="s">
        <v>1391</v>
      </c>
      <c r="Q478" s="9">
        <v>2222</v>
      </c>
      <c r="T478" s="9">
        <f ca="1">IFERROR(OFFSET(ITEM_RES!$A$5,MATCH(BUILDING!S478,ITEM_RES!$J$5:$J$229,0)-1,0),0)</f>
        <v>0</v>
      </c>
      <c r="W478" s="11">
        <f ca="1">IFERROR(OFFSET(ITEM_RES!$A$5,MATCH(BUILDING!V478,ITEM_RES!$J$5:$J$229,0)-1,0),0)</f>
        <v>0</v>
      </c>
      <c r="Y478" s="9" t="s">
        <v>515</v>
      </c>
      <c r="Z478" s="9">
        <v>14</v>
      </c>
      <c r="AB478" s="11">
        <f ca="1">IFERROR(OFFSET(MANOR_LEVEL!$B$1,MATCH(AC478-1,MANOR_LEVEL!$A:$A,0)-1,0),0)</f>
        <v>1200000</v>
      </c>
      <c r="AC478" s="55">
        <v>11</v>
      </c>
      <c r="AE478" s="11">
        <f t="shared" ca="1" si="132"/>
        <v>2328000</v>
      </c>
      <c r="AF478" s="10">
        <f ca="1">AK478+AM478+(IFERROR(OFFSET(ITEM_RES!$R$1,MATCH(AQ478,ITEM_RES!$A:$A,0)-1,0),0)*AS478+IFERROR(OFFSET(ITEM_RES!$R$1,MATCH(AV478,ITEM_RES!$A:$A,0)-1,0),0)*AX478+IFERROR(OFFSET(ITEM_RES!$R$1,MATCH(BA478,ITEM_RES!$A:$A,0)-1,0),0)*BC478+IFERROR(OFFSET(ITEM_RES!$R$1,MATCH(BF478,ITEM_RES!$A:$A,0)-1,0),0)*BH478+IFERROR(OFFSET(ITEM_RES!$R$1,MATCH(BK478,ITEM_RES!$A:$A,0)-1,0),0)*BM478)/1000</f>
        <v>2328000</v>
      </c>
      <c r="AG478" s="176">
        <f t="shared" ca="1" si="130"/>
        <v>3816000</v>
      </c>
      <c r="AI478" s="11">
        <f t="shared" si="131"/>
        <v>900</v>
      </c>
      <c r="AJ478" s="10">
        <v>900</v>
      </c>
      <c r="AK478" s="11">
        <f t="shared" si="127"/>
        <v>0</v>
      </c>
      <c r="AL478" s="10">
        <v>0</v>
      </c>
      <c r="AM478" s="11">
        <f t="shared" si="129"/>
        <v>0</v>
      </c>
      <c r="AN478" s="10">
        <v>0</v>
      </c>
      <c r="AO478" s="55">
        <f t="shared" si="133"/>
        <v>1</v>
      </c>
      <c r="AQ478" s="11">
        <f ca="1">IFERROR(OFFSET(ITEM_RES!$A$1,MATCH(AR478,ITEM_RES!$J:$J,0)-1,0),0)</f>
        <v>211020801</v>
      </c>
      <c r="AR478" s="10" t="s">
        <v>427</v>
      </c>
      <c r="AS478" s="11">
        <v>388000</v>
      </c>
      <c r="AV478" s="11">
        <f ca="1">IFERROR(OFFSET(ITEM_RES!$A$1,MATCH(AW478,ITEM_RES!$J:$J,0)-1,0),0)</f>
        <v>0</v>
      </c>
      <c r="BA478" s="11">
        <f ca="1">IFERROR(OFFSET(ITEM_RES!$A$1,MATCH(BB478,ITEM_RES!$J:$J,0)-1,0),0)</f>
        <v>0</v>
      </c>
      <c r="BF478" s="11">
        <f ca="1">IFERROR(OFFSET(ITEM_RES!$A$1,MATCH(BG478,ITEM_RES!$J:$J,0)-1,0),0)</f>
        <v>0</v>
      </c>
      <c r="BK478" s="11">
        <f ca="1">IFERROR(OFFSET(ITEM_RES!$A$1,MATCH(BL478,ITEM_RES!$J:$J,0)-1,0),0)</f>
        <v>0</v>
      </c>
    </row>
    <row r="479" spans="1:66" x14ac:dyDescent="0.3">
      <c r="A479" s="14">
        <f t="shared" si="124"/>
        <v>115010015</v>
      </c>
      <c r="B479" s="13">
        <v>11</v>
      </c>
      <c r="C479" s="12">
        <f t="shared" si="125"/>
        <v>5</v>
      </c>
      <c r="D479" s="13">
        <v>1</v>
      </c>
      <c r="E479" s="13">
        <v>0</v>
      </c>
      <c r="F479" s="12">
        <f t="shared" si="126"/>
        <v>15</v>
      </c>
      <c r="H479" s="9">
        <v>5</v>
      </c>
      <c r="I479" s="9">
        <v>15</v>
      </c>
      <c r="K479" s="9" t="s">
        <v>362</v>
      </c>
      <c r="M479" s="9">
        <v>1</v>
      </c>
      <c r="N479" s="9">
        <v>15</v>
      </c>
      <c r="O479" s="9" t="s">
        <v>1136</v>
      </c>
      <c r="P479" s="55" t="s">
        <v>1392</v>
      </c>
      <c r="Q479" s="9">
        <v>2222</v>
      </c>
      <c r="T479" s="9">
        <f ca="1">IFERROR(OFFSET(ITEM_RES!$A$5,MATCH(BUILDING!S479,ITEM_RES!$J$5:$J$229,0)-1,0),0)</f>
        <v>0</v>
      </c>
      <c r="W479" s="11">
        <f ca="1">IFERROR(OFFSET(ITEM_RES!$A$5,MATCH(BUILDING!V479,ITEM_RES!$J$5:$J$229,0)-1,0),0)</f>
        <v>0</v>
      </c>
      <c r="Y479" s="9" t="s">
        <v>515</v>
      </c>
      <c r="Z479" s="9">
        <v>15</v>
      </c>
      <c r="AB479" s="11">
        <f ca="1">IFERROR(OFFSET(MANOR_LEVEL!$B$1,MATCH(AC479-1,MANOR_LEVEL!$A:$A,0)-1,0),0)</f>
        <v>3500000</v>
      </c>
      <c r="AC479" s="55">
        <v>12</v>
      </c>
      <c r="AE479" s="11">
        <f t="shared" ca="1" si="132"/>
        <v>5040000</v>
      </c>
      <c r="AF479" s="10">
        <f ca="1">AK479+AM479+(IFERROR(OFFSET(ITEM_RES!$R$1,MATCH(AQ479,ITEM_RES!$A:$A,0)-1,0),0)*AS479+IFERROR(OFFSET(ITEM_RES!$R$1,MATCH(AV479,ITEM_RES!$A:$A,0)-1,0),0)*AX479+IFERROR(OFFSET(ITEM_RES!$R$1,MATCH(BA479,ITEM_RES!$A:$A,0)-1,0),0)*BC479+IFERROR(OFFSET(ITEM_RES!$R$1,MATCH(BF479,ITEM_RES!$A:$A,0)-1,0),0)*BH479+IFERROR(OFFSET(ITEM_RES!$R$1,MATCH(BK479,ITEM_RES!$A:$A,0)-1,0),0)*BM479)/1000</f>
        <v>5040000</v>
      </c>
      <c r="AG479" s="176">
        <f t="shared" ca="1" si="130"/>
        <v>7368000</v>
      </c>
      <c r="AI479" s="11">
        <f t="shared" si="131"/>
        <v>1080</v>
      </c>
      <c r="AJ479" s="10">
        <v>1080</v>
      </c>
      <c r="AK479" s="11">
        <f t="shared" si="127"/>
        <v>0</v>
      </c>
      <c r="AL479" s="10">
        <v>0</v>
      </c>
      <c r="AM479" s="11">
        <f t="shared" si="129"/>
        <v>0</v>
      </c>
      <c r="AN479" s="10">
        <v>0</v>
      </c>
      <c r="AO479" s="55">
        <f t="shared" si="133"/>
        <v>1</v>
      </c>
      <c r="AQ479" s="11">
        <f ca="1">IFERROR(OFFSET(ITEM_RES!$A$1,MATCH(AR479,ITEM_RES!$J:$J,0)-1,0),0)</f>
        <v>211020801</v>
      </c>
      <c r="AR479" s="10" t="s">
        <v>427</v>
      </c>
      <c r="AS479" s="11">
        <v>840000</v>
      </c>
      <c r="AV479" s="11">
        <f ca="1">IFERROR(OFFSET(ITEM_RES!$A$1,MATCH(AW479,ITEM_RES!$J:$J,0)-1,0),0)</f>
        <v>0</v>
      </c>
      <c r="BA479" s="11">
        <f ca="1">IFERROR(OFFSET(ITEM_RES!$A$1,MATCH(BB479,ITEM_RES!$J:$J,0)-1,0),0)</f>
        <v>0</v>
      </c>
      <c r="BF479" s="11">
        <f ca="1">IFERROR(OFFSET(ITEM_RES!$A$1,MATCH(BG479,ITEM_RES!$J:$J,0)-1,0),0)</f>
        <v>0</v>
      </c>
      <c r="BK479" s="11">
        <f ca="1">IFERROR(OFFSET(ITEM_RES!$A$1,MATCH(BL479,ITEM_RES!$J:$J,0)-1,0),0)</f>
        <v>0</v>
      </c>
    </row>
    <row r="480" spans="1:66" x14ac:dyDescent="0.3">
      <c r="A480" s="14">
        <f t="shared" si="124"/>
        <v>115010016</v>
      </c>
      <c r="B480" s="13">
        <v>11</v>
      </c>
      <c r="C480" s="12">
        <f t="shared" si="125"/>
        <v>5</v>
      </c>
      <c r="D480" s="13">
        <v>1</v>
      </c>
      <c r="E480" s="13">
        <v>0</v>
      </c>
      <c r="F480" s="12">
        <f t="shared" si="126"/>
        <v>16</v>
      </c>
      <c r="H480" s="9">
        <v>5</v>
      </c>
      <c r="I480" s="9">
        <v>16</v>
      </c>
      <c r="K480" s="9" t="s">
        <v>362</v>
      </c>
      <c r="M480" s="9">
        <v>0</v>
      </c>
      <c r="N480" s="9">
        <v>15</v>
      </c>
      <c r="O480" s="9" t="s">
        <v>1136</v>
      </c>
      <c r="P480" s="55" t="s">
        <v>1392</v>
      </c>
      <c r="Q480" s="9">
        <v>2222</v>
      </c>
      <c r="T480" s="9">
        <f ca="1">IFERROR(OFFSET(ITEM_RES!$A$5,MATCH(BUILDING!S480,ITEM_RES!$J$5:$J$229,0)-1,0),0)</f>
        <v>0</v>
      </c>
      <c r="W480" s="11">
        <f ca="1">IFERROR(OFFSET(ITEM_RES!$A$5,MATCH(BUILDING!V480,ITEM_RES!$J$5:$J$229,0)-1,0),0)</f>
        <v>0</v>
      </c>
      <c r="Y480" s="9" t="s">
        <v>515</v>
      </c>
      <c r="Z480" s="9">
        <v>16</v>
      </c>
      <c r="AB480" s="11">
        <f ca="1">IFERROR(OFFSET(MANOR_LEVEL!$B$1,MATCH(AC480-1,MANOR_LEVEL!$A:$A,0)-1,0),0)</f>
        <v>6000000</v>
      </c>
      <c r="AC480" s="55">
        <v>13</v>
      </c>
      <c r="AE480" s="11">
        <f t="shared" ca="1" si="132"/>
        <v>17200000</v>
      </c>
      <c r="AF480" s="10">
        <f ca="1">AK480+AM480+(IFERROR(OFFSET(ITEM_RES!$R$1,MATCH(AQ480,ITEM_RES!$A:$A,0)-1,0),0)*AS480+IFERROR(OFFSET(ITEM_RES!$R$1,MATCH(AV480,ITEM_RES!$A:$A,0)-1,0),0)*AX480+IFERROR(OFFSET(ITEM_RES!$R$1,MATCH(BA480,ITEM_RES!$A:$A,0)-1,0),0)*BC480+IFERROR(OFFSET(ITEM_RES!$R$1,MATCH(BF480,ITEM_RES!$A:$A,0)-1,0),0)*BH480+IFERROR(OFFSET(ITEM_RES!$R$1,MATCH(BK480,ITEM_RES!$A:$A,0)-1,0),0)*BM480)/1000</f>
        <v>17200000</v>
      </c>
      <c r="AG480" s="176">
        <f t="shared" ca="1" si="130"/>
        <v>22240000</v>
      </c>
      <c r="AI480" s="11">
        <f t="shared" si="131"/>
        <v>1260</v>
      </c>
      <c r="AJ480" s="10">
        <v>1260</v>
      </c>
      <c r="AK480" s="11">
        <f t="shared" si="127"/>
        <v>0</v>
      </c>
      <c r="AL480" s="10">
        <v>0</v>
      </c>
      <c r="AM480" s="11">
        <f t="shared" si="129"/>
        <v>0</v>
      </c>
      <c r="AN480" s="10">
        <v>0</v>
      </c>
      <c r="AO480" s="55">
        <f t="shared" si="133"/>
        <v>1</v>
      </c>
      <c r="AQ480" s="11">
        <f ca="1">IFERROR(OFFSET(ITEM_RES!$A$1,MATCH(AR480,ITEM_RES!$J:$J,0)-1,0),0)</f>
        <v>211020901</v>
      </c>
      <c r="AR480" s="10" t="s">
        <v>433</v>
      </c>
      <c r="AS480" s="11">
        <v>1720000</v>
      </c>
      <c r="AV480" s="11">
        <f ca="1">IFERROR(OFFSET(ITEM_RES!$A$1,MATCH(AW480,ITEM_RES!$J:$J,0)-1,0),0)</f>
        <v>0</v>
      </c>
      <c r="BA480" s="11">
        <f ca="1">IFERROR(OFFSET(ITEM_RES!$A$1,MATCH(BB480,ITEM_RES!$J:$J,0)-1,0),0)</f>
        <v>0</v>
      </c>
      <c r="BF480" s="11">
        <f ca="1">IFERROR(OFFSET(ITEM_RES!$A$1,MATCH(BG480,ITEM_RES!$J:$J,0)-1,0),0)</f>
        <v>0</v>
      </c>
      <c r="BK480" s="11">
        <f ca="1">IFERROR(OFFSET(ITEM_RES!$A$1,MATCH(BL480,ITEM_RES!$J:$J,0)-1,0),0)</f>
        <v>0</v>
      </c>
    </row>
    <row r="481" spans="1:66" x14ac:dyDescent="0.3">
      <c r="A481" s="14">
        <f t="shared" si="124"/>
        <v>115010017</v>
      </c>
      <c r="B481" s="13">
        <v>11</v>
      </c>
      <c r="C481" s="12">
        <f t="shared" si="125"/>
        <v>5</v>
      </c>
      <c r="D481" s="13">
        <v>1</v>
      </c>
      <c r="E481" s="13">
        <v>0</v>
      </c>
      <c r="F481" s="12">
        <f t="shared" si="126"/>
        <v>17</v>
      </c>
      <c r="H481" s="9">
        <v>5</v>
      </c>
      <c r="I481" s="9">
        <v>17</v>
      </c>
      <c r="K481" s="9" t="s">
        <v>362</v>
      </c>
      <c r="M481" s="9">
        <v>0</v>
      </c>
      <c r="N481" s="9">
        <v>15</v>
      </c>
      <c r="O481" s="9" t="s">
        <v>1136</v>
      </c>
      <c r="P481" s="55" t="s">
        <v>1392</v>
      </c>
      <c r="Q481" s="9">
        <v>2222</v>
      </c>
      <c r="T481" s="9">
        <f ca="1">IFERROR(OFFSET(ITEM_RES!$A$5,MATCH(BUILDING!S481,ITEM_RES!$J$5:$J$229,0)-1,0),0)</f>
        <v>0</v>
      </c>
      <c r="W481" s="11">
        <f ca="1">IFERROR(OFFSET(ITEM_RES!$A$5,MATCH(BUILDING!V481,ITEM_RES!$J$5:$J$229,0)-1,0),0)</f>
        <v>0</v>
      </c>
      <c r="Y481" s="9" t="s">
        <v>515</v>
      </c>
      <c r="Z481" s="9">
        <v>17</v>
      </c>
      <c r="AB481" s="11">
        <f ca="1">IFERROR(OFFSET(MANOR_LEVEL!$B$1,MATCH(AC481-1,MANOR_LEVEL!$A:$A,0)-1,0),0)</f>
        <v>10000000</v>
      </c>
      <c r="AC481" s="55">
        <v>14</v>
      </c>
      <c r="AE481" s="11">
        <f t="shared" ca="1" si="132"/>
        <v>32000000</v>
      </c>
      <c r="AF481" s="10">
        <f ca="1">AK481+AM481+(IFERROR(OFFSET(ITEM_RES!$R$1,MATCH(AQ481,ITEM_RES!$A:$A,0)-1,0),0)*AS481+IFERROR(OFFSET(ITEM_RES!$R$1,MATCH(AV481,ITEM_RES!$A:$A,0)-1,0),0)*AX481+IFERROR(OFFSET(ITEM_RES!$R$1,MATCH(BA481,ITEM_RES!$A:$A,0)-1,0),0)*BC481+IFERROR(OFFSET(ITEM_RES!$R$1,MATCH(BF481,ITEM_RES!$A:$A,0)-1,0),0)*BH481+IFERROR(OFFSET(ITEM_RES!$R$1,MATCH(BK481,ITEM_RES!$A:$A,0)-1,0),0)*BM481)/1000</f>
        <v>32000000</v>
      </c>
      <c r="AG481" s="176">
        <f t="shared" ca="1" si="130"/>
        <v>49200000</v>
      </c>
      <c r="AI481" s="11">
        <f t="shared" si="131"/>
        <v>1440</v>
      </c>
      <c r="AJ481" s="10">
        <v>1440</v>
      </c>
      <c r="AK481" s="11">
        <f t="shared" si="127"/>
        <v>0</v>
      </c>
      <c r="AL481" s="10">
        <v>0</v>
      </c>
      <c r="AM481" s="11">
        <f t="shared" si="129"/>
        <v>0</v>
      </c>
      <c r="AN481" s="10">
        <v>0</v>
      </c>
      <c r="AO481" s="55">
        <f t="shared" si="133"/>
        <v>1</v>
      </c>
      <c r="AQ481" s="11">
        <f ca="1">IFERROR(OFFSET(ITEM_RES!$A$1,MATCH(AR481,ITEM_RES!$J:$J,0)-1,0),0)</f>
        <v>211020901</v>
      </c>
      <c r="AR481" s="10" t="s">
        <v>433</v>
      </c>
      <c r="AS481" s="11">
        <v>3200000</v>
      </c>
      <c r="AV481" s="11">
        <f ca="1">IFERROR(OFFSET(ITEM_RES!$A$1,MATCH(AW481,ITEM_RES!$J:$J,0)-1,0),0)</f>
        <v>0</v>
      </c>
      <c r="BA481" s="11">
        <f ca="1">IFERROR(OFFSET(ITEM_RES!$A$1,MATCH(BB481,ITEM_RES!$J:$J,0)-1,0),0)</f>
        <v>0</v>
      </c>
      <c r="BF481" s="11">
        <f ca="1">IFERROR(OFFSET(ITEM_RES!$A$1,MATCH(BG481,ITEM_RES!$J:$J,0)-1,0),0)</f>
        <v>0</v>
      </c>
      <c r="BK481" s="11">
        <f ca="1">IFERROR(OFFSET(ITEM_RES!$A$1,MATCH(BL481,ITEM_RES!$J:$J,0)-1,0),0)</f>
        <v>0</v>
      </c>
    </row>
    <row r="482" spans="1:66" x14ac:dyDescent="0.3">
      <c r="A482" s="14">
        <f t="shared" si="124"/>
        <v>115010018</v>
      </c>
      <c r="B482" s="13">
        <v>11</v>
      </c>
      <c r="C482" s="12">
        <f t="shared" si="125"/>
        <v>5</v>
      </c>
      <c r="D482" s="13">
        <v>1</v>
      </c>
      <c r="E482" s="13">
        <v>0</v>
      </c>
      <c r="F482" s="12">
        <f t="shared" si="126"/>
        <v>18</v>
      </c>
      <c r="H482" s="9">
        <v>5</v>
      </c>
      <c r="I482" s="9">
        <v>18</v>
      </c>
      <c r="K482" s="9" t="s">
        <v>362</v>
      </c>
      <c r="M482" s="9">
        <v>0</v>
      </c>
      <c r="N482" s="9">
        <v>15</v>
      </c>
      <c r="O482" s="9" t="s">
        <v>1136</v>
      </c>
      <c r="P482" s="55" t="s">
        <v>1392</v>
      </c>
      <c r="Q482" s="9">
        <v>2222</v>
      </c>
      <c r="T482" s="9">
        <f ca="1">IFERROR(OFFSET(ITEM_RES!$A$5,MATCH(BUILDING!S482,ITEM_RES!$J$5:$J$229,0)-1,0),0)</f>
        <v>0</v>
      </c>
      <c r="W482" s="11">
        <f ca="1">IFERROR(OFFSET(ITEM_RES!$A$5,MATCH(BUILDING!V482,ITEM_RES!$J$5:$J$229,0)-1,0),0)</f>
        <v>0</v>
      </c>
      <c r="Y482" s="9" t="s">
        <v>515</v>
      </c>
      <c r="Z482" s="9">
        <v>18</v>
      </c>
      <c r="AB482" s="11">
        <f ca="1">IFERROR(OFFSET(MANOR_LEVEL!$B$1,MATCH(AC482-1,MANOR_LEVEL!$A:$A,0)-1,0),0)</f>
        <v>17000000</v>
      </c>
      <c r="AC482" s="55">
        <v>15</v>
      </c>
      <c r="AE482" s="11">
        <f t="shared" ca="1" si="132"/>
        <v>52000000</v>
      </c>
      <c r="AF482" s="10">
        <f ca="1">AK482+AM482+(IFERROR(OFFSET(ITEM_RES!$R$1,MATCH(AQ482,ITEM_RES!$A:$A,0)-1,0),0)*AS482+IFERROR(OFFSET(ITEM_RES!$R$1,MATCH(AV482,ITEM_RES!$A:$A,0)-1,0),0)*AX482+IFERROR(OFFSET(ITEM_RES!$R$1,MATCH(BA482,ITEM_RES!$A:$A,0)-1,0),0)*BC482+IFERROR(OFFSET(ITEM_RES!$R$1,MATCH(BF482,ITEM_RES!$A:$A,0)-1,0),0)*BH482+IFERROR(OFFSET(ITEM_RES!$R$1,MATCH(BK482,ITEM_RES!$A:$A,0)-1,0),0)*BM482)/1000</f>
        <v>52000000</v>
      </c>
      <c r="AG482" s="176">
        <f t="shared" ca="1" si="130"/>
        <v>84000000</v>
      </c>
      <c r="AI482" s="11">
        <f t="shared" si="131"/>
        <v>1620</v>
      </c>
      <c r="AJ482" s="10">
        <v>1620</v>
      </c>
      <c r="AK482" s="11">
        <f t="shared" si="127"/>
        <v>0</v>
      </c>
      <c r="AL482" s="10">
        <v>0</v>
      </c>
      <c r="AM482" s="11">
        <f t="shared" si="129"/>
        <v>0</v>
      </c>
      <c r="AN482" s="10">
        <v>0</v>
      </c>
      <c r="AO482" s="55">
        <f t="shared" si="133"/>
        <v>1</v>
      </c>
      <c r="AQ482" s="11">
        <f ca="1">IFERROR(OFFSET(ITEM_RES!$A$1,MATCH(AR482,ITEM_RES!$J:$J,0)-1,0),0)</f>
        <v>211020901</v>
      </c>
      <c r="AR482" s="10" t="s">
        <v>433</v>
      </c>
      <c r="AS482" s="11">
        <v>5200000</v>
      </c>
      <c r="AV482" s="11">
        <f ca="1">IFERROR(OFFSET(ITEM_RES!$A$1,MATCH(AW482,ITEM_RES!$J:$J,0)-1,0),0)</f>
        <v>0</v>
      </c>
      <c r="BA482" s="11">
        <f ca="1">IFERROR(OFFSET(ITEM_RES!$A$1,MATCH(BB482,ITEM_RES!$J:$J,0)-1,0),0)</f>
        <v>0</v>
      </c>
      <c r="BF482" s="11">
        <f ca="1">IFERROR(OFFSET(ITEM_RES!$A$1,MATCH(BG482,ITEM_RES!$J:$J,0)-1,0),0)</f>
        <v>0</v>
      </c>
      <c r="BK482" s="11">
        <f ca="1">IFERROR(OFFSET(ITEM_RES!$A$1,MATCH(BL482,ITEM_RES!$J:$J,0)-1,0),0)</f>
        <v>0</v>
      </c>
    </row>
    <row r="483" spans="1:66" x14ac:dyDescent="0.3">
      <c r="A483" s="14">
        <f t="shared" si="124"/>
        <v>115010019</v>
      </c>
      <c r="B483" s="13">
        <v>11</v>
      </c>
      <c r="C483" s="12">
        <f t="shared" si="125"/>
        <v>5</v>
      </c>
      <c r="D483" s="13">
        <v>1</v>
      </c>
      <c r="E483" s="13">
        <v>0</v>
      </c>
      <c r="F483" s="12">
        <f t="shared" si="126"/>
        <v>19</v>
      </c>
      <c r="H483" s="9">
        <v>5</v>
      </c>
      <c r="I483" s="9">
        <v>19</v>
      </c>
      <c r="K483" s="9" t="s">
        <v>362</v>
      </c>
      <c r="M483" s="9">
        <v>0</v>
      </c>
      <c r="N483" s="9">
        <v>15</v>
      </c>
      <c r="O483" s="9" t="s">
        <v>1136</v>
      </c>
      <c r="P483" s="55" t="s">
        <v>1392</v>
      </c>
      <c r="Q483" s="9">
        <v>2222</v>
      </c>
      <c r="T483" s="9">
        <f ca="1">IFERROR(OFFSET(ITEM_RES!$A$5,MATCH(BUILDING!S483,ITEM_RES!$J$5:$J$229,0)-1,0),0)</f>
        <v>0</v>
      </c>
      <c r="W483" s="11">
        <f ca="1">IFERROR(OFFSET(ITEM_RES!$A$5,MATCH(BUILDING!V483,ITEM_RES!$J$5:$J$229,0)-1,0),0)</f>
        <v>0</v>
      </c>
      <c r="Y483" s="9" t="s">
        <v>515</v>
      </c>
      <c r="Z483" s="9">
        <v>19</v>
      </c>
      <c r="AB483" s="11">
        <f ca="1">IFERROR(OFFSET(MANOR_LEVEL!$B$1,MATCH(AC483-1,MANOR_LEVEL!$A:$A,0)-1,0),0)</f>
        <v>37000000</v>
      </c>
      <c r="AC483" s="55">
        <v>16</v>
      </c>
      <c r="AE483" s="11">
        <f t="shared" ca="1" si="132"/>
        <v>80000000</v>
      </c>
      <c r="AF483" s="10">
        <f ca="1">AK483+AM483+(IFERROR(OFFSET(ITEM_RES!$R$1,MATCH(AQ483,ITEM_RES!$A:$A,0)-1,0),0)*AS483+IFERROR(OFFSET(ITEM_RES!$R$1,MATCH(AV483,ITEM_RES!$A:$A,0)-1,0),0)*AX483+IFERROR(OFFSET(ITEM_RES!$R$1,MATCH(BA483,ITEM_RES!$A:$A,0)-1,0),0)*BC483+IFERROR(OFFSET(ITEM_RES!$R$1,MATCH(BF483,ITEM_RES!$A:$A,0)-1,0),0)*BH483+IFERROR(OFFSET(ITEM_RES!$R$1,MATCH(BK483,ITEM_RES!$A:$A,0)-1,0),0)*BM483)/1000</f>
        <v>80000000</v>
      </c>
      <c r="AG483" s="176">
        <f t="shared" ca="1" si="130"/>
        <v>132000000</v>
      </c>
      <c r="AI483" s="11">
        <f t="shared" si="131"/>
        <v>1800</v>
      </c>
      <c r="AJ483" s="10">
        <v>1800</v>
      </c>
      <c r="AK483" s="11">
        <f t="shared" si="127"/>
        <v>0</v>
      </c>
      <c r="AL483" s="10">
        <v>0</v>
      </c>
      <c r="AM483" s="11">
        <f t="shared" si="129"/>
        <v>0</v>
      </c>
      <c r="AN483" s="10">
        <v>0</v>
      </c>
      <c r="AO483" s="55">
        <f t="shared" si="133"/>
        <v>1</v>
      </c>
      <c r="AQ483" s="11">
        <f ca="1">IFERROR(OFFSET(ITEM_RES!$A$1,MATCH(AR483,ITEM_RES!$J:$J,0)-1,0),0)</f>
        <v>211020901</v>
      </c>
      <c r="AR483" s="10" t="s">
        <v>433</v>
      </c>
      <c r="AS483" s="11">
        <v>8000000</v>
      </c>
      <c r="AV483" s="11">
        <f ca="1">IFERROR(OFFSET(ITEM_RES!$A$1,MATCH(AW483,ITEM_RES!$J:$J,0)-1,0),0)</f>
        <v>0</v>
      </c>
      <c r="BA483" s="11">
        <f ca="1">IFERROR(OFFSET(ITEM_RES!$A$1,MATCH(BB483,ITEM_RES!$J:$J,0)-1,0),0)</f>
        <v>0</v>
      </c>
      <c r="BF483" s="11">
        <f ca="1">IFERROR(OFFSET(ITEM_RES!$A$1,MATCH(BG483,ITEM_RES!$J:$J,0)-1,0),0)</f>
        <v>0</v>
      </c>
      <c r="BK483" s="11">
        <f ca="1">IFERROR(OFFSET(ITEM_RES!$A$1,MATCH(BL483,ITEM_RES!$J:$J,0)-1,0),0)</f>
        <v>0</v>
      </c>
    </row>
    <row r="484" spans="1:66" ht="17.25" thickBot="1" x14ac:dyDescent="0.35">
      <c r="A484" s="14">
        <f t="shared" si="124"/>
        <v>115010020</v>
      </c>
      <c r="B484" s="13">
        <v>11</v>
      </c>
      <c r="C484" s="12">
        <f t="shared" si="125"/>
        <v>5</v>
      </c>
      <c r="D484" s="13">
        <v>1</v>
      </c>
      <c r="E484" s="13">
        <v>0</v>
      </c>
      <c r="F484" s="12">
        <f t="shared" si="126"/>
        <v>20</v>
      </c>
      <c r="H484" s="9">
        <v>5</v>
      </c>
      <c r="I484" s="9">
        <v>20</v>
      </c>
      <c r="K484" s="9" t="s">
        <v>362</v>
      </c>
      <c r="M484" s="9">
        <v>0</v>
      </c>
      <c r="N484" s="9">
        <v>15</v>
      </c>
      <c r="O484" s="9" t="s">
        <v>1136</v>
      </c>
      <c r="P484" s="55" t="s">
        <v>1392</v>
      </c>
      <c r="Q484" s="9">
        <v>2222</v>
      </c>
      <c r="T484" s="9">
        <f ca="1">IFERROR(OFFSET(ITEM_RES!$A$5,MATCH(BUILDING!S484,ITEM_RES!$J$5:$J$229,0)-1,0),0)</f>
        <v>0</v>
      </c>
      <c r="W484" s="11">
        <f ca="1">IFERROR(OFFSET(ITEM_RES!$A$5,MATCH(BUILDING!V484,ITEM_RES!$J$5:$J$229,0)-1,0),0)</f>
        <v>0</v>
      </c>
      <c r="Y484" s="9" t="s">
        <v>515</v>
      </c>
      <c r="Z484" s="9">
        <v>20</v>
      </c>
      <c r="AB484" s="11">
        <f ca="1">IFERROR(OFFSET(MANOR_LEVEL!$B$1,MATCH(AC484-1,MANOR_LEVEL!$A:$A,0)-1,0),0)</f>
        <v>85000000</v>
      </c>
      <c r="AC484" s="55">
        <v>17</v>
      </c>
      <c r="AE484" s="11">
        <f t="shared" ca="1" si="132"/>
        <v>128000000</v>
      </c>
      <c r="AF484" s="10">
        <f ca="1">AK484+AM484+(IFERROR(OFFSET(ITEM_RES!$R$1,MATCH(AQ484,ITEM_RES!$A:$A,0)-1,0),0)*AS484+IFERROR(OFFSET(ITEM_RES!$R$1,MATCH(AV484,ITEM_RES!$A:$A,0)-1,0),0)*AX484+IFERROR(OFFSET(ITEM_RES!$R$1,MATCH(BA484,ITEM_RES!$A:$A,0)-1,0),0)*BC484+IFERROR(OFFSET(ITEM_RES!$R$1,MATCH(BF484,ITEM_RES!$A:$A,0)-1,0),0)*BH484+IFERROR(OFFSET(ITEM_RES!$R$1,MATCH(BK484,ITEM_RES!$A:$A,0)-1,0),0)*BM484)/1000</f>
        <v>128000000</v>
      </c>
      <c r="AG484" s="176">
        <f t="shared" ca="1" si="130"/>
        <v>208000000</v>
      </c>
      <c r="AI484" s="11">
        <f t="shared" si="131"/>
        <v>1980</v>
      </c>
      <c r="AJ484" s="10">
        <v>1980</v>
      </c>
      <c r="AK484" s="11">
        <f t="shared" si="127"/>
        <v>0</v>
      </c>
      <c r="AL484" s="10">
        <v>0</v>
      </c>
      <c r="AM484" s="11">
        <f t="shared" si="129"/>
        <v>0</v>
      </c>
      <c r="AN484" s="10">
        <v>0</v>
      </c>
      <c r="AO484" s="55">
        <f t="shared" si="133"/>
        <v>1</v>
      </c>
      <c r="AQ484" s="11">
        <f ca="1">IFERROR(OFFSET(ITEM_RES!$A$1,MATCH(AR484,ITEM_RES!$J:$J,0)-1,0),0)</f>
        <v>211020901</v>
      </c>
      <c r="AR484" s="10" t="s">
        <v>433</v>
      </c>
      <c r="AS484" s="11">
        <v>12800000</v>
      </c>
      <c r="AV484" s="11">
        <f ca="1">IFERROR(OFFSET(ITEM_RES!$A$1,MATCH(AW484,ITEM_RES!$J:$J,0)-1,0),0)</f>
        <v>0</v>
      </c>
      <c r="BA484" s="11">
        <f ca="1">IFERROR(OFFSET(ITEM_RES!$A$1,MATCH(BB484,ITEM_RES!$J:$J,0)-1,0),0)</f>
        <v>0</v>
      </c>
      <c r="BF484" s="11">
        <f ca="1">IFERROR(OFFSET(ITEM_RES!$A$1,MATCH(BG484,ITEM_RES!$J:$J,0)-1,0),0)</f>
        <v>0</v>
      </c>
      <c r="BK484" s="11">
        <f ca="1">IFERROR(OFFSET(ITEM_RES!$A$1,MATCH(BL484,ITEM_RES!$J:$J,0)-1,0),0)</f>
        <v>0</v>
      </c>
    </row>
    <row r="485" spans="1:66" s="15" customFormat="1" x14ac:dyDescent="0.3">
      <c r="A485" s="21">
        <f t="shared" si="124"/>
        <v>115020001</v>
      </c>
      <c r="B485" s="20">
        <v>11</v>
      </c>
      <c r="C485" s="19">
        <f t="shared" si="125"/>
        <v>5</v>
      </c>
      <c r="D485" s="20">
        <v>2</v>
      </c>
      <c r="E485" s="20">
        <v>0</v>
      </c>
      <c r="F485" s="19">
        <f t="shared" si="126"/>
        <v>1</v>
      </c>
      <c r="G485" s="76"/>
      <c r="H485" s="16">
        <v>5</v>
      </c>
      <c r="I485" s="16">
        <v>1</v>
      </c>
      <c r="J485" s="76"/>
      <c r="K485" s="16" t="s">
        <v>1000</v>
      </c>
      <c r="L485" s="16">
        <v>2</v>
      </c>
      <c r="M485" s="16">
        <v>1</v>
      </c>
      <c r="N485" s="16">
        <v>15</v>
      </c>
      <c r="O485" s="16" t="s">
        <v>1137</v>
      </c>
      <c r="P485" s="56" t="s">
        <v>1393</v>
      </c>
      <c r="Q485" s="16">
        <v>3333</v>
      </c>
      <c r="R485" s="76"/>
      <c r="S485" s="83"/>
      <c r="T485" s="16">
        <f ca="1">IFERROR(OFFSET(ITEM_RES!$A$5,MATCH(BUILDING!S485,ITEM_RES!$J$5:$J$229,0)-1,0),0)</f>
        <v>0</v>
      </c>
      <c r="U485" s="18"/>
      <c r="V485" s="83"/>
      <c r="W485" s="18">
        <f ca="1">IFERROR(OFFSET(ITEM_RES!$A$5,MATCH(BUILDING!V485,ITEM_RES!$J$5:$J$229,0)-1,0),0)</f>
        <v>0</v>
      </c>
      <c r="X485" s="76"/>
      <c r="Y485" s="16" t="s">
        <v>375</v>
      </c>
      <c r="Z485" s="16">
        <v>2</v>
      </c>
      <c r="AA485" s="76"/>
      <c r="AB485" s="18">
        <f ca="1">IFERROR(OFFSET(MANOR_LEVEL!$B$1,MATCH(AC485-1,MANOR_LEVEL!$A:$A,0)-1,0),0)</f>
        <v>800</v>
      </c>
      <c r="AC485" s="56">
        <v>2</v>
      </c>
      <c r="AD485" s="76"/>
      <c r="AE485" s="18">
        <f t="shared" ca="1" si="132"/>
        <v>2030</v>
      </c>
      <c r="AF485" s="17">
        <f ca="1">AK485+AM485+(IFERROR(OFFSET(ITEM_RES!$R$1,MATCH(AQ485,ITEM_RES!$A:$A,0)-1,0),0)*AS485+IFERROR(OFFSET(ITEM_RES!$R$1,MATCH(AV485,ITEM_RES!$A:$A,0)-1,0),0)*AX485+IFERROR(OFFSET(ITEM_RES!$R$1,MATCH(BA485,ITEM_RES!$A:$A,0)-1,0),0)*BC485+IFERROR(OFFSET(ITEM_RES!$R$1,MATCH(BF485,ITEM_RES!$A:$A,0)-1,0),0)*BH485+IFERROR(OFFSET(ITEM_RES!$R$1,MATCH(BK485,ITEM_RES!$A:$A,0)-1,0),0)*BM485)/1000</f>
        <v>2030</v>
      </c>
      <c r="AG485" s="178">
        <f ca="1">AE485</f>
        <v>2030</v>
      </c>
      <c r="AH485" s="76"/>
      <c r="AI485" s="18">
        <f t="shared" si="131"/>
        <v>2</v>
      </c>
      <c r="AJ485" s="17">
        <v>2</v>
      </c>
      <c r="AK485" s="18">
        <f t="shared" si="127"/>
        <v>0</v>
      </c>
      <c r="AL485" s="17">
        <v>0</v>
      </c>
      <c r="AM485" s="18">
        <f t="shared" si="129"/>
        <v>0</v>
      </c>
      <c r="AN485" s="17">
        <v>0</v>
      </c>
      <c r="AO485" s="56">
        <f t="shared" si="133"/>
        <v>3</v>
      </c>
      <c r="AP485" s="18"/>
      <c r="AQ485" s="18">
        <f ca="1">IFERROR(OFFSET(ITEM_RES!$A$1,MATCH(AR485,ITEM_RES!$J:$J,0)-1,0),0)</f>
        <v>211020801</v>
      </c>
      <c r="AR485" s="17" t="s">
        <v>427</v>
      </c>
      <c r="AS485" s="18">
        <v>5</v>
      </c>
      <c r="AT485" s="17"/>
      <c r="AU485" s="18"/>
      <c r="AV485" s="18">
        <f ca="1">IFERROR(OFFSET(ITEM_RES!$A$1,MATCH(AW485,ITEM_RES!$J:$J,0)-1,0),0)</f>
        <v>0</v>
      </c>
      <c r="AW485" s="17"/>
      <c r="AX485" s="18"/>
      <c r="AY485" s="17"/>
      <c r="AZ485" s="18"/>
      <c r="BA485" s="18">
        <f ca="1">IFERROR(OFFSET(ITEM_RES!$A$1,MATCH(BB485,ITEM_RES!$J:$J,0)-1,0),0)</f>
        <v>213010101</v>
      </c>
      <c r="BB485" s="17" t="s">
        <v>440</v>
      </c>
      <c r="BC485" s="18">
        <v>1</v>
      </c>
      <c r="BD485" s="17"/>
      <c r="BE485" s="18"/>
      <c r="BF485" s="18">
        <f ca="1">IFERROR(OFFSET(ITEM_RES!$A$1,MATCH(BG485,ITEM_RES!$J:$J,0)-1,0),0)</f>
        <v>213010201</v>
      </c>
      <c r="BG485" s="17" t="s">
        <v>462</v>
      </c>
      <c r="BH485" s="18">
        <v>1</v>
      </c>
      <c r="BI485" s="17"/>
      <c r="BJ485" s="18"/>
      <c r="BK485" s="18">
        <f ca="1">IFERROR(OFFSET(ITEM_RES!$A$1,MATCH(BL485,ITEM_RES!$J:$J,0)-1,0),0)</f>
        <v>0</v>
      </c>
      <c r="BL485" s="17"/>
      <c r="BM485" s="18"/>
      <c r="BN485" s="17"/>
    </row>
    <row r="486" spans="1:66" x14ac:dyDescent="0.3">
      <c r="A486" s="14">
        <f t="shared" si="124"/>
        <v>115020002</v>
      </c>
      <c r="B486" s="13">
        <v>11</v>
      </c>
      <c r="C486" s="12">
        <f t="shared" si="125"/>
        <v>5</v>
      </c>
      <c r="D486" s="13">
        <v>2</v>
      </c>
      <c r="E486" s="13">
        <v>0</v>
      </c>
      <c r="F486" s="12">
        <f t="shared" si="126"/>
        <v>2</v>
      </c>
      <c r="H486" s="9">
        <v>5</v>
      </c>
      <c r="I486" s="9">
        <v>2</v>
      </c>
      <c r="K486" s="9" t="s">
        <v>1000</v>
      </c>
      <c r="M486" s="9">
        <v>1</v>
      </c>
      <c r="N486" s="9">
        <v>15</v>
      </c>
      <c r="O486" s="9" t="s">
        <v>1138</v>
      </c>
      <c r="P486" s="55" t="s">
        <v>1393</v>
      </c>
      <c r="Q486" s="9">
        <v>3333</v>
      </c>
      <c r="T486" s="9">
        <f ca="1">IFERROR(OFFSET(ITEM_RES!$A$5,MATCH(BUILDING!S486,ITEM_RES!$J$5:$J$229,0)-1,0),0)</f>
        <v>0</v>
      </c>
      <c r="W486" s="11">
        <f ca="1">IFERROR(OFFSET(ITEM_RES!$A$5,MATCH(BUILDING!V486,ITEM_RES!$J$5:$J$229,0)-1,0),0)</f>
        <v>0</v>
      </c>
      <c r="Y486" s="9" t="s">
        <v>374</v>
      </c>
      <c r="Z486" s="9">
        <v>2</v>
      </c>
      <c r="AB486" s="11">
        <f ca="1">IFERROR(OFFSET(MANOR_LEVEL!$B$1,MATCH(AC486-1,MANOR_LEVEL!$A:$A,0)-1,0),0)</f>
        <v>800</v>
      </c>
      <c r="AC486" s="55">
        <v>2</v>
      </c>
      <c r="AE486" s="11">
        <f t="shared" ca="1" si="132"/>
        <v>42</v>
      </c>
      <c r="AF486" s="10">
        <f ca="1">AK486+AM486+(IFERROR(OFFSET(ITEM_RES!$R$1,MATCH(AQ486,ITEM_RES!$A:$A,0)-1,0),0)*AS486+IFERROR(OFFSET(ITEM_RES!$R$1,MATCH(AV486,ITEM_RES!$A:$A,0)-1,0),0)*AX486+IFERROR(OFFSET(ITEM_RES!$R$1,MATCH(BA486,ITEM_RES!$A:$A,0)-1,0),0)*BC486+IFERROR(OFFSET(ITEM_RES!$R$1,MATCH(BF486,ITEM_RES!$A:$A,0)-1,0),0)*BH486+IFERROR(OFFSET(ITEM_RES!$R$1,MATCH(BK486,ITEM_RES!$A:$A,0)-1,0),0)*BM486)/1000</f>
        <v>42</v>
      </c>
      <c r="AG486" s="176">
        <f ca="1">AE485+AE486</f>
        <v>2072</v>
      </c>
      <c r="AI486" s="11">
        <f t="shared" si="131"/>
        <v>2</v>
      </c>
      <c r="AJ486" s="10">
        <v>2</v>
      </c>
      <c r="AK486" s="11">
        <f t="shared" si="127"/>
        <v>0</v>
      </c>
      <c r="AL486" s="10">
        <v>0</v>
      </c>
      <c r="AM486" s="11">
        <f t="shared" si="129"/>
        <v>0</v>
      </c>
      <c r="AN486" s="10">
        <v>0</v>
      </c>
      <c r="AO486" s="55">
        <f t="shared" si="133"/>
        <v>1</v>
      </c>
      <c r="AQ486" s="11">
        <f ca="1">IFERROR(OFFSET(ITEM_RES!$A$1,MATCH(AR486,ITEM_RES!$J:$J,0)-1,0),0)</f>
        <v>211020801</v>
      </c>
      <c r="AR486" s="10" t="s">
        <v>427</v>
      </c>
      <c r="AS486" s="11">
        <v>7</v>
      </c>
      <c r="AV486" s="11">
        <f ca="1">IFERROR(OFFSET(ITEM_RES!$A$1,MATCH(AW486,ITEM_RES!$J:$J,0)-1,0),0)</f>
        <v>0</v>
      </c>
      <c r="BA486" s="11">
        <f ca="1">IFERROR(OFFSET(ITEM_RES!$A$1,MATCH(BB486,ITEM_RES!$J:$J,0)-1,0),0)</f>
        <v>0</v>
      </c>
      <c r="BF486" s="11">
        <f ca="1">IFERROR(OFFSET(ITEM_RES!$A$1,MATCH(BG486,ITEM_RES!$J:$J,0)-1,0),0)</f>
        <v>0</v>
      </c>
      <c r="BK486" s="11">
        <f ca="1">IFERROR(OFFSET(ITEM_RES!$A$1,MATCH(BL486,ITEM_RES!$J:$J,0)-1,0),0)</f>
        <v>0</v>
      </c>
    </row>
    <row r="487" spans="1:66" x14ac:dyDescent="0.3">
      <c r="A487" s="14">
        <f t="shared" si="124"/>
        <v>115020003</v>
      </c>
      <c r="B487" s="13">
        <v>11</v>
      </c>
      <c r="C487" s="12">
        <f t="shared" si="125"/>
        <v>5</v>
      </c>
      <c r="D487" s="13">
        <v>2</v>
      </c>
      <c r="E487" s="13">
        <v>0</v>
      </c>
      <c r="F487" s="12">
        <f t="shared" si="126"/>
        <v>3</v>
      </c>
      <c r="H487" s="9">
        <v>5</v>
      </c>
      <c r="I487" s="9">
        <v>3</v>
      </c>
      <c r="K487" s="9" t="s">
        <v>1000</v>
      </c>
      <c r="M487" s="9">
        <v>1</v>
      </c>
      <c r="N487" s="9">
        <v>15</v>
      </c>
      <c r="O487" s="9" t="s">
        <v>1138</v>
      </c>
      <c r="P487" s="55" t="s">
        <v>1393</v>
      </c>
      <c r="Q487" s="9">
        <v>3333</v>
      </c>
      <c r="T487" s="9">
        <f ca="1">IFERROR(OFFSET(ITEM_RES!$A$5,MATCH(BUILDING!S487,ITEM_RES!$J$5:$J$229,0)-1,0),0)</f>
        <v>0</v>
      </c>
      <c r="W487" s="11">
        <f ca="1">IFERROR(OFFSET(ITEM_RES!$A$5,MATCH(BUILDING!V487,ITEM_RES!$J$5:$J$229,0)-1,0),0)</f>
        <v>0</v>
      </c>
      <c r="Y487" s="9" t="s">
        <v>373</v>
      </c>
      <c r="Z487" s="9">
        <v>3</v>
      </c>
      <c r="AB487" s="11">
        <f ca="1">IFERROR(OFFSET(MANOR_LEVEL!$B$1,MATCH(AC487-1,MANOR_LEVEL!$A:$A,0)-1,0),0)</f>
        <v>800</v>
      </c>
      <c r="AC487" s="55">
        <v>2</v>
      </c>
      <c r="AE487" s="11">
        <f t="shared" ca="1" si="132"/>
        <v>90</v>
      </c>
      <c r="AF487" s="10">
        <f ca="1">AK487+AM487+(IFERROR(OFFSET(ITEM_RES!$R$1,MATCH(AQ487,ITEM_RES!$A:$A,0)-1,0),0)*AS487+IFERROR(OFFSET(ITEM_RES!$R$1,MATCH(AV487,ITEM_RES!$A:$A,0)-1,0),0)*AX487+IFERROR(OFFSET(ITEM_RES!$R$1,MATCH(BA487,ITEM_RES!$A:$A,0)-1,0),0)*BC487+IFERROR(OFFSET(ITEM_RES!$R$1,MATCH(BF487,ITEM_RES!$A:$A,0)-1,0),0)*BH487+IFERROR(OFFSET(ITEM_RES!$R$1,MATCH(BK487,ITEM_RES!$A:$A,0)-1,0),0)*BM487)/1000</f>
        <v>90</v>
      </c>
      <c r="AG487" s="176">
        <f t="shared" ref="AG487:AG504" ca="1" si="134">AE486+AE487</f>
        <v>132</v>
      </c>
      <c r="AI487" s="11">
        <f t="shared" si="131"/>
        <v>3</v>
      </c>
      <c r="AJ487" s="10">
        <v>3</v>
      </c>
      <c r="AK487" s="11">
        <f t="shared" si="127"/>
        <v>0</v>
      </c>
      <c r="AL487" s="10">
        <v>0</v>
      </c>
      <c r="AM487" s="11">
        <f t="shared" si="129"/>
        <v>0</v>
      </c>
      <c r="AN487" s="10">
        <v>0</v>
      </c>
      <c r="AO487" s="55">
        <f t="shared" si="133"/>
        <v>1</v>
      </c>
      <c r="AQ487" s="11">
        <f ca="1">IFERROR(OFFSET(ITEM_RES!$A$1,MATCH(AR487,ITEM_RES!$J:$J,0)-1,0),0)</f>
        <v>211020801</v>
      </c>
      <c r="AR487" s="10" t="s">
        <v>427</v>
      </c>
      <c r="AS487" s="11">
        <v>15</v>
      </c>
      <c r="AV487" s="11">
        <f ca="1">IFERROR(OFFSET(ITEM_RES!$A$1,MATCH(AW487,ITEM_RES!$J:$J,0)-1,0),0)</f>
        <v>0</v>
      </c>
      <c r="BA487" s="11">
        <f ca="1">IFERROR(OFFSET(ITEM_RES!$A$1,MATCH(BB487,ITEM_RES!$J:$J,0)-1,0),0)</f>
        <v>0</v>
      </c>
      <c r="BF487" s="11">
        <f ca="1">IFERROR(OFFSET(ITEM_RES!$A$1,MATCH(BG487,ITEM_RES!$J:$J,0)-1,0),0)</f>
        <v>0</v>
      </c>
      <c r="BK487" s="11">
        <f ca="1">IFERROR(OFFSET(ITEM_RES!$A$1,MATCH(BL487,ITEM_RES!$J:$J,0)-1,0),0)</f>
        <v>0</v>
      </c>
    </row>
    <row r="488" spans="1:66" x14ac:dyDescent="0.3">
      <c r="A488" s="14">
        <f t="shared" si="124"/>
        <v>115020004</v>
      </c>
      <c r="B488" s="13">
        <v>11</v>
      </c>
      <c r="C488" s="12">
        <f t="shared" si="125"/>
        <v>5</v>
      </c>
      <c r="D488" s="13">
        <v>2</v>
      </c>
      <c r="E488" s="13">
        <v>0</v>
      </c>
      <c r="F488" s="12">
        <f t="shared" si="126"/>
        <v>4</v>
      </c>
      <c r="H488" s="9">
        <v>5</v>
      </c>
      <c r="I488" s="9">
        <v>4</v>
      </c>
      <c r="K488" s="9" t="s">
        <v>1000</v>
      </c>
      <c r="M488" s="9">
        <v>1</v>
      </c>
      <c r="N488" s="9">
        <v>15</v>
      </c>
      <c r="O488" s="9" t="s">
        <v>1139</v>
      </c>
      <c r="P488" s="55" t="s">
        <v>1394</v>
      </c>
      <c r="Q488" s="9">
        <v>3333</v>
      </c>
      <c r="T488" s="9">
        <f ca="1">IFERROR(OFFSET(ITEM_RES!$A$5,MATCH(BUILDING!S488,ITEM_RES!$J$5:$J$229,0)-1,0),0)</f>
        <v>0</v>
      </c>
      <c r="W488" s="11">
        <f ca="1">IFERROR(OFFSET(ITEM_RES!$A$5,MATCH(BUILDING!V488,ITEM_RES!$J$5:$J$229,0)-1,0),0)</f>
        <v>0</v>
      </c>
      <c r="Y488" s="9" t="s">
        <v>373</v>
      </c>
      <c r="Z488" s="9">
        <v>4</v>
      </c>
      <c r="AB488" s="11">
        <f ca="1">IFERROR(OFFSET(MANOR_LEVEL!$B$1,MATCH(AC488-1,MANOR_LEVEL!$A:$A,0)-1,0),0)</f>
        <v>800</v>
      </c>
      <c r="AC488" s="55">
        <v>2</v>
      </c>
      <c r="AE488" s="11">
        <f t="shared" ca="1" si="132"/>
        <v>120</v>
      </c>
      <c r="AF488" s="10">
        <f ca="1">AK488+AM488+(IFERROR(OFFSET(ITEM_RES!$R$1,MATCH(AQ488,ITEM_RES!$A:$A,0)-1,0),0)*AS488+IFERROR(OFFSET(ITEM_RES!$R$1,MATCH(AV488,ITEM_RES!$A:$A,0)-1,0),0)*AX488+IFERROR(OFFSET(ITEM_RES!$R$1,MATCH(BA488,ITEM_RES!$A:$A,0)-1,0),0)*BC488+IFERROR(OFFSET(ITEM_RES!$R$1,MATCH(BF488,ITEM_RES!$A:$A,0)-1,0),0)*BH488+IFERROR(OFFSET(ITEM_RES!$R$1,MATCH(BK488,ITEM_RES!$A:$A,0)-1,0),0)*BM488)/1000</f>
        <v>120</v>
      </c>
      <c r="AG488" s="176">
        <f t="shared" ca="1" si="134"/>
        <v>210</v>
      </c>
      <c r="AI488" s="11">
        <f t="shared" si="131"/>
        <v>5</v>
      </c>
      <c r="AJ488" s="10">
        <v>5</v>
      </c>
      <c r="AK488" s="11">
        <f t="shared" si="127"/>
        <v>0</v>
      </c>
      <c r="AL488" s="10">
        <v>0</v>
      </c>
      <c r="AM488" s="11">
        <f t="shared" si="129"/>
        <v>0</v>
      </c>
      <c r="AN488" s="10">
        <v>0</v>
      </c>
      <c r="AO488" s="55">
        <f t="shared" si="133"/>
        <v>1</v>
      </c>
      <c r="AQ488" s="11">
        <f ca="1">IFERROR(OFFSET(ITEM_RES!$A$1,MATCH(AR488,ITEM_RES!$J:$J,0)-1,0),0)</f>
        <v>211020801</v>
      </c>
      <c r="AR488" s="10" t="s">
        <v>427</v>
      </c>
      <c r="AS488" s="11">
        <v>20</v>
      </c>
      <c r="AV488" s="11">
        <f ca="1">IFERROR(OFFSET(ITEM_RES!$A$1,MATCH(AW488,ITEM_RES!$J:$J,0)-1,0),0)</f>
        <v>0</v>
      </c>
      <c r="BA488" s="11">
        <f ca="1">IFERROR(OFFSET(ITEM_RES!$A$1,MATCH(BB488,ITEM_RES!$J:$J,0)-1,0),0)</f>
        <v>0</v>
      </c>
      <c r="BF488" s="11">
        <f ca="1">IFERROR(OFFSET(ITEM_RES!$A$1,MATCH(BG488,ITEM_RES!$J:$J,0)-1,0),0)</f>
        <v>0</v>
      </c>
      <c r="BK488" s="11">
        <f ca="1">IFERROR(OFFSET(ITEM_RES!$A$1,MATCH(BL488,ITEM_RES!$J:$J,0)-1,0),0)</f>
        <v>0</v>
      </c>
    </row>
    <row r="489" spans="1:66" x14ac:dyDescent="0.3">
      <c r="A489" s="14">
        <f t="shared" si="124"/>
        <v>115020005</v>
      </c>
      <c r="B489" s="13">
        <v>11</v>
      </c>
      <c r="C489" s="12">
        <f t="shared" si="125"/>
        <v>5</v>
      </c>
      <c r="D489" s="13">
        <v>2</v>
      </c>
      <c r="E489" s="13">
        <v>0</v>
      </c>
      <c r="F489" s="12">
        <f t="shared" si="126"/>
        <v>5</v>
      </c>
      <c r="H489" s="9">
        <v>5</v>
      </c>
      <c r="I489" s="9">
        <v>5</v>
      </c>
      <c r="K489" s="9" t="s">
        <v>1000</v>
      </c>
      <c r="M489" s="9">
        <v>1</v>
      </c>
      <c r="N489" s="9">
        <v>15</v>
      </c>
      <c r="O489" s="9" t="s">
        <v>1139</v>
      </c>
      <c r="P489" s="55" t="s">
        <v>1394</v>
      </c>
      <c r="Q489" s="9">
        <v>3333</v>
      </c>
      <c r="T489" s="9">
        <f ca="1">IFERROR(OFFSET(ITEM_RES!$A$5,MATCH(BUILDING!S489,ITEM_RES!$J$5:$J$229,0)-1,0),0)</f>
        <v>0</v>
      </c>
      <c r="W489" s="11">
        <f ca="1">IFERROR(OFFSET(ITEM_RES!$A$5,MATCH(BUILDING!V489,ITEM_RES!$J$5:$J$229,0)-1,0),0)</f>
        <v>0</v>
      </c>
      <c r="Y489" s="9" t="s">
        <v>373</v>
      </c>
      <c r="Z489" s="9">
        <v>5</v>
      </c>
      <c r="AB489" s="11">
        <f ca="1">IFERROR(OFFSET(MANOR_LEVEL!$B$1,MATCH(AC489-1,MANOR_LEVEL!$A:$A,0)-1,0),0)</f>
        <v>800</v>
      </c>
      <c r="AC489" s="55">
        <v>2</v>
      </c>
      <c r="AE489" s="11">
        <f t="shared" ca="1" si="132"/>
        <v>180</v>
      </c>
      <c r="AF489" s="10">
        <f ca="1">AK489+AM489+(IFERROR(OFFSET(ITEM_RES!$R$1,MATCH(AQ489,ITEM_RES!$A:$A,0)-1,0),0)*AS489+IFERROR(OFFSET(ITEM_RES!$R$1,MATCH(AV489,ITEM_RES!$A:$A,0)-1,0),0)*AX489+IFERROR(OFFSET(ITEM_RES!$R$1,MATCH(BA489,ITEM_RES!$A:$A,0)-1,0),0)*BC489+IFERROR(OFFSET(ITEM_RES!$R$1,MATCH(BF489,ITEM_RES!$A:$A,0)-1,0),0)*BH489+IFERROR(OFFSET(ITEM_RES!$R$1,MATCH(BK489,ITEM_RES!$A:$A,0)-1,0),0)*BM489)/1000</f>
        <v>180</v>
      </c>
      <c r="AG489" s="176">
        <f t="shared" ca="1" si="134"/>
        <v>300</v>
      </c>
      <c r="AI489" s="11">
        <f t="shared" si="131"/>
        <v>8</v>
      </c>
      <c r="AJ489" s="10">
        <v>8</v>
      </c>
      <c r="AK489" s="11">
        <f t="shared" si="127"/>
        <v>0</v>
      </c>
      <c r="AL489" s="10">
        <v>0</v>
      </c>
      <c r="AM489" s="11">
        <f t="shared" si="129"/>
        <v>0</v>
      </c>
      <c r="AN489" s="10">
        <v>0</v>
      </c>
      <c r="AO489" s="55">
        <f t="shared" si="133"/>
        <v>1</v>
      </c>
      <c r="AQ489" s="11">
        <f ca="1">IFERROR(OFFSET(ITEM_RES!$A$1,MATCH(AR489,ITEM_RES!$J:$J,0)-1,0),0)</f>
        <v>211020801</v>
      </c>
      <c r="AR489" s="10" t="s">
        <v>427</v>
      </c>
      <c r="AS489" s="11">
        <v>30</v>
      </c>
      <c r="AV489" s="11">
        <f ca="1">IFERROR(OFFSET(ITEM_RES!$A$1,MATCH(AW489,ITEM_RES!$J:$J,0)-1,0),0)</f>
        <v>0</v>
      </c>
      <c r="BA489" s="11">
        <f ca="1">IFERROR(OFFSET(ITEM_RES!$A$1,MATCH(BB489,ITEM_RES!$J:$J,0)-1,0),0)</f>
        <v>0</v>
      </c>
      <c r="BF489" s="11">
        <f ca="1">IFERROR(OFFSET(ITEM_RES!$A$1,MATCH(BG489,ITEM_RES!$J:$J,0)-1,0),0)</f>
        <v>0</v>
      </c>
      <c r="BK489" s="11">
        <f ca="1">IFERROR(OFFSET(ITEM_RES!$A$1,MATCH(BL489,ITEM_RES!$J:$J,0)-1,0),0)</f>
        <v>0</v>
      </c>
    </row>
    <row r="490" spans="1:66" x14ac:dyDescent="0.3">
      <c r="A490" s="14">
        <f t="shared" si="124"/>
        <v>115020006</v>
      </c>
      <c r="B490" s="13">
        <v>11</v>
      </c>
      <c r="C490" s="12">
        <f t="shared" si="125"/>
        <v>5</v>
      </c>
      <c r="D490" s="13">
        <v>2</v>
      </c>
      <c r="E490" s="13">
        <v>0</v>
      </c>
      <c r="F490" s="12">
        <f t="shared" si="126"/>
        <v>6</v>
      </c>
      <c r="H490" s="9">
        <v>5</v>
      </c>
      <c r="I490" s="9">
        <v>6</v>
      </c>
      <c r="K490" s="9" t="s">
        <v>1000</v>
      </c>
      <c r="M490" s="9">
        <v>1</v>
      </c>
      <c r="N490" s="9">
        <v>15</v>
      </c>
      <c r="O490" s="9" t="s">
        <v>1139</v>
      </c>
      <c r="P490" s="55" t="s">
        <v>1394</v>
      </c>
      <c r="Q490" s="9">
        <v>3333</v>
      </c>
      <c r="T490" s="9">
        <f ca="1">IFERROR(OFFSET(ITEM_RES!$A$5,MATCH(BUILDING!S490,ITEM_RES!$J$5:$J$229,0)-1,0),0)</f>
        <v>0</v>
      </c>
      <c r="W490" s="11">
        <f ca="1">IFERROR(OFFSET(ITEM_RES!$A$5,MATCH(BUILDING!V490,ITEM_RES!$J$5:$J$229,0)-1,0),0)</f>
        <v>0</v>
      </c>
      <c r="Y490" s="9" t="s">
        <v>373</v>
      </c>
      <c r="Z490" s="9">
        <v>6</v>
      </c>
      <c r="AB490" s="11">
        <f ca="1">IFERROR(OFFSET(MANOR_LEVEL!$B$1,MATCH(AC490-1,MANOR_LEVEL!$A:$A,0)-1,0),0)</f>
        <v>2300</v>
      </c>
      <c r="AC490" s="55">
        <v>3</v>
      </c>
      <c r="AE490" s="11">
        <f t="shared" ca="1" si="132"/>
        <v>270</v>
      </c>
      <c r="AF490" s="10">
        <f ca="1">AK490+AM490+(IFERROR(OFFSET(ITEM_RES!$R$1,MATCH(AQ490,ITEM_RES!$A:$A,0)-1,0),0)*AS490+IFERROR(OFFSET(ITEM_RES!$R$1,MATCH(AV490,ITEM_RES!$A:$A,0)-1,0),0)*AX490+IFERROR(OFFSET(ITEM_RES!$R$1,MATCH(BA490,ITEM_RES!$A:$A,0)-1,0),0)*BC490+IFERROR(OFFSET(ITEM_RES!$R$1,MATCH(BF490,ITEM_RES!$A:$A,0)-1,0),0)*BH490+IFERROR(OFFSET(ITEM_RES!$R$1,MATCH(BK490,ITEM_RES!$A:$A,0)-1,0),0)*BM490)/1000</f>
        <v>270</v>
      </c>
      <c r="AG490" s="176">
        <f t="shared" ca="1" si="134"/>
        <v>450</v>
      </c>
      <c r="AI490" s="11">
        <f t="shared" si="131"/>
        <v>10</v>
      </c>
      <c r="AJ490" s="10">
        <v>10</v>
      </c>
      <c r="AK490" s="11">
        <f t="shared" si="127"/>
        <v>0</v>
      </c>
      <c r="AL490" s="10">
        <v>0</v>
      </c>
      <c r="AM490" s="11">
        <f t="shared" si="129"/>
        <v>0</v>
      </c>
      <c r="AN490" s="10">
        <v>0</v>
      </c>
      <c r="AO490" s="55">
        <f t="shared" si="133"/>
        <v>1</v>
      </c>
      <c r="AQ490" s="11">
        <f ca="1">IFERROR(OFFSET(ITEM_RES!$A$1,MATCH(AR490,ITEM_RES!$J:$J,0)-1,0),0)</f>
        <v>211020801</v>
      </c>
      <c r="AR490" s="10" t="s">
        <v>427</v>
      </c>
      <c r="AS490" s="11">
        <v>45</v>
      </c>
      <c r="AV490" s="11">
        <f ca="1">IFERROR(OFFSET(ITEM_RES!$A$1,MATCH(AW490,ITEM_RES!$J:$J,0)-1,0),0)</f>
        <v>0</v>
      </c>
      <c r="BA490" s="11">
        <f ca="1">IFERROR(OFFSET(ITEM_RES!$A$1,MATCH(BB490,ITEM_RES!$J:$J,0)-1,0),0)</f>
        <v>0</v>
      </c>
      <c r="BF490" s="11">
        <f ca="1">IFERROR(OFFSET(ITEM_RES!$A$1,MATCH(BG490,ITEM_RES!$J:$J,0)-1,0),0)</f>
        <v>0</v>
      </c>
      <c r="BK490" s="11">
        <f ca="1">IFERROR(OFFSET(ITEM_RES!$A$1,MATCH(BL490,ITEM_RES!$J:$J,0)-1,0),0)</f>
        <v>0</v>
      </c>
    </row>
    <row r="491" spans="1:66" x14ac:dyDescent="0.3">
      <c r="A491" s="14">
        <f t="shared" si="124"/>
        <v>115020007</v>
      </c>
      <c r="B491" s="13">
        <v>11</v>
      </c>
      <c r="C491" s="12">
        <f t="shared" si="125"/>
        <v>5</v>
      </c>
      <c r="D491" s="13">
        <v>2</v>
      </c>
      <c r="E491" s="13">
        <v>0</v>
      </c>
      <c r="F491" s="12">
        <f t="shared" si="126"/>
        <v>7</v>
      </c>
      <c r="H491" s="9">
        <v>5</v>
      </c>
      <c r="I491" s="9">
        <v>7</v>
      </c>
      <c r="K491" s="9" t="s">
        <v>1000</v>
      </c>
      <c r="M491" s="9">
        <v>1</v>
      </c>
      <c r="N491" s="9">
        <v>15</v>
      </c>
      <c r="O491" s="9" t="s">
        <v>1140</v>
      </c>
      <c r="P491" s="55" t="s">
        <v>1395</v>
      </c>
      <c r="Q491" s="9">
        <v>3333</v>
      </c>
      <c r="T491" s="9">
        <f ca="1">IFERROR(OFFSET(ITEM_RES!$A$5,MATCH(BUILDING!S491,ITEM_RES!$J$5:$J$229,0)-1,0),0)</f>
        <v>0</v>
      </c>
      <c r="W491" s="11">
        <f ca="1">IFERROR(OFFSET(ITEM_RES!$A$5,MATCH(BUILDING!V491,ITEM_RES!$J$5:$J$229,0)-1,0),0)</f>
        <v>0</v>
      </c>
      <c r="Y491" s="9" t="s">
        <v>373</v>
      </c>
      <c r="Z491" s="9">
        <v>7</v>
      </c>
      <c r="AB491" s="11">
        <f ca="1">IFERROR(OFFSET(MANOR_LEVEL!$B$1,MATCH(AC491-1,MANOR_LEVEL!$A:$A,0)-1,0),0)</f>
        <v>7000</v>
      </c>
      <c r="AC491" s="55">
        <v>4</v>
      </c>
      <c r="AE491" s="11">
        <f t="shared" ca="1" si="132"/>
        <v>1080</v>
      </c>
      <c r="AF491" s="10">
        <f ca="1">AK491+AM491+(IFERROR(OFFSET(ITEM_RES!$R$1,MATCH(AQ491,ITEM_RES!$A:$A,0)-1,0),0)*AS491+IFERROR(OFFSET(ITEM_RES!$R$1,MATCH(AV491,ITEM_RES!$A:$A,0)-1,0),0)*AX491+IFERROR(OFFSET(ITEM_RES!$R$1,MATCH(BA491,ITEM_RES!$A:$A,0)-1,0),0)*BC491+IFERROR(OFFSET(ITEM_RES!$R$1,MATCH(BF491,ITEM_RES!$A:$A,0)-1,0),0)*BH491+IFERROR(OFFSET(ITEM_RES!$R$1,MATCH(BK491,ITEM_RES!$A:$A,0)-1,0),0)*BM491)/1000</f>
        <v>1080</v>
      </c>
      <c r="AG491" s="176">
        <f t="shared" ca="1" si="134"/>
        <v>1350</v>
      </c>
      <c r="AI491" s="11">
        <f t="shared" si="131"/>
        <v>15</v>
      </c>
      <c r="AJ491" s="10">
        <v>15</v>
      </c>
      <c r="AK491" s="11">
        <f t="shared" si="127"/>
        <v>0</v>
      </c>
      <c r="AL491" s="10">
        <v>0</v>
      </c>
      <c r="AM491" s="11">
        <f t="shared" si="129"/>
        <v>0</v>
      </c>
      <c r="AN491" s="10">
        <v>0</v>
      </c>
      <c r="AO491" s="55">
        <f t="shared" si="133"/>
        <v>1</v>
      </c>
      <c r="AQ491" s="11">
        <f ca="1">IFERROR(OFFSET(ITEM_RES!$A$1,MATCH(AR491,ITEM_RES!$J:$J,0)-1,0),0)</f>
        <v>211020801</v>
      </c>
      <c r="AR491" s="10" t="s">
        <v>427</v>
      </c>
      <c r="AS491" s="11">
        <v>180</v>
      </c>
      <c r="AV491" s="11">
        <f ca="1">IFERROR(OFFSET(ITEM_RES!$A$1,MATCH(AW491,ITEM_RES!$J:$J,0)-1,0),0)</f>
        <v>0</v>
      </c>
      <c r="BA491" s="11">
        <f ca="1">IFERROR(OFFSET(ITEM_RES!$A$1,MATCH(BB491,ITEM_RES!$J:$J,0)-1,0),0)</f>
        <v>0</v>
      </c>
      <c r="BF491" s="11">
        <f ca="1">IFERROR(OFFSET(ITEM_RES!$A$1,MATCH(BG491,ITEM_RES!$J:$J,0)-1,0),0)</f>
        <v>0</v>
      </c>
      <c r="BK491" s="11">
        <f ca="1">IFERROR(OFFSET(ITEM_RES!$A$1,MATCH(BL491,ITEM_RES!$J:$J,0)-1,0),0)</f>
        <v>0</v>
      </c>
    </row>
    <row r="492" spans="1:66" x14ac:dyDescent="0.3">
      <c r="A492" s="14">
        <f t="shared" si="124"/>
        <v>115020008</v>
      </c>
      <c r="B492" s="13">
        <v>11</v>
      </c>
      <c r="C492" s="12">
        <f t="shared" si="125"/>
        <v>5</v>
      </c>
      <c r="D492" s="13">
        <v>2</v>
      </c>
      <c r="E492" s="13">
        <v>0</v>
      </c>
      <c r="F492" s="12">
        <f t="shared" si="126"/>
        <v>8</v>
      </c>
      <c r="H492" s="9">
        <v>5</v>
      </c>
      <c r="I492" s="9">
        <v>8</v>
      </c>
      <c r="K492" s="9" t="s">
        <v>1000</v>
      </c>
      <c r="M492" s="9">
        <v>1</v>
      </c>
      <c r="N492" s="9">
        <v>15</v>
      </c>
      <c r="O492" s="9" t="s">
        <v>1140</v>
      </c>
      <c r="P492" s="55" t="s">
        <v>1395</v>
      </c>
      <c r="Q492" s="9">
        <v>3333</v>
      </c>
      <c r="T492" s="9">
        <f ca="1">IFERROR(OFFSET(ITEM_RES!$A$5,MATCH(BUILDING!S492,ITEM_RES!$J$5:$J$229,0)-1,0),0)</f>
        <v>0</v>
      </c>
      <c r="W492" s="11">
        <f ca="1">IFERROR(OFFSET(ITEM_RES!$A$5,MATCH(BUILDING!V492,ITEM_RES!$J$5:$J$229,0)-1,0),0)</f>
        <v>0</v>
      </c>
      <c r="Y492" s="9" t="s">
        <v>373</v>
      </c>
      <c r="Z492" s="9">
        <v>8</v>
      </c>
      <c r="AB492" s="11">
        <f ca="1">IFERROR(OFFSET(MANOR_LEVEL!$B$1,MATCH(AC492-1,MANOR_LEVEL!$A:$A,0)-1,0),0)</f>
        <v>11000</v>
      </c>
      <c r="AC492" s="55">
        <v>5</v>
      </c>
      <c r="AE492" s="11">
        <f t="shared" ca="1" si="132"/>
        <v>4860</v>
      </c>
      <c r="AF492" s="10">
        <f ca="1">AK492+AM492+(IFERROR(OFFSET(ITEM_RES!$R$1,MATCH(AQ492,ITEM_RES!$A:$A,0)-1,0),0)*AS492+IFERROR(OFFSET(ITEM_RES!$R$1,MATCH(AV492,ITEM_RES!$A:$A,0)-1,0),0)*AX492+IFERROR(OFFSET(ITEM_RES!$R$1,MATCH(BA492,ITEM_RES!$A:$A,0)-1,0),0)*BC492+IFERROR(OFFSET(ITEM_RES!$R$1,MATCH(BF492,ITEM_RES!$A:$A,0)-1,0),0)*BH492+IFERROR(OFFSET(ITEM_RES!$R$1,MATCH(BK492,ITEM_RES!$A:$A,0)-1,0),0)*BM492)/1000</f>
        <v>4860</v>
      </c>
      <c r="AG492" s="176">
        <f t="shared" ca="1" si="134"/>
        <v>5940</v>
      </c>
      <c r="AI492" s="11">
        <f t="shared" si="131"/>
        <v>30</v>
      </c>
      <c r="AJ492" s="10">
        <v>30</v>
      </c>
      <c r="AK492" s="11">
        <f t="shared" si="127"/>
        <v>0</v>
      </c>
      <c r="AL492" s="10">
        <v>0</v>
      </c>
      <c r="AM492" s="11">
        <f t="shared" si="129"/>
        <v>0</v>
      </c>
      <c r="AN492" s="10">
        <v>0</v>
      </c>
      <c r="AO492" s="55">
        <f t="shared" si="133"/>
        <v>1</v>
      </c>
      <c r="AQ492" s="11">
        <f ca="1">IFERROR(OFFSET(ITEM_RES!$A$1,MATCH(AR492,ITEM_RES!$J:$J,0)-1,0),0)</f>
        <v>211020801</v>
      </c>
      <c r="AR492" s="10" t="s">
        <v>427</v>
      </c>
      <c r="AS492" s="11">
        <v>810</v>
      </c>
      <c r="AV492" s="11">
        <f ca="1">IFERROR(OFFSET(ITEM_RES!$A$1,MATCH(AW492,ITEM_RES!$J:$J,0)-1,0),0)</f>
        <v>0</v>
      </c>
      <c r="BA492" s="11">
        <f ca="1">IFERROR(OFFSET(ITEM_RES!$A$1,MATCH(BB492,ITEM_RES!$J:$J,0)-1,0),0)</f>
        <v>0</v>
      </c>
      <c r="BF492" s="11">
        <f ca="1">IFERROR(OFFSET(ITEM_RES!$A$1,MATCH(BG492,ITEM_RES!$J:$J,0)-1,0),0)</f>
        <v>0</v>
      </c>
      <c r="BK492" s="11">
        <f ca="1">IFERROR(OFFSET(ITEM_RES!$A$1,MATCH(BL492,ITEM_RES!$J:$J,0)-1,0),0)</f>
        <v>0</v>
      </c>
    </row>
    <row r="493" spans="1:66" x14ac:dyDescent="0.3">
      <c r="A493" s="14">
        <f t="shared" ref="A493:A504" si="135">B493*10000000+C493*1000000+D493*10000+E493*100+F493</f>
        <v>115020009</v>
      </c>
      <c r="B493" s="13">
        <v>11</v>
      </c>
      <c r="C493" s="12">
        <f t="shared" ref="C493:C504" si="136">H493</f>
        <v>5</v>
      </c>
      <c r="D493" s="13">
        <v>2</v>
      </c>
      <c r="E493" s="13">
        <v>0</v>
      </c>
      <c r="F493" s="12">
        <f t="shared" ref="F493:F504" si="137">I493</f>
        <v>9</v>
      </c>
      <c r="H493" s="9">
        <v>5</v>
      </c>
      <c r="I493" s="9">
        <v>9</v>
      </c>
      <c r="K493" s="9" t="s">
        <v>1000</v>
      </c>
      <c r="M493" s="9">
        <v>1</v>
      </c>
      <c r="N493" s="9">
        <v>15</v>
      </c>
      <c r="O493" s="9" t="s">
        <v>1140</v>
      </c>
      <c r="P493" s="55" t="s">
        <v>1395</v>
      </c>
      <c r="Q493" s="9">
        <v>3333</v>
      </c>
      <c r="T493" s="9">
        <f ca="1">IFERROR(OFFSET(ITEM_RES!$A$5,MATCH(BUILDING!S493,ITEM_RES!$J$5:$J$229,0)-1,0),0)</f>
        <v>0</v>
      </c>
      <c r="W493" s="11">
        <f ca="1">IFERROR(OFFSET(ITEM_RES!$A$5,MATCH(BUILDING!V493,ITEM_RES!$J$5:$J$229,0)-1,0),0)</f>
        <v>0</v>
      </c>
      <c r="Y493" s="9" t="s">
        <v>373</v>
      </c>
      <c r="Z493" s="9">
        <v>9</v>
      </c>
      <c r="AB493" s="11">
        <f ca="1">IFERROR(OFFSET(MANOR_LEVEL!$B$1,MATCH(AC493-1,MANOR_LEVEL!$A:$A,0)-1,0),0)</f>
        <v>17000</v>
      </c>
      <c r="AC493" s="55">
        <v>6</v>
      </c>
      <c r="AE493" s="11">
        <f t="shared" ca="1" si="132"/>
        <v>16200</v>
      </c>
      <c r="AF493" s="10">
        <f ca="1">AK493+AM493+(IFERROR(OFFSET(ITEM_RES!$R$1,MATCH(AQ493,ITEM_RES!$A:$A,0)-1,0),0)*AS493+IFERROR(OFFSET(ITEM_RES!$R$1,MATCH(AV493,ITEM_RES!$A:$A,0)-1,0),0)*AX493+IFERROR(OFFSET(ITEM_RES!$R$1,MATCH(BA493,ITEM_RES!$A:$A,0)-1,0),0)*BC493+IFERROR(OFFSET(ITEM_RES!$R$1,MATCH(BF493,ITEM_RES!$A:$A,0)-1,0),0)*BH493+IFERROR(OFFSET(ITEM_RES!$R$1,MATCH(BK493,ITEM_RES!$A:$A,0)-1,0),0)*BM493)/1000</f>
        <v>16200</v>
      </c>
      <c r="AG493" s="176">
        <f t="shared" ca="1" si="134"/>
        <v>21060</v>
      </c>
      <c r="AI493" s="11">
        <f t="shared" si="131"/>
        <v>60</v>
      </c>
      <c r="AJ493" s="10">
        <v>60</v>
      </c>
      <c r="AK493" s="11">
        <f t="shared" si="127"/>
        <v>0</v>
      </c>
      <c r="AL493" s="10">
        <v>0</v>
      </c>
      <c r="AM493" s="11">
        <f t="shared" si="129"/>
        <v>0</v>
      </c>
      <c r="AN493" s="10">
        <v>0</v>
      </c>
      <c r="AO493" s="55">
        <f t="shared" si="133"/>
        <v>1</v>
      </c>
      <c r="AQ493" s="11">
        <f ca="1">IFERROR(OFFSET(ITEM_RES!$A$1,MATCH(AR493,ITEM_RES!$J:$J,0)-1,0),0)</f>
        <v>211020801</v>
      </c>
      <c r="AR493" s="10" t="s">
        <v>427</v>
      </c>
      <c r="AS493" s="11">
        <v>2700</v>
      </c>
      <c r="AV493" s="11">
        <f ca="1">IFERROR(OFFSET(ITEM_RES!$A$1,MATCH(AW493,ITEM_RES!$J:$J,0)-1,0),0)</f>
        <v>0</v>
      </c>
      <c r="BA493" s="11">
        <f ca="1">IFERROR(OFFSET(ITEM_RES!$A$1,MATCH(BB493,ITEM_RES!$J:$J,0)-1,0),0)</f>
        <v>0</v>
      </c>
      <c r="BF493" s="11">
        <f ca="1">IFERROR(OFFSET(ITEM_RES!$A$1,MATCH(BG493,ITEM_RES!$J:$J,0)-1,0),0)</f>
        <v>0</v>
      </c>
      <c r="BK493" s="11">
        <f ca="1">IFERROR(OFFSET(ITEM_RES!$A$1,MATCH(BL493,ITEM_RES!$J:$J,0)-1,0),0)</f>
        <v>0</v>
      </c>
    </row>
    <row r="494" spans="1:66" x14ac:dyDescent="0.3">
      <c r="A494" s="14">
        <f t="shared" si="135"/>
        <v>115020010</v>
      </c>
      <c r="B494" s="13">
        <v>11</v>
      </c>
      <c r="C494" s="12">
        <f t="shared" si="136"/>
        <v>5</v>
      </c>
      <c r="D494" s="13">
        <v>2</v>
      </c>
      <c r="E494" s="13">
        <v>0</v>
      </c>
      <c r="F494" s="12">
        <f t="shared" si="137"/>
        <v>10</v>
      </c>
      <c r="H494" s="9">
        <v>5</v>
      </c>
      <c r="I494" s="9">
        <v>10</v>
      </c>
      <c r="K494" s="9" t="s">
        <v>1000</v>
      </c>
      <c r="M494" s="9">
        <v>1</v>
      </c>
      <c r="N494" s="9">
        <v>15</v>
      </c>
      <c r="O494" s="9" t="s">
        <v>1140</v>
      </c>
      <c r="P494" s="55" t="s">
        <v>1395</v>
      </c>
      <c r="Q494" s="9">
        <v>3333</v>
      </c>
      <c r="T494" s="9">
        <f ca="1">IFERROR(OFFSET(ITEM_RES!$A$5,MATCH(BUILDING!S494,ITEM_RES!$J$5:$J$229,0)-1,0),0)</f>
        <v>0</v>
      </c>
      <c r="W494" s="11">
        <f ca="1">IFERROR(OFFSET(ITEM_RES!$A$5,MATCH(BUILDING!V494,ITEM_RES!$J$5:$J$229,0)-1,0),0)</f>
        <v>0</v>
      </c>
      <c r="Y494" s="9" t="s">
        <v>373</v>
      </c>
      <c r="Z494" s="9">
        <v>10</v>
      </c>
      <c r="AB494" s="11">
        <f ca="1">IFERROR(OFFSET(MANOR_LEVEL!$B$1,MATCH(AC494-1,MANOR_LEVEL!$A:$A,0)-1,0),0)</f>
        <v>40000</v>
      </c>
      <c r="AC494" s="55">
        <v>7</v>
      </c>
      <c r="AE494" s="11">
        <f t="shared" ca="1" si="132"/>
        <v>41000</v>
      </c>
      <c r="AF494" s="10">
        <f ca="1">AK494+AM494+(IFERROR(OFFSET(ITEM_RES!$R$1,MATCH(AQ494,ITEM_RES!$A:$A,0)-1,0),0)*AS494+IFERROR(OFFSET(ITEM_RES!$R$1,MATCH(AV494,ITEM_RES!$A:$A,0)-1,0),0)*AX494+IFERROR(OFFSET(ITEM_RES!$R$1,MATCH(BA494,ITEM_RES!$A:$A,0)-1,0),0)*BC494+IFERROR(OFFSET(ITEM_RES!$R$1,MATCH(BF494,ITEM_RES!$A:$A,0)-1,0),0)*BH494+IFERROR(OFFSET(ITEM_RES!$R$1,MATCH(BK494,ITEM_RES!$A:$A,0)-1,0),0)*BM494)/1000</f>
        <v>41000</v>
      </c>
      <c r="AG494" s="176">
        <f t="shared" ca="1" si="134"/>
        <v>57200</v>
      </c>
      <c r="AI494" s="11">
        <f t="shared" si="131"/>
        <v>180</v>
      </c>
      <c r="AJ494" s="10">
        <v>180</v>
      </c>
      <c r="AK494" s="11">
        <f t="shared" ref="AK494:AK504" si="138">ROUND(AL494,0)</f>
        <v>0</v>
      </c>
      <c r="AL494" s="10">
        <v>0</v>
      </c>
      <c r="AM494" s="11">
        <f t="shared" si="129"/>
        <v>0</v>
      </c>
      <c r="AN494" s="10">
        <v>0</v>
      </c>
      <c r="AO494" s="55">
        <f t="shared" si="133"/>
        <v>2</v>
      </c>
      <c r="AQ494" s="11">
        <f ca="1">IFERROR(OFFSET(ITEM_RES!$A$1,MATCH(AR494,ITEM_RES!$J:$J,0)-1,0),0)</f>
        <v>211020801</v>
      </c>
      <c r="AR494" s="10" t="s">
        <v>427</v>
      </c>
      <c r="AS494" s="11">
        <v>6000</v>
      </c>
      <c r="AV494" s="11">
        <f ca="1">IFERROR(OFFSET(ITEM_RES!$A$1,MATCH(AW494,ITEM_RES!$J:$J,0)-1,0),0)</f>
        <v>0</v>
      </c>
      <c r="BA494" s="11">
        <f ca="1">IFERROR(OFFSET(ITEM_RES!$A$1,MATCH(BB494,ITEM_RES!$J:$J,0)-1,0),0)</f>
        <v>0</v>
      </c>
      <c r="BF494" s="11">
        <f ca="1">IFERROR(OFFSET(ITEM_RES!$A$1,MATCH(BG494,ITEM_RES!$J:$J,0)-1,0),0)</f>
        <v>213011601</v>
      </c>
      <c r="BG494" s="10" t="s">
        <v>468</v>
      </c>
      <c r="BH494" s="11">
        <v>1</v>
      </c>
      <c r="BK494" s="11">
        <f ca="1">IFERROR(OFFSET(ITEM_RES!$A$1,MATCH(BL494,ITEM_RES!$J:$J,0)-1,0),0)</f>
        <v>0</v>
      </c>
    </row>
    <row r="495" spans="1:66" x14ac:dyDescent="0.3">
      <c r="A495" s="14">
        <f t="shared" si="135"/>
        <v>115020011</v>
      </c>
      <c r="B495" s="13">
        <v>11</v>
      </c>
      <c r="C495" s="12">
        <f t="shared" si="136"/>
        <v>5</v>
      </c>
      <c r="D495" s="13">
        <v>2</v>
      </c>
      <c r="E495" s="13">
        <v>0</v>
      </c>
      <c r="F495" s="12">
        <f t="shared" si="137"/>
        <v>11</v>
      </c>
      <c r="H495" s="9">
        <v>5</v>
      </c>
      <c r="I495" s="9">
        <v>11</v>
      </c>
      <c r="K495" s="9" t="s">
        <v>1000</v>
      </c>
      <c r="M495" s="9">
        <v>1</v>
      </c>
      <c r="N495" s="9">
        <v>15</v>
      </c>
      <c r="O495" s="9" t="s">
        <v>1141</v>
      </c>
      <c r="P495" s="55" t="s">
        <v>1396</v>
      </c>
      <c r="Q495" s="9">
        <v>3333</v>
      </c>
      <c r="T495" s="9">
        <f ca="1">IFERROR(OFFSET(ITEM_RES!$A$5,MATCH(BUILDING!S495,ITEM_RES!$J$5:$J$229,0)-1,0),0)</f>
        <v>0</v>
      </c>
      <c r="W495" s="11">
        <f ca="1">IFERROR(OFFSET(ITEM_RES!$A$5,MATCH(BUILDING!V495,ITEM_RES!$J$5:$J$229,0)-1,0),0)</f>
        <v>0</v>
      </c>
      <c r="Y495" s="9" t="s">
        <v>373</v>
      </c>
      <c r="Z495" s="9">
        <v>11</v>
      </c>
      <c r="AB495" s="11">
        <f ca="1">IFERROR(OFFSET(MANOR_LEVEL!$B$1,MATCH(AC495-1,MANOR_LEVEL!$A:$A,0)-1,0),0)</f>
        <v>100000</v>
      </c>
      <c r="AC495" s="55">
        <v>8</v>
      </c>
      <c r="AE495" s="11">
        <f t="shared" ca="1" si="132"/>
        <v>75600</v>
      </c>
      <c r="AF495" s="10">
        <f ca="1">AK495+AM495+(IFERROR(OFFSET(ITEM_RES!$R$1,MATCH(AQ495,ITEM_RES!$A:$A,0)-1,0),0)*AS495+IFERROR(OFFSET(ITEM_RES!$R$1,MATCH(AV495,ITEM_RES!$A:$A,0)-1,0),0)*AX495+IFERROR(OFFSET(ITEM_RES!$R$1,MATCH(BA495,ITEM_RES!$A:$A,0)-1,0),0)*BC495+IFERROR(OFFSET(ITEM_RES!$R$1,MATCH(BF495,ITEM_RES!$A:$A,0)-1,0),0)*BH495+IFERROR(OFFSET(ITEM_RES!$R$1,MATCH(BK495,ITEM_RES!$A:$A,0)-1,0),0)*BM495)/1000</f>
        <v>75600</v>
      </c>
      <c r="AG495" s="176">
        <f t="shared" ca="1" si="134"/>
        <v>116600</v>
      </c>
      <c r="AI495" s="11">
        <f t="shared" si="131"/>
        <v>360</v>
      </c>
      <c r="AJ495" s="10">
        <v>360</v>
      </c>
      <c r="AK495" s="11">
        <f t="shared" si="138"/>
        <v>0</v>
      </c>
      <c r="AL495" s="10">
        <v>0</v>
      </c>
      <c r="AM495" s="11">
        <f t="shared" si="129"/>
        <v>0</v>
      </c>
      <c r="AN495" s="10">
        <v>0</v>
      </c>
      <c r="AO495" s="55">
        <f t="shared" si="133"/>
        <v>1</v>
      </c>
      <c r="AQ495" s="11">
        <f ca="1">IFERROR(OFFSET(ITEM_RES!$A$1,MATCH(AR495,ITEM_RES!$J:$J,0)-1,0),0)</f>
        <v>211020801</v>
      </c>
      <c r="AR495" s="10" t="s">
        <v>427</v>
      </c>
      <c r="AS495" s="11">
        <v>12600</v>
      </c>
      <c r="AV495" s="11">
        <f ca="1">IFERROR(OFFSET(ITEM_RES!$A$1,MATCH(AW495,ITEM_RES!$J:$J,0)-1,0),0)</f>
        <v>0</v>
      </c>
      <c r="BA495" s="11">
        <f ca="1">IFERROR(OFFSET(ITEM_RES!$A$1,MATCH(BB495,ITEM_RES!$J:$J,0)-1,0),0)</f>
        <v>0</v>
      </c>
      <c r="BF495" s="11">
        <f ca="1">IFERROR(OFFSET(ITEM_RES!$A$1,MATCH(BG495,ITEM_RES!$J:$J,0)-1,0),0)</f>
        <v>0</v>
      </c>
      <c r="BK495" s="11">
        <f ca="1">IFERROR(OFFSET(ITEM_RES!$A$1,MATCH(BL495,ITEM_RES!$J:$J,0)-1,0),0)</f>
        <v>0</v>
      </c>
    </row>
    <row r="496" spans="1:66" x14ac:dyDescent="0.3">
      <c r="A496" s="14">
        <f t="shared" si="135"/>
        <v>115020012</v>
      </c>
      <c r="B496" s="13">
        <v>11</v>
      </c>
      <c r="C496" s="12">
        <f t="shared" si="136"/>
        <v>5</v>
      </c>
      <c r="D496" s="13">
        <v>2</v>
      </c>
      <c r="E496" s="13">
        <v>0</v>
      </c>
      <c r="F496" s="12">
        <f t="shared" si="137"/>
        <v>12</v>
      </c>
      <c r="H496" s="9">
        <v>5</v>
      </c>
      <c r="I496" s="9">
        <v>12</v>
      </c>
      <c r="K496" s="9" t="s">
        <v>1000</v>
      </c>
      <c r="M496" s="9">
        <v>1</v>
      </c>
      <c r="N496" s="9">
        <v>15</v>
      </c>
      <c r="O496" s="9" t="s">
        <v>1141</v>
      </c>
      <c r="P496" s="55" t="s">
        <v>1396</v>
      </c>
      <c r="Q496" s="9">
        <v>3333</v>
      </c>
      <c r="T496" s="9">
        <f ca="1">IFERROR(OFFSET(ITEM_RES!$A$5,MATCH(BUILDING!S496,ITEM_RES!$J$5:$J$229,0)-1,0),0)</f>
        <v>0</v>
      </c>
      <c r="W496" s="11">
        <f ca="1">IFERROR(OFFSET(ITEM_RES!$A$5,MATCH(BUILDING!V496,ITEM_RES!$J$5:$J$229,0)-1,0),0)</f>
        <v>0</v>
      </c>
      <c r="Y496" s="9" t="s">
        <v>373</v>
      </c>
      <c r="Z496" s="9">
        <v>12</v>
      </c>
      <c r="AB496" s="11">
        <f ca="1">IFERROR(OFFSET(MANOR_LEVEL!$B$1,MATCH(AC496-1,MANOR_LEVEL!$A:$A,0)-1,0),0)</f>
        <v>300000</v>
      </c>
      <c r="AC496" s="55">
        <v>9</v>
      </c>
      <c r="AE496" s="11">
        <f t="shared" ca="1" si="132"/>
        <v>140400</v>
      </c>
      <c r="AF496" s="10">
        <f ca="1">AK496+AM496+(IFERROR(OFFSET(ITEM_RES!$R$1,MATCH(AQ496,ITEM_RES!$A:$A,0)-1,0),0)*AS496+IFERROR(OFFSET(ITEM_RES!$R$1,MATCH(AV496,ITEM_RES!$A:$A,0)-1,0),0)*AX496+IFERROR(OFFSET(ITEM_RES!$R$1,MATCH(BA496,ITEM_RES!$A:$A,0)-1,0),0)*BC496+IFERROR(OFFSET(ITEM_RES!$R$1,MATCH(BF496,ITEM_RES!$A:$A,0)-1,0),0)*BH496+IFERROR(OFFSET(ITEM_RES!$R$1,MATCH(BK496,ITEM_RES!$A:$A,0)-1,0),0)*BM496)/1000</f>
        <v>140400</v>
      </c>
      <c r="AG496" s="176">
        <f t="shared" ca="1" si="134"/>
        <v>216000</v>
      </c>
      <c r="AI496" s="11">
        <f t="shared" si="131"/>
        <v>540</v>
      </c>
      <c r="AJ496" s="10">
        <v>540</v>
      </c>
      <c r="AK496" s="11">
        <f t="shared" si="138"/>
        <v>0</v>
      </c>
      <c r="AL496" s="10">
        <v>0</v>
      </c>
      <c r="AM496" s="11">
        <f t="shared" si="129"/>
        <v>0</v>
      </c>
      <c r="AN496" s="10">
        <v>0</v>
      </c>
      <c r="AO496" s="55">
        <f t="shared" si="133"/>
        <v>1</v>
      </c>
      <c r="AQ496" s="11">
        <f ca="1">IFERROR(OFFSET(ITEM_RES!$A$1,MATCH(AR496,ITEM_RES!$J:$J,0)-1,0),0)</f>
        <v>211020801</v>
      </c>
      <c r="AR496" s="10" t="s">
        <v>427</v>
      </c>
      <c r="AS496" s="11">
        <v>23400</v>
      </c>
      <c r="AV496" s="11">
        <f ca="1">IFERROR(OFFSET(ITEM_RES!$A$1,MATCH(AW496,ITEM_RES!$J:$J,0)-1,0),0)</f>
        <v>0</v>
      </c>
      <c r="BA496" s="11">
        <f ca="1">IFERROR(OFFSET(ITEM_RES!$A$1,MATCH(BB496,ITEM_RES!$J:$J,0)-1,0),0)</f>
        <v>0</v>
      </c>
      <c r="BF496" s="11">
        <f ca="1">IFERROR(OFFSET(ITEM_RES!$A$1,MATCH(BG496,ITEM_RES!$J:$J,0)-1,0),0)</f>
        <v>0</v>
      </c>
      <c r="BK496" s="11">
        <f ca="1">IFERROR(OFFSET(ITEM_RES!$A$1,MATCH(BL496,ITEM_RES!$J:$J,0)-1,0),0)</f>
        <v>0</v>
      </c>
    </row>
    <row r="497" spans="1:66" x14ac:dyDescent="0.3">
      <c r="A497" s="14">
        <f t="shared" si="135"/>
        <v>115020013</v>
      </c>
      <c r="B497" s="13">
        <v>11</v>
      </c>
      <c r="C497" s="12">
        <f t="shared" si="136"/>
        <v>5</v>
      </c>
      <c r="D497" s="13">
        <v>2</v>
      </c>
      <c r="E497" s="13">
        <v>0</v>
      </c>
      <c r="F497" s="12">
        <f t="shared" si="137"/>
        <v>13</v>
      </c>
      <c r="H497" s="9">
        <v>5</v>
      </c>
      <c r="I497" s="9">
        <v>13</v>
      </c>
      <c r="K497" s="9" t="s">
        <v>1000</v>
      </c>
      <c r="M497" s="9">
        <v>1</v>
      </c>
      <c r="N497" s="9">
        <v>15</v>
      </c>
      <c r="O497" s="9" t="s">
        <v>1141</v>
      </c>
      <c r="P497" s="55" t="s">
        <v>1396</v>
      </c>
      <c r="Q497" s="9">
        <v>3333</v>
      </c>
      <c r="T497" s="9">
        <f ca="1">IFERROR(OFFSET(ITEM_RES!$A$5,MATCH(BUILDING!S497,ITEM_RES!$J$5:$J$229,0)-1,0),0)</f>
        <v>0</v>
      </c>
      <c r="W497" s="11">
        <f ca="1">IFERROR(OFFSET(ITEM_RES!$A$5,MATCH(BUILDING!V497,ITEM_RES!$J$5:$J$229,0)-1,0),0)</f>
        <v>0</v>
      </c>
      <c r="Y497" s="9" t="s">
        <v>373</v>
      </c>
      <c r="Z497" s="9">
        <v>13</v>
      </c>
      <c r="AB497" s="11">
        <f ca="1">IFERROR(OFFSET(MANOR_LEVEL!$B$1,MATCH(AC497-1,MANOR_LEVEL!$A:$A,0)-1,0),0)</f>
        <v>600000</v>
      </c>
      <c r="AC497" s="55">
        <v>10</v>
      </c>
      <c r="AE497" s="11">
        <f t="shared" ca="1" si="132"/>
        <v>234000</v>
      </c>
      <c r="AF497" s="10">
        <f ca="1">AK497+AM497+(IFERROR(OFFSET(ITEM_RES!$R$1,MATCH(AQ497,ITEM_RES!$A:$A,0)-1,0),0)*AS497+IFERROR(OFFSET(ITEM_RES!$R$1,MATCH(AV497,ITEM_RES!$A:$A,0)-1,0),0)*AX497+IFERROR(OFFSET(ITEM_RES!$R$1,MATCH(BA497,ITEM_RES!$A:$A,0)-1,0),0)*BC497+IFERROR(OFFSET(ITEM_RES!$R$1,MATCH(BF497,ITEM_RES!$A:$A,0)-1,0),0)*BH497+IFERROR(OFFSET(ITEM_RES!$R$1,MATCH(BK497,ITEM_RES!$A:$A,0)-1,0),0)*BM497)/1000</f>
        <v>234000</v>
      </c>
      <c r="AG497" s="176">
        <f t="shared" ca="1" si="134"/>
        <v>374400</v>
      </c>
      <c r="AI497" s="11">
        <f t="shared" si="131"/>
        <v>720</v>
      </c>
      <c r="AJ497" s="10">
        <v>720</v>
      </c>
      <c r="AK497" s="11">
        <f t="shared" si="138"/>
        <v>0</v>
      </c>
      <c r="AL497" s="10">
        <v>0</v>
      </c>
      <c r="AM497" s="11">
        <f t="shared" si="129"/>
        <v>0</v>
      </c>
      <c r="AN497" s="10">
        <v>0</v>
      </c>
      <c r="AO497" s="55">
        <f t="shared" si="133"/>
        <v>1</v>
      </c>
      <c r="AQ497" s="11">
        <f ca="1">IFERROR(OFFSET(ITEM_RES!$A$1,MATCH(AR497,ITEM_RES!$J:$J,0)-1,0),0)</f>
        <v>211020801</v>
      </c>
      <c r="AR497" s="10" t="s">
        <v>427</v>
      </c>
      <c r="AS497" s="11">
        <v>39000</v>
      </c>
      <c r="AV497" s="11">
        <f ca="1">IFERROR(OFFSET(ITEM_RES!$A$1,MATCH(AW497,ITEM_RES!$J:$J,0)-1,0),0)</f>
        <v>0</v>
      </c>
      <c r="BA497" s="11">
        <f ca="1">IFERROR(OFFSET(ITEM_RES!$A$1,MATCH(BB497,ITEM_RES!$J:$J,0)-1,0),0)</f>
        <v>0</v>
      </c>
      <c r="BF497" s="11">
        <f ca="1">IFERROR(OFFSET(ITEM_RES!$A$1,MATCH(BG497,ITEM_RES!$J:$J,0)-1,0),0)</f>
        <v>0</v>
      </c>
      <c r="BK497" s="11">
        <f ca="1">IFERROR(OFFSET(ITEM_RES!$A$1,MATCH(BL497,ITEM_RES!$J:$J,0)-1,0),0)</f>
        <v>0</v>
      </c>
    </row>
    <row r="498" spans="1:66" x14ac:dyDescent="0.3">
      <c r="A498" s="14">
        <f t="shared" si="135"/>
        <v>115020014</v>
      </c>
      <c r="B498" s="13">
        <v>11</v>
      </c>
      <c r="C498" s="12">
        <f t="shared" si="136"/>
        <v>5</v>
      </c>
      <c r="D498" s="13">
        <v>2</v>
      </c>
      <c r="E498" s="13">
        <v>0</v>
      </c>
      <c r="F498" s="12">
        <f t="shared" si="137"/>
        <v>14</v>
      </c>
      <c r="H498" s="9">
        <v>5</v>
      </c>
      <c r="I498" s="9">
        <v>14</v>
      </c>
      <c r="K498" s="9" t="s">
        <v>1000</v>
      </c>
      <c r="M498" s="9">
        <v>1</v>
      </c>
      <c r="N498" s="9">
        <v>15</v>
      </c>
      <c r="O498" s="9" t="s">
        <v>1141</v>
      </c>
      <c r="P498" s="55" t="s">
        <v>1396</v>
      </c>
      <c r="Q498" s="9">
        <v>3333</v>
      </c>
      <c r="T498" s="9">
        <f ca="1">IFERROR(OFFSET(ITEM_RES!$A$5,MATCH(BUILDING!S498,ITEM_RES!$J$5:$J$229,0)-1,0),0)</f>
        <v>0</v>
      </c>
      <c r="W498" s="11">
        <f ca="1">IFERROR(OFFSET(ITEM_RES!$A$5,MATCH(BUILDING!V498,ITEM_RES!$J$5:$J$229,0)-1,0),0)</f>
        <v>0</v>
      </c>
      <c r="Y498" s="9" t="s">
        <v>373</v>
      </c>
      <c r="Z498" s="9">
        <v>14</v>
      </c>
      <c r="AB498" s="11">
        <f ca="1">IFERROR(OFFSET(MANOR_LEVEL!$B$1,MATCH(AC498-1,MANOR_LEVEL!$A:$A,0)-1,0),0)</f>
        <v>1200000</v>
      </c>
      <c r="AC498" s="55">
        <v>11</v>
      </c>
      <c r="AE498" s="11">
        <f t="shared" ca="1" si="132"/>
        <v>396000</v>
      </c>
      <c r="AF498" s="10">
        <f ca="1">AK498+AM498+(IFERROR(OFFSET(ITEM_RES!$R$1,MATCH(AQ498,ITEM_RES!$A:$A,0)-1,0),0)*AS498+IFERROR(OFFSET(ITEM_RES!$R$1,MATCH(AV498,ITEM_RES!$A:$A,0)-1,0),0)*AX498+IFERROR(OFFSET(ITEM_RES!$R$1,MATCH(BA498,ITEM_RES!$A:$A,0)-1,0),0)*BC498+IFERROR(OFFSET(ITEM_RES!$R$1,MATCH(BF498,ITEM_RES!$A:$A,0)-1,0),0)*BH498+IFERROR(OFFSET(ITEM_RES!$R$1,MATCH(BK498,ITEM_RES!$A:$A,0)-1,0),0)*BM498)/1000</f>
        <v>396000</v>
      </c>
      <c r="AG498" s="176">
        <f t="shared" ca="1" si="134"/>
        <v>630000</v>
      </c>
      <c r="AI498" s="11">
        <f t="shared" si="131"/>
        <v>900</v>
      </c>
      <c r="AJ498" s="10">
        <v>900</v>
      </c>
      <c r="AK498" s="11">
        <f t="shared" si="138"/>
        <v>0</v>
      </c>
      <c r="AL498" s="10">
        <v>0</v>
      </c>
      <c r="AM498" s="11">
        <f t="shared" si="129"/>
        <v>0</v>
      </c>
      <c r="AN498" s="10">
        <v>0</v>
      </c>
      <c r="AO498" s="55">
        <f t="shared" si="133"/>
        <v>1</v>
      </c>
      <c r="AQ498" s="11">
        <f ca="1">IFERROR(OFFSET(ITEM_RES!$A$1,MATCH(AR498,ITEM_RES!$J:$J,0)-1,0),0)</f>
        <v>211020801</v>
      </c>
      <c r="AR498" s="10" t="s">
        <v>427</v>
      </c>
      <c r="AS498" s="11">
        <v>66000</v>
      </c>
      <c r="AV498" s="11">
        <f ca="1">IFERROR(OFFSET(ITEM_RES!$A$1,MATCH(AW498,ITEM_RES!$J:$J,0)-1,0),0)</f>
        <v>0</v>
      </c>
      <c r="BA498" s="11">
        <f ca="1">IFERROR(OFFSET(ITEM_RES!$A$1,MATCH(BB498,ITEM_RES!$J:$J,0)-1,0),0)</f>
        <v>0</v>
      </c>
      <c r="BF498" s="11">
        <f ca="1">IFERROR(OFFSET(ITEM_RES!$A$1,MATCH(BG498,ITEM_RES!$J:$J,0)-1,0),0)</f>
        <v>0</v>
      </c>
      <c r="BK498" s="11">
        <f ca="1">IFERROR(OFFSET(ITEM_RES!$A$1,MATCH(BL498,ITEM_RES!$J:$J,0)-1,0),0)</f>
        <v>0</v>
      </c>
    </row>
    <row r="499" spans="1:66" x14ac:dyDescent="0.3">
      <c r="A499" s="14">
        <f t="shared" si="135"/>
        <v>115020015</v>
      </c>
      <c r="B499" s="13">
        <v>11</v>
      </c>
      <c r="C499" s="12">
        <f t="shared" si="136"/>
        <v>5</v>
      </c>
      <c r="D499" s="13">
        <v>2</v>
      </c>
      <c r="E499" s="13">
        <v>0</v>
      </c>
      <c r="F499" s="12">
        <f t="shared" si="137"/>
        <v>15</v>
      </c>
      <c r="H499" s="9">
        <v>5</v>
      </c>
      <c r="I499" s="9">
        <v>15</v>
      </c>
      <c r="K499" s="9" t="s">
        <v>1000</v>
      </c>
      <c r="M499" s="9">
        <v>1</v>
      </c>
      <c r="N499" s="9">
        <v>15</v>
      </c>
      <c r="O499" s="9" t="s">
        <v>1141</v>
      </c>
      <c r="P499" s="55" t="s">
        <v>1396</v>
      </c>
      <c r="Q499" s="9">
        <v>3333</v>
      </c>
      <c r="T499" s="9">
        <f ca="1">IFERROR(OFFSET(ITEM_RES!$A$5,MATCH(BUILDING!S499,ITEM_RES!$J$5:$J$229,0)-1,0),0)</f>
        <v>0</v>
      </c>
      <c r="W499" s="11">
        <f ca="1">IFERROR(OFFSET(ITEM_RES!$A$5,MATCH(BUILDING!V499,ITEM_RES!$J$5:$J$229,0)-1,0),0)</f>
        <v>0</v>
      </c>
      <c r="Y499" s="9" t="s">
        <v>373</v>
      </c>
      <c r="Z499" s="9">
        <v>15</v>
      </c>
      <c r="AB499" s="11">
        <f ca="1">IFERROR(OFFSET(MANOR_LEVEL!$B$1,MATCH(AC499-1,MANOR_LEVEL!$A:$A,0)-1,0),0)</f>
        <v>3500000</v>
      </c>
      <c r="AC499" s="55">
        <v>12</v>
      </c>
      <c r="AE499" s="11">
        <f t="shared" ca="1" si="132"/>
        <v>1110000</v>
      </c>
      <c r="AF499" s="10">
        <f ca="1">AK499+AM499+(IFERROR(OFFSET(ITEM_RES!$R$1,MATCH(AQ499,ITEM_RES!$A:$A,0)-1,0),0)*AS499+IFERROR(OFFSET(ITEM_RES!$R$1,MATCH(AV499,ITEM_RES!$A:$A,0)-1,0),0)*AX499+IFERROR(OFFSET(ITEM_RES!$R$1,MATCH(BA499,ITEM_RES!$A:$A,0)-1,0),0)*BC499+IFERROR(OFFSET(ITEM_RES!$R$1,MATCH(BF499,ITEM_RES!$A:$A,0)-1,0),0)*BH499+IFERROR(OFFSET(ITEM_RES!$R$1,MATCH(BK499,ITEM_RES!$A:$A,0)-1,0),0)*BM499)/1000</f>
        <v>1110000</v>
      </c>
      <c r="AG499" s="176">
        <f t="shared" ca="1" si="134"/>
        <v>1506000</v>
      </c>
      <c r="AI499" s="11">
        <f t="shared" si="131"/>
        <v>1080</v>
      </c>
      <c r="AJ499" s="10">
        <v>1080</v>
      </c>
      <c r="AK499" s="11">
        <f t="shared" si="138"/>
        <v>0</v>
      </c>
      <c r="AL499" s="10">
        <v>0</v>
      </c>
      <c r="AM499" s="11">
        <f t="shared" si="129"/>
        <v>0</v>
      </c>
      <c r="AN499" s="10">
        <v>0</v>
      </c>
      <c r="AO499" s="55">
        <f t="shared" si="133"/>
        <v>1</v>
      </c>
      <c r="AQ499" s="11">
        <f ca="1">IFERROR(OFFSET(ITEM_RES!$A$1,MATCH(AR499,ITEM_RES!$J:$J,0)-1,0),0)</f>
        <v>211020901</v>
      </c>
      <c r="AR499" s="10" t="s">
        <v>433</v>
      </c>
      <c r="AS499" s="11">
        <v>111000</v>
      </c>
      <c r="AV499" s="11">
        <f ca="1">IFERROR(OFFSET(ITEM_RES!$A$1,MATCH(AW499,ITEM_RES!$J:$J,0)-1,0),0)</f>
        <v>0</v>
      </c>
      <c r="BA499" s="11">
        <f ca="1">IFERROR(OFFSET(ITEM_RES!$A$1,MATCH(BB499,ITEM_RES!$J:$J,0)-1,0),0)</f>
        <v>0</v>
      </c>
      <c r="BF499" s="11">
        <f ca="1">IFERROR(OFFSET(ITEM_RES!$A$1,MATCH(BG499,ITEM_RES!$J:$J,0)-1,0),0)</f>
        <v>0</v>
      </c>
      <c r="BK499" s="11">
        <f ca="1">IFERROR(OFFSET(ITEM_RES!$A$1,MATCH(BL499,ITEM_RES!$J:$J,0)-1,0),0)</f>
        <v>0</v>
      </c>
    </row>
    <row r="500" spans="1:66" x14ac:dyDescent="0.3">
      <c r="A500" s="14">
        <f t="shared" si="135"/>
        <v>115020016</v>
      </c>
      <c r="B500" s="13">
        <v>11</v>
      </c>
      <c r="C500" s="12">
        <f t="shared" si="136"/>
        <v>5</v>
      </c>
      <c r="D500" s="13">
        <v>2</v>
      </c>
      <c r="E500" s="13">
        <v>0</v>
      </c>
      <c r="F500" s="12">
        <f t="shared" si="137"/>
        <v>16</v>
      </c>
      <c r="H500" s="9">
        <v>5</v>
      </c>
      <c r="I500" s="9">
        <v>16</v>
      </c>
      <c r="K500" s="9" t="s">
        <v>1000</v>
      </c>
      <c r="M500" s="9">
        <v>0</v>
      </c>
      <c r="N500" s="9">
        <v>15</v>
      </c>
      <c r="O500" s="9" t="s">
        <v>1141</v>
      </c>
      <c r="P500" s="55" t="s">
        <v>1396</v>
      </c>
      <c r="Q500" s="9">
        <v>3333</v>
      </c>
      <c r="T500" s="9">
        <f ca="1">IFERROR(OFFSET(ITEM_RES!$A$5,MATCH(BUILDING!S500,ITEM_RES!$J$5:$J$229,0)-1,0),0)</f>
        <v>0</v>
      </c>
      <c r="W500" s="11">
        <f ca="1">IFERROR(OFFSET(ITEM_RES!$A$5,MATCH(BUILDING!V500,ITEM_RES!$J$5:$J$229,0)-1,0),0)</f>
        <v>0</v>
      </c>
      <c r="Y500" s="9" t="s">
        <v>373</v>
      </c>
      <c r="Z500" s="9">
        <v>16</v>
      </c>
      <c r="AB500" s="11">
        <f ca="1">IFERROR(OFFSET(MANOR_LEVEL!$B$1,MATCH(AC500-1,MANOR_LEVEL!$A:$A,0)-1,0),0)</f>
        <v>6000000</v>
      </c>
      <c r="AC500" s="55">
        <v>13</v>
      </c>
      <c r="AE500" s="11">
        <f t="shared" ca="1" si="132"/>
        <v>1860000</v>
      </c>
      <c r="AF500" s="10">
        <f ca="1">AK500+AM500+(IFERROR(OFFSET(ITEM_RES!$R$1,MATCH(AQ500,ITEM_RES!$A:$A,0)-1,0),0)*AS500+IFERROR(OFFSET(ITEM_RES!$R$1,MATCH(AV500,ITEM_RES!$A:$A,0)-1,0),0)*AX500+IFERROR(OFFSET(ITEM_RES!$R$1,MATCH(BA500,ITEM_RES!$A:$A,0)-1,0),0)*BC500+IFERROR(OFFSET(ITEM_RES!$R$1,MATCH(BF500,ITEM_RES!$A:$A,0)-1,0),0)*BH500+IFERROR(OFFSET(ITEM_RES!$R$1,MATCH(BK500,ITEM_RES!$A:$A,0)-1,0),0)*BM500)/1000</f>
        <v>1860000</v>
      </c>
      <c r="AG500" s="176">
        <f t="shared" ca="1" si="134"/>
        <v>2970000</v>
      </c>
      <c r="AI500" s="11">
        <f t="shared" si="131"/>
        <v>1260</v>
      </c>
      <c r="AJ500" s="10">
        <v>1260</v>
      </c>
      <c r="AK500" s="11">
        <f t="shared" si="138"/>
        <v>0</v>
      </c>
      <c r="AL500" s="10">
        <v>0</v>
      </c>
      <c r="AM500" s="11">
        <f t="shared" si="129"/>
        <v>0</v>
      </c>
      <c r="AN500" s="10">
        <v>0</v>
      </c>
      <c r="AO500" s="55">
        <f t="shared" si="133"/>
        <v>1</v>
      </c>
      <c r="AQ500" s="11">
        <f ca="1">IFERROR(OFFSET(ITEM_RES!$A$1,MATCH(AR500,ITEM_RES!$J:$J,0)-1,0),0)</f>
        <v>211020901</v>
      </c>
      <c r="AR500" s="10" t="s">
        <v>385</v>
      </c>
      <c r="AS500" s="11">
        <v>186000</v>
      </c>
      <c r="AV500" s="11">
        <f ca="1">IFERROR(OFFSET(ITEM_RES!$A$1,MATCH(AW500,ITEM_RES!$J:$J,0)-1,0),0)</f>
        <v>0</v>
      </c>
      <c r="BA500" s="11">
        <f ca="1">IFERROR(OFFSET(ITEM_RES!$A$1,MATCH(BB500,ITEM_RES!$J:$J,0)-1,0),0)</f>
        <v>0</v>
      </c>
      <c r="BF500" s="11">
        <f ca="1">IFERROR(OFFSET(ITEM_RES!$A$1,MATCH(BG500,ITEM_RES!$J:$J,0)-1,0),0)</f>
        <v>0</v>
      </c>
      <c r="BK500" s="11">
        <f ca="1">IFERROR(OFFSET(ITEM_RES!$A$1,MATCH(BL500,ITEM_RES!$J:$J,0)-1,0),0)</f>
        <v>0</v>
      </c>
    </row>
    <row r="501" spans="1:66" x14ac:dyDescent="0.3">
      <c r="A501" s="14">
        <f t="shared" si="135"/>
        <v>115020017</v>
      </c>
      <c r="B501" s="13">
        <v>11</v>
      </c>
      <c r="C501" s="12">
        <f t="shared" si="136"/>
        <v>5</v>
      </c>
      <c r="D501" s="13">
        <v>2</v>
      </c>
      <c r="E501" s="13">
        <v>0</v>
      </c>
      <c r="F501" s="12">
        <f t="shared" si="137"/>
        <v>17</v>
      </c>
      <c r="H501" s="9">
        <v>5</v>
      </c>
      <c r="I501" s="9">
        <v>17</v>
      </c>
      <c r="K501" s="9" t="s">
        <v>1000</v>
      </c>
      <c r="M501" s="9">
        <v>0</v>
      </c>
      <c r="N501" s="9">
        <v>15</v>
      </c>
      <c r="O501" s="9" t="s">
        <v>1141</v>
      </c>
      <c r="P501" s="55" t="s">
        <v>1396</v>
      </c>
      <c r="Q501" s="9">
        <v>3333</v>
      </c>
      <c r="T501" s="9">
        <f ca="1">IFERROR(OFFSET(ITEM_RES!$A$5,MATCH(BUILDING!S501,ITEM_RES!$J$5:$J$229,0)-1,0),0)</f>
        <v>0</v>
      </c>
      <c r="W501" s="11">
        <f ca="1">IFERROR(OFFSET(ITEM_RES!$A$5,MATCH(BUILDING!V501,ITEM_RES!$J$5:$J$229,0)-1,0),0)</f>
        <v>0</v>
      </c>
      <c r="Y501" s="9" t="s">
        <v>373</v>
      </c>
      <c r="Z501" s="9">
        <v>17</v>
      </c>
      <c r="AB501" s="11">
        <f ca="1">IFERROR(OFFSET(MANOR_LEVEL!$B$1,MATCH(AC501-1,MANOR_LEVEL!$A:$A,0)-1,0),0)</f>
        <v>10000000</v>
      </c>
      <c r="AC501" s="55">
        <v>14</v>
      </c>
      <c r="AE501" s="11">
        <f t="shared" ca="1" si="132"/>
        <v>2910000</v>
      </c>
      <c r="AF501" s="10">
        <f ca="1">AK501+AM501+(IFERROR(OFFSET(ITEM_RES!$R$1,MATCH(AQ501,ITEM_RES!$A:$A,0)-1,0),0)*AS501+IFERROR(OFFSET(ITEM_RES!$R$1,MATCH(AV501,ITEM_RES!$A:$A,0)-1,0),0)*AX501+IFERROR(OFFSET(ITEM_RES!$R$1,MATCH(BA501,ITEM_RES!$A:$A,0)-1,0),0)*BC501+IFERROR(OFFSET(ITEM_RES!$R$1,MATCH(BF501,ITEM_RES!$A:$A,0)-1,0),0)*BH501+IFERROR(OFFSET(ITEM_RES!$R$1,MATCH(BK501,ITEM_RES!$A:$A,0)-1,0),0)*BM501)/1000</f>
        <v>2910000</v>
      </c>
      <c r="AG501" s="176">
        <f t="shared" ca="1" si="134"/>
        <v>4770000</v>
      </c>
      <c r="AI501" s="11">
        <f t="shared" si="131"/>
        <v>1440</v>
      </c>
      <c r="AJ501" s="10">
        <v>1440</v>
      </c>
      <c r="AK501" s="11">
        <f t="shared" si="138"/>
        <v>0</v>
      </c>
      <c r="AL501" s="10">
        <v>0</v>
      </c>
      <c r="AM501" s="11">
        <f t="shared" si="129"/>
        <v>0</v>
      </c>
      <c r="AN501" s="10">
        <v>0</v>
      </c>
      <c r="AO501" s="55">
        <f t="shared" si="133"/>
        <v>1</v>
      </c>
      <c r="AQ501" s="11">
        <f ca="1">IFERROR(OFFSET(ITEM_RES!$A$1,MATCH(AR501,ITEM_RES!$J:$J,0)-1,0),0)</f>
        <v>211020901</v>
      </c>
      <c r="AR501" s="10" t="s">
        <v>433</v>
      </c>
      <c r="AS501" s="11">
        <v>291000</v>
      </c>
      <c r="AV501" s="11">
        <f ca="1">IFERROR(OFFSET(ITEM_RES!$A$1,MATCH(AW501,ITEM_RES!$J:$J,0)-1,0),0)</f>
        <v>0</v>
      </c>
      <c r="BA501" s="11">
        <f ca="1">IFERROR(OFFSET(ITEM_RES!$A$1,MATCH(BB501,ITEM_RES!$J:$J,0)-1,0),0)</f>
        <v>0</v>
      </c>
      <c r="BF501" s="11">
        <f ca="1">IFERROR(OFFSET(ITEM_RES!$A$1,MATCH(BG501,ITEM_RES!$J:$J,0)-1,0),0)</f>
        <v>0</v>
      </c>
      <c r="BK501" s="11">
        <f ca="1">IFERROR(OFFSET(ITEM_RES!$A$1,MATCH(BL501,ITEM_RES!$J:$J,0)-1,0),0)</f>
        <v>0</v>
      </c>
    </row>
    <row r="502" spans="1:66" x14ac:dyDescent="0.3">
      <c r="A502" s="14">
        <f t="shared" si="135"/>
        <v>115020018</v>
      </c>
      <c r="B502" s="13">
        <v>11</v>
      </c>
      <c r="C502" s="12">
        <f t="shared" si="136"/>
        <v>5</v>
      </c>
      <c r="D502" s="13">
        <v>2</v>
      </c>
      <c r="E502" s="13">
        <v>0</v>
      </c>
      <c r="F502" s="12">
        <f t="shared" si="137"/>
        <v>18</v>
      </c>
      <c r="H502" s="9">
        <v>5</v>
      </c>
      <c r="I502" s="9">
        <v>18</v>
      </c>
      <c r="K502" s="9" t="s">
        <v>1000</v>
      </c>
      <c r="M502" s="9">
        <v>0</v>
      </c>
      <c r="N502" s="9">
        <v>15</v>
      </c>
      <c r="O502" s="9" t="s">
        <v>1141</v>
      </c>
      <c r="P502" s="55" t="s">
        <v>1396</v>
      </c>
      <c r="Q502" s="9">
        <v>3333</v>
      </c>
      <c r="T502" s="9">
        <f ca="1">IFERROR(OFFSET(ITEM_RES!$A$5,MATCH(BUILDING!S502,ITEM_RES!$J$5:$J$229,0)-1,0),0)</f>
        <v>0</v>
      </c>
      <c r="W502" s="11">
        <f ca="1">IFERROR(OFFSET(ITEM_RES!$A$5,MATCH(BUILDING!V502,ITEM_RES!$J$5:$J$229,0)-1,0),0)</f>
        <v>0</v>
      </c>
      <c r="Y502" s="9" t="s">
        <v>373</v>
      </c>
      <c r="Z502" s="9">
        <v>18</v>
      </c>
      <c r="AB502" s="11">
        <f ca="1">IFERROR(OFFSET(MANOR_LEVEL!$B$1,MATCH(AC502-1,MANOR_LEVEL!$A:$A,0)-1,0),0)</f>
        <v>17000000</v>
      </c>
      <c r="AC502" s="55">
        <v>15</v>
      </c>
      <c r="AE502" s="11">
        <f t="shared" ca="1" si="132"/>
        <v>6300000</v>
      </c>
      <c r="AF502" s="10">
        <f ca="1">AK502+AM502+(IFERROR(OFFSET(ITEM_RES!$R$1,MATCH(AQ502,ITEM_RES!$A:$A,0)-1,0),0)*AS502+IFERROR(OFFSET(ITEM_RES!$R$1,MATCH(AV502,ITEM_RES!$A:$A,0)-1,0),0)*AX502+IFERROR(OFFSET(ITEM_RES!$R$1,MATCH(BA502,ITEM_RES!$A:$A,0)-1,0),0)*BC502+IFERROR(OFFSET(ITEM_RES!$R$1,MATCH(BF502,ITEM_RES!$A:$A,0)-1,0),0)*BH502+IFERROR(OFFSET(ITEM_RES!$R$1,MATCH(BK502,ITEM_RES!$A:$A,0)-1,0),0)*BM502)/1000</f>
        <v>6300000</v>
      </c>
      <c r="AG502" s="176">
        <f t="shared" ca="1" si="134"/>
        <v>9210000</v>
      </c>
      <c r="AI502" s="11">
        <f t="shared" si="131"/>
        <v>1620</v>
      </c>
      <c r="AJ502" s="10">
        <v>1620</v>
      </c>
      <c r="AK502" s="11">
        <f t="shared" si="138"/>
        <v>0</v>
      </c>
      <c r="AL502" s="10">
        <v>0</v>
      </c>
      <c r="AM502" s="11">
        <f t="shared" si="129"/>
        <v>0</v>
      </c>
      <c r="AN502" s="10">
        <v>0</v>
      </c>
      <c r="AO502" s="55">
        <f t="shared" si="133"/>
        <v>1</v>
      </c>
      <c r="AQ502" s="11">
        <f ca="1">IFERROR(OFFSET(ITEM_RES!$A$1,MATCH(AR502,ITEM_RES!$J:$J,0)-1,0),0)</f>
        <v>211020901</v>
      </c>
      <c r="AR502" s="10" t="s">
        <v>433</v>
      </c>
      <c r="AS502" s="11">
        <v>630000</v>
      </c>
      <c r="AV502" s="11">
        <f ca="1">IFERROR(OFFSET(ITEM_RES!$A$1,MATCH(AW502,ITEM_RES!$J:$J,0)-1,0),0)</f>
        <v>0</v>
      </c>
      <c r="BA502" s="11">
        <f ca="1">IFERROR(OFFSET(ITEM_RES!$A$1,MATCH(BB502,ITEM_RES!$J:$J,0)-1,0),0)</f>
        <v>0</v>
      </c>
      <c r="BF502" s="11">
        <f ca="1">IFERROR(OFFSET(ITEM_RES!$A$1,MATCH(BG502,ITEM_RES!$J:$J,0)-1,0),0)</f>
        <v>0</v>
      </c>
      <c r="BK502" s="11">
        <f ca="1">IFERROR(OFFSET(ITEM_RES!$A$1,MATCH(BL502,ITEM_RES!$J:$J,0)-1,0),0)</f>
        <v>0</v>
      </c>
    </row>
    <row r="503" spans="1:66" x14ac:dyDescent="0.3">
      <c r="A503" s="14">
        <f t="shared" si="135"/>
        <v>115020019</v>
      </c>
      <c r="B503" s="13">
        <v>11</v>
      </c>
      <c r="C503" s="12">
        <f t="shared" si="136"/>
        <v>5</v>
      </c>
      <c r="D503" s="13">
        <v>2</v>
      </c>
      <c r="E503" s="13">
        <v>0</v>
      </c>
      <c r="F503" s="12">
        <f t="shared" si="137"/>
        <v>19</v>
      </c>
      <c r="H503" s="9">
        <v>5</v>
      </c>
      <c r="I503" s="9">
        <v>19</v>
      </c>
      <c r="K503" s="9" t="s">
        <v>1000</v>
      </c>
      <c r="M503" s="9">
        <v>0</v>
      </c>
      <c r="N503" s="9">
        <v>15</v>
      </c>
      <c r="O503" s="9" t="s">
        <v>1141</v>
      </c>
      <c r="P503" s="55" t="s">
        <v>1396</v>
      </c>
      <c r="Q503" s="9">
        <v>3333</v>
      </c>
      <c r="T503" s="9">
        <f ca="1">IFERROR(OFFSET(ITEM_RES!$A$5,MATCH(BUILDING!S503,ITEM_RES!$J$5:$J$229,0)-1,0),0)</f>
        <v>0</v>
      </c>
      <c r="W503" s="11">
        <f ca="1">IFERROR(OFFSET(ITEM_RES!$A$5,MATCH(BUILDING!V503,ITEM_RES!$J$5:$J$229,0)-1,0),0)</f>
        <v>0</v>
      </c>
      <c r="Y503" s="9" t="s">
        <v>373</v>
      </c>
      <c r="Z503" s="9">
        <v>19</v>
      </c>
      <c r="AB503" s="11">
        <f ca="1">IFERROR(OFFSET(MANOR_LEVEL!$B$1,MATCH(AC503-1,MANOR_LEVEL!$A:$A,0)-1,0),0)</f>
        <v>37000000</v>
      </c>
      <c r="AC503" s="55">
        <v>16</v>
      </c>
      <c r="AE503" s="11">
        <f t="shared" ca="1" si="132"/>
        <v>12900000</v>
      </c>
      <c r="AF503" s="10">
        <f ca="1">AK503+AM503+(IFERROR(OFFSET(ITEM_RES!$R$1,MATCH(AQ503,ITEM_RES!$A:$A,0)-1,0),0)*AS503+IFERROR(OFFSET(ITEM_RES!$R$1,MATCH(AV503,ITEM_RES!$A:$A,0)-1,0),0)*AX503+IFERROR(OFFSET(ITEM_RES!$R$1,MATCH(BA503,ITEM_RES!$A:$A,0)-1,0),0)*BC503+IFERROR(OFFSET(ITEM_RES!$R$1,MATCH(BF503,ITEM_RES!$A:$A,0)-1,0),0)*BH503+IFERROR(OFFSET(ITEM_RES!$R$1,MATCH(BK503,ITEM_RES!$A:$A,0)-1,0),0)*BM503)/1000</f>
        <v>12900000</v>
      </c>
      <c r="AG503" s="176">
        <f t="shared" ca="1" si="134"/>
        <v>19200000</v>
      </c>
      <c r="AI503" s="11">
        <f t="shared" si="131"/>
        <v>1800</v>
      </c>
      <c r="AJ503" s="10">
        <v>1800</v>
      </c>
      <c r="AK503" s="11">
        <f t="shared" si="138"/>
        <v>0</v>
      </c>
      <c r="AL503" s="10">
        <v>0</v>
      </c>
      <c r="AM503" s="11">
        <f t="shared" si="129"/>
        <v>0</v>
      </c>
      <c r="AN503" s="10">
        <v>0</v>
      </c>
      <c r="AO503" s="55">
        <f t="shared" si="133"/>
        <v>1</v>
      </c>
      <c r="AQ503" s="11">
        <f ca="1">IFERROR(OFFSET(ITEM_RES!$A$1,MATCH(AR503,ITEM_RES!$J:$J,0)-1,0),0)</f>
        <v>211020901</v>
      </c>
      <c r="AR503" s="10" t="s">
        <v>433</v>
      </c>
      <c r="AS503" s="11">
        <v>1290000</v>
      </c>
      <c r="AV503" s="11">
        <f ca="1">IFERROR(OFFSET(ITEM_RES!$A$1,MATCH(AW503,ITEM_RES!$J:$J,0)-1,0),0)</f>
        <v>0</v>
      </c>
      <c r="BA503" s="11">
        <f ca="1">IFERROR(OFFSET(ITEM_RES!$A$1,MATCH(BB503,ITEM_RES!$J:$J,0)-1,0),0)</f>
        <v>0</v>
      </c>
      <c r="BF503" s="11">
        <f ca="1">IFERROR(OFFSET(ITEM_RES!$A$1,MATCH(BG503,ITEM_RES!$J:$J,0)-1,0),0)</f>
        <v>0</v>
      </c>
      <c r="BK503" s="11">
        <f ca="1">IFERROR(OFFSET(ITEM_RES!$A$1,MATCH(BL503,ITEM_RES!$J:$J,0)-1,0),0)</f>
        <v>0</v>
      </c>
    </row>
    <row r="504" spans="1:66" ht="17.25" thickBot="1" x14ac:dyDescent="0.35">
      <c r="A504" s="14">
        <f t="shared" si="135"/>
        <v>115020020</v>
      </c>
      <c r="B504" s="13">
        <v>11</v>
      </c>
      <c r="C504" s="12">
        <f t="shared" si="136"/>
        <v>5</v>
      </c>
      <c r="D504" s="13">
        <v>2</v>
      </c>
      <c r="E504" s="13">
        <v>0</v>
      </c>
      <c r="F504" s="12">
        <f t="shared" si="137"/>
        <v>20</v>
      </c>
      <c r="H504" s="9">
        <v>5</v>
      </c>
      <c r="I504" s="9">
        <v>20</v>
      </c>
      <c r="K504" s="9" t="s">
        <v>1000</v>
      </c>
      <c r="M504" s="9">
        <v>0</v>
      </c>
      <c r="N504" s="9">
        <v>15</v>
      </c>
      <c r="O504" s="9" t="s">
        <v>1141</v>
      </c>
      <c r="P504" s="55" t="s">
        <v>1396</v>
      </c>
      <c r="Q504" s="9">
        <v>3333</v>
      </c>
      <c r="T504" s="9">
        <f ca="1">IFERROR(OFFSET(ITEM_RES!$A$5,MATCH(BUILDING!S504,ITEM_RES!$J$5:$J$229,0)-1,0),0)</f>
        <v>0</v>
      </c>
      <c r="W504" s="11">
        <f ca="1">IFERROR(OFFSET(ITEM_RES!$A$5,MATCH(BUILDING!V504,ITEM_RES!$J$5:$J$229,0)-1,0),0)</f>
        <v>0</v>
      </c>
      <c r="Y504" s="9" t="s">
        <v>373</v>
      </c>
      <c r="Z504" s="9">
        <v>20</v>
      </c>
      <c r="AB504" s="11">
        <f ca="1">IFERROR(OFFSET(MANOR_LEVEL!$B$1,MATCH(AC504-1,MANOR_LEVEL!$A:$A,0)-1,0),0)</f>
        <v>85000000</v>
      </c>
      <c r="AC504" s="55">
        <v>17</v>
      </c>
      <c r="AE504" s="11">
        <f t="shared" ca="1" si="132"/>
        <v>24000000</v>
      </c>
      <c r="AF504" s="10">
        <f ca="1">AK504+AM504+(IFERROR(OFFSET(ITEM_RES!$R$1,MATCH(AQ504,ITEM_RES!$A:$A,0)-1,0),0)*AS504+IFERROR(OFFSET(ITEM_RES!$R$1,MATCH(AV504,ITEM_RES!$A:$A,0)-1,0),0)*AX504+IFERROR(OFFSET(ITEM_RES!$R$1,MATCH(BA504,ITEM_RES!$A:$A,0)-1,0),0)*BC504+IFERROR(OFFSET(ITEM_RES!$R$1,MATCH(BF504,ITEM_RES!$A:$A,0)-1,0),0)*BH504+IFERROR(OFFSET(ITEM_RES!$R$1,MATCH(BK504,ITEM_RES!$A:$A,0)-1,0),0)*BM504)/1000</f>
        <v>24000000</v>
      </c>
      <c r="AG504" s="176">
        <f t="shared" ca="1" si="134"/>
        <v>36900000</v>
      </c>
      <c r="AI504" s="11">
        <f t="shared" si="131"/>
        <v>1980</v>
      </c>
      <c r="AJ504" s="10">
        <v>1980</v>
      </c>
      <c r="AK504" s="11">
        <f t="shared" si="138"/>
        <v>0</v>
      </c>
      <c r="AL504" s="10">
        <v>0</v>
      </c>
      <c r="AM504" s="11">
        <f t="shared" si="129"/>
        <v>0</v>
      </c>
      <c r="AN504" s="10">
        <v>0</v>
      </c>
      <c r="AO504" s="55">
        <f t="shared" si="133"/>
        <v>1</v>
      </c>
      <c r="AQ504" s="11">
        <f ca="1">IFERROR(OFFSET(ITEM_RES!$A$1,MATCH(AR504,ITEM_RES!$J:$J,0)-1,0),0)</f>
        <v>211020901</v>
      </c>
      <c r="AR504" s="10" t="s">
        <v>433</v>
      </c>
      <c r="AS504" s="11">
        <v>2400000</v>
      </c>
      <c r="AV504" s="11">
        <f ca="1">IFERROR(OFFSET(ITEM_RES!$A$1,MATCH(AW504,ITEM_RES!$J:$J,0)-1,0),0)</f>
        <v>0</v>
      </c>
      <c r="BA504" s="11">
        <f ca="1">IFERROR(OFFSET(ITEM_RES!$A$1,MATCH(BB504,ITEM_RES!$J:$J,0)-1,0),0)</f>
        <v>0</v>
      </c>
      <c r="BF504" s="11">
        <f ca="1">IFERROR(OFFSET(ITEM_RES!$A$1,MATCH(BG504,ITEM_RES!$J:$J,0)-1,0),0)</f>
        <v>0</v>
      </c>
      <c r="BK504" s="11">
        <f ca="1">IFERROR(OFFSET(ITEM_RES!$A$1,MATCH(BL504,ITEM_RES!$J:$J,0)-1,0),0)</f>
        <v>0</v>
      </c>
    </row>
    <row r="505" spans="1:66" s="15" customFormat="1" x14ac:dyDescent="0.3">
      <c r="A505" s="21"/>
      <c r="B505" s="20"/>
      <c r="C505" s="19"/>
      <c r="D505" s="20"/>
      <c r="E505" s="20"/>
      <c r="F505" s="19"/>
      <c r="G505" s="76"/>
      <c r="H505" s="16"/>
      <c r="I505" s="16"/>
      <c r="J505" s="76"/>
      <c r="K505" s="16"/>
      <c r="L505" s="16"/>
      <c r="M505" s="16"/>
      <c r="N505" s="16"/>
      <c r="O505" s="16"/>
      <c r="P505" s="56"/>
      <c r="Q505" s="16"/>
      <c r="R505" s="76"/>
      <c r="S505" s="83"/>
      <c r="T505" s="16"/>
      <c r="U505" s="18"/>
      <c r="V505" s="83"/>
      <c r="W505" s="18"/>
      <c r="X505" s="76"/>
      <c r="Y505" s="16"/>
      <c r="Z505" s="16"/>
      <c r="AA505" s="76"/>
      <c r="AB505" s="18"/>
      <c r="AC505" s="56"/>
      <c r="AD505" s="76"/>
      <c r="AE505" s="18"/>
      <c r="AF505" s="17"/>
      <c r="AG505" s="178"/>
      <c r="AH505" s="76"/>
      <c r="AI505" s="18"/>
      <c r="AJ505" s="17"/>
      <c r="AK505" s="18"/>
      <c r="AL505" s="17"/>
      <c r="AM505" s="18"/>
      <c r="AN505" s="17"/>
      <c r="AO505" s="56"/>
      <c r="AP505" s="18"/>
      <c r="AQ505" s="18"/>
      <c r="AR505" s="17"/>
      <c r="AS505" s="18"/>
      <c r="AT505" s="17"/>
      <c r="AU505" s="18"/>
      <c r="AV505" s="18"/>
      <c r="AW505" s="17"/>
      <c r="AX505" s="18"/>
      <c r="AY505" s="17"/>
      <c r="AZ505" s="18"/>
      <c r="BA505" s="18"/>
      <c r="BB505" s="17"/>
      <c r="BC505" s="18"/>
      <c r="BD505" s="17"/>
      <c r="BE505" s="18"/>
      <c r="BF505" s="18"/>
      <c r="BG505" s="17"/>
      <c r="BH505" s="18"/>
      <c r="BI505" s="17"/>
      <c r="BJ505" s="18"/>
      <c r="BK505" s="18"/>
      <c r="BL505" s="17"/>
      <c r="BM505" s="18"/>
      <c r="BN505" s="17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AJ108"/>
  <sheetViews>
    <sheetView zoomScaleNormal="100" workbookViewId="0">
      <pane xSplit="10" ySplit="4" topLeftCell="K5" activePane="bottomRight" state="frozen"/>
      <selection pane="topRight" activeCell="K1" sqref="K1"/>
      <selection pane="bottomLeft" activeCell="A5" sqref="A5"/>
      <selection pane="bottomRight" activeCell="P61" sqref="P61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9" style="36" customWidth="1"/>
    <col min="4" max="4" width="8" style="36" customWidth="1"/>
    <col min="5" max="5" width="4" style="36" bestFit="1" customWidth="1"/>
    <col min="6" max="6" width="3.875" style="36" customWidth="1"/>
    <col min="7" max="7" width="5.75" style="72" bestFit="1" customWidth="1"/>
    <col min="8" max="8" width="10" style="35" bestFit="1" customWidth="1"/>
    <col min="9" max="9" width="5.75" style="72" customWidth="1"/>
    <col min="10" max="10" width="11.875" style="35" bestFit="1" customWidth="1"/>
    <col min="11" max="11" width="11.875" style="35" customWidth="1"/>
    <col min="12" max="13" width="9.875" style="36" bestFit="1" customWidth="1"/>
    <col min="14" max="14" width="39.125" style="34" bestFit="1" customWidth="1"/>
    <col min="15" max="15" width="12.5" style="35" customWidth="1"/>
    <col min="16" max="16" width="24.375" style="35" customWidth="1"/>
    <col min="17" max="17" width="5.75" style="72" customWidth="1"/>
    <col min="18" max="18" width="11.875" style="34" bestFit="1" customWidth="1"/>
    <col min="19" max="19" width="11.875" style="36" bestFit="1" customWidth="1"/>
    <col min="20" max="20" width="5.75" style="72" bestFit="1" customWidth="1"/>
    <col min="21" max="21" width="10.25" style="35" bestFit="1" customWidth="1"/>
    <col min="22" max="22" width="5.75" style="72" bestFit="1" customWidth="1"/>
    <col min="23" max="23" width="10.25" style="34" bestFit="1" customWidth="1"/>
    <col min="24" max="24" width="10.25" style="35" bestFit="1" customWidth="1"/>
    <col min="25" max="26" width="10.25" style="146" bestFit="1" customWidth="1"/>
    <col min="27" max="27" width="11.25" style="146" customWidth="1"/>
    <col min="28" max="28" width="12.875" style="35" customWidth="1"/>
    <col min="29" max="29" width="12.375" style="146" customWidth="1"/>
    <col min="30" max="30" width="13" style="35" customWidth="1"/>
    <col min="31" max="31" width="5.75" style="72" bestFit="1" customWidth="1"/>
    <col min="32" max="36" width="8.75" style="35"/>
    <col min="37" max="16384" width="8.75" style="34"/>
  </cols>
  <sheetData>
    <row r="1" spans="1:36" x14ac:dyDescent="0.15">
      <c r="A1" s="14" t="s">
        <v>59</v>
      </c>
      <c r="G1" s="67"/>
      <c r="H1" s="35" t="s">
        <v>60</v>
      </c>
      <c r="I1" s="67"/>
      <c r="J1" s="35" t="s">
        <v>60</v>
      </c>
      <c r="K1" s="35" t="s">
        <v>779</v>
      </c>
      <c r="N1" s="34" t="s">
        <v>60</v>
      </c>
      <c r="O1" s="35" t="s">
        <v>60</v>
      </c>
      <c r="P1" s="35" t="s">
        <v>60</v>
      </c>
      <c r="Q1" s="67"/>
      <c r="R1" s="34" t="s">
        <v>60</v>
      </c>
      <c r="T1" s="67"/>
      <c r="U1" s="1" t="s">
        <v>60</v>
      </c>
      <c r="V1" s="67"/>
      <c r="W1" s="98" t="s">
        <v>573</v>
      </c>
      <c r="X1" s="1" t="s">
        <v>60</v>
      </c>
      <c r="Y1" s="144" t="s">
        <v>60</v>
      </c>
      <c r="Z1" s="144" t="s">
        <v>60</v>
      </c>
      <c r="AA1" s="144" t="s">
        <v>60</v>
      </c>
      <c r="AB1" s="1" t="s">
        <v>60</v>
      </c>
      <c r="AC1" s="144" t="s">
        <v>60</v>
      </c>
      <c r="AD1" s="1" t="s">
        <v>60</v>
      </c>
      <c r="AE1" s="67"/>
      <c r="AF1" s="1" t="s">
        <v>60</v>
      </c>
      <c r="AG1" s="1" t="s">
        <v>60</v>
      </c>
      <c r="AH1" s="1" t="s">
        <v>60</v>
      </c>
      <c r="AI1" s="1" t="s">
        <v>60</v>
      </c>
      <c r="AJ1" s="1" t="s">
        <v>60</v>
      </c>
    </row>
    <row r="2" spans="1:36" x14ac:dyDescent="0.15">
      <c r="A2" s="14" t="s">
        <v>61</v>
      </c>
      <c r="G2" s="67"/>
      <c r="H2" s="35" t="s">
        <v>61</v>
      </c>
      <c r="I2" s="67"/>
      <c r="J2" s="35" t="s">
        <v>62</v>
      </c>
      <c r="K2" s="35" t="s">
        <v>778</v>
      </c>
      <c r="N2" s="34" t="s">
        <v>62</v>
      </c>
      <c r="O2" s="35" t="s">
        <v>62</v>
      </c>
      <c r="P2" s="35" t="s">
        <v>62</v>
      </c>
      <c r="Q2" s="67"/>
      <c r="R2" s="34" t="s">
        <v>780</v>
      </c>
      <c r="T2" s="67"/>
      <c r="U2" s="1" t="s">
        <v>61</v>
      </c>
      <c r="V2" s="67"/>
      <c r="W2" s="98" t="s">
        <v>492</v>
      </c>
      <c r="X2" s="1" t="s">
        <v>61</v>
      </c>
      <c r="Y2" s="144" t="s">
        <v>61</v>
      </c>
      <c r="Z2" s="144" t="s">
        <v>61</v>
      </c>
      <c r="AA2" s="144" t="s">
        <v>61</v>
      </c>
      <c r="AB2" s="1" t="s">
        <v>61</v>
      </c>
      <c r="AC2" s="144" t="s">
        <v>61</v>
      </c>
      <c r="AD2" s="1" t="s">
        <v>61</v>
      </c>
      <c r="AE2" s="67"/>
      <c r="AF2" s="35" t="s">
        <v>1249</v>
      </c>
      <c r="AG2" s="35" t="s">
        <v>1249</v>
      </c>
      <c r="AH2" s="35" t="s">
        <v>1249</v>
      </c>
      <c r="AI2" s="35" t="s">
        <v>1249</v>
      </c>
      <c r="AJ2" s="35" t="s">
        <v>1249</v>
      </c>
    </row>
    <row r="3" spans="1:36" x14ac:dyDescent="0.15">
      <c r="A3" s="14" t="s">
        <v>217</v>
      </c>
      <c r="G3" s="67"/>
      <c r="H3" s="35" t="s">
        <v>343</v>
      </c>
      <c r="I3" s="67"/>
      <c r="J3" s="35" t="s">
        <v>338</v>
      </c>
      <c r="K3" s="35" t="s">
        <v>777</v>
      </c>
      <c r="N3" s="34" t="s">
        <v>322</v>
      </c>
      <c r="O3" s="35" t="s">
        <v>347</v>
      </c>
      <c r="P3" s="35" t="s">
        <v>324</v>
      </c>
      <c r="Q3" s="67"/>
      <c r="R3" s="34" t="s">
        <v>413</v>
      </c>
      <c r="T3" s="67"/>
      <c r="U3" s="1" t="s">
        <v>336</v>
      </c>
      <c r="V3" s="67"/>
      <c r="W3" s="98" t="s">
        <v>1161</v>
      </c>
      <c r="X3" s="1" t="s">
        <v>1162</v>
      </c>
      <c r="Y3" s="144" t="s">
        <v>1163</v>
      </c>
      <c r="Z3" s="144" t="s">
        <v>1159</v>
      </c>
      <c r="AA3" s="144" t="s">
        <v>1160</v>
      </c>
      <c r="AB3" s="1" t="s">
        <v>1164</v>
      </c>
      <c r="AC3" s="144" t="s">
        <v>1165</v>
      </c>
      <c r="AD3" s="1" t="s">
        <v>1166</v>
      </c>
      <c r="AE3" s="67"/>
      <c r="AF3" s="35" t="s">
        <v>1243</v>
      </c>
      <c r="AG3" s="35" t="s">
        <v>1244</v>
      </c>
      <c r="AH3" s="35" t="s">
        <v>1245</v>
      </c>
      <c r="AI3" s="35" t="s">
        <v>1246</v>
      </c>
      <c r="AJ3" s="35" t="s">
        <v>1248</v>
      </c>
    </row>
    <row r="4" spans="1:36" s="77" customFormat="1" ht="99.75" thickBot="1" x14ac:dyDescent="0.2">
      <c r="A4" s="77" t="s">
        <v>337</v>
      </c>
      <c r="B4" s="78" t="s">
        <v>406</v>
      </c>
      <c r="C4" s="78" t="s">
        <v>576</v>
      </c>
      <c r="D4" s="78" t="s">
        <v>577</v>
      </c>
      <c r="E4" s="78" t="s">
        <v>407</v>
      </c>
      <c r="F4" s="78" t="s">
        <v>408</v>
      </c>
      <c r="G4" s="68" t="s">
        <v>353</v>
      </c>
      <c r="H4" s="79" t="s">
        <v>344</v>
      </c>
      <c r="I4" s="68" t="s">
        <v>352</v>
      </c>
      <c r="J4" s="79" t="s">
        <v>404</v>
      </c>
      <c r="K4" s="79" t="s">
        <v>783</v>
      </c>
      <c r="L4" s="80" t="s">
        <v>402</v>
      </c>
      <c r="M4" s="80" t="s">
        <v>403</v>
      </c>
      <c r="N4" s="77" t="s">
        <v>323</v>
      </c>
      <c r="O4" s="79" t="s">
        <v>348</v>
      </c>
      <c r="P4" s="79" t="s">
        <v>325</v>
      </c>
      <c r="Q4" s="68" t="s">
        <v>831</v>
      </c>
      <c r="R4" s="77" t="s">
        <v>829</v>
      </c>
      <c r="S4" s="78" t="s">
        <v>830</v>
      </c>
      <c r="T4" s="68" t="s">
        <v>346</v>
      </c>
      <c r="U4" s="2" t="s">
        <v>405</v>
      </c>
      <c r="V4" s="68" t="s">
        <v>822</v>
      </c>
      <c r="W4" s="184" t="s">
        <v>1250</v>
      </c>
      <c r="X4" s="2" t="s">
        <v>821</v>
      </c>
      <c r="Y4" s="145" t="s">
        <v>1167</v>
      </c>
      <c r="Z4" s="145" t="s">
        <v>825</v>
      </c>
      <c r="AA4" s="145" t="s">
        <v>827</v>
      </c>
      <c r="AB4" s="2" t="s">
        <v>828</v>
      </c>
      <c r="AC4" s="145" t="s">
        <v>826</v>
      </c>
      <c r="AD4" s="2" t="s">
        <v>1168</v>
      </c>
      <c r="AE4" s="68" t="s">
        <v>1225</v>
      </c>
      <c r="AF4" s="79" t="s">
        <v>1239</v>
      </c>
      <c r="AG4" s="79" t="s">
        <v>1240</v>
      </c>
      <c r="AH4" s="79" t="s">
        <v>1241</v>
      </c>
      <c r="AI4" s="79" t="s">
        <v>1242</v>
      </c>
      <c r="AJ4" s="79" t="s">
        <v>1247</v>
      </c>
    </row>
    <row r="5" spans="1:36" s="37" customFormat="1" x14ac:dyDescent="0.15">
      <c r="A5" s="37">
        <f t="shared" ref="A5:A10" si="0">B5*10000000+C5*1000000+D5*10000+E5*100+F5</f>
        <v>211010101</v>
      </c>
      <c r="B5" s="39">
        <v>21</v>
      </c>
      <c r="C5" s="112">
        <v>1</v>
      </c>
      <c r="D5" s="116">
        <v>1</v>
      </c>
      <c r="E5" s="39">
        <v>1</v>
      </c>
      <c r="F5" s="39">
        <f>H5</f>
        <v>1</v>
      </c>
      <c r="G5" s="69"/>
      <c r="H5" s="38">
        <v>1</v>
      </c>
      <c r="I5" s="70"/>
      <c r="J5" s="38" t="s">
        <v>376</v>
      </c>
      <c r="K5" s="38" t="s">
        <v>1169</v>
      </c>
      <c r="L5" s="39" t="s">
        <v>401</v>
      </c>
      <c r="M5" s="39" t="s">
        <v>398</v>
      </c>
      <c r="N5" s="37" t="s">
        <v>758</v>
      </c>
      <c r="O5" s="38"/>
      <c r="P5" s="38" t="s">
        <v>689</v>
      </c>
      <c r="Q5" s="70"/>
      <c r="R5" s="37">
        <f>S5*1000</f>
        <v>6000</v>
      </c>
      <c r="S5" s="39">
        <v>6</v>
      </c>
      <c r="T5" s="70"/>
      <c r="U5" s="38">
        <v>1</v>
      </c>
      <c r="V5" s="70"/>
      <c r="W5" s="37">
        <f>IF(X5+Y5+Z5+AA5+AB5+AC5+AD5+AF5+AG5+AH5+AI5+AJ5&lt;&gt;0,1,0)</f>
        <v>1</v>
      </c>
      <c r="X5" s="38"/>
      <c r="Y5" s="146">
        <v>10</v>
      </c>
      <c r="Z5" s="146"/>
      <c r="AA5" s="146">
        <v>1</v>
      </c>
      <c r="AB5" s="38">
        <v>50</v>
      </c>
      <c r="AC5" s="146">
        <v>1</v>
      </c>
      <c r="AD5" s="38">
        <v>50</v>
      </c>
      <c r="AE5" s="70"/>
      <c r="AF5" s="38"/>
      <c r="AG5" s="38"/>
      <c r="AH5" s="38"/>
      <c r="AI5" s="38"/>
      <c r="AJ5" s="38"/>
    </row>
    <row r="6" spans="1:36" s="37" customFormat="1" x14ac:dyDescent="0.15">
      <c r="A6" s="37">
        <f t="shared" si="0"/>
        <v>211010201</v>
      </c>
      <c r="B6" s="39">
        <v>21</v>
      </c>
      <c r="C6" s="112">
        <v>1</v>
      </c>
      <c r="D6" s="116">
        <v>1</v>
      </c>
      <c r="E6" s="39">
        <v>2</v>
      </c>
      <c r="F6" s="39">
        <f t="shared" ref="F6:F19" si="1">H6</f>
        <v>1</v>
      </c>
      <c r="G6" s="70"/>
      <c r="H6" s="61">
        <v>1</v>
      </c>
      <c r="I6" s="73"/>
      <c r="J6" s="61" t="s">
        <v>377</v>
      </c>
      <c r="K6" s="61" t="s">
        <v>1170</v>
      </c>
      <c r="L6" s="39" t="s">
        <v>401</v>
      </c>
      <c r="M6" s="39" t="s">
        <v>398</v>
      </c>
      <c r="N6" s="66" t="s">
        <v>759</v>
      </c>
      <c r="O6" s="61"/>
      <c r="P6" s="38" t="s">
        <v>690</v>
      </c>
      <c r="Q6" s="73"/>
      <c r="R6" s="37">
        <f t="shared" ref="R6:R59" si="2">S6*1000</f>
        <v>9000</v>
      </c>
      <c r="S6" s="148">
        <v>9</v>
      </c>
      <c r="T6" s="73"/>
      <c r="U6" s="61">
        <v>1</v>
      </c>
      <c r="V6" s="73"/>
      <c r="W6" s="37">
        <f t="shared" ref="W6:W59" si="3">IF(X6+Y6+Z6+AA6+AB6+AC6+AD6+AF6+AG6+AH6+AI6+AJ6&lt;&gt;0,1,0)</f>
        <v>1</v>
      </c>
      <c r="X6" s="61"/>
      <c r="Y6" s="147">
        <v>1</v>
      </c>
      <c r="Z6" s="147">
        <v>1</v>
      </c>
      <c r="AA6" s="147">
        <v>1</v>
      </c>
      <c r="AB6" s="61">
        <v>80</v>
      </c>
      <c r="AC6" s="147">
        <v>1</v>
      </c>
      <c r="AD6" s="61">
        <v>80</v>
      </c>
      <c r="AE6" s="73"/>
      <c r="AF6" s="38"/>
      <c r="AG6" s="38"/>
      <c r="AH6" s="38"/>
      <c r="AI6" s="38"/>
      <c r="AJ6" s="38"/>
    </row>
    <row r="7" spans="1:36" s="37" customFormat="1" x14ac:dyDescent="0.15">
      <c r="A7" s="37">
        <f t="shared" si="0"/>
        <v>211010301</v>
      </c>
      <c r="B7" s="39">
        <v>21</v>
      </c>
      <c r="C7" s="112">
        <v>1</v>
      </c>
      <c r="D7" s="116">
        <v>1</v>
      </c>
      <c r="E7" s="39">
        <v>3</v>
      </c>
      <c r="F7" s="39">
        <f t="shared" si="1"/>
        <v>1</v>
      </c>
      <c r="G7" s="70"/>
      <c r="H7" s="61">
        <v>1</v>
      </c>
      <c r="I7" s="73"/>
      <c r="J7" s="61" t="s">
        <v>1454</v>
      </c>
      <c r="K7" s="61" t="s">
        <v>1171</v>
      </c>
      <c r="L7" s="39" t="s">
        <v>401</v>
      </c>
      <c r="M7" s="39" t="s">
        <v>398</v>
      </c>
      <c r="N7" s="66" t="s">
        <v>760</v>
      </c>
      <c r="O7" s="61"/>
      <c r="P7" s="38" t="s">
        <v>1455</v>
      </c>
      <c r="Q7" s="73"/>
      <c r="R7" s="37">
        <f t="shared" si="2"/>
        <v>9000</v>
      </c>
      <c r="S7" s="148">
        <v>9</v>
      </c>
      <c r="T7" s="73"/>
      <c r="U7" s="61">
        <v>1</v>
      </c>
      <c r="V7" s="73"/>
      <c r="W7" s="37">
        <f t="shared" si="3"/>
        <v>1</v>
      </c>
      <c r="X7" s="61"/>
      <c r="Y7" s="147">
        <v>1</v>
      </c>
      <c r="Z7" s="147">
        <v>1</v>
      </c>
      <c r="AA7" s="147">
        <v>1</v>
      </c>
      <c r="AB7" s="61">
        <v>100</v>
      </c>
      <c r="AC7" s="147">
        <v>1</v>
      </c>
      <c r="AD7" s="61">
        <v>80</v>
      </c>
      <c r="AE7" s="73"/>
      <c r="AF7" s="38"/>
      <c r="AG7" s="38"/>
      <c r="AH7" s="38"/>
      <c r="AI7" s="38"/>
      <c r="AJ7" s="38"/>
    </row>
    <row r="8" spans="1:36" s="37" customFormat="1" x14ac:dyDescent="0.15">
      <c r="A8" s="37">
        <f t="shared" si="0"/>
        <v>211020101</v>
      </c>
      <c r="B8" s="39">
        <v>21</v>
      </c>
      <c r="C8" s="112">
        <v>1</v>
      </c>
      <c r="D8" s="115">
        <v>2</v>
      </c>
      <c r="E8" s="39">
        <v>1</v>
      </c>
      <c r="F8" s="39">
        <f>H8</f>
        <v>1</v>
      </c>
      <c r="G8" s="70"/>
      <c r="H8" s="61">
        <v>1</v>
      </c>
      <c r="I8" s="73"/>
      <c r="J8" s="61" t="s">
        <v>438</v>
      </c>
      <c r="K8" s="61" t="s">
        <v>1172</v>
      </c>
      <c r="L8" s="39" t="s">
        <v>430</v>
      </c>
      <c r="M8" s="39" t="s">
        <v>439</v>
      </c>
      <c r="N8" s="66" t="s">
        <v>761</v>
      </c>
      <c r="O8" s="61"/>
      <c r="P8" s="38" t="s">
        <v>691</v>
      </c>
      <c r="Q8" s="73"/>
      <c r="R8" s="37">
        <f t="shared" si="2"/>
        <v>500</v>
      </c>
      <c r="S8" s="148">
        <v>0.5</v>
      </c>
      <c r="T8" s="73"/>
      <c r="U8" s="61">
        <v>1</v>
      </c>
      <c r="V8" s="73"/>
      <c r="W8" s="37">
        <f t="shared" si="3"/>
        <v>0</v>
      </c>
      <c r="X8" s="61"/>
      <c r="Y8" s="147"/>
      <c r="Z8" s="147"/>
      <c r="AA8" s="147"/>
      <c r="AB8" s="61"/>
      <c r="AC8" s="147"/>
      <c r="AD8" s="61"/>
      <c r="AE8" s="73"/>
      <c r="AF8" s="38"/>
      <c r="AG8" s="38"/>
      <c r="AH8" s="38"/>
      <c r="AI8" s="38"/>
      <c r="AJ8" s="38"/>
    </row>
    <row r="9" spans="1:36" s="37" customFormat="1" x14ac:dyDescent="0.15">
      <c r="A9" s="37">
        <f t="shared" si="0"/>
        <v>211010501</v>
      </c>
      <c r="B9" s="39">
        <v>21</v>
      </c>
      <c r="C9" s="112">
        <v>1</v>
      </c>
      <c r="D9" s="116">
        <v>1</v>
      </c>
      <c r="E9" s="39">
        <v>5</v>
      </c>
      <c r="F9" s="39">
        <f t="shared" si="1"/>
        <v>1</v>
      </c>
      <c r="G9" s="70"/>
      <c r="H9" s="61">
        <v>1</v>
      </c>
      <c r="I9" s="73"/>
      <c r="J9" s="35" t="s">
        <v>378</v>
      </c>
      <c r="K9" s="35" t="s">
        <v>1173</v>
      </c>
      <c r="L9" s="39" t="s">
        <v>401</v>
      </c>
      <c r="M9" s="39" t="s">
        <v>398</v>
      </c>
      <c r="N9" s="66" t="s">
        <v>762</v>
      </c>
      <c r="O9" s="61"/>
      <c r="P9" s="38" t="s">
        <v>692</v>
      </c>
      <c r="Q9" s="73"/>
      <c r="R9" s="37">
        <f t="shared" si="2"/>
        <v>1000</v>
      </c>
      <c r="S9" s="39">
        <v>1</v>
      </c>
      <c r="T9" s="73"/>
      <c r="U9" s="61">
        <v>1</v>
      </c>
      <c r="V9" s="73"/>
      <c r="W9" s="37">
        <f t="shared" si="3"/>
        <v>1</v>
      </c>
      <c r="X9" s="61"/>
      <c r="Y9" s="147"/>
      <c r="Z9" s="147">
        <v>50</v>
      </c>
      <c r="AA9" s="147"/>
      <c r="AB9" s="61"/>
      <c r="AC9" s="147"/>
      <c r="AD9" s="61"/>
      <c r="AE9" s="73"/>
      <c r="AF9" s="38"/>
      <c r="AG9" s="38"/>
      <c r="AH9" s="38"/>
      <c r="AI9" s="38"/>
      <c r="AJ9" s="38"/>
    </row>
    <row r="10" spans="1:36" x14ac:dyDescent="0.15">
      <c r="A10" s="34">
        <f t="shared" si="0"/>
        <v>211020201</v>
      </c>
      <c r="B10" s="36">
        <v>21</v>
      </c>
      <c r="C10" s="112">
        <v>1</v>
      </c>
      <c r="D10" s="115">
        <v>2</v>
      </c>
      <c r="E10" s="36">
        <v>2</v>
      </c>
      <c r="F10" s="39">
        <f t="shared" si="1"/>
        <v>1</v>
      </c>
      <c r="G10" s="70"/>
      <c r="H10" s="38">
        <v>1</v>
      </c>
      <c r="J10" s="35" t="s">
        <v>516</v>
      </c>
      <c r="K10" s="35" t="s">
        <v>1174</v>
      </c>
      <c r="L10" s="39" t="s">
        <v>401</v>
      </c>
      <c r="M10" s="39" t="s">
        <v>398</v>
      </c>
      <c r="N10" s="34" t="s">
        <v>763</v>
      </c>
      <c r="P10" s="38" t="s">
        <v>693</v>
      </c>
      <c r="R10" s="37">
        <f t="shared" si="2"/>
        <v>6000</v>
      </c>
      <c r="S10" s="148">
        <v>6</v>
      </c>
      <c r="U10" s="35">
        <v>1</v>
      </c>
      <c r="W10" s="37">
        <f t="shared" si="3"/>
        <v>0</v>
      </c>
    </row>
    <row r="11" spans="1:36" x14ac:dyDescent="0.15">
      <c r="A11" s="34">
        <f>B11*10000000+C11*1000000+D11*10000+E11*100+F11</f>
        <v>211020401</v>
      </c>
      <c r="B11" s="36">
        <v>21</v>
      </c>
      <c r="C11" s="112">
        <v>1</v>
      </c>
      <c r="D11" s="115">
        <v>2</v>
      </c>
      <c r="E11" s="36">
        <v>4</v>
      </c>
      <c r="F11" s="39">
        <f>H11</f>
        <v>1</v>
      </c>
      <c r="G11" s="70"/>
      <c r="H11" s="61">
        <v>1</v>
      </c>
      <c r="J11" s="35" t="s">
        <v>437</v>
      </c>
      <c r="K11" s="35" t="s">
        <v>1175</v>
      </c>
      <c r="L11" s="39" t="s">
        <v>398</v>
      </c>
      <c r="M11" s="39"/>
      <c r="N11" s="34" t="s">
        <v>764</v>
      </c>
      <c r="P11" s="38" t="s">
        <v>694</v>
      </c>
      <c r="R11" s="37">
        <f t="shared" si="2"/>
        <v>3000</v>
      </c>
      <c r="S11" s="148">
        <v>3</v>
      </c>
      <c r="U11" s="35">
        <v>1</v>
      </c>
      <c r="W11" s="37">
        <f t="shared" si="3"/>
        <v>0</v>
      </c>
    </row>
    <row r="12" spans="1:36" x14ac:dyDescent="0.15">
      <c r="A12" s="34">
        <f t="shared" ref="A12:A59" si="4">B12*10000000+C12*1000000+D12*10000+E12*100+F12</f>
        <v>211021001</v>
      </c>
      <c r="B12" s="36">
        <v>21</v>
      </c>
      <c r="C12" s="113">
        <v>1</v>
      </c>
      <c r="D12" s="118">
        <v>2</v>
      </c>
      <c r="E12" s="36">
        <v>10</v>
      </c>
      <c r="F12" s="39">
        <f t="shared" si="1"/>
        <v>1</v>
      </c>
      <c r="G12" s="70"/>
      <c r="H12" s="61">
        <v>1</v>
      </c>
      <c r="J12" s="61" t="s">
        <v>397</v>
      </c>
      <c r="K12" s="61" t="s">
        <v>1176</v>
      </c>
      <c r="L12" s="39" t="s">
        <v>398</v>
      </c>
      <c r="N12" s="34" t="s">
        <v>765</v>
      </c>
      <c r="P12" s="38" t="s">
        <v>823</v>
      </c>
      <c r="R12" s="37">
        <f t="shared" si="2"/>
        <v>50</v>
      </c>
      <c r="S12" s="148">
        <v>0.05</v>
      </c>
      <c r="U12" s="35">
        <v>1</v>
      </c>
      <c r="W12" s="37">
        <f t="shared" si="3"/>
        <v>1</v>
      </c>
      <c r="Y12" s="146">
        <v>10</v>
      </c>
      <c r="Z12" s="146">
        <v>10</v>
      </c>
      <c r="AA12" s="146">
        <v>-10</v>
      </c>
    </row>
    <row r="13" spans="1:36" x14ac:dyDescent="0.15">
      <c r="A13" s="34">
        <f t="shared" si="4"/>
        <v>211020601</v>
      </c>
      <c r="B13" s="36">
        <v>21</v>
      </c>
      <c r="C13" s="113">
        <v>1</v>
      </c>
      <c r="D13" s="115">
        <v>2</v>
      </c>
      <c r="E13" s="36">
        <v>6</v>
      </c>
      <c r="F13" s="39">
        <f t="shared" si="1"/>
        <v>1</v>
      </c>
      <c r="G13" s="70"/>
      <c r="H13" s="38">
        <v>1</v>
      </c>
      <c r="J13" s="35" t="s">
        <v>382</v>
      </c>
      <c r="K13" s="35" t="s">
        <v>1177</v>
      </c>
      <c r="L13" s="36" t="s">
        <v>398</v>
      </c>
      <c r="N13" s="34" t="s">
        <v>766</v>
      </c>
      <c r="P13" s="38" t="s">
        <v>695</v>
      </c>
      <c r="R13" s="37">
        <f t="shared" si="2"/>
        <v>6000</v>
      </c>
      <c r="S13" s="148">
        <v>6</v>
      </c>
      <c r="U13" s="35">
        <v>1</v>
      </c>
      <c r="W13" s="37">
        <f t="shared" si="3"/>
        <v>0</v>
      </c>
    </row>
    <row r="14" spans="1:36" x14ac:dyDescent="0.15">
      <c r="A14" s="34">
        <f t="shared" si="4"/>
        <v>211020801</v>
      </c>
      <c r="B14" s="36">
        <v>21</v>
      </c>
      <c r="C14" s="113">
        <v>1</v>
      </c>
      <c r="D14" s="118">
        <v>2</v>
      </c>
      <c r="E14" s="36">
        <v>8</v>
      </c>
      <c r="F14" s="39">
        <f t="shared" si="1"/>
        <v>1</v>
      </c>
      <c r="G14" s="70"/>
      <c r="H14" s="61">
        <v>1</v>
      </c>
      <c r="J14" s="35" t="s">
        <v>384</v>
      </c>
      <c r="K14" s="35" t="s">
        <v>1178</v>
      </c>
      <c r="L14" s="36" t="s">
        <v>398</v>
      </c>
      <c r="N14" s="34" t="s">
        <v>767</v>
      </c>
      <c r="P14" s="38" t="s">
        <v>696</v>
      </c>
      <c r="R14" s="37">
        <f t="shared" si="2"/>
        <v>6000</v>
      </c>
      <c r="S14" s="39">
        <v>6</v>
      </c>
      <c r="U14" s="35">
        <v>1</v>
      </c>
      <c r="W14" s="37">
        <f t="shared" si="3"/>
        <v>0</v>
      </c>
    </row>
    <row r="15" spans="1:36" x14ac:dyDescent="0.15">
      <c r="A15" s="34">
        <f t="shared" ref="A15" si="5">B15*10000000+C15*1000000+D15*10000+E15*100+F15</f>
        <v>211021201</v>
      </c>
      <c r="B15" s="36">
        <v>21</v>
      </c>
      <c r="C15" s="113">
        <v>1</v>
      </c>
      <c r="D15" s="115">
        <v>2</v>
      </c>
      <c r="E15" s="36">
        <v>12</v>
      </c>
      <c r="F15" s="39">
        <f t="shared" ref="F15" si="6">H15</f>
        <v>1</v>
      </c>
      <c r="G15" s="70"/>
      <c r="H15" s="61">
        <v>1</v>
      </c>
      <c r="J15" s="35" t="s">
        <v>485</v>
      </c>
      <c r="K15" s="35" t="s">
        <v>1179</v>
      </c>
      <c r="L15" s="36" t="s">
        <v>486</v>
      </c>
      <c r="M15" s="36" t="s">
        <v>487</v>
      </c>
      <c r="N15" s="34" t="s">
        <v>1018</v>
      </c>
      <c r="P15" s="38" t="s">
        <v>697</v>
      </c>
      <c r="R15" s="37">
        <f t="shared" si="2"/>
        <v>10000</v>
      </c>
      <c r="S15" s="148">
        <v>10</v>
      </c>
      <c r="U15" s="35">
        <v>1</v>
      </c>
      <c r="W15" s="37">
        <f t="shared" si="3"/>
        <v>1</v>
      </c>
      <c r="X15" s="35">
        <v>50</v>
      </c>
    </row>
    <row r="16" spans="1:36" x14ac:dyDescent="0.15">
      <c r="A16" s="34">
        <f t="shared" si="4"/>
        <v>213010101</v>
      </c>
      <c r="B16" s="36">
        <v>21</v>
      </c>
      <c r="C16" s="36">
        <v>3</v>
      </c>
      <c r="D16" s="117">
        <v>1</v>
      </c>
      <c r="E16" s="36">
        <v>1</v>
      </c>
      <c r="F16" s="39">
        <f t="shared" si="1"/>
        <v>1</v>
      </c>
      <c r="G16" s="70"/>
      <c r="H16" s="61">
        <v>1</v>
      </c>
      <c r="J16" s="35" t="s">
        <v>387</v>
      </c>
      <c r="K16" s="35" t="s">
        <v>1180</v>
      </c>
      <c r="L16" s="36" t="s">
        <v>398</v>
      </c>
      <c r="N16" s="34" t="s">
        <v>768</v>
      </c>
      <c r="P16" s="38" t="s">
        <v>698</v>
      </c>
      <c r="R16" s="37">
        <f t="shared" si="2"/>
        <v>1000000</v>
      </c>
      <c r="S16" s="148">
        <v>1000</v>
      </c>
      <c r="U16" s="35">
        <v>1</v>
      </c>
      <c r="W16" s="37">
        <f t="shared" si="3"/>
        <v>0</v>
      </c>
    </row>
    <row r="17" spans="1:23" x14ac:dyDescent="0.15">
      <c r="A17" s="34">
        <f t="shared" si="4"/>
        <v>213010201</v>
      </c>
      <c r="B17" s="36">
        <v>21</v>
      </c>
      <c r="C17" s="36">
        <v>3</v>
      </c>
      <c r="D17" s="117">
        <v>1</v>
      </c>
      <c r="E17" s="36">
        <v>2</v>
      </c>
      <c r="F17" s="39">
        <f t="shared" si="1"/>
        <v>1</v>
      </c>
      <c r="G17" s="70"/>
      <c r="H17" s="38">
        <v>1</v>
      </c>
      <c r="J17" s="35" t="s">
        <v>388</v>
      </c>
      <c r="K17" s="35" t="s">
        <v>1181</v>
      </c>
      <c r="L17" s="36" t="s">
        <v>398</v>
      </c>
      <c r="N17" s="34" t="s">
        <v>769</v>
      </c>
      <c r="P17" s="38" t="s">
        <v>699</v>
      </c>
      <c r="R17" s="37">
        <f t="shared" si="2"/>
        <v>1000000</v>
      </c>
      <c r="S17" s="39">
        <v>1000</v>
      </c>
      <c r="U17" s="35">
        <v>1</v>
      </c>
      <c r="W17" s="37">
        <f t="shared" si="3"/>
        <v>0</v>
      </c>
    </row>
    <row r="18" spans="1:23" x14ac:dyDescent="0.15">
      <c r="A18" s="34">
        <f t="shared" si="4"/>
        <v>213010301</v>
      </c>
      <c r="B18" s="36">
        <v>21</v>
      </c>
      <c r="C18" s="36">
        <v>3</v>
      </c>
      <c r="D18" s="117">
        <v>1</v>
      </c>
      <c r="E18" s="36">
        <v>3</v>
      </c>
      <c r="F18" s="39">
        <f t="shared" si="1"/>
        <v>1</v>
      </c>
      <c r="G18" s="70"/>
      <c r="H18" s="61">
        <v>1</v>
      </c>
      <c r="J18" s="35" t="s">
        <v>389</v>
      </c>
      <c r="K18" s="35" t="s">
        <v>1182</v>
      </c>
      <c r="L18" s="36" t="s">
        <v>398</v>
      </c>
      <c r="N18" s="34" t="s">
        <v>769</v>
      </c>
      <c r="P18" s="38" t="s">
        <v>700</v>
      </c>
      <c r="R18" s="37">
        <f t="shared" si="2"/>
        <v>1000000</v>
      </c>
      <c r="S18" s="39">
        <v>1000</v>
      </c>
      <c r="U18" s="35">
        <v>1</v>
      </c>
      <c r="W18" s="37">
        <f t="shared" si="3"/>
        <v>0</v>
      </c>
    </row>
    <row r="19" spans="1:23" x14ac:dyDescent="0.15">
      <c r="A19" s="34">
        <f t="shared" si="4"/>
        <v>213010401</v>
      </c>
      <c r="B19" s="36">
        <v>21</v>
      </c>
      <c r="C19" s="36">
        <v>3</v>
      </c>
      <c r="D19" s="117">
        <v>1</v>
      </c>
      <c r="E19" s="36">
        <v>4</v>
      </c>
      <c r="F19" s="39">
        <f t="shared" si="1"/>
        <v>1</v>
      </c>
      <c r="G19" s="70"/>
      <c r="H19" s="61">
        <v>1</v>
      </c>
      <c r="J19" s="35" t="s">
        <v>390</v>
      </c>
      <c r="K19" s="35" t="s">
        <v>1183</v>
      </c>
      <c r="L19" s="36" t="s">
        <v>398</v>
      </c>
      <c r="N19" s="34" t="s">
        <v>769</v>
      </c>
      <c r="P19" s="38" t="s">
        <v>701</v>
      </c>
      <c r="R19" s="37">
        <f t="shared" si="2"/>
        <v>1000000</v>
      </c>
      <c r="S19" s="39">
        <v>1000</v>
      </c>
      <c r="U19" s="35">
        <v>1</v>
      </c>
      <c r="W19" s="37">
        <f t="shared" si="3"/>
        <v>0</v>
      </c>
    </row>
    <row r="20" spans="1:23" x14ac:dyDescent="0.15">
      <c r="A20" s="34">
        <f t="shared" si="4"/>
        <v>213010501</v>
      </c>
      <c r="B20" s="36">
        <v>21</v>
      </c>
      <c r="C20" s="36">
        <v>3</v>
      </c>
      <c r="D20" s="117">
        <v>1</v>
      </c>
      <c r="E20" s="36">
        <v>5</v>
      </c>
      <c r="F20" s="39">
        <f>H20</f>
        <v>1</v>
      </c>
      <c r="G20" s="70"/>
      <c r="H20" s="61">
        <v>1</v>
      </c>
      <c r="J20" s="35" t="s">
        <v>441</v>
      </c>
      <c r="K20" s="35" t="s">
        <v>1184</v>
      </c>
      <c r="L20" s="36" t="s">
        <v>439</v>
      </c>
      <c r="N20" s="34" t="s">
        <v>768</v>
      </c>
      <c r="P20" s="38" t="s">
        <v>702</v>
      </c>
      <c r="R20" s="37">
        <f t="shared" si="2"/>
        <v>1000000</v>
      </c>
      <c r="S20" s="39">
        <v>1000</v>
      </c>
      <c r="U20" s="35">
        <v>1</v>
      </c>
      <c r="W20" s="37">
        <f t="shared" si="3"/>
        <v>0</v>
      </c>
    </row>
    <row r="21" spans="1:23" x14ac:dyDescent="0.15">
      <c r="A21" s="34">
        <f t="shared" si="4"/>
        <v>213010601</v>
      </c>
      <c r="B21" s="36">
        <v>21</v>
      </c>
      <c r="C21" s="36">
        <v>3</v>
      </c>
      <c r="D21" s="117">
        <v>1</v>
      </c>
      <c r="E21" s="36">
        <v>6</v>
      </c>
      <c r="F21" s="39">
        <f t="shared" ref="F21:F59" si="7">H21</f>
        <v>1</v>
      </c>
      <c r="G21" s="70"/>
      <c r="H21" s="61">
        <v>1</v>
      </c>
      <c r="J21" s="35" t="s">
        <v>442</v>
      </c>
      <c r="K21" s="35" t="s">
        <v>1185</v>
      </c>
      <c r="L21" s="36" t="s">
        <v>439</v>
      </c>
      <c r="N21" s="34" t="s">
        <v>768</v>
      </c>
      <c r="P21" s="38" t="s">
        <v>703</v>
      </c>
      <c r="R21" s="37">
        <f t="shared" si="2"/>
        <v>1000000</v>
      </c>
      <c r="S21" s="39">
        <v>1000</v>
      </c>
      <c r="U21" s="35">
        <v>1</v>
      </c>
      <c r="W21" s="37">
        <f t="shared" si="3"/>
        <v>0</v>
      </c>
    </row>
    <row r="22" spans="1:23" x14ac:dyDescent="0.15">
      <c r="A22" s="34">
        <f t="shared" si="4"/>
        <v>213010701</v>
      </c>
      <c r="B22" s="36">
        <v>21</v>
      </c>
      <c r="C22" s="36">
        <v>3</v>
      </c>
      <c r="D22" s="117">
        <v>1</v>
      </c>
      <c r="E22" s="36">
        <v>7</v>
      </c>
      <c r="F22" s="39">
        <f t="shared" si="7"/>
        <v>1</v>
      </c>
      <c r="G22" s="70"/>
      <c r="H22" s="61">
        <v>1</v>
      </c>
      <c r="J22" s="35" t="s">
        <v>443</v>
      </c>
      <c r="K22" s="35" t="s">
        <v>1186</v>
      </c>
      <c r="L22" s="36" t="s">
        <v>439</v>
      </c>
      <c r="N22" s="34" t="s">
        <v>768</v>
      </c>
      <c r="P22" s="38" t="s">
        <v>704</v>
      </c>
      <c r="R22" s="37">
        <f t="shared" si="2"/>
        <v>5000000</v>
      </c>
      <c r="S22" s="39">
        <v>5000</v>
      </c>
      <c r="U22" s="35">
        <v>1</v>
      </c>
      <c r="W22" s="37">
        <f t="shared" si="3"/>
        <v>0</v>
      </c>
    </row>
    <row r="23" spans="1:23" x14ac:dyDescent="0.15">
      <c r="A23" s="34">
        <f t="shared" si="4"/>
        <v>213010801</v>
      </c>
      <c r="B23" s="36">
        <v>21</v>
      </c>
      <c r="C23" s="36">
        <v>3</v>
      </c>
      <c r="D23" s="117">
        <v>1</v>
      </c>
      <c r="E23" s="36">
        <v>8</v>
      </c>
      <c r="F23" s="39">
        <f t="shared" si="7"/>
        <v>1</v>
      </c>
      <c r="G23" s="70"/>
      <c r="H23" s="61">
        <v>1</v>
      </c>
      <c r="J23" s="35" t="s">
        <v>450</v>
      </c>
      <c r="K23" s="35" t="s">
        <v>1187</v>
      </c>
      <c r="L23" s="36" t="s">
        <v>439</v>
      </c>
      <c r="N23" s="34" t="s">
        <v>768</v>
      </c>
      <c r="P23" s="38" t="s">
        <v>705</v>
      </c>
      <c r="R23" s="37">
        <f t="shared" si="2"/>
        <v>1000000</v>
      </c>
      <c r="S23" s="39">
        <v>1000</v>
      </c>
      <c r="U23" s="35">
        <v>1</v>
      </c>
      <c r="W23" s="37">
        <f t="shared" si="3"/>
        <v>0</v>
      </c>
    </row>
    <row r="24" spans="1:23" x14ac:dyDescent="0.15">
      <c r="A24" s="34">
        <f t="shared" si="4"/>
        <v>213010901</v>
      </c>
      <c r="B24" s="36">
        <v>21</v>
      </c>
      <c r="C24" s="36">
        <v>3</v>
      </c>
      <c r="D24" s="117">
        <v>1</v>
      </c>
      <c r="E24" s="36">
        <v>9</v>
      </c>
      <c r="F24" s="39">
        <f t="shared" si="7"/>
        <v>1</v>
      </c>
      <c r="G24" s="70"/>
      <c r="H24" s="61">
        <v>1</v>
      </c>
      <c r="J24" s="35" t="s">
        <v>444</v>
      </c>
      <c r="K24" s="35" t="s">
        <v>1188</v>
      </c>
      <c r="L24" s="36" t="s">
        <v>439</v>
      </c>
      <c r="N24" s="34" t="s">
        <v>768</v>
      </c>
      <c r="P24" s="38" t="s">
        <v>707</v>
      </c>
      <c r="R24" s="37">
        <f t="shared" si="2"/>
        <v>1000000</v>
      </c>
      <c r="S24" s="39">
        <v>1000</v>
      </c>
      <c r="U24" s="35">
        <v>1</v>
      </c>
      <c r="W24" s="37">
        <f t="shared" si="3"/>
        <v>0</v>
      </c>
    </row>
    <row r="25" spans="1:23" x14ac:dyDescent="0.15">
      <c r="A25" s="34">
        <f t="shared" si="4"/>
        <v>213011001</v>
      </c>
      <c r="B25" s="36">
        <v>21</v>
      </c>
      <c r="C25" s="36">
        <v>3</v>
      </c>
      <c r="D25" s="117">
        <v>1</v>
      </c>
      <c r="E25" s="36">
        <v>10</v>
      </c>
      <c r="F25" s="39">
        <f t="shared" si="7"/>
        <v>1</v>
      </c>
      <c r="G25" s="70"/>
      <c r="H25" s="61">
        <v>1</v>
      </c>
      <c r="J25" s="35" t="s">
        <v>445</v>
      </c>
      <c r="K25" s="35" t="s">
        <v>1189</v>
      </c>
      <c r="L25" s="36" t="s">
        <v>439</v>
      </c>
      <c r="N25" s="34" t="s">
        <v>768</v>
      </c>
      <c r="P25" s="38" t="s">
        <v>706</v>
      </c>
      <c r="R25" s="37">
        <f t="shared" si="2"/>
        <v>5000000</v>
      </c>
      <c r="S25" s="39">
        <v>5000</v>
      </c>
      <c r="U25" s="35">
        <v>1</v>
      </c>
      <c r="W25" s="37">
        <f t="shared" si="3"/>
        <v>0</v>
      </c>
    </row>
    <row r="26" spans="1:23" x14ac:dyDescent="0.15">
      <c r="A26" s="34">
        <f t="shared" si="4"/>
        <v>213011101</v>
      </c>
      <c r="B26" s="36">
        <v>21</v>
      </c>
      <c r="C26" s="36">
        <v>3</v>
      </c>
      <c r="D26" s="117">
        <v>1</v>
      </c>
      <c r="E26" s="36">
        <v>11</v>
      </c>
      <c r="F26" s="39">
        <f t="shared" si="7"/>
        <v>1</v>
      </c>
      <c r="G26" s="70"/>
      <c r="H26" s="61">
        <v>1</v>
      </c>
      <c r="J26" s="35" t="s">
        <v>446</v>
      </c>
      <c r="K26" s="35" t="s">
        <v>1190</v>
      </c>
      <c r="L26" s="36" t="s">
        <v>439</v>
      </c>
      <c r="N26" s="34" t="s">
        <v>768</v>
      </c>
      <c r="P26" s="38" t="s">
        <v>708</v>
      </c>
      <c r="R26" s="37">
        <f t="shared" si="2"/>
        <v>10000000</v>
      </c>
      <c r="S26" s="39">
        <v>10000</v>
      </c>
      <c r="U26" s="35">
        <v>1</v>
      </c>
      <c r="W26" s="37">
        <f t="shared" si="3"/>
        <v>0</v>
      </c>
    </row>
    <row r="27" spans="1:23" x14ac:dyDescent="0.15">
      <c r="A27" s="34">
        <f t="shared" si="4"/>
        <v>213011201</v>
      </c>
      <c r="B27" s="36">
        <v>21</v>
      </c>
      <c r="C27" s="36">
        <v>3</v>
      </c>
      <c r="D27" s="117">
        <v>1</v>
      </c>
      <c r="E27" s="36">
        <v>12</v>
      </c>
      <c r="F27" s="39">
        <f t="shared" si="7"/>
        <v>1</v>
      </c>
      <c r="G27" s="70"/>
      <c r="H27" s="61">
        <v>1</v>
      </c>
      <c r="J27" s="35" t="s">
        <v>456</v>
      </c>
      <c r="K27" s="35" t="s">
        <v>1191</v>
      </c>
      <c r="L27" s="36" t="s">
        <v>439</v>
      </c>
      <c r="N27" s="34" t="s">
        <v>768</v>
      </c>
      <c r="P27" s="38" t="s">
        <v>709</v>
      </c>
      <c r="R27" s="37">
        <f t="shared" si="2"/>
        <v>3000000</v>
      </c>
      <c r="S27" s="39">
        <v>3000</v>
      </c>
      <c r="U27" s="35">
        <v>1</v>
      </c>
      <c r="W27" s="37">
        <f t="shared" si="3"/>
        <v>0</v>
      </c>
    </row>
    <row r="28" spans="1:23" x14ac:dyDescent="0.15">
      <c r="A28" s="34">
        <f t="shared" si="4"/>
        <v>213011301</v>
      </c>
      <c r="B28" s="36">
        <v>21</v>
      </c>
      <c r="C28" s="36">
        <v>3</v>
      </c>
      <c r="D28" s="117">
        <v>1</v>
      </c>
      <c r="E28" s="36">
        <v>13</v>
      </c>
      <c r="F28" s="39">
        <f t="shared" si="7"/>
        <v>1</v>
      </c>
      <c r="G28" s="70"/>
      <c r="H28" s="61">
        <v>1</v>
      </c>
      <c r="J28" s="35" t="s">
        <v>460</v>
      </c>
      <c r="K28" s="35" t="s">
        <v>1192</v>
      </c>
      <c r="L28" s="36" t="s">
        <v>439</v>
      </c>
      <c r="N28" s="34" t="s">
        <v>768</v>
      </c>
      <c r="P28" s="38" t="s">
        <v>710</v>
      </c>
      <c r="R28" s="37">
        <f t="shared" si="2"/>
        <v>5000000</v>
      </c>
      <c r="S28" s="39">
        <v>5000</v>
      </c>
      <c r="U28" s="35">
        <v>1</v>
      </c>
      <c r="W28" s="37">
        <f t="shared" si="3"/>
        <v>0</v>
      </c>
    </row>
    <row r="29" spans="1:23" x14ac:dyDescent="0.15">
      <c r="A29" s="34">
        <f t="shared" si="4"/>
        <v>213011401</v>
      </c>
      <c r="B29" s="36">
        <v>21</v>
      </c>
      <c r="C29" s="36">
        <v>3</v>
      </c>
      <c r="D29" s="117">
        <v>1</v>
      </c>
      <c r="E29" s="36">
        <v>14</v>
      </c>
      <c r="F29" s="39">
        <f t="shared" si="7"/>
        <v>1</v>
      </c>
      <c r="G29" s="70"/>
      <c r="H29" s="61">
        <v>1</v>
      </c>
      <c r="J29" s="35" t="s">
        <v>461</v>
      </c>
      <c r="K29" s="35" t="s">
        <v>1193</v>
      </c>
      <c r="L29" s="36" t="s">
        <v>439</v>
      </c>
      <c r="N29" s="34" t="s">
        <v>768</v>
      </c>
      <c r="P29" s="38" t="s">
        <v>711</v>
      </c>
      <c r="R29" s="37">
        <f t="shared" si="2"/>
        <v>1000000</v>
      </c>
      <c r="S29" s="39">
        <v>1000</v>
      </c>
      <c r="U29" s="35">
        <v>1</v>
      </c>
      <c r="W29" s="37">
        <f t="shared" si="3"/>
        <v>0</v>
      </c>
    </row>
    <row r="30" spans="1:23" x14ac:dyDescent="0.15">
      <c r="A30" s="34">
        <f t="shared" si="4"/>
        <v>213011501</v>
      </c>
      <c r="B30" s="36">
        <v>21</v>
      </c>
      <c r="C30" s="36">
        <v>3</v>
      </c>
      <c r="D30" s="117">
        <v>1</v>
      </c>
      <c r="E30" s="36">
        <v>15</v>
      </c>
      <c r="F30" s="39">
        <f t="shared" si="7"/>
        <v>1</v>
      </c>
      <c r="G30" s="70"/>
      <c r="H30" s="61">
        <v>1</v>
      </c>
      <c r="J30" s="35" t="s">
        <v>464</v>
      </c>
      <c r="K30" s="35" t="s">
        <v>1194</v>
      </c>
      <c r="L30" s="36" t="s">
        <v>439</v>
      </c>
      <c r="N30" s="34" t="s">
        <v>768</v>
      </c>
      <c r="P30" s="38" t="s">
        <v>712</v>
      </c>
      <c r="R30" s="37">
        <f t="shared" si="2"/>
        <v>1000000</v>
      </c>
      <c r="S30" s="39">
        <v>1000</v>
      </c>
      <c r="U30" s="35">
        <v>1</v>
      </c>
      <c r="W30" s="37">
        <f t="shared" si="3"/>
        <v>0</v>
      </c>
    </row>
    <row r="31" spans="1:23" x14ac:dyDescent="0.15">
      <c r="A31" s="34">
        <f t="shared" si="4"/>
        <v>213011601</v>
      </c>
      <c r="B31" s="36">
        <v>21</v>
      </c>
      <c r="C31" s="36">
        <v>3</v>
      </c>
      <c r="D31" s="117">
        <v>1</v>
      </c>
      <c r="E31" s="36">
        <v>16</v>
      </c>
      <c r="F31" s="39">
        <f t="shared" si="7"/>
        <v>1</v>
      </c>
      <c r="G31" s="70"/>
      <c r="H31" s="61">
        <v>1</v>
      </c>
      <c r="J31" s="35" t="s">
        <v>469</v>
      </c>
      <c r="K31" s="35" t="s">
        <v>1195</v>
      </c>
      <c r="L31" s="36" t="s">
        <v>439</v>
      </c>
      <c r="N31" s="34" t="s">
        <v>768</v>
      </c>
      <c r="P31" s="38" t="s">
        <v>713</v>
      </c>
      <c r="R31" s="37">
        <f t="shared" si="2"/>
        <v>5000000</v>
      </c>
      <c r="S31" s="39">
        <v>5000</v>
      </c>
      <c r="U31" s="35">
        <v>1</v>
      </c>
      <c r="W31" s="37">
        <f t="shared" si="3"/>
        <v>0</v>
      </c>
    </row>
    <row r="32" spans="1:23" x14ac:dyDescent="0.15">
      <c r="A32" s="34">
        <f t="shared" si="4"/>
        <v>213011701</v>
      </c>
      <c r="B32" s="36">
        <v>21</v>
      </c>
      <c r="C32" s="36">
        <v>3</v>
      </c>
      <c r="D32" s="117">
        <v>1</v>
      </c>
      <c r="E32" s="36">
        <v>17</v>
      </c>
      <c r="F32" s="39">
        <f t="shared" si="7"/>
        <v>1</v>
      </c>
      <c r="G32" s="70"/>
      <c r="H32" s="61">
        <v>1</v>
      </c>
      <c r="J32" s="35" t="s">
        <v>465</v>
      </c>
      <c r="K32" s="35" t="s">
        <v>1196</v>
      </c>
      <c r="L32" s="36" t="s">
        <v>439</v>
      </c>
      <c r="N32" s="34" t="s">
        <v>768</v>
      </c>
      <c r="P32" s="38" t="s">
        <v>714</v>
      </c>
      <c r="R32" s="37">
        <f t="shared" si="2"/>
        <v>10000000</v>
      </c>
      <c r="S32" s="39">
        <v>10000</v>
      </c>
      <c r="U32" s="35">
        <v>1</v>
      </c>
      <c r="W32" s="37">
        <f t="shared" si="3"/>
        <v>0</v>
      </c>
    </row>
    <row r="33" spans="1:36" x14ac:dyDescent="0.15">
      <c r="A33" s="34">
        <f t="shared" si="4"/>
        <v>213011801</v>
      </c>
      <c r="B33" s="36">
        <v>21</v>
      </c>
      <c r="C33" s="36">
        <v>3</v>
      </c>
      <c r="D33" s="117">
        <v>1</v>
      </c>
      <c r="E33" s="36">
        <v>18</v>
      </c>
      <c r="F33" s="39">
        <f t="shared" si="7"/>
        <v>1</v>
      </c>
      <c r="G33" s="70"/>
      <c r="H33" s="61">
        <v>1</v>
      </c>
      <c r="J33" s="35" t="s">
        <v>466</v>
      </c>
      <c r="K33" s="35" t="s">
        <v>1197</v>
      </c>
      <c r="L33" s="36" t="s">
        <v>439</v>
      </c>
      <c r="N33" s="34" t="s">
        <v>768</v>
      </c>
      <c r="P33" s="38" t="s">
        <v>715</v>
      </c>
      <c r="Q33" s="84" t="s">
        <v>488</v>
      </c>
      <c r="R33" s="37">
        <f t="shared" si="2"/>
        <v>10000000</v>
      </c>
      <c r="S33" s="39">
        <v>10000</v>
      </c>
      <c r="U33" s="35">
        <v>1</v>
      </c>
      <c r="W33" s="37">
        <f t="shared" si="3"/>
        <v>0</v>
      </c>
    </row>
    <row r="34" spans="1:36" x14ac:dyDescent="0.15">
      <c r="A34" s="34">
        <f t="shared" si="4"/>
        <v>213011901</v>
      </c>
      <c r="B34" s="36">
        <v>21</v>
      </c>
      <c r="C34" s="36">
        <v>3</v>
      </c>
      <c r="D34" s="117">
        <v>1</v>
      </c>
      <c r="E34" s="36">
        <v>19</v>
      </c>
      <c r="F34" s="39">
        <f t="shared" si="7"/>
        <v>1</v>
      </c>
      <c r="G34" s="70"/>
      <c r="H34" s="61">
        <v>1</v>
      </c>
      <c r="J34" s="35" t="s">
        <v>467</v>
      </c>
      <c r="K34" s="35" t="s">
        <v>1198</v>
      </c>
      <c r="L34" s="36" t="s">
        <v>439</v>
      </c>
      <c r="N34" s="34" t="s">
        <v>768</v>
      </c>
      <c r="P34" s="38" t="s">
        <v>716</v>
      </c>
      <c r="R34" s="37">
        <f t="shared" si="2"/>
        <v>10000000</v>
      </c>
      <c r="S34" s="39">
        <v>10000</v>
      </c>
      <c r="U34" s="35">
        <v>1</v>
      </c>
      <c r="W34" s="37">
        <f t="shared" si="3"/>
        <v>0</v>
      </c>
    </row>
    <row r="35" spans="1:36" x14ac:dyDescent="0.15">
      <c r="A35" s="34">
        <f t="shared" si="4"/>
        <v>212010101</v>
      </c>
      <c r="B35" s="36">
        <v>21</v>
      </c>
      <c r="C35" s="114">
        <v>2</v>
      </c>
      <c r="D35" s="117">
        <v>1</v>
      </c>
      <c r="E35" s="36">
        <v>1</v>
      </c>
      <c r="F35" s="39">
        <f t="shared" si="7"/>
        <v>1</v>
      </c>
      <c r="G35" s="70"/>
      <c r="H35" s="61">
        <v>1</v>
      </c>
      <c r="J35" s="35" t="s">
        <v>475</v>
      </c>
      <c r="K35" s="35" t="s">
        <v>1199</v>
      </c>
      <c r="L35" s="36" t="s">
        <v>484</v>
      </c>
      <c r="N35" s="34" t="s">
        <v>1001</v>
      </c>
      <c r="P35" s="38" t="s">
        <v>717</v>
      </c>
      <c r="R35" s="37">
        <f t="shared" si="2"/>
        <v>100000</v>
      </c>
      <c r="S35" s="39">
        <v>100</v>
      </c>
      <c r="U35" s="35">
        <v>1</v>
      </c>
      <c r="W35" s="37">
        <f t="shared" si="3"/>
        <v>1</v>
      </c>
      <c r="AG35" s="35">
        <v>10</v>
      </c>
    </row>
    <row r="36" spans="1:36" x14ac:dyDescent="0.15">
      <c r="A36" s="34">
        <f t="shared" si="4"/>
        <v>212010201</v>
      </c>
      <c r="B36" s="36">
        <v>21</v>
      </c>
      <c r="C36" s="114">
        <v>2</v>
      </c>
      <c r="D36" s="117">
        <v>1</v>
      </c>
      <c r="E36" s="36">
        <v>2</v>
      </c>
      <c r="F36" s="39">
        <f t="shared" si="7"/>
        <v>1</v>
      </c>
      <c r="G36" s="70"/>
      <c r="H36" s="61">
        <v>1</v>
      </c>
      <c r="J36" s="35" t="s">
        <v>476</v>
      </c>
      <c r="K36" s="35" t="s">
        <v>1200</v>
      </c>
      <c r="L36" s="36" t="s">
        <v>484</v>
      </c>
      <c r="N36" s="34" t="s">
        <v>1002</v>
      </c>
      <c r="P36" s="38" t="s">
        <v>717</v>
      </c>
      <c r="R36" s="37">
        <f t="shared" si="2"/>
        <v>1000000</v>
      </c>
      <c r="S36" s="39">
        <v>1000</v>
      </c>
      <c r="U36" s="35">
        <v>1</v>
      </c>
      <c r="W36" s="37">
        <f t="shared" si="3"/>
        <v>1</v>
      </c>
      <c r="AG36" s="35">
        <v>20</v>
      </c>
    </row>
    <row r="37" spans="1:36" x14ac:dyDescent="0.15">
      <c r="A37" s="34">
        <f t="shared" si="4"/>
        <v>212010301</v>
      </c>
      <c r="B37" s="36">
        <v>21</v>
      </c>
      <c r="C37" s="114">
        <v>2</v>
      </c>
      <c r="D37" s="117">
        <v>1</v>
      </c>
      <c r="E37" s="36">
        <v>3</v>
      </c>
      <c r="F37" s="39">
        <f t="shared" si="7"/>
        <v>1</v>
      </c>
      <c r="G37" s="70"/>
      <c r="H37" s="61">
        <v>1</v>
      </c>
      <c r="J37" s="35" t="s">
        <v>477</v>
      </c>
      <c r="K37" s="35" t="s">
        <v>1201</v>
      </c>
      <c r="L37" s="36" t="s">
        <v>484</v>
      </c>
      <c r="N37" s="34" t="s">
        <v>1003</v>
      </c>
      <c r="P37" s="38" t="s">
        <v>717</v>
      </c>
      <c r="R37" s="37">
        <f t="shared" si="2"/>
        <v>10000000</v>
      </c>
      <c r="S37" s="39">
        <v>10000</v>
      </c>
      <c r="U37" s="35">
        <v>1</v>
      </c>
      <c r="W37" s="37">
        <f t="shared" si="3"/>
        <v>1</v>
      </c>
      <c r="AG37" s="35">
        <v>30</v>
      </c>
    </row>
    <row r="38" spans="1:36" x14ac:dyDescent="0.15">
      <c r="A38" s="34">
        <f t="shared" si="4"/>
        <v>212020101</v>
      </c>
      <c r="B38" s="36">
        <v>21</v>
      </c>
      <c r="C38" s="114">
        <v>2</v>
      </c>
      <c r="D38" s="118">
        <v>2</v>
      </c>
      <c r="E38" s="36">
        <v>1</v>
      </c>
      <c r="F38" s="39">
        <f t="shared" si="7"/>
        <v>1</v>
      </c>
      <c r="G38" s="70"/>
      <c r="H38" s="61">
        <v>1</v>
      </c>
      <c r="J38" s="35" t="s">
        <v>391</v>
      </c>
      <c r="K38" s="35" t="s">
        <v>1202</v>
      </c>
      <c r="L38" s="36" t="s">
        <v>398</v>
      </c>
      <c r="N38" s="34" t="s">
        <v>1004</v>
      </c>
      <c r="P38" s="38" t="s">
        <v>718</v>
      </c>
      <c r="R38" s="37">
        <f t="shared" si="2"/>
        <v>100000</v>
      </c>
      <c r="S38" s="39">
        <v>100</v>
      </c>
      <c r="U38" s="35">
        <v>1</v>
      </c>
      <c r="W38" s="37">
        <f t="shared" si="3"/>
        <v>1</v>
      </c>
      <c r="AF38" s="35">
        <v>100</v>
      </c>
    </row>
    <row r="39" spans="1:36" x14ac:dyDescent="0.15">
      <c r="A39" s="34">
        <f t="shared" si="4"/>
        <v>212020201</v>
      </c>
      <c r="B39" s="36">
        <v>21</v>
      </c>
      <c r="C39" s="114">
        <v>2</v>
      </c>
      <c r="D39" s="118">
        <v>2</v>
      </c>
      <c r="E39" s="36">
        <v>2</v>
      </c>
      <c r="F39" s="39">
        <f t="shared" si="7"/>
        <v>1</v>
      </c>
      <c r="G39" s="70"/>
      <c r="H39" s="38">
        <v>1</v>
      </c>
      <c r="J39" s="35" t="s">
        <v>392</v>
      </c>
      <c r="K39" s="35" t="s">
        <v>1203</v>
      </c>
      <c r="L39" s="36" t="s">
        <v>398</v>
      </c>
      <c r="N39" s="34" t="s">
        <v>1005</v>
      </c>
      <c r="P39" s="38" t="s">
        <v>719</v>
      </c>
      <c r="R39" s="37">
        <f t="shared" si="2"/>
        <v>1000000</v>
      </c>
      <c r="S39" s="39">
        <v>1000</v>
      </c>
      <c r="U39" s="35">
        <v>1</v>
      </c>
      <c r="W39" s="37">
        <f t="shared" si="3"/>
        <v>1</v>
      </c>
      <c r="AF39" s="35">
        <v>200</v>
      </c>
      <c r="AH39" s="35">
        <v>-3</v>
      </c>
    </row>
    <row r="40" spans="1:36" x14ac:dyDescent="0.15">
      <c r="A40" s="34">
        <f t="shared" si="4"/>
        <v>212020301</v>
      </c>
      <c r="B40" s="36">
        <v>21</v>
      </c>
      <c r="C40" s="114">
        <v>2</v>
      </c>
      <c r="D40" s="118">
        <v>2</v>
      </c>
      <c r="E40" s="36">
        <v>3</v>
      </c>
      <c r="F40" s="39">
        <f t="shared" si="7"/>
        <v>1</v>
      </c>
      <c r="G40" s="70"/>
      <c r="H40" s="61">
        <v>1</v>
      </c>
      <c r="J40" s="35" t="s">
        <v>393</v>
      </c>
      <c r="K40" s="35" t="s">
        <v>1204</v>
      </c>
      <c r="L40" s="36" t="s">
        <v>398</v>
      </c>
      <c r="N40" s="34" t="s">
        <v>1006</v>
      </c>
      <c r="P40" s="38" t="s">
        <v>720</v>
      </c>
      <c r="R40" s="37">
        <f t="shared" si="2"/>
        <v>10000000</v>
      </c>
      <c r="S40" s="39">
        <v>10000</v>
      </c>
      <c r="U40" s="35">
        <v>1</v>
      </c>
      <c r="W40" s="37">
        <f t="shared" si="3"/>
        <v>1</v>
      </c>
      <c r="AF40" s="35">
        <v>300</v>
      </c>
      <c r="AH40" s="35">
        <v>-10</v>
      </c>
    </row>
    <row r="41" spans="1:36" x14ac:dyDescent="0.15">
      <c r="A41" s="34">
        <f t="shared" si="4"/>
        <v>212030101</v>
      </c>
      <c r="B41" s="36">
        <v>21</v>
      </c>
      <c r="C41" s="114">
        <v>2</v>
      </c>
      <c r="D41" s="119">
        <v>3</v>
      </c>
      <c r="E41" s="36">
        <v>1</v>
      </c>
      <c r="F41" s="39">
        <f t="shared" si="7"/>
        <v>1</v>
      </c>
      <c r="G41" s="70"/>
      <c r="H41" s="61">
        <v>1</v>
      </c>
      <c r="J41" s="35" t="s">
        <v>394</v>
      </c>
      <c r="K41" s="35" t="s">
        <v>1205</v>
      </c>
      <c r="L41" s="36" t="s">
        <v>398</v>
      </c>
      <c r="N41" s="34" t="s">
        <v>1007</v>
      </c>
      <c r="P41" s="38" t="s">
        <v>721</v>
      </c>
      <c r="R41" s="37">
        <f t="shared" si="2"/>
        <v>100000</v>
      </c>
      <c r="S41" s="39">
        <v>100</v>
      </c>
      <c r="U41" s="35">
        <v>1</v>
      </c>
      <c r="W41" s="37">
        <f t="shared" si="3"/>
        <v>1</v>
      </c>
      <c r="AG41" s="35">
        <v>10</v>
      </c>
      <c r="AH41" s="35">
        <v>-3</v>
      </c>
      <c r="AI41" s="35">
        <v>1000</v>
      </c>
    </row>
    <row r="42" spans="1:36" x14ac:dyDescent="0.15">
      <c r="A42" s="34">
        <f t="shared" si="4"/>
        <v>212030201</v>
      </c>
      <c r="B42" s="36">
        <v>21</v>
      </c>
      <c r="C42" s="114">
        <v>2</v>
      </c>
      <c r="D42" s="119">
        <v>3</v>
      </c>
      <c r="E42" s="36">
        <v>2</v>
      </c>
      <c r="F42" s="39">
        <f t="shared" si="7"/>
        <v>1</v>
      </c>
      <c r="G42" s="70"/>
      <c r="H42" s="61">
        <v>1</v>
      </c>
      <c r="J42" s="35" t="s">
        <v>395</v>
      </c>
      <c r="K42" s="35" t="s">
        <v>1206</v>
      </c>
      <c r="L42" s="36" t="s">
        <v>398</v>
      </c>
      <c r="N42" s="34" t="s">
        <v>1008</v>
      </c>
      <c r="P42" s="38" t="s">
        <v>722</v>
      </c>
      <c r="R42" s="37">
        <f t="shared" si="2"/>
        <v>1000000</v>
      </c>
      <c r="S42" s="39">
        <v>1000</v>
      </c>
      <c r="U42" s="35">
        <v>1</v>
      </c>
      <c r="W42" s="37">
        <f t="shared" si="3"/>
        <v>1</v>
      </c>
      <c r="AG42" s="35">
        <v>20</v>
      </c>
      <c r="AH42" s="35">
        <v>-5</v>
      </c>
      <c r="AI42" s="35">
        <v>6000</v>
      </c>
    </row>
    <row r="43" spans="1:36" x14ac:dyDescent="0.15">
      <c r="A43" s="34">
        <f t="shared" si="4"/>
        <v>212030301</v>
      </c>
      <c r="B43" s="36">
        <v>21</v>
      </c>
      <c r="C43" s="114">
        <v>2</v>
      </c>
      <c r="D43" s="119">
        <v>3</v>
      </c>
      <c r="E43" s="36">
        <v>3</v>
      </c>
      <c r="F43" s="39">
        <f t="shared" si="7"/>
        <v>1</v>
      </c>
      <c r="G43" s="70"/>
      <c r="H43" s="38">
        <v>1</v>
      </c>
      <c r="J43" s="35" t="s">
        <v>396</v>
      </c>
      <c r="K43" s="35" t="s">
        <v>1207</v>
      </c>
      <c r="L43" s="36" t="s">
        <v>398</v>
      </c>
      <c r="N43" s="34" t="s">
        <v>1009</v>
      </c>
      <c r="P43" s="38" t="s">
        <v>723</v>
      </c>
      <c r="R43" s="37">
        <f t="shared" si="2"/>
        <v>10000000</v>
      </c>
      <c r="S43" s="39">
        <v>10000</v>
      </c>
      <c r="U43" s="35">
        <v>1</v>
      </c>
      <c r="W43" s="37">
        <f t="shared" si="3"/>
        <v>1</v>
      </c>
      <c r="AG43" s="35">
        <v>30</v>
      </c>
      <c r="AH43" s="35">
        <v>-8</v>
      </c>
      <c r="AI43" s="35">
        <v>12000</v>
      </c>
    </row>
    <row r="44" spans="1:36" x14ac:dyDescent="0.15">
      <c r="A44" s="34">
        <f t="shared" ref="A44:A46" si="8">B44*10000000+C44*1000000+D44*10000+E44*100+F44</f>
        <v>212040101</v>
      </c>
      <c r="B44" s="36">
        <v>21</v>
      </c>
      <c r="C44" s="114">
        <v>2</v>
      </c>
      <c r="D44" s="120">
        <v>4</v>
      </c>
      <c r="E44" s="36">
        <v>1</v>
      </c>
      <c r="F44" s="39">
        <f t="shared" si="7"/>
        <v>1</v>
      </c>
      <c r="G44" s="70"/>
      <c r="H44" s="61">
        <v>1</v>
      </c>
      <c r="J44" s="35" t="s">
        <v>478</v>
      </c>
      <c r="K44" s="35" t="s">
        <v>1208</v>
      </c>
      <c r="L44" s="36" t="s">
        <v>398</v>
      </c>
      <c r="N44" s="34" t="s">
        <v>1010</v>
      </c>
      <c r="P44" s="38" t="s">
        <v>724</v>
      </c>
      <c r="R44" s="37">
        <f t="shared" si="2"/>
        <v>100000</v>
      </c>
      <c r="S44" s="39">
        <v>100</v>
      </c>
      <c r="U44" s="35">
        <v>1</v>
      </c>
      <c r="W44" s="37">
        <f t="shared" si="3"/>
        <v>1</v>
      </c>
      <c r="AH44" s="35">
        <v>3</v>
      </c>
      <c r="AI44" s="35">
        <v>1000</v>
      </c>
      <c r="AJ44" s="35">
        <v>3</v>
      </c>
    </row>
    <row r="45" spans="1:36" x14ac:dyDescent="0.15">
      <c r="A45" s="34">
        <f t="shared" si="8"/>
        <v>212040201</v>
      </c>
      <c r="B45" s="36">
        <v>21</v>
      </c>
      <c r="C45" s="114">
        <v>2</v>
      </c>
      <c r="D45" s="120">
        <v>4</v>
      </c>
      <c r="E45" s="36">
        <v>2</v>
      </c>
      <c r="F45" s="39">
        <f t="shared" si="7"/>
        <v>1</v>
      </c>
      <c r="G45" s="70"/>
      <c r="H45" s="61">
        <v>1</v>
      </c>
      <c r="J45" s="35" t="s">
        <v>479</v>
      </c>
      <c r="K45" s="35" t="s">
        <v>1209</v>
      </c>
      <c r="L45" s="36" t="s">
        <v>398</v>
      </c>
      <c r="N45" s="34" t="s">
        <v>1011</v>
      </c>
      <c r="P45" s="38" t="s">
        <v>725</v>
      </c>
      <c r="R45" s="37">
        <f t="shared" si="2"/>
        <v>1000000</v>
      </c>
      <c r="S45" s="39">
        <v>1000</v>
      </c>
      <c r="U45" s="35">
        <v>1</v>
      </c>
      <c r="W45" s="37">
        <f t="shared" si="3"/>
        <v>1</v>
      </c>
      <c r="AH45" s="35">
        <v>5</v>
      </c>
      <c r="AI45" s="35">
        <v>6000</v>
      </c>
      <c r="AJ45" s="35">
        <v>5</v>
      </c>
    </row>
    <row r="46" spans="1:36" x14ac:dyDescent="0.15">
      <c r="A46" s="34">
        <f t="shared" si="8"/>
        <v>212040301</v>
      </c>
      <c r="B46" s="36">
        <v>21</v>
      </c>
      <c r="C46" s="114">
        <v>2</v>
      </c>
      <c r="D46" s="120">
        <v>4</v>
      </c>
      <c r="E46" s="36">
        <v>3</v>
      </c>
      <c r="F46" s="39">
        <f t="shared" si="7"/>
        <v>1</v>
      </c>
      <c r="G46" s="70"/>
      <c r="H46" s="38">
        <v>1</v>
      </c>
      <c r="J46" s="35" t="s">
        <v>480</v>
      </c>
      <c r="K46" s="35" t="s">
        <v>1210</v>
      </c>
      <c r="L46" s="36" t="s">
        <v>398</v>
      </c>
      <c r="N46" s="34" t="s">
        <v>1012</v>
      </c>
      <c r="P46" s="38" t="s">
        <v>726</v>
      </c>
      <c r="R46" s="37">
        <f t="shared" si="2"/>
        <v>10000000</v>
      </c>
      <c r="S46" s="39">
        <v>10000</v>
      </c>
      <c r="U46" s="35">
        <v>1</v>
      </c>
      <c r="W46" s="37">
        <f t="shared" si="3"/>
        <v>1</v>
      </c>
      <c r="AH46" s="35">
        <v>8</v>
      </c>
      <c r="AI46" s="35">
        <v>12000</v>
      </c>
      <c r="AJ46" s="35">
        <v>8</v>
      </c>
    </row>
    <row r="47" spans="1:36" x14ac:dyDescent="0.15">
      <c r="A47" s="34">
        <f t="shared" ref="A47:A52" si="9">B47*10000000+C47*1000000+D47*10000+E47*100+F47</f>
        <v>212050101</v>
      </c>
      <c r="B47" s="36">
        <v>21</v>
      </c>
      <c r="C47" s="114">
        <v>2</v>
      </c>
      <c r="D47" s="121">
        <v>5</v>
      </c>
      <c r="E47" s="36">
        <v>1</v>
      </c>
      <c r="F47" s="39">
        <f t="shared" si="7"/>
        <v>1</v>
      </c>
      <c r="G47" s="70"/>
      <c r="H47" s="61">
        <v>1</v>
      </c>
      <c r="J47" s="35" t="s">
        <v>481</v>
      </c>
      <c r="K47" s="35" t="s">
        <v>1211</v>
      </c>
      <c r="L47" s="36" t="s">
        <v>398</v>
      </c>
      <c r="N47" s="34" t="s">
        <v>1013</v>
      </c>
      <c r="P47" s="38" t="s">
        <v>727</v>
      </c>
      <c r="R47" s="37">
        <f t="shared" si="2"/>
        <v>100000</v>
      </c>
      <c r="S47" s="39">
        <v>100</v>
      </c>
      <c r="U47" s="35">
        <v>1</v>
      </c>
      <c r="W47" s="37">
        <f t="shared" si="3"/>
        <v>1</v>
      </c>
      <c r="AH47" s="35">
        <v>10</v>
      </c>
      <c r="AJ47" s="35">
        <v>3</v>
      </c>
    </row>
    <row r="48" spans="1:36" x14ac:dyDescent="0.15">
      <c r="A48" s="34">
        <f t="shared" si="9"/>
        <v>212050201</v>
      </c>
      <c r="B48" s="36">
        <v>21</v>
      </c>
      <c r="C48" s="114">
        <v>2</v>
      </c>
      <c r="D48" s="121">
        <v>5</v>
      </c>
      <c r="E48" s="36">
        <v>2</v>
      </c>
      <c r="F48" s="39">
        <f t="shared" si="7"/>
        <v>1</v>
      </c>
      <c r="G48" s="70"/>
      <c r="H48" s="61">
        <v>1</v>
      </c>
      <c r="J48" s="35" t="s">
        <v>482</v>
      </c>
      <c r="K48" s="35" t="s">
        <v>1212</v>
      </c>
      <c r="L48" s="36" t="s">
        <v>398</v>
      </c>
      <c r="N48" s="34" t="s">
        <v>1014</v>
      </c>
      <c r="P48" s="38" t="s">
        <v>728</v>
      </c>
      <c r="R48" s="37">
        <f t="shared" si="2"/>
        <v>1000000</v>
      </c>
      <c r="S48" s="39">
        <v>1000</v>
      </c>
      <c r="U48" s="35">
        <v>1</v>
      </c>
      <c r="W48" s="37">
        <f t="shared" si="3"/>
        <v>1</v>
      </c>
      <c r="AH48" s="35">
        <v>20</v>
      </c>
      <c r="AJ48" s="35">
        <v>5</v>
      </c>
    </row>
    <row r="49" spans="1:36" x14ac:dyDescent="0.15">
      <c r="A49" s="34">
        <f t="shared" si="9"/>
        <v>212050301</v>
      </c>
      <c r="B49" s="36">
        <v>21</v>
      </c>
      <c r="C49" s="114">
        <v>2</v>
      </c>
      <c r="D49" s="121">
        <v>5</v>
      </c>
      <c r="E49" s="36">
        <v>3</v>
      </c>
      <c r="F49" s="39">
        <f t="shared" si="7"/>
        <v>1</v>
      </c>
      <c r="G49" s="70"/>
      <c r="H49" s="38">
        <v>1</v>
      </c>
      <c r="J49" s="35" t="s">
        <v>483</v>
      </c>
      <c r="K49" s="35" t="s">
        <v>1213</v>
      </c>
      <c r="L49" s="36" t="s">
        <v>398</v>
      </c>
      <c r="N49" s="34" t="s">
        <v>1015</v>
      </c>
      <c r="P49" s="38" t="s">
        <v>729</v>
      </c>
      <c r="R49" s="37">
        <f t="shared" si="2"/>
        <v>10000000</v>
      </c>
      <c r="S49" s="39">
        <v>10000</v>
      </c>
      <c r="U49" s="35">
        <v>1</v>
      </c>
      <c r="W49" s="37">
        <f t="shared" si="3"/>
        <v>1</v>
      </c>
      <c r="AH49" s="35">
        <v>30</v>
      </c>
      <c r="AJ49" s="35">
        <v>8</v>
      </c>
    </row>
    <row r="50" spans="1:36" x14ac:dyDescent="0.15">
      <c r="A50" s="34">
        <f t="shared" si="9"/>
        <v>212060101</v>
      </c>
      <c r="B50" s="36">
        <v>21</v>
      </c>
      <c r="C50" s="114">
        <v>2</v>
      </c>
      <c r="D50" s="187">
        <v>6</v>
      </c>
      <c r="E50" s="36">
        <v>1</v>
      </c>
      <c r="F50" s="39">
        <v>1</v>
      </c>
      <c r="G50" s="70"/>
      <c r="H50" s="38">
        <v>1</v>
      </c>
      <c r="J50" s="35" t="s">
        <v>1226</v>
      </c>
      <c r="K50" s="35" t="s">
        <v>1229</v>
      </c>
      <c r="L50" s="36" t="s">
        <v>1232</v>
      </c>
      <c r="N50" s="34" t="s">
        <v>1233</v>
      </c>
      <c r="P50" s="38" t="s">
        <v>1236</v>
      </c>
      <c r="R50" s="37">
        <f t="shared" si="2"/>
        <v>100000</v>
      </c>
      <c r="S50" s="39">
        <v>100</v>
      </c>
      <c r="U50" s="35">
        <v>1</v>
      </c>
      <c r="W50" s="37">
        <f t="shared" si="3"/>
        <v>1</v>
      </c>
      <c r="AI50" s="35">
        <v>10000</v>
      </c>
    </row>
    <row r="51" spans="1:36" x14ac:dyDescent="0.15">
      <c r="A51" s="34">
        <f t="shared" si="9"/>
        <v>212060201</v>
      </c>
      <c r="B51" s="36">
        <v>21</v>
      </c>
      <c r="C51" s="114">
        <v>2</v>
      </c>
      <c r="D51" s="187">
        <v>6</v>
      </c>
      <c r="E51" s="36">
        <v>2</v>
      </c>
      <c r="F51" s="39">
        <v>1</v>
      </c>
      <c r="G51" s="70"/>
      <c r="H51" s="38">
        <v>1</v>
      </c>
      <c r="J51" s="35" t="s">
        <v>1227</v>
      </c>
      <c r="K51" s="35" t="s">
        <v>1230</v>
      </c>
      <c r="L51" s="36" t="s">
        <v>1232</v>
      </c>
      <c r="N51" s="34" t="s">
        <v>1234</v>
      </c>
      <c r="P51" s="38" t="s">
        <v>1237</v>
      </c>
      <c r="R51" s="37">
        <f t="shared" si="2"/>
        <v>1000000</v>
      </c>
      <c r="S51" s="39">
        <v>1000</v>
      </c>
      <c r="U51" s="35">
        <v>1</v>
      </c>
      <c r="W51" s="37">
        <f t="shared" si="3"/>
        <v>1</v>
      </c>
      <c r="AI51" s="35">
        <v>52000</v>
      </c>
    </row>
    <row r="52" spans="1:36" x14ac:dyDescent="0.15">
      <c r="A52" s="34">
        <f t="shared" si="9"/>
        <v>212060301</v>
      </c>
      <c r="B52" s="36">
        <v>21</v>
      </c>
      <c r="C52" s="114">
        <v>2</v>
      </c>
      <c r="D52" s="187">
        <v>6</v>
      </c>
      <c r="E52" s="36">
        <v>3</v>
      </c>
      <c r="F52" s="39">
        <v>1</v>
      </c>
      <c r="G52" s="70"/>
      <c r="H52" s="38">
        <v>1</v>
      </c>
      <c r="J52" s="35" t="s">
        <v>1228</v>
      </c>
      <c r="K52" s="35" t="s">
        <v>1231</v>
      </c>
      <c r="L52" s="36" t="s">
        <v>1232</v>
      </c>
      <c r="N52" s="34" t="s">
        <v>1235</v>
      </c>
      <c r="P52" s="38" t="s">
        <v>1238</v>
      </c>
      <c r="R52" s="37">
        <f t="shared" si="2"/>
        <v>10000000</v>
      </c>
      <c r="S52" s="39">
        <v>10000</v>
      </c>
      <c r="U52" s="35">
        <v>1</v>
      </c>
      <c r="W52" s="37">
        <f t="shared" si="3"/>
        <v>1</v>
      </c>
      <c r="AI52" s="35">
        <v>100000</v>
      </c>
    </row>
    <row r="53" spans="1:36" x14ac:dyDescent="0.15">
      <c r="A53" s="34">
        <f t="shared" si="4"/>
        <v>211010601</v>
      </c>
      <c r="B53" s="36">
        <v>21</v>
      </c>
      <c r="C53" s="113">
        <v>1</v>
      </c>
      <c r="D53" s="117">
        <v>1</v>
      </c>
      <c r="E53" s="36">
        <v>6</v>
      </c>
      <c r="F53" s="39">
        <f t="shared" si="7"/>
        <v>1</v>
      </c>
      <c r="G53" s="70"/>
      <c r="H53" s="61">
        <v>1</v>
      </c>
      <c r="J53" s="35" t="s">
        <v>379</v>
      </c>
      <c r="K53" s="35" t="s">
        <v>1214</v>
      </c>
      <c r="L53" s="36" t="s">
        <v>400</v>
      </c>
      <c r="N53" s="34" t="s">
        <v>770</v>
      </c>
      <c r="P53" s="38" t="s">
        <v>730</v>
      </c>
      <c r="R53" s="37">
        <f t="shared" si="2"/>
        <v>1600</v>
      </c>
      <c r="S53" s="39">
        <v>1.6</v>
      </c>
      <c r="U53" s="35">
        <v>1</v>
      </c>
      <c r="W53" s="37">
        <f t="shared" si="3"/>
        <v>1</v>
      </c>
      <c r="Z53" s="146">
        <v>100</v>
      </c>
    </row>
    <row r="54" spans="1:36" x14ac:dyDescent="0.15">
      <c r="A54" s="34">
        <f t="shared" si="4"/>
        <v>211021101</v>
      </c>
      <c r="B54" s="36">
        <v>21</v>
      </c>
      <c r="C54" s="113">
        <v>1</v>
      </c>
      <c r="D54" s="118">
        <v>2</v>
      </c>
      <c r="E54" s="36">
        <v>11</v>
      </c>
      <c r="F54" s="39">
        <f t="shared" si="7"/>
        <v>1</v>
      </c>
      <c r="G54" s="70"/>
      <c r="H54" s="61">
        <v>1</v>
      </c>
      <c r="J54" s="35" t="s">
        <v>381</v>
      </c>
      <c r="K54" s="35" t="s">
        <v>1215</v>
      </c>
      <c r="L54" s="36" t="s">
        <v>400</v>
      </c>
      <c r="N54" s="34" t="s">
        <v>771</v>
      </c>
      <c r="P54" s="38" t="s">
        <v>824</v>
      </c>
      <c r="R54" s="37">
        <f t="shared" si="2"/>
        <v>900</v>
      </c>
      <c r="S54" s="148">
        <v>0.9</v>
      </c>
      <c r="U54" s="35">
        <v>1</v>
      </c>
      <c r="W54" s="37">
        <f t="shared" si="3"/>
        <v>1</v>
      </c>
      <c r="Y54" s="146">
        <v>10</v>
      </c>
      <c r="Z54" s="146">
        <v>-10</v>
      </c>
      <c r="AA54" s="146">
        <v>-10</v>
      </c>
    </row>
    <row r="55" spans="1:36" x14ac:dyDescent="0.15">
      <c r="A55" s="34">
        <f t="shared" si="4"/>
        <v>211010401</v>
      </c>
      <c r="B55" s="36">
        <v>21</v>
      </c>
      <c r="C55" s="113">
        <v>1</v>
      </c>
      <c r="D55" s="117">
        <v>1</v>
      </c>
      <c r="E55" s="36">
        <v>4</v>
      </c>
      <c r="F55" s="39">
        <f t="shared" si="7"/>
        <v>1</v>
      </c>
      <c r="G55" s="70"/>
      <c r="H55" s="61">
        <v>1</v>
      </c>
      <c r="J55" s="35" t="s">
        <v>380</v>
      </c>
      <c r="K55" s="35" t="s">
        <v>1216</v>
      </c>
      <c r="L55" s="36" t="s">
        <v>399</v>
      </c>
      <c r="N55" s="34" t="s">
        <v>772</v>
      </c>
      <c r="P55" s="38" t="s">
        <v>731</v>
      </c>
      <c r="R55" s="37">
        <f t="shared" si="2"/>
        <v>15000</v>
      </c>
      <c r="S55" s="39">
        <v>15</v>
      </c>
      <c r="U55" s="35">
        <v>1</v>
      </c>
      <c r="W55" s="37">
        <f t="shared" si="3"/>
        <v>1</v>
      </c>
      <c r="Y55" s="146">
        <v>50</v>
      </c>
      <c r="AA55" s="146">
        <v>10</v>
      </c>
    </row>
    <row r="56" spans="1:36" x14ac:dyDescent="0.15">
      <c r="A56" s="34">
        <f t="shared" si="4"/>
        <v>211020701</v>
      </c>
      <c r="B56" s="36">
        <v>21</v>
      </c>
      <c r="C56" s="113">
        <v>1</v>
      </c>
      <c r="D56" s="118">
        <v>2</v>
      </c>
      <c r="E56" s="36">
        <v>7</v>
      </c>
      <c r="F56" s="39">
        <f t="shared" si="7"/>
        <v>1</v>
      </c>
      <c r="G56" s="70"/>
      <c r="H56" s="38">
        <v>1</v>
      </c>
      <c r="J56" s="35" t="s">
        <v>383</v>
      </c>
      <c r="K56" s="35" t="s">
        <v>1217</v>
      </c>
      <c r="L56" s="36" t="s">
        <v>399</v>
      </c>
      <c r="N56" s="34" t="s">
        <v>773</v>
      </c>
      <c r="P56" s="38" t="s">
        <v>732</v>
      </c>
      <c r="R56" s="37">
        <f t="shared" si="2"/>
        <v>8000</v>
      </c>
      <c r="S56" s="148">
        <v>8</v>
      </c>
      <c r="U56" s="35">
        <v>1</v>
      </c>
      <c r="W56" s="37">
        <f t="shared" si="3"/>
        <v>0</v>
      </c>
    </row>
    <row r="57" spans="1:36" x14ac:dyDescent="0.15">
      <c r="A57" s="34">
        <f t="shared" si="4"/>
        <v>211020901</v>
      </c>
      <c r="B57" s="36">
        <v>21</v>
      </c>
      <c r="C57" s="113">
        <v>1</v>
      </c>
      <c r="D57" s="118">
        <v>2</v>
      </c>
      <c r="E57" s="36">
        <v>9</v>
      </c>
      <c r="F57" s="39">
        <f t="shared" si="7"/>
        <v>1</v>
      </c>
      <c r="G57" s="70"/>
      <c r="H57" s="61">
        <v>1</v>
      </c>
      <c r="J57" s="35" t="s">
        <v>385</v>
      </c>
      <c r="K57" s="35" t="s">
        <v>1218</v>
      </c>
      <c r="L57" s="36" t="s">
        <v>399</v>
      </c>
      <c r="N57" s="34" t="s">
        <v>774</v>
      </c>
      <c r="P57" s="38" t="s">
        <v>733</v>
      </c>
      <c r="R57" s="37">
        <f t="shared" si="2"/>
        <v>10000</v>
      </c>
      <c r="S57" s="39">
        <v>10</v>
      </c>
      <c r="U57" s="35">
        <v>1</v>
      </c>
      <c r="W57" s="37">
        <f t="shared" si="3"/>
        <v>0</v>
      </c>
    </row>
    <row r="58" spans="1:36" x14ac:dyDescent="0.15">
      <c r="A58" s="34">
        <f t="shared" si="4"/>
        <v>211020301</v>
      </c>
      <c r="B58" s="36">
        <v>21</v>
      </c>
      <c r="C58" s="113">
        <v>1</v>
      </c>
      <c r="D58" s="118">
        <v>2</v>
      </c>
      <c r="E58" s="36">
        <v>3</v>
      </c>
      <c r="F58" s="39">
        <f t="shared" si="7"/>
        <v>1</v>
      </c>
      <c r="G58" s="70"/>
      <c r="H58" s="61">
        <v>1</v>
      </c>
      <c r="J58" s="35" t="s">
        <v>386</v>
      </c>
      <c r="K58" s="35" t="s">
        <v>1219</v>
      </c>
      <c r="L58" s="36" t="s">
        <v>399</v>
      </c>
      <c r="N58" s="34" t="s">
        <v>775</v>
      </c>
      <c r="P58" s="38" t="s">
        <v>734</v>
      </c>
      <c r="R58" s="37">
        <f t="shared" si="2"/>
        <v>10000</v>
      </c>
      <c r="S58" s="148">
        <v>10</v>
      </c>
      <c r="U58" s="35">
        <v>1</v>
      </c>
      <c r="W58" s="37">
        <f t="shared" si="3"/>
        <v>0</v>
      </c>
    </row>
    <row r="59" spans="1:36" x14ac:dyDescent="0.15">
      <c r="A59" s="34">
        <f t="shared" si="4"/>
        <v>211020501</v>
      </c>
      <c r="B59" s="36">
        <v>21</v>
      </c>
      <c r="C59" s="113">
        <v>1</v>
      </c>
      <c r="D59" s="118">
        <v>2</v>
      </c>
      <c r="E59" s="36">
        <v>5</v>
      </c>
      <c r="F59" s="39">
        <f t="shared" si="7"/>
        <v>1</v>
      </c>
      <c r="G59" s="70"/>
      <c r="H59" s="61">
        <v>1</v>
      </c>
      <c r="J59" s="35" t="s">
        <v>417</v>
      </c>
      <c r="K59" s="35" t="s">
        <v>1220</v>
      </c>
      <c r="L59" s="36" t="s">
        <v>399</v>
      </c>
      <c r="N59" s="34" t="s">
        <v>776</v>
      </c>
      <c r="P59" s="38" t="s">
        <v>735</v>
      </c>
      <c r="R59" s="37">
        <f t="shared" si="2"/>
        <v>5000</v>
      </c>
      <c r="S59" s="39">
        <v>5</v>
      </c>
      <c r="U59" s="35">
        <v>1</v>
      </c>
      <c r="W59" s="37">
        <f t="shared" si="3"/>
        <v>0</v>
      </c>
    </row>
    <row r="60" spans="1:36" x14ac:dyDescent="0.15">
      <c r="G60" s="70"/>
    </row>
    <row r="61" spans="1:36" x14ac:dyDescent="0.15">
      <c r="G61" s="70"/>
    </row>
    <row r="62" spans="1:36" x14ac:dyDescent="0.15">
      <c r="G62" s="70"/>
    </row>
    <row r="63" spans="1:36" x14ac:dyDescent="0.15">
      <c r="G63" s="70"/>
    </row>
    <row r="64" spans="1:36" x14ac:dyDescent="0.15">
      <c r="G64" s="70"/>
    </row>
    <row r="65" spans="7:7" x14ac:dyDescent="0.15">
      <c r="G65" s="70"/>
    </row>
    <row r="66" spans="7:7" x14ac:dyDescent="0.15">
      <c r="G66" s="70"/>
    </row>
    <row r="67" spans="7:7" x14ac:dyDescent="0.15">
      <c r="G67" s="70"/>
    </row>
    <row r="68" spans="7:7" ht="17.25" thickBot="1" x14ac:dyDescent="0.2">
      <c r="G68" s="70"/>
    </row>
    <row r="69" spans="7:7" x14ac:dyDescent="0.15">
      <c r="G69" s="69"/>
    </row>
    <row r="70" spans="7:7" x14ac:dyDescent="0.15">
      <c r="G70" s="70"/>
    </row>
    <row r="71" spans="7:7" x14ac:dyDescent="0.15">
      <c r="G71" s="70"/>
    </row>
    <row r="72" spans="7:7" x14ac:dyDescent="0.15">
      <c r="G72" s="70"/>
    </row>
    <row r="73" spans="7:7" x14ac:dyDescent="0.15">
      <c r="G73" s="70"/>
    </row>
    <row r="74" spans="7:7" x14ac:dyDescent="0.15">
      <c r="G74" s="70"/>
    </row>
    <row r="75" spans="7:7" x14ac:dyDescent="0.15">
      <c r="G75" s="70"/>
    </row>
    <row r="76" spans="7:7" x14ac:dyDescent="0.15">
      <c r="G76" s="70"/>
    </row>
    <row r="77" spans="7:7" x14ac:dyDescent="0.15">
      <c r="G77" s="70"/>
    </row>
    <row r="78" spans="7:7" x14ac:dyDescent="0.15">
      <c r="G78" s="70"/>
    </row>
    <row r="79" spans="7:7" x14ac:dyDescent="0.15">
      <c r="G79" s="70"/>
    </row>
    <row r="80" spans="7:7" x14ac:dyDescent="0.15">
      <c r="G80" s="70"/>
    </row>
    <row r="81" spans="7:7" x14ac:dyDescent="0.15">
      <c r="G81" s="70"/>
    </row>
    <row r="82" spans="7:7" x14ac:dyDescent="0.15">
      <c r="G82" s="70"/>
    </row>
    <row r="83" spans="7:7" x14ac:dyDescent="0.15">
      <c r="G83" s="70"/>
    </row>
    <row r="84" spans="7:7" x14ac:dyDescent="0.15">
      <c r="G84" s="70"/>
    </row>
    <row r="85" spans="7:7" x14ac:dyDescent="0.15">
      <c r="G85" s="70"/>
    </row>
    <row r="86" spans="7:7" x14ac:dyDescent="0.15">
      <c r="G86" s="70"/>
    </row>
    <row r="87" spans="7:7" x14ac:dyDescent="0.15">
      <c r="G87" s="70"/>
    </row>
    <row r="88" spans="7:7" ht="17.25" thickBot="1" x14ac:dyDescent="0.2">
      <c r="G88" s="70"/>
    </row>
    <row r="89" spans="7:7" x14ac:dyDescent="0.15">
      <c r="G89" s="69"/>
    </row>
    <row r="90" spans="7:7" x14ac:dyDescent="0.15">
      <c r="G90" s="70"/>
    </row>
    <row r="91" spans="7:7" x14ac:dyDescent="0.15">
      <c r="G91" s="70"/>
    </row>
    <row r="92" spans="7:7" x14ac:dyDescent="0.15">
      <c r="G92" s="70"/>
    </row>
    <row r="93" spans="7:7" x14ac:dyDescent="0.15">
      <c r="G93" s="70"/>
    </row>
    <row r="94" spans="7:7" x14ac:dyDescent="0.15">
      <c r="G94" s="70"/>
    </row>
    <row r="95" spans="7:7" x14ac:dyDescent="0.15">
      <c r="G95" s="70"/>
    </row>
    <row r="96" spans="7:7" x14ac:dyDescent="0.15">
      <c r="G96" s="70"/>
    </row>
    <row r="97" spans="7:7" x14ac:dyDescent="0.15">
      <c r="G97" s="70"/>
    </row>
    <row r="98" spans="7:7" x14ac:dyDescent="0.15">
      <c r="G98" s="70"/>
    </row>
    <row r="99" spans="7:7" x14ac:dyDescent="0.15">
      <c r="G99" s="70"/>
    </row>
    <row r="100" spans="7:7" x14ac:dyDescent="0.15">
      <c r="G100" s="70"/>
    </row>
    <row r="101" spans="7:7" x14ac:dyDescent="0.15">
      <c r="G101" s="70"/>
    </row>
    <row r="102" spans="7:7" x14ac:dyDescent="0.15">
      <c r="G102" s="70"/>
    </row>
    <row r="103" spans="7:7" x14ac:dyDescent="0.15">
      <c r="G103" s="70"/>
    </row>
    <row r="104" spans="7:7" x14ac:dyDescent="0.15">
      <c r="G104" s="70"/>
    </row>
    <row r="105" spans="7:7" x14ac:dyDescent="0.15">
      <c r="G105" s="70"/>
    </row>
    <row r="106" spans="7:7" x14ac:dyDescent="0.15">
      <c r="G106" s="70"/>
    </row>
    <row r="107" spans="7:7" x14ac:dyDescent="0.15">
      <c r="G107" s="70"/>
    </row>
    <row r="108" spans="7:7" ht="17.25" thickBot="1" x14ac:dyDescent="0.2">
      <c r="G108" s="71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D24"/>
  <sheetViews>
    <sheetView workbookViewId="0">
      <selection activeCell="A5" sqref="A5:A24"/>
    </sheetView>
  </sheetViews>
  <sheetFormatPr defaultRowHeight="16.5" x14ac:dyDescent="0.15"/>
  <cols>
    <col min="1" max="1" width="9" style="91"/>
    <col min="2" max="2" width="14.125" style="91" customWidth="1"/>
    <col min="3" max="4" width="9" style="91"/>
    <col min="5" max="5" width="9.625" style="91" bestFit="1" customWidth="1"/>
    <col min="6" max="12" width="9" style="91"/>
    <col min="13" max="31" width="13.375" style="91" customWidth="1"/>
    <col min="32" max="16384" width="9" style="91"/>
  </cols>
  <sheetData>
    <row r="1" spans="1:56" x14ac:dyDescent="0.15">
      <c r="A1" s="55" t="s">
        <v>60</v>
      </c>
      <c r="B1" s="55" t="s">
        <v>60</v>
      </c>
      <c r="C1" s="55" t="s">
        <v>60</v>
      </c>
      <c r="D1" s="55" t="s">
        <v>60</v>
      </c>
      <c r="E1" s="55" t="s">
        <v>60</v>
      </c>
      <c r="F1" s="55" t="s">
        <v>60</v>
      </c>
      <c r="G1" s="55" t="s">
        <v>60</v>
      </c>
      <c r="H1" s="55" t="s">
        <v>60</v>
      </c>
      <c r="I1" s="55" t="s">
        <v>60</v>
      </c>
      <c r="J1" s="55" t="s">
        <v>60</v>
      </c>
      <c r="K1" s="55" t="s">
        <v>60</v>
      </c>
      <c r="L1" s="55" t="s">
        <v>60</v>
      </c>
      <c r="M1" s="55" t="s">
        <v>60</v>
      </c>
      <c r="N1" s="55" t="s">
        <v>60</v>
      </c>
      <c r="O1" s="55" t="s">
        <v>60</v>
      </c>
      <c r="P1" s="55" t="s">
        <v>60</v>
      </c>
      <c r="Q1" s="55" t="s">
        <v>60</v>
      </c>
      <c r="R1" s="55" t="s">
        <v>60</v>
      </c>
      <c r="S1" s="55" t="s">
        <v>60</v>
      </c>
      <c r="T1" s="55" t="s">
        <v>60</v>
      </c>
      <c r="U1" s="55" t="s">
        <v>60</v>
      </c>
      <c r="V1" s="55" t="s">
        <v>60</v>
      </c>
      <c r="W1" s="55" t="s">
        <v>60</v>
      </c>
      <c r="X1" s="55" t="s">
        <v>60</v>
      </c>
      <c r="Y1" s="55" t="s">
        <v>60</v>
      </c>
      <c r="Z1" s="55" t="s">
        <v>60</v>
      </c>
      <c r="AA1" s="55" t="s">
        <v>60</v>
      </c>
      <c r="AB1" s="55" t="s">
        <v>60</v>
      </c>
      <c r="AC1" s="55" t="s">
        <v>60</v>
      </c>
      <c r="AD1" s="55" t="s">
        <v>60</v>
      </c>
      <c r="AE1" s="55" t="s">
        <v>60</v>
      </c>
      <c r="AF1" s="55" t="s">
        <v>60</v>
      </c>
      <c r="AG1" s="55" t="s">
        <v>60</v>
      </c>
      <c r="AH1" s="55" t="s">
        <v>60</v>
      </c>
      <c r="AI1" s="55" t="s">
        <v>60</v>
      </c>
      <c r="AJ1" s="55" t="s">
        <v>60</v>
      </c>
      <c r="AK1" s="55" t="s">
        <v>60</v>
      </c>
      <c r="AL1" s="55" t="s">
        <v>60</v>
      </c>
      <c r="AM1" s="55" t="s">
        <v>60</v>
      </c>
      <c r="AN1" s="55" t="s">
        <v>60</v>
      </c>
      <c r="AO1" s="55" t="s">
        <v>60</v>
      </c>
      <c r="AP1" s="55" t="s">
        <v>60</v>
      </c>
      <c r="AQ1" s="55" t="s">
        <v>60</v>
      </c>
      <c r="AR1" s="55" t="s">
        <v>60</v>
      </c>
      <c r="AS1" s="55" t="s">
        <v>60</v>
      </c>
      <c r="AT1" s="55" t="s">
        <v>60</v>
      </c>
      <c r="AU1" s="55" t="s">
        <v>60</v>
      </c>
      <c r="AV1" s="55" t="s">
        <v>60</v>
      </c>
      <c r="AW1" s="55" t="s">
        <v>60</v>
      </c>
      <c r="AX1" s="55" t="s">
        <v>60</v>
      </c>
      <c r="AY1" s="55" t="s">
        <v>60</v>
      </c>
      <c r="AZ1" s="55" t="s">
        <v>60</v>
      </c>
      <c r="BA1" s="55" t="s">
        <v>60</v>
      </c>
      <c r="BB1" s="55" t="s">
        <v>60</v>
      </c>
      <c r="BC1" s="55" t="s">
        <v>60</v>
      </c>
      <c r="BD1" s="55" t="s">
        <v>60</v>
      </c>
    </row>
    <row r="2" spans="1:56" x14ac:dyDescent="0.15">
      <c r="A2" s="55" t="s">
        <v>61</v>
      </c>
      <c r="B2" s="55" t="s">
        <v>61</v>
      </c>
      <c r="C2" s="55" t="s">
        <v>61</v>
      </c>
      <c r="D2" s="55" t="s">
        <v>61</v>
      </c>
      <c r="E2" s="55" t="s">
        <v>61</v>
      </c>
      <c r="F2" s="55" t="s">
        <v>61</v>
      </c>
      <c r="G2" s="55" t="s">
        <v>61</v>
      </c>
      <c r="H2" s="55" t="s">
        <v>61</v>
      </c>
      <c r="I2" s="55" t="s">
        <v>61</v>
      </c>
      <c r="J2" s="55" t="s">
        <v>61</v>
      </c>
      <c r="K2" s="55" t="s">
        <v>61</v>
      </c>
      <c r="L2" s="55" t="s">
        <v>61</v>
      </c>
      <c r="M2" s="55" t="s">
        <v>61</v>
      </c>
      <c r="N2" s="55" t="s">
        <v>61</v>
      </c>
      <c r="O2" s="55" t="s">
        <v>61</v>
      </c>
      <c r="P2" s="55" t="s">
        <v>61</v>
      </c>
      <c r="Q2" s="55" t="s">
        <v>61</v>
      </c>
      <c r="R2" s="55" t="s">
        <v>61</v>
      </c>
      <c r="S2" s="55" t="s">
        <v>61</v>
      </c>
      <c r="T2" s="55" t="s">
        <v>61</v>
      </c>
      <c r="U2" s="55" t="s">
        <v>61</v>
      </c>
      <c r="V2" s="55" t="s">
        <v>61</v>
      </c>
      <c r="W2" s="55" t="s">
        <v>61</v>
      </c>
      <c r="X2" s="55" t="s">
        <v>61</v>
      </c>
      <c r="Y2" s="55" t="s">
        <v>61</v>
      </c>
      <c r="Z2" s="55" t="s">
        <v>61</v>
      </c>
      <c r="AA2" s="55" t="s">
        <v>61</v>
      </c>
      <c r="AB2" s="55" t="s">
        <v>61</v>
      </c>
      <c r="AC2" s="55" t="s">
        <v>61</v>
      </c>
      <c r="AD2" s="55" t="s">
        <v>61</v>
      </c>
      <c r="AE2" s="55" t="s">
        <v>61</v>
      </c>
      <c r="AF2" s="55" t="s">
        <v>61</v>
      </c>
      <c r="AG2" s="55" t="s">
        <v>61</v>
      </c>
      <c r="AH2" s="55" t="s">
        <v>61</v>
      </c>
      <c r="AI2" s="55" t="s">
        <v>61</v>
      </c>
      <c r="AJ2" s="55" t="s">
        <v>61</v>
      </c>
      <c r="AK2" s="55" t="s">
        <v>61</v>
      </c>
      <c r="AL2" s="55" t="s">
        <v>61</v>
      </c>
      <c r="AM2" s="55" t="s">
        <v>61</v>
      </c>
      <c r="AN2" s="55" t="s">
        <v>61</v>
      </c>
      <c r="AO2" s="55" t="s">
        <v>61</v>
      </c>
      <c r="AP2" s="55" t="s">
        <v>61</v>
      </c>
      <c r="AQ2" s="55" t="s">
        <v>61</v>
      </c>
      <c r="AR2" s="55" t="s">
        <v>61</v>
      </c>
      <c r="AS2" s="55" t="s">
        <v>61</v>
      </c>
      <c r="AT2" s="55" t="s">
        <v>61</v>
      </c>
      <c r="AU2" s="55" t="s">
        <v>61</v>
      </c>
      <c r="AV2" s="55" t="s">
        <v>61</v>
      </c>
      <c r="AW2" s="55" t="s">
        <v>61</v>
      </c>
      <c r="AX2" s="55" t="s">
        <v>61</v>
      </c>
      <c r="AY2" s="55" t="s">
        <v>61</v>
      </c>
      <c r="AZ2" s="55" t="s">
        <v>61</v>
      </c>
      <c r="BA2" s="55" t="s">
        <v>61</v>
      </c>
      <c r="BB2" s="55" t="s">
        <v>61</v>
      </c>
      <c r="BC2" s="55" t="s">
        <v>61</v>
      </c>
      <c r="BD2" s="55" t="s">
        <v>61</v>
      </c>
    </row>
    <row r="3" spans="1:56" x14ac:dyDescent="0.15">
      <c r="A3" s="55" t="s">
        <v>558</v>
      </c>
      <c r="B3" s="38" t="s">
        <v>1169</v>
      </c>
      <c r="C3" s="61" t="s">
        <v>1170</v>
      </c>
      <c r="D3" s="61" t="s">
        <v>1171</v>
      </c>
      <c r="E3" s="61" t="s">
        <v>1172</v>
      </c>
      <c r="F3" s="35" t="s">
        <v>1173</v>
      </c>
      <c r="G3" s="35" t="s">
        <v>1174</v>
      </c>
      <c r="H3" s="35" t="s">
        <v>1175</v>
      </c>
      <c r="I3" s="61" t="s">
        <v>1176</v>
      </c>
      <c r="J3" s="35" t="s">
        <v>1177</v>
      </c>
      <c r="K3" s="35" t="s">
        <v>1178</v>
      </c>
      <c r="L3" s="35" t="s">
        <v>1179</v>
      </c>
      <c r="M3" s="35" t="s">
        <v>1180</v>
      </c>
      <c r="N3" s="35" t="s">
        <v>1181</v>
      </c>
      <c r="O3" s="35" t="s">
        <v>1182</v>
      </c>
      <c r="P3" s="35" t="s">
        <v>1183</v>
      </c>
      <c r="Q3" s="35" t="s">
        <v>1184</v>
      </c>
      <c r="R3" s="35" t="s">
        <v>1185</v>
      </c>
      <c r="S3" s="35" t="s">
        <v>1186</v>
      </c>
      <c r="T3" s="35" t="s">
        <v>1187</v>
      </c>
      <c r="U3" s="35" t="s">
        <v>1188</v>
      </c>
      <c r="V3" s="35" t="s">
        <v>1189</v>
      </c>
      <c r="W3" s="35" t="s">
        <v>1190</v>
      </c>
      <c r="X3" s="35" t="s">
        <v>1191</v>
      </c>
      <c r="Y3" s="35" t="s">
        <v>1192</v>
      </c>
      <c r="Z3" s="35" t="s">
        <v>1193</v>
      </c>
      <c r="AA3" s="35" t="s">
        <v>1194</v>
      </c>
      <c r="AB3" s="35" t="s">
        <v>1195</v>
      </c>
      <c r="AC3" s="35" t="s">
        <v>1196</v>
      </c>
      <c r="AD3" s="35" t="s">
        <v>1197</v>
      </c>
      <c r="AE3" s="35" t="s">
        <v>1198</v>
      </c>
      <c r="AF3" s="35" t="s">
        <v>1199</v>
      </c>
      <c r="AG3" s="35" t="s">
        <v>1200</v>
      </c>
      <c r="AH3" s="35" t="s">
        <v>1201</v>
      </c>
      <c r="AI3" s="35" t="s">
        <v>1202</v>
      </c>
      <c r="AJ3" s="35" t="s">
        <v>1203</v>
      </c>
      <c r="AK3" s="35" t="s">
        <v>1204</v>
      </c>
      <c r="AL3" s="35" t="s">
        <v>1205</v>
      </c>
      <c r="AM3" s="35" t="s">
        <v>1206</v>
      </c>
      <c r="AN3" s="35" t="s">
        <v>1207</v>
      </c>
      <c r="AO3" s="35" t="s">
        <v>1208</v>
      </c>
      <c r="AP3" s="35" t="s">
        <v>1209</v>
      </c>
      <c r="AQ3" s="35" t="s">
        <v>1210</v>
      </c>
      <c r="AR3" s="35" t="s">
        <v>1211</v>
      </c>
      <c r="AS3" s="35" t="s">
        <v>1212</v>
      </c>
      <c r="AT3" s="35" t="s">
        <v>1213</v>
      </c>
      <c r="AU3" s="35" t="s">
        <v>1260</v>
      </c>
      <c r="AV3" s="35" t="s">
        <v>1261</v>
      </c>
      <c r="AW3" s="35" t="s">
        <v>1262</v>
      </c>
      <c r="AX3" s="35" t="s">
        <v>1214</v>
      </c>
      <c r="AY3" s="35" t="s">
        <v>1215</v>
      </c>
      <c r="AZ3" s="35" t="s">
        <v>1216</v>
      </c>
      <c r="BA3" s="35" t="s">
        <v>1217</v>
      </c>
      <c r="BB3" s="35" t="s">
        <v>1218</v>
      </c>
      <c r="BC3" s="35" t="s">
        <v>1219</v>
      </c>
      <c r="BD3" s="35" t="s">
        <v>1220</v>
      </c>
    </row>
    <row r="4" spans="1:56" ht="18" customHeight="1" thickBot="1" x14ac:dyDescent="0.2">
      <c r="A4" s="86" t="s">
        <v>544</v>
      </c>
      <c r="B4" s="38" t="s">
        <v>376</v>
      </c>
      <c r="C4" s="61" t="s">
        <v>377</v>
      </c>
      <c r="D4" s="61" t="s">
        <v>1456</v>
      </c>
      <c r="E4" s="61" t="s">
        <v>436</v>
      </c>
      <c r="F4" s="35" t="s">
        <v>378</v>
      </c>
      <c r="G4" s="35" t="s">
        <v>422</v>
      </c>
      <c r="H4" s="35" t="s">
        <v>426</v>
      </c>
      <c r="I4" s="61" t="s">
        <v>397</v>
      </c>
      <c r="J4" s="35" t="s">
        <v>382</v>
      </c>
      <c r="K4" s="35" t="s">
        <v>384</v>
      </c>
      <c r="L4" s="35" t="s">
        <v>485</v>
      </c>
      <c r="M4" s="35" t="s">
        <v>387</v>
      </c>
      <c r="N4" s="35" t="s">
        <v>388</v>
      </c>
      <c r="O4" s="35" t="s">
        <v>389</v>
      </c>
      <c r="P4" s="35" t="s">
        <v>390</v>
      </c>
      <c r="Q4" s="35" t="s">
        <v>441</v>
      </c>
      <c r="R4" s="35" t="s">
        <v>442</v>
      </c>
      <c r="S4" s="35" t="s">
        <v>443</v>
      </c>
      <c r="T4" s="35" t="s">
        <v>450</v>
      </c>
      <c r="U4" s="35" t="s">
        <v>444</v>
      </c>
      <c r="V4" s="35" t="s">
        <v>445</v>
      </c>
      <c r="W4" s="35" t="s">
        <v>446</v>
      </c>
      <c r="X4" s="35" t="s">
        <v>456</v>
      </c>
      <c r="Y4" s="35" t="s">
        <v>458</v>
      </c>
      <c r="Z4" s="35" t="s">
        <v>459</v>
      </c>
      <c r="AA4" s="35" t="s">
        <v>464</v>
      </c>
      <c r="AB4" s="35" t="s">
        <v>469</v>
      </c>
      <c r="AC4" s="35" t="s">
        <v>465</v>
      </c>
      <c r="AD4" s="35" t="s">
        <v>466</v>
      </c>
      <c r="AE4" s="35" t="s">
        <v>467</v>
      </c>
      <c r="AF4" s="35" t="s">
        <v>475</v>
      </c>
      <c r="AG4" s="35" t="s">
        <v>476</v>
      </c>
      <c r="AH4" s="35" t="s">
        <v>477</v>
      </c>
      <c r="AI4" s="35" t="s">
        <v>391</v>
      </c>
      <c r="AJ4" s="35" t="s">
        <v>392</v>
      </c>
      <c r="AK4" s="35" t="s">
        <v>393</v>
      </c>
      <c r="AL4" s="35" t="s">
        <v>394</v>
      </c>
      <c r="AM4" s="35" t="s">
        <v>395</v>
      </c>
      <c r="AN4" s="35" t="s">
        <v>396</v>
      </c>
      <c r="AO4" s="35" t="s">
        <v>478</v>
      </c>
      <c r="AP4" s="35" t="s">
        <v>479</v>
      </c>
      <c r="AQ4" s="35" t="s">
        <v>480</v>
      </c>
      <c r="AR4" s="35" t="s">
        <v>481</v>
      </c>
      <c r="AS4" s="35" t="s">
        <v>482</v>
      </c>
      <c r="AT4" s="35" t="s">
        <v>483</v>
      </c>
      <c r="AU4" s="35" t="s">
        <v>1263</v>
      </c>
      <c r="AV4" s="35" t="s">
        <v>1264</v>
      </c>
      <c r="AW4" s="35" t="s">
        <v>1265</v>
      </c>
      <c r="AX4" s="35" t="s">
        <v>379</v>
      </c>
      <c r="AY4" s="35" t="s">
        <v>381</v>
      </c>
      <c r="AZ4" s="35" t="s">
        <v>380</v>
      </c>
      <c r="BA4" s="35" t="s">
        <v>383</v>
      </c>
      <c r="BB4" s="35" t="s">
        <v>385</v>
      </c>
      <c r="BC4" s="35" t="s">
        <v>386</v>
      </c>
      <c r="BD4" s="35" t="s">
        <v>417</v>
      </c>
    </row>
    <row r="5" spans="1:56" s="110" customFormat="1" x14ac:dyDescent="0.15">
      <c r="A5" s="56">
        <v>1</v>
      </c>
      <c r="B5" s="110">
        <v>2000</v>
      </c>
      <c r="C5" s="110">
        <v>0</v>
      </c>
      <c r="D5" s="110">
        <v>0</v>
      </c>
      <c r="E5" s="110">
        <v>2000</v>
      </c>
      <c r="F5" s="110">
        <v>2000</v>
      </c>
      <c r="G5" s="110">
        <v>2000</v>
      </c>
      <c r="H5" s="110">
        <v>2000</v>
      </c>
      <c r="I5" s="110">
        <v>0</v>
      </c>
      <c r="J5" s="110">
        <v>0</v>
      </c>
      <c r="K5" s="110">
        <v>2000</v>
      </c>
      <c r="L5" s="110">
        <v>0</v>
      </c>
      <c r="M5" s="110">
        <v>0</v>
      </c>
      <c r="N5" s="110">
        <v>0</v>
      </c>
      <c r="O5" s="110">
        <v>0</v>
      </c>
      <c r="P5" s="110">
        <v>0</v>
      </c>
      <c r="Q5" s="110">
        <v>0</v>
      </c>
      <c r="R5" s="110">
        <v>0</v>
      </c>
      <c r="S5" s="110">
        <v>0</v>
      </c>
      <c r="T5" s="110">
        <v>0</v>
      </c>
      <c r="U5" s="110">
        <v>0</v>
      </c>
      <c r="V5" s="110">
        <v>0</v>
      </c>
      <c r="W5" s="110">
        <v>0</v>
      </c>
      <c r="X5" s="110">
        <v>0</v>
      </c>
      <c r="Y5" s="110">
        <v>0</v>
      </c>
      <c r="Z5" s="110">
        <v>0</v>
      </c>
      <c r="AA5" s="110">
        <v>0</v>
      </c>
      <c r="AB5" s="110">
        <v>0</v>
      </c>
      <c r="AC5" s="110">
        <v>0</v>
      </c>
      <c r="AD5" s="110">
        <v>0</v>
      </c>
      <c r="AE5" s="110">
        <v>0</v>
      </c>
      <c r="AF5" s="110">
        <v>0</v>
      </c>
      <c r="AG5" s="110">
        <v>0</v>
      </c>
      <c r="AH5" s="110">
        <v>0</v>
      </c>
      <c r="AI5" s="110">
        <v>0</v>
      </c>
      <c r="AJ5" s="110">
        <v>0</v>
      </c>
      <c r="AK5" s="110">
        <v>0</v>
      </c>
      <c r="AL5" s="110">
        <v>0</v>
      </c>
      <c r="AM5" s="110">
        <v>0</v>
      </c>
      <c r="AN5" s="110">
        <v>0</v>
      </c>
      <c r="AO5" s="110">
        <v>0</v>
      </c>
      <c r="AP5" s="110">
        <v>0</v>
      </c>
      <c r="AQ5" s="110">
        <v>0</v>
      </c>
      <c r="AR5" s="110">
        <v>0</v>
      </c>
      <c r="AS5" s="110">
        <v>0</v>
      </c>
      <c r="AT5" s="110">
        <v>0</v>
      </c>
      <c r="AU5" s="110">
        <v>0</v>
      </c>
      <c r="AX5" s="110">
        <v>0</v>
      </c>
      <c r="AY5" s="110">
        <v>0</v>
      </c>
      <c r="AZ5" s="110">
        <v>0</v>
      </c>
      <c r="BA5" s="110">
        <v>0</v>
      </c>
      <c r="BB5" s="110">
        <v>0</v>
      </c>
      <c r="BC5" s="110">
        <v>0</v>
      </c>
      <c r="BD5" s="110">
        <v>0</v>
      </c>
    </row>
    <row r="6" spans="1:56" x14ac:dyDescent="0.15">
      <c r="A6" s="55">
        <v>2</v>
      </c>
      <c r="B6" s="91">
        <v>3000</v>
      </c>
      <c r="C6" s="91">
        <v>0</v>
      </c>
      <c r="D6" s="91">
        <v>0</v>
      </c>
      <c r="E6" s="91">
        <v>3000</v>
      </c>
      <c r="F6" s="91">
        <v>3000</v>
      </c>
      <c r="G6" s="91">
        <v>3000</v>
      </c>
      <c r="H6" s="91">
        <v>3000</v>
      </c>
      <c r="I6" s="91">
        <v>0</v>
      </c>
      <c r="J6" s="91">
        <v>0</v>
      </c>
      <c r="K6" s="91">
        <v>3000</v>
      </c>
      <c r="L6" s="91">
        <v>0</v>
      </c>
      <c r="M6" s="91">
        <v>1</v>
      </c>
      <c r="N6" s="91">
        <v>1</v>
      </c>
      <c r="O6" s="91">
        <v>1</v>
      </c>
      <c r="P6" s="91">
        <v>1</v>
      </c>
      <c r="Q6" s="91">
        <v>1</v>
      </c>
      <c r="R6" s="91">
        <v>1</v>
      </c>
      <c r="S6" s="91">
        <v>1</v>
      </c>
      <c r="T6" s="91">
        <v>1</v>
      </c>
      <c r="U6" s="91">
        <v>1</v>
      </c>
      <c r="V6" s="91">
        <v>1</v>
      </c>
      <c r="W6" s="91">
        <v>1</v>
      </c>
      <c r="X6" s="91">
        <v>1</v>
      </c>
      <c r="Y6" s="91">
        <v>1</v>
      </c>
      <c r="Z6" s="91">
        <v>1</v>
      </c>
      <c r="AA6" s="91">
        <v>1</v>
      </c>
      <c r="AB6" s="91">
        <v>1</v>
      </c>
      <c r="AC6" s="91">
        <v>1</v>
      </c>
      <c r="AD6" s="91">
        <v>1</v>
      </c>
      <c r="AE6" s="91">
        <v>1</v>
      </c>
      <c r="AF6" s="91">
        <v>1</v>
      </c>
      <c r="AG6" s="91">
        <v>0</v>
      </c>
      <c r="AH6" s="91">
        <v>0</v>
      </c>
      <c r="AI6" s="91">
        <v>1</v>
      </c>
      <c r="AJ6" s="91">
        <v>0</v>
      </c>
      <c r="AK6" s="91">
        <v>0</v>
      </c>
      <c r="AL6" s="91">
        <v>1</v>
      </c>
      <c r="AM6" s="91">
        <v>0</v>
      </c>
      <c r="AN6" s="91">
        <v>0</v>
      </c>
      <c r="AO6" s="91">
        <v>1</v>
      </c>
      <c r="AP6" s="91">
        <v>0</v>
      </c>
      <c r="AQ6" s="91">
        <v>0</v>
      </c>
      <c r="AR6" s="91">
        <v>1</v>
      </c>
      <c r="AS6" s="91">
        <v>0</v>
      </c>
      <c r="AT6" s="91">
        <v>0</v>
      </c>
      <c r="AX6" s="91">
        <v>0</v>
      </c>
      <c r="AY6" s="91">
        <v>0</v>
      </c>
      <c r="AZ6" s="91">
        <v>0</v>
      </c>
      <c r="BA6" s="91">
        <v>0</v>
      </c>
      <c r="BB6" s="91">
        <v>0</v>
      </c>
      <c r="BC6" s="91">
        <v>0</v>
      </c>
      <c r="BD6" s="91">
        <v>0</v>
      </c>
    </row>
    <row r="7" spans="1:56" x14ac:dyDescent="0.15">
      <c r="A7" s="55">
        <v>3</v>
      </c>
      <c r="B7" s="91">
        <v>6000</v>
      </c>
      <c r="C7" s="91">
        <v>0</v>
      </c>
      <c r="D7" s="91">
        <v>0</v>
      </c>
      <c r="E7" s="91">
        <v>6000</v>
      </c>
      <c r="F7" s="91">
        <v>6000</v>
      </c>
      <c r="G7" s="91">
        <v>6000</v>
      </c>
      <c r="H7" s="91">
        <v>6000</v>
      </c>
      <c r="I7" s="91">
        <v>0</v>
      </c>
      <c r="J7" s="91">
        <v>0</v>
      </c>
      <c r="K7" s="91">
        <v>6000</v>
      </c>
      <c r="L7" s="91">
        <v>0</v>
      </c>
      <c r="M7" s="91">
        <v>1</v>
      </c>
      <c r="N7" s="91">
        <v>1</v>
      </c>
      <c r="O7" s="91">
        <v>1</v>
      </c>
      <c r="P7" s="91">
        <v>1</v>
      </c>
      <c r="Q7" s="91">
        <v>1</v>
      </c>
      <c r="R7" s="91">
        <v>1</v>
      </c>
      <c r="S7" s="91">
        <v>1</v>
      </c>
      <c r="T7" s="91">
        <v>1</v>
      </c>
      <c r="U7" s="91">
        <v>1</v>
      </c>
      <c r="V7" s="91">
        <v>1</v>
      </c>
      <c r="W7" s="91">
        <v>1</v>
      </c>
      <c r="X7" s="91">
        <v>1</v>
      </c>
      <c r="Y7" s="91">
        <v>1</v>
      </c>
      <c r="Z7" s="91">
        <v>1</v>
      </c>
      <c r="AA7" s="91">
        <v>1</v>
      </c>
      <c r="AB7" s="91">
        <v>1</v>
      </c>
      <c r="AC7" s="91">
        <v>1</v>
      </c>
      <c r="AD7" s="91">
        <v>1</v>
      </c>
      <c r="AE7" s="91">
        <v>1</v>
      </c>
      <c r="AF7" s="91">
        <v>1</v>
      </c>
      <c r="AG7" s="91">
        <v>0</v>
      </c>
      <c r="AH7" s="91">
        <v>0</v>
      </c>
      <c r="AI7" s="91">
        <v>1</v>
      </c>
      <c r="AJ7" s="91">
        <v>0</v>
      </c>
      <c r="AK7" s="91">
        <v>0</v>
      </c>
      <c r="AL7" s="91">
        <v>1</v>
      </c>
      <c r="AM7" s="91">
        <v>0</v>
      </c>
      <c r="AN7" s="91">
        <v>0</v>
      </c>
      <c r="AO7" s="91">
        <v>1</v>
      </c>
      <c r="AP7" s="91">
        <v>0</v>
      </c>
      <c r="AQ7" s="91">
        <v>0</v>
      </c>
      <c r="AR7" s="91">
        <v>1</v>
      </c>
      <c r="AS7" s="91">
        <v>0</v>
      </c>
      <c r="AT7" s="91">
        <v>0</v>
      </c>
      <c r="AX7" s="91">
        <v>0</v>
      </c>
      <c r="AY7" s="91">
        <v>0</v>
      </c>
      <c r="AZ7" s="91">
        <v>0</v>
      </c>
      <c r="BA7" s="91">
        <v>0</v>
      </c>
      <c r="BB7" s="91">
        <v>0</v>
      </c>
      <c r="BC7" s="91">
        <v>0</v>
      </c>
      <c r="BD7" s="91">
        <v>0</v>
      </c>
    </row>
    <row r="8" spans="1:56" x14ac:dyDescent="0.15">
      <c r="A8" s="55">
        <v>4</v>
      </c>
      <c r="B8" s="91">
        <v>20000</v>
      </c>
      <c r="C8" s="91">
        <v>20000</v>
      </c>
      <c r="D8" s="91">
        <v>0</v>
      </c>
      <c r="E8" s="91">
        <v>20000</v>
      </c>
      <c r="F8" s="91">
        <v>20000</v>
      </c>
      <c r="G8" s="91">
        <v>20000</v>
      </c>
      <c r="H8" s="91">
        <v>20000</v>
      </c>
      <c r="I8" s="91">
        <v>0</v>
      </c>
      <c r="J8" s="91">
        <v>0</v>
      </c>
      <c r="K8" s="91">
        <v>20000</v>
      </c>
      <c r="L8" s="91">
        <v>0</v>
      </c>
      <c r="M8" s="91">
        <v>1</v>
      </c>
      <c r="N8" s="91">
        <v>1</v>
      </c>
      <c r="O8" s="91">
        <v>1</v>
      </c>
      <c r="P8" s="91">
        <v>1</v>
      </c>
      <c r="Q8" s="91">
        <v>1</v>
      </c>
      <c r="R8" s="91">
        <v>1</v>
      </c>
      <c r="S8" s="91">
        <v>1</v>
      </c>
      <c r="T8" s="91">
        <v>1</v>
      </c>
      <c r="U8" s="91">
        <v>1</v>
      </c>
      <c r="V8" s="91">
        <v>1</v>
      </c>
      <c r="W8" s="91">
        <v>1</v>
      </c>
      <c r="X8" s="91">
        <v>1</v>
      </c>
      <c r="Y8" s="91">
        <v>1</v>
      </c>
      <c r="Z8" s="91">
        <v>1</v>
      </c>
      <c r="AA8" s="91">
        <v>1</v>
      </c>
      <c r="AB8" s="91">
        <v>1</v>
      </c>
      <c r="AC8" s="91">
        <v>1</v>
      </c>
      <c r="AD8" s="91">
        <v>1</v>
      </c>
      <c r="AE8" s="91">
        <v>1</v>
      </c>
      <c r="AF8" s="91">
        <v>1</v>
      </c>
      <c r="AG8" s="91">
        <v>0</v>
      </c>
      <c r="AH8" s="91">
        <v>0</v>
      </c>
      <c r="AI8" s="91">
        <v>1</v>
      </c>
      <c r="AJ8" s="91">
        <v>0</v>
      </c>
      <c r="AK8" s="91">
        <v>0</v>
      </c>
      <c r="AL8" s="91">
        <v>1</v>
      </c>
      <c r="AM8" s="91">
        <v>0</v>
      </c>
      <c r="AN8" s="91">
        <v>0</v>
      </c>
      <c r="AO8" s="91">
        <v>1</v>
      </c>
      <c r="AP8" s="91">
        <v>0</v>
      </c>
      <c r="AQ8" s="91">
        <v>0</v>
      </c>
      <c r="AR8" s="91">
        <v>1</v>
      </c>
      <c r="AS8" s="91">
        <v>0</v>
      </c>
      <c r="AT8" s="91">
        <v>0</v>
      </c>
      <c r="AX8" s="91">
        <v>0</v>
      </c>
      <c r="AY8" s="91">
        <v>0</v>
      </c>
      <c r="AZ8" s="91">
        <v>0</v>
      </c>
      <c r="BA8" s="91">
        <v>0</v>
      </c>
      <c r="BB8" s="91">
        <v>0</v>
      </c>
      <c r="BC8" s="91">
        <v>0</v>
      </c>
      <c r="BD8" s="91">
        <v>0</v>
      </c>
    </row>
    <row r="9" spans="1:56" x14ac:dyDescent="0.15">
      <c r="A9" s="55">
        <v>5</v>
      </c>
      <c r="B9" s="91">
        <v>40000</v>
      </c>
      <c r="C9" s="91">
        <v>40000</v>
      </c>
      <c r="D9" s="91">
        <v>40000</v>
      </c>
      <c r="E9" s="91">
        <v>40000</v>
      </c>
      <c r="F9" s="91">
        <v>40000</v>
      </c>
      <c r="G9" s="91">
        <v>40000</v>
      </c>
      <c r="H9" s="91">
        <v>40000</v>
      </c>
      <c r="I9" s="91">
        <v>40000</v>
      </c>
      <c r="J9" s="91">
        <v>0</v>
      </c>
      <c r="K9" s="91">
        <v>40000</v>
      </c>
      <c r="L9" s="91">
        <v>1</v>
      </c>
      <c r="M9" s="91">
        <v>1</v>
      </c>
      <c r="N9" s="91">
        <v>1</v>
      </c>
      <c r="O9" s="91">
        <v>1</v>
      </c>
      <c r="P9" s="91">
        <v>1</v>
      </c>
      <c r="Q9" s="91">
        <v>1</v>
      </c>
      <c r="R9" s="91">
        <v>1</v>
      </c>
      <c r="S9" s="91">
        <v>1</v>
      </c>
      <c r="T9" s="91">
        <v>1</v>
      </c>
      <c r="U9" s="91">
        <v>1</v>
      </c>
      <c r="V9" s="91">
        <v>1</v>
      </c>
      <c r="W9" s="91">
        <v>1</v>
      </c>
      <c r="X9" s="91">
        <v>1</v>
      </c>
      <c r="Y9" s="91">
        <v>1</v>
      </c>
      <c r="Z9" s="91">
        <v>1</v>
      </c>
      <c r="AA9" s="91">
        <v>1</v>
      </c>
      <c r="AB9" s="91">
        <v>1</v>
      </c>
      <c r="AC9" s="91">
        <v>1</v>
      </c>
      <c r="AD9" s="91">
        <v>1</v>
      </c>
      <c r="AE9" s="91">
        <v>1</v>
      </c>
      <c r="AF9" s="91">
        <v>1</v>
      </c>
      <c r="AG9" s="91">
        <v>0</v>
      </c>
      <c r="AH9" s="91">
        <v>0</v>
      </c>
      <c r="AI9" s="91">
        <v>1</v>
      </c>
      <c r="AJ9" s="91">
        <v>0</v>
      </c>
      <c r="AK9" s="91">
        <v>0</v>
      </c>
      <c r="AL9" s="91">
        <v>1</v>
      </c>
      <c r="AM9" s="91">
        <v>0</v>
      </c>
      <c r="AN9" s="91">
        <v>0</v>
      </c>
      <c r="AO9" s="91">
        <v>1</v>
      </c>
      <c r="AP9" s="91">
        <v>0</v>
      </c>
      <c r="AQ9" s="91">
        <v>0</v>
      </c>
      <c r="AR9" s="91">
        <v>1</v>
      </c>
      <c r="AS9" s="91">
        <v>0</v>
      </c>
      <c r="AT9" s="91">
        <v>0</v>
      </c>
      <c r="AX9" s="91">
        <v>0</v>
      </c>
      <c r="AY9" s="91">
        <v>0</v>
      </c>
      <c r="AZ9" s="91">
        <v>0</v>
      </c>
      <c r="BA9" s="91">
        <v>0</v>
      </c>
      <c r="BB9" s="91">
        <v>0</v>
      </c>
      <c r="BC9" s="91">
        <v>0</v>
      </c>
      <c r="BD9" s="91">
        <v>0</v>
      </c>
    </row>
    <row r="10" spans="1:56" x14ac:dyDescent="0.15">
      <c r="A10" s="55">
        <v>6</v>
      </c>
      <c r="B10" s="91">
        <v>60000</v>
      </c>
      <c r="C10" s="91">
        <v>60000</v>
      </c>
      <c r="D10" s="91">
        <v>60000</v>
      </c>
      <c r="E10" s="91">
        <v>60000</v>
      </c>
      <c r="F10" s="91">
        <v>60000</v>
      </c>
      <c r="G10" s="91">
        <v>60000</v>
      </c>
      <c r="H10" s="91">
        <v>60000</v>
      </c>
      <c r="I10" s="91">
        <v>60000</v>
      </c>
      <c r="J10" s="91">
        <v>0</v>
      </c>
      <c r="K10" s="91">
        <v>60000</v>
      </c>
      <c r="L10" s="91">
        <v>1</v>
      </c>
      <c r="M10" s="91">
        <v>1</v>
      </c>
      <c r="N10" s="91">
        <v>1</v>
      </c>
      <c r="O10" s="91">
        <v>1</v>
      </c>
      <c r="P10" s="91">
        <v>1</v>
      </c>
      <c r="Q10" s="91">
        <v>1</v>
      </c>
      <c r="R10" s="91">
        <v>1</v>
      </c>
      <c r="S10" s="91">
        <v>1</v>
      </c>
      <c r="T10" s="91">
        <v>1</v>
      </c>
      <c r="U10" s="91">
        <v>1</v>
      </c>
      <c r="V10" s="91">
        <v>1</v>
      </c>
      <c r="W10" s="91">
        <v>1</v>
      </c>
      <c r="X10" s="91">
        <v>1</v>
      </c>
      <c r="Y10" s="91">
        <v>1</v>
      </c>
      <c r="Z10" s="91">
        <v>1</v>
      </c>
      <c r="AA10" s="91">
        <v>1</v>
      </c>
      <c r="AB10" s="91">
        <v>1</v>
      </c>
      <c r="AC10" s="91">
        <v>1</v>
      </c>
      <c r="AD10" s="91">
        <v>1</v>
      </c>
      <c r="AE10" s="91">
        <v>1</v>
      </c>
      <c r="AF10" s="91">
        <v>1</v>
      </c>
      <c r="AG10" s="91">
        <v>1</v>
      </c>
      <c r="AH10" s="91">
        <v>0</v>
      </c>
      <c r="AI10" s="91">
        <v>1</v>
      </c>
      <c r="AJ10" s="91">
        <v>0</v>
      </c>
      <c r="AK10" s="91">
        <v>0</v>
      </c>
      <c r="AL10" s="91">
        <v>1</v>
      </c>
      <c r="AM10" s="91">
        <v>0</v>
      </c>
      <c r="AN10" s="91">
        <v>0</v>
      </c>
      <c r="AO10" s="91">
        <v>1</v>
      </c>
      <c r="AP10" s="91">
        <v>0</v>
      </c>
      <c r="AQ10" s="91">
        <v>0</v>
      </c>
      <c r="AR10" s="91">
        <v>1</v>
      </c>
      <c r="AS10" s="91">
        <v>0</v>
      </c>
      <c r="AT10" s="91">
        <v>0</v>
      </c>
      <c r="AX10" s="91">
        <v>0</v>
      </c>
      <c r="AY10" s="91">
        <v>0</v>
      </c>
      <c r="AZ10" s="91">
        <v>0</v>
      </c>
      <c r="BA10" s="91">
        <v>0</v>
      </c>
      <c r="BB10" s="91">
        <v>0</v>
      </c>
      <c r="BC10" s="91">
        <v>0</v>
      </c>
      <c r="BD10" s="91">
        <v>0</v>
      </c>
    </row>
    <row r="11" spans="1:56" x14ac:dyDescent="0.15">
      <c r="A11" s="55">
        <v>7</v>
      </c>
      <c r="B11" s="91">
        <v>100000</v>
      </c>
      <c r="C11" s="91">
        <v>100000</v>
      </c>
      <c r="D11" s="91">
        <v>100000</v>
      </c>
      <c r="E11" s="91">
        <v>100000</v>
      </c>
      <c r="F11" s="91">
        <v>100000</v>
      </c>
      <c r="G11" s="91">
        <v>100000</v>
      </c>
      <c r="H11" s="91">
        <v>100000</v>
      </c>
      <c r="I11" s="91">
        <v>100000</v>
      </c>
      <c r="J11" s="91">
        <v>0</v>
      </c>
      <c r="K11" s="91">
        <v>100000</v>
      </c>
      <c r="L11" s="91">
        <v>1</v>
      </c>
      <c r="M11" s="91">
        <v>1</v>
      </c>
      <c r="N11" s="91">
        <v>1</v>
      </c>
      <c r="O11" s="91">
        <v>1</v>
      </c>
      <c r="P11" s="91">
        <v>1</v>
      </c>
      <c r="Q11" s="91">
        <v>1</v>
      </c>
      <c r="R11" s="91">
        <v>1</v>
      </c>
      <c r="S11" s="91">
        <v>1</v>
      </c>
      <c r="T11" s="91">
        <v>1</v>
      </c>
      <c r="U11" s="91">
        <v>1</v>
      </c>
      <c r="V11" s="91">
        <v>1</v>
      </c>
      <c r="W11" s="91">
        <v>1</v>
      </c>
      <c r="X11" s="91">
        <v>1</v>
      </c>
      <c r="Y11" s="91">
        <v>1</v>
      </c>
      <c r="Z11" s="91">
        <v>1</v>
      </c>
      <c r="AA11" s="91">
        <v>1</v>
      </c>
      <c r="AB11" s="91">
        <v>1</v>
      </c>
      <c r="AC11" s="91">
        <v>1</v>
      </c>
      <c r="AD11" s="91">
        <v>1</v>
      </c>
      <c r="AE11" s="91">
        <v>1</v>
      </c>
      <c r="AF11" s="91">
        <v>1</v>
      </c>
      <c r="AG11" s="91">
        <v>1</v>
      </c>
      <c r="AH11" s="91">
        <v>0</v>
      </c>
      <c r="AI11" s="91">
        <v>1</v>
      </c>
      <c r="AJ11" s="91">
        <v>0</v>
      </c>
      <c r="AK11" s="91">
        <v>0</v>
      </c>
      <c r="AL11" s="91">
        <v>1</v>
      </c>
      <c r="AM11" s="91">
        <v>0</v>
      </c>
      <c r="AN11" s="91">
        <v>0</v>
      </c>
      <c r="AO11" s="91">
        <v>1</v>
      </c>
      <c r="AP11" s="91">
        <v>0</v>
      </c>
      <c r="AQ11" s="91">
        <v>0</v>
      </c>
      <c r="AR11" s="91">
        <v>1</v>
      </c>
      <c r="AS11" s="91">
        <v>0</v>
      </c>
      <c r="AT11" s="91">
        <v>0</v>
      </c>
      <c r="AX11" s="91">
        <v>66000</v>
      </c>
      <c r="AY11" s="91">
        <v>66000</v>
      </c>
      <c r="AZ11" s="91">
        <v>66000</v>
      </c>
      <c r="BA11" s="91">
        <v>66000</v>
      </c>
      <c r="BB11" s="91">
        <v>66000</v>
      </c>
      <c r="BC11" s="91">
        <v>66000</v>
      </c>
      <c r="BD11" s="91">
        <v>66000</v>
      </c>
    </row>
    <row r="12" spans="1:56" x14ac:dyDescent="0.15">
      <c r="A12" s="55">
        <v>8</v>
      </c>
      <c r="B12" s="91">
        <v>140000</v>
      </c>
      <c r="C12" s="91">
        <v>140000</v>
      </c>
      <c r="D12" s="91">
        <v>140000</v>
      </c>
      <c r="E12" s="91">
        <v>140000</v>
      </c>
      <c r="F12" s="91">
        <v>140000</v>
      </c>
      <c r="G12" s="91">
        <v>140000</v>
      </c>
      <c r="H12" s="91">
        <v>140000</v>
      </c>
      <c r="I12" s="91">
        <v>140000</v>
      </c>
      <c r="J12" s="91">
        <v>0</v>
      </c>
      <c r="K12" s="91">
        <v>140000</v>
      </c>
      <c r="L12" s="91">
        <v>2</v>
      </c>
      <c r="M12" s="91">
        <v>2</v>
      </c>
      <c r="N12" s="91">
        <v>2</v>
      </c>
      <c r="O12" s="91">
        <v>2</v>
      </c>
      <c r="P12" s="91">
        <v>2</v>
      </c>
      <c r="Q12" s="91">
        <v>2</v>
      </c>
      <c r="R12" s="91">
        <v>2</v>
      </c>
      <c r="S12" s="91">
        <v>2</v>
      </c>
      <c r="T12" s="91">
        <v>2</v>
      </c>
      <c r="U12" s="91">
        <v>2</v>
      </c>
      <c r="V12" s="91">
        <v>2</v>
      </c>
      <c r="W12" s="91">
        <v>2</v>
      </c>
      <c r="X12" s="91">
        <v>2</v>
      </c>
      <c r="Y12" s="91">
        <v>2</v>
      </c>
      <c r="Z12" s="91">
        <v>2</v>
      </c>
      <c r="AA12" s="91">
        <v>2</v>
      </c>
      <c r="AB12" s="91">
        <v>2</v>
      </c>
      <c r="AC12" s="91">
        <v>2</v>
      </c>
      <c r="AD12" s="91">
        <v>2</v>
      </c>
      <c r="AE12" s="91">
        <v>2</v>
      </c>
      <c r="AF12" s="91">
        <v>1</v>
      </c>
      <c r="AG12" s="91">
        <v>1</v>
      </c>
      <c r="AH12" s="91">
        <v>0</v>
      </c>
      <c r="AI12" s="91">
        <v>1</v>
      </c>
      <c r="AJ12" s="91">
        <v>0</v>
      </c>
      <c r="AK12" s="91">
        <v>0</v>
      </c>
      <c r="AL12" s="91">
        <v>1</v>
      </c>
      <c r="AM12" s="91">
        <v>0</v>
      </c>
      <c r="AN12" s="91">
        <v>0</v>
      </c>
      <c r="AO12" s="91">
        <v>1</v>
      </c>
      <c r="AP12" s="91">
        <v>0</v>
      </c>
      <c r="AQ12" s="91">
        <v>0</v>
      </c>
      <c r="AR12" s="91">
        <v>1</v>
      </c>
      <c r="AS12" s="91">
        <v>0</v>
      </c>
      <c r="AT12" s="91">
        <v>0</v>
      </c>
      <c r="AX12" s="91">
        <v>72000</v>
      </c>
      <c r="AY12" s="91">
        <v>72000</v>
      </c>
      <c r="AZ12" s="91">
        <v>72000</v>
      </c>
      <c r="BA12" s="91">
        <v>72000</v>
      </c>
      <c r="BB12" s="91">
        <v>72000</v>
      </c>
      <c r="BC12" s="91">
        <v>72000</v>
      </c>
      <c r="BD12" s="91">
        <v>72000</v>
      </c>
    </row>
    <row r="13" spans="1:56" x14ac:dyDescent="0.15">
      <c r="A13" s="55">
        <v>9</v>
      </c>
      <c r="B13" s="91">
        <v>170000</v>
      </c>
      <c r="C13" s="91">
        <v>170000</v>
      </c>
      <c r="D13" s="91">
        <v>170000</v>
      </c>
      <c r="E13" s="91">
        <v>170000</v>
      </c>
      <c r="F13" s="91">
        <v>170000</v>
      </c>
      <c r="G13" s="91">
        <v>170000</v>
      </c>
      <c r="H13" s="91">
        <v>170000</v>
      </c>
      <c r="I13" s="91">
        <v>170000</v>
      </c>
      <c r="J13" s="91">
        <v>0</v>
      </c>
      <c r="K13" s="91">
        <v>170000</v>
      </c>
      <c r="L13" s="91">
        <v>2</v>
      </c>
      <c r="M13" s="91">
        <v>2</v>
      </c>
      <c r="N13" s="91">
        <v>2</v>
      </c>
      <c r="O13" s="91">
        <v>2</v>
      </c>
      <c r="P13" s="91">
        <v>2</v>
      </c>
      <c r="Q13" s="91">
        <v>2</v>
      </c>
      <c r="R13" s="91">
        <v>2</v>
      </c>
      <c r="S13" s="91">
        <v>2</v>
      </c>
      <c r="T13" s="91">
        <v>2</v>
      </c>
      <c r="U13" s="91">
        <v>2</v>
      </c>
      <c r="V13" s="91">
        <v>2</v>
      </c>
      <c r="W13" s="91">
        <v>2</v>
      </c>
      <c r="X13" s="91">
        <v>2</v>
      </c>
      <c r="Y13" s="91">
        <v>2</v>
      </c>
      <c r="Z13" s="91">
        <v>2</v>
      </c>
      <c r="AA13" s="91">
        <v>2</v>
      </c>
      <c r="AB13" s="91">
        <v>2</v>
      </c>
      <c r="AC13" s="91">
        <v>2</v>
      </c>
      <c r="AD13" s="91">
        <v>2</v>
      </c>
      <c r="AE13" s="91">
        <v>2</v>
      </c>
      <c r="AF13" s="91">
        <v>1</v>
      </c>
      <c r="AG13" s="91">
        <v>1</v>
      </c>
      <c r="AH13" s="91">
        <v>0</v>
      </c>
      <c r="AI13" s="91">
        <v>1</v>
      </c>
      <c r="AJ13" s="91">
        <v>0</v>
      </c>
      <c r="AK13" s="91">
        <v>0</v>
      </c>
      <c r="AL13" s="91">
        <v>1</v>
      </c>
      <c r="AM13" s="91">
        <v>0</v>
      </c>
      <c r="AN13" s="91">
        <v>0</v>
      </c>
      <c r="AO13" s="91">
        <v>1</v>
      </c>
      <c r="AP13" s="91">
        <v>0</v>
      </c>
      <c r="AQ13" s="91">
        <v>0</v>
      </c>
      <c r="AR13" s="91">
        <v>1</v>
      </c>
      <c r="AS13" s="91">
        <v>0</v>
      </c>
      <c r="AT13" s="91">
        <v>0</v>
      </c>
      <c r="AX13" s="91">
        <v>86000</v>
      </c>
      <c r="AY13" s="91">
        <v>86000</v>
      </c>
      <c r="AZ13" s="91">
        <v>86000</v>
      </c>
      <c r="BA13" s="91">
        <v>86000</v>
      </c>
      <c r="BB13" s="91">
        <v>86000</v>
      </c>
      <c r="BC13" s="91">
        <v>86000</v>
      </c>
      <c r="BD13" s="91">
        <v>86000</v>
      </c>
    </row>
    <row r="14" spans="1:56" x14ac:dyDescent="0.15">
      <c r="A14" s="55">
        <v>10</v>
      </c>
      <c r="B14" s="91">
        <v>220000</v>
      </c>
      <c r="C14" s="91">
        <v>220000</v>
      </c>
      <c r="D14" s="91">
        <v>220000</v>
      </c>
      <c r="E14" s="91">
        <v>220000</v>
      </c>
      <c r="F14" s="91">
        <v>220000</v>
      </c>
      <c r="G14" s="91">
        <v>220000</v>
      </c>
      <c r="H14" s="91">
        <v>220000</v>
      </c>
      <c r="I14" s="91">
        <v>220000</v>
      </c>
      <c r="J14" s="91">
        <v>220000</v>
      </c>
      <c r="K14" s="91">
        <v>220000</v>
      </c>
      <c r="L14" s="91">
        <v>2</v>
      </c>
      <c r="M14" s="91">
        <v>2</v>
      </c>
      <c r="N14" s="91">
        <v>2</v>
      </c>
      <c r="O14" s="91">
        <v>2</v>
      </c>
      <c r="P14" s="91">
        <v>2</v>
      </c>
      <c r="Q14" s="91">
        <v>2</v>
      </c>
      <c r="R14" s="91">
        <v>2</v>
      </c>
      <c r="S14" s="91">
        <v>2</v>
      </c>
      <c r="T14" s="91">
        <v>2</v>
      </c>
      <c r="U14" s="91">
        <v>2</v>
      </c>
      <c r="V14" s="91">
        <v>2</v>
      </c>
      <c r="W14" s="91">
        <v>2</v>
      </c>
      <c r="X14" s="91">
        <v>2</v>
      </c>
      <c r="Y14" s="91">
        <v>2</v>
      </c>
      <c r="Z14" s="91">
        <v>2</v>
      </c>
      <c r="AA14" s="91">
        <v>2</v>
      </c>
      <c r="AB14" s="91">
        <v>2</v>
      </c>
      <c r="AC14" s="91">
        <v>2</v>
      </c>
      <c r="AD14" s="91">
        <v>2</v>
      </c>
      <c r="AE14" s="91">
        <v>2</v>
      </c>
      <c r="AF14" s="91">
        <v>1</v>
      </c>
      <c r="AG14" s="91">
        <v>1</v>
      </c>
      <c r="AH14" s="91">
        <v>0</v>
      </c>
      <c r="AI14" s="91">
        <v>1</v>
      </c>
      <c r="AJ14" s="91">
        <v>0</v>
      </c>
      <c r="AK14" s="91">
        <v>0</v>
      </c>
      <c r="AL14" s="91">
        <v>1</v>
      </c>
      <c r="AM14" s="91">
        <v>0</v>
      </c>
      <c r="AN14" s="91">
        <v>0</v>
      </c>
      <c r="AO14" s="91">
        <v>1</v>
      </c>
      <c r="AP14" s="91">
        <v>0</v>
      </c>
      <c r="AQ14" s="91">
        <v>0</v>
      </c>
      <c r="AR14" s="91">
        <v>1</v>
      </c>
      <c r="AS14" s="91">
        <v>0</v>
      </c>
      <c r="AT14" s="91">
        <v>0</v>
      </c>
      <c r="AX14" s="91">
        <v>95000</v>
      </c>
      <c r="AY14" s="91">
        <v>95000</v>
      </c>
      <c r="AZ14" s="91">
        <v>95000</v>
      </c>
      <c r="BA14" s="91">
        <v>95000</v>
      </c>
      <c r="BB14" s="91">
        <v>95000</v>
      </c>
      <c r="BC14" s="91">
        <v>95000</v>
      </c>
      <c r="BD14" s="91">
        <v>95000</v>
      </c>
    </row>
    <row r="15" spans="1:56" x14ac:dyDescent="0.15">
      <c r="A15" s="55">
        <v>11</v>
      </c>
      <c r="B15" s="91">
        <v>260000</v>
      </c>
      <c r="C15" s="91">
        <v>260000</v>
      </c>
      <c r="D15" s="91">
        <v>260000</v>
      </c>
      <c r="E15" s="91">
        <v>260000</v>
      </c>
      <c r="F15" s="91">
        <v>260000</v>
      </c>
      <c r="G15" s="91">
        <v>260000</v>
      </c>
      <c r="H15" s="91">
        <v>260000</v>
      </c>
      <c r="I15" s="91">
        <v>260000</v>
      </c>
      <c r="J15" s="91">
        <v>260000</v>
      </c>
      <c r="K15" s="91">
        <v>260000</v>
      </c>
      <c r="L15" s="91">
        <v>3</v>
      </c>
      <c r="M15" s="91">
        <v>3</v>
      </c>
      <c r="N15" s="91">
        <v>3</v>
      </c>
      <c r="O15" s="91">
        <v>3</v>
      </c>
      <c r="P15" s="91">
        <v>3</v>
      </c>
      <c r="Q15" s="91">
        <v>3</v>
      </c>
      <c r="R15" s="91">
        <v>3</v>
      </c>
      <c r="S15" s="91">
        <v>3</v>
      </c>
      <c r="T15" s="91">
        <v>3</v>
      </c>
      <c r="U15" s="91">
        <v>3</v>
      </c>
      <c r="V15" s="91">
        <v>3</v>
      </c>
      <c r="W15" s="91">
        <v>3</v>
      </c>
      <c r="X15" s="91">
        <v>3</v>
      </c>
      <c r="Y15" s="91">
        <v>3</v>
      </c>
      <c r="Z15" s="91">
        <v>3</v>
      </c>
      <c r="AA15" s="91">
        <v>3</v>
      </c>
      <c r="AB15" s="91">
        <v>3</v>
      </c>
      <c r="AC15" s="91">
        <v>3</v>
      </c>
      <c r="AD15" s="91">
        <v>3</v>
      </c>
      <c r="AE15" s="91">
        <v>3</v>
      </c>
      <c r="AF15" s="91">
        <v>1</v>
      </c>
      <c r="AG15" s="91">
        <v>1</v>
      </c>
      <c r="AH15" s="91">
        <v>1</v>
      </c>
      <c r="AI15" s="91">
        <v>1</v>
      </c>
      <c r="AJ15" s="91">
        <v>1</v>
      </c>
      <c r="AK15" s="91">
        <v>1</v>
      </c>
      <c r="AL15" s="91">
        <v>1</v>
      </c>
      <c r="AM15" s="91">
        <v>1</v>
      </c>
      <c r="AN15" s="91">
        <v>1</v>
      </c>
      <c r="AO15" s="91">
        <v>1</v>
      </c>
      <c r="AP15" s="91">
        <v>1</v>
      </c>
      <c r="AQ15" s="91">
        <v>1</v>
      </c>
      <c r="AR15" s="91">
        <v>1</v>
      </c>
      <c r="AS15" s="91">
        <v>1</v>
      </c>
      <c r="AT15" s="91">
        <v>1</v>
      </c>
      <c r="AX15" s="91">
        <v>72000</v>
      </c>
      <c r="AY15" s="91">
        <v>72000</v>
      </c>
      <c r="AZ15" s="91">
        <v>72000</v>
      </c>
      <c r="BA15" s="91">
        <v>72000</v>
      </c>
      <c r="BB15" s="91">
        <v>72000</v>
      </c>
      <c r="BC15" s="91">
        <v>72000</v>
      </c>
      <c r="BD15" s="91">
        <v>72000</v>
      </c>
    </row>
    <row r="16" spans="1:56" x14ac:dyDescent="0.15">
      <c r="A16" s="55">
        <v>12</v>
      </c>
      <c r="B16" s="91">
        <v>320000</v>
      </c>
      <c r="C16" s="91">
        <v>320000</v>
      </c>
      <c r="D16" s="91">
        <v>320000</v>
      </c>
      <c r="E16" s="91">
        <v>320000</v>
      </c>
      <c r="F16" s="91">
        <v>320000</v>
      </c>
      <c r="G16" s="91">
        <v>320000</v>
      </c>
      <c r="H16" s="91">
        <v>320000</v>
      </c>
      <c r="I16" s="91">
        <v>320000</v>
      </c>
      <c r="J16" s="91">
        <v>320000</v>
      </c>
      <c r="K16" s="91">
        <v>320000</v>
      </c>
      <c r="L16" s="91">
        <v>3</v>
      </c>
      <c r="M16" s="91">
        <v>3</v>
      </c>
      <c r="N16" s="91">
        <v>3</v>
      </c>
      <c r="O16" s="91">
        <v>3</v>
      </c>
      <c r="P16" s="91">
        <v>3</v>
      </c>
      <c r="Q16" s="91">
        <v>3</v>
      </c>
      <c r="R16" s="91">
        <v>3</v>
      </c>
      <c r="S16" s="91">
        <v>3</v>
      </c>
      <c r="T16" s="91">
        <v>3</v>
      </c>
      <c r="U16" s="91">
        <v>3</v>
      </c>
      <c r="V16" s="91">
        <v>3</v>
      </c>
      <c r="W16" s="91">
        <v>3</v>
      </c>
      <c r="X16" s="91">
        <v>3</v>
      </c>
      <c r="Y16" s="91">
        <v>3</v>
      </c>
      <c r="Z16" s="91">
        <v>3</v>
      </c>
      <c r="AA16" s="91">
        <v>3</v>
      </c>
      <c r="AB16" s="91">
        <v>3</v>
      </c>
      <c r="AC16" s="91">
        <v>3</v>
      </c>
      <c r="AD16" s="91">
        <v>3</v>
      </c>
      <c r="AE16" s="91">
        <v>3</v>
      </c>
      <c r="AF16" s="91">
        <v>2</v>
      </c>
      <c r="AG16" s="91">
        <v>2</v>
      </c>
      <c r="AH16" s="91">
        <v>2</v>
      </c>
      <c r="AI16" s="91">
        <v>2</v>
      </c>
      <c r="AJ16" s="91">
        <v>2</v>
      </c>
      <c r="AK16" s="91">
        <v>2</v>
      </c>
      <c r="AL16" s="91">
        <v>2</v>
      </c>
      <c r="AM16" s="91">
        <v>2</v>
      </c>
      <c r="AN16" s="91">
        <v>2</v>
      </c>
      <c r="AO16" s="91">
        <v>2</v>
      </c>
      <c r="AP16" s="91">
        <v>2</v>
      </c>
      <c r="AQ16" s="91">
        <v>2</v>
      </c>
      <c r="AR16" s="91">
        <v>2</v>
      </c>
      <c r="AS16" s="91">
        <v>2</v>
      </c>
      <c r="AT16" s="91">
        <v>2</v>
      </c>
      <c r="AX16" s="91">
        <v>86000</v>
      </c>
      <c r="AY16" s="91">
        <v>86000</v>
      </c>
      <c r="AZ16" s="91">
        <v>86000</v>
      </c>
      <c r="BA16" s="91">
        <v>86000</v>
      </c>
      <c r="BB16" s="91">
        <v>86000</v>
      </c>
      <c r="BC16" s="91">
        <v>86000</v>
      </c>
      <c r="BD16" s="91">
        <v>86000</v>
      </c>
    </row>
    <row r="17" spans="1:56" x14ac:dyDescent="0.15">
      <c r="A17" s="55">
        <v>13</v>
      </c>
      <c r="B17" s="91">
        <v>380000</v>
      </c>
      <c r="C17" s="91">
        <v>380000</v>
      </c>
      <c r="D17" s="91">
        <v>380000</v>
      </c>
      <c r="E17" s="91">
        <v>380000</v>
      </c>
      <c r="F17" s="91">
        <v>380000</v>
      </c>
      <c r="G17" s="91">
        <v>380000</v>
      </c>
      <c r="H17" s="91">
        <v>380000</v>
      </c>
      <c r="I17" s="91">
        <v>380000</v>
      </c>
      <c r="J17" s="91">
        <v>380000</v>
      </c>
      <c r="K17" s="91">
        <v>380000</v>
      </c>
      <c r="L17" s="91">
        <v>4</v>
      </c>
      <c r="M17" s="91">
        <v>4</v>
      </c>
      <c r="N17" s="91">
        <v>4</v>
      </c>
      <c r="O17" s="91">
        <v>4</v>
      </c>
      <c r="P17" s="91">
        <v>4</v>
      </c>
      <c r="Q17" s="91">
        <v>4</v>
      </c>
      <c r="R17" s="91">
        <v>4</v>
      </c>
      <c r="S17" s="91">
        <v>4</v>
      </c>
      <c r="T17" s="91">
        <v>4</v>
      </c>
      <c r="U17" s="91">
        <v>4</v>
      </c>
      <c r="V17" s="91">
        <v>4</v>
      </c>
      <c r="W17" s="91">
        <v>4</v>
      </c>
      <c r="X17" s="91">
        <v>4</v>
      </c>
      <c r="Y17" s="91">
        <v>4</v>
      </c>
      <c r="Z17" s="91">
        <v>4</v>
      </c>
      <c r="AA17" s="91">
        <v>4</v>
      </c>
      <c r="AB17" s="91">
        <v>4</v>
      </c>
      <c r="AC17" s="91">
        <v>4</v>
      </c>
      <c r="AD17" s="91">
        <v>4</v>
      </c>
      <c r="AE17" s="91">
        <v>4</v>
      </c>
      <c r="AF17" s="91">
        <v>3</v>
      </c>
      <c r="AG17" s="91">
        <v>3</v>
      </c>
      <c r="AH17" s="91">
        <v>3</v>
      </c>
      <c r="AI17" s="91">
        <v>3</v>
      </c>
      <c r="AJ17" s="91">
        <v>3</v>
      </c>
      <c r="AK17" s="91">
        <v>3</v>
      </c>
      <c r="AL17" s="91">
        <v>3</v>
      </c>
      <c r="AM17" s="91">
        <v>3</v>
      </c>
      <c r="AN17" s="91">
        <v>3</v>
      </c>
      <c r="AO17" s="91">
        <v>3</v>
      </c>
      <c r="AP17" s="91">
        <v>3</v>
      </c>
      <c r="AQ17" s="91">
        <v>3</v>
      </c>
      <c r="AR17" s="91">
        <v>3</v>
      </c>
      <c r="AS17" s="91">
        <v>3</v>
      </c>
      <c r="AT17" s="91">
        <v>3</v>
      </c>
      <c r="AX17" s="91">
        <v>95000</v>
      </c>
      <c r="AY17" s="91">
        <v>95000</v>
      </c>
      <c r="AZ17" s="91">
        <v>95000</v>
      </c>
      <c r="BA17" s="91">
        <v>95000</v>
      </c>
      <c r="BB17" s="91">
        <v>95000</v>
      </c>
      <c r="BC17" s="91">
        <v>95000</v>
      </c>
      <c r="BD17" s="91">
        <v>95000</v>
      </c>
    </row>
    <row r="18" spans="1:56" x14ac:dyDescent="0.15">
      <c r="A18" s="55">
        <v>14</v>
      </c>
      <c r="B18" s="91">
        <v>460000</v>
      </c>
      <c r="C18" s="91">
        <v>460000</v>
      </c>
      <c r="D18" s="91">
        <v>460000</v>
      </c>
      <c r="E18" s="91">
        <v>460000</v>
      </c>
      <c r="F18" s="91">
        <v>460000</v>
      </c>
      <c r="G18" s="91">
        <v>460000</v>
      </c>
      <c r="H18" s="91">
        <v>460000</v>
      </c>
      <c r="I18" s="91">
        <v>460000</v>
      </c>
      <c r="J18" s="91">
        <v>460000</v>
      </c>
      <c r="K18" s="91">
        <v>460000</v>
      </c>
      <c r="L18" s="91">
        <v>5</v>
      </c>
      <c r="M18" s="91">
        <v>5</v>
      </c>
      <c r="N18" s="91">
        <v>5</v>
      </c>
      <c r="O18" s="91">
        <v>5</v>
      </c>
      <c r="P18" s="91">
        <v>5</v>
      </c>
      <c r="Q18" s="91">
        <v>5</v>
      </c>
      <c r="R18" s="91">
        <v>5</v>
      </c>
      <c r="S18" s="91">
        <v>5</v>
      </c>
      <c r="T18" s="91">
        <v>5</v>
      </c>
      <c r="U18" s="91">
        <v>5</v>
      </c>
      <c r="V18" s="91">
        <v>5</v>
      </c>
      <c r="W18" s="91">
        <v>5</v>
      </c>
      <c r="X18" s="91">
        <v>5</v>
      </c>
      <c r="Y18" s="91">
        <v>5</v>
      </c>
      <c r="Z18" s="91">
        <v>5</v>
      </c>
      <c r="AA18" s="91">
        <v>5</v>
      </c>
      <c r="AB18" s="91">
        <v>5</v>
      </c>
      <c r="AC18" s="91">
        <v>5</v>
      </c>
      <c r="AD18" s="91">
        <v>5</v>
      </c>
      <c r="AE18" s="91">
        <v>5</v>
      </c>
      <c r="AF18" s="91">
        <v>4</v>
      </c>
      <c r="AG18" s="91">
        <v>4</v>
      </c>
      <c r="AH18" s="91">
        <v>4</v>
      </c>
      <c r="AI18" s="91">
        <v>4</v>
      </c>
      <c r="AJ18" s="91">
        <v>4</v>
      </c>
      <c r="AK18" s="91">
        <v>4</v>
      </c>
      <c r="AL18" s="91">
        <v>4</v>
      </c>
      <c r="AM18" s="91">
        <v>4</v>
      </c>
      <c r="AN18" s="91">
        <v>4</v>
      </c>
      <c r="AO18" s="91">
        <v>4</v>
      </c>
      <c r="AP18" s="91">
        <v>4</v>
      </c>
      <c r="AQ18" s="91">
        <v>4</v>
      </c>
      <c r="AR18" s="91">
        <v>4</v>
      </c>
      <c r="AS18" s="91">
        <v>4</v>
      </c>
      <c r="AT18" s="91">
        <v>4</v>
      </c>
      <c r="AX18" s="91">
        <v>110000</v>
      </c>
      <c r="AY18" s="91">
        <v>110000</v>
      </c>
      <c r="AZ18" s="91">
        <v>110000</v>
      </c>
      <c r="BA18" s="91">
        <v>110000</v>
      </c>
      <c r="BB18" s="91">
        <v>110000</v>
      </c>
      <c r="BC18" s="91">
        <v>110000</v>
      </c>
      <c r="BD18" s="91">
        <v>110000</v>
      </c>
    </row>
    <row r="19" spans="1:56" x14ac:dyDescent="0.15">
      <c r="A19" s="55">
        <v>15</v>
      </c>
      <c r="B19" s="91">
        <v>570000</v>
      </c>
      <c r="C19" s="91">
        <v>570000</v>
      </c>
      <c r="D19" s="91">
        <v>570000</v>
      </c>
      <c r="E19" s="91">
        <v>570000</v>
      </c>
      <c r="F19" s="91">
        <v>570000</v>
      </c>
      <c r="G19" s="91">
        <v>570000</v>
      </c>
      <c r="H19" s="91">
        <v>570000</v>
      </c>
      <c r="I19" s="91">
        <v>570000</v>
      </c>
      <c r="J19" s="91">
        <v>570000</v>
      </c>
      <c r="K19" s="91">
        <v>570000</v>
      </c>
      <c r="L19" s="91">
        <v>6</v>
      </c>
      <c r="M19" s="91">
        <v>6</v>
      </c>
      <c r="N19" s="91">
        <v>6</v>
      </c>
      <c r="O19" s="91">
        <v>6</v>
      </c>
      <c r="P19" s="91">
        <v>6</v>
      </c>
      <c r="Q19" s="91">
        <v>6</v>
      </c>
      <c r="R19" s="91">
        <v>6</v>
      </c>
      <c r="S19" s="91">
        <v>6</v>
      </c>
      <c r="T19" s="91">
        <v>6</v>
      </c>
      <c r="U19" s="91">
        <v>6</v>
      </c>
      <c r="V19" s="91">
        <v>6</v>
      </c>
      <c r="W19" s="91">
        <v>6</v>
      </c>
      <c r="X19" s="91">
        <v>6</v>
      </c>
      <c r="Y19" s="91">
        <v>6</v>
      </c>
      <c r="Z19" s="91">
        <v>6</v>
      </c>
      <c r="AA19" s="91">
        <v>6</v>
      </c>
      <c r="AB19" s="91">
        <v>6</v>
      </c>
      <c r="AC19" s="91">
        <v>6</v>
      </c>
      <c r="AD19" s="91">
        <v>6</v>
      </c>
      <c r="AE19" s="91">
        <v>6</v>
      </c>
      <c r="AF19" s="91">
        <v>5</v>
      </c>
      <c r="AG19" s="91">
        <v>5</v>
      </c>
      <c r="AH19" s="91">
        <v>5</v>
      </c>
      <c r="AI19" s="91">
        <v>5</v>
      </c>
      <c r="AJ19" s="91">
        <v>5</v>
      </c>
      <c r="AK19" s="91">
        <v>5</v>
      </c>
      <c r="AL19" s="91">
        <v>5</v>
      </c>
      <c r="AM19" s="91">
        <v>5</v>
      </c>
      <c r="AN19" s="91">
        <v>5</v>
      </c>
      <c r="AO19" s="91">
        <v>5</v>
      </c>
      <c r="AP19" s="91">
        <v>5</v>
      </c>
      <c r="AQ19" s="91">
        <v>5</v>
      </c>
      <c r="AR19" s="91">
        <v>5</v>
      </c>
      <c r="AS19" s="91">
        <v>5</v>
      </c>
      <c r="AT19" s="91">
        <v>5</v>
      </c>
      <c r="AX19" s="91">
        <v>130000</v>
      </c>
      <c r="AY19" s="91">
        <v>130000</v>
      </c>
      <c r="AZ19" s="91">
        <v>130000</v>
      </c>
      <c r="BA19" s="91">
        <v>130000</v>
      </c>
      <c r="BB19" s="91">
        <v>130000</v>
      </c>
      <c r="BC19" s="91">
        <v>130000</v>
      </c>
      <c r="BD19" s="91">
        <v>130000</v>
      </c>
    </row>
    <row r="20" spans="1:56" x14ac:dyDescent="0.15">
      <c r="A20" s="55">
        <v>16</v>
      </c>
      <c r="B20" s="91">
        <v>700000</v>
      </c>
      <c r="C20" s="91">
        <v>700000</v>
      </c>
      <c r="D20" s="91">
        <v>700000</v>
      </c>
      <c r="E20" s="91">
        <v>700000</v>
      </c>
      <c r="F20" s="91">
        <v>700000</v>
      </c>
      <c r="G20" s="91">
        <v>700000</v>
      </c>
      <c r="H20" s="91">
        <v>700000</v>
      </c>
      <c r="I20" s="91">
        <v>700000</v>
      </c>
      <c r="J20" s="91">
        <v>700000</v>
      </c>
      <c r="K20" s="91">
        <v>700000</v>
      </c>
      <c r="L20" s="91">
        <v>7</v>
      </c>
      <c r="M20" s="91">
        <v>7</v>
      </c>
      <c r="N20" s="91">
        <v>7</v>
      </c>
      <c r="O20" s="91">
        <v>7</v>
      </c>
      <c r="P20" s="91">
        <v>7</v>
      </c>
      <c r="Q20" s="91">
        <v>7</v>
      </c>
      <c r="R20" s="91">
        <v>7</v>
      </c>
      <c r="S20" s="91">
        <v>7</v>
      </c>
      <c r="T20" s="91">
        <v>7</v>
      </c>
      <c r="U20" s="91">
        <v>7</v>
      </c>
      <c r="V20" s="91">
        <v>7</v>
      </c>
      <c r="W20" s="91">
        <v>7</v>
      </c>
      <c r="X20" s="91">
        <v>7</v>
      </c>
      <c r="Y20" s="91">
        <v>7</v>
      </c>
      <c r="Z20" s="91">
        <v>7</v>
      </c>
      <c r="AA20" s="91">
        <v>7</v>
      </c>
      <c r="AB20" s="91">
        <v>7</v>
      </c>
      <c r="AC20" s="91">
        <v>7</v>
      </c>
      <c r="AD20" s="91">
        <v>7</v>
      </c>
      <c r="AE20" s="91">
        <v>7</v>
      </c>
      <c r="AF20" s="91">
        <v>6</v>
      </c>
      <c r="AG20" s="91">
        <v>6</v>
      </c>
      <c r="AH20" s="91">
        <v>6</v>
      </c>
      <c r="AI20" s="91">
        <v>6</v>
      </c>
      <c r="AJ20" s="91">
        <v>6</v>
      </c>
      <c r="AK20" s="91">
        <v>6</v>
      </c>
      <c r="AL20" s="91">
        <v>6</v>
      </c>
      <c r="AM20" s="91">
        <v>6</v>
      </c>
      <c r="AN20" s="91">
        <v>6</v>
      </c>
      <c r="AO20" s="91">
        <v>6</v>
      </c>
      <c r="AP20" s="91">
        <v>6</v>
      </c>
      <c r="AQ20" s="91">
        <v>6</v>
      </c>
      <c r="AR20" s="91">
        <v>6</v>
      </c>
      <c r="AS20" s="91">
        <v>6</v>
      </c>
      <c r="AT20" s="91">
        <v>6</v>
      </c>
      <c r="AX20" s="91">
        <v>150000</v>
      </c>
      <c r="AY20" s="91">
        <v>150000</v>
      </c>
      <c r="AZ20" s="91">
        <v>150000</v>
      </c>
      <c r="BA20" s="91">
        <v>150000</v>
      </c>
      <c r="BB20" s="91">
        <v>150000</v>
      </c>
      <c r="BC20" s="91">
        <v>150000</v>
      </c>
      <c r="BD20" s="91">
        <v>150000</v>
      </c>
    </row>
    <row r="21" spans="1:56" x14ac:dyDescent="0.15">
      <c r="A21" s="55">
        <v>17</v>
      </c>
      <c r="B21" s="91">
        <v>810000</v>
      </c>
      <c r="C21" s="91">
        <v>810000</v>
      </c>
      <c r="D21" s="91">
        <v>810000</v>
      </c>
      <c r="E21" s="91">
        <v>810000</v>
      </c>
      <c r="F21" s="91">
        <v>810000</v>
      </c>
      <c r="G21" s="91">
        <v>810000</v>
      </c>
      <c r="H21" s="91">
        <v>810000</v>
      </c>
      <c r="I21" s="91">
        <v>810000</v>
      </c>
      <c r="J21" s="91">
        <v>810000</v>
      </c>
      <c r="K21" s="91">
        <v>810000</v>
      </c>
      <c r="L21" s="91">
        <v>8</v>
      </c>
      <c r="M21" s="91">
        <v>8</v>
      </c>
      <c r="N21" s="91">
        <v>8</v>
      </c>
      <c r="O21" s="91">
        <v>8</v>
      </c>
      <c r="P21" s="91">
        <v>8</v>
      </c>
      <c r="Q21" s="91">
        <v>8</v>
      </c>
      <c r="R21" s="91">
        <v>8</v>
      </c>
      <c r="S21" s="91">
        <v>8</v>
      </c>
      <c r="T21" s="91">
        <v>8</v>
      </c>
      <c r="U21" s="91">
        <v>8</v>
      </c>
      <c r="V21" s="91">
        <v>8</v>
      </c>
      <c r="W21" s="91">
        <v>8</v>
      </c>
      <c r="X21" s="91">
        <v>8</v>
      </c>
      <c r="Y21" s="91">
        <v>8</v>
      </c>
      <c r="Z21" s="91">
        <v>8</v>
      </c>
      <c r="AA21" s="91">
        <v>8</v>
      </c>
      <c r="AB21" s="91">
        <v>8</v>
      </c>
      <c r="AC21" s="91">
        <v>8</v>
      </c>
      <c r="AD21" s="91">
        <v>8</v>
      </c>
      <c r="AE21" s="91">
        <v>8</v>
      </c>
      <c r="AF21" s="91">
        <v>7</v>
      </c>
      <c r="AG21" s="91">
        <v>7</v>
      </c>
      <c r="AH21" s="91">
        <v>7</v>
      </c>
      <c r="AI21" s="91">
        <v>7</v>
      </c>
      <c r="AJ21" s="91">
        <v>7</v>
      </c>
      <c r="AK21" s="91">
        <v>7</v>
      </c>
      <c r="AL21" s="91">
        <v>7</v>
      </c>
      <c r="AM21" s="91">
        <v>7</v>
      </c>
      <c r="AN21" s="91">
        <v>7</v>
      </c>
      <c r="AO21" s="91">
        <v>7</v>
      </c>
      <c r="AP21" s="91">
        <v>7</v>
      </c>
      <c r="AQ21" s="91">
        <v>7</v>
      </c>
      <c r="AR21" s="91">
        <v>7</v>
      </c>
      <c r="AS21" s="91">
        <v>7</v>
      </c>
      <c r="AT21" s="91">
        <v>7</v>
      </c>
      <c r="AX21" s="91">
        <v>170000</v>
      </c>
      <c r="AY21" s="91">
        <v>170000</v>
      </c>
      <c r="AZ21" s="91">
        <v>170000</v>
      </c>
      <c r="BA21" s="91">
        <v>170000</v>
      </c>
      <c r="BB21" s="91">
        <v>170000</v>
      </c>
      <c r="BC21" s="91">
        <v>170000</v>
      </c>
      <c r="BD21" s="91">
        <v>170000</v>
      </c>
    </row>
    <row r="22" spans="1:56" x14ac:dyDescent="0.15">
      <c r="A22" s="55">
        <v>18</v>
      </c>
      <c r="B22" s="91">
        <v>1000000</v>
      </c>
      <c r="C22" s="91">
        <v>1000000</v>
      </c>
      <c r="D22" s="91">
        <v>1000000</v>
      </c>
      <c r="E22" s="91">
        <v>1000000</v>
      </c>
      <c r="F22" s="91">
        <v>1000000</v>
      </c>
      <c r="G22" s="91">
        <v>1000000</v>
      </c>
      <c r="H22" s="91">
        <v>1000000</v>
      </c>
      <c r="I22" s="91">
        <v>1000000</v>
      </c>
      <c r="J22" s="91">
        <v>1000000</v>
      </c>
      <c r="K22" s="91">
        <v>1000000</v>
      </c>
      <c r="L22" s="91">
        <v>9</v>
      </c>
      <c r="M22" s="91">
        <v>9</v>
      </c>
      <c r="N22" s="91">
        <v>9</v>
      </c>
      <c r="O22" s="91">
        <v>9</v>
      </c>
      <c r="P22" s="91">
        <v>9</v>
      </c>
      <c r="Q22" s="91">
        <v>9</v>
      </c>
      <c r="R22" s="91">
        <v>9</v>
      </c>
      <c r="S22" s="91">
        <v>9</v>
      </c>
      <c r="T22" s="91">
        <v>9</v>
      </c>
      <c r="U22" s="91">
        <v>9</v>
      </c>
      <c r="V22" s="91">
        <v>9</v>
      </c>
      <c r="W22" s="91">
        <v>9</v>
      </c>
      <c r="X22" s="91">
        <v>9</v>
      </c>
      <c r="Y22" s="91">
        <v>9</v>
      </c>
      <c r="Z22" s="91">
        <v>9</v>
      </c>
      <c r="AA22" s="91">
        <v>9</v>
      </c>
      <c r="AB22" s="91">
        <v>9</v>
      </c>
      <c r="AC22" s="91">
        <v>9</v>
      </c>
      <c r="AD22" s="91">
        <v>9</v>
      </c>
      <c r="AE22" s="91">
        <v>9</v>
      </c>
      <c r="AF22" s="91">
        <v>8</v>
      </c>
      <c r="AG22" s="91">
        <v>8</v>
      </c>
      <c r="AH22" s="91">
        <v>8</v>
      </c>
      <c r="AI22" s="91">
        <v>8</v>
      </c>
      <c r="AJ22" s="91">
        <v>8</v>
      </c>
      <c r="AK22" s="91">
        <v>8</v>
      </c>
      <c r="AL22" s="91">
        <v>8</v>
      </c>
      <c r="AM22" s="91">
        <v>8</v>
      </c>
      <c r="AN22" s="91">
        <v>8</v>
      </c>
      <c r="AO22" s="91">
        <v>8</v>
      </c>
      <c r="AP22" s="91">
        <v>8</v>
      </c>
      <c r="AQ22" s="91">
        <v>8</v>
      </c>
      <c r="AR22" s="91">
        <v>8</v>
      </c>
      <c r="AS22" s="91">
        <v>8</v>
      </c>
      <c r="AT22" s="91">
        <v>8</v>
      </c>
      <c r="AX22" s="91">
        <v>190000</v>
      </c>
      <c r="AY22" s="91">
        <v>190000</v>
      </c>
      <c r="AZ22" s="91">
        <v>190000</v>
      </c>
      <c r="BA22" s="91">
        <v>190000</v>
      </c>
      <c r="BB22" s="91">
        <v>190000</v>
      </c>
      <c r="BC22" s="91">
        <v>190000</v>
      </c>
      <c r="BD22" s="91">
        <v>190000</v>
      </c>
    </row>
    <row r="23" spans="1:56" x14ac:dyDescent="0.15">
      <c r="A23" s="55">
        <v>19</v>
      </c>
      <c r="B23" s="91">
        <v>1200000</v>
      </c>
      <c r="C23" s="91">
        <v>1200000</v>
      </c>
      <c r="D23" s="91">
        <v>1200000</v>
      </c>
      <c r="E23" s="91">
        <v>1200000</v>
      </c>
      <c r="F23" s="91">
        <v>1200000</v>
      </c>
      <c r="G23" s="91">
        <v>1200000</v>
      </c>
      <c r="H23" s="91">
        <v>1200000</v>
      </c>
      <c r="I23" s="91">
        <v>1200000</v>
      </c>
      <c r="J23" s="91">
        <v>1200000</v>
      </c>
      <c r="K23" s="91">
        <v>1200000</v>
      </c>
      <c r="L23" s="91">
        <v>10</v>
      </c>
      <c r="M23" s="91">
        <v>10</v>
      </c>
      <c r="N23" s="91">
        <v>10</v>
      </c>
      <c r="O23" s="91">
        <v>10</v>
      </c>
      <c r="P23" s="91">
        <v>10</v>
      </c>
      <c r="Q23" s="91">
        <v>10</v>
      </c>
      <c r="R23" s="91">
        <v>10</v>
      </c>
      <c r="S23" s="91">
        <v>10</v>
      </c>
      <c r="T23" s="91">
        <v>10</v>
      </c>
      <c r="U23" s="91">
        <v>10</v>
      </c>
      <c r="V23" s="91">
        <v>10</v>
      </c>
      <c r="W23" s="91">
        <v>10</v>
      </c>
      <c r="X23" s="91">
        <v>10</v>
      </c>
      <c r="Y23" s="91">
        <v>10</v>
      </c>
      <c r="Z23" s="91">
        <v>10</v>
      </c>
      <c r="AA23" s="91">
        <v>10</v>
      </c>
      <c r="AB23" s="91">
        <v>10</v>
      </c>
      <c r="AC23" s="91">
        <v>10</v>
      </c>
      <c r="AD23" s="91">
        <v>10</v>
      </c>
      <c r="AE23" s="91">
        <v>10</v>
      </c>
      <c r="AF23" s="91">
        <v>9</v>
      </c>
      <c r="AG23" s="91">
        <v>9</v>
      </c>
      <c r="AH23" s="91">
        <v>9</v>
      </c>
      <c r="AI23" s="91">
        <v>9</v>
      </c>
      <c r="AJ23" s="91">
        <v>9</v>
      </c>
      <c r="AK23" s="91">
        <v>9</v>
      </c>
      <c r="AL23" s="91">
        <v>9</v>
      </c>
      <c r="AM23" s="91">
        <v>9</v>
      </c>
      <c r="AN23" s="91">
        <v>9</v>
      </c>
      <c r="AO23" s="91">
        <v>9</v>
      </c>
      <c r="AP23" s="91">
        <v>9</v>
      </c>
      <c r="AQ23" s="91">
        <v>9</v>
      </c>
      <c r="AR23" s="91">
        <v>9</v>
      </c>
      <c r="AS23" s="91">
        <v>9</v>
      </c>
      <c r="AT23" s="91">
        <v>9</v>
      </c>
      <c r="AX23" s="91">
        <v>230000</v>
      </c>
      <c r="AY23" s="91">
        <v>230000</v>
      </c>
      <c r="AZ23" s="91">
        <v>230000</v>
      </c>
      <c r="BA23" s="91">
        <v>230000</v>
      </c>
      <c r="BB23" s="91">
        <v>230000</v>
      </c>
      <c r="BC23" s="91">
        <v>230000</v>
      </c>
      <c r="BD23" s="91">
        <v>230000</v>
      </c>
    </row>
    <row r="24" spans="1:56" x14ac:dyDescent="0.15">
      <c r="A24" s="55">
        <v>20</v>
      </c>
      <c r="B24" s="91">
        <v>1500000</v>
      </c>
      <c r="C24" s="91">
        <v>1500000</v>
      </c>
      <c r="D24" s="91">
        <v>1500000</v>
      </c>
      <c r="E24" s="91">
        <v>1500000</v>
      </c>
      <c r="F24" s="91">
        <v>1500000</v>
      </c>
      <c r="G24" s="91">
        <v>1500000</v>
      </c>
      <c r="H24" s="91">
        <v>1500000</v>
      </c>
      <c r="I24" s="91">
        <v>1500000</v>
      </c>
      <c r="J24" s="91">
        <v>1500000</v>
      </c>
      <c r="K24" s="91">
        <v>1500000</v>
      </c>
      <c r="L24" s="91">
        <v>11</v>
      </c>
      <c r="M24" s="91">
        <v>11</v>
      </c>
      <c r="N24" s="91">
        <v>11</v>
      </c>
      <c r="O24" s="91">
        <v>11</v>
      </c>
      <c r="P24" s="91">
        <v>11</v>
      </c>
      <c r="Q24" s="91">
        <v>11</v>
      </c>
      <c r="R24" s="91">
        <v>11</v>
      </c>
      <c r="S24" s="91">
        <v>11</v>
      </c>
      <c r="T24" s="91">
        <v>11</v>
      </c>
      <c r="U24" s="91">
        <v>11</v>
      </c>
      <c r="V24" s="91">
        <v>11</v>
      </c>
      <c r="W24" s="91">
        <v>11</v>
      </c>
      <c r="X24" s="91">
        <v>11</v>
      </c>
      <c r="Y24" s="91">
        <v>11</v>
      </c>
      <c r="Z24" s="91">
        <v>11</v>
      </c>
      <c r="AA24" s="91">
        <v>11</v>
      </c>
      <c r="AB24" s="91">
        <v>11</v>
      </c>
      <c r="AC24" s="91">
        <v>11</v>
      </c>
      <c r="AD24" s="91">
        <v>11</v>
      </c>
      <c r="AE24" s="91">
        <v>11</v>
      </c>
      <c r="AF24" s="91">
        <v>10</v>
      </c>
      <c r="AG24" s="91">
        <v>10</v>
      </c>
      <c r="AH24" s="91">
        <v>10</v>
      </c>
      <c r="AI24" s="91">
        <v>10</v>
      </c>
      <c r="AJ24" s="91">
        <v>10</v>
      </c>
      <c r="AK24" s="91">
        <v>10</v>
      </c>
      <c r="AL24" s="91">
        <v>10</v>
      </c>
      <c r="AM24" s="91">
        <v>10</v>
      </c>
      <c r="AN24" s="91">
        <v>10</v>
      </c>
      <c r="AO24" s="91">
        <v>10</v>
      </c>
      <c r="AP24" s="91">
        <v>10</v>
      </c>
      <c r="AQ24" s="91">
        <v>10</v>
      </c>
      <c r="AR24" s="91">
        <v>10</v>
      </c>
      <c r="AS24" s="91">
        <v>10</v>
      </c>
      <c r="AT24" s="91">
        <v>10</v>
      </c>
      <c r="AX24" s="91">
        <v>260000</v>
      </c>
      <c r="AY24" s="91">
        <v>260000</v>
      </c>
      <c r="AZ24" s="91">
        <v>260000</v>
      </c>
      <c r="BA24" s="91">
        <v>260000</v>
      </c>
      <c r="BB24" s="91">
        <v>260000</v>
      </c>
      <c r="BC24" s="91">
        <v>260000</v>
      </c>
      <c r="BD24" s="91">
        <v>260000</v>
      </c>
    </row>
  </sheetData>
  <phoneticPr fontId="1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M24"/>
  <sheetViews>
    <sheetView workbookViewId="0">
      <selection activeCell="B18" sqref="B18"/>
    </sheetView>
  </sheetViews>
  <sheetFormatPr defaultRowHeight="16.5" x14ac:dyDescent="0.15"/>
  <cols>
    <col min="1" max="1" width="11.25" style="55" bestFit="1" customWidth="1"/>
    <col min="2" max="2" width="14.5" style="55" customWidth="1"/>
    <col min="3" max="9" width="9" style="88"/>
    <col min="10" max="10" width="9.5" style="88" bestFit="1" customWidth="1"/>
    <col min="11" max="16384" width="9" style="88"/>
  </cols>
  <sheetData>
    <row r="1" spans="1:13" x14ac:dyDescent="0.15">
      <c r="A1" s="55" t="s">
        <v>551</v>
      </c>
      <c r="B1" s="55" t="s">
        <v>60</v>
      </c>
    </row>
    <row r="2" spans="1:13" x14ac:dyDescent="0.15">
      <c r="A2" s="55" t="s">
        <v>61</v>
      </c>
      <c r="B2" s="55" t="s">
        <v>61</v>
      </c>
    </row>
    <row r="3" spans="1:13" x14ac:dyDescent="0.15">
      <c r="A3" s="55" t="s">
        <v>645</v>
      </c>
      <c r="B3" s="55" t="s">
        <v>548</v>
      </c>
    </row>
    <row r="4" spans="1:13" ht="17.25" thickBot="1" x14ac:dyDescent="0.2">
      <c r="A4" s="57" t="s">
        <v>546</v>
      </c>
      <c r="B4" s="57" t="s">
        <v>547</v>
      </c>
    </row>
    <row r="5" spans="1:13" x14ac:dyDescent="0.15">
      <c r="A5" s="55">
        <v>1</v>
      </c>
      <c r="B5" s="55">
        <v>800</v>
      </c>
      <c r="D5" s="88">
        <v>1050</v>
      </c>
      <c r="F5" s="88">
        <v>1</v>
      </c>
      <c r="H5" s="88">
        <f>D5*F5</f>
        <v>1050</v>
      </c>
      <c r="J5" s="88">
        <v>800</v>
      </c>
      <c r="K5" s="88">
        <f>J5/2</f>
        <v>400</v>
      </c>
      <c r="M5" s="88">
        <f>B5/2</f>
        <v>400</v>
      </c>
    </row>
    <row r="6" spans="1:13" x14ac:dyDescent="0.15">
      <c r="A6" s="55">
        <v>2</v>
      </c>
      <c r="B6" s="55">
        <v>2300</v>
      </c>
      <c r="D6" s="88">
        <v>1150</v>
      </c>
      <c r="F6" s="88">
        <v>1</v>
      </c>
      <c r="H6" s="88">
        <f t="shared" ref="H6:J24" si="0">D6*F6</f>
        <v>1150</v>
      </c>
      <c r="J6" s="88">
        <v>2300</v>
      </c>
      <c r="K6" s="88">
        <f t="shared" ref="K6:K24" si="1">J6/2</f>
        <v>1150</v>
      </c>
      <c r="M6" s="88">
        <f t="shared" ref="M6:M24" si="2">B6/2</f>
        <v>1150</v>
      </c>
    </row>
    <row r="7" spans="1:13" x14ac:dyDescent="0.15">
      <c r="A7" s="55">
        <v>3</v>
      </c>
      <c r="B7" s="55">
        <v>7000</v>
      </c>
      <c r="D7" s="88">
        <v>1300</v>
      </c>
      <c r="F7" s="88">
        <v>2</v>
      </c>
      <c r="H7" s="88">
        <f t="shared" si="0"/>
        <v>2600</v>
      </c>
      <c r="J7" s="88">
        <v>5500</v>
      </c>
      <c r="K7" s="88">
        <f t="shared" si="1"/>
        <v>2750</v>
      </c>
      <c r="M7" s="88">
        <f t="shared" si="2"/>
        <v>3500</v>
      </c>
    </row>
    <row r="8" spans="1:13" x14ac:dyDescent="0.15">
      <c r="A8" s="55">
        <v>4</v>
      </c>
      <c r="B8" s="55">
        <v>11000</v>
      </c>
      <c r="D8" s="88">
        <v>1900</v>
      </c>
      <c r="F8" s="88">
        <v>3</v>
      </c>
      <c r="H8" s="88">
        <f t="shared" si="0"/>
        <v>5700</v>
      </c>
      <c r="J8" s="88">
        <v>10000</v>
      </c>
      <c r="K8" s="88">
        <f t="shared" si="1"/>
        <v>5000</v>
      </c>
      <c r="M8" s="88">
        <f t="shared" si="2"/>
        <v>5500</v>
      </c>
    </row>
    <row r="9" spans="1:13" x14ac:dyDescent="0.15">
      <c r="A9" s="55">
        <v>5</v>
      </c>
      <c r="B9" s="55">
        <v>17000</v>
      </c>
      <c r="D9" s="88">
        <v>4600</v>
      </c>
      <c r="F9" s="88">
        <v>4</v>
      </c>
      <c r="H9" s="88">
        <f t="shared" si="0"/>
        <v>18400</v>
      </c>
      <c r="J9" s="88">
        <v>18000</v>
      </c>
      <c r="K9" s="88">
        <f t="shared" si="1"/>
        <v>9000</v>
      </c>
      <c r="M9" s="88">
        <f t="shared" si="2"/>
        <v>8500</v>
      </c>
    </row>
    <row r="10" spans="1:13" x14ac:dyDescent="0.15">
      <c r="A10" s="55">
        <v>6</v>
      </c>
      <c r="B10" s="55">
        <v>40000</v>
      </c>
      <c r="D10" s="88">
        <v>13600</v>
      </c>
      <c r="F10" s="88">
        <v>4</v>
      </c>
      <c r="H10" s="88">
        <f t="shared" si="0"/>
        <v>54400</v>
      </c>
      <c r="J10" s="88">
        <v>50000</v>
      </c>
      <c r="K10" s="88">
        <f t="shared" si="1"/>
        <v>25000</v>
      </c>
      <c r="M10" s="88">
        <f t="shared" si="2"/>
        <v>20000</v>
      </c>
    </row>
    <row r="11" spans="1:13" x14ac:dyDescent="0.15">
      <c r="A11" s="55">
        <v>7</v>
      </c>
      <c r="B11" s="55">
        <v>100000</v>
      </c>
      <c r="D11" s="88">
        <v>33600</v>
      </c>
      <c r="F11" s="88">
        <v>4</v>
      </c>
      <c r="H11" s="88">
        <f t="shared" si="0"/>
        <v>134400</v>
      </c>
      <c r="J11" s="88">
        <v>100000</v>
      </c>
      <c r="K11" s="88">
        <f t="shared" si="1"/>
        <v>50000</v>
      </c>
      <c r="M11" s="88">
        <f t="shared" si="2"/>
        <v>50000</v>
      </c>
    </row>
    <row r="12" spans="1:13" x14ac:dyDescent="0.15">
      <c r="A12" s="55">
        <v>8</v>
      </c>
      <c r="B12" s="55">
        <v>300000</v>
      </c>
      <c r="D12" s="88">
        <v>75600</v>
      </c>
      <c r="F12" s="88">
        <v>4</v>
      </c>
      <c r="H12" s="88">
        <f t="shared" si="0"/>
        <v>302400</v>
      </c>
      <c r="J12" s="88">
        <v>300000</v>
      </c>
      <c r="K12" s="88">
        <f t="shared" si="1"/>
        <v>150000</v>
      </c>
      <c r="M12" s="88">
        <f t="shared" si="2"/>
        <v>150000</v>
      </c>
    </row>
    <row r="13" spans="1:13" x14ac:dyDescent="0.15">
      <c r="A13" s="55">
        <v>9</v>
      </c>
      <c r="B13" s="55">
        <v>600000</v>
      </c>
      <c r="D13" s="88">
        <v>153600</v>
      </c>
      <c r="F13" s="88">
        <v>4</v>
      </c>
      <c r="H13" s="88">
        <f t="shared" si="0"/>
        <v>614400</v>
      </c>
      <c r="J13" s="88">
        <v>600000</v>
      </c>
      <c r="K13" s="88">
        <f t="shared" si="1"/>
        <v>300000</v>
      </c>
      <c r="M13" s="88">
        <f t="shared" si="2"/>
        <v>300000</v>
      </c>
    </row>
    <row r="14" spans="1:13" x14ac:dyDescent="0.15">
      <c r="A14" s="55">
        <v>10</v>
      </c>
      <c r="B14" s="55">
        <v>1200000</v>
      </c>
      <c r="D14" s="88">
        <v>305600</v>
      </c>
      <c r="F14" s="88">
        <v>4</v>
      </c>
      <c r="H14" s="88">
        <f t="shared" si="0"/>
        <v>1222400</v>
      </c>
      <c r="J14" s="88">
        <v>1200000</v>
      </c>
      <c r="K14" s="88">
        <f t="shared" si="1"/>
        <v>600000</v>
      </c>
      <c r="M14" s="88">
        <f t="shared" si="2"/>
        <v>600000</v>
      </c>
    </row>
    <row r="15" spans="1:13" x14ac:dyDescent="0.15">
      <c r="A15" s="55">
        <v>11</v>
      </c>
      <c r="B15" s="55">
        <v>3500000</v>
      </c>
      <c r="D15" s="88">
        <v>564600</v>
      </c>
      <c r="F15" s="88">
        <v>4</v>
      </c>
      <c r="H15" s="88">
        <f t="shared" si="0"/>
        <v>2258400</v>
      </c>
      <c r="J15" s="88">
        <v>2800000</v>
      </c>
      <c r="K15" s="88">
        <f t="shared" si="1"/>
        <v>1400000</v>
      </c>
      <c r="M15" s="88">
        <f t="shared" si="2"/>
        <v>1750000</v>
      </c>
    </row>
    <row r="16" spans="1:13" x14ac:dyDescent="0.15">
      <c r="A16" s="55">
        <v>12</v>
      </c>
      <c r="B16" s="55">
        <v>6000000</v>
      </c>
      <c r="D16" s="88">
        <v>999600</v>
      </c>
      <c r="F16" s="88">
        <v>4</v>
      </c>
      <c r="H16" s="88">
        <f t="shared" si="0"/>
        <v>3998400</v>
      </c>
      <c r="J16" s="88">
        <v>6000000</v>
      </c>
      <c r="K16" s="88">
        <f t="shared" si="1"/>
        <v>3000000</v>
      </c>
      <c r="M16" s="88">
        <f t="shared" si="2"/>
        <v>3000000</v>
      </c>
    </row>
    <row r="17" spans="1:13" x14ac:dyDescent="0.15">
      <c r="A17" s="55">
        <v>13</v>
      </c>
      <c r="B17" s="55">
        <v>10000000</v>
      </c>
      <c r="D17" s="88">
        <v>1729600</v>
      </c>
      <c r="F17" s="88">
        <v>4</v>
      </c>
      <c r="H17" s="88">
        <f t="shared" si="0"/>
        <v>6918400</v>
      </c>
      <c r="J17" s="88">
        <v>10000000</v>
      </c>
      <c r="K17" s="88">
        <f t="shared" si="1"/>
        <v>5000000</v>
      </c>
      <c r="M17" s="88">
        <f t="shared" si="2"/>
        <v>5000000</v>
      </c>
    </row>
    <row r="18" spans="1:13" x14ac:dyDescent="0.15">
      <c r="A18" s="55">
        <v>14</v>
      </c>
      <c r="B18" s="55">
        <v>17000000</v>
      </c>
      <c r="D18" s="88">
        <v>2884600</v>
      </c>
      <c r="F18" s="88">
        <v>4</v>
      </c>
      <c r="H18" s="88">
        <f t="shared" si="0"/>
        <v>11538400</v>
      </c>
      <c r="J18" s="88">
        <v>17000000</v>
      </c>
      <c r="K18" s="88">
        <f t="shared" si="1"/>
        <v>8500000</v>
      </c>
      <c r="M18" s="88">
        <f t="shared" si="2"/>
        <v>8500000</v>
      </c>
    </row>
    <row r="19" spans="1:13" x14ac:dyDescent="0.15">
      <c r="A19" s="55">
        <v>15</v>
      </c>
      <c r="B19" s="55">
        <v>37000000</v>
      </c>
      <c r="D19" s="88">
        <v>5294600</v>
      </c>
      <c r="F19" s="88">
        <v>4</v>
      </c>
      <c r="H19" s="88">
        <f t="shared" si="0"/>
        <v>21178400</v>
      </c>
      <c r="J19" s="88">
        <v>37000000</v>
      </c>
      <c r="K19" s="88">
        <f t="shared" si="1"/>
        <v>18500000</v>
      </c>
      <c r="M19" s="88">
        <f t="shared" si="2"/>
        <v>18500000</v>
      </c>
    </row>
    <row r="20" spans="1:13" x14ac:dyDescent="0.15">
      <c r="A20" s="55">
        <v>16</v>
      </c>
      <c r="B20" s="55">
        <v>85000000</v>
      </c>
      <c r="D20" s="88">
        <v>10939600</v>
      </c>
      <c r="F20" s="88">
        <v>4</v>
      </c>
      <c r="H20" s="88">
        <f t="shared" si="0"/>
        <v>43758400</v>
      </c>
      <c r="J20" s="88">
        <v>85000000</v>
      </c>
      <c r="K20" s="88">
        <f t="shared" si="1"/>
        <v>42500000</v>
      </c>
      <c r="M20" s="88">
        <f t="shared" si="2"/>
        <v>42500000</v>
      </c>
    </row>
    <row r="21" spans="1:13" x14ac:dyDescent="0.15">
      <c r="A21" s="55">
        <v>17</v>
      </c>
      <c r="B21" s="55">
        <v>345433600</v>
      </c>
      <c r="D21" s="88">
        <v>21589600</v>
      </c>
      <c r="F21" s="88">
        <v>4</v>
      </c>
      <c r="H21" s="88">
        <f t="shared" si="0"/>
        <v>86358400</v>
      </c>
      <c r="J21" s="88">
        <f t="shared" si="0"/>
        <v>345433600</v>
      </c>
      <c r="K21" s="88">
        <f t="shared" si="1"/>
        <v>172716800</v>
      </c>
      <c r="M21" s="88">
        <f t="shared" si="2"/>
        <v>172716800</v>
      </c>
    </row>
    <row r="22" spans="1:13" x14ac:dyDescent="0.15">
      <c r="A22" s="55">
        <v>18</v>
      </c>
      <c r="B22" s="55">
        <v>629433600</v>
      </c>
      <c r="D22" s="88">
        <v>39339600</v>
      </c>
      <c r="F22" s="88">
        <v>4</v>
      </c>
      <c r="H22" s="88">
        <f t="shared" si="0"/>
        <v>157358400</v>
      </c>
      <c r="J22" s="88">
        <f t="shared" si="0"/>
        <v>629433600</v>
      </c>
      <c r="K22" s="88">
        <f t="shared" si="1"/>
        <v>314716800</v>
      </c>
      <c r="M22" s="88">
        <f t="shared" si="2"/>
        <v>314716800</v>
      </c>
    </row>
    <row r="23" spans="1:13" x14ac:dyDescent="0.15">
      <c r="A23" s="55">
        <v>19</v>
      </c>
      <c r="B23" s="55">
        <v>1077433600</v>
      </c>
      <c r="D23" s="88">
        <v>67339600</v>
      </c>
      <c r="F23" s="88">
        <v>4</v>
      </c>
      <c r="H23" s="88">
        <f t="shared" si="0"/>
        <v>269358400</v>
      </c>
      <c r="J23" s="88">
        <f t="shared" si="0"/>
        <v>1077433600</v>
      </c>
      <c r="K23" s="88">
        <f t="shared" si="1"/>
        <v>538716800</v>
      </c>
      <c r="M23" s="88">
        <f t="shared" si="2"/>
        <v>538716800</v>
      </c>
    </row>
    <row r="24" spans="1:13" x14ac:dyDescent="0.15">
      <c r="A24" s="55">
        <v>20</v>
      </c>
      <c r="B24" s="55">
        <v>1795833600</v>
      </c>
      <c r="D24" s="88">
        <v>112239600</v>
      </c>
      <c r="F24" s="88">
        <v>4</v>
      </c>
      <c r="H24" s="88">
        <f t="shared" si="0"/>
        <v>448958400</v>
      </c>
      <c r="J24" s="88">
        <f t="shared" si="0"/>
        <v>1795833600</v>
      </c>
      <c r="K24" s="88">
        <f t="shared" si="1"/>
        <v>897916800</v>
      </c>
      <c r="M24" s="88">
        <f t="shared" si="2"/>
        <v>897916800</v>
      </c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J24"/>
  <sheetViews>
    <sheetView workbookViewId="0">
      <selection activeCell="E23" sqref="E23"/>
    </sheetView>
  </sheetViews>
  <sheetFormatPr defaultRowHeight="16.5" x14ac:dyDescent="0.15"/>
  <cols>
    <col min="1" max="1" width="11.25" style="55" bestFit="1" customWidth="1"/>
    <col min="2" max="2" width="13.5" style="55" customWidth="1"/>
    <col min="3" max="16384" width="9" style="111"/>
  </cols>
  <sheetData>
    <row r="1" spans="1:10" x14ac:dyDescent="0.15">
      <c r="A1" s="55" t="s">
        <v>60</v>
      </c>
      <c r="B1" s="55" t="s">
        <v>60</v>
      </c>
    </row>
    <row r="2" spans="1:10" x14ac:dyDescent="0.15">
      <c r="A2" s="55" t="s">
        <v>61</v>
      </c>
      <c r="B2" s="55" t="s">
        <v>61</v>
      </c>
    </row>
    <row r="3" spans="1:10" x14ac:dyDescent="0.15">
      <c r="A3" s="55" t="s">
        <v>645</v>
      </c>
      <c r="B3" s="55" t="s">
        <v>543</v>
      </c>
    </row>
    <row r="4" spans="1:10" ht="17.25" thickBot="1" x14ac:dyDescent="0.2">
      <c r="A4" s="57" t="s">
        <v>544</v>
      </c>
      <c r="B4" s="57" t="s">
        <v>545</v>
      </c>
    </row>
    <row r="5" spans="1:10" x14ac:dyDescent="0.15">
      <c r="A5" s="55">
        <v>1</v>
      </c>
      <c r="B5" s="55">
        <v>400</v>
      </c>
      <c r="E5" s="111">
        <v>100</v>
      </c>
      <c r="F5" s="111">
        <f>E5/3</f>
        <v>33.333333333333336</v>
      </c>
      <c r="H5" s="111">
        <v>1</v>
      </c>
      <c r="I5" s="111">
        <f>E5*H5</f>
        <v>100</v>
      </c>
      <c r="J5" s="111">
        <f>I5/2</f>
        <v>50</v>
      </c>
    </row>
    <row r="6" spans="1:10" x14ac:dyDescent="0.15">
      <c r="A6" s="55">
        <v>2</v>
      </c>
      <c r="B6" s="55">
        <v>1150</v>
      </c>
      <c r="E6" s="111">
        <v>310</v>
      </c>
      <c r="H6" s="111">
        <v>1</v>
      </c>
      <c r="I6" s="111">
        <f t="shared" ref="I6:I24" si="0">E6*H6</f>
        <v>310</v>
      </c>
      <c r="J6" s="111">
        <f t="shared" ref="J6:J24" si="1">I6/2</f>
        <v>155</v>
      </c>
    </row>
    <row r="7" spans="1:10" x14ac:dyDescent="0.15">
      <c r="A7" s="55">
        <v>3</v>
      </c>
      <c r="B7" s="55">
        <v>3500</v>
      </c>
      <c r="E7" s="111">
        <v>465</v>
      </c>
      <c r="H7" s="111">
        <v>2</v>
      </c>
      <c r="I7" s="111">
        <f t="shared" si="0"/>
        <v>930</v>
      </c>
      <c r="J7" s="111">
        <f t="shared" si="1"/>
        <v>465</v>
      </c>
    </row>
    <row r="8" spans="1:10" x14ac:dyDescent="0.15">
      <c r="A8" s="55">
        <v>4</v>
      </c>
      <c r="B8" s="55">
        <v>5500</v>
      </c>
      <c r="E8" s="111">
        <v>1825</v>
      </c>
      <c r="H8" s="111">
        <v>3</v>
      </c>
      <c r="I8" s="111">
        <f t="shared" si="0"/>
        <v>5475</v>
      </c>
      <c r="J8" s="111">
        <f t="shared" si="1"/>
        <v>2737.5</v>
      </c>
    </row>
    <row r="9" spans="1:10" x14ac:dyDescent="0.15">
      <c r="A9" s="55">
        <v>5</v>
      </c>
      <c r="B9" s="55">
        <v>8500</v>
      </c>
      <c r="E9" s="111">
        <v>8140</v>
      </c>
      <c r="H9" s="111">
        <v>4</v>
      </c>
      <c r="I9" s="111">
        <f t="shared" si="0"/>
        <v>32560</v>
      </c>
      <c r="J9" s="111">
        <f t="shared" si="1"/>
        <v>16280</v>
      </c>
    </row>
    <row r="10" spans="1:10" x14ac:dyDescent="0.15">
      <c r="A10" s="55">
        <v>6</v>
      </c>
      <c r="B10" s="55">
        <v>20000</v>
      </c>
      <c r="E10" s="111">
        <v>27050</v>
      </c>
      <c r="H10" s="111">
        <v>4</v>
      </c>
      <c r="I10" s="111">
        <f t="shared" si="0"/>
        <v>108200</v>
      </c>
      <c r="J10" s="111">
        <f t="shared" si="1"/>
        <v>54100</v>
      </c>
    </row>
    <row r="11" spans="1:10" x14ac:dyDescent="0.15">
      <c r="A11" s="55">
        <v>7</v>
      </c>
      <c r="B11" s="55">
        <v>50000</v>
      </c>
      <c r="E11" s="111">
        <v>60100</v>
      </c>
      <c r="H11" s="111">
        <v>4</v>
      </c>
      <c r="I11" s="111">
        <f t="shared" si="0"/>
        <v>240400</v>
      </c>
      <c r="J11" s="111">
        <f t="shared" si="1"/>
        <v>120200</v>
      </c>
    </row>
    <row r="12" spans="1:10" x14ac:dyDescent="0.15">
      <c r="A12" s="55">
        <v>8</v>
      </c>
      <c r="B12" s="55">
        <v>150000</v>
      </c>
      <c r="E12" s="111">
        <v>126100</v>
      </c>
      <c r="H12" s="111">
        <v>5</v>
      </c>
      <c r="I12" s="111">
        <f t="shared" si="0"/>
        <v>630500</v>
      </c>
      <c r="J12" s="111">
        <f t="shared" si="1"/>
        <v>315250</v>
      </c>
    </row>
    <row r="13" spans="1:10" x14ac:dyDescent="0.15">
      <c r="A13" s="55">
        <v>9</v>
      </c>
      <c r="B13" s="55">
        <v>300000</v>
      </c>
      <c r="E13" s="111">
        <v>234150</v>
      </c>
      <c r="H13" s="111">
        <v>5</v>
      </c>
      <c r="I13" s="111">
        <f t="shared" si="0"/>
        <v>1170750</v>
      </c>
      <c r="J13" s="111">
        <f t="shared" si="1"/>
        <v>585375</v>
      </c>
    </row>
    <row r="14" spans="1:10" x14ac:dyDescent="0.15">
      <c r="A14" s="55">
        <v>10</v>
      </c>
      <c r="B14" s="55">
        <v>600000</v>
      </c>
      <c r="E14" s="111">
        <v>391200</v>
      </c>
      <c r="H14" s="111">
        <v>5</v>
      </c>
      <c r="I14" s="111">
        <f t="shared" si="0"/>
        <v>1956000</v>
      </c>
      <c r="J14" s="111">
        <f t="shared" si="1"/>
        <v>978000</v>
      </c>
    </row>
    <row r="15" spans="1:10" x14ac:dyDescent="0.15">
      <c r="A15" s="55">
        <v>11</v>
      </c>
      <c r="B15" s="55">
        <v>1750000</v>
      </c>
      <c r="E15" s="111">
        <v>660250</v>
      </c>
      <c r="H15" s="111">
        <v>6</v>
      </c>
      <c r="I15" s="111">
        <f t="shared" si="0"/>
        <v>3961500</v>
      </c>
      <c r="J15" s="111">
        <f t="shared" si="1"/>
        <v>1980750</v>
      </c>
    </row>
    <row r="16" spans="1:10" x14ac:dyDescent="0.15">
      <c r="A16" s="55">
        <v>12</v>
      </c>
      <c r="B16" s="55">
        <v>3000000</v>
      </c>
      <c r="E16" s="111">
        <v>1110300</v>
      </c>
      <c r="H16" s="111">
        <v>7</v>
      </c>
      <c r="I16" s="111">
        <f t="shared" si="0"/>
        <v>7772100</v>
      </c>
      <c r="J16" s="111">
        <f t="shared" si="1"/>
        <v>3886050</v>
      </c>
    </row>
    <row r="17" spans="1:10" x14ac:dyDescent="0.15">
      <c r="A17" s="55">
        <v>13</v>
      </c>
      <c r="B17" s="55">
        <v>5000000</v>
      </c>
      <c r="E17" s="111">
        <v>1860350</v>
      </c>
      <c r="H17" s="111">
        <v>7</v>
      </c>
      <c r="I17" s="111">
        <f t="shared" si="0"/>
        <v>13022450</v>
      </c>
      <c r="J17" s="111">
        <f t="shared" si="1"/>
        <v>6511225</v>
      </c>
    </row>
    <row r="18" spans="1:10" x14ac:dyDescent="0.15">
      <c r="A18" s="55">
        <v>14</v>
      </c>
      <c r="B18" s="55">
        <v>8500000</v>
      </c>
      <c r="E18" s="111">
        <v>2910450</v>
      </c>
      <c r="H18" s="111">
        <v>8</v>
      </c>
      <c r="I18" s="111">
        <f t="shared" si="0"/>
        <v>23283600</v>
      </c>
      <c r="J18" s="111">
        <f t="shared" si="1"/>
        <v>11641800</v>
      </c>
    </row>
    <row r="19" spans="1:10" x14ac:dyDescent="0.15">
      <c r="A19" s="55">
        <v>15</v>
      </c>
      <c r="B19" s="55">
        <v>18500000</v>
      </c>
      <c r="E19" s="111">
        <v>6300550</v>
      </c>
      <c r="H19" s="111">
        <v>8</v>
      </c>
      <c r="I19" s="111">
        <f t="shared" si="0"/>
        <v>50404400</v>
      </c>
      <c r="J19" s="111">
        <f t="shared" si="1"/>
        <v>25202200</v>
      </c>
    </row>
    <row r="20" spans="1:10" x14ac:dyDescent="0.15">
      <c r="A20" s="55">
        <v>16</v>
      </c>
      <c r="B20" s="55">
        <v>42500000</v>
      </c>
      <c r="E20" s="111">
        <v>13330700</v>
      </c>
      <c r="H20" s="111">
        <v>9</v>
      </c>
      <c r="I20" s="111">
        <f t="shared" si="0"/>
        <v>119976300</v>
      </c>
      <c r="J20" s="111">
        <f t="shared" si="1"/>
        <v>59988150</v>
      </c>
    </row>
    <row r="21" spans="1:10" x14ac:dyDescent="0.15">
      <c r="A21" s="55">
        <v>17</v>
      </c>
      <c r="B21" s="55">
        <v>172716800</v>
      </c>
      <c r="E21" s="111">
        <v>24800850</v>
      </c>
      <c r="H21" s="111">
        <v>9</v>
      </c>
      <c r="I21" s="111">
        <f t="shared" si="0"/>
        <v>223207650</v>
      </c>
      <c r="J21" s="111">
        <f t="shared" si="1"/>
        <v>111603825</v>
      </c>
    </row>
    <row r="22" spans="1:10" x14ac:dyDescent="0.15">
      <c r="A22" s="55">
        <v>18</v>
      </c>
      <c r="B22" s="55">
        <v>314716800</v>
      </c>
      <c r="E22" s="111">
        <v>40301050</v>
      </c>
      <c r="H22" s="111">
        <v>10</v>
      </c>
      <c r="I22" s="111">
        <f t="shared" si="0"/>
        <v>403010500</v>
      </c>
      <c r="J22" s="111">
        <f t="shared" si="1"/>
        <v>201505250</v>
      </c>
    </row>
    <row r="23" spans="1:10" x14ac:dyDescent="0.15">
      <c r="A23" s="55">
        <v>19</v>
      </c>
      <c r="B23" s="55">
        <v>538716800</v>
      </c>
      <c r="E23" s="111">
        <v>62001250</v>
      </c>
      <c r="H23" s="111">
        <v>11</v>
      </c>
      <c r="I23" s="111">
        <f t="shared" si="0"/>
        <v>682013750</v>
      </c>
      <c r="J23" s="111">
        <f t="shared" si="1"/>
        <v>341006875</v>
      </c>
    </row>
    <row r="24" spans="1:10" x14ac:dyDescent="0.15">
      <c r="A24" s="55">
        <v>20</v>
      </c>
      <c r="B24" s="55">
        <v>897916800</v>
      </c>
      <c r="E24" s="111">
        <v>99201500</v>
      </c>
      <c r="H24" s="111">
        <v>11</v>
      </c>
      <c r="I24" s="111">
        <f t="shared" si="0"/>
        <v>1091216500</v>
      </c>
      <c r="J24" s="111">
        <f t="shared" si="1"/>
        <v>545608250</v>
      </c>
    </row>
  </sheetData>
  <phoneticPr fontId="1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F24"/>
  <sheetViews>
    <sheetView workbookViewId="0">
      <selection activeCell="F24" sqref="F5:F24"/>
    </sheetView>
  </sheetViews>
  <sheetFormatPr defaultColWidth="15" defaultRowHeight="16.5" x14ac:dyDescent="0.15"/>
  <cols>
    <col min="1" max="1" width="15" style="98"/>
    <col min="2" max="2" width="15" style="91"/>
    <col min="3" max="3" width="15" style="139"/>
    <col min="4" max="4" width="15" style="91"/>
    <col min="5" max="5" width="15" style="139"/>
    <col min="6" max="16384" width="15" style="91"/>
  </cols>
  <sheetData>
    <row r="1" spans="1:6" x14ac:dyDescent="0.15">
      <c r="A1" s="98" t="s">
        <v>750</v>
      </c>
      <c r="B1" s="91" t="s">
        <v>751</v>
      </c>
      <c r="C1" s="139" t="s">
        <v>751</v>
      </c>
      <c r="D1" s="91" t="s">
        <v>751</v>
      </c>
      <c r="E1" s="139" t="s">
        <v>751</v>
      </c>
      <c r="F1" s="91" t="s">
        <v>751</v>
      </c>
    </row>
    <row r="2" spans="1:6" x14ac:dyDescent="0.15">
      <c r="A2" s="98" t="s">
        <v>752</v>
      </c>
      <c r="B2" s="91" t="s">
        <v>752</v>
      </c>
      <c r="C2" s="139" t="s">
        <v>752</v>
      </c>
      <c r="D2" s="91" t="s">
        <v>752</v>
      </c>
      <c r="E2" s="139" t="s">
        <v>752</v>
      </c>
      <c r="F2" s="91" t="s">
        <v>752</v>
      </c>
    </row>
    <row r="3" spans="1:6" x14ac:dyDescent="0.15">
      <c r="A3" s="98" t="s">
        <v>753</v>
      </c>
      <c r="B3" s="91" t="s">
        <v>746</v>
      </c>
      <c r="C3" s="139" t="s">
        <v>747</v>
      </c>
      <c r="D3" s="91" t="s">
        <v>744</v>
      </c>
      <c r="E3" s="139" t="s">
        <v>745</v>
      </c>
      <c r="F3" s="91" t="s">
        <v>743</v>
      </c>
    </row>
    <row r="4" spans="1:6" ht="22.5" customHeight="1" thickBot="1" x14ac:dyDescent="0.2">
      <c r="A4" s="98" t="s">
        <v>749</v>
      </c>
      <c r="B4" s="91" t="s">
        <v>754</v>
      </c>
      <c r="C4" s="139" t="s">
        <v>755</v>
      </c>
      <c r="D4" s="91" t="s">
        <v>756</v>
      </c>
      <c r="E4" s="139" t="s">
        <v>748</v>
      </c>
      <c r="F4" s="91" t="s">
        <v>757</v>
      </c>
    </row>
    <row r="5" spans="1:6" s="110" customFormat="1" x14ac:dyDescent="0.15">
      <c r="A5" s="185">
        <v>1</v>
      </c>
      <c r="B5" s="110">
        <v>50</v>
      </c>
      <c r="C5" s="186">
        <v>20</v>
      </c>
      <c r="D5" s="110">
        <v>620</v>
      </c>
      <c r="E5" s="186">
        <v>20</v>
      </c>
      <c r="F5" s="110">
        <v>620</v>
      </c>
    </row>
    <row r="6" spans="1:6" x14ac:dyDescent="0.15">
      <c r="A6" s="98">
        <v>2</v>
      </c>
      <c r="B6" s="91">
        <v>50</v>
      </c>
      <c r="C6" s="139">
        <v>20</v>
      </c>
      <c r="D6" s="91">
        <v>620</v>
      </c>
      <c r="E6" s="139">
        <v>20</v>
      </c>
      <c r="F6" s="91">
        <v>620</v>
      </c>
    </row>
    <row r="7" spans="1:6" x14ac:dyDescent="0.15">
      <c r="A7" s="98">
        <v>3</v>
      </c>
      <c r="B7" s="91">
        <v>50</v>
      </c>
      <c r="C7" s="139">
        <v>20</v>
      </c>
      <c r="D7" s="91">
        <v>620</v>
      </c>
      <c r="E7" s="139">
        <v>20</v>
      </c>
      <c r="F7" s="91">
        <v>620</v>
      </c>
    </row>
    <row r="8" spans="1:6" x14ac:dyDescent="0.15">
      <c r="A8" s="98">
        <v>4</v>
      </c>
      <c r="B8" s="91">
        <v>50</v>
      </c>
      <c r="C8" s="139">
        <v>20</v>
      </c>
      <c r="D8" s="91">
        <v>720</v>
      </c>
      <c r="E8" s="139">
        <v>20</v>
      </c>
      <c r="F8" s="91">
        <v>720</v>
      </c>
    </row>
    <row r="9" spans="1:6" x14ac:dyDescent="0.15">
      <c r="A9" s="98">
        <v>5</v>
      </c>
      <c r="B9" s="91">
        <v>50</v>
      </c>
      <c r="C9" s="139">
        <v>20</v>
      </c>
      <c r="D9" s="91">
        <v>2200</v>
      </c>
      <c r="E9" s="139">
        <v>19</v>
      </c>
      <c r="F9" s="91">
        <v>2200</v>
      </c>
    </row>
    <row r="10" spans="1:6" x14ac:dyDescent="0.15">
      <c r="A10" s="98">
        <v>6</v>
      </c>
      <c r="B10" s="91">
        <v>50</v>
      </c>
      <c r="C10" s="139">
        <v>20</v>
      </c>
      <c r="D10" s="91">
        <v>3200</v>
      </c>
      <c r="E10" s="139">
        <v>18</v>
      </c>
      <c r="F10" s="91">
        <v>3200</v>
      </c>
    </row>
    <row r="11" spans="1:6" x14ac:dyDescent="0.15">
      <c r="A11" s="98">
        <v>7</v>
      </c>
      <c r="B11" s="91">
        <v>50</v>
      </c>
      <c r="C11" s="139">
        <v>20</v>
      </c>
      <c r="D11" s="91">
        <v>4000</v>
      </c>
      <c r="E11" s="139">
        <v>16</v>
      </c>
      <c r="F11" s="91">
        <v>4000</v>
      </c>
    </row>
    <row r="12" spans="1:6" x14ac:dyDescent="0.15">
      <c r="A12" s="98">
        <v>8</v>
      </c>
      <c r="B12" s="91">
        <v>50</v>
      </c>
      <c r="C12" s="139">
        <v>20</v>
      </c>
      <c r="D12" s="91">
        <v>4600</v>
      </c>
      <c r="E12" s="139">
        <v>14</v>
      </c>
      <c r="F12" s="91">
        <v>4600</v>
      </c>
    </row>
    <row r="13" spans="1:6" x14ac:dyDescent="0.15">
      <c r="A13" s="98">
        <v>9</v>
      </c>
      <c r="B13" s="91">
        <v>50</v>
      </c>
      <c r="C13" s="139">
        <v>20</v>
      </c>
      <c r="D13" s="91">
        <v>5000</v>
      </c>
      <c r="E13" s="139">
        <v>12</v>
      </c>
      <c r="F13" s="91">
        <v>5000</v>
      </c>
    </row>
    <row r="14" spans="1:6" x14ac:dyDescent="0.15">
      <c r="A14" s="98">
        <v>10</v>
      </c>
      <c r="B14" s="91">
        <v>50</v>
      </c>
      <c r="C14" s="139">
        <v>20</v>
      </c>
      <c r="D14" s="91">
        <v>5100</v>
      </c>
      <c r="E14" s="139">
        <v>10</v>
      </c>
      <c r="F14" s="91">
        <v>5100</v>
      </c>
    </row>
    <row r="15" spans="1:6" x14ac:dyDescent="0.15">
      <c r="A15" s="98">
        <v>11</v>
      </c>
      <c r="B15" s="91">
        <v>50</v>
      </c>
      <c r="C15" s="139">
        <v>19</v>
      </c>
      <c r="D15" s="91">
        <v>7000</v>
      </c>
      <c r="E15" s="139">
        <v>9</v>
      </c>
      <c r="F15" s="91">
        <v>7000</v>
      </c>
    </row>
    <row r="16" spans="1:6" x14ac:dyDescent="0.15">
      <c r="A16" s="98">
        <v>12</v>
      </c>
      <c r="B16" s="91">
        <v>50</v>
      </c>
      <c r="C16" s="139">
        <v>18</v>
      </c>
      <c r="D16" s="91">
        <v>7500</v>
      </c>
      <c r="E16" s="139">
        <v>8</v>
      </c>
      <c r="F16" s="91">
        <v>7500</v>
      </c>
    </row>
    <row r="17" spans="1:6" x14ac:dyDescent="0.15">
      <c r="A17" s="98">
        <v>13</v>
      </c>
      <c r="B17" s="91">
        <v>50</v>
      </c>
      <c r="C17" s="139">
        <v>17</v>
      </c>
      <c r="D17" s="91">
        <v>7700</v>
      </c>
      <c r="E17" s="139">
        <v>8</v>
      </c>
      <c r="F17" s="91">
        <v>7700</v>
      </c>
    </row>
    <row r="18" spans="1:6" x14ac:dyDescent="0.15">
      <c r="A18" s="98">
        <v>14</v>
      </c>
      <c r="B18" s="91">
        <v>50</v>
      </c>
      <c r="C18" s="139">
        <v>16</v>
      </c>
      <c r="D18" s="91">
        <v>8700</v>
      </c>
      <c r="E18" s="139">
        <v>8</v>
      </c>
      <c r="F18" s="91">
        <v>8700</v>
      </c>
    </row>
    <row r="19" spans="1:6" x14ac:dyDescent="0.15">
      <c r="A19" s="98">
        <v>15</v>
      </c>
      <c r="B19" s="91">
        <v>50</v>
      </c>
      <c r="C19" s="139">
        <v>15</v>
      </c>
      <c r="D19" s="91">
        <v>11000</v>
      </c>
      <c r="E19" s="139">
        <v>7</v>
      </c>
      <c r="F19" s="91">
        <v>11000</v>
      </c>
    </row>
    <row r="20" spans="1:6" x14ac:dyDescent="0.15">
      <c r="A20" s="98">
        <v>16</v>
      </c>
      <c r="B20" s="91">
        <v>50</v>
      </c>
      <c r="C20" s="139">
        <v>14</v>
      </c>
      <c r="D20" s="91">
        <v>11000</v>
      </c>
      <c r="E20" s="139">
        <v>7</v>
      </c>
      <c r="F20" s="91">
        <v>11000</v>
      </c>
    </row>
    <row r="21" spans="1:6" x14ac:dyDescent="0.15">
      <c r="A21" s="98">
        <v>17</v>
      </c>
      <c r="B21" s="91">
        <v>50</v>
      </c>
      <c r="C21" s="139">
        <v>13</v>
      </c>
      <c r="D21" s="91">
        <v>13000</v>
      </c>
      <c r="E21" s="139">
        <v>7</v>
      </c>
      <c r="F21" s="91">
        <v>13000</v>
      </c>
    </row>
    <row r="22" spans="1:6" x14ac:dyDescent="0.15">
      <c r="A22" s="98">
        <v>18</v>
      </c>
      <c r="B22" s="91">
        <v>50</v>
      </c>
      <c r="C22" s="139">
        <v>12</v>
      </c>
      <c r="D22" s="91">
        <v>15000</v>
      </c>
      <c r="E22" s="139">
        <v>6</v>
      </c>
      <c r="F22" s="91">
        <v>15000</v>
      </c>
    </row>
    <row r="23" spans="1:6" x14ac:dyDescent="0.15">
      <c r="A23" s="98">
        <v>19</v>
      </c>
      <c r="B23" s="91">
        <v>50</v>
      </c>
      <c r="C23" s="139">
        <v>11</v>
      </c>
      <c r="D23" s="91">
        <v>15000</v>
      </c>
      <c r="E23" s="139">
        <v>6</v>
      </c>
      <c r="F23" s="91">
        <v>15000</v>
      </c>
    </row>
    <row r="24" spans="1:6" x14ac:dyDescent="0.15">
      <c r="A24" s="98">
        <v>20</v>
      </c>
      <c r="B24" s="91">
        <v>50</v>
      </c>
      <c r="C24" s="139">
        <v>10</v>
      </c>
      <c r="D24" s="91">
        <v>18000</v>
      </c>
      <c r="E24" s="139">
        <v>5</v>
      </c>
      <c r="F24" s="91">
        <v>18000</v>
      </c>
    </row>
  </sheetData>
  <phoneticPr fontId="1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16"/>
  <sheetViews>
    <sheetView workbookViewId="0">
      <selection activeCell="K12" sqref="K12"/>
    </sheetView>
  </sheetViews>
  <sheetFormatPr defaultRowHeight="16.5" x14ac:dyDescent="0.3"/>
  <cols>
    <col min="1" max="1" width="13.75" style="126" customWidth="1"/>
    <col min="2" max="2" width="6.375" style="122" customWidth="1"/>
    <col min="3" max="3" width="5.875" style="127" customWidth="1"/>
    <col min="4" max="4" width="5.25" style="122" customWidth="1"/>
    <col min="5" max="5" width="5.625" style="122" customWidth="1"/>
    <col min="6" max="6" width="5.5" style="127" customWidth="1"/>
    <col min="7" max="7" width="13" style="128" customWidth="1"/>
    <col min="8" max="8" width="13" style="143" customWidth="1"/>
    <col min="9" max="9" width="13.5" style="122" customWidth="1"/>
    <col min="10" max="10" width="11" style="123" customWidth="1"/>
    <col min="11" max="11" width="24.375" style="128" customWidth="1"/>
    <col min="12" max="13" width="9" style="123"/>
    <col min="14" max="14" width="18.5" style="128" customWidth="1"/>
    <col min="15" max="15" width="9" style="123"/>
    <col min="16" max="16" width="13.5" style="128" customWidth="1"/>
    <col min="17" max="19" width="9" style="123"/>
    <col min="20" max="20" width="34.875" style="128" customWidth="1"/>
    <col min="21" max="22" width="9" style="123"/>
    <col min="23" max="16384" width="9" style="122"/>
  </cols>
  <sheetData>
    <row r="1" spans="1:22" x14ac:dyDescent="0.3">
      <c r="A1" s="11" t="s">
        <v>59</v>
      </c>
      <c r="B1" s="10"/>
      <c r="C1" s="102"/>
      <c r="D1" s="10"/>
      <c r="E1" s="10"/>
      <c r="F1" s="102"/>
      <c r="H1" s="123" t="s">
        <v>573</v>
      </c>
      <c r="J1" s="123" t="s">
        <v>603</v>
      </c>
      <c r="L1" s="123" t="s">
        <v>60</v>
      </c>
      <c r="M1" s="123" t="s">
        <v>60</v>
      </c>
      <c r="O1" s="123" t="s">
        <v>60</v>
      </c>
      <c r="Q1" s="123" t="s">
        <v>60</v>
      </c>
      <c r="R1" s="123" t="s">
        <v>60</v>
      </c>
      <c r="S1" s="123" t="s">
        <v>60</v>
      </c>
      <c r="U1" s="123" t="s">
        <v>60</v>
      </c>
      <c r="V1" s="123" t="s">
        <v>60</v>
      </c>
    </row>
    <row r="2" spans="1:22" x14ac:dyDescent="0.3">
      <c r="A2" s="11" t="s">
        <v>61</v>
      </c>
      <c r="B2" s="10"/>
      <c r="C2" s="102"/>
      <c r="D2" s="10"/>
      <c r="E2" s="10"/>
      <c r="F2" s="102"/>
      <c r="H2" s="123" t="s">
        <v>778</v>
      </c>
      <c r="J2" s="123" t="s">
        <v>598</v>
      </c>
      <c r="L2" s="123" t="s">
        <v>598</v>
      </c>
      <c r="M2" s="123" t="s">
        <v>598</v>
      </c>
      <c r="O2" s="123" t="s">
        <v>598</v>
      </c>
      <c r="Q2" s="123" t="s">
        <v>598</v>
      </c>
      <c r="R2" s="123" t="s">
        <v>598</v>
      </c>
      <c r="S2" s="123" t="s">
        <v>598</v>
      </c>
      <c r="U2" s="123" t="s">
        <v>598</v>
      </c>
      <c r="V2" s="123" t="s">
        <v>598</v>
      </c>
    </row>
    <row r="3" spans="1:22" x14ac:dyDescent="0.3">
      <c r="A3" s="11" t="s">
        <v>217</v>
      </c>
      <c r="B3" s="10"/>
      <c r="C3" s="102"/>
      <c r="D3" s="10"/>
      <c r="E3" s="10"/>
      <c r="F3" s="102"/>
      <c r="H3" s="123" t="s">
        <v>816</v>
      </c>
      <c r="J3" s="123" t="s">
        <v>604</v>
      </c>
      <c r="L3" s="123" t="s">
        <v>605</v>
      </c>
      <c r="M3" s="123" t="s">
        <v>606</v>
      </c>
      <c r="O3" s="123" t="s">
        <v>607</v>
      </c>
      <c r="Q3" s="123" t="s">
        <v>608</v>
      </c>
      <c r="R3" s="123" t="s">
        <v>609</v>
      </c>
      <c r="S3" s="123" t="s">
        <v>610</v>
      </c>
      <c r="U3" s="123" t="s">
        <v>611</v>
      </c>
      <c r="V3" s="123" t="s">
        <v>612</v>
      </c>
    </row>
    <row r="4" spans="1:22" ht="55.5" customHeight="1" thickBot="1" x14ac:dyDescent="0.35">
      <c r="A4" s="85" t="s">
        <v>581</v>
      </c>
      <c r="B4" s="87" t="s">
        <v>579</v>
      </c>
      <c r="C4" s="103" t="s">
        <v>580</v>
      </c>
      <c r="D4" s="87"/>
      <c r="E4" s="87"/>
      <c r="F4" s="103" t="s">
        <v>602</v>
      </c>
      <c r="G4" s="129" t="s">
        <v>582</v>
      </c>
      <c r="H4" s="86"/>
      <c r="I4" s="87" t="s">
        <v>583</v>
      </c>
      <c r="J4" s="86" t="s">
        <v>584</v>
      </c>
      <c r="K4" s="129" t="s">
        <v>636</v>
      </c>
      <c r="L4" s="86" t="s">
        <v>637</v>
      </c>
      <c r="M4" s="86" t="s">
        <v>638</v>
      </c>
      <c r="N4" s="129" t="s">
        <v>626</v>
      </c>
      <c r="O4" s="86" t="s">
        <v>585</v>
      </c>
      <c r="P4" s="129" t="s">
        <v>630</v>
      </c>
      <c r="Q4" s="86" t="s">
        <v>601</v>
      </c>
      <c r="R4" s="86" t="s">
        <v>599</v>
      </c>
      <c r="S4" s="86" t="s">
        <v>600</v>
      </c>
      <c r="T4" s="129" t="s">
        <v>586</v>
      </c>
      <c r="U4" s="86" t="s">
        <v>599</v>
      </c>
      <c r="V4" s="86" t="s">
        <v>600</v>
      </c>
    </row>
    <row r="5" spans="1:22" s="124" customFormat="1" x14ac:dyDescent="0.3">
      <c r="A5" s="18">
        <f t="shared" ref="A5:A16" si="0">B5*10000000+C5*1000000+D5*10000+E5*100+F5</f>
        <v>11010001</v>
      </c>
      <c r="B5" s="17">
        <v>1</v>
      </c>
      <c r="C5" s="104">
        <v>1</v>
      </c>
      <c r="D5" s="17">
        <v>1</v>
      </c>
      <c r="E5" s="17">
        <v>0</v>
      </c>
      <c r="F5" s="104">
        <v>1</v>
      </c>
      <c r="G5" s="130" t="s">
        <v>587</v>
      </c>
      <c r="H5" s="125"/>
      <c r="J5" s="125">
        <v>100</v>
      </c>
      <c r="K5" s="132"/>
      <c r="L5" s="125"/>
      <c r="M5" s="125"/>
      <c r="N5" s="134" t="s">
        <v>627</v>
      </c>
      <c r="O5" s="125">
        <v>50</v>
      </c>
      <c r="P5" s="134" t="s">
        <v>632</v>
      </c>
      <c r="Q5" s="125"/>
      <c r="R5" s="125">
        <v>2000</v>
      </c>
      <c r="S5" s="125">
        <v>200</v>
      </c>
      <c r="T5" s="132" t="s">
        <v>633</v>
      </c>
      <c r="U5" s="125">
        <v>2000</v>
      </c>
      <c r="V5" s="125"/>
    </row>
    <row r="6" spans="1:22" x14ac:dyDescent="0.3">
      <c r="A6" s="11">
        <f t="shared" si="0"/>
        <v>11020001</v>
      </c>
      <c r="B6" s="10">
        <v>1</v>
      </c>
      <c r="C6" s="102">
        <v>1</v>
      </c>
      <c r="D6" s="10">
        <v>2</v>
      </c>
      <c r="E6" s="10">
        <v>0</v>
      </c>
      <c r="F6" s="102">
        <v>1</v>
      </c>
      <c r="G6" s="128" t="s">
        <v>588</v>
      </c>
      <c r="I6" s="122" t="s">
        <v>613</v>
      </c>
      <c r="J6" s="123">
        <v>50</v>
      </c>
      <c r="N6" s="135" t="s">
        <v>628</v>
      </c>
      <c r="O6" s="123">
        <v>200</v>
      </c>
      <c r="P6" s="133" t="s">
        <v>631</v>
      </c>
      <c r="R6" s="123">
        <v>2000</v>
      </c>
      <c r="S6" s="123">
        <v>200</v>
      </c>
      <c r="T6" s="128" t="s">
        <v>635</v>
      </c>
      <c r="U6" s="123">
        <v>0</v>
      </c>
      <c r="V6" s="123">
        <v>100</v>
      </c>
    </row>
    <row r="7" spans="1:22" x14ac:dyDescent="0.3">
      <c r="A7" s="11">
        <f t="shared" si="0"/>
        <v>11030001</v>
      </c>
      <c r="B7" s="10">
        <v>1</v>
      </c>
      <c r="C7" s="102">
        <v>1</v>
      </c>
      <c r="D7" s="10">
        <v>3</v>
      </c>
      <c r="E7" s="10">
        <v>0</v>
      </c>
      <c r="F7" s="102">
        <v>1</v>
      </c>
      <c r="G7" s="128" t="s">
        <v>589</v>
      </c>
      <c r="I7" s="122" t="s">
        <v>613</v>
      </c>
      <c r="J7" s="123">
        <v>30</v>
      </c>
      <c r="N7" s="135" t="s">
        <v>629</v>
      </c>
      <c r="O7" s="123">
        <v>200</v>
      </c>
      <c r="P7" s="133" t="s">
        <v>631</v>
      </c>
      <c r="R7" s="123">
        <v>2000</v>
      </c>
      <c r="S7" s="123">
        <v>200</v>
      </c>
      <c r="T7" s="128" t="s">
        <v>634</v>
      </c>
      <c r="U7" s="123">
        <v>0</v>
      </c>
      <c r="V7" s="123">
        <v>100</v>
      </c>
    </row>
    <row r="8" spans="1:22" x14ac:dyDescent="0.3">
      <c r="A8" s="11">
        <f t="shared" si="0"/>
        <v>10010001</v>
      </c>
      <c r="B8" s="10">
        <v>1</v>
      </c>
      <c r="C8" s="102">
        <v>0</v>
      </c>
      <c r="D8" s="10">
        <v>1</v>
      </c>
      <c r="E8" s="10">
        <v>0</v>
      </c>
      <c r="F8" s="102">
        <v>1</v>
      </c>
      <c r="G8" s="128" t="s">
        <v>590</v>
      </c>
      <c r="H8" s="143" t="s">
        <v>817</v>
      </c>
      <c r="I8" s="122" t="s">
        <v>614</v>
      </c>
      <c r="J8" s="123">
        <v>50</v>
      </c>
      <c r="Q8" s="123">
        <v>10000</v>
      </c>
    </row>
    <row r="9" spans="1:22" x14ac:dyDescent="0.3">
      <c r="A9" s="11">
        <f t="shared" si="0"/>
        <v>10020001</v>
      </c>
      <c r="B9" s="10">
        <v>1</v>
      </c>
      <c r="C9" s="102">
        <v>0</v>
      </c>
      <c r="D9" s="10">
        <v>2</v>
      </c>
      <c r="E9" s="10">
        <v>0</v>
      </c>
      <c r="F9" s="102">
        <v>1</v>
      </c>
      <c r="G9" s="128" t="s">
        <v>591</v>
      </c>
      <c r="H9" s="143" t="s">
        <v>818</v>
      </c>
      <c r="I9" s="122" t="s">
        <v>615</v>
      </c>
      <c r="J9" s="123">
        <v>50</v>
      </c>
      <c r="Q9" s="123">
        <v>10000</v>
      </c>
    </row>
    <row r="10" spans="1:22" x14ac:dyDescent="0.3">
      <c r="A10" s="11">
        <f t="shared" si="0"/>
        <v>12010001</v>
      </c>
      <c r="B10" s="10">
        <v>1</v>
      </c>
      <c r="C10" s="102">
        <v>2</v>
      </c>
      <c r="D10" s="10">
        <v>1</v>
      </c>
      <c r="E10" s="10">
        <v>0</v>
      </c>
      <c r="F10" s="102">
        <v>1</v>
      </c>
      <c r="G10" s="131" t="s">
        <v>592</v>
      </c>
      <c r="J10" s="123">
        <v>50</v>
      </c>
      <c r="K10" s="133" t="s">
        <v>621</v>
      </c>
      <c r="L10" s="123">
        <v>200</v>
      </c>
    </row>
    <row r="11" spans="1:22" x14ac:dyDescent="0.3">
      <c r="A11" s="11">
        <f t="shared" si="0"/>
        <v>12020001</v>
      </c>
      <c r="B11" s="10">
        <v>1</v>
      </c>
      <c r="C11" s="102">
        <v>2</v>
      </c>
      <c r="D11" s="10">
        <v>2</v>
      </c>
      <c r="E11" s="10">
        <v>0</v>
      </c>
      <c r="F11" s="102">
        <v>1</v>
      </c>
      <c r="G11" s="131" t="s">
        <v>593</v>
      </c>
      <c r="J11" s="123">
        <v>50</v>
      </c>
      <c r="K11" s="133" t="s">
        <v>621</v>
      </c>
      <c r="L11" s="123">
        <v>300</v>
      </c>
    </row>
    <row r="12" spans="1:22" x14ac:dyDescent="0.3">
      <c r="A12" s="11">
        <f t="shared" si="0"/>
        <v>12030001</v>
      </c>
      <c r="B12" s="10">
        <v>1</v>
      </c>
      <c r="C12" s="102">
        <v>2</v>
      </c>
      <c r="D12" s="10">
        <v>3</v>
      </c>
      <c r="E12" s="10">
        <v>0</v>
      </c>
      <c r="F12" s="102">
        <v>1</v>
      </c>
      <c r="G12" s="128" t="s">
        <v>594</v>
      </c>
      <c r="I12" s="122" t="s">
        <v>616</v>
      </c>
      <c r="J12" s="123">
        <v>50</v>
      </c>
      <c r="K12" s="133" t="s">
        <v>622</v>
      </c>
      <c r="L12" s="123">
        <v>400</v>
      </c>
      <c r="M12" s="123">
        <v>400</v>
      </c>
    </row>
    <row r="13" spans="1:22" x14ac:dyDescent="0.3">
      <c r="A13" s="11">
        <f t="shared" si="0"/>
        <v>12040001</v>
      </c>
      <c r="B13" s="10">
        <v>1</v>
      </c>
      <c r="C13" s="102">
        <v>2</v>
      </c>
      <c r="D13" s="10">
        <v>4</v>
      </c>
      <c r="E13" s="10">
        <v>0</v>
      </c>
      <c r="F13" s="102">
        <v>1</v>
      </c>
      <c r="G13" s="128" t="s">
        <v>595</v>
      </c>
      <c r="I13" s="122" t="s">
        <v>617</v>
      </c>
      <c r="J13" s="123">
        <v>50</v>
      </c>
      <c r="K13" s="133" t="s">
        <v>1021</v>
      </c>
      <c r="L13" s="123">
        <v>200</v>
      </c>
    </row>
    <row r="14" spans="1:22" x14ac:dyDescent="0.3">
      <c r="A14" s="11">
        <f t="shared" si="0"/>
        <v>12050001</v>
      </c>
      <c r="B14" s="10">
        <v>1</v>
      </c>
      <c r="C14" s="102">
        <v>2</v>
      </c>
      <c r="D14" s="10">
        <v>5</v>
      </c>
      <c r="E14" s="10">
        <v>0</v>
      </c>
      <c r="F14" s="102">
        <v>1</v>
      </c>
      <c r="G14" s="128" t="s">
        <v>596</v>
      </c>
      <c r="I14" s="122" t="s">
        <v>618</v>
      </c>
      <c r="J14" s="123">
        <v>50</v>
      </c>
      <c r="K14" s="133" t="s">
        <v>1022</v>
      </c>
      <c r="L14" s="123">
        <v>200</v>
      </c>
    </row>
    <row r="15" spans="1:22" x14ac:dyDescent="0.3">
      <c r="A15" s="11">
        <f t="shared" si="0"/>
        <v>13010001</v>
      </c>
      <c r="B15" s="10">
        <v>1</v>
      </c>
      <c r="C15" s="102">
        <v>3</v>
      </c>
      <c r="D15" s="10">
        <v>1</v>
      </c>
      <c r="E15" s="10">
        <v>0</v>
      </c>
      <c r="F15" s="102">
        <v>1</v>
      </c>
      <c r="G15" s="131" t="s">
        <v>597</v>
      </c>
      <c r="I15" s="122" t="s">
        <v>620</v>
      </c>
      <c r="J15" s="123">
        <v>50</v>
      </c>
      <c r="K15" s="133" t="s">
        <v>625</v>
      </c>
      <c r="L15" s="123">
        <v>70</v>
      </c>
      <c r="M15" s="123">
        <v>3000</v>
      </c>
      <c r="Q15" s="123">
        <v>80</v>
      </c>
    </row>
    <row r="16" spans="1:22" x14ac:dyDescent="0.3">
      <c r="A16" s="11">
        <f t="shared" si="0"/>
        <v>13020001</v>
      </c>
      <c r="B16" s="10">
        <v>1</v>
      </c>
      <c r="C16" s="102">
        <v>3</v>
      </c>
      <c r="D16" s="10">
        <v>2</v>
      </c>
      <c r="E16" s="10">
        <v>0</v>
      </c>
      <c r="F16" s="102">
        <v>1</v>
      </c>
      <c r="G16" s="131" t="s">
        <v>619</v>
      </c>
      <c r="I16" s="122" t="s">
        <v>620</v>
      </c>
      <c r="J16" s="123">
        <v>50</v>
      </c>
      <c r="K16" s="133" t="s">
        <v>624</v>
      </c>
      <c r="L16" s="123">
        <v>80</v>
      </c>
      <c r="M16" s="123">
        <v>3000</v>
      </c>
      <c r="Q16" s="123">
        <v>90</v>
      </c>
    </row>
  </sheetData>
  <phoneticPr fontId="1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W594"/>
  <sheetViews>
    <sheetView zoomScaleNormal="100" workbookViewId="0">
      <selection activeCell="M16" sqref="M16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6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5" customWidth="1"/>
    <col min="8" max="8" width="18" style="55" customWidth="1"/>
    <col min="9" max="10" width="20.125" style="55" customWidth="1"/>
    <col min="11" max="11" width="18" style="55" customWidth="1"/>
    <col min="12" max="13" width="18" style="10" customWidth="1"/>
    <col min="14" max="14" width="11.375" style="189" customWidth="1"/>
    <col min="15" max="15" width="11.875" style="180" customWidth="1"/>
    <col min="16" max="18" width="13.75" style="180" customWidth="1"/>
    <col min="19" max="19" width="69.125" style="180" customWidth="1"/>
    <col min="20" max="20" width="13.75" style="180" customWidth="1"/>
    <col min="21" max="21" width="9.875" style="183" customWidth="1"/>
    <col min="22" max="22" width="10.75" style="183" customWidth="1"/>
    <col min="23" max="23" width="12.625" style="183" customWidth="1"/>
    <col min="24" max="16384" width="9" style="183"/>
  </cols>
  <sheetData>
    <row r="1" spans="1:23" s="180" customFormat="1" x14ac:dyDescent="0.15">
      <c r="A1" s="11" t="s">
        <v>1142</v>
      </c>
      <c r="B1" s="13"/>
      <c r="C1" s="12"/>
      <c r="D1" s="13"/>
      <c r="E1" s="13"/>
      <c r="F1" s="12"/>
      <c r="G1" s="55" t="s">
        <v>1143</v>
      </c>
      <c r="H1" s="55" t="s">
        <v>1143</v>
      </c>
      <c r="I1" s="55" t="s">
        <v>1143</v>
      </c>
      <c r="J1" s="55" t="s">
        <v>1143</v>
      </c>
      <c r="K1" s="55" t="s">
        <v>1143</v>
      </c>
      <c r="L1" s="10"/>
      <c r="M1" s="10"/>
      <c r="N1" s="10"/>
      <c r="O1" s="55"/>
      <c r="Q1" s="55"/>
      <c r="R1" s="55"/>
      <c r="S1" s="55"/>
      <c r="T1" s="55"/>
      <c r="U1" s="55"/>
      <c r="V1" s="55"/>
      <c r="W1" s="55"/>
    </row>
    <row r="2" spans="1:23" s="180" customFormat="1" x14ac:dyDescent="0.15">
      <c r="A2" s="11" t="s">
        <v>61</v>
      </c>
      <c r="B2" s="13"/>
      <c r="C2" s="12"/>
      <c r="D2" s="13"/>
      <c r="E2" s="13"/>
      <c r="F2" s="12"/>
      <c r="G2" s="55" t="s">
        <v>61</v>
      </c>
      <c r="H2" s="55" t="s">
        <v>61</v>
      </c>
      <c r="I2" s="55" t="s">
        <v>61</v>
      </c>
      <c r="J2" s="55" t="s">
        <v>61</v>
      </c>
      <c r="K2" s="55" t="s">
        <v>61</v>
      </c>
      <c r="L2" s="10"/>
      <c r="M2" s="10"/>
      <c r="N2" s="189"/>
      <c r="O2" s="55"/>
      <c r="Q2" s="55"/>
      <c r="R2" s="55"/>
    </row>
    <row r="3" spans="1:23" s="180" customFormat="1" x14ac:dyDescent="0.15">
      <c r="A3" s="11" t="s">
        <v>1144</v>
      </c>
      <c r="B3" s="13"/>
      <c r="C3" s="12"/>
      <c r="D3" s="13"/>
      <c r="E3" s="13"/>
      <c r="F3" s="12"/>
      <c r="G3" s="55" t="s">
        <v>1145</v>
      </c>
      <c r="H3" s="55" t="s">
        <v>1146</v>
      </c>
      <c r="I3" s="55" t="s">
        <v>1147</v>
      </c>
      <c r="J3" s="55" t="s">
        <v>1148</v>
      </c>
      <c r="K3" s="55" t="s">
        <v>1149</v>
      </c>
      <c r="L3" s="10"/>
      <c r="M3" s="10"/>
      <c r="N3" s="189"/>
    </row>
    <row r="4" spans="1:23" s="181" customFormat="1" ht="57.75" customHeight="1" thickBot="1" x14ac:dyDescent="0.2">
      <c r="A4" s="94" t="s">
        <v>1150</v>
      </c>
      <c r="B4" s="106" t="s">
        <v>1151</v>
      </c>
      <c r="C4" s="107"/>
      <c r="D4" s="106"/>
      <c r="E4" s="106"/>
      <c r="F4" s="107"/>
      <c r="G4" s="89" t="s">
        <v>1152</v>
      </c>
      <c r="H4" s="89" t="s">
        <v>1153</v>
      </c>
      <c r="I4" s="89" t="s">
        <v>1154</v>
      </c>
      <c r="J4" s="89" t="s">
        <v>1155</v>
      </c>
      <c r="K4" s="89" t="s">
        <v>1156</v>
      </c>
      <c r="L4" s="90" t="s">
        <v>1157</v>
      </c>
      <c r="M4" s="90" t="s">
        <v>1158</v>
      </c>
      <c r="N4" s="190" t="s">
        <v>1458</v>
      </c>
    </row>
    <row r="5" spans="1:23" s="182" customFormat="1" x14ac:dyDescent="0.15">
      <c r="A5" s="18">
        <f>B5*10000000+C5*1000000+D5*10000+E5*100+F5</f>
        <v>20010001</v>
      </c>
      <c r="B5" s="20">
        <v>2</v>
      </c>
      <c r="C5" s="19">
        <v>0</v>
      </c>
      <c r="D5" s="20">
        <v>1</v>
      </c>
      <c r="E5" s="20">
        <v>0</v>
      </c>
      <c r="F5" s="19">
        <v>1</v>
      </c>
      <c r="G5" s="56">
        <v>800</v>
      </c>
      <c r="H5" s="56">
        <v>40</v>
      </c>
      <c r="I5" s="56">
        <v>0</v>
      </c>
      <c r="J5" s="56">
        <v>50</v>
      </c>
      <c r="K5" s="56">
        <v>10</v>
      </c>
      <c r="L5" s="17">
        <v>35</v>
      </c>
      <c r="M5" s="17">
        <f>(H5-ARITHMETIC_COEFFICIENT!$I$10*L5/100)*J5*K5</f>
        <v>2500</v>
      </c>
      <c r="N5" s="191">
        <f>J5*K5</f>
        <v>500</v>
      </c>
      <c r="O5" s="182">
        <f>AVERAGE(N5:N14)</f>
        <v>950</v>
      </c>
      <c r="P5" s="182">
        <f>O5/10</f>
        <v>95</v>
      </c>
    </row>
    <row r="6" spans="1:23" x14ac:dyDescent="0.15">
      <c r="A6" s="11">
        <f t="shared" ref="A6:A69" si="0">B6*10000000+C6*1000000+D6*10000+E6*100+F6</f>
        <v>20010002</v>
      </c>
      <c r="B6" s="13">
        <v>2</v>
      </c>
      <c r="C6" s="12">
        <v>0</v>
      </c>
      <c r="D6" s="13">
        <v>1</v>
      </c>
      <c r="E6" s="13">
        <v>0</v>
      </c>
      <c r="F6" s="12">
        <v>2</v>
      </c>
      <c r="G6" s="55">
        <v>800</v>
      </c>
      <c r="H6" s="55">
        <v>60</v>
      </c>
      <c r="I6" s="55">
        <v>0</v>
      </c>
      <c r="J6" s="55">
        <v>50</v>
      </c>
      <c r="K6" s="55">
        <v>12</v>
      </c>
      <c r="L6" s="10">
        <v>35</v>
      </c>
      <c r="M6" s="10">
        <f>(H6-ARITHMETIC_COEFFICIENT!$I$10*L6/100)*J6*K6</f>
        <v>15000</v>
      </c>
      <c r="N6" s="192">
        <f t="shared" ref="N6:N69" si="1">J6*K6</f>
        <v>600</v>
      </c>
    </row>
    <row r="7" spans="1:23" x14ac:dyDescent="0.15">
      <c r="A7" s="11">
        <f t="shared" si="0"/>
        <v>20010003</v>
      </c>
      <c r="B7" s="13">
        <v>2</v>
      </c>
      <c r="C7" s="12">
        <v>0</v>
      </c>
      <c r="D7" s="13">
        <v>1</v>
      </c>
      <c r="E7" s="13">
        <v>0</v>
      </c>
      <c r="F7" s="12">
        <v>3</v>
      </c>
      <c r="G7" s="55">
        <v>800</v>
      </c>
      <c r="H7" s="55">
        <v>80</v>
      </c>
      <c r="I7" s="55">
        <v>0</v>
      </c>
      <c r="J7" s="55">
        <v>50</v>
      </c>
      <c r="K7" s="55">
        <v>14</v>
      </c>
      <c r="L7" s="10">
        <v>35</v>
      </c>
      <c r="M7" s="10">
        <f>(H7-ARITHMETIC_COEFFICIENT!$I$10*L7/100)*J7*K7</f>
        <v>31500</v>
      </c>
      <c r="N7" s="192">
        <f t="shared" si="1"/>
        <v>700</v>
      </c>
    </row>
    <row r="8" spans="1:23" x14ac:dyDescent="0.15">
      <c r="A8" s="11">
        <f t="shared" si="0"/>
        <v>20010004</v>
      </c>
      <c r="B8" s="13">
        <v>2</v>
      </c>
      <c r="C8" s="12">
        <v>0</v>
      </c>
      <c r="D8" s="13">
        <v>1</v>
      </c>
      <c r="E8" s="13">
        <v>0</v>
      </c>
      <c r="F8" s="12">
        <v>4</v>
      </c>
      <c r="G8" s="55">
        <v>800</v>
      </c>
      <c r="H8" s="55">
        <v>100</v>
      </c>
      <c r="I8" s="55">
        <v>0</v>
      </c>
      <c r="J8" s="55">
        <v>50</v>
      </c>
      <c r="K8" s="55">
        <v>16</v>
      </c>
      <c r="L8" s="10">
        <v>35</v>
      </c>
      <c r="M8" s="10">
        <f>(H8-ARITHMETIC_COEFFICIENT!$I$10*L8/100)*J8*K8</f>
        <v>52000</v>
      </c>
      <c r="N8" s="189">
        <f t="shared" si="1"/>
        <v>800</v>
      </c>
    </row>
    <row r="9" spans="1:23" x14ac:dyDescent="0.15">
      <c r="A9" s="11">
        <f t="shared" si="0"/>
        <v>20010005</v>
      </c>
      <c r="B9" s="13">
        <v>2</v>
      </c>
      <c r="C9" s="12">
        <v>0</v>
      </c>
      <c r="D9" s="13">
        <v>1</v>
      </c>
      <c r="E9" s="13">
        <v>0</v>
      </c>
      <c r="F9" s="12">
        <v>5</v>
      </c>
      <c r="G9" s="55">
        <v>800</v>
      </c>
      <c r="H9" s="55">
        <v>120</v>
      </c>
      <c r="I9" s="55">
        <v>0</v>
      </c>
      <c r="J9" s="55">
        <v>50</v>
      </c>
      <c r="K9" s="55">
        <v>18</v>
      </c>
      <c r="L9" s="10">
        <v>35</v>
      </c>
      <c r="M9" s="10">
        <f>(H9-ARITHMETIC_COEFFICIENT!$I$10*L9/100)*J9*K9</f>
        <v>76500</v>
      </c>
      <c r="N9" s="189">
        <f t="shared" si="1"/>
        <v>900</v>
      </c>
    </row>
    <row r="10" spans="1:23" x14ac:dyDescent="0.15">
      <c r="A10" s="11">
        <f t="shared" si="0"/>
        <v>20010006</v>
      </c>
      <c r="B10" s="13">
        <v>2</v>
      </c>
      <c r="C10" s="12">
        <v>0</v>
      </c>
      <c r="D10" s="13">
        <v>1</v>
      </c>
      <c r="E10" s="13">
        <v>0</v>
      </c>
      <c r="F10" s="12">
        <v>6</v>
      </c>
      <c r="G10" s="55">
        <v>800</v>
      </c>
      <c r="H10" s="55">
        <v>140</v>
      </c>
      <c r="I10" s="55">
        <v>0</v>
      </c>
      <c r="J10" s="55">
        <v>50</v>
      </c>
      <c r="K10" s="55">
        <v>20</v>
      </c>
      <c r="L10" s="10">
        <v>35</v>
      </c>
      <c r="M10" s="10">
        <f>(H10-ARITHMETIC_COEFFICIENT!$I$10*L10/100)*J10*K10</f>
        <v>105000</v>
      </c>
      <c r="N10" s="189">
        <f t="shared" si="1"/>
        <v>1000</v>
      </c>
    </row>
    <row r="11" spans="1:23" x14ac:dyDescent="0.15">
      <c r="A11" s="11">
        <f t="shared" si="0"/>
        <v>20010007</v>
      </c>
      <c r="B11" s="13">
        <v>2</v>
      </c>
      <c r="C11" s="12">
        <v>0</v>
      </c>
      <c r="D11" s="13">
        <v>1</v>
      </c>
      <c r="E11" s="13">
        <v>0</v>
      </c>
      <c r="F11" s="12">
        <v>7</v>
      </c>
      <c r="G11" s="55">
        <v>800</v>
      </c>
      <c r="H11" s="55">
        <v>160</v>
      </c>
      <c r="I11" s="55">
        <v>0</v>
      </c>
      <c r="J11" s="55">
        <v>50</v>
      </c>
      <c r="K11" s="55">
        <v>22</v>
      </c>
      <c r="L11" s="10">
        <v>35</v>
      </c>
      <c r="M11" s="10">
        <f>(H11-ARITHMETIC_COEFFICIENT!$I$10*L11/100)*J11*K11</f>
        <v>137500</v>
      </c>
      <c r="N11" s="189">
        <f t="shared" si="1"/>
        <v>1100</v>
      </c>
    </row>
    <row r="12" spans="1:23" x14ac:dyDescent="0.15">
      <c r="A12" s="11">
        <f t="shared" si="0"/>
        <v>20010008</v>
      </c>
      <c r="B12" s="13">
        <v>2</v>
      </c>
      <c r="C12" s="12">
        <v>0</v>
      </c>
      <c r="D12" s="13">
        <v>1</v>
      </c>
      <c r="E12" s="13">
        <v>0</v>
      </c>
      <c r="F12" s="12">
        <v>8</v>
      </c>
      <c r="G12" s="55">
        <v>800</v>
      </c>
      <c r="H12" s="55">
        <v>180</v>
      </c>
      <c r="I12" s="55">
        <v>0</v>
      </c>
      <c r="J12" s="55">
        <v>50</v>
      </c>
      <c r="K12" s="55">
        <v>24</v>
      </c>
      <c r="L12" s="10">
        <v>35</v>
      </c>
      <c r="M12" s="10">
        <f>(H12-ARITHMETIC_COEFFICIENT!$I$10*L12/100)*J12*K12</f>
        <v>174000</v>
      </c>
      <c r="N12" s="189">
        <f t="shared" si="1"/>
        <v>1200</v>
      </c>
    </row>
    <row r="13" spans="1:23" x14ac:dyDescent="0.15">
      <c r="A13" s="11">
        <f t="shared" si="0"/>
        <v>20010009</v>
      </c>
      <c r="B13" s="13">
        <v>2</v>
      </c>
      <c r="C13" s="12">
        <v>0</v>
      </c>
      <c r="D13" s="13">
        <v>1</v>
      </c>
      <c r="E13" s="13">
        <v>0</v>
      </c>
      <c r="F13" s="12">
        <v>9</v>
      </c>
      <c r="G13" s="55">
        <v>800</v>
      </c>
      <c r="H13" s="55">
        <v>200</v>
      </c>
      <c r="I13" s="55">
        <v>0</v>
      </c>
      <c r="J13" s="55">
        <v>50</v>
      </c>
      <c r="K13" s="55">
        <v>26</v>
      </c>
      <c r="L13" s="10">
        <v>35</v>
      </c>
      <c r="M13" s="10">
        <f>(H13-ARITHMETIC_COEFFICIENT!$I$10*L13/100)*J13*K13</f>
        <v>214500</v>
      </c>
      <c r="N13" s="189">
        <f t="shared" si="1"/>
        <v>1300</v>
      </c>
    </row>
    <row r="14" spans="1:23" ht="17.25" thickBot="1" x14ac:dyDescent="0.2">
      <c r="A14" s="11">
        <f t="shared" si="0"/>
        <v>20010010</v>
      </c>
      <c r="B14" s="13">
        <v>2</v>
      </c>
      <c r="C14" s="12">
        <v>0</v>
      </c>
      <c r="D14" s="13">
        <v>1</v>
      </c>
      <c r="E14" s="13">
        <v>0</v>
      </c>
      <c r="F14" s="12">
        <v>10</v>
      </c>
      <c r="G14" s="55">
        <v>800</v>
      </c>
      <c r="H14" s="55">
        <v>220</v>
      </c>
      <c r="I14" s="55">
        <v>0</v>
      </c>
      <c r="J14" s="55">
        <v>50</v>
      </c>
      <c r="K14" s="55">
        <v>28</v>
      </c>
      <c r="L14" s="10">
        <v>35</v>
      </c>
      <c r="M14" s="10">
        <f>(H14-ARITHMETIC_COEFFICIENT!$I$10*L14/100)*J14*K14</f>
        <v>259000</v>
      </c>
      <c r="N14" s="189">
        <f t="shared" si="1"/>
        <v>1400</v>
      </c>
    </row>
    <row r="15" spans="1:23" s="182" customFormat="1" x14ac:dyDescent="0.15">
      <c r="A15" s="18">
        <f t="shared" si="0"/>
        <v>20020001</v>
      </c>
      <c r="B15" s="20">
        <v>2</v>
      </c>
      <c r="C15" s="19">
        <v>0</v>
      </c>
      <c r="D15" s="20">
        <v>2</v>
      </c>
      <c r="E15" s="20">
        <v>0</v>
      </c>
      <c r="F15" s="19">
        <v>1</v>
      </c>
      <c r="G15" s="56">
        <v>2300</v>
      </c>
      <c r="H15" s="56">
        <v>40</v>
      </c>
      <c r="I15" s="56">
        <v>0</v>
      </c>
      <c r="J15" s="56">
        <v>50</v>
      </c>
      <c r="K15" s="56">
        <v>12</v>
      </c>
      <c r="L15" s="17">
        <v>45</v>
      </c>
      <c r="M15" s="17">
        <f>(H15-ARITHMETIC_COEFFICIENT!I19*L15)*J15*K15</f>
        <v>-2406000</v>
      </c>
      <c r="N15" s="191">
        <f t="shared" si="1"/>
        <v>600</v>
      </c>
      <c r="O15" s="182">
        <f>AVERAGE(N15:N24)</f>
        <v>1140</v>
      </c>
      <c r="P15" s="182">
        <f>O15/10</f>
        <v>114</v>
      </c>
    </row>
    <row r="16" spans="1:23" s="180" customFormat="1" x14ac:dyDescent="0.15">
      <c r="A16" s="11">
        <f t="shared" si="0"/>
        <v>20020002</v>
      </c>
      <c r="B16" s="13">
        <v>2</v>
      </c>
      <c r="C16" s="12">
        <v>0</v>
      </c>
      <c r="D16" s="13">
        <v>2</v>
      </c>
      <c r="E16" s="13">
        <v>0</v>
      </c>
      <c r="F16" s="12">
        <v>2</v>
      </c>
      <c r="G16" s="55">
        <v>2300</v>
      </c>
      <c r="H16" s="55">
        <v>60</v>
      </c>
      <c r="I16" s="55">
        <v>0</v>
      </c>
      <c r="J16" s="55">
        <v>50</v>
      </c>
      <c r="K16" s="55">
        <v>14</v>
      </c>
      <c r="L16" s="10">
        <v>45</v>
      </c>
      <c r="M16" s="10">
        <f>(H16-ARITHMETIC_COEFFICIENT!I20*L16)*J16*K16</f>
        <v>42000</v>
      </c>
      <c r="N16" s="189">
        <f t="shared" si="1"/>
        <v>700</v>
      </c>
    </row>
    <row r="17" spans="1:16" s="180" customFormat="1" x14ac:dyDescent="0.15">
      <c r="A17" s="11">
        <f t="shared" si="0"/>
        <v>20020003</v>
      </c>
      <c r="B17" s="13">
        <v>2</v>
      </c>
      <c r="C17" s="12">
        <v>0</v>
      </c>
      <c r="D17" s="13">
        <v>2</v>
      </c>
      <c r="E17" s="13">
        <v>0</v>
      </c>
      <c r="F17" s="12">
        <v>3</v>
      </c>
      <c r="G17" s="55">
        <v>2300</v>
      </c>
      <c r="H17" s="55">
        <v>80</v>
      </c>
      <c r="I17" s="55">
        <v>0</v>
      </c>
      <c r="J17" s="55">
        <v>50</v>
      </c>
      <c r="K17" s="55">
        <v>17</v>
      </c>
      <c r="L17" s="10">
        <v>45</v>
      </c>
      <c r="M17" s="10">
        <f>(H17-ARITHMETIC_COEFFICIENT!I21*L17)*J17*K17</f>
        <v>68000</v>
      </c>
      <c r="N17" s="189">
        <f t="shared" si="1"/>
        <v>850</v>
      </c>
    </row>
    <row r="18" spans="1:16" s="180" customFormat="1" x14ac:dyDescent="0.15">
      <c r="A18" s="11">
        <f t="shared" si="0"/>
        <v>20020004</v>
      </c>
      <c r="B18" s="13">
        <v>2</v>
      </c>
      <c r="C18" s="12">
        <v>0</v>
      </c>
      <c r="D18" s="13">
        <v>2</v>
      </c>
      <c r="E18" s="13">
        <v>0</v>
      </c>
      <c r="F18" s="12">
        <v>4</v>
      </c>
      <c r="G18" s="55">
        <v>2300</v>
      </c>
      <c r="H18" s="55">
        <v>100</v>
      </c>
      <c r="I18" s="55">
        <v>0</v>
      </c>
      <c r="J18" s="55">
        <v>50</v>
      </c>
      <c r="K18" s="55">
        <v>19</v>
      </c>
      <c r="L18" s="10">
        <v>45</v>
      </c>
      <c r="M18" s="10">
        <f>(H18-ARITHMETIC_COEFFICIENT!I22*L18)*J18*K18</f>
        <v>95000</v>
      </c>
      <c r="N18" s="189">
        <f t="shared" si="1"/>
        <v>950</v>
      </c>
    </row>
    <row r="19" spans="1:16" s="180" customFormat="1" x14ac:dyDescent="0.15">
      <c r="A19" s="11">
        <f t="shared" si="0"/>
        <v>20020005</v>
      </c>
      <c r="B19" s="13">
        <v>2</v>
      </c>
      <c r="C19" s="12">
        <v>0</v>
      </c>
      <c r="D19" s="13">
        <v>2</v>
      </c>
      <c r="E19" s="13">
        <v>0</v>
      </c>
      <c r="F19" s="12">
        <v>5</v>
      </c>
      <c r="G19" s="55">
        <v>2300</v>
      </c>
      <c r="H19" s="55">
        <v>120</v>
      </c>
      <c r="I19" s="55">
        <v>0</v>
      </c>
      <c r="J19" s="55">
        <v>50</v>
      </c>
      <c r="K19" s="55">
        <v>22</v>
      </c>
      <c r="L19" s="10">
        <v>45</v>
      </c>
      <c r="M19" s="10">
        <f>(H19-ARITHMETIC_COEFFICIENT!I23*L19)*J19*K19</f>
        <v>132000</v>
      </c>
      <c r="N19" s="189">
        <f t="shared" si="1"/>
        <v>1100</v>
      </c>
    </row>
    <row r="20" spans="1:16" s="180" customFormat="1" x14ac:dyDescent="0.15">
      <c r="A20" s="11">
        <f t="shared" si="0"/>
        <v>20020006</v>
      </c>
      <c r="B20" s="13">
        <v>2</v>
      </c>
      <c r="C20" s="12">
        <v>0</v>
      </c>
      <c r="D20" s="13">
        <v>2</v>
      </c>
      <c r="E20" s="13">
        <v>0</v>
      </c>
      <c r="F20" s="12">
        <v>6</v>
      </c>
      <c r="G20" s="55">
        <v>2300</v>
      </c>
      <c r="H20" s="55">
        <v>140</v>
      </c>
      <c r="I20" s="55">
        <v>0</v>
      </c>
      <c r="J20" s="55">
        <v>50</v>
      </c>
      <c r="K20" s="55">
        <v>24</v>
      </c>
      <c r="L20" s="10">
        <v>45</v>
      </c>
      <c r="M20" s="10">
        <f>(H20-ARITHMETIC_COEFFICIENT!I24*L20)*J20*K20</f>
        <v>168000</v>
      </c>
      <c r="N20" s="189">
        <f t="shared" si="1"/>
        <v>1200</v>
      </c>
    </row>
    <row r="21" spans="1:16" s="180" customFormat="1" x14ac:dyDescent="0.15">
      <c r="A21" s="11">
        <f t="shared" si="0"/>
        <v>20020007</v>
      </c>
      <c r="B21" s="13">
        <v>2</v>
      </c>
      <c r="C21" s="12">
        <v>0</v>
      </c>
      <c r="D21" s="13">
        <v>2</v>
      </c>
      <c r="E21" s="13">
        <v>0</v>
      </c>
      <c r="F21" s="12">
        <v>7</v>
      </c>
      <c r="G21" s="55">
        <v>2300</v>
      </c>
      <c r="H21" s="55">
        <v>160</v>
      </c>
      <c r="I21" s="55">
        <v>0</v>
      </c>
      <c r="J21" s="55">
        <v>50</v>
      </c>
      <c r="K21" s="55">
        <v>26</v>
      </c>
      <c r="L21" s="10">
        <v>45</v>
      </c>
      <c r="M21" s="10">
        <f>(H21-ARITHMETIC_COEFFICIENT!I25*L21)*J21*K21</f>
        <v>208000</v>
      </c>
      <c r="N21" s="189">
        <f t="shared" si="1"/>
        <v>1300</v>
      </c>
    </row>
    <row r="22" spans="1:16" s="180" customFormat="1" x14ac:dyDescent="0.15">
      <c r="A22" s="11">
        <f t="shared" si="0"/>
        <v>20020008</v>
      </c>
      <c r="B22" s="13">
        <v>2</v>
      </c>
      <c r="C22" s="12">
        <v>0</v>
      </c>
      <c r="D22" s="13">
        <v>2</v>
      </c>
      <c r="E22" s="13">
        <v>0</v>
      </c>
      <c r="F22" s="12">
        <v>8</v>
      </c>
      <c r="G22" s="55">
        <v>2300</v>
      </c>
      <c r="H22" s="55">
        <v>180</v>
      </c>
      <c r="I22" s="55">
        <v>0</v>
      </c>
      <c r="J22" s="55">
        <v>50</v>
      </c>
      <c r="K22" s="55">
        <v>29</v>
      </c>
      <c r="L22" s="10">
        <v>45</v>
      </c>
      <c r="M22" s="10">
        <f>(H22-ARITHMETIC_COEFFICIENT!I26*L22)*J22*K22</f>
        <v>261000</v>
      </c>
      <c r="N22" s="189">
        <f t="shared" si="1"/>
        <v>1450</v>
      </c>
    </row>
    <row r="23" spans="1:16" s="180" customFormat="1" x14ac:dyDescent="0.15">
      <c r="A23" s="11">
        <f t="shared" si="0"/>
        <v>20020009</v>
      </c>
      <c r="B23" s="13">
        <v>2</v>
      </c>
      <c r="C23" s="12">
        <v>0</v>
      </c>
      <c r="D23" s="13">
        <v>2</v>
      </c>
      <c r="E23" s="13">
        <v>0</v>
      </c>
      <c r="F23" s="12">
        <v>9</v>
      </c>
      <c r="G23" s="55">
        <v>2300</v>
      </c>
      <c r="H23" s="55">
        <v>200</v>
      </c>
      <c r="I23" s="55">
        <v>0</v>
      </c>
      <c r="J23" s="55">
        <v>50</v>
      </c>
      <c r="K23" s="55">
        <v>31</v>
      </c>
      <c r="L23" s="10">
        <v>45</v>
      </c>
      <c r="M23" s="10">
        <f>(H23-ARITHMETIC_COEFFICIENT!I27*L23)*J23*K23</f>
        <v>310000</v>
      </c>
      <c r="N23" s="189">
        <f t="shared" si="1"/>
        <v>1550</v>
      </c>
    </row>
    <row r="24" spans="1:16" s="180" customFormat="1" ht="17.25" thickBot="1" x14ac:dyDescent="0.2">
      <c r="A24" s="11">
        <f t="shared" si="0"/>
        <v>20020010</v>
      </c>
      <c r="B24" s="108">
        <v>2</v>
      </c>
      <c r="C24" s="12">
        <v>0</v>
      </c>
      <c r="D24" s="108">
        <v>2</v>
      </c>
      <c r="E24" s="108">
        <v>0</v>
      </c>
      <c r="F24" s="12">
        <v>10</v>
      </c>
      <c r="G24" s="55">
        <v>2300</v>
      </c>
      <c r="H24" s="55">
        <v>220</v>
      </c>
      <c r="I24" s="55">
        <v>0</v>
      </c>
      <c r="J24" s="55">
        <v>50</v>
      </c>
      <c r="K24" s="55">
        <v>34</v>
      </c>
      <c r="L24" s="10">
        <v>45</v>
      </c>
      <c r="M24" s="10">
        <f>(H24-ARITHMETIC_COEFFICIENT!I28*L24)*J24*K24</f>
        <v>374000</v>
      </c>
      <c r="N24" s="189">
        <f t="shared" si="1"/>
        <v>1700</v>
      </c>
    </row>
    <row r="25" spans="1:16" s="182" customFormat="1" x14ac:dyDescent="0.15">
      <c r="A25" s="18">
        <f t="shared" si="0"/>
        <v>20030001</v>
      </c>
      <c r="B25" s="20">
        <v>2</v>
      </c>
      <c r="C25" s="19">
        <v>0</v>
      </c>
      <c r="D25" s="20">
        <v>3</v>
      </c>
      <c r="E25" s="20">
        <v>0</v>
      </c>
      <c r="F25" s="19">
        <v>1</v>
      </c>
      <c r="G25" s="56">
        <v>7000</v>
      </c>
      <c r="H25" s="56">
        <v>40</v>
      </c>
      <c r="I25" s="56">
        <v>0</v>
      </c>
      <c r="J25" s="56">
        <v>50</v>
      </c>
      <c r="K25" s="56">
        <v>14</v>
      </c>
      <c r="L25" s="17">
        <v>55</v>
      </c>
      <c r="M25" s="17">
        <f>(H25-ARITHMETIC_COEFFICIENT!I29*L25)*J25*K25</f>
        <v>28000</v>
      </c>
      <c r="N25" s="191">
        <f t="shared" si="1"/>
        <v>700</v>
      </c>
      <c r="O25" s="182">
        <f>AVERAGE(N25:N34)</f>
        <v>1365</v>
      </c>
      <c r="P25" s="182">
        <f>O25/10</f>
        <v>136.5</v>
      </c>
    </row>
    <row r="26" spans="1:16" s="180" customFormat="1" x14ac:dyDescent="0.15">
      <c r="A26" s="11">
        <f t="shared" si="0"/>
        <v>20030002</v>
      </c>
      <c r="B26" s="13">
        <v>2</v>
      </c>
      <c r="C26" s="12">
        <v>0</v>
      </c>
      <c r="D26" s="13">
        <v>3</v>
      </c>
      <c r="E26" s="13">
        <v>0</v>
      </c>
      <c r="F26" s="12">
        <v>2</v>
      </c>
      <c r="G26" s="55">
        <v>7000</v>
      </c>
      <c r="H26" s="55">
        <v>60</v>
      </c>
      <c r="I26" s="55">
        <v>0</v>
      </c>
      <c r="J26" s="55">
        <v>50</v>
      </c>
      <c r="K26" s="55">
        <v>17</v>
      </c>
      <c r="L26" s="10">
        <v>55</v>
      </c>
      <c r="M26" s="10">
        <f>(H26-ARITHMETIC_COEFFICIENT!I30*L26)*J26*K26</f>
        <v>51000</v>
      </c>
      <c r="N26" s="189">
        <f t="shared" si="1"/>
        <v>850</v>
      </c>
    </row>
    <row r="27" spans="1:16" s="180" customFormat="1" x14ac:dyDescent="0.15">
      <c r="A27" s="11">
        <f t="shared" si="0"/>
        <v>20030003</v>
      </c>
      <c r="B27" s="13">
        <v>2</v>
      </c>
      <c r="C27" s="12">
        <v>0</v>
      </c>
      <c r="D27" s="13">
        <v>3</v>
      </c>
      <c r="E27" s="13">
        <v>0</v>
      </c>
      <c r="F27" s="12">
        <v>3</v>
      </c>
      <c r="G27" s="55">
        <v>7000</v>
      </c>
      <c r="H27" s="55">
        <v>80</v>
      </c>
      <c r="I27" s="55">
        <v>0</v>
      </c>
      <c r="J27" s="55">
        <v>50</v>
      </c>
      <c r="K27" s="55">
        <v>20</v>
      </c>
      <c r="L27" s="10">
        <v>55</v>
      </c>
      <c r="M27" s="10">
        <f>(H27-ARITHMETIC_COEFFICIENT!I31*L27)*J27*K27</f>
        <v>80000</v>
      </c>
      <c r="N27" s="189">
        <f t="shared" si="1"/>
        <v>1000</v>
      </c>
    </row>
    <row r="28" spans="1:16" s="180" customFormat="1" x14ac:dyDescent="0.15">
      <c r="A28" s="11">
        <f t="shared" si="0"/>
        <v>20030004</v>
      </c>
      <c r="B28" s="13">
        <v>2</v>
      </c>
      <c r="C28" s="12">
        <v>0</v>
      </c>
      <c r="D28" s="13">
        <v>3</v>
      </c>
      <c r="E28" s="13">
        <v>0</v>
      </c>
      <c r="F28" s="12">
        <v>4</v>
      </c>
      <c r="G28" s="55">
        <v>7000</v>
      </c>
      <c r="H28" s="55">
        <v>100</v>
      </c>
      <c r="I28" s="55">
        <v>0</v>
      </c>
      <c r="J28" s="55">
        <v>50</v>
      </c>
      <c r="K28" s="55">
        <v>23</v>
      </c>
      <c r="L28" s="10">
        <v>55</v>
      </c>
      <c r="M28" s="10">
        <f>(H28-ARITHMETIC_COEFFICIENT!I32*L28)*J28*K28</f>
        <v>115000</v>
      </c>
      <c r="N28" s="189">
        <f t="shared" si="1"/>
        <v>1150</v>
      </c>
    </row>
    <row r="29" spans="1:16" s="180" customFormat="1" x14ac:dyDescent="0.15">
      <c r="A29" s="11">
        <f t="shared" si="0"/>
        <v>20030005</v>
      </c>
      <c r="B29" s="13">
        <v>2</v>
      </c>
      <c r="C29" s="12">
        <v>0</v>
      </c>
      <c r="D29" s="13">
        <v>3</v>
      </c>
      <c r="E29" s="13">
        <v>0</v>
      </c>
      <c r="F29" s="12">
        <v>5</v>
      </c>
      <c r="G29" s="55">
        <v>7000</v>
      </c>
      <c r="H29" s="55">
        <v>120</v>
      </c>
      <c r="I29" s="55">
        <v>0</v>
      </c>
      <c r="J29" s="55">
        <v>50</v>
      </c>
      <c r="K29" s="55">
        <v>26</v>
      </c>
      <c r="L29" s="10">
        <v>55</v>
      </c>
      <c r="M29" s="10">
        <f>(H29-ARITHMETIC_COEFFICIENT!I33*L29)*J29*K29</f>
        <v>156000</v>
      </c>
      <c r="N29" s="189">
        <f t="shared" si="1"/>
        <v>1300</v>
      </c>
    </row>
    <row r="30" spans="1:16" s="180" customFormat="1" x14ac:dyDescent="0.15">
      <c r="A30" s="11">
        <f t="shared" si="0"/>
        <v>20030006</v>
      </c>
      <c r="B30" s="13">
        <v>2</v>
      </c>
      <c r="C30" s="12">
        <v>0</v>
      </c>
      <c r="D30" s="13">
        <v>3</v>
      </c>
      <c r="E30" s="13">
        <v>0</v>
      </c>
      <c r="F30" s="12">
        <v>6</v>
      </c>
      <c r="G30" s="55">
        <v>7000</v>
      </c>
      <c r="H30" s="55">
        <v>140</v>
      </c>
      <c r="I30" s="55">
        <v>0</v>
      </c>
      <c r="J30" s="55">
        <v>50</v>
      </c>
      <c r="K30" s="55">
        <v>29</v>
      </c>
      <c r="L30" s="10">
        <v>55</v>
      </c>
      <c r="M30" s="10">
        <f>(H30-ARITHMETIC_COEFFICIENT!I34*L30)*J30*K30</f>
        <v>203000</v>
      </c>
      <c r="N30" s="189">
        <f t="shared" si="1"/>
        <v>1450</v>
      </c>
    </row>
    <row r="31" spans="1:16" s="180" customFormat="1" x14ac:dyDescent="0.15">
      <c r="A31" s="11">
        <f t="shared" si="0"/>
        <v>20030007</v>
      </c>
      <c r="B31" s="13">
        <v>2</v>
      </c>
      <c r="C31" s="12">
        <v>0</v>
      </c>
      <c r="D31" s="13">
        <v>3</v>
      </c>
      <c r="E31" s="13">
        <v>0</v>
      </c>
      <c r="F31" s="12">
        <v>7</v>
      </c>
      <c r="G31" s="55">
        <v>7000</v>
      </c>
      <c r="H31" s="55">
        <v>160</v>
      </c>
      <c r="I31" s="55">
        <v>0</v>
      </c>
      <c r="J31" s="55">
        <v>50</v>
      </c>
      <c r="K31" s="55">
        <v>31</v>
      </c>
      <c r="L31" s="10">
        <v>55</v>
      </c>
      <c r="M31" s="10">
        <f>(H31-ARITHMETIC_COEFFICIENT!I35*L31)*J31*K31</f>
        <v>248000</v>
      </c>
      <c r="N31" s="189">
        <f t="shared" si="1"/>
        <v>1550</v>
      </c>
    </row>
    <row r="32" spans="1:16" s="180" customFormat="1" x14ac:dyDescent="0.15">
      <c r="A32" s="11">
        <f t="shared" si="0"/>
        <v>20030008</v>
      </c>
      <c r="B32" s="13">
        <v>2</v>
      </c>
      <c r="C32" s="12">
        <v>0</v>
      </c>
      <c r="D32" s="13">
        <v>3</v>
      </c>
      <c r="E32" s="13">
        <v>0</v>
      </c>
      <c r="F32" s="12">
        <v>8</v>
      </c>
      <c r="G32" s="55">
        <v>7000</v>
      </c>
      <c r="H32" s="55">
        <v>180</v>
      </c>
      <c r="I32" s="55">
        <v>0</v>
      </c>
      <c r="J32" s="55">
        <v>50</v>
      </c>
      <c r="K32" s="55">
        <v>35</v>
      </c>
      <c r="L32" s="10">
        <v>55</v>
      </c>
      <c r="M32" s="10">
        <f>(H32-ARITHMETIC_COEFFICIENT!I36*L32)*J32*K32</f>
        <v>315000</v>
      </c>
      <c r="N32" s="189">
        <f t="shared" si="1"/>
        <v>1750</v>
      </c>
    </row>
    <row r="33" spans="1:16" s="180" customFormat="1" x14ac:dyDescent="0.15">
      <c r="A33" s="11">
        <f t="shared" si="0"/>
        <v>20030009</v>
      </c>
      <c r="B33" s="13">
        <v>2</v>
      </c>
      <c r="C33" s="12">
        <v>0</v>
      </c>
      <c r="D33" s="13">
        <v>3</v>
      </c>
      <c r="E33" s="13">
        <v>0</v>
      </c>
      <c r="F33" s="12">
        <v>9</v>
      </c>
      <c r="G33" s="55">
        <v>7000</v>
      </c>
      <c r="H33" s="55">
        <v>200</v>
      </c>
      <c r="I33" s="55">
        <v>0</v>
      </c>
      <c r="J33" s="55">
        <v>50</v>
      </c>
      <c r="K33" s="55">
        <v>37</v>
      </c>
      <c r="L33" s="10">
        <v>55</v>
      </c>
      <c r="M33" s="10">
        <f>(H33-ARITHMETIC_COEFFICIENT!I37*L33)*J33*K33</f>
        <v>370000</v>
      </c>
      <c r="N33" s="189">
        <f t="shared" si="1"/>
        <v>1850</v>
      </c>
    </row>
    <row r="34" spans="1:16" s="180" customFormat="1" ht="17.25" thickBot="1" x14ac:dyDescent="0.2">
      <c r="A34" s="11">
        <f t="shared" si="0"/>
        <v>20030010</v>
      </c>
      <c r="B34" s="108">
        <v>2</v>
      </c>
      <c r="C34" s="12">
        <v>0</v>
      </c>
      <c r="D34" s="108">
        <v>3</v>
      </c>
      <c r="E34" s="108">
        <v>0</v>
      </c>
      <c r="F34" s="12">
        <v>10</v>
      </c>
      <c r="G34" s="55">
        <v>7000</v>
      </c>
      <c r="H34" s="55">
        <v>220</v>
      </c>
      <c r="I34" s="55">
        <v>0</v>
      </c>
      <c r="J34" s="55">
        <v>50</v>
      </c>
      <c r="K34" s="55">
        <v>41</v>
      </c>
      <c r="L34" s="10">
        <v>55</v>
      </c>
      <c r="M34" s="10">
        <f>(H34-ARITHMETIC_COEFFICIENT!I38*L34)*J34*K34</f>
        <v>451000</v>
      </c>
      <c r="N34" s="189">
        <f t="shared" si="1"/>
        <v>2050</v>
      </c>
    </row>
    <row r="35" spans="1:16" s="182" customFormat="1" x14ac:dyDescent="0.15">
      <c r="A35" s="18">
        <f t="shared" si="0"/>
        <v>20040001</v>
      </c>
      <c r="B35" s="20">
        <v>2</v>
      </c>
      <c r="C35" s="19">
        <v>0</v>
      </c>
      <c r="D35" s="20">
        <v>4</v>
      </c>
      <c r="E35" s="20">
        <v>0</v>
      </c>
      <c r="F35" s="19">
        <v>1</v>
      </c>
      <c r="G35" s="56">
        <v>11000</v>
      </c>
      <c r="H35" s="56">
        <v>40</v>
      </c>
      <c r="I35" s="56">
        <v>0</v>
      </c>
      <c r="J35" s="56">
        <v>50</v>
      </c>
      <c r="K35" s="56">
        <v>17</v>
      </c>
      <c r="L35" s="17"/>
      <c r="M35" s="17">
        <f>(H35-ARITHMETIC_COEFFICIENT!I39*L35)*J35*K35</f>
        <v>34000</v>
      </c>
      <c r="N35" s="191">
        <f t="shared" si="1"/>
        <v>850</v>
      </c>
      <c r="O35" s="182">
        <f>AVERAGE(N35:N44)</f>
        <v>1635</v>
      </c>
      <c r="P35" s="182">
        <f>O35/10</f>
        <v>163.5</v>
      </c>
    </row>
    <row r="36" spans="1:16" s="180" customFormat="1" x14ac:dyDescent="0.15">
      <c r="A36" s="11">
        <f t="shared" si="0"/>
        <v>20040002</v>
      </c>
      <c r="B36" s="13">
        <v>2</v>
      </c>
      <c r="C36" s="12">
        <v>0</v>
      </c>
      <c r="D36" s="13">
        <v>4</v>
      </c>
      <c r="E36" s="13">
        <v>0</v>
      </c>
      <c r="F36" s="12">
        <v>2</v>
      </c>
      <c r="G36" s="55">
        <v>11000</v>
      </c>
      <c r="H36" s="55">
        <v>60</v>
      </c>
      <c r="I36" s="55">
        <v>0</v>
      </c>
      <c r="J36" s="55">
        <v>50</v>
      </c>
      <c r="K36" s="55">
        <v>20</v>
      </c>
      <c r="L36" s="10"/>
      <c r="M36" s="10">
        <f>(H36-ARITHMETIC_COEFFICIENT!I40*L36)*J36*K36</f>
        <v>60000</v>
      </c>
      <c r="N36" s="189">
        <f t="shared" si="1"/>
        <v>1000</v>
      </c>
    </row>
    <row r="37" spans="1:16" s="180" customFormat="1" x14ac:dyDescent="0.15">
      <c r="A37" s="11">
        <f t="shared" si="0"/>
        <v>20040003</v>
      </c>
      <c r="B37" s="13">
        <v>2</v>
      </c>
      <c r="C37" s="12">
        <v>0</v>
      </c>
      <c r="D37" s="13">
        <v>4</v>
      </c>
      <c r="E37" s="13">
        <v>0</v>
      </c>
      <c r="F37" s="12">
        <v>3</v>
      </c>
      <c r="G37" s="55">
        <v>11000</v>
      </c>
      <c r="H37" s="55">
        <v>80</v>
      </c>
      <c r="I37" s="55">
        <v>0</v>
      </c>
      <c r="J37" s="55">
        <v>50</v>
      </c>
      <c r="K37" s="55">
        <v>24</v>
      </c>
      <c r="L37" s="10"/>
      <c r="M37" s="10">
        <f>(H37-ARITHMETIC_COEFFICIENT!I41*L37)*J37*K37</f>
        <v>96000</v>
      </c>
      <c r="N37" s="189">
        <f t="shared" si="1"/>
        <v>1200</v>
      </c>
    </row>
    <row r="38" spans="1:16" s="180" customFormat="1" x14ac:dyDescent="0.15">
      <c r="A38" s="11">
        <f t="shared" si="0"/>
        <v>20040004</v>
      </c>
      <c r="B38" s="13">
        <v>2</v>
      </c>
      <c r="C38" s="12">
        <v>0</v>
      </c>
      <c r="D38" s="13">
        <v>4</v>
      </c>
      <c r="E38" s="13">
        <v>0</v>
      </c>
      <c r="F38" s="12">
        <v>4</v>
      </c>
      <c r="G38" s="55">
        <v>11000</v>
      </c>
      <c r="H38" s="55">
        <v>100</v>
      </c>
      <c r="I38" s="55">
        <v>0</v>
      </c>
      <c r="J38" s="55">
        <v>50</v>
      </c>
      <c r="K38" s="55">
        <v>28</v>
      </c>
      <c r="L38" s="10"/>
      <c r="M38" s="10">
        <f>(H38-ARITHMETIC_COEFFICIENT!I42*L38)*J38*K38</f>
        <v>140000</v>
      </c>
      <c r="N38" s="189">
        <f t="shared" si="1"/>
        <v>1400</v>
      </c>
    </row>
    <row r="39" spans="1:16" s="180" customFormat="1" x14ac:dyDescent="0.15">
      <c r="A39" s="11">
        <f t="shared" si="0"/>
        <v>20040005</v>
      </c>
      <c r="B39" s="13">
        <v>2</v>
      </c>
      <c r="C39" s="12">
        <v>0</v>
      </c>
      <c r="D39" s="13">
        <v>4</v>
      </c>
      <c r="E39" s="13">
        <v>0</v>
      </c>
      <c r="F39" s="12">
        <v>5</v>
      </c>
      <c r="G39" s="55">
        <v>11000</v>
      </c>
      <c r="H39" s="55">
        <v>120</v>
      </c>
      <c r="I39" s="55">
        <v>0</v>
      </c>
      <c r="J39" s="55">
        <v>50</v>
      </c>
      <c r="K39" s="55">
        <v>31</v>
      </c>
      <c r="L39" s="10"/>
      <c r="M39" s="10">
        <f>(H39-ARITHMETIC_COEFFICIENT!I43*L39)*J39*K39</f>
        <v>186000</v>
      </c>
      <c r="N39" s="189">
        <f t="shared" si="1"/>
        <v>1550</v>
      </c>
    </row>
    <row r="40" spans="1:16" s="180" customFormat="1" x14ac:dyDescent="0.15">
      <c r="A40" s="11">
        <f t="shared" si="0"/>
        <v>20040006</v>
      </c>
      <c r="B40" s="13">
        <v>2</v>
      </c>
      <c r="C40" s="12">
        <v>0</v>
      </c>
      <c r="D40" s="13">
        <v>4</v>
      </c>
      <c r="E40" s="13">
        <v>0</v>
      </c>
      <c r="F40" s="12">
        <v>6</v>
      </c>
      <c r="G40" s="55">
        <v>11000</v>
      </c>
      <c r="H40" s="55">
        <v>140</v>
      </c>
      <c r="I40" s="55">
        <v>0</v>
      </c>
      <c r="J40" s="55">
        <v>50</v>
      </c>
      <c r="K40" s="55">
        <v>35</v>
      </c>
      <c r="L40" s="10"/>
      <c r="M40" s="10">
        <f>(H40-ARITHMETIC_COEFFICIENT!I44*L40)*J40*K40</f>
        <v>245000</v>
      </c>
      <c r="N40" s="189">
        <f t="shared" si="1"/>
        <v>1750</v>
      </c>
    </row>
    <row r="41" spans="1:16" s="180" customFormat="1" x14ac:dyDescent="0.15">
      <c r="A41" s="11">
        <f t="shared" si="0"/>
        <v>20040007</v>
      </c>
      <c r="B41" s="13">
        <v>2</v>
      </c>
      <c r="C41" s="12">
        <v>0</v>
      </c>
      <c r="D41" s="13">
        <v>4</v>
      </c>
      <c r="E41" s="13">
        <v>0</v>
      </c>
      <c r="F41" s="12">
        <v>7</v>
      </c>
      <c r="G41" s="55">
        <v>11000</v>
      </c>
      <c r="H41" s="55">
        <v>160</v>
      </c>
      <c r="I41" s="55">
        <v>0</v>
      </c>
      <c r="J41" s="55">
        <v>50</v>
      </c>
      <c r="K41" s="55">
        <v>37</v>
      </c>
      <c r="L41" s="10"/>
      <c r="M41" s="10">
        <f>(H41-ARITHMETIC_COEFFICIENT!I45*L41)*J41*K41</f>
        <v>296000</v>
      </c>
      <c r="N41" s="189">
        <f t="shared" si="1"/>
        <v>1850</v>
      </c>
    </row>
    <row r="42" spans="1:16" s="180" customFormat="1" x14ac:dyDescent="0.15">
      <c r="A42" s="11">
        <f t="shared" si="0"/>
        <v>20040008</v>
      </c>
      <c r="B42" s="13">
        <v>2</v>
      </c>
      <c r="C42" s="12">
        <v>0</v>
      </c>
      <c r="D42" s="13">
        <v>4</v>
      </c>
      <c r="E42" s="13">
        <v>0</v>
      </c>
      <c r="F42" s="12">
        <v>8</v>
      </c>
      <c r="G42" s="55">
        <v>11000</v>
      </c>
      <c r="H42" s="55">
        <v>180</v>
      </c>
      <c r="I42" s="55">
        <v>0</v>
      </c>
      <c r="J42" s="55">
        <v>50</v>
      </c>
      <c r="K42" s="55">
        <v>42</v>
      </c>
      <c r="L42" s="10"/>
      <c r="M42" s="10">
        <f>(H42-ARITHMETIC_COEFFICIENT!I46*L42)*J42*K42</f>
        <v>378000</v>
      </c>
      <c r="N42" s="189">
        <f t="shared" si="1"/>
        <v>2100</v>
      </c>
    </row>
    <row r="43" spans="1:16" s="180" customFormat="1" x14ac:dyDescent="0.15">
      <c r="A43" s="11">
        <f t="shared" si="0"/>
        <v>20040009</v>
      </c>
      <c r="B43" s="13">
        <v>2</v>
      </c>
      <c r="C43" s="12">
        <v>0</v>
      </c>
      <c r="D43" s="13">
        <v>4</v>
      </c>
      <c r="E43" s="13">
        <v>0</v>
      </c>
      <c r="F43" s="12">
        <v>9</v>
      </c>
      <c r="G43" s="55">
        <v>11000</v>
      </c>
      <c r="H43" s="55">
        <v>200</v>
      </c>
      <c r="I43" s="55">
        <v>0</v>
      </c>
      <c r="J43" s="55">
        <v>50</v>
      </c>
      <c r="K43" s="55">
        <v>44</v>
      </c>
      <c r="L43" s="10"/>
      <c r="M43" s="10">
        <f>(H43-ARITHMETIC_COEFFICIENT!I47*L43)*J43*K43</f>
        <v>440000</v>
      </c>
      <c r="N43" s="189">
        <f t="shared" si="1"/>
        <v>2200</v>
      </c>
    </row>
    <row r="44" spans="1:16" s="180" customFormat="1" ht="17.25" thickBot="1" x14ac:dyDescent="0.2">
      <c r="A44" s="11">
        <f t="shared" si="0"/>
        <v>20040010</v>
      </c>
      <c r="B44" s="108">
        <v>2</v>
      </c>
      <c r="C44" s="12">
        <v>0</v>
      </c>
      <c r="D44" s="108">
        <v>4</v>
      </c>
      <c r="E44" s="108">
        <v>0</v>
      </c>
      <c r="F44" s="12">
        <v>10</v>
      </c>
      <c r="G44" s="55">
        <v>11000</v>
      </c>
      <c r="H44" s="55">
        <v>220</v>
      </c>
      <c r="I44" s="55">
        <v>0</v>
      </c>
      <c r="J44" s="55">
        <v>50</v>
      </c>
      <c r="K44" s="55">
        <v>49</v>
      </c>
      <c r="L44" s="10"/>
      <c r="M44" s="10">
        <f>(H44-ARITHMETIC_COEFFICIENT!I48*L44)*J44*K44</f>
        <v>539000</v>
      </c>
      <c r="N44" s="189">
        <f t="shared" si="1"/>
        <v>2450</v>
      </c>
    </row>
    <row r="45" spans="1:16" s="182" customFormat="1" x14ac:dyDescent="0.15">
      <c r="A45" s="18">
        <f t="shared" si="0"/>
        <v>20050001</v>
      </c>
      <c r="B45" s="20">
        <v>2</v>
      </c>
      <c r="C45" s="19">
        <v>0</v>
      </c>
      <c r="D45" s="20">
        <v>5</v>
      </c>
      <c r="E45" s="20">
        <v>0</v>
      </c>
      <c r="F45" s="19">
        <v>1</v>
      </c>
      <c r="G45" s="56">
        <v>17000</v>
      </c>
      <c r="H45" s="56">
        <v>40</v>
      </c>
      <c r="I45" s="56">
        <v>0</v>
      </c>
      <c r="J45" s="56">
        <v>50</v>
      </c>
      <c r="K45" s="56">
        <v>20</v>
      </c>
      <c r="L45" s="17"/>
      <c r="M45" s="17">
        <f>(H45-ARITHMETIC_COEFFICIENT!I49*L45)*J45*K45</f>
        <v>40000</v>
      </c>
      <c r="N45" s="191">
        <f t="shared" si="1"/>
        <v>1000</v>
      </c>
      <c r="O45" s="182">
        <f>AVERAGE(N45:N54)</f>
        <v>1960</v>
      </c>
      <c r="P45" s="182">
        <f>O45/10</f>
        <v>196</v>
      </c>
    </row>
    <row r="46" spans="1:16" s="180" customFormat="1" x14ac:dyDescent="0.15">
      <c r="A46" s="11">
        <f t="shared" si="0"/>
        <v>20050002</v>
      </c>
      <c r="B46" s="13">
        <v>2</v>
      </c>
      <c r="C46" s="12">
        <v>0</v>
      </c>
      <c r="D46" s="13">
        <v>5</v>
      </c>
      <c r="E46" s="13">
        <v>0</v>
      </c>
      <c r="F46" s="12">
        <v>2</v>
      </c>
      <c r="G46" s="55">
        <v>17000</v>
      </c>
      <c r="H46" s="55">
        <v>60</v>
      </c>
      <c r="I46" s="55">
        <v>0</v>
      </c>
      <c r="J46" s="55">
        <v>50</v>
      </c>
      <c r="K46" s="55">
        <v>24</v>
      </c>
      <c r="L46" s="10"/>
      <c r="M46" s="10">
        <f>(H46-ARITHMETIC_COEFFICIENT!I50*L46)*J46*K46</f>
        <v>72000</v>
      </c>
      <c r="N46" s="189">
        <f t="shared" si="1"/>
        <v>1200</v>
      </c>
    </row>
    <row r="47" spans="1:16" s="180" customFormat="1" x14ac:dyDescent="0.15">
      <c r="A47" s="11">
        <f t="shared" si="0"/>
        <v>20050003</v>
      </c>
      <c r="B47" s="13">
        <v>2</v>
      </c>
      <c r="C47" s="12">
        <v>0</v>
      </c>
      <c r="D47" s="13">
        <v>5</v>
      </c>
      <c r="E47" s="13">
        <v>0</v>
      </c>
      <c r="F47" s="12">
        <v>3</v>
      </c>
      <c r="G47" s="55">
        <v>17000</v>
      </c>
      <c r="H47" s="55">
        <v>80</v>
      </c>
      <c r="I47" s="55">
        <v>0</v>
      </c>
      <c r="J47" s="55">
        <v>50</v>
      </c>
      <c r="K47" s="55">
        <v>29</v>
      </c>
      <c r="L47" s="10"/>
      <c r="M47" s="10">
        <f>(H47-ARITHMETIC_COEFFICIENT!I51*L47)*J47*K47</f>
        <v>116000</v>
      </c>
      <c r="N47" s="189">
        <f t="shared" si="1"/>
        <v>1450</v>
      </c>
    </row>
    <row r="48" spans="1:16" s="180" customFormat="1" x14ac:dyDescent="0.15">
      <c r="A48" s="11">
        <f t="shared" si="0"/>
        <v>20050004</v>
      </c>
      <c r="B48" s="13">
        <v>2</v>
      </c>
      <c r="C48" s="12">
        <v>0</v>
      </c>
      <c r="D48" s="13">
        <v>5</v>
      </c>
      <c r="E48" s="13">
        <v>0</v>
      </c>
      <c r="F48" s="12">
        <v>4</v>
      </c>
      <c r="G48" s="55">
        <v>17000</v>
      </c>
      <c r="H48" s="55">
        <v>100</v>
      </c>
      <c r="I48" s="55">
        <v>0</v>
      </c>
      <c r="J48" s="55">
        <v>50</v>
      </c>
      <c r="K48" s="55">
        <v>34</v>
      </c>
      <c r="L48" s="10"/>
      <c r="M48" s="10">
        <f>(H48-ARITHMETIC_COEFFICIENT!I52*L48)*J48*K48</f>
        <v>170000</v>
      </c>
      <c r="N48" s="189">
        <f t="shared" si="1"/>
        <v>1700</v>
      </c>
    </row>
    <row r="49" spans="1:16" s="180" customFormat="1" x14ac:dyDescent="0.15">
      <c r="A49" s="11">
        <f t="shared" si="0"/>
        <v>20050005</v>
      </c>
      <c r="B49" s="13">
        <v>2</v>
      </c>
      <c r="C49" s="12">
        <v>0</v>
      </c>
      <c r="D49" s="13">
        <v>5</v>
      </c>
      <c r="E49" s="13">
        <v>0</v>
      </c>
      <c r="F49" s="12">
        <v>5</v>
      </c>
      <c r="G49" s="55">
        <v>17000</v>
      </c>
      <c r="H49" s="55">
        <v>120</v>
      </c>
      <c r="I49" s="55">
        <v>0</v>
      </c>
      <c r="J49" s="55">
        <v>50</v>
      </c>
      <c r="K49" s="55">
        <v>37</v>
      </c>
      <c r="L49" s="10"/>
      <c r="M49" s="10">
        <f>(H49-ARITHMETIC_COEFFICIENT!I53*L49)*J49*K49</f>
        <v>222000</v>
      </c>
      <c r="N49" s="189">
        <f t="shared" si="1"/>
        <v>1850</v>
      </c>
    </row>
    <row r="50" spans="1:16" s="180" customFormat="1" x14ac:dyDescent="0.15">
      <c r="A50" s="11">
        <f t="shared" si="0"/>
        <v>20050006</v>
      </c>
      <c r="B50" s="13">
        <v>2</v>
      </c>
      <c r="C50" s="12">
        <v>0</v>
      </c>
      <c r="D50" s="13">
        <v>5</v>
      </c>
      <c r="E50" s="13">
        <v>0</v>
      </c>
      <c r="F50" s="12">
        <v>6</v>
      </c>
      <c r="G50" s="55">
        <v>17000</v>
      </c>
      <c r="H50" s="55">
        <v>140</v>
      </c>
      <c r="I50" s="55">
        <v>0</v>
      </c>
      <c r="J50" s="55">
        <v>50</v>
      </c>
      <c r="K50" s="55">
        <v>42</v>
      </c>
      <c r="L50" s="10"/>
      <c r="M50" s="10">
        <f>(H50-ARITHMETIC_COEFFICIENT!I54*L50)*J50*K50</f>
        <v>294000</v>
      </c>
      <c r="N50" s="189">
        <f t="shared" si="1"/>
        <v>2100</v>
      </c>
    </row>
    <row r="51" spans="1:16" s="180" customFormat="1" x14ac:dyDescent="0.15">
      <c r="A51" s="11">
        <f t="shared" si="0"/>
        <v>20050007</v>
      </c>
      <c r="B51" s="13">
        <v>2</v>
      </c>
      <c r="C51" s="12">
        <v>0</v>
      </c>
      <c r="D51" s="13">
        <v>5</v>
      </c>
      <c r="E51" s="13">
        <v>0</v>
      </c>
      <c r="F51" s="12">
        <v>7</v>
      </c>
      <c r="G51" s="55">
        <v>17000</v>
      </c>
      <c r="H51" s="55">
        <v>160</v>
      </c>
      <c r="I51" s="55">
        <v>0</v>
      </c>
      <c r="J51" s="55">
        <v>50</v>
      </c>
      <c r="K51" s="55">
        <v>44</v>
      </c>
      <c r="L51" s="10"/>
      <c r="M51" s="10">
        <f>(H51-ARITHMETIC_COEFFICIENT!I55*L51)*J51*K51</f>
        <v>352000</v>
      </c>
      <c r="N51" s="189">
        <f t="shared" si="1"/>
        <v>2200</v>
      </c>
    </row>
    <row r="52" spans="1:16" s="180" customFormat="1" x14ac:dyDescent="0.15">
      <c r="A52" s="11">
        <f t="shared" si="0"/>
        <v>20050008</v>
      </c>
      <c r="B52" s="13">
        <v>2</v>
      </c>
      <c r="C52" s="12">
        <v>0</v>
      </c>
      <c r="D52" s="13">
        <v>5</v>
      </c>
      <c r="E52" s="13">
        <v>0</v>
      </c>
      <c r="F52" s="12">
        <v>8</v>
      </c>
      <c r="G52" s="55">
        <v>17000</v>
      </c>
      <c r="H52" s="55">
        <v>180</v>
      </c>
      <c r="I52" s="55">
        <v>0</v>
      </c>
      <c r="J52" s="55">
        <v>50</v>
      </c>
      <c r="K52" s="55">
        <v>50</v>
      </c>
      <c r="L52" s="10"/>
      <c r="M52" s="10">
        <f>(H52-ARITHMETIC_COEFFICIENT!I56*L52)*J52*K52</f>
        <v>450000</v>
      </c>
      <c r="N52" s="189">
        <f t="shared" si="1"/>
        <v>2500</v>
      </c>
    </row>
    <row r="53" spans="1:16" s="180" customFormat="1" x14ac:dyDescent="0.15">
      <c r="A53" s="11">
        <f t="shared" si="0"/>
        <v>20050009</v>
      </c>
      <c r="B53" s="13">
        <v>2</v>
      </c>
      <c r="C53" s="12">
        <v>0</v>
      </c>
      <c r="D53" s="13">
        <v>5</v>
      </c>
      <c r="E53" s="13">
        <v>0</v>
      </c>
      <c r="F53" s="12">
        <v>9</v>
      </c>
      <c r="G53" s="55">
        <v>17000</v>
      </c>
      <c r="H53" s="55">
        <v>200</v>
      </c>
      <c r="I53" s="55">
        <v>0</v>
      </c>
      <c r="J53" s="55">
        <v>50</v>
      </c>
      <c r="K53" s="55">
        <v>53</v>
      </c>
      <c r="L53" s="10"/>
      <c r="M53" s="10">
        <f>(H53-ARITHMETIC_COEFFICIENT!I57*L53)*J53*K53</f>
        <v>530000</v>
      </c>
      <c r="N53" s="189">
        <f t="shared" si="1"/>
        <v>2650</v>
      </c>
    </row>
    <row r="54" spans="1:16" s="180" customFormat="1" ht="17.25" thickBot="1" x14ac:dyDescent="0.2">
      <c r="A54" s="11">
        <f t="shared" si="0"/>
        <v>20050010</v>
      </c>
      <c r="B54" s="108">
        <v>2</v>
      </c>
      <c r="C54" s="12">
        <v>0</v>
      </c>
      <c r="D54" s="108">
        <v>5</v>
      </c>
      <c r="E54" s="108">
        <v>0</v>
      </c>
      <c r="F54" s="12">
        <v>10</v>
      </c>
      <c r="G54" s="55">
        <v>17000</v>
      </c>
      <c r="H54" s="55">
        <v>220</v>
      </c>
      <c r="I54" s="55">
        <v>0</v>
      </c>
      <c r="J54" s="55">
        <v>50</v>
      </c>
      <c r="K54" s="55">
        <v>59</v>
      </c>
      <c r="L54" s="10"/>
      <c r="M54" s="10">
        <f>(H54-ARITHMETIC_COEFFICIENT!I58*L54)*J54*K54</f>
        <v>649000</v>
      </c>
      <c r="N54" s="189">
        <f t="shared" si="1"/>
        <v>2950</v>
      </c>
    </row>
    <row r="55" spans="1:16" s="182" customFormat="1" x14ac:dyDescent="0.15">
      <c r="A55" s="18">
        <f t="shared" si="0"/>
        <v>20060001</v>
      </c>
      <c r="B55" s="20">
        <v>2</v>
      </c>
      <c r="C55" s="19">
        <v>0</v>
      </c>
      <c r="D55" s="20">
        <v>6</v>
      </c>
      <c r="E55" s="20">
        <v>0</v>
      </c>
      <c r="F55" s="19">
        <v>1</v>
      </c>
      <c r="G55" s="56">
        <v>40000</v>
      </c>
      <c r="H55" s="56">
        <v>40</v>
      </c>
      <c r="I55" s="56">
        <v>0</v>
      </c>
      <c r="J55" s="56">
        <v>50</v>
      </c>
      <c r="K55" s="56">
        <v>24</v>
      </c>
      <c r="L55" s="17"/>
      <c r="M55" s="17">
        <f>(H55-ARITHMETIC_COEFFICIENT!I59*L55)*J55*K55</f>
        <v>48000</v>
      </c>
      <c r="N55" s="191">
        <f t="shared" si="1"/>
        <v>1200</v>
      </c>
      <c r="O55" s="182">
        <f>AVERAGE(N55:N64)</f>
        <v>2355</v>
      </c>
      <c r="P55" s="182">
        <f>O55/10</f>
        <v>235.5</v>
      </c>
    </row>
    <row r="56" spans="1:16" s="180" customFormat="1" x14ac:dyDescent="0.15">
      <c r="A56" s="11">
        <f t="shared" si="0"/>
        <v>20060002</v>
      </c>
      <c r="B56" s="13">
        <v>2</v>
      </c>
      <c r="C56" s="12">
        <v>0</v>
      </c>
      <c r="D56" s="13">
        <v>6</v>
      </c>
      <c r="E56" s="13">
        <v>0</v>
      </c>
      <c r="F56" s="12">
        <v>2</v>
      </c>
      <c r="G56" s="55">
        <v>40000</v>
      </c>
      <c r="H56" s="55">
        <v>60</v>
      </c>
      <c r="I56" s="55">
        <v>0</v>
      </c>
      <c r="J56" s="55">
        <v>50</v>
      </c>
      <c r="K56" s="55">
        <v>29</v>
      </c>
      <c r="L56" s="10"/>
      <c r="M56" s="10">
        <f>(H56-ARITHMETIC_COEFFICIENT!I60*L56)*J56*K56</f>
        <v>87000</v>
      </c>
      <c r="N56" s="189">
        <f t="shared" si="1"/>
        <v>1450</v>
      </c>
    </row>
    <row r="57" spans="1:16" s="180" customFormat="1" x14ac:dyDescent="0.15">
      <c r="A57" s="11">
        <f t="shared" si="0"/>
        <v>20060003</v>
      </c>
      <c r="B57" s="13">
        <v>2</v>
      </c>
      <c r="C57" s="12">
        <v>0</v>
      </c>
      <c r="D57" s="13">
        <v>6</v>
      </c>
      <c r="E57" s="13">
        <v>0</v>
      </c>
      <c r="F57" s="12">
        <v>3</v>
      </c>
      <c r="G57" s="55">
        <v>40000</v>
      </c>
      <c r="H57" s="55">
        <v>80</v>
      </c>
      <c r="I57" s="55">
        <v>0</v>
      </c>
      <c r="J57" s="55">
        <v>50</v>
      </c>
      <c r="K57" s="55">
        <v>35</v>
      </c>
      <c r="L57" s="10"/>
      <c r="M57" s="10">
        <f>(H57-ARITHMETIC_COEFFICIENT!I61*L57)*J57*K57</f>
        <v>140000</v>
      </c>
      <c r="N57" s="189">
        <f t="shared" si="1"/>
        <v>1750</v>
      </c>
    </row>
    <row r="58" spans="1:16" s="180" customFormat="1" x14ac:dyDescent="0.15">
      <c r="A58" s="11">
        <f t="shared" si="0"/>
        <v>20060004</v>
      </c>
      <c r="B58" s="13">
        <v>2</v>
      </c>
      <c r="C58" s="12">
        <v>0</v>
      </c>
      <c r="D58" s="13">
        <v>6</v>
      </c>
      <c r="E58" s="13">
        <v>0</v>
      </c>
      <c r="F58" s="12">
        <v>4</v>
      </c>
      <c r="G58" s="55">
        <v>40000</v>
      </c>
      <c r="H58" s="55">
        <v>100</v>
      </c>
      <c r="I58" s="55">
        <v>0</v>
      </c>
      <c r="J58" s="55">
        <v>50</v>
      </c>
      <c r="K58" s="55">
        <v>41</v>
      </c>
      <c r="L58" s="10"/>
      <c r="M58" s="10">
        <f>(H58-ARITHMETIC_COEFFICIENT!I62*L58)*J58*K58</f>
        <v>205000</v>
      </c>
      <c r="N58" s="189">
        <f t="shared" si="1"/>
        <v>2050</v>
      </c>
    </row>
    <row r="59" spans="1:16" s="180" customFormat="1" x14ac:dyDescent="0.15">
      <c r="A59" s="11">
        <f t="shared" si="0"/>
        <v>20060005</v>
      </c>
      <c r="B59" s="13">
        <v>2</v>
      </c>
      <c r="C59" s="12">
        <v>0</v>
      </c>
      <c r="D59" s="13">
        <v>6</v>
      </c>
      <c r="E59" s="13">
        <v>0</v>
      </c>
      <c r="F59" s="12">
        <v>5</v>
      </c>
      <c r="G59" s="55">
        <v>40000</v>
      </c>
      <c r="H59" s="55">
        <v>120</v>
      </c>
      <c r="I59" s="55">
        <v>0</v>
      </c>
      <c r="J59" s="55">
        <v>50</v>
      </c>
      <c r="K59" s="55">
        <v>44</v>
      </c>
      <c r="L59" s="10"/>
      <c r="M59" s="10">
        <f>(H59-ARITHMETIC_COEFFICIENT!I63*L59)*J59*K59</f>
        <v>264000</v>
      </c>
      <c r="N59" s="189">
        <f t="shared" si="1"/>
        <v>2200</v>
      </c>
    </row>
    <row r="60" spans="1:16" s="180" customFormat="1" x14ac:dyDescent="0.15">
      <c r="A60" s="11">
        <f t="shared" si="0"/>
        <v>20060006</v>
      </c>
      <c r="B60" s="13">
        <v>2</v>
      </c>
      <c r="C60" s="12">
        <v>0</v>
      </c>
      <c r="D60" s="13">
        <v>6</v>
      </c>
      <c r="E60" s="13">
        <v>0</v>
      </c>
      <c r="F60" s="12">
        <v>6</v>
      </c>
      <c r="G60" s="55">
        <v>40000</v>
      </c>
      <c r="H60" s="55">
        <v>140</v>
      </c>
      <c r="I60" s="55">
        <v>0</v>
      </c>
      <c r="J60" s="55">
        <v>50</v>
      </c>
      <c r="K60" s="55">
        <v>50</v>
      </c>
      <c r="L60" s="10"/>
      <c r="M60" s="10">
        <f>(H60-ARITHMETIC_COEFFICIENT!I64*L60)*J60*K60</f>
        <v>350000</v>
      </c>
      <c r="N60" s="189">
        <f t="shared" si="1"/>
        <v>2500</v>
      </c>
    </row>
    <row r="61" spans="1:16" s="180" customFormat="1" x14ac:dyDescent="0.15">
      <c r="A61" s="11">
        <f t="shared" si="0"/>
        <v>20060007</v>
      </c>
      <c r="B61" s="13">
        <v>2</v>
      </c>
      <c r="C61" s="12">
        <v>0</v>
      </c>
      <c r="D61" s="13">
        <v>6</v>
      </c>
      <c r="E61" s="13">
        <v>0</v>
      </c>
      <c r="F61" s="12">
        <v>7</v>
      </c>
      <c r="G61" s="55">
        <v>40000</v>
      </c>
      <c r="H61" s="55">
        <v>160</v>
      </c>
      <c r="I61" s="55">
        <v>0</v>
      </c>
      <c r="J61" s="55">
        <v>50</v>
      </c>
      <c r="K61" s="55">
        <v>53</v>
      </c>
      <c r="L61" s="10"/>
      <c r="M61" s="10">
        <f>(H61-ARITHMETIC_COEFFICIENT!I65*L61)*J61*K61</f>
        <v>424000</v>
      </c>
      <c r="N61" s="189">
        <f t="shared" si="1"/>
        <v>2650</v>
      </c>
    </row>
    <row r="62" spans="1:16" s="180" customFormat="1" x14ac:dyDescent="0.15">
      <c r="A62" s="11">
        <f t="shared" si="0"/>
        <v>20060008</v>
      </c>
      <c r="B62" s="13">
        <v>2</v>
      </c>
      <c r="C62" s="12">
        <v>0</v>
      </c>
      <c r="D62" s="13">
        <v>6</v>
      </c>
      <c r="E62" s="13">
        <v>0</v>
      </c>
      <c r="F62" s="12">
        <v>8</v>
      </c>
      <c r="G62" s="55">
        <v>40000</v>
      </c>
      <c r="H62" s="55">
        <v>180</v>
      </c>
      <c r="I62" s="55">
        <v>0</v>
      </c>
      <c r="J62" s="55">
        <v>50</v>
      </c>
      <c r="K62" s="55">
        <v>60</v>
      </c>
      <c r="L62" s="10"/>
      <c r="M62" s="10">
        <f>(H62-ARITHMETIC_COEFFICIENT!I66*L62)*J62*K62</f>
        <v>540000</v>
      </c>
      <c r="N62" s="189">
        <f t="shared" si="1"/>
        <v>3000</v>
      </c>
    </row>
    <row r="63" spans="1:16" s="180" customFormat="1" x14ac:dyDescent="0.15">
      <c r="A63" s="11">
        <f t="shared" si="0"/>
        <v>20060009</v>
      </c>
      <c r="B63" s="13">
        <v>2</v>
      </c>
      <c r="C63" s="12">
        <v>0</v>
      </c>
      <c r="D63" s="13">
        <v>6</v>
      </c>
      <c r="E63" s="13">
        <v>0</v>
      </c>
      <c r="F63" s="12">
        <v>9</v>
      </c>
      <c r="G63" s="55">
        <v>40000</v>
      </c>
      <c r="H63" s="55">
        <v>200</v>
      </c>
      <c r="I63" s="55">
        <v>0</v>
      </c>
      <c r="J63" s="55">
        <v>50</v>
      </c>
      <c r="K63" s="55">
        <v>64</v>
      </c>
      <c r="L63" s="10"/>
      <c r="M63" s="10">
        <f>(H63-ARITHMETIC_COEFFICIENT!I67*L63)*J63*K63</f>
        <v>640000</v>
      </c>
      <c r="N63" s="189">
        <f t="shared" si="1"/>
        <v>3200</v>
      </c>
    </row>
    <row r="64" spans="1:16" s="180" customFormat="1" ht="17.25" thickBot="1" x14ac:dyDescent="0.2">
      <c r="A64" s="11">
        <f t="shared" si="0"/>
        <v>20060010</v>
      </c>
      <c r="B64" s="108">
        <v>2</v>
      </c>
      <c r="C64" s="12">
        <v>0</v>
      </c>
      <c r="D64" s="108">
        <v>6</v>
      </c>
      <c r="E64" s="108">
        <v>0</v>
      </c>
      <c r="F64" s="12">
        <v>10</v>
      </c>
      <c r="G64" s="55">
        <v>40000</v>
      </c>
      <c r="H64" s="55">
        <v>220</v>
      </c>
      <c r="I64" s="55">
        <v>0</v>
      </c>
      <c r="J64" s="55">
        <v>50</v>
      </c>
      <c r="K64" s="55">
        <v>71</v>
      </c>
      <c r="L64" s="10"/>
      <c r="M64" s="10">
        <f>(H64-ARITHMETIC_COEFFICIENT!I68*L64)*J64*K64</f>
        <v>781000</v>
      </c>
      <c r="N64" s="189">
        <f t="shared" si="1"/>
        <v>3550</v>
      </c>
    </row>
    <row r="65" spans="1:16" s="182" customFormat="1" x14ac:dyDescent="0.15">
      <c r="A65" s="18">
        <f t="shared" si="0"/>
        <v>20070001</v>
      </c>
      <c r="B65" s="20">
        <v>2</v>
      </c>
      <c r="C65" s="19">
        <v>0</v>
      </c>
      <c r="D65" s="20">
        <v>7</v>
      </c>
      <c r="E65" s="20">
        <v>0</v>
      </c>
      <c r="F65" s="19">
        <v>1</v>
      </c>
      <c r="G65" s="56">
        <v>100000</v>
      </c>
      <c r="H65" s="56">
        <v>40</v>
      </c>
      <c r="I65" s="56">
        <v>0</v>
      </c>
      <c r="J65" s="56">
        <v>50</v>
      </c>
      <c r="K65" s="56">
        <v>29</v>
      </c>
      <c r="L65" s="17"/>
      <c r="M65" s="17">
        <f>(H65-ARITHMETIC_COEFFICIENT!I69*L65)*J65*K65</f>
        <v>58000</v>
      </c>
      <c r="N65" s="191">
        <f t="shared" si="1"/>
        <v>1450</v>
      </c>
      <c r="O65" s="182">
        <f>AVERAGE(N65:N74)</f>
        <v>2830</v>
      </c>
      <c r="P65" s="182">
        <f>O65/10</f>
        <v>283</v>
      </c>
    </row>
    <row r="66" spans="1:16" s="180" customFormat="1" x14ac:dyDescent="0.15">
      <c r="A66" s="11">
        <f t="shared" si="0"/>
        <v>20070002</v>
      </c>
      <c r="B66" s="13">
        <v>2</v>
      </c>
      <c r="C66" s="12">
        <v>0</v>
      </c>
      <c r="D66" s="13">
        <v>7</v>
      </c>
      <c r="E66" s="13">
        <v>0</v>
      </c>
      <c r="F66" s="12">
        <v>2</v>
      </c>
      <c r="G66" s="55">
        <v>100000</v>
      </c>
      <c r="H66" s="55">
        <v>60</v>
      </c>
      <c r="I66" s="55">
        <v>0</v>
      </c>
      <c r="J66" s="55">
        <v>50</v>
      </c>
      <c r="K66" s="55">
        <v>35</v>
      </c>
      <c r="L66" s="10"/>
      <c r="M66" s="10">
        <f>(H66-ARITHMETIC_COEFFICIENT!I70*L66)*J66*K66</f>
        <v>105000</v>
      </c>
      <c r="N66" s="189">
        <f t="shared" si="1"/>
        <v>1750</v>
      </c>
    </row>
    <row r="67" spans="1:16" s="180" customFormat="1" x14ac:dyDescent="0.15">
      <c r="A67" s="11">
        <f t="shared" si="0"/>
        <v>20070003</v>
      </c>
      <c r="B67" s="13">
        <v>2</v>
      </c>
      <c r="C67" s="12">
        <v>0</v>
      </c>
      <c r="D67" s="13">
        <v>7</v>
      </c>
      <c r="E67" s="13">
        <v>0</v>
      </c>
      <c r="F67" s="12">
        <v>3</v>
      </c>
      <c r="G67" s="55">
        <v>100000</v>
      </c>
      <c r="H67" s="55">
        <v>80</v>
      </c>
      <c r="I67" s="55">
        <v>0</v>
      </c>
      <c r="J67" s="55">
        <v>50</v>
      </c>
      <c r="K67" s="55">
        <v>42</v>
      </c>
      <c r="L67" s="10"/>
      <c r="M67" s="10">
        <f>(H67-ARITHMETIC_COEFFICIENT!I71*L67)*J67*K67</f>
        <v>168000</v>
      </c>
      <c r="N67" s="189">
        <f t="shared" si="1"/>
        <v>2100</v>
      </c>
    </row>
    <row r="68" spans="1:16" s="180" customFormat="1" x14ac:dyDescent="0.15">
      <c r="A68" s="11">
        <f t="shared" si="0"/>
        <v>20070004</v>
      </c>
      <c r="B68" s="13">
        <v>2</v>
      </c>
      <c r="C68" s="12">
        <v>0</v>
      </c>
      <c r="D68" s="13">
        <v>7</v>
      </c>
      <c r="E68" s="13">
        <v>0</v>
      </c>
      <c r="F68" s="12">
        <v>4</v>
      </c>
      <c r="G68" s="55">
        <v>100000</v>
      </c>
      <c r="H68" s="55">
        <v>100</v>
      </c>
      <c r="I68" s="55">
        <v>0</v>
      </c>
      <c r="J68" s="55">
        <v>50</v>
      </c>
      <c r="K68" s="55">
        <v>49</v>
      </c>
      <c r="L68" s="10"/>
      <c r="M68" s="10">
        <f>(H68-ARITHMETIC_COEFFICIENT!I72*L68)*J68*K68</f>
        <v>245000</v>
      </c>
      <c r="N68" s="189">
        <f t="shared" si="1"/>
        <v>2450</v>
      </c>
    </row>
    <row r="69" spans="1:16" s="180" customFormat="1" x14ac:dyDescent="0.15">
      <c r="A69" s="11">
        <f t="shared" si="0"/>
        <v>20070005</v>
      </c>
      <c r="B69" s="13">
        <v>2</v>
      </c>
      <c r="C69" s="12">
        <v>0</v>
      </c>
      <c r="D69" s="13">
        <v>7</v>
      </c>
      <c r="E69" s="13">
        <v>0</v>
      </c>
      <c r="F69" s="12">
        <v>5</v>
      </c>
      <c r="G69" s="55">
        <v>100000</v>
      </c>
      <c r="H69" s="55">
        <v>120</v>
      </c>
      <c r="I69" s="55">
        <v>0</v>
      </c>
      <c r="J69" s="55">
        <v>50</v>
      </c>
      <c r="K69" s="55">
        <v>53</v>
      </c>
      <c r="L69" s="10"/>
      <c r="M69" s="10">
        <f>(H69-ARITHMETIC_COEFFICIENT!I73*L69)*J69*K69</f>
        <v>318000</v>
      </c>
      <c r="N69" s="189">
        <f t="shared" si="1"/>
        <v>2650</v>
      </c>
    </row>
    <row r="70" spans="1:16" s="180" customFormat="1" x14ac:dyDescent="0.15">
      <c r="A70" s="11">
        <f t="shared" ref="A70:A133" si="2">B70*10000000+C70*1000000+D70*10000+E70*100+F70</f>
        <v>20070006</v>
      </c>
      <c r="B70" s="13">
        <v>2</v>
      </c>
      <c r="C70" s="12">
        <v>0</v>
      </c>
      <c r="D70" s="13">
        <v>7</v>
      </c>
      <c r="E70" s="13">
        <v>0</v>
      </c>
      <c r="F70" s="12">
        <v>6</v>
      </c>
      <c r="G70" s="55">
        <v>100000</v>
      </c>
      <c r="H70" s="55">
        <v>140</v>
      </c>
      <c r="I70" s="55">
        <v>0</v>
      </c>
      <c r="J70" s="55">
        <v>50</v>
      </c>
      <c r="K70" s="55">
        <v>60</v>
      </c>
      <c r="L70" s="10"/>
      <c r="M70" s="10">
        <f>(H70-ARITHMETIC_COEFFICIENT!I74*L70)*J70*K70</f>
        <v>420000</v>
      </c>
      <c r="N70" s="189">
        <f t="shared" ref="N70:N133" si="3">J70*K70</f>
        <v>3000</v>
      </c>
    </row>
    <row r="71" spans="1:16" s="180" customFormat="1" x14ac:dyDescent="0.15">
      <c r="A71" s="11">
        <f t="shared" si="2"/>
        <v>20070007</v>
      </c>
      <c r="B71" s="13">
        <v>2</v>
      </c>
      <c r="C71" s="12">
        <v>0</v>
      </c>
      <c r="D71" s="13">
        <v>7</v>
      </c>
      <c r="E71" s="13">
        <v>0</v>
      </c>
      <c r="F71" s="12">
        <v>7</v>
      </c>
      <c r="G71" s="55">
        <v>100000</v>
      </c>
      <c r="H71" s="55">
        <v>160</v>
      </c>
      <c r="I71" s="55">
        <v>0</v>
      </c>
      <c r="J71" s="55">
        <v>50</v>
      </c>
      <c r="K71" s="55">
        <v>64</v>
      </c>
      <c r="L71" s="10"/>
      <c r="M71" s="10">
        <f>(H71-ARITHMETIC_COEFFICIENT!I75*L71)*J71*K71</f>
        <v>512000</v>
      </c>
      <c r="N71" s="189">
        <f t="shared" si="3"/>
        <v>3200</v>
      </c>
    </row>
    <row r="72" spans="1:16" s="180" customFormat="1" x14ac:dyDescent="0.15">
      <c r="A72" s="11">
        <f t="shared" si="2"/>
        <v>20070008</v>
      </c>
      <c r="B72" s="13">
        <v>2</v>
      </c>
      <c r="C72" s="12">
        <v>0</v>
      </c>
      <c r="D72" s="13">
        <v>7</v>
      </c>
      <c r="E72" s="13">
        <v>0</v>
      </c>
      <c r="F72" s="12">
        <v>8</v>
      </c>
      <c r="G72" s="55">
        <v>100000</v>
      </c>
      <c r="H72" s="55">
        <v>180</v>
      </c>
      <c r="I72" s="55">
        <v>0</v>
      </c>
      <c r="J72" s="55">
        <v>50</v>
      </c>
      <c r="K72" s="55">
        <v>72</v>
      </c>
      <c r="L72" s="10"/>
      <c r="M72" s="10">
        <f>(H72-ARITHMETIC_COEFFICIENT!I76*L72)*J72*K72</f>
        <v>648000</v>
      </c>
      <c r="N72" s="189">
        <f t="shared" si="3"/>
        <v>3600</v>
      </c>
    </row>
    <row r="73" spans="1:16" s="180" customFormat="1" x14ac:dyDescent="0.15">
      <c r="A73" s="11">
        <f t="shared" si="2"/>
        <v>20070009</v>
      </c>
      <c r="B73" s="13">
        <v>2</v>
      </c>
      <c r="C73" s="12">
        <v>0</v>
      </c>
      <c r="D73" s="13">
        <v>7</v>
      </c>
      <c r="E73" s="13">
        <v>0</v>
      </c>
      <c r="F73" s="12">
        <v>9</v>
      </c>
      <c r="G73" s="55">
        <v>100000</v>
      </c>
      <c r="H73" s="55">
        <v>200</v>
      </c>
      <c r="I73" s="55">
        <v>0</v>
      </c>
      <c r="J73" s="55">
        <v>50</v>
      </c>
      <c r="K73" s="55">
        <v>77</v>
      </c>
      <c r="L73" s="10"/>
      <c r="M73" s="10">
        <f>(H73-ARITHMETIC_COEFFICIENT!I77*L73)*J73*K73</f>
        <v>770000</v>
      </c>
      <c r="N73" s="189">
        <f t="shared" si="3"/>
        <v>3850</v>
      </c>
    </row>
    <row r="74" spans="1:16" s="180" customFormat="1" ht="17.25" thickBot="1" x14ac:dyDescent="0.2">
      <c r="A74" s="11">
        <f t="shared" si="2"/>
        <v>20070010</v>
      </c>
      <c r="B74" s="108">
        <v>2</v>
      </c>
      <c r="C74" s="12">
        <v>0</v>
      </c>
      <c r="D74" s="108">
        <v>7</v>
      </c>
      <c r="E74" s="108">
        <v>0</v>
      </c>
      <c r="F74" s="12">
        <v>10</v>
      </c>
      <c r="G74" s="55">
        <v>100000</v>
      </c>
      <c r="H74" s="55">
        <v>220</v>
      </c>
      <c r="I74" s="55">
        <v>0</v>
      </c>
      <c r="J74" s="55">
        <v>50</v>
      </c>
      <c r="K74" s="55">
        <v>85</v>
      </c>
      <c r="L74" s="10"/>
      <c r="M74" s="10">
        <f>(H74-ARITHMETIC_COEFFICIENT!I78*L74)*J74*K74</f>
        <v>935000</v>
      </c>
      <c r="N74" s="189">
        <f t="shared" si="3"/>
        <v>4250</v>
      </c>
    </row>
    <row r="75" spans="1:16" s="182" customFormat="1" x14ac:dyDescent="0.15">
      <c r="A75" s="18">
        <f t="shared" si="2"/>
        <v>20080001</v>
      </c>
      <c r="B75" s="20">
        <v>2</v>
      </c>
      <c r="C75" s="19">
        <v>0</v>
      </c>
      <c r="D75" s="20">
        <v>8</v>
      </c>
      <c r="E75" s="20">
        <v>0</v>
      </c>
      <c r="F75" s="19">
        <v>1</v>
      </c>
      <c r="G75" s="56">
        <v>300000</v>
      </c>
      <c r="H75" s="56">
        <v>40</v>
      </c>
      <c r="I75" s="56">
        <v>0</v>
      </c>
      <c r="J75" s="56">
        <v>50</v>
      </c>
      <c r="K75" s="56">
        <v>35</v>
      </c>
      <c r="L75" s="17"/>
      <c r="M75" s="17">
        <f>(H75-ARITHMETIC_COEFFICIENT!I79*L75)*J75*K75</f>
        <v>70000</v>
      </c>
      <c r="N75" s="191">
        <f t="shared" si="3"/>
        <v>1750</v>
      </c>
      <c r="O75" s="182">
        <f>AVERAGE(N75:N84)</f>
        <v>3395</v>
      </c>
      <c r="P75" s="182">
        <f>O75/10</f>
        <v>339.5</v>
      </c>
    </row>
    <row r="76" spans="1:16" s="180" customFormat="1" x14ac:dyDescent="0.15">
      <c r="A76" s="11">
        <f t="shared" si="2"/>
        <v>20080002</v>
      </c>
      <c r="B76" s="13">
        <v>2</v>
      </c>
      <c r="C76" s="12">
        <v>0</v>
      </c>
      <c r="D76" s="13">
        <v>8</v>
      </c>
      <c r="E76" s="13">
        <v>0</v>
      </c>
      <c r="F76" s="12">
        <v>2</v>
      </c>
      <c r="G76" s="55">
        <v>300000</v>
      </c>
      <c r="H76" s="55">
        <v>60</v>
      </c>
      <c r="I76" s="55">
        <v>0</v>
      </c>
      <c r="J76" s="55">
        <v>50</v>
      </c>
      <c r="K76" s="55">
        <v>42</v>
      </c>
      <c r="L76" s="10"/>
      <c r="M76" s="10">
        <f>(H76-ARITHMETIC_COEFFICIENT!I80*L76)*J76*K76</f>
        <v>126000</v>
      </c>
      <c r="N76" s="189">
        <f t="shared" si="3"/>
        <v>2100</v>
      </c>
    </row>
    <row r="77" spans="1:16" s="180" customFormat="1" x14ac:dyDescent="0.15">
      <c r="A77" s="11">
        <f t="shared" si="2"/>
        <v>20080003</v>
      </c>
      <c r="B77" s="13">
        <v>2</v>
      </c>
      <c r="C77" s="12">
        <v>0</v>
      </c>
      <c r="D77" s="13">
        <v>8</v>
      </c>
      <c r="E77" s="13">
        <v>0</v>
      </c>
      <c r="F77" s="12">
        <v>3</v>
      </c>
      <c r="G77" s="55">
        <v>300000</v>
      </c>
      <c r="H77" s="55">
        <v>80</v>
      </c>
      <c r="I77" s="55">
        <v>0</v>
      </c>
      <c r="J77" s="55">
        <v>50</v>
      </c>
      <c r="K77" s="55">
        <v>50</v>
      </c>
      <c r="L77" s="10"/>
      <c r="M77" s="10">
        <f>(H77-ARITHMETIC_COEFFICIENT!I81*L77)*J77*K77</f>
        <v>200000</v>
      </c>
      <c r="N77" s="189">
        <f t="shared" si="3"/>
        <v>2500</v>
      </c>
    </row>
    <row r="78" spans="1:16" s="180" customFormat="1" x14ac:dyDescent="0.15">
      <c r="A78" s="11">
        <f t="shared" si="2"/>
        <v>20080004</v>
      </c>
      <c r="B78" s="13">
        <v>2</v>
      </c>
      <c r="C78" s="12">
        <v>0</v>
      </c>
      <c r="D78" s="13">
        <v>8</v>
      </c>
      <c r="E78" s="13">
        <v>0</v>
      </c>
      <c r="F78" s="12">
        <v>4</v>
      </c>
      <c r="G78" s="55">
        <v>300000</v>
      </c>
      <c r="H78" s="55">
        <v>100</v>
      </c>
      <c r="I78" s="55">
        <v>0</v>
      </c>
      <c r="J78" s="55">
        <v>50</v>
      </c>
      <c r="K78" s="55">
        <v>59</v>
      </c>
      <c r="L78" s="10"/>
      <c r="M78" s="10">
        <f>(H78-ARITHMETIC_COEFFICIENT!I82*L78)*J78*K78</f>
        <v>295000</v>
      </c>
      <c r="N78" s="189">
        <f t="shared" si="3"/>
        <v>2950</v>
      </c>
    </row>
    <row r="79" spans="1:16" s="180" customFormat="1" x14ac:dyDescent="0.15">
      <c r="A79" s="11">
        <f t="shared" si="2"/>
        <v>20080005</v>
      </c>
      <c r="B79" s="13">
        <v>2</v>
      </c>
      <c r="C79" s="12">
        <v>0</v>
      </c>
      <c r="D79" s="13">
        <v>8</v>
      </c>
      <c r="E79" s="13">
        <v>0</v>
      </c>
      <c r="F79" s="12">
        <v>5</v>
      </c>
      <c r="G79" s="55">
        <v>300000</v>
      </c>
      <c r="H79" s="55">
        <v>120</v>
      </c>
      <c r="I79" s="55">
        <v>0</v>
      </c>
      <c r="J79" s="55">
        <v>50</v>
      </c>
      <c r="K79" s="55">
        <v>64</v>
      </c>
      <c r="L79" s="10"/>
      <c r="M79" s="10">
        <f>(H79-ARITHMETIC_COEFFICIENT!I83*L79)*J79*K79</f>
        <v>384000</v>
      </c>
      <c r="N79" s="189">
        <f t="shared" si="3"/>
        <v>3200</v>
      </c>
    </row>
    <row r="80" spans="1:16" s="180" customFormat="1" x14ac:dyDescent="0.15">
      <c r="A80" s="11">
        <f t="shared" si="2"/>
        <v>20080006</v>
      </c>
      <c r="B80" s="13">
        <v>2</v>
      </c>
      <c r="C80" s="12">
        <v>0</v>
      </c>
      <c r="D80" s="13">
        <v>8</v>
      </c>
      <c r="E80" s="13">
        <v>0</v>
      </c>
      <c r="F80" s="12">
        <v>6</v>
      </c>
      <c r="G80" s="55">
        <v>300000</v>
      </c>
      <c r="H80" s="55">
        <v>140</v>
      </c>
      <c r="I80" s="55">
        <v>0</v>
      </c>
      <c r="J80" s="55">
        <v>50</v>
      </c>
      <c r="K80" s="55">
        <v>72</v>
      </c>
      <c r="L80" s="10"/>
      <c r="M80" s="10">
        <f>(H80-ARITHMETIC_COEFFICIENT!I84*L80)*J80*K80</f>
        <v>504000</v>
      </c>
      <c r="N80" s="189">
        <f t="shared" si="3"/>
        <v>3600</v>
      </c>
    </row>
    <row r="81" spans="1:16" s="180" customFormat="1" x14ac:dyDescent="0.15">
      <c r="A81" s="11">
        <f t="shared" si="2"/>
        <v>20080007</v>
      </c>
      <c r="B81" s="13">
        <v>2</v>
      </c>
      <c r="C81" s="12">
        <v>0</v>
      </c>
      <c r="D81" s="13">
        <v>8</v>
      </c>
      <c r="E81" s="13">
        <v>0</v>
      </c>
      <c r="F81" s="12">
        <v>7</v>
      </c>
      <c r="G81" s="55">
        <v>300000</v>
      </c>
      <c r="H81" s="55">
        <v>160</v>
      </c>
      <c r="I81" s="55">
        <v>0</v>
      </c>
      <c r="J81" s="55">
        <v>50</v>
      </c>
      <c r="K81" s="55">
        <v>77</v>
      </c>
      <c r="L81" s="10"/>
      <c r="M81" s="10">
        <f>(H81-ARITHMETIC_COEFFICIENT!I85*L81)*J81*K81</f>
        <v>616000</v>
      </c>
      <c r="N81" s="189">
        <f t="shared" si="3"/>
        <v>3850</v>
      </c>
    </row>
    <row r="82" spans="1:16" s="180" customFormat="1" x14ac:dyDescent="0.15">
      <c r="A82" s="11">
        <f t="shared" si="2"/>
        <v>20080008</v>
      </c>
      <c r="B82" s="13">
        <v>2</v>
      </c>
      <c r="C82" s="12">
        <v>0</v>
      </c>
      <c r="D82" s="13">
        <v>8</v>
      </c>
      <c r="E82" s="13">
        <v>0</v>
      </c>
      <c r="F82" s="12">
        <v>8</v>
      </c>
      <c r="G82" s="55">
        <v>300000</v>
      </c>
      <c r="H82" s="55">
        <v>180</v>
      </c>
      <c r="I82" s="55">
        <v>0</v>
      </c>
      <c r="J82" s="55">
        <v>50</v>
      </c>
      <c r="K82" s="55">
        <v>86</v>
      </c>
      <c r="L82" s="10"/>
      <c r="M82" s="10">
        <f>(H82-ARITHMETIC_COEFFICIENT!I86*L82)*J82*K82</f>
        <v>774000</v>
      </c>
      <c r="N82" s="189">
        <f t="shared" si="3"/>
        <v>4300</v>
      </c>
    </row>
    <row r="83" spans="1:16" s="180" customFormat="1" x14ac:dyDescent="0.15">
      <c r="A83" s="11">
        <f t="shared" si="2"/>
        <v>20080009</v>
      </c>
      <c r="B83" s="13">
        <v>2</v>
      </c>
      <c r="C83" s="12">
        <v>0</v>
      </c>
      <c r="D83" s="13">
        <v>8</v>
      </c>
      <c r="E83" s="13">
        <v>0</v>
      </c>
      <c r="F83" s="12">
        <v>9</v>
      </c>
      <c r="G83" s="55">
        <v>300000</v>
      </c>
      <c r="H83" s="55">
        <v>200</v>
      </c>
      <c r="I83" s="55">
        <v>0</v>
      </c>
      <c r="J83" s="55">
        <v>50</v>
      </c>
      <c r="K83" s="55">
        <v>92</v>
      </c>
      <c r="L83" s="10"/>
      <c r="M83" s="10">
        <f>(H83-ARITHMETIC_COEFFICIENT!I87*L83)*J83*K83</f>
        <v>920000</v>
      </c>
      <c r="N83" s="189">
        <f t="shared" si="3"/>
        <v>4600</v>
      </c>
    </row>
    <row r="84" spans="1:16" s="180" customFormat="1" ht="17.25" thickBot="1" x14ac:dyDescent="0.2">
      <c r="A84" s="11">
        <f t="shared" si="2"/>
        <v>20080010</v>
      </c>
      <c r="B84" s="108">
        <v>2</v>
      </c>
      <c r="C84" s="12">
        <v>0</v>
      </c>
      <c r="D84" s="108">
        <v>8</v>
      </c>
      <c r="E84" s="108">
        <v>0</v>
      </c>
      <c r="F84" s="12">
        <v>10</v>
      </c>
      <c r="G84" s="55">
        <v>300000</v>
      </c>
      <c r="H84" s="55">
        <v>220</v>
      </c>
      <c r="I84" s="55">
        <v>0</v>
      </c>
      <c r="J84" s="55">
        <v>50</v>
      </c>
      <c r="K84" s="55">
        <v>102</v>
      </c>
      <c r="L84" s="10"/>
      <c r="M84" s="10">
        <f>(H84-ARITHMETIC_COEFFICIENT!I88*L84)*J84*K84</f>
        <v>1122000</v>
      </c>
      <c r="N84" s="189">
        <f t="shared" si="3"/>
        <v>5100</v>
      </c>
    </row>
    <row r="85" spans="1:16" s="182" customFormat="1" x14ac:dyDescent="0.15">
      <c r="A85" s="18">
        <f t="shared" si="2"/>
        <v>20090001</v>
      </c>
      <c r="B85" s="20">
        <v>2</v>
      </c>
      <c r="C85" s="19">
        <v>0</v>
      </c>
      <c r="D85" s="20">
        <v>9</v>
      </c>
      <c r="E85" s="20">
        <v>0</v>
      </c>
      <c r="F85" s="19">
        <v>1</v>
      </c>
      <c r="G85" s="56">
        <v>600000</v>
      </c>
      <c r="H85" s="56">
        <v>40</v>
      </c>
      <c r="I85" s="56">
        <v>0</v>
      </c>
      <c r="J85" s="56">
        <v>50</v>
      </c>
      <c r="K85" s="56">
        <v>42</v>
      </c>
      <c r="L85" s="17"/>
      <c r="M85" s="17">
        <f>(H85-ARITHMETIC_COEFFICIENT!I89*L85)*J85*K85</f>
        <v>84000</v>
      </c>
      <c r="N85" s="191">
        <f t="shared" si="3"/>
        <v>2100</v>
      </c>
      <c r="O85" s="182">
        <f>AVERAGE(N85:N94)</f>
        <v>4065</v>
      </c>
      <c r="P85" s="182">
        <f>O85/10</f>
        <v>406.5</v>
      </c>
    </row>
    <row r="86" spans="1:16" s="180" customFormat="1" x14ac:dyDescent="0.15">
      <c r="A86" s="11">
        <f t="shared" si="2"/>
        <v>20090002</v>
      </c>
      <c r="B86" s="13">
        <v>2</v>
      </c>
      <c r="C86" s="12">
        <v>0</v>
      </c>
      <c r="D86" s="13">
        <v>9</v>
      </c>
      <c r="E86" s="13">
        <v>0</v>
      </c>
      <c r="F86" s="12">
        <v>2</v>
      </c>
      <c r="G86" s="55">
        <v>600000</v>
      </c>
      <c r="H86" s="55">
        <v>60</v>
      </c>
      <c r="I86" s="55">
        <v>0</v>
      </c>
      <c r="J86" s="55">
        <v>50</v>
      </c>
      <c r="K86" s="55">
        <v>50</v>
      </c>
      <c r="L86" s="10"/>
      <c r="M86" s="10">
        <f>(H86-ARITHMETIC_COEFFICIENT!I90*L86)*J86*K86</f>
        <v>150000</v>
      </c>
      <c r="N86" s="189">
        <f t="shared" si="3"/>
        <v>2500</v>
      </c>
    </row>
    <row r="87" spans="1:16" s="180" customFormat="1" x14ac:dyDescent="0.15">
      <c r="A87" s="11">
        <f t="shared" si="2"/>
        <v>20090003</v>
      </c>
      <c r="B87" s="13">
        <v>2</v>
      </c>
      <c r="C87" s="12">
        <v>0</v>
      </c>
      <c r="D87" s="13">
        <v>9</v>
      </c>
      <c r="E87" s="13">
        <v>0</v>
      </c>
      <c r="F87" s="12">
        <v>3</v>
      </c>
      <c r="G87" s="55">
        <v>600000</v>
      </c>
      <c r="H87" s="55">
        <v>80</v>
      </c>
      <c r="I87" s="55">
        <v>0</v>
      </c>
      <c r="J87" s="55">
        <v>50</v>
      </c>
      <c r="K87" s="55">
        <v>60</v>
      </c>
      <c r="L87" s="10"/>
      <c r="M87" s="10">
        <f>(H87-ARITHMETIC_COEFFICIENT!I91*L87)*J87*K87</f>
        <v>240000</v>
      </c>
      <c r="N87" s="189">
        <f t="shared" si="3"/>
        <v>3000</v>
      </c>
    </row>
    <row r="88" spans="1:16" s="180" customFormat="1" x14ac:dyDescent="0.15">
      <c r="A88" s="11">
        <f t="shared" si="2"/>
        <v>20090004</v>
      </c>
      <c r="B88" s="13">
        <v>2</v>
      </c>
      <c r="C88" s="12">
        <v>0</v>
      </c>
      <c r="D88" s="13">
        <v>9</v>
      </c>
      <c r="E88" s="13">
        <v>0</v>
      </c>
      <c r="F88" s="12">
        <v>4</v>
      </c>
      <c r="G88" s="55">
        <v>600000</v>
      </c>
      <c r="H88" s="55">
        <v>100</v>
      </c>
      <c r="I88" s="55">
        <v>0</v>
      </c>
      <c r="J88" s="55">
        <v>50</v>
      </c>
      <c r="K88" s="55">
        <v>71</v>
      </c>
      <c r="L88" s="10"/>
      <c r="M88" s="10">
        <f>(H88-ARITHMETIC_COEFFICIENT!I92*L88)*J88*K88</f>
        <v>355000</v>
      </c>
      <c r="N88" s="189">
        <f t="shared" si="3"/>
        <v>3550</v>
      </c>
    </row>
    <row r="89" spans="1:16" s="180" customFormat="1" x14ac:dyDescent="0.15">
      <c r="A89" s="11">
        <f t="shared" si="2"/>
        <v>20090005</v>
      </c>
      <c r="B89" s="13">
        <v>2</v>
      </c>
      <c r="C89" s="12">
        <v>0</v>
      </c>
      <c r="D89" s="13">
        <v>9</v>
      </c>
      <c r="E89" s="13">
        <v>0</v>
      </c>
      <c r="F89" s="12">
        <v>5</v>
      </c>
      <c r="G89" s="55">
        <v>600000</v>
      </c>
      <c r="H89" s="55">
        <v>120</v>
      </c>
      <c r="I89" s="55">
        <v>0</v>
      </c>
      <c r="J89" s="55">
        <v>50</v>
      </c>
      <c r="K89" s="55">
        <v>77</v>
      </c>
      <c r="L89" s="10"/>
      <c r="M89" s="10">
        <f>(H89-ARITHMETIC_COEFFICIENT!I93*L89)*J89*K89</f>
        <v>462000</v>
      </c>
      <c r="N89" s="189">
        <f t="shared" si="3"/>
        <v>3850</v>
      </c>
    </row>
    <row r="90" spans="1:16" s="180" customFormat="1" x14ac:dyDescent="0.15">
      <c r="A90" s="11">
        <f t="shared" si="2"/>
        <v>20090006</v>
      </c>
      <c r="B90" s="13">
        <v>2</v>
      </c>
      <c r="C90" s="12">
        <v>0</v>
      </c>
      <c r="D90" s="13">
        <v>9</v>
      </c>
      <c r="E90" s="13">
        <v>0</v>
      </c>
      <c r="F90" s="12">
        <v>6</v>
      </c>
      <c r="G90" s="55">
        <v>600000</v>
      </c>
      <c r="H90" s="55">
        <v>140</v>
      </c>
      <c r="I90" s="55">
        <v>0</v>
      </c>
      <c r="J90" s="55">
        <v>50</v>
      </c>
      <c r="K90" s="55">
        <v>86</v>
      </c>
      <c r="L90" s="10"/>
      <c r="M90" s="10">
        <f>(H90-ARITHMETIC_COEFFICIENT!I94*L90)*J90*K90</f>
        <v>602000</v>
      </c>
      <c r="N90" s="189">
        <f t="shared" si="3"/>
        <v>4300</v>
      </c>
    </row>
    <row r="91" spans="1:16" s="180" customFormat="1" x14ac:dyDescent="0.15">
      <c r="A91" s="11">
        <f t="shared" si="2"/>
        <v>20090007</v>
      </c>
      <c r="B91" s="13">
        <v>2</v>
      </c>
      <c r="C91" s="12">
        <v>0</v>
      </c>
      <c r="D91" s="13">
        <v>9</v>
      </c>
      <c r="E91" s="13">
        <v>0</v>
      </c>
      <c r="F91" s="12">
        <v>7</v>
      </c>
      <c r="G91" s="55">
        <v>600000</v>
      </c>
      <c r="H91" s="55">
        <v>160</v>
      </c>
      <c r="I91" s="55">
        <v>0</v>
      </c>
      <c r="J91" s="55">
        <v>50</v>
      </c>
      <c r="K91" s="55">
        <v>92</v>
      </c>
      <c r="L91" s="10"/>
      <c r="M91" s="10">
        <f>(H91-ARITHMETIC_COEFFICIENT!I95*L91)*J91*K91</f>
        <v>736000</v>
      </c>
      <c r="N91" s="189">
        <f t="shared" si="3"/>
        <v>4600</v>
      </c>
    </row>
    <row r="92" spans="1:16" s="180" customFormat="1" x14ac:dyDescent="0.15">
      <c r="A92" s="11">
        <f t="shared" si="2"/>
        <v>20090008</v>
      </c>
      <c r="B92" s="13">
        <v>2</v>
      </c>
      <c r="C92" s="12">
        <v>0</v>
      </c>
      <c r="D92" s="13">
        <v>9</v>
      </c>
      <c r="E92" s="13">
        <v>0</v>
      </c>
      <c r="F92" s="12">
        <v>8</v>
      </c>
      <c r="G92" s="55">
        <v>600000</v>
      </c>
      <c r="H92" s="55">
        <v>180</v>
      </c>
      <c r="I92" s="55">
        <v>0</v>
      </c>
      <c r="J92" s="55">
        <v>50</v>
      </c>
      <c r="K92" s="55">
        <v>103</v>
      </c>
      <c r="L92" s="10"/>
      <c r="M92" s="10">
        <f>(H92-ARITHMETIC_COEFFICIENT!I96*L92)*J92*K92</f>
        <v>927000</v>
      </c>
      <c r="N92" s="189">
        <f t="shared" si="3"/>
        <v>5150</v>
      </c>
    </row>
    <row r="93" spans="1:16" s="180" customFormat="1" x14ac:dyDescent="0.15">
      <c r="A93" s="11">
        <f t="shared" si="2"/>
        <v>20090009</v>
      </c>
      <c r="B93" s="13">
        <v>2</v>
      </c>
      <c r="C93" s="12">
        <v>0</v>
      </c>
      <c r="D93" s="13">
        <v>9</v>
      </c>
      <c r="E93" s="13">
        <v>0</v>
      </c>
      <c r="F93" s="12">
        <v>9</v>
      </c>
      <c r="G93" s="55">
        <v>600000</v>
      </c>
      <c r="H93" s="55">
        <v>200</v>
      </c>
      <c r="I93" s="55">
        <v>0</v>
      </c>
      <c r="J93" s="55">
        <v>50</v>
      </c>
      <c r="K93" s="55">
        <v>110</v>
      </c>
      <c r="L93" s="10"/>
      <c r="M93" s="10">
        <f>(H93-ARITHMETIC_COEFFICIENT!I97*L93)*J93*K93</f>
        <v>1100000</v>
      </c>
      <c r="N93" s="189">
        <f t="shared" si="3"/>
        <v>5500</v>
      </c>
    </row>
    <row r="94" spans="1:16" s="180" customFormat="1" ht="17.25" thickBot="1" x14ac:dyDescent="0.2">
      <c r="A94" s="11">
        <f t="shared" si="2"/>
        <v>20090010</v>
      </c>
      <c r="B94" s="108">
        <v>2</v>
      </c>
      <c r="C94" s="12">
        <v>0</v>
      </c>
      <c r="D94" s="108">
        <v>9</v>
      </c>
      <c r="E94" s="108">
        <v>0</v>
      </c>
      <c r="F94" s="12">
        <v>10</v>
      </c>
      <c r="G94" s="55">
        <v>600000</v>
      </c>
      <c r="H94" s="55">
        <v>220</v>
      </c>
      <c r="I94" s="55">
        <v>0</v>
      </c>
      <c r="J94" s="55">
        <v>50</v>
      </c>
      <c r="K94" s="55">
        <v>122</v>
      </c>
      <c r="L94" s="10"/>
      <c r="M94" s="10">
        <f>(H94-ARITHMETIC_COEFFICIENT!I98*L94)*J94*K94</f>
        <v>1342000</v>
      </c>
      <c r="N94" s="189">
        <f t="shared" si="3"/>
        <v>6100</v>
      </c>
    </row>
    <row r="95" spans="1:16" s="182" customFormat="1" x14ac:dyDescent="0.15">
      <c r="A95" s="18">
        <f t="shared" si="2"/>
        <v>20100001</v>
      </c>
      <c r="B95" s="20">
        <v>2</v>
      </c>
      <c r="C95" s="19">
        <v>0</v>
      </c>
      <c r="D95" s="20">
        <v>10</v>
      </c>
      <c r="E95" s="20">
        <v>0</v>
      </c>
      <c r="F95" s="19">
        <v>1</v>
      </c>
      <c r="G95" s="56">
        <v>1200000</v>
      </c>
      <c r="H95" s="56">
        <v>40</v>
      </c>
      <c r="I95" s="56">
        <v>0</v>
      </c>
      <c r="J95" s="56">
        <v>50</v>
      </c>
      <c r="K95" s="56">
        <v>50</v>
      </c>
      <c r="L95" s="17"/>
      <c r="M95" s="17">
        <f>(H95-ARITHMETIC_COEFFICIENT!I99*L95)*J95*K95</f>
        <v>100000</v>
      </c>
      <c r="N95" s="191">
        <f t="shared" si="3"/>
        <v>2500</v>
      </c>
      <c r="O95" s="182">
        <f>AVERAGE(N95:N104)</f>
        <v>4870</v>
      </c>
      <c r="P95" s="182">
        <f>O95/10</f>
        <v>487</v>
      </c>
    </row>
    <row r="96" spans="1:16" s="180" customFormat="1" x14ac:dyDescent="0.15">
      <c r="A96" s="11">
        <f t="shared" si="2"/>
        <v>20100002</v>
      </c>
      <c r="B96" s="13">
        <v>2</v>
      </c>
      <c r="C96" s="12">
        <v>0</v>
      </c>
      <c r="D96" s="13">
        <v>10</v>
      </c>
      <c r="E96" s="13">
        <v>0</v>
      </c>
      <c r="F96" s="12">
        <v>2</v>
      </c>
      <c r="G96" s="55">
        <v>1200000</v>
      </c>
      <c r="H96" s="55">
        <v>60</v>
      </c>
      <c r="I96" s="55">
        <v>0</v>
      </c>
      <c r="J96" s="55">
        <v>50</v>
      </c>
      <c r="K96" s="55">
        <v>60</v>
      </c>
      <c r="L96" s="10"/>
      <c r="M96" s="10">
        <f>(H96-ARITHMETIC_COEFFICIENT!I100*L96)*J96*K96</f>
        <v>180000</v>
      </c>
      <c r="N96" s="189">
        <f t="shared" si="3"/>
        <v>3000</v>
      </c>
    </row>
    <row r="97" spans="1:16" s="180" customFormat="1" x14ac:dyDescent="0.15">
      <c r="A97" s="11">
        <f t="shared" si="2"/>
        <v>20100003</v>
      </c>
      <c r="B97" s="13">
        <v>2</v>
      </c>
      <c r="C97" s="12">
        <v>0</v>
      </c>
      <c r="D97" s="13">
        <v>10</v>
      </c>
      <c r="E97" s="13">
        <v>0</v>
      </c>
      <c r="F97" s="12">
        <v>3</v>
      </c>
      <c r="G97" s="55">
        <v>1200000</v>
      </c>
      <c r="H97" s="55">
        <v>80</v>
      </c>
      <c r="I97" s="55">
        <v>0</v>
      </c>
      <c r="J97" s="55">
        <v>50</v>
      </c>
      <c r="K97" s="55">
        <v>72</v>
      </c>
      <c r="L97" s="10"/>
      <c r="M97" s="10">
        <f>(H97-ARITHMETIC_COEFFICIENT!I101*L97)*J97*K97</f>
        <v>288000</v>
      </c>
      <c r="N97" s="189">
        <f t="shared" si="3"/>
        <v>3600</v>
      </c>
    </row>
    <row r="98" spans="1:16" s="180" customFormat="1" x14ac:dyDescent="0.15">
      <c r="A98" s="11">
        <f t="shared" si="2"/>
        <v>20100004</v>
      </c>
      <c r="B98" s="13">
        <v>2</v>
      </c>
      <c r="C98" s="12">
        <v>0</v>
      </c>
      <c r="D98" s="13">
        <v>10</v>
      </c>
      <c r="E98" s="13">
        <v>0</v>
      </c>
      <c r="F98" s="12">
        <v>4</v>
      </c>
      <c r="G98" s="55">
        <v>1200000</v>
      </c>
      <c r="H98" s="55">
        <v>100</v>
      </c>
      <c r="I98" s="55">
        <v>0</v>
      </c>
      <c r="J98" s="55">
        <v>50</v>
      </c>
      <c r="K98" s="55">
        <v>85</v>
      </c>
      <c r="L98" s="10"/>
      <c r="M98" s="10">
        <f>(H98-ARITHMETIC_COEFFICIENT!I102*L98)*J98*K98</f>
        <v>425000</v>
      </c>
      <c r="N98" s="189">
        <f t="shared" si="3"/>
        <v>4250</v>
      </c>
    </row>
    <row r="99" spans="1:16" s="180" customFormat="1" x14ac:dyDescent="0.15">
      <c r="A99" s="11">
        <f t="shared" si="2"/>
        <v>20100005</v>
      </c>
      <c r="B99" s="13">
        <v>2</v>
      </c>
      <c r="C99" s="12">
        <v>0</v>
      </c>
      <c r="D99" s="13">
        <v>10</v>
      </c>
      <c r="E99" s="13">
        <v>0</v>
      </c>
      <c r="F99" s="12">
        <v>5</v>
      </c>
      <c r="G99" s="55">
        <v>1200000</v>
      </c>
      <c r="H99" s="55">
        <v>120</v>
      </c>
      <c r="I99" s="55">
        <v>0</v>
      </c>
      <c r="J99" s="55">
        <v>50</v>
      </c>
      <c r="K99" s="55">
        <v>92</v>
      </c>
      <c r="L99" s="10"/>
      <c r="M99" s="10">
        <f>(H99-ARITHMETIC_COEFFICIENT!I103*L99)*J99*K99</f>
        <v>552000</v>
      </c>
      <c r="N99" s="189">
        <f t="shared" si="3"/>
        <v>4600</v>
      </c>
    </row>
    <row r="100" spans="1:16" s="180" customFormat="1" x14ac:dyDescent="0.15">
      <c r="A100" s="11">
        <f t="shared" si="2"/>
        <v>20100006</v>
      </c>
      <c r="B100" s="13">
        <v>2</v>
      </c>
      <c r="C100" s="12">
        <v>0</v>
      </c>
      <c r="D100" s="13">
        <v>10</v>
      </c>
      <c r="E100" s="13">
        <v>0</v>
      </c>
      <c r="F100" s="12">
        <v>6</v>
      </c>
      <c r="G100" s="55">
        <v>1200000</v>
      </c>
      <c r="H100" s="55">
        <v>140</v>
      </c>
      <c r="I100" s="55">
        <v>0</v>
      </c>
      <c r="J100" s="55">
        <v>50</v>
      </c>
      <c r="K100" s="55">
        <v>103</v>
      </c>
      <c r="L100" s="10"/>
      <c r="M100" s="10">
        <f>(H100-ARITHMETIC_COEFFICIENT!I104*L100)*J100*K100</f>
        <v>721000</v>
      </c>
      <c r="N100" s="189">
        <f t="shared" si="3"/>
        <v>5150</v>
      </c>
    </row>
    <row r="101" spans="1:16" s="180" customFormat="1" x14ac:dyDescent="0.15">
      <c r="A101" s="11">
        <f t="shared" si="2"/>
        <v>20100007</v>
      </c>
      <c r="B101" s="13">
        <v>2</v>
      </c>
      <c r="C101" s="12">
        <v>0</v>
      </c>
      <c r="D101" s="13">
        <v>10</v>
      </c>
      <c r="E101" s="13">
        <v>0</v>
      </c>
      <c r="F101" s="12">
        <v>7</v>
      </c>
      <c r="G101" s="55">
        <v>1200000</v>
      </c>
      <c r="H101" s="55">
        <v>160</v>
      </c>
      <c r="I101" s="55">
        <v>0</v>
      </c>
      <c r="J101" s="55">
        <v>50</v>
      </c>
      <c r="K101" s="55">
        <v>110</v>
      </c>
      <c r="L101" s="10"/>
      <c r="M101" s="10">
        <f>(H101-ARITHMETIC_COEFFICIENT!I105*L101)*J101*K101</f>
        <v>880000</v>
      </c>
      <c r="N101" s="189">
        <f t="shared" si="3"/>
        <v>5500</v>
      </c>
    </row>
    <row r="102" spans="1:16" s="180" customFormat="1" x14ac:dyDescent="0.15">
      <c r="A102" s="11">
        <f t="shared" si="2"/>
        <v>20100008</v>
      </c>
      <c r="B102" s="13">
        <v>2</v>
      </c>
      <c r="C102" s="12">
        <v>0</v>
      </c>
      <c r="D102" s="13">
        <v>10</v>
      </c>
      <c r="E102" s="13">
        <v>0</v>
      </c>
      <c r="F102" s="12">
        <v>8</v>
      </c>
      <c r="G102" s="55">
        <v>1200000</v>
      </c>
      <c r="H102" s="55">
        <v>180</v>
      </c>
      <c r="I102" s="55">
        <v>0</v>
      </c>
      <c r="J102" s="55">
        <v>50</v>
      </c>
      <c r="K102" s="55">
        <v>124</v>
      </c>
      <c r="L102" s="10"/>
      <c r="M102" s="10">
        <f>(H102-ARITHMETIC_COEFFICIENT!I106*L102)*J102*K102</f>
        <v>1116000</v>
      </c>
      <c r="N102" s="189">
        <f t="shared" si="3"/>
        <v>6200</v>
      </c>
    </row>
    <row r="103" spans="1:16" s="180" customFormat="1" x14ac:dyDescent="0.15">
      <c r="A103" s="11">
        <f t="shared" si="2"/>
        <v>20100009</v>
      </c>
      <c r="B103" s="13">
        <v>2</v>
      </c>
      <c r="C103" s="12">
        <v>0</v>
      </c>
      <c r="D103" s="13">
        <v>10</v>
      </c>
      <c r="E103" s="13">
        <v>0</v>
      </c>
      <c r="F103" s="12">
        <v>9</v>
      </c>
      <c r="G103" s="55">
        <v>1200000</v>
      </c>
      <c r="H103" s="55">
        <v>200</v>
      </c>
      <c r="I103" s="55">
        <v>0</v>
      </c>
      <c r="J103" s="55">
        <v>50</v>
      </c>
      <c r="K103" s="55">
        <v>132</v>
      </c>
      <c r="L103" s="10"/>
      <c r="M103" s="10">
        <f>(H103-ARITHMETIC_COEFFICIENT!I107*L103)*J103*K103</f>
        <v>1320000</v>
      </c>
      <c r="N103" s="189">
        <f t="shared" si="3"/>
        <v>6600</v>
      </c>
    </row>
    <row r="104" spans="1:16" s="180" customFormat="1" ht="17.25" thickBot="1" x14ac:dyDescent="0.2">
      <c r="A104" s="11">
        <f t="shared" si="2"/>
        <v>20100010</v>
      </c>
      <c r="B104" s="13">
        <v>2</v>
      </c>
      <c r="C104" s="12">
        <v>0</v>
      </c>
      <c r="D104" s="108">
        <v>10</v>
      </c>
      <c r="E104" s="108">
        <v>0</v>
      </c>
      <c r="F104" s="12">
        <v>10</v>
      </c>
      <c r="G104" s="55">
        <v>1200000</v>
      </c>
      <c r="H104" s="55">
        <v>220</v>
      </c>
      <c r="I104" s="55">
        <v>0</v>
      </c>
      <c r="J104" s="55">
        <v>50</v>
      </c>
      <c r="K104" s="55">
        <v>146</v>
      </c>
      <c r="L104" s="10"/>
      <c r="M104" s="10">
        <f>(H104-ARITHMETIC_COEFFICIENT!I108*L104)*J104*K104</f>
        <v>1606000</v>
      </c>
      <c r="N104" s="189">
        <f t="shared" si="3"/>
        <v>7300</v>
      </c>
    </row>
    <row r="105" spans="1:16" s="182" customFormat="1" x14ac:dyDescent="0.15">
      <c r="A105" s="18">
        <f t="shared" si="2"/>
        <v>20110001</v>
      </c>
      <c r="B105" s="20">
        <v>2</v>
      </c>
      <c r="C105" s="19">
        <v>0</v>
      </c>
      <c r="D105" s="20">
        <v>11</v>
      </c>
      <c r="E105" s="20">
        <v>0</v>
      </c>
      <c r="F105" s="19">
        <v>1</v>
      </c>
      <c r="G105" s="56">
        <v>2800000</v>
      </c>
      <c r="H105" s="56">
        <v>40</v>
      </c>
      <c r="I105" s="56">
        <v>0</v>
      </c>
      <c r="J105" s="56">
        <v>50</v>
      </c>
      <c r="K105" s="56">
        <v>60</v>
      </c>
      <c r="L105" s="17"/>
      <c r="M105" s="17">
        <f>(H105-ARITHMETIC_COEFFICIENT!I109*L105)*J105*K105</f>
        <v>120000</v>
      </c>
      <c r="N105" s="191">
        <f t="shared" si="3"/>
        <v>3000</v>
      </c>
      <c r="O105" s="182">
        <f>AVERAGE(N105:N114)</f>
        <v>5840</v>
      </c>
      <c r="P105" s="182">
        <f>O105/10</f>
        <v>584</v>
      </c>
    </row>
    <row r="106" spans="1:16" s="180" customFormat="1" x14ac:dyDescent="0.15">
      <c r="A106" s="11">
        <f t="shared" si="2"/>
        <v>20110002</v>
      </c>
      <c r="B106" s="13">
        <v>2</v>
      </c>
      <c r="C106" s="12">
        <v>0</v>
      </c>
      <c r="D106" s="13">
        <v>11</v>
      </c>
      <c r="E106" s="13">
        <v>0</v>
      </c>
      <c r="F106" s="12">
        <v>2</v>
      </c>
      <c r="G106" s="55">
        <v>2800000</v>
      </c>
      <c r="H106" s="55">
        <v>60</v>
      </c>
      <c r="I106" s="55">
        <v>0</v>
      </c>
      <c r="J106" s="55">
        <v>50</v>
      </c>
      <c r="K106" s="55">
        <v>72</v>
      </c>
      <c r="L106" s="10"/>
      <c r="M106" s="10">
        <f>(H106-ARITHMETIC_COEFFICIENT!I110*L106)*J106*K106</f>
        <v>216000</v>
      </c>
      <c r="N106" s="189">
        <f t="shared" si="3"/>
        <v>3600</v>
      </c>
    </row>
    <row r="107" spans="1:16" s="180" customFormat="1" x14ac:dyDescent="0.15">
      <c r="A107" s="11">
        <f t="shared" si="2"/>
        <v>20110003</v>
      </c>
      <c r="B107" s="13">
        <v>2</v>
      </c>
      <c r="C107" s="12">
        <v>0</v>
      </c>
      <c r="D107" s="13">
        <v>11</v>
      </c>
      <c r="E107" s="13">
        <v>0</v>
      </c>
      <c r="F107" s="12">
        <v>3</v>
      </c>
      <c r="G107" s="55">
        <v>2800000</v>
      </c>
      <c r="H107" s="55">
        <v>80</v>
      </c>
      <c r="I107" s="55">
        <v>0</v>
      </c>
      <c r="J107" s="55">
        <v>50</v>
      </c>
      <c r="K107" s="55">
        <v>86</v>
      </c>
      <c r="L107" s="10"/>
      <c r="M107" s="10">
        <f>(H107-ARITHMETIC_COEFFICIENT!I111*L107)*J107*K107</f>
        <v>344000</v>
      </c>
      <c r="N107" s="189">
        <f t="shared" si="3"/>
        <v>4300</v>
      </c>
    </row>
    <row r="108" spans="1:16" s="180" customFormat="1" x14ac:dyDescent="0.15">
      <c r="A108" s="11">
        <f t="shared" si="2"/>
        <v>20110004</v>
      </c>
      <c r="B108" s="13">
        <v>2</v>
      </c>
      <c r="C108" s="12">
        <v>0</v>
      </c>
      <c r="D108" s="13">
        <v>11</v>
      </c>
      <c r="E108" s="13">
        <v>0</v>
      </c>
      <c r="F108" s="12">
        <v>4</v>
      </c>
      <c r="G108" s="55">
        <v>2800000</v>
      </c>
      <c r="H108" s="55">
        <v>100</v>
      </c>
      <c r="I108" s="55">
        <v>0</v>
      </c>
      <c r="J108" s="55">
        <v>50</v>
      </c>
      <c r="K108" s="55">
        <v>102</v>
      </c>
      <c r="L108" s="10"/>
      <c r="M108" s="10">
        <f>(H108-ARITHMETIC_COEFFICIENT!I112*L108)*J108*K108</f>
        <v>510000</v>
      </c>
      <c r="N108" s="189">
        <f t="shared" si="3"/>
        <v>5100</v>
      </c>
    </row>
    <row r="109" spans="1:16" s="180" customFormat="1" x14ac:dyDescent="0.15">
      <c r="A109" s="11">
        <f t="shared" si="2"/>
        <v>20110005</v>
      </c>
      <c r="B109" s="13">
        <v>2</v>
      </c>
      <c r="C109" s="12">
        <v>0</v>
      </c>
      <c r="D109" s="13">
        <v>11</v>
      </c>
      <c r="E109" s="13">
        <v>0</v>
      </c>
      <c r="F109" s="12">
        <v>5</v>
      </c>
      <c r="G109" s="55">
        <v>2800000</v>
      </c>
      <c r="H109" s="55">
        <v>120</v>
      </c>
      <c r="I109" s="55">
        <v>0</v>
      </c>
      <c r="J109" s="55">
        <v>50</v>
      </c>
      <c r="K109" s="55">
        <v>110</v>
      </c>
      <c r="L109" s="10"/>
      <c r="M109" s="10">
        <f>(H109-ARITHMETIC_COEFFICIENT!I113*L109)*J109*K109</f>
        <v>660000</v>
      </c>
      <c r="N109" s="189">
        <f t="shared" si="3"/>
        <v>5500</v>
      </c>
    </row>
    <row r="110" spans="1:16" s="180" customFormat="1" x14ac:dyDescent="0.15">
      <c r="A110" s="11">
        <f t="shared" si="2"/>
        <v>20110006</v>
      </c>
      <c r="B110" s="13">
        <v>2</v>
      </c>
      <c r="C110" s="12">
        <v>0</v>
      </c>
      <c r="D110" s="13">
        <v>11</v>
      </c>
      <c r="E110" s="13">
        <v>0</v>
      </c>
      <c r="F110" s="12">
        <v>6</v>
      </c>
      <c r="G110" s="55">
        <v>2800000</v>
      </c>
      <c r="H110" s="55">
        <v>140</v>
      </c>
      <c r="I110" s="55">
        <v>0</v>
      </c>
      <c r="J110" s="55">
        <v>50</v>
      </c>
      <c r="K110" s="55">
        <v>124</v>
      </c>
      <c r="L110" s="10"/>
      <c r="M110" s="10">
        <f>(H110-ARITHMETIC_COEFFICIENT!I114*L110)*J110*K110</f>
        <v>868000</v>
      </c>
      <c r="N110" s="189">
        <f t="shared" si="3"/>
        <v>6200</v>
      </c>
    </row>
    <row r="111" spans="1:16" s="180" customFormat="1" x14ac:dyDescent="0.15">
      <c r="A111" s="11">
        <f t="shared" si="2"/>
        <v>20110007</v>
      </c>
      <c r="B111" s="13">
        <v>2</v>
      </c>
      <c r="C111" s="12">
        <v>0</v>
      </c>
      <c r="D111" s="13">
        <v>11</v>
      </c>
      <c r="E111" s="13">
        <v>0</v>
      </c>
      <c r="F111" s="12">
        <v>7</v>
      </c>
      <c r="G111" s="55">
        <v>2800000</v>
      </c>
      <c r="H111" s="55">
        <v>160</v>
      </c>
      <c r="I111" s="55">
        <v>0</v>
      </c>
      <c r="J111" s="55">
        <v>50</v>
      </c>
      <c r="K111" s="55">
        <v>132</v>
      </c>
      <c r="L111" s="10"/>
      <c r="M111" s="10">
        <f>(H111-ARITHMETIC_COEFFICIENT!I115*L111)*J111*K111</f>
        <v>1056000</v>
      </c>
      <c r="N111" s="189">
        <f t="shared" si="3"/>
        <v>6600</v>
      </c>
    </row>
    <row r="112" spans="1:16" s="180" customFormat="1" x14ac:dyDescent="0.15">
      <c r="A112" s="11">
        <f t="shared" si="2"/>
        <v>20110008</v>
      </c>
      <c r="B112" s="13">
        <v>2</v>
      </c>
      <c r="C112" s="12">
        <v>0</v>
      </c>
      <c r="D112" s="13">
        <v>11</v>
      </c>
      <c r="E112" s="13">
        <v>0</v>
      </c>
      <c r="F112" s="12">
        <v>8</v>
      </c>
      <c r="G112" s="55">
        <v>2800000</v>
      </c>
      <c r="H112" s="55">
        <v>180</v>
      </c>
      <c r="I112" s="55">
        <v>0</v>
      </c>
      <c r="J112" s="55">
        <v>50</v>
      </c>
      <c r="K112" s="55">
        <v>149</v>
      </c>
      <c r="L112" s="10"/>
      <c r="M112" s="10">
        <f>(H112-ARITHMETIC_COEFFICIENT!I116*L112)*J112*K112</f>
        <v>1341000</v>
      </c>
      <c r="N112" s="189">
        <f t="shared" si="3"/>
        <v>7450</v>
      </c>
    </row>
    <row r="113" spans="1:16" s="180" customFormat="1" x14ac:dyDescent="0.15">
      <c r="A113" s="11">
        <f t="shared" si="2"/>
        <v>20110009</v>
      </c>
      <c r="B113" s="13">
        <v>2</v>
      </c>
      <c r="C113" s="12">
        <v>0</v>
      </c>
      <c r="D113" s="13">
        <v>11</v>
      </c>
      <c r="E113" s="13">
        <v>0</v>
      </c>
      <c r="F113" s="12">
        <v>9</v>
      </c>
      <c r="G113" s="55">
        <v>2800000</v>
      </c>
      <c r="H113" s="55">
        <v>200</v>
      </c>
      <c r="I113" s="55">
        <v>0</v>
      </c>
      <c r="J113" s="55">
        <v>50</v>
      </c>
      <c r="K113" s="55">
        <v>158</v>
      </c>
      <c r="L113" s="10"/>
      <c r="M113" s="10">
        <f>(H113-ARITHMETIC_COEFFICIENT!I117*L113)*J113*K113</f>
        <v>1580000</v>
      </c>
      <c r="N113" s="189">
        <f t="shared" si="3"/>
        <v>7900</v>
      </c>
    </row>
    <row r="114" spans="1:16" s="180" customFormat="1" ht="17.25" thickBot="1" x14ac:dyDescent="0.2">
      <c r="A114" s="11">
        <f t="shared" si="2"/>
        <v>20110010</v>
      </c>
      <c r="B114" s="13">
        <v>2</v>
      </c>
      <c r="C114" s="12">
        <v>0</v>
      </c>
      <c r="D114" s="108">
        <v>11</v>
      </c>
      <c r="E114" s="108">
        <v>0</v>
      </c>
      <c r="F114" s="12">
        <v>10</v>
      </c>
      <c r="G114" s="55">
        <v>2800000</v>
      </c>
      <c r="H114" s="55">
        <v>220</v>
      </c>
      <c r="I114" s="55">
        <v>0</v>
      </c>
      <c r="J114" s="55">
        <v>50</v>
      </c>
      <c r="K114" s="55">
        <v>175</v>
      </c>
      <c r="L114" s="10"/>
      <c r="M114" s="10">
        <f>(H114-ARITHMETIC_COEFFICIENT!I118*L114)*J114*K114</f>
        <v>1925000</v>
      </c>
      <c r="N114" s="189">
        <f t="shared" si="3"/>
        <v>8750</v>
      </c>
    </row>
    <row r="115" spans="1:16" s="182" customFormat="1" x14ac:dyDescent="0.15">
      <c r="A115" s="18">
        <f t="shared" si="2"/>
        <v>20120001</v>
      </c>
      <c r="B115" s="20">
        <v>2</v>
      </c>
      <c r="C115" s="19">
        <v>0</v>
      </c>
      <c r="D115" s="20">
        <v>12</v>
      </c>
      <c r="E115" s="20">
        <v>0</v>
      </c>
      <c r="F115" s="19">
        <v>1</v>
      </c>
      <c r="G115" s="56">
        <v>6000000</v>
      </c>
      <c r="H115" s="56">
        <v>40</v>
      </c>
      <c r="I115" s="56">
        <v>0</v>
      </c>
      <c r="J115" s="56">
        <v>50</v>
      </c>
      <c r="K115" s="56">
        <v>72</v>
      </c>
      <c r="L115" s="17"/>
      <c r="M115" s="17">
        <f>(H115-ARITHMETIC_COEFFICIENT!I119*L115)*J115*K115</f>
        <v>144000</v>
      </c>
      <c r="N115" s="191">
        <f t="shared" si="3"/>
        <v>3600</v>
      </c>
      <c r="O115" s="182">
        <f>AVERAGE(N115:N124)</f>
        <v>7005</v>
      </c>
      <c r="P115" s="182">
        <f>O115/10</f>
        <v>700.5</v>
      </c>
    </row>
    <row r="116" spans="1:16" s="180" customFormat="1" x14ac:dyDescent="0.15">
      <c r="A116" s="11">
        <f t="shared" si="2"/>
        <v>20120002</v>
      </c>
      <c r="B116" s="13">
        <v>2</v>
      </c>
      <c r="C116" s="12">
        <v>0</v>
      </c>
      <c r="D116" s="13">
        <v>12</v>
      </c>
      <c r="E116" s="13">
        <v>0</v>
      </c>
      <c r="F116" s="12">
        <v>2</v>
      </c>
      <c r="G116" s="55">
        <v>6000000</v>
      </c>
      <c r="H116" s="55">
        <v>60</v>
      </c>
      <c r="I116" s="55">
        <v>0</v>
      </c>
      <c r="J116" s="55">
        <v>50</v>
      </c>
      <c r="K116" s="55">
        <v>86</v>
      </c>
      <c r="L116" s="10"/>
      <c r="M116" s="10">
        <f>(H116-ARITHMETIC_COEFFICIENT!I120*L116)*J116*K116</f>
        <v>258000</v>
      </c>
      <c r="N116" s="189">
        <f t="shared" si="3"/>
        <v>4300</v>
      </c>
    </row>
    <row r="117" spans="1:16" s="180" customFormat="1" x14ac:dyDescent="0.15">
      <c r="A117" s="11">
        <f t="shared" si="2"/>
        <v>20120003</v>
      </c>
      <c r="B117" s="13">
        <v>2</v>
      </c>
      <c r="C117" s="12">
        <v>0</v>
      </c>
      <c r="D117" s="13">
        <v>12</v>
      </c>
      <c r="E117" s="13">
        <v>0</v>
      </c>
      <c r="F117" s="12">
        <v>3</v>
      </c>
      <c r="G117" s="55">
        <v>6000000</v>
      </c>
      <c r="H117" s="55">
        <v>80</v>
      </c>
      <c r="I117" s="55">
        <v>0</v>
      </c>
      <c r="J117" s="55">
        <v>50</v>
      </c>
      <c r="K117" s="55">
        <v>103</v>
      </c>
      <c r="L117" s="10"/>
      <c r="M117" s="10">
        <f>(H117-ARITHMETIC_COEFFICIENT!I121*L117)*J117*K117</f>
        <v>412000</v>
      </c>
      <c r="N117" s="189">
        <f t="shared" si="3"/>
        <v>5150</v>
      </c>
    </row>
    <row r="118" spans="1:16" s="180" customFormat="1" x14ac:dyDescent="0.15">
      <c r="A118" s="11">
        <f t="shared" si="2"/>
        <v>20120004</v>
      </c>
      <c r="B118" s="13">
        <v>2</v>
      </c>
      <c r="C118" s="12">
        <v>0</v>
      </c>
      <c r="D118" s="13">
        <v>12</v>
      </c>
      <c r="E118" s="13">
        <v>0</v>
      </c>
      <c r="F118" s="12">
        <v>4</v>
      </c>
      <c r="G118" s="55">
        <v>6000000</v>
      </c>
      <c r="H118" s="55">
        <v>100</v>
      </c>
      <c r="I118" s="55">
        <v>0</v>
      </c>
      <c r="J118" s="55">
        <v>50</v>
      </c>
      <c r="K118" s="55">
        <v>122</v>
      </c>
      <c r="L118" s="10"/>
      <c r="M118" s="10">
        <f>(H118-ARITHMETIC_COEFFICIENT!I122*L118)*J118*K118</f>
        <v>610000</v>
      </c>
      <c r="N118" s="189">
        <f t="shared" si="3"/>
        <v>6100</v>
      </c>
    </row>
    <row r="119" spans="1:16" s="180" customFormat="1" x14ac:dyDescent="0.15">
      <c r="A119" s="11">
        <f t="shared" si="2"/>
        <v>20120005</v>
      </c>
      <c r="B119" s="13">
        <v>2</v>
      </c>
      <c r="C119" s="12">
        <v>0</v>
      </c>
      <c r="D119" s="13">
        <v>12</v>
      </c>
      <c r="E119" s="13">
        <v>0</v>
      </c>
      <c r="F119" s="12">
        <v>5</v>
      </c>
      <c r="G119" s="55">
        <v>6000000</v>
      </c>
      <c r="H119" s="55">
        <v>120</v>
      </c>
      <c r="I119" s="55">
        <v>0</v>
      </c>
      <c r="J119" s="55">
        <v>50</v>
      </c>
      <c r="K119" s="55">
        <v>132</v>
      </c>
      <c r="L119" s="10"/>
      <c r="M119" s="10">
        <f>(H119-ARITHMETIC_COEFFICIENT!I123*L119)*J119*K119</f>
        <v>792000</v>
      </c>
      <c r="N119" s="189">
        <f t="shared" si="3"/>
        <v>6600</v>
      </c>
    </row>
    <row r="120" spans="1:16" s="180" customFormat="1" x14ac:dyDescent="0.15">
      <c r="A120" s="11">
        <f t="shared" si="2"/>
        <v>20120006</v>
      </c>
      <c r="B120" s="13">
        <v>2</v>
      </c>
      <c r="C120" s="12">
        <v>0</v>
      </c>
      <c r="D120" s="13">
        <v>12</v>
      </c>
      <c r="E120" s="13">
        <v>0</v>
      </c>
      <c r="F120" s="12">
        <v>6</v>
      </c>
      <c r="G120" s="55">
        <v>6000000</v>
      </c>
      <c r="H120" s="55">
        <v>140</v>
      </c>
      <c r="I120" s="55">
        <v>0</v>
      </c>
      <c r="J120" s="55">
        <v>50</v>
      </c>
      <c r="K120" s="55">
        <v>149</v>
      </c>
      <c r="L120" s="10"/>
      <c r="M120" s="10">
        <f>(H120-ARITHMETIC_COEFFICIENT!I124*L120)*J120*K120</f>
        <v>1043000</v>
      </c>
      <c r="N120" s="189">
        <f t="shared" si="3"/>
        <v>7450</v>
      </c>
    </row>
    <row r="121" spans="1:16" s="180" customFormat="1" x14ac:dyDescent="0.15">
      <c r="A121" s="11">
        <f t="shared" si="2"/>
        <v>20120007</v>
      </c>
      <c r="B121" s="13">
        <v>2</v>
      </c>
      <c r="C121" s="12">
        <v>0</v>
      </c>
      <c r="D121" s="13">
        <v>12</v>
      </c>
      <c r="E121" s="13">
        <v>0</v>
      </c>
      <c r="F121" s="12">
        <v>7</v>
      </c>
      <c r="G121" s="55">
        <v>6000000</v>
      </c>
      <c r="H121" s="55">
        <v>160</v>
      </c>
      <c r="I121" s="55">
        <v>0</v>
      </c>
      <c r="J121" s="55">
        <v>50</v>
      </c>
      <c r="K121" s="55">
        <v>158</v>
      </c>
      <c r="L121" s="10"/>
      <c r="M121" s="10">
        <f>(H121-ARITHMETIC_COEFFICIENT!I125*L121)*J121*K121</f>
        <v>1264000</v>
      </c>
      <c r="N121" s="189">
        <f t="shared" si="3"/>
        <v>7900</v>
      </c>
    </row>
    <row r="122" spans="1:16" s="180" customFormat="1" x14ac:dyDescent="0.15">
      <c r="A122" s="11">
        <f t="shared" si="2"/>
        <v>20120008</v>
      </c>
      <c r="B122" s="13">
        <v>2</v>
      </c>
      <c r="C122" s="12">
        <v>0</v>
      </c>
      <c r="D122" s="13">
        <v>12</v>
      </c>
      <c r="E122" s="13">
        <v>0</v>
      </c>
      <c r="F122" s="12">
        <v>8</v>
      </c>
      <c r="G122" s="55">
        <v>6000000</v>
      </c>
      <c r="H122" s="55">
        <v>180</v>
      </c>
      <c r="I122" s="55">
        <v>0</v>
      </c>
      <c r="J122" s="55">
        <v>50</v>
      </c>
      <c r="K122" s="55">
        <v>179</v>
      </c>
      <c r="L122" s="10"/>
      <c r="M122" s="10">
        <f>(H122-ARITHMETIC_COEFFICIENT!I126*L122)*J122*K122</f>
        <v>1611000</v>
      </c>
      <c r="N122" s="189">
        <f t="shared" si="3"/>
        <v>8950</v>
      </c>
    </row>
    <row r="123" spans="1:16" s="180" customFormat="1" x14ac:dyDescent="0.15">
      <c r="A123" s="11">
        <f t="shared" si="2"/>
        <v>20120009</v>
      </c>
      <c r="B123" s="13">
        <v>2</v>
      </c>
      <c r="C123" s="12">
        <v>0</v>
      </c>
      <c r="D123" s="13">
        <v>12</v>
      </c>
      <c r="E123" s="13">
        <v>0</v>
      </c>
      <c r="F123" s="12">
        <v>9</v>
      </c>
      <c r="G123" s="55">
        <v>6000000</v>
      </c>
      <c r="H123" s="55">
        <v>200</v>
      </c>
      <c r="I123" s="55">
        <v>0</v>
      </c>
      <c r="J123" s="55">
        <v>50</v>
      </c>
      <c r="K123" s="55">
        <v>190</v>
      </c>
      <c r="L123" s="10"/>
      <c r="M123" s="10">
        <f>(H123-ARITHMETIC_COEFFICIENT!I127*L123)*J123*K123</f>
        <v>1900000</v>
      </c>
      <c r="N123" s="189">
        <f t="shared" si="3"/>
        <v>9500</v>
      </c>
    </row>
    <row r="124" spans="1:16" s="180" customFormat="1" ht="17.25" thickBot="1" x14ac:dyDescent="0.2">
      <c r="A124" s="11">
        <f t="shared" si="2"/>
        <v>20120010</v>
      </c>
      <c r="B124" s="13">
        <v>2</v>
      </c>
      <c r="C124" s="12">
        <v>0</v>
      </c>
      <c r="D124" s="108">
        <v>12</v>
      </c>
      <c r="E124" s="108">
        <v>0</v>
      </c>
      <c r="F124" s="12">
        <v>10</v>
      </c>
      <c r="G124" s="55">
        <v>6000000</v>
      </c>
      <c r="H124" s="55">
        <v>220</v>
      </c>
      <c r="I124" s="55">
        <v>0</v>
      </c>
      <c r="J124" s="55">
        <v>50</v>
      </c>
      <c r="K124" s="55">
        <v>210</v>
      </c>
      <c r="L124" s="10"/>
      <c r="M124" s="10">
        <f>(H124-ARITHMETIC_COEFFICIENT!I128*L124)*J124*K124</f>
        <v>2310000</v>
      </c>
      <c r="N124" s="189">
        <f t="shared" si="3"/>
        <v>10500</v>
      </c>
    </row>
    <row r="125" spans="1:16" s="182" customFormat="1" x14ac:dyDescent="0.15">
      <c r="A125" s="18">
        <f t="shared" si="2"/>
        <v>20130001</v>
      </c>
      <c r="B125" s="20">
        <v>2</v>
      </c>
      <c r="C125" s="19">
        <v>0</v>
      </c>
      <c r="D125" s="20">
        <v>13</v>
      </c>
      <c r="E125" s="20">
        <v>0</v>
      </c>
      <c r="F125" s="19">
        <v>1</v>
      </c>
      <c r="G125" s="56">
        <v>10000000</v>
      </c>
      <c r="H125" s="56">
        <v>40</v>
      </c>
      <c r="I125" s="56">
        <v>0</v>
      </c>
      <c r="J125" s="56">
        <v>50</v>
      </c>
      <c r="K125" s="56">
        <v>86</v>
      </c>
      <c r="L125" s="17"/>
      <c r="M125" s="17">
        <f>(H125-ARITHMETIC_COEFFICIENT!I129*L125)*J125*K125</f>
        <v>172000</v>
      </c>
      <c r="N125" s="191">
        <f t="shared" si="3"/>
        <v>4300</v>
      </c>
      <c r="O125" s="182">
        <f>AVERAGE(N125:N134)</f>
        <v>8405</v>
      </c>
      <c r="P125" s="182">
        <f>O125/10</f>
        <v>840.5</v>
      </c>
    </row>
    <row r="126" spans="1:16" s="180" customFormat="1" x14ac:dyDescent="0.15">
      <c r="A126" s="11">
        <f t="shared" si="2"/>
        <v>20130002</v>
      </c>
      <c r="B126" s="13">
        <v>2</v>
      </c>
      <c r="C126" s="12">
        <v>0</v>
      </c>
      <c r="D126" s="13">
        <v>13</v>
      </c>
      <c r="E126" s="13">
        <v>0</v>
      </c>
      <c r="F126" s="12">
        <v>2</v>
      </c>
      <c r="G126" s="55">
        <v>10000000</v>
      </c>
      <c r="H126" s="55">
        <v>60</v>
      </c>
      <c r="I126" s="55">
        <v>0</v>
      </c>
      <c r="J126" s="55">
        <v>50</v>
      </c>
      <c r="K126" s="55">
        <v>103</v>
      </c>
      <c r="L126" s="10"/>
      <c r="M126" s="10">
        <f>(H126-ARITHMETIC_COEFFICIENT!I130*L126)*J126*K126</f>
        <v>309000</v>
      </c>
      <c r="N126" s="189">
        <f t="shared" si="3"/>
        <v>5150</v>
      </c>
    </row>
    <row r="127" spans="1:16" s="180" customFormat="1" x14ac:dyDescent="0.15">
      <c r="A127" s="11">
        <f t="shared" si="2"/>
        <v>20130003</v>
      </c>
      <c r="B127" s="13">
        <v>2</v>
      </c>
      <c r="C127" s="12">
        <v>0</v>
      </c>
      <c r="D127" s="13">
        <v>13</v>
      </c>
      <c r="E127" s="13">
        <v>0</v>
      </c>
      <c r="F127" s="12">
        <v>3</v>
      </c>
      <c r="G127" s="55">
        <v>10000000</v>
      </c>
      <c r="H127" s="55">
        <v>80</v>
      </c>
      <c r="I127" s="55">
        <v>0</v>
      </c>
      <c r="J127" s="55">
        <v>50</v>
      </c>
      <c r="K127" s="55">
        <v>124</v>
      </c>
      <c r="L127" s="10"/>
      <c r="M127" s="10">
        <f>(H127-ARITHMETIC_COEFFICIENT!I131*L127)*J127*K127</f>
        <v>496000</v>
      </c>
      <c r="N127" s="189">
        <f t="shared" si="3"/>
        <v>6200</v>
      </c>
    </row>
    <row r="128" spans="1:16" s="180" customFormat="1" x14ac:dyDescent="0.15">
      <c r="A128" s="11">
        <f t="shared" si="2"/>
        <v>20130004</v>
      </c>
      <c r="B128" s="13">
        <v>2</v>
      </c>
      <c r="C128" s="12">
        <v>0</v>
      </c>
      <c r="D128" s="13">
        <v>13</v>
      </c>
      <c r="E128" s="13">
        <v>0</v>
      </c>
      <c r="F128" s="12">
        <v>4</v>
      </c>
      <c r="G128" s="55">
        <v>10000000</v>
      </c>
      <c r="H128" s="55">
        <v>100</v>
      </c>
      <c r="I128" s="55">
        <v>0</v>
      </c>
      <c r="J128" s="55">
        <v>50</v>
      </c>
      <c r="K128" s="55">
        <v>146</v>
      </c>
      <c r="L128" s="10"/>
      <c r="M128" s="10">
        <f>(H128-ARITHMETIC_COEFFICIENT!I132*L128)*J128*K128</f>
        <v>730000</v>
      </c>
      <c r="N128" s="189">
        <f t="shared" si="3"/>
        <v>7300</v>
      </c>
    </row>
    <row r="129" spans="1:16" s="180" customFormat="1" x14ac:dyDescent="0.15">
      <c r="A129" s="11">
        <f t="shared" si="2"/>
        <v>20130005</v>
      </c>
      <c r="B129" s="13">
        <v>2</v>
      </c>
      <c r="C129" s="12">
        <v>0</v>
      </c>
      <c r="D129" s="13">
        <v>13</v>
      </c>
      <c r="E129" s="13">
        <v>0</v>
      </c>
      <c r="F129" s="12">
        <v>5</v>
      </c>
      <c r="G129" s="55">
        <v>10000000</v>
      </c>
      <c r="H129" s="55">
        <v>120</v>
      </c>
      <c r="I129" s="55">
        <v>0</v>
      </c>
      <c r="J129" s="55">
        <v>50</v>
      </c>
      <c r="K129" s="55">
        <v>158</v>
      </c>
      <c r="L129" s="10"/>
      <c r="M129" s="10">
        <f>(H129-ARITHMETIC_COEFFICIENT!I133*L129)*J129*K129</f>
        <v>948000</v>
      </c>
      <c r="N129" s="189">
        <f t="shared" si="3"/>
        <v>7900</v>
      </c>
    </row>
    <row r="130" spans="1:16" s="180" customFormat="1" x14ac:dyDescent="0.15">
      <c r="A130" s="11">
        <f t="shared" si="2"/>
        <v>20130006</v>
      </c>
      <c r="B130" s="13">
        <v>2</v>
      </c>
      <c r="C130" s="12">
        <v>0</v>
      </c>
      <c r="D130" s="13">
        <v>13</v>
      </c>
      <c r="E130" s="13">
        <v>0</v>
      </c>
      <c r="F130" s="12">
        <v>6</v>
      </c>
      <c r="G130" s="55">
        <v>10000000</v>
      </c>
      <c r="H130" s="55">
        <v>140</v>
      </c>
      <c r="I130" s="55">
        <v>0</v>
      </c>
      <c r="J130" s="55">
        <v>50</v>
      </c>
      <c r="K130" s="55">
        <v>179</v>
      </c>
      <c r="L130" s="10"/>
      <c r="M130" s="10">
        <f>(H130-ARITHMETIC_COEFFICIENT!I134*L130)*J130*K130</f>
        <v>1253000</v>
      </c>
      <c r="N130" s="189">
        <f t="shared" si="3"/>
        <v>8950</v>
      </c>
    </row>
    <row r="131" spans="1:16" s="180" customFormat="1" x14ac:dyDescent="0.15">
      <c r="A131" s="11">
        <f t="shared" si="2"/>
        <v>20130007</v>
      </c>
      <c r="B131" s="13">
        <v>2</v>
      </c>
      <c r="C131" s="12">
        <v>0</v>
      </c>
      <c r="D131" s="13">
        <v>13</v>
      </c>
      <c r="E131" s="13">
        <v>0</v>
      </c>
      <c r="F131" s="12">
        <v>7</v>
      </c>
      <c r="G131" s="55">
        <v>10000000</v>
      </c>
      <c r="H131" s="55">
        <v>160</v>
      </c>
      <c r="I131" s="55">
        <v>0</v>
      </c>
      <c r="J131" s="55">
        <v>50</v>
      </c>
      <c r="K131" s="55">
        <v>190</v>
      </c>
      <c r="L131" s="10"/>
      <c r="M131" s="10">
        <f>(H131-ARITHMETIC_COEFFICIENT!I135*L131)*J131*K131</f>
        <v>1520000</v>
      </c>
      <c r="N131" s="189">
        <f t="shared" si="3"/>
        <v>9500</v>
      </c>
    </row>
    <row r="132" spans="1:16" s="180" customFormat="1" x14ac:dyDescent="0.15">
      <c r="A132" s="11">
        <f t="shared" si="2"/>
        <v>20130008</v>
      </c>
      <c r="B132" s="13">
        <v>2</v>
      </c>
      <c r="C132" s="12">
        <v>0</v>
      </c>
      <c r="D132" s="13">
        <v>13</v>
      </c>
      <c r="E132" s="13">
        <v>0</v>
      </c>
      <c r="F132" s="12">
        <v>8</v>
      </c>
      <c r="G132" s="55">
        <v>10000000</v>
      </c>
      <c r="H132" s="55">
        <v>180</v>
      </c>
      <c r="I132" s="55">
        <v>0</v>
      </c>
      <c r="J132" s="55">
        <v>50</v>
      </c>
      <c r="K132" s="55">
        <v>215</v>
      </c>
      <c r="L132" s="10"/>
      <c r="M132" s="10">
        <f>(H132-ARITHMETIC_COEFFICIENT!I136*L132)*J132*K132</f>
        <v>1935000</v>
      </c>
      <c r="N132" s="189">
        <f t="shared" si="3"/>
        <v>10750</v>
      </c>
    </row>
    <row r="133" spans="1:16" s="180" customFormat="1" x14ac:dyDescent="0.15">
      <c r="A133" s="11">
        <f t="shared" si="2"/>
        <v>20130009</v>
      </c>
      <c r="B133" s="13">
        <v>2</v>
      </c>
      <c r="C133" s="12">
        <v>0</v>
      </c>
      <c r="D133" s="13">
        <v>13</v>
      </c>
      <c r="E133" s="13">
        <v>0</v>
      </c>
      <c r="F133" s="12">
        <v>9</v>
      </c>
      <c r="G133" s="55">
        <v>10000000</v>
      </c>
      <c r="H133" s="55">
        <v>200</v>
      </c>
      <c r="I133" s="55">
        <v>0</v>
      </c>
      <c r="J133" s="55">
        <v>50</v>
      </c>
      <c r="K133" s="55">
        <v>228</v>
      </c>
      <c r="L133" s="10"/>
      <c r="M133" s="10">
        <f>(H133-ARITHMETIC_COEFFICIENT!I137*L133)*J133*K133</f>
        <v>2280000</v>
      </c>
      <c r="N133" s="189">
        <f t="shared" si="3"/>
        <v>11400</v>
      </c>
    </row>
    <row r="134" spans="1:16" s="180" customFormat="1" ht="17.25" thickBot="1" x14ac:dyDescent="0.2">
      <c r="A134" s="11">
        <f t="shared" ref="A134:A197" si="4">B134*10000000+C134*1000000+D134*10000+E134*100+F134</f>
        <v>20130010</v>
      </c>
      <c r="B134" s="13">
        <v>2</v>
      </c>
      <c r="C134" s="12">
        <v>0</v>
      </c>
      <c r="D134" s="108">
        <v>13</v>
      </c>
      <c r="E134" s="108">
        <v>0</v>
      </c>
      <c r="F134" s="12">
        <v>10</v>
      </c>
      <c r="G134" s="55">
        <v>10000000</v>
      </c>
      <c r="H134" s="55">
        <v>220</v>
      </c>
      <c r="I134" s="55">
        <v>0</v>
      </c>
      <c r="J134" s="55">
        <v>50</v>
      </c>
      <c r="K134" s="55">
        <v>252</v>
      </c>
      <c r="L134" s="10"/>
      <c r="M134" s="10">
        <f>(H134-ARITHMETIC_COEFFICIENT!I138*L134)*J134*K134</f>
        <v>2772000</v>
      </c>
      <c r="N134" s="189">
        <f t="shared" ref="N134:N197" si="5">J134*K134</f>
        <v>12600</v>
      </c>
    </row>
    <row r="135" spans="1:16" s="182" customFormat="1" x14ac:dyDescent="0.15">
      <c r="A135" s="18">
        <f t="shared" si="4"/>
        <v>20140001</v>
      </c>
      <c r="B135" s="20">
        <v>2</v>
      </c>
      <c r="C135" s="19">
        <v>0</v>
      </c>
      <c r="D135" s="20">
        <v>14</v>
      </c>
      <c r="E135" s="20">
        <v>0</v>
      </c>
      <c r="F135" s="19">
        <v>1</v>
      </c>
      <c r="G135" s="56">
        <v>17000000</v>
      </c>
      <c r="H135" s="56">
        <v>40</v>
      </c>
      <c r="I135" s="56">
        <v>0</v>
      </c>
      <c r="J135" s="56">
        <v>50</v>
      </c>
      <c r="K135" s="56">
        <v>103</v>
      </c>
      <c r="L135" s="17"/>
      <c r="M135" s="17">
        <f>(H135-ARITHMETIC_COEFFICIENT!I139*L135)*J135*K135</f>
        <v>206000</v>
      </c>
      <c r="N135" s="191">
        <f t="shared" si="5"/>
        <v>5150</v>
      </c>
      <c r="O135" s="182">
        <f>AVERAGE(N135:N144)</f>
        <v>10090</v>
      </c>
      <c r="P135" s="182">
        <f>O135/10</f>
        <v>1009</v>
      </c>
    </row>
    <row r="136" spans="1:16" s="180" customFormat="1" x14ac:dyDescent="0.15">
      <c r="A136" s="11">
        <f t="shared" si="4"/>
        <v>20140002</v>
      </c>
      <c r="B136" s="13">
        <v>2</v>
      </c>
      <c r="C136" s="12">
        <v>0</v>
      </c>
      <c r="D136" s="13">
        <v>14</v>
      </c>
      <c r="E136" s="13">
        <v>0</v>
      </c>
      <c r="F136" s="12">
        <v>2</v>
      </c>
      <c r="G136" s="55">
        <v>17000000</v>
      </c>
      <c r="H136" s="55">
        <v>60</v>
      </c>
      <c r="I136" s="55">
        <v>0</v>
      </c>
      <c r="J136" s="55">
        <v>50</v>
      </c>
      <c r="K136" s="55">
        <v>124</v>
      </c>
      <c r="L136" s="10"/>
      <c r="M136" s="10">
        <f>(H136-ARITHMETIC_COEFFICIENT!I140*L136)*J136*K136</f>
        <v>372000</v>
      </c>
      <c r="N136" s="189">
        <f t="shared" si="5"/>
        <v>6200</v>
      </c>
    </row>
    <row r="137" spans="1:16" s="180" customFormat="1" x14ac:dyDescent="0.15">
      <c r="A137" s="11">
        <f t="shared" si="4"/>
        <v>20140003</v>
      </c>
      <c r="B137" s="13">
        <v>2</v>
      </c>
      <c r="C137" s="12">
        <v>0</v>
      </c>
      <c r="D137" s="13">
        <v>14</v>
      </c>
      <c r="E137" s="13">
        <v>0</v>
      </c>
      <c r="F137" s="12">
        <v>3</v>
      </c>
      <c r="G137" s="55">
        <v>17000000</v>
      </c>
      <c r="H137" s="55">
        <v>80</v>
      </c>
      <c r="I137" s="55">
        <v>0</v>
      </c>
      <c r="J137" s="55">
        <v>50</v>
      </c>
      <c r="K137" s="55">
        <v>149</v>
      </c>
      <c r="L137" s="10"/>
      <c r="M137" s="10">
        <f>(H137-ARITHMETIC_COEFFICIENT!I141*L137)*J137*K137</f>
        <v>596000</v>
      </c>
      <c r="N137" s="189">
        <f t="shared" si="5"/>
        <v>7450</v>
      </c>
    </row>
    <row r="138" spans="1:16" s="180" customFormat="1" x14ac:dyDescent="0.15">
      <c r="A138" s="11">
        <f t="shared" si="4"/>
        <v>20140004</v>
      </c>
      <c r="B138" s="13">
        <v>2</v>
      </c>
      <c r="C138" s="12">
        <v>0</v>
      </c>
      <c r="D138" s="13">
        <v>14</v>
      </c>
      <c r="E138" s="13">
        <v>0</v>
      </c>
      <c r="F138" s="12">
        <v>4</v>
      </c>
      <c r="G138" s="55">
        <v>17000000</v>
      </c>
      <c r="H138" s="55">
        <v>100</v>
      </c>
      <c r="I138" s="55">
        <v>0</v>
      </c>
      <c r="J138" s="55">
        <v>50</v>
      </c>
      <c r="K138" s="55">
        <v>175</v>
      </c>
      <c r="L138" s="10"/>
      <c r="M138" s="10">
        <f>(H138-ARITHMETIC_COEFFICIENT!I142*L138)*J138*K138</f>
        <v>875000</v>
      </c>
      <c r="N138" s="189">
        <f t="shared" si="5"/>
        <v>8750</v>
      </c>
    </row>
    <row r="139" spans="1:16" s="180" customFormat="1" x14ac:dyDescent="0.15">
      <c r="A139" s="11">
        <f t="shared" si="4"/>
        <v>20140005</v>
      </c>
      <c r="B139" s="13">
        <v>2</v>
      </c>
      <c r="C139" s="12">
        <v>0</v>
      </c>
      <c r="D139" s="13">
        <v>14</v>
      </c>
      <c r="E139" s="13">
        <v>0</v>
      </c>
      <c r="F139" s="12">
        <v>5</v>
      </c>
      <c r="G139" s="55">
        <v>17000000</v>
      </c>
      <c r="H139" s="55">
        <v>120</v>
      </c>
      <c r="I139" s="55">
        <v>0</v>
      </c>
      <c r="J139" s="55">
        <v>50</v>
      </c>
      <c r="K139" s="55">
        <v>190</v>
      </c>
      <c r="L139" s="10"/>
      <c r="M139" s="10">
        <f>(H139-ARITHMETIC_COEFFICIENT!I143*L139)*J139*K139</f>
        <v>1140000</v>
      </c>
      <c r="N139" s="189">
        <f t="shared" si="5"/>
        <v>9500</v>
      </c>
    </row>
    <row r="140" spans="1:16" s="180" customFormat="1" x14ac:dyDescent="0.15">
      <c r="A140" s="11">
        <f t="shared" si="4"/>
        <v>20140006</v>
      </c>
      <c r="B140" s="13">
        <v>2</v>
      </c>
      <c r="C140" s="12">
        <v>0</v>
      </c>
      <c r="D140" s="13">
        <v>14</v>
      </c>
      <c r="E140" s="13">
        <v>0</v>
      </c>
      <c r="F140" s="12">
        <v>6</v>
      </c>
      <c r="G140" s="55">
        <v>17000000</v>
      </c>
      <c r="H140" s="55">
        <v>140</v>
      </c>
      <c r="I140" s="55">
        <v>0</v>
      </c>
      <c r="J140" s="55">
        <v>50</v>
      </c>
      <c r="K140" s="55">
        <v>215</v>
      </c>
      <c r="L140" s="10"/>
      <c r="M140" s="10">
        <f>(H140-ARITHMETIC_COEFFICIENT!I144*L140)*J140*K140</f>
        <v>1505000</v>
      </c>
      <c r="N140" s="189">
        <f t="shared" si="5"/>
        <v>10750</v>
      </c>
    </row>
    <row r="141" spans="1:16" s="180" customFormat="1" x14ac:dyDescent="0.15">
      <c r="A141" s="11">
        <f t="shared" si="4"/>
        <v>20140007</v>
      </c>
      <c r="B141" s="13">
        <v>2</v>
      </c>
      <c r="C141" s="12">
        <v>0</v>
      </c>
      <c r="D141" s="13">
        <v>14</v>
      </c>
      <c r="E141" s="13">
        <v>0</v>
      </c>
      <c r="F141" s="12">
        <v>7</v>
      </c>
      <c r="G141" s="55">
        <v>17000000</v>
      </c>
      <c r="H141" s="55">
        <v>160</v>
      </c>
      <c r="I141" s="55">
        <v>0</v>
      </c>
      <c r="J141" s="55">
        <v>50</v>
      </c>
      <c r="K141" s="55">
        <v>228</v>
      </c>
      <c r="L141" s="10"/>
      <c r="M141" s="10">
        <f>(H141-ARITHMETIC_COEFFICIENT!I145*L141)*J141*K141</f>
        <v>1824000</v>
      </c>
      <c r="N141" s="189">
        <f t="shared" si="5"/>
        <v>11400</v>
      </c>
    </row>
    <row r="142" spans="1:16" s="180" customFormat="1" x14ac:dyDescent="0.15">
      <c r="A142" s="11">
        <f t="shared" si="4"/>
        <v>20140008</v>
      </c>
      <c r="B142" s="13">
        <v>2</v>
      </c>
      <c r="C142" s="12">
        <v>0</v>
      </c>
      <c r="D142" s="13">
        <v>14</v>
      </c>
      <c r="E142" s="13">
        <v>0</v>
      </c>
      <c r="F142" s="12">
        <v>8</v>
      </c>
      <c r="G142" s="55">
        <v>17000000</v>
      </c>
      <c r="H142" s="55">
        <v>180</v>
      </c>
      <c r="I142" s="55">
        <v>0</v>
      </c>
      <c r="J142" s="55">
        <v>50</v>
      </c>
      <c r="K142" s="55">
        <v>258</v>
      </c>
      <c r="L142" s="10"/>
      <c r="M142" s="10">
        <f>(H142-ARITHMETIC_COEFFICIENT!I146*L142)*J142*K142</f>
        <v>2322000</v>
      </c>
      <c r="N142" s="189">
        <f t="shared" si="5"/>
        <v>12900</v>
      </c>
    </row>
    <row r="143" spans="1:16" s="180" customFormat="1" x14ac:dyDescent="0.15">
      <c r="A143" s="11">
        <f t="shared" si="4"/>
        <v>20140009</v>
      </c>
      <c r="B143" s="13">
        <v>2</v>
      </c>
      <c r="C143" s="12">
        <v>0</v>
      </c>
      <c r="D143" s="13">
        <v>14</v>
      </c>
      <c r="E143" s="13">
        <v>0</v>
      </c>
      <c r="F143" s="12">
        <v>9</v>
      </c>
      <c r="G143" s="55">
        <v>17000000</v>
      </c>
      <c r="H143" s="55">
        <v>200</v>
      </c>
      <c r="I143" s="55">
        <v>0</v>
      </c>
      <c r="J143" s="55">
        <v>50</v>
      </c>
      <c r="K143" s="55">
        <v>274</v>
      </c>
      <c r="L143" s="10"/>
      <c r="M143" s="10">
        <f>(H143-ARITHMETIC_COEFFICIENT!I147*L143)*J143*K143</f>
        <v>2740000</v>
      </c>
      <c r="N143" s="189">
        <f t="shared" si="5"/>
        <v>13700</v>
      </c>
    </row>
    <row r="144" spans="1:16" s="180" customFormat="1" ht="17.25" thickBot="1" x14ac:dyDescent="0.2">
      <c r="A144" s="11">
        <f t="shared" si="4"/>
        <v>20140010</v>
      </c>
      <c r="B144" s="13">
        <v>2</v>
      </c>
      <c r="C144" s="12">
        <v>0</v>
      </c>
      <c r="D144" s="108">
        <v>14</v>
      </c>
      <c r="E144" s="108">
        <v>0</v>
      </c>
      <c r="F144" s="12">
        <v>10</v>
      </c>
      <c r="G144" s="55">
        <v>17000000</v>
      </c>
      <c r="H144" s="55">
        <v>220</v>
      </c>
      <c r="I144" s="55">
        <v>0</v>
      </c>
      <c r="J144" s="55">
        <v>50</v>
      </c>
      <c r="K144" s="55">
        <v>302</v>
      </c>
      <c r="L144" s="10"/>
      <c r="M144" s="10">
        <f>(H144-ARITHMETIC_COEFFICIENT!I148*L144)*J144*K144</f>
        <v>3322000</v>
      </c>
      <c r="N144" s="189">
        <f t="shared" si="5"/>
        <v>15100</v>
      </c>
    </row>
    <row r="145" spans="1:16" s="182" customFormat="1" x14ac:dyDescent="0.15">
      <c r="A145" s="18">
        <f t="shared" si="4"/>
        <v>20150001</v>
      </c>
      <c r="B145" s="20">
        <v>2</v>
      </c>
      <c r="C145" s="19">
        <v>0</v>
      </c>
      <c r="D145" s="20">
        <v>15</v>
      </c>
      <c r="E145" s="20">
        <v>0</v>
      </c>
      <c r="F145" s="19">
        <v>1</v>
      </c>
      <c r="G145" s="56">
        <v>37000000</v>
      </c>
      <c r="H145" s="56">
        <v>40</v>
      </c>
      <c r="I145" s="56">
        <v>0</v>
      </c>
      <c r="J145" s="56">
        <v>50</v>
      </c>
      <c r="K145" s="56">
        <v>124</v>
      </c>
      <c r="L145" s="17"/>
      <c r="M145" s="17">
        <f>(H145-ARITHMETIC_COEFFICIENT!I149*L145)*J145*K145</f>
        <v>248000</v>
      </c>
      <c r="N145" s="191">
        <f t="shared" si="5"/>
        <v>6200</v>
      </c>
      <c r="O145" s="182">
        <f>AVERAGE(N145:N154)</f>
        <v>12115</v>
      </c>
      <c r="P145" s="182">
        <f>O145/10</f>
        <v>1211.5</v>
      </c>
    </row>
    <row r="146" spans="1:16" s="180" customFormat="1" x14ac:dyDescent="0.15">
      <c r="A146" s="11">
        <f t="shared" si="4"/>
        <v>20150002</v>
      </c>
      <c r="B146" s="13">
        <v>2</v>
      </c>
      <c r="C146" s="12">
        <v>0</v>
      </c>
      <c r="D146" s="13">
        <v>15</v>
      </c>
      <c r="E146" s="13">
        <v>0</v>
      </c>
      <c r="F146" s="12">
        <v>2</v>
      </c>
      <c r="G146" s="55">
        <v>37000000</v>
      </c>
      <c r="H146" s="55">
        <v>60</v>
      </c>
      <c r="I146" s="55">
        <v>0</v>
      </c>
      <c r="J146" s="55">
        <v>50</v>
      </c>
      <c r="K146" s="55">
        <v>149</v>
      </c>
      <c r="L146" s="10"/>
      <c r="M146" s="10">
        <f>(H146-ARITHMETIC_COEFFICIENT!I150*L146)*J146*K146</f>
        <v>447000</v>
      </c>
      <c r="N146" s="189">
        <f t="shared" si="5"/>
        <v>7450</v>
      </c>
    </row>
    <row r="147" spans="1:16" s="180" customFormat="1" x14ac:dyDescent="0.15">
      <c r="A147" s="11">
        <f t="shared" si="4"/>
        <v>20150003</v>
      </c>
      <c r="B147" s="13">
        <v>2</v>
      </c>
      <c r="C147" s="12">
        <v>0</v>
      </c>
      <c r="D147" s="13">
        <v>15</v>
      </c>
      <c r="E147" s="13">
        <v>0</v>
      </c>
      <c r="F147" s="12">
        <v>3</v>
      </c>
      <c r="G147" s="55">
        <v>37000000</v>
      </c>
      <c r="H147" s="55">
        <v>80</v>
      </c>
      <c r="I147" s="55">
        <v>0</v>
      </c>
      <c r="J147" s="55">
        <v>50</v>
      </c>
      <c r="K147" s="55">
        <v>179</v>
      </c>
      <c r="L147" s="10"/>
      <c r="M147" s="10">
        <f>(H147-ARITHMETIC_COEFFICIENT!I151*L147)*J147*K147</f>
        <v>716000</v>
      </c>
      <c r="N147" s="189">
        <f t="shared" si="5"/>
        <v>8950</v>
      </c>
    </row>
    <row r="148" spans="1:16" s="180" customFormat="1" x14ac:dyDescent="0.15">
      <c r="A148" s="11">
        <f t="shared" si="4"/>
        <v>20150004</v>
      </c>
      <c r="B148" s="13">
        <v>2</v>
      </c>
      <c r="C148" s="12">
        <v>0</v>
      </c>
      <c r="D148" s="13">
        <v>15</v>
      </c>
      <c r="E148" s="13">
        <v>0</v>
      </c>
      <c r="F148" s="12">
        <v>4</v>
      </c>
      <c r="G148" s="55">
        <v>37000000</v>
      </c>
      <c r="H148" s="55">
        <v>100</v>
      </c>
      <c r="I148" s="55">
        <v>0</v>
      </c>
      <c r="J148" s="55">
        <v>50</v>
      </c>
      <c r="K148" s="55">
        <v>210</v>
      </c>
      <c r="L148" s="10"/>
      <c r="M148" s="10">
        <f>(H148-ARITHMETIC_COEFFICIENT!I152*L148)*J148*K148</f>
        <v>1050000</v>
      </c>
      <c r="N148" s="189">
        <f t="shared" si="5"/>
        <v>10500</v>
      </c>
    </row>
    <row r="149" spans="1:16" s="180" customFormat="1" x14ac:dyDescent="0.15">
      <c r="A149" s="11">
        <f t="shared" si="4"/>
        <v>20150005</v>
      </c>
      <c r="B149" s="13">
        <v>2</v>
      </c>
      <c r="C149" s="12">
        <v>0</v>
      </c>
      <c r="D149" s="13">
        <v>15</v>
      </c>
      <c r="E149" s="13">
        <v>0</v>
      </c>
      <c r="F149" s="12">
        <v>5</v>
      </c>
      <c r="G149" s="55">
        <v>37000000</v>
      </c>
      <c r="H149" s="55">
        <v>120</v>
      </c>
      <c r="I149" s="55">
        <v>0</v>
      </c>
      <c r="J149" s="55">
        <v>50</v>
      </c>
      <c r="K149" s="55">
        <v>228</v>
      </c>
      <c r="L149" s="10"/>
      <c r="M149" s="10">
        <f>(H149-ARITHMETIC_COEFFICIENT!I153*L149)*J149*K149</f>
        <v>1368000</v>
      </c>
      <c r="N149" s="189">
        <f t="shared" si="5"/>
        <v>11400</v>
      </c>
    </row>
    <row r="150" spans="1:16" s="180" customFormat="1" x14ac:dyDescent="0.15">
      <c r="A150" s="11">
        <f t="shared" si="4"/>
        <v>20150006</v>
      </c>
      <c r="B150" s="13">
        <v>2</v>
      </c>
      <c r="C150" s="12">
        <v>0</v>
      </c>
      <c r="D150" s="13">
        <v>15</v>
      </c>
      <c r="E150" s="13">
        <v>0</v>
      </c>
      <c r="F150" s="12">
        <v>6</v>
      </c>
      <c r="G150" s="55">
        <v>37000000</v>
      </c>
      <c r="H150" s="55">
        <v>140</v>
      </c>
      <c r="I150" s="55">
        <v>0</v>
      </c>
      <c r="J150" s="55">
        <v>50</v>
      </c>
      <c r="K150" s="55">
        <v>258</v>
      </c>
      <c r="L150" s="10"/>
      <c r="M150" s="10">
        <f>(H150-ARITHMETIC_COEFFICIENT!I154*L150)*J150*K150</f>
        <v>1806000</v>
      </c>
      <c r="N150" s="189">
        <f t="shared" si="5"/>
        <v>12900</v>
      </c>
    </row>
    <row r="151" spans="1:16" s="180" customFormat="1" x14ac:dyDescent="0.15">
      <c r="A151" s="11">
        <f t="shared" si="4"/>
        <v>20150007</v>
      </c>
      <c r="B151" s="13">
        <v>2</v>
      </c>
      <c r="C151" s="12">
        <v>0</v>
      </c>
      <c r="D151" s="13">
        <v>15</v>
      </c>
      <c r="E151" s="13">
        <v>0</v>
      </c>
      <c r="F151" s="12">
        <v>7</v>
      </c>
      <c r="G151" s="55">
        <v>37000000</v>
      </c>
      <c r="H151" s="55">
        <v>160</v>
      </c>
      <c r="I151" s="55">
        <v>0</v>
      </c>
      <c r="J151" s="55">
        <v>50</v>
      </c>
      <c r="K151" s="55">
        <v>274</v>
      </c>
      <c r="L151" s="10"/>
      <c r="M151" s="10">
        <f>(H151-ARITHMETIC_COEFFICIENT!I155*L151)*J151*K151</f>
        <v>2192000</v>
      </c>
      <c r="N151" s="189">
        <f t="shared" si="5"/>
        <v>13700</v>
      </c>
    </row>
    <row r="152" spans="1:16" s="180" customFormat="1" x14ac:dyDescent="0.15">
      <c r="A152" s="11">
        <f t="shared" si="4"/>
        <v>20150008</v>
      </c>
      <c r="B152" s="13">
        <v>2</v>
      </c>
      <c r="C152" s="12">
        <v>0</v>
      </c>
      <c r="D152" s="13">
        <v>15</v>
      </c>
      <c r="E152" s="13">
        <v>0</v>
      </c>
      <c r="F152" s="12">
        <v>8</v>
      </c>
      <c r="G152" s="55">
        <v>37000000</v>
      </c>
      <c r="H152" s="55">
        <v>180</v>
      </c>
      <c r="I152" s="55">
        <v>0</v>
      </c>
      <c r="J152" s="55">
        <v>50</v>
      </c>
      <c r="K152" s="55">
        <v>310</v>
      </c>
      <c r="L152" s="10"/>
      <c r="M152" s="10">
        <f>(H152-ARITHMETIC_COEFFICIENT!I156*L152)*J152*K152</f>
        <v>2790000</v>
      </c>
      <c r="N152" s="189">
        <f t="shared" si="5"/>
        <v>15500</v>
      </c>
    </row>
    <row r="153" spans="1:16" s="180" customFormat="1" x14ac:dyDescent="0.15">
      <c r="A153" s="11">
        <f t="shared" si="4"/>
        <v>20150009</v>
      </c>
      <c r="B153" s="13">
        <v>2</v>
      </c>
      <c r="C153" s="12">
        <v>0</v>
      </c>
      <c r="D153" s="13">
        <v>15</v>
      </c>
      <c r="E153" s="13">
        <v>0</v>
      </c>
      <c r="F153" s="12">
        <v>9</v>
      </c>
      <c r="G153" s="55">
        <v>37000000</v>
      </c>
      <c r="H153" s="55">
        <v>200</v>
      </c>
      <c r="I153" s="55">
        <v>0</v>
      </c>
      <c r="J153" s="55">
        <v>50</v>
      </c>
      <c r="K153" s="55">
        <v>329</v>
      </c>
      <c r="L153" s="10"/>
      <c r="M153" s="10">
        <f>(H153-ARITHMETIC_COEFFICIENT!I157*L153)*J153*K153</f>
        <v>3290000</v>
      </c>
      <c r="N153" s="189">
        <f t="shared" si="5"/>
        <v>16450</v>
      </c>
    </row>
    <row r="154" spans="1:16" s="180" customFormat="1" ht="17.25" thickBot="1" x14ac:dyDescent="0.2">
      <c r="A154" s="11">
        <f t="shared" si="4"/>
        <v>20150010</v>
      </c>
      <c r="B154" s="13">
        <v>2</v>
      </c>
      <c r="C154" s="12">
        <v>0</v>
      </c>
      <c r="D154" s="108">
        <v>15</v>
      </c>
      <c r="E154" s="108">
        <v>0</v>
      </c>
      <c r="F154" s="12">
        <v>10</v>
      </c>
      <c r="G154" s="55">
        <v>37000000</v>
      </c>
      <c r="H154" s="55">
        <v>220</v>
      </c>
      <c r="I154" s="55">
        <v>0</v>
      </c>
      <c r="J154" s="55">
        <v>50</v>
      </c>
      <c r="K154" s="55">
        <v>362</v>
      </c>
      <c r="L154" s="10"/>
      <c r="M154" s="10">
        <f>(H154-ARITHMETIC_COEFFICIENT!I158*L154)*J154*K154</f>
        <v>3982000</v>
      </c>
      <c r="N154" s="189">
        <f t="shared" si="5"/>
        <v>18100</v>
      </c>
    </row>
    <row r="155" spans="1:16" s="182" customFormat="1" x14ac:dyDescent="0.15">
      <c r="A155" s="18">
        <f t="shared" si="4"/>
        <v>20160001</v>
      </c>
      <c r="B155" s="20">
        <v>2</v>
      </c>
      <c r="C155" s="19">
        <v>0</v>
      </c>
      <c r="D155" s="20">
        <v>16</v>
      </c>
      <c r="E155" s="20">
        <v>0</v>
      </c>
      <c r="F155" s="19">
        <v>1</v>
      </c>
      <c r="G155" s="56">
        <v>85000000</v>
      </c>
      <c r="H155" s="56">
        <v>40</v>
      </c>
      <c r="I155" s="56">
        <v>0</v>
      </c>
      <c r="J155" s="56">
        <v>50</v>
      </c>
      <c r="K155" s="56">
        <v>149</v>
      </c>
      <c r="L155" s="17"/>
      <c r="M155" s="17">
        <f>(H155-ARITHMETIC_COEFFICIENT!I159*L155)*J155*K155</f>
        <v>298000</v>
      </c>
      <c r="N155" s="191">
        <f t="shared" si="5"/>
        <v>7450</v>
      </c>
      <c r="O155" s="182">
        <f>AVERAGE(N155:N164)</f>
        <v>14545</v>
      </c>
      <c r="P155" s="182">
        <f>O155/10</f>
        <v>1454.5</v>
      </c>
    </row>
    <row r="156" spans="1:16" s="180" customFormat="1" x14ac:dyDescent="0.15">
      <c r="A156" s="11">
        <f t="shared" si="4"/>
        <v>20160002</v>
      </c>
      <c r="B156" s="13">
        <v>2</v>
      </c>
      <c r="C156" s="12">
        <v>0</v>
      </c>
      <c r="D156" s="13">
        <v>16</v>
      </c>
      <c r="E156" s="13">
        <v>0</v>
      </c>
      <c r="F156" s="12">
        <v>2</v>
      </c>
      <c r="G156" s="55">
        <v>85000000</v>
      </c>
      <c r="H156" s="55">
        <v>60</v>
      </c>
      <c r="I156" s="55">
        <v>0</v>
      </c>
      <c r="J156" s="55">
        <v>50</v>
      </c>
      <c r="K156" s="55">
        <v>179</v>
      </c>
      <c r="L156" s="10"/>
      <c r="M156" s="10">
        <f>(H156-ARITHMETIC_COEFFICIENT!I160*L156)*J156*K156</f>
        <v>537000</v>
      </c>
      <c r="N156" s="189">
        <f t="shared" si="5"/>
        <v>8950</v>
      </c>
    </row>
    <row r="157" spans="1:16" s="180" customFormat="1" x14ac:dyDescent="0.15">
      <c r="A157" s="11">
        <f t="shared" si="4"/>
        <v>20160003</v>
      </c>
      <c r="B157" s="13">
        <v>2</v>
      </c>
      <c r="C157" s="12">
        <v>0</v>
      </c>
      <c r="D157" s="13">
        <v>16</v>
      </c>
      <c r="E157" s="13">
        <v>0</v>
      </c>
      <c r="F157" s="12">
        <v>3</v>
      </c>
      <c r="G157" s="55">
        <v>85000000</v>
      </c>
      <c r="H157" s="55">
        <v>80</v>
      </c>
      <c r="I157" s="55">
        <v>0</v>
      </c>
      <c r="J157" s="55">
        <v>50</v>
      </c>
      <c r="K157" s="55">
        <v>215</v>
      </c>
      <c r="L157" s="10"/>
      <c r="M157" s="10">
        <f>(H157-ARITHMETIC_COEFFICIENT!I161*L157)*J157*K157</f>
        <v>860000</v>
      </c>
      <c r="N157" s="189">
        <f t="shared" si="5"/>
        <v>10750</v>
      </c>
    </row>
    <row r="158" spans="1:16" s="180" customFormat="1" x14ac:dyDescent="0.15">
      <c r="A158" s="11">
        <f t="shared" si="4"/>
        <v>20160004</v>
      </c>
      <c r="B158" s="13">
        <v>2</v>
      </c>
      <c r="C158" s="12">
        <v>0</v>
      </c>
      <c r="D158" s="13">
        <v>16</v>
      </c>
      <c r="E158" s="13">
        <v>0</v>
      </c>
      <c r="F158" s="12">
        <v>4</v>
      </c>
      <c r="G158" s="55">
        <v>85000000</v>
      </c>
      <c r="H158" s="55">
        <v>100</v>
      </c>
      <c r="I158" s="55">
        <v>0</v>
      </c>
      <c r="J158" s="55">
        <v>50</v>
      </c>
      <c r="K158" s="55">
        <v>252</v>
      </c>
      <c r="L158" s="10"/>
      <c r="M158" s="10">
        <f>(H158-ARITHMETIC_COEFFICIENT!I162*L158)*J158*K158</f>
        <v>1260000</v>
      </c>
      <c r="N158" s="189">
        <f t="shared" si="5"/>
        <v>12600</v>
      </c>
    </row>
    <row r="159" spans="1:16" s="180" customFormat="1" x14ac:dyDescent="0.15">
      <c r="A159" s="11">
        <f t="shared" si="4"/>
        <v>20160005</v>
      </c>
      <c r="B159" s="13">
        <v>2</v>
      </c>
      <c r="C159" s="12">
        <v>0</v>
      </c>
      <c r="D159" s="13">
        <v>16</v>
      </c>
      <c r="E159" s="13">
        <v>0</v>
      </c>
      <c r="F159" s="12">
        <v>5</v>
      </c>
      <c r="G159" s="55">
        <v>85000000</v>
      </c>
      <c r="H159" s="55">
        <v>120</v>
      </c>
      <c r="I159" s="55">
        <v>0</v>
      </c>
      <c r="J159" s="55">
        <v>50</v>
      </c>
      <c r="K159" s="55">
        <v>274</v>
      </c>
      <c r="L159" s="10"/>
      <c r="M159" s="10">
        <f>(H159-ARITHMETIC_COEFFICIENT!I163*L159)*J159*K159</f>
        <v>1644000</v>
      </c>
      <c r="N159" s="189">
        <f t="shared" si="5"/>
        <v>13700</v>
      </c>
    </row>
    <row r="160" spans="1:16" s="180" customFormat="1" x14ac:dyDescent="0.15">
      <c r="A160" s="11">
        <f t="shared" si="4"/>
        <v>20160006</v>
      </c>
      <c r="B160" s="13">
        <v>2</v>
      </c>
      <c r="C160" s="12">
        <v>0</v>
      </c>
      <c r="D160" s="13">
        <v>16</v>
      </c>
      <c r="E160" s="13">
        <v>0</v>
      </c>
      <c r="F160" s="12">
        <v>6</v>
      </c>
      <c r="G160" s="55">
        <v>85000000</v>
      </c>
      <c r="H160" s="55">
        <v>140</v>
      </c>
      <c r="I160" s="55">
        <v>0</v>
      </c>
      <c r="J160" s="55">
        <v>50</v>
      </c>
      <c r="K160" s="55">
        <v>310</v>
      </c>
      <c r="L160" s="10"/>
      <c r="M160" s="10">
        <f>(H160-ARITHMETIC_COEFFICIENT!I164*L160)*J160*K160</f>
        <v>2170000</v>
      </c>
      <c r="N160" s="189">
        <f t="shared" si="5"/>
        <v>15500</v>
      </c>
    </row>
    <row r="161" spans="1:16" s="180" customFormat="1" x14ac:dyDescent="0.15">
      <c r="A161" s="11">
        <f t="shared" si="4"/>
        <v>20160007</v>
      </c>
      <c r="B161" s="13">
        <v>2</v>
      </c>
      <c r="C161" s="12">
        <v>0</v>
      </c>
      <c r="D161" s="13">
        <v>16</v>
      </c>
      <c r="E161" s="13">
        <v>0</v>
      </c>
      <c r="F161" s="12">
        <v>7</v>
      </c>
      <c r="G161" s="55">
        <v>85000000</v>
      </c>
      <c r="H161" s="55">
        <v>160</v>
      </c>
      <c r="I161" s="55">
        <v>0</v>
      </c>
      <c r="J161" s="55">
        <v>50</v>
      </c>
      <c r="K161" s="55">
        <v>329</v>
      </c>
      <c r="L161" s="10"/>
      <c r="M161" s="10">
        <f>(H161-ARITHMETIC_COEFFICIENT!I165*L161)*J161*K161</f>
        <v>2632000</v>
      </c>
      <c r="N161" s="189">
        <f t="shared" si="5"/>
        <v>16450</v>
      </c>
    </row>
    <row r="162" spans="1:16" s="180" customFormat="1" x14ac:dyDescent="0.15">
      <c r="A162" s="11">
        <f t="shared" si="4"/>
        <v>20160008</v>
      </c>
      <c r="B162" s="13">
        <v>2</v>
      </c>
      <c r="C162" s="12">
        <v>0</v>
      </c>
      <c r="D162" s="13">
        <v>16</v>
      </c>
      <c r="E162" s="13">
        <v>0</v>
      </c>
      <c r="F162" s="12">
        <v>8</v>
      </c>
      <c r="G162" s="55">
        <v>85000000</v>
      </c>
      <c r="H162" s="55">
        <v>180</v>
      </c>
      <c r="I162" s="55">
        <v>0</v>
      </c>
      <c r="J162" s="55">
        <v>50</v>
      </c>
      <c r="K162" s="55">
        <v>372</v>
      </c>
      <c r="L162" s="10"/>
      <c r="M162" s="10">
        <f>(H162-ARITHMETIC_COEFFICIENT!I166*L162)*J162*K162</f>
        <v>3348000</v>
      </c>
      <c r="N162" s="189">
        <f t="shared" si="5"/>
        <v>18600</v>
      </c>
    </row>
    <row r="163" spans="1:16" s="180" customFormat="1" x14ac:dyDescent="0.15">
      <c r="A163" s="11">
        <f t="shared" si="4"/>
        <v>20160009</v>
      </c>
      <c r="B163" s="13">
        <v>2</v>
      </c>
      <c r="C163" s="12">
        <v>0</v>
      </c>
      <c r="D163" s="13">
        <v>16</v>
      </c>
      <c r="E163" s="13">
        <v>0</v>
      </c>
      <c r="F163" s="12">
        <v>9</v>
      </c>
      <c r="G163" s="55">
        <v>85000000</v>
      </c>
      <c r="H163" s="55">
        <v>200</v>
      </c>
      <c r="I163" s="55">
        <v>0</v>
      </c>
      <c r="J163" s="55">
        <v>50</v>
      </c>
      <c r="K163" s="55">
        <v>395</v>
      </c>
      <c r="L163" s="10"/>
      <c r="M163" s="10">
        <f>(H163-ARITHMETIC_COEFFICIENT!I167*L163)*J163*K163</f>
        <v>3950000</v>
      </c>
      <c r="N163" s="189">
        <f t="shared" si="5"/>
        <v>19750</v>
      </c>
    </row>
    <row r="164" spans="1:16" s="180" customFormat="1" ht="17.25" thickBot="1" x14ac:dyDescent="0.2">
      <c r="A164" s="11">
        <f t="shared" si="4"/>
        <v>20160010</v>
      </c>
      <c r="B164" s="13">
        <v>2</v>
      </c>
      <c r="C164" s="12">
        <v>0</v>
      </c>
      <c r="D164" s="108">
        <v>16</v>
      </c>
      <c r="E164" s="108">
        <v>0</v>
      </c>
      <c r="F164" s="12">
        <v>10</v>
      </c>
      <c r="G164" s="55">
        <v>85000000</v>
      </c>
      <c r="H164" s="55">
        <v>220</v>
      </c>
      <c r="I164" s="55">
        <v>0</v>
      </c>
      <c r="J164" s="55">
        <v>50</v>
      </c>
      <c r="K164" s="55">
        <v>434</v>
      </c>
      <c r="L164" s="10"/>
      <c r="M164" s="10">
        <f>(H164-ARITHMETIC_COEFFICIENT!I168*L164)*J164*K164</f>
        <v>4774000</v>
      </c>
      <c r="N164" s="189">
        <f t="shared" si="5"/>
        <v>21700</v>
      </c>
    </row>
    <row r="165" spans="1:16" s="182" customFormat="1" x14ac:dyDescent="0.15">
      <c r="A165" s="18">
        <f t="shared" si="4"/>
        <v>20170001</v>
      </c>
      <c r="B165" s="20">
        <v>2</v>
      </c>
      <c r="C165" s="19">
        <v>0</v>
      </c>
      <c r="D165" s="20">
        <v>17</v>
      </c>
      <c r="E165" s="20">
        <v>0</v>
      </c>
      <c r="F165" s="19">
        <v>1</v>
      </c>
      <c r="G165" s="56">
        <v>345433600</v>
      </c>
      <c r="H165" s="56">
        <v>40</v>
      </c>
      <c r="I165" s="56">
        <v>0</v>
      </c>
      <c r="J165" s="56">
        <v>50</v>
      </c>
      <c r="K165" s="56">
        <v>179</v>
      </c>
      <c r="L165" s="17"/>
      <c r="M165" s="17">
        <f>(H165-ARITHMETIC_COEFFICIENT!I169*L165)*J165*K165</f>
        <v>358000</v>
      </c>
      <c r="N165" s="191">
        <f t="shared" si="5"/>
        <v>8950</v>
      </c>
      <c r="O165" s="182">
        <f>AVERAGE(N165:N174)</f>
        <v>17455</v>
      </c>
      <c r="P165" s="182">
        <f>O165/10</f>
        <v>1745.5</v>
      </c>
    </row>
    <row r="166" spans="1:16" s="180" customFormat="1" x14ac:dyDescent="0.15">
      <c r="A166" s="11">
        <f t="shared" si="4"/>
        <v>20170002</v>
      </c>
      <c r="B166" s="13">
        <v>2</v>
      </c>
      <c r="C166" s="12">
        <v>0</v>
      </c>
      <c r="D166" s="13">
        <v>17</v>
      </c>
      <c r="E166" s="13">
        <v>0</v>
      </c>
      <c r="F166" s="12">
        <v>2</v>
      </c>
      <c r="G166" s="55">
        <v>345433600</v>
      </c>
      <c r="H166" s="55">
        <v>60</v>
      </c>
      <c r="I166" s="55">
        <v>0</v>
      </c>
      <c r="J166" s="55">
        <v>50</v>
      </c>
      <c r="K166" s="55">
        <v>215</v>
      </c>
      <c r="L166" s="10"/>
      <c r="M166" s="10">
        <f>(H166-ARITHMETIC_COEFFICIENT!I170*L166)*J166*K166</f>
        <v>645000</v>
      </c>
      <c r="N166" s="189">
        <f t="shared" si="5"/>
        <v>10750</v>
      </c>
    </row>
    <row r="167" spans="1:16" s="180" customFormat="1" x14ac:dyDescent="0.15">
      <c r="A167" s="11">
        <f t="shared" si="4"/>
        <v>20170003</v>
      </c>
      <c r="B167" s="13">
        <v>2</v>
      </c>
      <c r="C167" s="12">
        <v>0</v>
      </c>
      <c r="D167" s="13">
        <v>17</v>
      </c>
      <c r="E167" s="13">
        <v>0</v>
      </c>
      <c r="F167" s="12">
        <v>3</v>
      </c>
      <c r="G167" s="55">
        <v>345433600</v>
      </c>
      <c r="H167" s="55">
        <v>80</v>
      </c>
      <c r="I167" s="55">
        <v>0</v>
      </c>
      <c r="J167" s="55">
        <v>50</v>
      </c>
      <c r="K167" s="55">
        <v>258</v>
      </c>
      <c r="L167" s="10"/>
      <c r="M167" s="10">
        <f>(H167-ARITHMETIC_COEFFICIENT!I171*L167)*J167*K167</f>
        <v>1032000</v>
      </c>
      <c r="N167" s="189">
        <f t="shared" si="5"/>
        <v>12900</v>
      </c>
    </row>
    <row r="168" spans="1:16" s="180" customFormat="1" x14ac:dyDescent="0.15">
      <c r="A168" s="11">
        <f t="shared" si="4"/>
        <v>20170004</v>
      </c>
      <c r="B168" s="13">
        <v>2</v>
      </c>
      <c r="C168" s="12">
        <v>0</v>
      </c>
      <c r="D168" s="13">
        <v>17</v>
      </c>
      <c r="E168" s="13">
        <v>0</v>
      </c>
      <c r="F168" s="12">
        <v>4</v>
      </c>
      <c r="G168" s="55">
        <v>345433600</v>
      </c>
      <c r="H168" s="55">
        <v>100</v>
      </c>
      <c r="I168" s="55">
        <v>0</v>
      </c>
      <c r="J168" s="55">
        <v>50</v>
      </c>
      <c r="K168" s="55">
        <v>302</v>
      </c>
      <c r="L168" s="10"/>
      <c r="M168" s="10">
        <f>(H168-ARITHMETIC_COEFFICIENT!I172*L168)*J168*K168</f>
        <v>1510000</v>
      </c>
      <c r="N168" s="189">
        <f t="shared" si="5"/>
        <v>15100</v>
      </c>
    </row>
    <row r="169" spans="1:16" s="180" customFormat="1" x14ac:dyDescent="0.15">
      <c r="A169" s="11">
        <f t="shared" si="4"/>
        <v>20170005</v>
      </c>
      <c r="B169" s="13">
        <v>2</v>
      </c>
      <c r="C169" s="12">
        <v>0</v>
      </c>
      <c r="D169" s="13">
        <v>17</v>
      </c>
      <c r="E169" s="13">
        <v>0</v>
      </c>
      <c r="F169" s="12">
        <v>5</v>
      </c>
      <c r="G169" s="55">
        <v>345433600</v>
      </c>
      <c r="H169" s="55">
        <v>120</v>
      </c>
      <c r="I169" s="55">
        <v>0</v>
      </c>
      <c r="J169" s="55">
        <v>50</v>
      </c>
      <c r="K169" s="55">
        <v>329</v>
      </c>
      <c r="L169" s="10"/>
      <c r="M169" s="10">
        <f>(H169-ARITHMETIC_COEFFICIENT!I173*L169)*J169*K169</f>
        <v>1974000</v>
      </c>
      <c r="N169" s="189">
        <f t="shared" si="5"/>
        <v>16450</v>
      </c>
    </row>
    <row r="170" spans="1:16" s="180" customFormat="1" x14ac:dyDescent="0.15">
      <c r="A170" s="11">
        <f t="shared" si="4"/>
        <v>20170006</v>
      </c>
      <c r="B170" s="13">
        <v>2</v>
      </c>
      <c r="C170" s="12">
        <v>0</v>
      </c>
      <c r="D170" s="13">
        <v>17</v>
      </c>
      <c r="E170" s="13">
        <v>0</v>
      </c>
      <c r="F170" s="12">
        <v>6</v>
      </c>
      <c r="G170" s="55">
        <v>345433600</v>
      </c>
      <c r="H170" s="55">
        <v>140</v>
      </c>
      <c r="I170" s="55">
        <v>0</v>
      </c>
      <c r="J170" s="55">
        <v>50</v>
      </c>
      <c r="K170" s="55">
        <v>372</v>
      </c>
      <c r="L170" s="10"/>
      <c r="M170" s="10">
        <f>(H170-ARITHMETIC_COEFFICIENT!I174*L170)*J170*K170</f>
        <v>2604000</v>
      </c>
      <c r="N170" s="189">
        <f t="shared" si="5"/>
        <v>18600</v>
      </c>
    </row>
    <row r="171" spans="1:16" s="180" customFormat="1" x14ac:dyDescent="0.15">
      <c r="A171" s="11">
        <f t="shared" si="4"/>
        <v>20170007</v>
      </c>
      <c r="B171" s="13">
        <v>2</v>
      </c>
      <c r="C171" s="12">
        <v>0</v>
      </c>
      <c r="D171" s="13">
        <v>17</v>
      </c>
      <c r="E171" s="13">
        <v>0</v>
      </c>
      <c r="F171" s="12">
        <v>7</v>
      </c>
      <c r="G171" s="55">
        <v>345433600</v>
      </c>
      <c r="H171" s="55">
        <v>160</v>
      </c>
      <c r="I171" s="55">
        <v>0</v>
      </c>
      <c r="J171" s="55">
        <v>50</v>
      </c>
      <c r="K171" s="55">
        <v>395</v>
      </c>
      <c r="L171" s="10"/>
      <c r="M171" s="10">
        <f>(H171-ARITHMETIC_COEFFICIENT!I175*L171)*J171*K171</f>
        <v>3160000</v>
      </c>
      <c r="N171" s="189">
        <f t="shared" si="5"/>
        <v>19750</v>
      </c>
    </row>
    <row r="172" spans="1:16" s="180" customFormat="1" x14ac:dyDescent="0.15">
      <c r="A172" s="11">
        <f t="shared" si="4"/>
        <v>20170008</v>
      </c>
      <c r="B172" s="13">
        <v>2</v>
      </c>
      <c r="C172" s="12">
        <v>0</v>
      </c>
      <c r="D172" s="13">
        <v>17</v>
      </c>
      <c r="E172" s="13">
        <v>0</v>
      </c>
      <c r="F172" s="12">
        <v>8</v>
      </c>
      <c r="G172" s="55">
        <v>345433600</v>
      </c>
      <c r="H172" s="55">
        <v>180</v>
      </c>
      <c r="I172" s="55">
        <v>0</v>
      </c>
      <c r="J172" s="55">
        <v>50</v>
      </c>
      <c r="K172" s="55">
        <v>446</v>
      </c>
      <c r="L172" s="10"/>
      <c r="M172" s="10">
        <f>(H172-ARITHMETIC_COEFFICIENT!I176*L172)*J172*K172</f>
        <v>4014000</v>
      </c>
      <c r="N172" s="189">
        <f t="shared" si="5"/>
        <v>22300</v>
      </c>
    </row>
    <row r="173" spans="1:16" s="180" customFormat="1" x14ac:dyDescent="0.15">
      <c r="A173" s="11">
        <f t="shared" si="4"/>
        <v>20170009</v>
      </c>
      <c r="B173" s="13">
        <v>2</v>
      </c>
      <c r="C173" s="12">
        <v>0</v>
      </c>
      <c r="D173" s="13">
        <v>17</v>
      </c>
      <c r="E173" s="13">
        <v>0</v>
      </c>
      <c r="F173" s="12">
        <v>9</v>
      </c>
      <c r="G173" s="55">
        <v>345433600</v>
      </c>
      <c r="H173" s="55">
        <v>200</v>
      </c>
      <c r="I173" s="55">
        <v>0</v>
      </c>
      <c r="J173" s="55">
        <v>50</v>
      </c>
      <c r="K173" s="55">
        <v>474</v>
      </c>
      <c r="L173" s="10"/>
      <c r="M173" s="10">
        <f>(H173-ARITHMETIC_COEFFICIENT!I177*L173)*J173*K173</f>
        <v>4740000</v>
      </c>
      <c r="N173" s="189">
        <f t="shared" si="5"/>
        <v>23700</v>
      </c>
    </row>
    <row r="174" spans="1:16" s="180" customFormat="1" ht="17.25" thickBot="1" x14ac:dyDescent="0.2">
      <c r="A174" s="11">
        <f t="shared" si="4"/>
        <v>20170010</v>
      </c>
      <c r="B174" s="13">
        <v>2</v>
      </c>
      <c r="C174" s="12">
        <v>0</v>
      </c>
      <c r="D174" s="108">
        <v>17</v>
      </c>
      <c r="E174" s="108">
        <v>0</v>
      </c>
      <c r="F174" s="12">
        <v>10</v>
      </c>
      <c r="G174" s="55">
        <v>345433600</v>
      </c>
      <c r="H174" s="55">
        <v>220</v>
      </c>
      <c r="I174" s="55">
        <v>0</v>
      </c>
      <c r="J174" s="55">
        <v>50</v>
      </c>
      <c r="K174" s="55">
        <v>521</v>
      </c>
      <c r="L174" s="10"/>
      <c r="M174" s="10">
        <f>(H174-ARITHMETIC_COEFFICIENT!I178*L174)*J174*K174</f>
        <v>5731000</v>
      </c>
      <c r="N174" s="189">
        <f t="shared" si="5"/>
        <v>26050</v>
      </c>
    </row>
    <row r="175" spans="1:16" s="182" customFormat="1" x14ac:dyDescent="0.15">
      <c r="A175" s="18">
        <f t="shared" si="4"/>
        <v>20180001</v>
      </c>
      <c r="B175" s="20">
        <v>2</v>
      </c>
      <c r="C175" s="19">
        <v>0</v>
      </c>
      <c r="D175" s="20">
        <v>18</v>
      </c>
      <c r="E175" s="20">
        <v>0</v>
      </c>
      <c r="F175" s="19">
        <v>1</v>
      </c>
      <c r="G175" s="56">
        <v>629433600</v>
      </c>
      <c r="H175" s="56">
        <v>40</v>
      </c>
      <c r="I175" s="56">
        <v>0</v>
      </c>
      <c r="J175" s="56">
        <v>50</v>
      </c>
      <c r="K175" s="56">
        <v>215</v>
      </c>
      <c r="L175" s="17"/>
      <c r="M175" s="17">
        <f>(H175-ARITHMETIC_COEFFICIENT!I179*L175)*J175*K175</f>
        <v>430000</v>
      </c>
      <c r="N175" s="191">
        <f t="shared" si="5"/>
        <v>10750</v>
      </c>
      <c r="O175" s="182">
        <f>AVERAGE(N175:N184)</f>
        <v>20945</v>
      </c>
      <c r="P175" s="182">
        <f>O175/10</f>
        <v>2094.5</v>
      </c>
    </row>
    <row r="176" spans="1:16" s="180" customFormat="1" x14ac:dyDescent="0.15">
      <c r="A176" s="11">
        <f t="shared" si="4"/>
        <v>20180002</v>
      </c>
      <c r="B176" s="13">
        <v>2</v>
      </c>
      <c r="C176" s="12">
        <v>0</v>
      </c>
      <c r="D176" s="13">
        <v>18</v>
      </c>
      <c r="E176" s="13">
        <v>0</v>
      </c>
      <c r="F176" s="12">
        <v>2</v>
      </c>
      <c r="G176" s="55">
        <v>629433600</v>
      </c>
      <c r="H176" s="55">
        <v>60</v>
      </c>
      <c r="I176" s="55">
        <v>0</v>
      </c>
      <c r="J176" s="55">
        <v>50</v>
      </c>
      <c r="K176" s="55">
        <v>258</v>
      </c>
      <c r="L176" s="10"/>
      <c r="M176" s="10">
        <f>(H176-ARITHMETIC_COEFFICIENT!I180*L176)*J176*K176</f>
        <v>774000</v>
      </c>
      <c r="N176" s="189">
        <f t="shared" si="5"/>
        <v>12900</v>
      </c>
    </row>
    <row r="177" spans="1:16" s="180" customFormat="1" x14ac:dyDescent="0.15">
      <c r="A177" s="11">
        <f t="shared" si="4"/>
        <v>20180003</v>
      </c>
      <c r="B177" s="13">
        <v>2</v>
      </c>
      <c r="C177" s="12">
        <v>0</v>
      </c>
      <c r="D177" s="13">
        <v>18</v>
      </c>
      <c r="E177" s="13">
        <v>0</v>
      </c>
      <c r="F177" s="12">
        <v>3</v>
      </c>
      <c r="G177" s="55">
        <v>629433600</v>
      </c>
      <c r="H177" s="55">
        <v>80</v>
      </c>
      <c r="I177" s="55">
        <v>0</v>
      </c>
      <c r="J177" s="55">
        <v>50</v>
      </c>
      <c r="K177" s="55">
        <v>310</v>
      </c>
      <c r="L177" s="10"/>
      <c r="M177" s="10">
        <f>(H177-ARITHMETIC_COEFFICIENT!I181*L177)*J177*K177</f>
        <v>1240000</v>
      </c>
      <c r="N177" s="189">
        <f t="shared" si="5"/>
        <v>15500</v>
      </c>
    </row>
    <row r="178" spans="1:16" s="180" customFormat="1" x14ac:dyDescent="0.15">
      <c r="A178" s="11">
        <f t="shared" si="4"/>
        <v>20180004</v>
      </c>
      <c r="B178" s="13">
        <v>2</v>
      </c>
      <c r="C178" s="12">
        <v>0</v>
      </c>
      <c r="D178" s="13">
        <v>18</v>
      </c>
      <c r="E178" s="13">
        <v>0</v>
      </c>
      <c r="F178" s="12">
        <v>4</v>
      </c>
      <c r="G178" s="55">
        <v>629433600</v>
      </c>
      <c r="H178" s="55">
        <v>100</v>
      </c>
      <c r="I178" s="55">
        <v>0</v>
      </c>
      <c r="J178" s="55">
        <v>50</v>
      </c>
      <c r="K178" s="55">
        <v>362</v>
      </c>
      <c r="L178" s="10"/>
      <c r="M178" s="10">
        <f>(H178-ARITHMETIC_COEFFICIENT!I182*L178)*J178*K178</f>
        <v>1810000</v>
      </c>
      <c r="N178" s="189">
        <f t="shared" si="5"/>
        <v>18100</v>
      </c>
    </row>
    <row r="179" spans="1:16" s="180" customFormat="1" x14ac:dyDescent="0.15">
      <c r="A179" s="11">
        <f t="shared" si="4"/>
        <v>20180005</v>
      </c>
      <c r="B179" s="13">
        <v>2</v>
      </c>
      <c r="C179" s="12">
        <v>0</v>
      </c>
      <c r="D179" s="13">
        <v>18</v>
      </c>
      <c r="E179" s="13">
        <v>0</v>
      </c>
      <c r="F179" s="12">
        <v>5</v>
      </c>
      <c r="G179" s="55">
        <v>629433600</v>
      </c>
      <c r="H179" s="55">
        <v>120</v>
      </c>
      <c r="I179" s="55">
        <v>0</v>
      </c>
      <c r="J179" s="55">
        <v>50</v>
      </c>
      <c r="K179" s="55">
        <v>395</v>
      </c>
      <c r="L179" s="10"/>
      <c r="M179" s="10">
        <f>(H179-ARITHMETIC_COEFFICIENT!I183*L179)*J179*K179</f>
        <v>2370000</v>
      </c>
      <c r="N179" s="189">
        <f t="shared" si="5"/>
        <v>19750</v>
      </c>
    </row>
    <row r="180" spans="1:16" s="180" customFormat="1" x14ac:dyDescent="0.15">
      <c r="A180" s="11">
        <f t="shared" si="4"/>
        <v>20180006</v>
      </c>
      <c r="B180" s="13">
        <v>2</v>
      </c>
      <c r="C180" s="12">
        <v>0</v>
      </c>
      <c r="D180" s="13">
        <v>18</v>
      </c>
      <c r="E180" s="13">
        <v>0</v>
      </c>
      <c r="F180" s="12">
        <v>6</v>
      </c>
      <c r="G180" s="55">
        <v>629433600</v>
      </c>
      <c r="H180" s="55">
        <v>140</v>
      </c>
      <c r="I180" s="55">
        <v>0</v>
      </c>
      <c r="J180" s="55">
        <v>50</v>
      </c>
      <c r="K180" s="55">
        <v>446</v>
      </c>
      <c r="L180" s="10"/>
      <c r="M180" s="10">
        <f>(H180-ARITHMETIC_COEFFICIENT!I184*L180)*J180*K180</f>
        <v>3122000</v>
      </c>
      <c r="N180" s="189">
        <f t="shared" si="5"/>
        <v>22300</v>
      </c>
    </row>
    <row r="181" spans="1:16" s="180" customFormat="1" x14ac:dyDescent="0.15">
      <c r="A181" s="11">
        <f t="shared" si="4"/>
        <v>20180007</v>
      </c>
      <c r="B181" s="13">
        <v>2</v>
      </c>
      <c r="C181" s="12">
        <v>0</v>
      </c>
      <c r="D181" s="13">
        <v>18</v>
      </c>
      <c r="E181" s="13">
        <v>0</v>
      </c>
      <c r="F181" s="12">
        <v>7</v>
      </c>
      <c r="G181" s="55">
        <v>629433600</v>
      </c>
      <c r="H181" s="55">
        <v>160</v>
      </c>
      <c r="I181" s="55">
        <v>0</v>
      </c>
      <c r="J181" s="55">
        <v>50</v>
      </c>
      <c r="K181" s="55">
        <v>474</v>
      </c>
      <c r="L181" s="10"/>
      <c r="M181" s="10">
        <f>(H181-ARITHMETIC_COEFFICIENT!I185*L181)*J181*K181</f>
        <v>3792000</v>
      </c>
      <c r="N181" s="189">
        <f t="shared" si="5"/>
        <v>23700</v>
      </c>
    </row>
    <row r="182" spans="1:16" s="180" customFormat="1" x14ac:dyDescent="0.15">
      <c r="A182" s="11">
        <f t="shared" si="4"/>
        <v>20180008</v>
      </c>
      <c r="B182" s="13">
        <v>2</v>
      </c>
      <c r="C182" s="12">
        <v>0</v>
      </c>
      <c r="D182" s="13">
        <v>18</v>
      </c>
      <c r="E182" s="13">
        <v>0</v>
      </c>
      <c r="F182" s="12">
        <v>8</v>
      </c>
      <c r="G182" s="55">
        <v>629433600</v>
      </c>
      <c r="H182" s="55">
        <v>180</v>
      </c>
      <c r="I182" s="55">
        <v>0</v>
      </c>
      <c r="J182" s="55">
        <v>50</v>
      </c>
      <c r="K182" s="55">
        <v>535</v>
      </c>
      <c r="L182" s="10"/>
      <c r="M182" s="10">
        <f>(H182-ARITHMETIC_COEFFICIENT!I186*L182)*J182*K182</f>
        <v>4815000</v>
      </c>
      <c r="N182" s="189">
        <f t="shared" si="5"/>
        <v>26750</v>
      </c>
    </row>
    <row r="183" spans="1:16" s="180" customFormat="1" x14ac:dyDescent="0.15">
      <c r="A183" s="11">
        <f t="shared" si="4"/>
        <v>20180009</v>
      </c>
      <c r="B183" s="13">
        <v>2</v>
      </c>
      <c r="C183" s="12">
        <v>0</v>
      </c>
      <c r="D183" s="13">
        <v>18</v>
      </c>
      <c r="E183" s="13">
        <v>0</v>
      </c>
      <c r="F183" s="12">
        <v>9</v>
      </c>
      <c r="G183" s="55">
        <v>629433600</v>
      </c>
      <c r="H183" s="55">
        <v>200</v>
      </c>
      <c r="I183" s="55">
        <v>0</v>
      </c>
      <c r="J183" s="55">
        <v>50</v>
      </c>
      <c r="K183" s="55">
        <v>569</v>
      </c>
      <c r="L183" s="10"/>
      <c r="M183" s="10">
        <f>(H183-ARITHMETIC_COEFFICIENT!I187*L183)*J183*K183</f>
        <v>5690000</v>
      </c>
      <c r="N183" s="189">
        <f t="shared" si="5"/>
        <v>28450</v>
      </c>
    </row>
    <row r="184" spans="1:16" s="180" customFormat="1" ht="17.25" thickBot="1" x14ac:dyDescent="0.2">
      <c r="A184" s="11">
        <f t="shared" si="4"/>
        <v>20180010</v>
      </c>
      <c r="B184" s="13">
        <v>2</v>
      </c>
      <c r="C184" s="12">
        <v>0</v>
      </c>
      <c r="D184" s="108">
        <v>18</v>
      </c>
      <c r="E184" s="108">
        <v>0</v>
      </c>
      <c r="F184" s="12">
        <v>10</v>
      </c>
      <c r="G184" s="55">
        <v>629433600</v>
      </c>
      <c r="H184" s="55">
        <v>220</v>
      </c>
      <c r="I184" s="55">
        <v>0</v>
      </c>
      <c r="J184" s="55">
        <v>50</v>
      </c>
      <c r="K184" s="55">
        <v>625</v>
      </c>
      <c r="L184" s="10"/>
      <c r="M184" s="10">
        <f>(H184-ARITHMETIC_COEFFICIENT!I188*L184)*J184*K184</f>
        <v>6875000</v>
      </c>
      <c r="N184" s="189">
        <f t="shared" si="5"/>
        <v>31250</v>
      </c>
    </row>
    <row r="185" spans="1:16" s="182" customFormat="1" x14ac:dyDescent="0.15">
      <c r="A185" s="18">
        <f t="shared" si="4"/>
        <v>20190001</v>
      </c>
      <c r="B185" s="20">
        <v>2</v>
      </c>
      <c r="C185" s="19">
        <v>0</v>
      </c>
      <c r="D185" s="20">
        <v>19</v>
      </c>
      <c r="E185" s="20">
        <v>0</v>
      </c>
      <c r="F185" s="19">
        <v>1</v>
      </c>
      <c r="G185" s="56">
        <v>1077433600</v>
      </c>
      <c r="H185" s="56">
        <v>40</v>
      </c>
      <c r="I185" s="56">
        <v>0</v>
      </c>
      <c r="J185" s="56">
        <v>50</v>
      </c>
      <c r="K185" s="56">
        <v>258</v>
      </c>
      <c r="L185" s="17"/>
      <c r="M185" s="17">
        <f>(H185-ARITHMETIC_COEFFICIENT!I189*L185)*J185*K185</f>
        <v>516000</v>
      </c>
      <c r="N185" s="191">
        <f t="shared" si="5"/>
        <v>12900</v>
      </c>
      <c r="O185" s="182">
        <f>AVERAGE(N185:N194)</f>
        <v>25135</v>
      </c>
      <c r="P185" s="182">
        <f>O185/10</f>
        <v>2513.5</v>
      </c>
    </row>
    <row r="186" spans="1:16" s="180" customFormat="1" x14ac:dyDescent="0.15">
      <c r="A186" s="11">
        <f t="shared" si="4"/>
        <v>20190002</v>
      </c>
      <c r="B186" s="13">
        <v>2</v>
      </c>
      <c r="C186" s="12">
        <v>0</v>
      </c>
      <c r="D186" s="13">
        <v>19</v>
      </c>
      <c r="E186" s="13">
        <v>0</v>
      </c>
      <c r="F186" s="12">
        <v>2</v>
      </c>
      <c r="G186" s="55">
        <v>1077433600</v>
      </c>
      <c r="H186" s="55">
        <v>60</v>
      </c>
      <c r="I186" s="55">
        <v>0</v>
      </c>
      <c r="J186" s="55">
        <v>50</v>
      </c>
      <c r="K186" s="55">
        <v>310</v>
      </c>
      <c r="L186" s="10"/>
      <c r="M186" s="10">
        <f>(H186-ARITHMETIC_COEFFICIENT!I190*L186)*J186*K186</f>
        <v>930000</v>
      </c>
      <c r="N186" s="189">
        <f t="shared" si="5"/>
        <v>15500</v>
      </c>
    </row>
    <row r="187" spans="1:16" s="180" customFormat="1" x14ac:dyDescent="0.15">
      <c r="A187" s="11">
        <f t="shared" si="4"/>
        <v>20190003</v>
      </c>
      <c r="B187" s="13">
        <v>2</v>
      </c>
      <c r="C187" s="12">
        <v>0</v>
      </c>
      <c r="D187" s="13">
        <v>19</v>
      </c>
      <c r="E187" s="13">
        <v>0</v>
      </c>
      <c r="F187" s="12">
        <v>3</v>
      </c>
      <c r="G187" s="55">
        <v>1077433600</v>
      </c>
      <c r="H187" s="55">
        <v>80</v>
      </c>
      <c r="I187" s="55">
        <v>0</v>
      </c>
      <c r="J187" s="55">
        <v>50</v>
      </c>
      <c r="K187" s="55">
        <v>372</v>
      </c>
      <c r="L187" s="10"/>
      <c r="M187" s="10">
        <f>(H187-ARITHMETIC_COEFFICIENT!I191*L187)*J187*K187</f>
        <v>1488000</v>
      </c>
      <c r="N187" s="189">
        <f t="shared" si="5"/>
        <v>18600</v>
      </c>
    </row>
    <row r="188" spans="1:16" s="180" customFormat="1" x14ac:dyDescent="0.15">
      <c r="A188" s="11">
        <f t="shared" si="4"/>
        <v>20190004</v>
      </c>
      <c r="B188" s="13">
        <v>2</v>
      </c>
      <c r="C188" s="12">
        <v>0</v>
      </c>
      <c r="D188" s="13">
        <v>19</v>
      </c>
      <c r="E188" s="13">
        <v>0</v>
      </c>
      <c r="F188" s="12">
        <v>4</v>
      </c>
      <c r="G188" s="55">
        <v>1077433600</v>
      </c>
      <c r="H188" s="55">
        <v>100</v>
      </c>
      <c r="I188" s="55">
        <v>0</v>
      </c>
      <c r="J188" s="55">
        <v>50</v>
      </c>
      <c r="K188" s="55">
        <v>434</v>
      </c>
      <c r="L188" s="10"/>
      <c r="M188" s="10">
        <f>(H188-ARITHMETIC_COEFFICIENT!I192*L188)*J188*K188</f>
        <v>2170000</v>
      </c>
      <c r="N188" s="189">
        <f t="shared" si="5"/>
        <v>21700</v>
      </c>
    </row>
    <row r="189" spans="1:16" s="180" customFormat="1" x14ac:dyDescent="0.15">
      <c r="A189" s="11">
        <f t="shared" si="4"/>
        <v>20190005</v>
      </c>
      <c r="B189" s="13">
        <v>2</v>
      </c>
      <c r="C189" s="12">
        <v>0</v>
      </c>
      <c r="D189" s="13">
        <v>19</v>
      </c>
      <c r="E189" s="13">
        <v>0</v>
      </c>
      <c r="F189" s="12">
        <v>5</v>
      </c>
      <c r="G189" s="55">
        <v>1077433600</v>
      </c>
      <c r="H189" s="55">
        <v>120</v>
      </c>
      <c r="I189" s="55">
        <v>0</v>
      </c>
      <c r="J189" s="55">
        <v>50</v>
      </c>
      <c r="K189" s="55">
        <v>474</v>
      </c>
      <c r="L189" s="10"/>
      <c r="M189" s="10">
        <f>(H189-ARITHMETIC_COEFFICIENT!I193*L189)*J189*K189</f>
        <v>2844000</v>
      </c>
      <c r="N189" s="189">
        <f t="shared" si="5"/>
        <v>23700</v>
      </c>
    </row>
    <row r="190" spans="1:16" s="180" customFormat="1" x14ac:dyDescent="0.15">
      <c r="A190" s="11">
        <f t="shared" si="4"/>
        <v>20190006</v>
      </c>
      <c r="B190" s="13">
        <v>2</v>
      </c>
      <c r="C190" s="12">
        <v>0</v>
      </c>
      <c r="D190" s="13">
        <v>19</v>
      </c>
      <c r="E190" s="13">
        <v>0</v>
      </c>
      <c r="F190" s="12">
        <v>6</v>
      </c>
      <c r="G190" s="55">
        <v>1077433600</v>
      </c>
      <c r="H190" s="55">
        <v>140</v>
      </c>
      <c r="I190" s="55">
        <v>0</v>
      </c>
      <c r="J190" s="55">
        <v>50</v>
      </c>
      <c r="K190" s="55">
        <v>535</v>
      </c>
      <c r="L190" s="10"/>
      <c r="M190" s="10">
        <f>(H190-ARITHMETIC_COEFFICIENT!I194*L190)*J190*K190</f>
        <v>3745000</v>
      </c>
      <c r="N190" s="189">
        <f t="shared" si="5"/>
        <v>26750</v>
      </c>
    </row>
    <row r="191" spans="1:16" s="180" customFormat="1" x14ac:dyDescent="0.15">
      <c r="A191" s="11">
        <f t="shared" si="4"/>
        <v>20190007</v>
      </c>
      <c r="B191" s="13">
        <v>2</v>
      </c>
      <c r="C191" s="12">
        <v>0</v>
      </c>
      <c r="D191" s="13">
        <v>19</v>
      </c>
      <c r="E191" s="13">
        <v>0</v>
      </c>
      <c r="F191" s="12">
        <v>7</v>
      </c>
      <c r="G191" s="55">
        <v>1077433600</v>
      </c>
      <c r="H191" s="55">
        <v>160</v>
      </c>
      <c r="I191" s="55">
        <v>0</v>
      </c>
      <c r="J191" s="55">
        <v>50</v>
      </c>
      <c r="K191" s="55">
        <v>569</v>
      </c>
      <c r="L191" s="10"/>
      <c r="M191" s="10">
        <f>(H191-ARITHMETIC_COEFFICIENT!I195*L191)*J191*K191</f>
        <v>4552000</v>
      </c>
      <c r="N191" s="189">
        <f t="shared" si="5"/>
        <v>28450</v>
      </c>
    </row>
    <row r="192" spans="1:16" s="180" customFormat="1" x14ac:dyDescent="0.15">
      <c r="A192" s="11">
        <f t="shared" si="4"/>
        <v>20190008</v>
      </c>
      <c r="B192" s="13">
        <v>2</v>
      </c>
      <c r="C192" s="12">
        <v>0</v>
      </c>
      <c r="D192" s="13">
        <v>19</v>
      </c>
      <c r="E192" s="13">
        <v>0</v>
      </c>
      <c r="F192" s="12">
        <v>8</v>
      </c>
      <c r="G192" s="55">
        <v>1077433600</v>
      </c>
      <c r="H192" s="55">
        <v>180</v>
      </c>
      <c r="I192" s="55">
        <v>0</v>
      </c>
      <c r="J192" s="55">
        <v>50</v>
      </c>
      <c r="K192" s="55">
        <v>642</v>
      </c>
      <c r="L192" s="10"/>
      <c r="M192" s="10">
        <f>(H192-ARITHMETIC_COEFFICIENT!I196*L192)*J192*K192</f>
        <v>5778000</v>
      </c>
      <c r="N192" s="189">
        <f t="shared" si="5"/>
        <v>32100</v>
      </c>
    </row>
    <row r="193" spans="1:16" s="180" customFormat="1" x14ac:dyDescent="0.15">
      <c r="A193" s="11">
        <f t="shared" si="4"/>
        <v>20190009</v>
      </c>
      <c r="B193" s="13">
        <v>2</v>
      </c>
      <c r="C193" s="12">
        <v>0</v>
      </c>
      <c r="D193" s="13">
        <v>19</v>
      </c>
      <c r="E193" s="13">
        <v>0</v>
      </c>
      <c r="F193" s="12">
        <v>9</v>
      </c>
      <c r="G193" s="55">
        <v>1077433600</v>
      </c>
      <c r="H193" s="55">
        <v>200</v>
      </c>
      <c r="I193" s="55">
        <v>0</v>
      </c>
      <c r="J193" s="55">
        <v>50</v>
      </c>
      <c r="K193" s="55">
        <v>683</v>
      </c>
      <c r="L193" s="10"/>
      <c r="M193" s="10">
        <f>(H193-ARITHMETIC_COEFFICIENT!I197*L193)*J193*K193</f>
        <v>6830000</v>
      </c>
      <c r="N193" s="189">
        <f t="shared" si="5"/>
        <v>34150</v>
      </c>
    </row>
    <row r="194" spans="1:16" s="180" customFormat="1" ht="17.25" thickBot="1" x14ac:dyDescent="0.2">
      <c r="A194" s="11">
        <f t="shared" si="4"/>
        <v>20190010</v>
      </c>
      <c r="B194" s="13">
        <v>2</v>
      </c>
      <c r="C194" s="12">
        <v>0</v>
      </c>
      <c r="D194" s="108">
        <v>19</v>
      </c>
      <c r="E194" s="108">
        <v>0</v>
      </c>
      <c r="F194" s="12">
        <v>10</v>
      </c>
      <c r="G194" s="55">
        <v>1077433600</v>
      </c>
      <c r="H194" s="55">
        <v>220</v>
      </c>
      <c r="I194" s="55">
        <v>0</v>
      </c>
      <c r="J194" s="55">
        <v>50</v>
      </c>
      <c r="K194" s="55">
        <v>750</v>
      </c>
      <c r="L194" s="10"/>
      <c r="M194" s="10">
        <f>(H194-ARITHMETIC_COEFFICIENT!I198*L194)*J194*K194</f>
        <v>8250000</v>
      </c>
      <c r="N194" s="189">
        <f t="shared" si="5"/>
        <v>37500</v>
      </c>
    </row>
    <row r="195" spans="1:16" s="182" customFormat="1" x14ac:dyDescent="0.15">
      <c r="A195" s="18">
        <f t="shared" si="4"/>
        <v>20200001</v>
      </c>
      <c r="B195" s="20">
        <v>2</v>
      </c>
      <c r="C195" s="19">
        <v>0</v>
      </c>
      <c r="D195" s="20">
        <v>20</v>
      </c>
      <c r="E195" s="20">
        <v>0</v>
      </c>
      <c r="F195" s="19">
        <v>1</v>
      </c>
      <c r="G195" s="56">
        <v>1795833600</v>
      </c>
      <c r="H195" s="56">
        <v>40</v>
      </c>
      <c r="I195" s="56">
        <v>0</v>
      </c>
      <c r="J195" s="56">
        <v>50</v>
      </c>
      <c r="K195" s="56">
        <v>310</v>
      </c>
      <c r="L195" s="17"/>
      <c r="M195" s="17">
        <f>(H195-ARITHMETIC_COEFFICIENT!I199*L195)*J195*K195</f>
        <v>620000</v>
      </c>
      <c r="N195" s="191">
        <f t="shared" si="5"/>
        <v>15500</v>
      </c>
      <c r="O195" s="182">
        <f>AVERAGE(N195:N204)</f>
        <v>30165</v>
      </c>
      <c r="P195" s="182">
        <f>O195/10</f>
        <v>3016.5</v>
      </c>
    </row>
    <row r="196" spans="1:16" s="180" customFormat="1" x14ac:dyDescent="0.15">
      <c r="A196" s="11">
        <f t="shared" si="4"/>
        <v>20200002</v>
      </c>
      <c r="B196" s="13">
        <v>2</v>
      </c>
      <c r="C196" s="12">
        <v>0</v>
      </c>
      <c r="D196" s="13">
        <v>20</v>
      </c>
      <c r="E196" s="13">
        <v>0</v>
      </c>
      <c r="F196" s="12">
        <v>2</v>
      </c>
      <c r="G196" s="55">
        <v>1795833600</v>
      </c>
      <c r="H196" s="55">
        <v>60</v>
      </c>
      <c r="I196" s="55">
        <v>0</v>
      </c>
      <c r="J196" s="55">
        <v>50</v>
      </c>
      <c r="K196" s="55">
        <v>372</v>
      </c>
      <c r="L196" s="10"/>
      <c r="M196" s="10">
        <f>(H196-ARITHMETIC_COEFFICIENT!I200*L196)*J196*K196</f>
        <v>1116000</v>
      </c>
      <c r="N196" s="189">
        <f t="shared" si="5"/>
        <v>18600</v>
      </c>
    </row>
    <row r="197" spans="1:16" s="180" customFormat="1" x14ac:dyDescent="0.15">
      <c r="A197" s="11">
        <f t="shared" si="4"/>
        <v>20200003</v>
      </c>
      <c r="B197" s="13">
        <v>2</v>
      </c>
      <c r="C197" s="12">
        <v>0</v>
      </c>
      <c r="D197" s="13">
        <v>20</v>
      </c>
      <c r="E197" s="13">
        <v>0</v>
      </c>
      <c r="F197" s="12">
        <v>3</v>
      </c>
      <c r="G197" s="55">
        <v>1795833600</v>
      </c>
      <c r="H197" s="55">
        <v>80</v>
      </c>
      <c r="I197" s="55">
        <v>0</v>
      </c>
      <c r="J197" s="55">
        <v>50</v>
      </c>
      <c r="K197" s="55">
        <v>446</v>
      </c>
      <c r="L197" s="10"/>
      <c r="M197" s="10">
        <f>(H197-ARITHMETIC_COEFFICIENT!I201*L197)*J197*K197</f>
        <v>1784000</v>
      </c>
      <c r="N197" s="189">
        <f t="shared" si="5"/>
        <v>22300</v>
      </c>
    </row>
    <row r="198" spans="1:16" s="180" customFormat="1" x14ac:dyDescent="0.15">
      <c r="A198" s="11">
        <f t="shared" ref="A198:A204" si="6">B198*10000000+C198*1000000+D198*10000+E198*100+F198</f>
        <v>20200004</v>
      </c>
      <c r="B198" s="13">
        <v>2</v>
      </c>
      <c r="C198" s="12">
        <v>0</v>
      </c>
      <c r="D198" s="13">
        <v>20</v>
      </c>
      <c r="E198" s="13">
        <v>0</v>
      </c>
      <c r="F198" s="12">
        <v>4</v>
      </c>
      <c r="G198" s="55">
        <v>1795833600</v>
      </c>
      <c r="H198" s="55">
        <v>100</v>
      </c>
      <c r="I198" s="55">
        <v>0</v>
      </c>
      <c r="J198" s="55">
        <v>50</v>
      </c>
      <c r="K198" s="55">
        <v>521</v>
      </c>
      <c r="L198" s="10"/>
      <c r="M198" s="10">
        <f>(H198-ARITHMETIC_COEFFICIENT!I202*L198)*J198*K198</f>
        <v>2605000</v>
      </c>
      <c r="N198" s="189">
        <f t="shared" ref="N198:N204" si="7">J198*K198</f>
        <v>26050</v>
      </c>
    </row>
    <row r="199" spans="1:16" s="180" customFormat="1" x14ac:dyDescent="0.15">
      <c r="A199" s="11">
        <f t="shared" si="6"/>
        <v>20200005</v>
      </c>
      <c r="B199" s="13">
        <v>2</v>
      </c>
      <c r="C199" s="12">
        <v>0</v>
      </c>
      <c r="D199" s="13">
        <v>20</v>
      </c>
      <c r="E199" s="13">
        <v>0</v>
      </c>
      <c r="F199" s="12">
        <v>5</v>
      </c>
      <c r="G199" s="55">
        <v>1795833600</v>
      </c>
      <c r="H199" s="55">
        <v>120</v>
      </c>
      <c r="I199" s="55">
        <v>0</v>
      </c>
      <c r="J199" s="55">
        <v>50</v>
      </c>
      <c r="K199" s="55">
        <v>569</v>
      </c>
      <c r="L199" s="10"/>
      <c r="M199" s="10">
        <f>(H199-ARITHMETIC_COEFFICIENT!I203*L199)*J199*K199</f>
        <v>3414000</v>
      </c>
      <c r="N199" s="189">
        <f t="shared" si="7"/>
        <v>28450</v>
      </c>
    </row>
    <row r="200" spans="1:16" s="180" customFormat="1" x14ac:dyDescent="0.15">
      <c r="A200" s="11">
        <f t="shared" si="6"/>
        <v>20200006</v>
      </c>
      <c r="B200" s="13">
        <v>2</v>
      </c>
      <c r="C200" s="12">
        <v>0</v>
      </c>
      <c r="D200" s="13">
        <v>20</v>
      </c>
      <c r="E200" s="13">
        <v>0</v>
      </c>
      <c r="F200" s="12">
        <v>6</v>
      </c>
      <c r="G200" s="55">
        <v>1795833600</v>
      </c>
      <c r="H200" s="55">
        <v>140</v>
      </c>
      <c r="I200" s="55">
        <v>0</v>
      </c>
      <c r="J200" s="55">
        <v>50</v>
      </c>
      <c r="K200" s="55">
        <v>642</v>
      </c>
      <c r="L200" s="10"/>
      <c r="M200" s="10">
        <f>(H200-ARITHMETIC_COEFFICIENT!I204*L200)*J200*K200</f>
        <v>4494000</v>
      </c>
      <c r="N200" s="189">
        <f t="shared" si="7"/>
        <v>32100</v>
      </c>
    </row>
    <row r="201" spans="1:16" s="180" customFormat="1" x14ac:dyDescent="0.15">
      <c r="A201" s="11">
        <f t="shared" si="6"/>
        <v>20200007</v>
      </c>
      <c r="B201" s="13">
        <v>2</v>
      </c>
      <c r="C201" s="12">
        <v>0</v>
      </c>
      <c r="D201" s="13">
        <v>20</v>
      </c>
      <c r="E201" s="13">
        <v>0</v>
      </c>
      <c r="F201" s="12">
        <v>7</v>
      </c>
      <c r="G201" s="55">
        <v>1795833600</v>
      </c>
      <c r="H201" s="55">
        <v>160</v>
      </c>
      <c r="I201" s="55">
        <v>0</v>
      </c>
      <c r="J201" s="55">
        <v>50</v>
      </c>
      <c r="K201" s="55">
        <v>683</v>
      </c>
      <c r="L201" s="10"/>
      <c r="M201" s="10">
        <f>(H201-ARITHMETIC_COEFFICIENT!I205*L201)*J201*K201</f>
        <v>5464000</v>
      </c>
      <c r="N201" s="189">
        <f t="shared" si="7"/>
        <v>34150</v>
      </c>
    </row>
    <row r="202" spans="1:16" s="180" customFormat="1" x14ac:dyDescent="0.15">
      <c r="A202" s="11">
        <f t="shared" si="6"/>
        <v>20200008</v>
      </c>
      <c r="B202" s="13">
        <v>2</v>
      </c>
      <c r="C202" s="12">
        <v>0</v>
      </c>
      <c r="D202" s="13">
        <v>20</v>
      </c>
      <c r="E202" s="13">
        <v>0</v>
      </c>
      <c r="F202" s="12">
        <v>8</v>
      </c>
      <c r="G202" s="55">
        <v>1795833600</v>
      </c>
      <c r="H202" s="55">
        <v>180</v>
      </c>
      <c r="I202" s="55">
        <v>0</v>
      </c>
      <c r="J202" s="55">
        <v>50</v>
      </c>
      <c r="K202" s="55">
        <v>770</v>
      </c>
      <c r="L202" s="10"/>
      <c r="M202" s="10">
        <f>(H202-ARITHMETIC_COEFFICIENT!I206*L202)*J202*K202</f>
        <v>6930000</v>
      </c>
      <c r="N202" s="189">
        <f t="shared" si="7"/>
        <v>38500</v>
      </c>
    </row>
    <row r="203" spans="1:16" s="180" customFormat="1" x14ac:dyDescent="0.15">
      <c r="A203" s="11">
        <f t="shared" si="6"/>
        <v>20200009</v>
      </c>
      <c r="B203" s="13">
        <v>2</v>
      </c>
      <c r="C203" s="12">
        <v>0</v>
      </c>
      <c r="D203" s="13">
        <v>20</v>
      </c>
      <c r="E203" s="13">
        <v>0</v>
      </c>
      <c r="F203" s="12">
        <v>9</v>
      </c>
      <c r="G203" s="55">
        <v>1795833600</v>
      </c>
      <c r="H203" s="55">
        <v>200</v>
      </c>
      <c r="I203" s="55">
        <v>0</v>
      </c>
      <c r="J203" s="55">
        <v>50</v>
      </c>
      <c r="K203" s="55">
        <v>820</v>
      </c>
      <c r="L203" s="10"/>
      <c r="M203" s="10">
        <f>(H203-ARITHMETIC_COEFFICIENT!I207*L203)*J203*K203</f>
        <v>8200000</v>
      </c>
      <c r="N203" s="189">
        <f t="shared" si="7"/>
        <v>41000</v>
      </c>
    </row>
    <row r="204" spans="1:16" s="180" customFormat="1" ht="17.25" thickBot="1" x14ac:dyDescent="0.2">
      <c r="A204" s="11">
        <f t="shared" si="6"/>
        <v>20200010</v>
      </c>
      <c r="B204" s="13">
        <v>2</v>
      </c>
      <c r="C204" s="12">
        <v>0</v>
      </c>
      <c r="D204" s="108">
        <v>20</v>
      </c>
      <c r="E204" s="108">
        <v>0</v>
      </c>
      <c r="F204" s="12">
        <v>10</v>
      </c>
      <c r="G204" s="55">
        <v>1795833600</v>
      </c>
      <c r="H204" s="55">
        <v>220</v>
      </c>
      <c r="I204" s="55">
        <v>0</v>
      </c>
      <c r="J204" s="55">
        <v>50</v>
      </c>
      <c r="K204" s="55">
        <v>900</v>
      </c>
      <c r="L204" s="10"/>
      <c r="M204" s="10">
        <f>(H204-ARITHMETIC_COEFFICIENT!I208*L204)*J204*K204</f>
        <v>9900000</v>
      </c>
      <c r="N204" s="189">
        <f t="shared" si="7"/>
        <v>45000</v>
      </c>
    </row>
    <row r="205" spans="1:16" s="182" customFormat="1" x14ac:dyDescent="0.15">
      <c r="A205" s="18"/>
      <c r="B205" s="20"/>
      <c r="C205" s="19"/>
      <c r="D205" s="20"/>
      <c r="E205" s="20"/>
      <c r="F205" s="19"/>
      <c r="G205" s="56"/>
      <c r="H205" s="56"/>
      <c r="I205" s="56"/>
      <c r="J205" s="56"/>
      <c r="K205" s="56"/>
      <c r="L205" s="17"/>
      <c r="M205" s="17"/>
      <c r="N205" s="191"/>
    </row>
    <row r="206" spans="1:16" s="180" customFormat="1" x14ac:dyDescent="0.15">
      <c r="A206" s="11"/>
      <c r="B206" s="13"/>
      <c r="C206" s="12"/>
      <c r="D206" s="13"/>
      <c r="E206" s="13"/>
      <c r="F206" s="12"/>
      <c r="G206" s="55"/>
      <c r="H206" s="55"/>
      <c r="I206" s="55"/>
      <c r="J206" s="55"/>
      <c r="K206" s="55"/>
      <c r="L206" s="10"/>
      <c r="M206" s="10"/>
      <c r="N206" s="189"/>
    </row>
    <row r="207" spans="1:16" s="180" customFormat="1" x14ac:dyDescent="0.15">
      <c r="A207" s="11"/>
      <c r="B207" s="13"/>
      <c r="C207" s="12"/>
      <c r="D207" s="13"/>
      <c r="E207" s="13"/>
      <c r="F207" s="12"/>
      <c r="G207" s="55"/>
      <c r="H207" s="55"/>
      <c r="I207" s="55"/>
      <c r="J207" s="55"/>
      <c r="K207" s="55"/>
      <c r="L207" s="10"/>
      <c r="M207" s="10"/>
      <c r="N207" s="189"/>
    </row>
    <row r="208" spans="1:16" s="180" customFormat="1" x14ac:dyDescent="0.15">
      <c r="A208" s="11"/>
      <c r="B208" s="13"/>
      <c r="C208" s="12"/>
      <c r="D208" s="13"/>
      <c r="E208" s="13"/>
      <c r="F208" s="12"/>
      <c r="G208" s="55"/>
      <c r="H208" s="55"/>
      <c r="I208" s="55"/>
      <c r="J208" s="55"/>
      <c r="K208" s="55"/>
      <c r="L208" s="10"/>
      <c r="M208" s="10"/>
      <c r="N208" s="189"/>
    </row>
    <row r="209" spans="1:14" s="180" customFormat="1" x14ac:dyDescent="0.15">
      <c r="A209" s="11"/>
      <c r="B209" s="13"/>
      <c r="C209" s="12"/>
      <c r="D209" s="13"/>
      <c r="E209" s="13"/>
      <c r="F209" s="12"/>
      <c r="G209" s="55"/>
      <c r="H209" s="55"/>
      <c r="I209" s="55"/>
      <c r="J209" s="55"/>
      <c r="K209" s="55"/>
      <c r="L209" s="10"/>
      <c r="M209" s="10"/>
      <c r="N209" s="189"/>
    </row>
    <row r="210" spans="1:14" s="180" customFormat="1" x14ac:dyDescent="0.15">
      <c r="A210" s="11"/>
      <c r="B210" s="13"/>
      <c r="C210" s="12"/>
      <c r="D210" s="13"/>
      <c r="E210" s="13"/>
      <c r="F210" s="12"/>
      <c r="G210" s="55"/>
      <c r="H210" s="55"/>
      <c r="I210" s="55"/>
      <c r="J210" s="55"/>
      <c r="K210" s="55"/>
      <c r="L210" s="10"/>
      <c r="M210" s="10"/>
      <c r="N210" s="189"/>
    </row>
    <row r="211" spans="1:14" s="180" customFormat="1" x14ac:dyDescent="0.15">
      <c r="A211" s="11"/>
      <c r="B211" s="13"/>
      <c r="C211" s="12"/>
      <c r="D211" s="13"/>
      <c r="E211" s="13"/>
      <c r="F211" s="12"/>
      <c r="G211" s="55"/>
      <c r="H211" s="55"/>
      <c r="I211" s="55"/>
      <c r="J211" s="55"/>
      <c r="K211" s="55"/>
      <c r="L211" s="10"/>
      <c r="M211" s="10"/>
      <c r="N211" s="189"/>
    </row>
    <row r="212" spans="1:14" s="180" customFormat="1" x14ac:dyDescent="0.15">
      <c r="A212" s="11"/>
      <c r="B212" s="13"/>
      <c r="C212" s="12"/>
      <c r="D212" s="13"/>
      <c r="E212" s="13"/>
      <c r="F212" s="12"/>
      <c r="G212" s="55"/>
      <c r="H212" s="55"/>
      <c r="I212" s="55"/>
      <c r="J212" s="55"/>
      <c r="K212" s="55"/>
      <c r="L212" s="10"/>
      <c r="M212" s="10"/>
      <c r="N212" s="189"/>
    </row>
    <row r="213" spans="1:14" s="180" customFormat="1" x14ac:dyDescent="0.15">
      <c r="A213" s="11"/>
      <c r="B213" s="13"/>
      <c r="C213" s="12"/>
      <c r="D213" s="13"/>
      <c r="E213" s="13"/>
      <c r="F213" s="12"/>
      <c r="G213" s="55"/>
      <c r="H213" s="55"/>
      <c r="I213" s="55"/>
      <c r="J213" s="55"/>
      <c r="K213" s="55"/>
      <c r="L213" s="10"/>
      <c r="M213" s="10"/>
      <c r="N213" s="189"/>
    </row>
    <row r="214" spans="1:14" s="180" customFormat="1" x14ac:dyDescent="0.15">
      <c r="A214" s="11"/>
      <c r="B214" s="13"/>
      <c r="C214" s="12"/>
      <c r="D214" s="13"/>
      <c r="E214" s="13"/>
      <c r="F214" s="12"/>
      <c r="G214" s="55"/>
      <c r="H214" s="55"/>
      <c r="I214" s="55"/>
      <c r="J214" s="55"/>
      <c r="K214" s="55"/>
      <c r="L214" s="10"/>
      <c r="M214" s="10"/>
      <c r="N214" s="189"/>
    </row>
    <row r="215" spans="1:14" s="180" customFormat="1" x14ac:dyDescent="0.15">
      <c r="A215" s="11"/>
      <c r="B215" s="13"/>
      <c r="C215" s="12"/>
      <c r="D215" s="13"/>
      <c r="E215" s="13"/>
      <c r="F215" s="12"/>
      <c r="G215" s="55"/>
      <c r="H215" s="55"/>
      <c r="I215" s="55"/>
      <c r="J215" s="55"/>
      <c r="K215" s="55"/>
      <c r="L215" s="10"/>
      <c r="M215" s="10"/>
      <c r="N215" s="189"/>
    </row>
    <row r="216" spans="1:14" s="180" customFormat="1" x14ac:dyDescent="0.15">
      <c r="A216" s="11"/>
      <c r="B216" s="13"/>
      <c r="C216" s="12"/>
      <c r="D216" s="13"/>
      <c r="E216" s="13"/>
      <c r="F216" s="12"/>
      <c r="G216" s="55"/>
      <c r="H216" s="55"/>
      <c r="I216" s="55"/>
      <c r="J216" s="55"/>
      <c r="K216" s="55"/>
      <c r="L216" s="10"/>
      <c r="M216" s="10"/>
      <c r="N216" s="189"/>
    </row>
    <row r="217" spans="1:14" s="180" customFormat="1" x14ac:dyDescent="0.15">
      <c r="A217" s="11"/>
      <c r="B217" s="13"/>
      <c r="C217" s="12"/>
      <c r="D217" s="13"/>
      <c r="E217" s="13"/>
      <c r="F217" s="12"/>
      <c r="G217" s="55"/>
      <c r="H217" s="55"/>
      <c r="I217" s="55"/>
      <c r="J217" s="55"/>
      <c r="K217" s="55"/>
      <c r="L217" s="10"/>
      <c r="M217" s="10"/>
      <c r="N217" s="189"/>
    </row>
    <row r="218" spans="1:14" s="180" customFormat="1" x14ac:dyDescent="0.15">
      <c r="A218" s="11"/>
      <c r="B218" s="13"/>
      <c r="C218" s="12"/>
      <c r="D218" s="13"/>
      <c r="E218" s="13"/>
      <c r="F218" s="12"/>
      <c r="G218" s="55"/>
      <c r="H218" s="55"/>
      <c r="I218" s="55"/>
      <c r="J218" s="55"/>
      <c r="K218" s="55"/>
      <c r="L218" s="10"/>
      <c r="M218" s="10"/>
      <c r="N218" s="189"/>
    </row>
    <row r="219" spans="1:14" s="180" customFormat="1" x14ac:dyDescent="0.15">
      <c r="A219" s="11"/>
      <c r="B219" s="13"/>
      <c r="C219" s="12"/>
      <c r="D219" s="13"/>
      <c r="E219" s="13"/>
      <c r="F219" s="12"/>
      <c r="G219" s="55"/>
      <c r="H219" s="55"/>
      <c r="I219" s="55"/>
      <c r="J219" s="55"/>
      <c r="K219" s="55"/>
      <c r="L219" s="10"/>
      <c r="M219" s="10"/>
      <c r="N219" s="189"/>
    </row>
    <row r="220" spans="1:14" s="180" customFormat="1" x14ac:dyDescent="0.15">
      <c r="A220" s="11"/>
      <c r="B220" s="13"/>
      <c r="C220" s="12"/>
      <c r="D220" s="13"/>
      <c r="E220" s="13"/>
      <c r="F220" s="12"/>
      <c r="G220" s="55"/>
      <c r="H220" s="55"/>
      <c r="I220" s="55"/>
      <c r="J220" s="55"/>
      <c r="K220" s="55"/>
      <c r="L220" s="10"/>
      <c r="M220" s="10"/>
      <c r="N220" s="189"/>
    </row>
    <row r="221" spans="1:14" s="180" customFormat="1" x14ac:dyDescent="0.15">
      <c r="A221" s="11"/>
      <c r="B221" s="13"/>
      <c r="C221" s="12"/>
      <c r="D221" s="13"/>
      <c r="E221" s="13"/>
      <c r="F221" s="12"/>
      <c r="G221" s="55"/>
      <c r="H221" s="55"/>
      <c r="I221" s="55"/>
      <c r="J221" s="55"/>
      <c r="K221" s="55"/>
      <c r="L221" s="10"/>
      <c r="M221" s="10"/>
      <c r="N221" s="189"/>
    </row>
    <row r="222" spans="1:14" s="180" customFormat="1" x14ac:dyDescent="0.15">
      <c r="A222" s="11"/>
      <c r="B222" s="13"/>
      <c r="C222" s="12"/>
      <c r="D222" s="13"/>
      <c r="E222" s="13"/>
      <c r="F222" s="12"/>
      <c r="G222" s="55"/>
      <c r="H222" s="55"/>
      <c r="I222" s="55"/>
      <c r="J222" s="55"/>
      <c r="K222" s="55"/>
      <c r="L222" s="10"/>
      <c r="M222" s="10"/>
      <c r="N222" s="189"/>
    </row>
    <row r="223" spans="1:14" s="180" customFormat="1" x14ac:dyDescent="0.15">
      <c r="A223" s="11"/>
      <c r="B223" s="13"/>
      <c r="C223" s="12"/>
      <c r="D223" s="13"/>
      <c r="E223" s="13"/>
      <c r="F223" s="12"/>
      <c r="G223" s="55"/>
      <c r="H223" s="55"/>
      <c r="I223" s="55"/>
      <c r="J223" s="55"/>
      <c r="K223" s="55"/>
      <c r="L223" s="10"/>
      <c r="M223" s="10"/>
      <c r="N223" s="189"/>
    </row>
    <row r="224" spans="1:14" s="180" customFormat="1" x14ac:dyDescent="0.15">
      <c r="A224" s="11"/>
      <c r="B224" s="13"/>
      <c r="C224" s="12"/>
      <c r="D224" s="13"/>
      <c r="E224" s="13"/>
      <c r="F224" s="12"/>
      <c r="G224" s="55"/>
      <c r="H224" s="55"/>
      <c r="I224" s="55"/>
      <c r="J224" s="55"/>
      <c r="K224" s="55"/>
      <c r="L224" s="10"/>
      <c r="M224" s="10"/>
      <c r="N224" s="189"/>
    </row>
    <row r="225" spans="1:14" s="180" customFormat="1" x14ac:dyDescent="0.15">
      <c r="A225" s="11"/>
      <c r="B225" s="13"/>
      <c r="C225" s="12"/>
      <c r="D225" s="13"/>
      <c r="E225" s="13"/>
      <c r="F225" s="12"/>
      <c r="G225" s="55"/>
      <c r="H225" s="55"/>
      <c r="I225" s="55"/>
      <c r="J225" s="55"/>
      <c r="K225" s="55"/>
      <c r="L225" s="10"/>
      <c r="M225" s="10"/>
      <c r="N225" s="189"/>
    </row>
    <row r="226" spans="1:14" s="180" customFormat="1" x14ac:dyDescent="0.15">
      <c r="A226" s="11"/>
      <c r="B226" s="13"/>
      <c r="C226" s="12"/>
      <c r="D226" s="13"/>
      <c r="E226" s="13"/>
      <c r="F226" s="12"/>
      <c r="G226" s="55"/>
      <c r="H226" s="55"/>
      <c r="I226" s="55"/>
      <c r="J226" s="55"/>
      <c r="K226" s="55"/>
      <c r="L226" s="10"/>
      <c r="M226" s="10"/>
      <c r="N226" s="189"/>
    </row>
    <row r="227" spans="1:14" s="180" customFormat="1" x14ac:dyDescent="0.15">
      <c r="A227" s="11"/>
      <c r="B227" s="13"/>
      <c r="C227" s="12"/>
      <c r="D227" s="13"/>
      <c r="E227" s="13"/>
      <c r="F227" s="12"/>
      <c r="G227" s="55"/>
      <c r="H227" s="55"/>
      <c r="I227" s="55"/>
      <c r="J227" s="55"/>
      <c r="K227" s="55"/>
      <c r="L227" s="10"/>
      <c r="M227" s="10"/>
      <c r="N227" s="189"/>
    </row>
    <row r="228" spans="1:14" s="180" customFormat="1" x14ac:dyDescent="0.15">
      <c r="A228" s="11"/>
      <c r="B228" s="13"/>
      <c r="C228" s="12"/>
      <c r="D228" s="13"/>
      <c r="E228" s="13"/>
      <c r="F228" s="12"/>
      <c r="G228" s="55"/>
      <c r="H228" s="55"/>
      <c r="I228" s="55"/>
      <c r="J228" s="55"/>
      <c r="K228" s="55"/>
      <c r="L228" s="10"/>
      <c r="M228" s="10"/>
      <c r="N228" s="189"/>
    </row>
    <row r="229" spans="1:14" s="180" customFormat="1" x14ac:dyDescent="0.15">
      <c r="A229" s="11"/>
      <c r="B229" s="13"/>
      <c r="C229" s="12"/>
      <c r="D229" s="13"/>
      <c r="E229" s="13"/>
      <c r="F229" s="12"/>
      <c r="G229" s="55"/>
      <c r="H229" s="55"/>
      <c r="I229" s="55"/>
      <c r="J229" s="55"/>
      <c r="K229" s="55"/>
      <c r="L229" s="10"/>
      <c r="M229" s="10"/>
      <c r="N229" s="189"/>
    </row>
    <row r="230" spans="1:14" s="180" customFormat="1" x14ac:dyDescent="0.15">
      <c r="A230" s="11"/>
      <c r="B230" s="13"/>
      <c r="C230" s="12"/>
      <c r="D230" s="13"/>
      <c r="E230" s="13"/>
      <c r="F230" s="12"/>
      <c r="G230" s="55"/>
      <c r="H230" s="55"/>
      <c r="I230" s="55"/>
      <c r="J230" s="55"/>
      <c r="K230" s="55"/>
      <c r="L230" s="10"/>
      <c r="M230" s="10"/>
      <c r="N230" s="189"/>
    </row>
    <row r="231" spans="1:14" s="180" customFormat="1" x14ac:dyDescent="0.15">
      <c r="A231" s="11"/>
      <c r="B231" s="13"/>
      <c r="C231" s="12"/>
      <c r="D231" s="13"/>
      <c r="E231" s="13"/>
      <c r="F231" s="12"/>
      <c r="G231" s="55"/>
      <c r="H231" s="55"/>
      <c r="I231" s="55"/>
      <c r="J231" s="55"/>
      <c r="K231" s="55"/>
      <c r="L231" s="10"/>
      <c r="M231" s="10"/>
      <c r="N231" s="189"/>
    </row>
    <row r="232" spans="1:14" s="180" customFormat="1" x14ac:dyDescent="0.15">
      <c r="A232" s="11"/>
      <c r="B232" s="13"/>
      <c r="C232" s="12"/>
      <c r="D232" s="13"/>
      <c r="E232" s="13"/>
      <c r="F232" s="12"/>
      <c r="G232" s="55"/>
      <c r="H232" s="55"/>
      <c r="I232" s="55"/>
      <c r="J232" s="55"/>
      <c r="K232" s="55"/>
      <c r="L232" s="10"/>
      <c r="M232" s="10"/>
      <c r="N232" s="189"/>
    </row>
    <row r="233" spans="1:14" s="180" customFormat="1" x14ac:dyDescent="0.15">
      <c r="A233" s="11"/>
      <c r="B233" s="13"/>
      <c r="C233" s="12"/>
      <c r="D233" s="13"/>
      <c r="E233" s="13"/>
      <c r="F233" s="12"/>
      <c r="G233" s="55"/>
      <c r="H233" s="55"/>
      <c r="I233" s="55"/>
      <c r="J233" s="55"/>
      <c r="K233" s="55"/>
      <c r="L233" s="10"/>
      <c r="M233" s="10"/>
      <c r="N233" s="189"/>
    </row>
    <row r="234" spans="1:14" s="180" customFormat="1" x14ac:dyDescent="0.15">
      <c r="A234" s="11"/>
      <c r="B234" s="13"/>
      <c r="C234" s="12"/>
      <c r="D234" s="13"/>
      <c r="E234" s="13"/>
      <c r="F234" s="12"/>
      <c r="G234" s="55"/>
      <c r="H234" s="55"/>
      <c r="I234" s="55"/>
      <c r="J234" s="55"/>
      <c r="K234" s="55"/>
      <c r="L234" s="10"/>
      <c r="M234" s="10"/>
      <c r="N234" s="189"/>
    </row>
    <row r="235" spans="1:14" s="180" customFormat="1" x14ac:dyDescent="0.15">
      <c r="A235" s="11"/>
      <c r="B235" s="13"/>
      <c r="C235" s="12"/>
      <c r="D235" s="13"/>
      <c r="E235" s="13"/>
      <c r="F235" s="12"/>
      <c r="G235" s="55"/>
      <c r="H235" s="55"/>
      <c r="I235" s="55"/>
      <c r="J235" s="55"/>
      <c r="K235" s="55"/>
      <c r="L235" s="10"/>
      <c r="M235" s="10"/>
      <c r="N235" s="189"/>
    </row>
    <row r="236" spans="1:14" s="180" customFormat="1" x14ac:dyDescent="0.15">
      <c r="A236" s="11"/>
      <c r="B236" s="13"/>
      <c r="C236" s="12"/>
      <c r="D236" s="13"/>
      <c r="E236" s="13"/>
      <c r="F236" s="12"/>
      <c r="G236" s="55"/>
      <c r="H236" s="55"/>
      <c r="I236" s="55"/>
      <c r="J236" s="55"/>
      <c r="K236" s="55"/>
      <c r="L236" s="10"/>
      <c r="M236" s="10"/>
      <c r="N236" s="189"/>
    </row>
    <row r="237" spans="1:14" s="180" customFormat="1" x14ac:dyDescent="0.15">
      <c r="A237" s="11"/>
      <c r="B237" s="13"/>
      <c r="C237" s="12"/>
      <c r="D237" s="13"/>
      <c r="E237" s="13"/>
      <c r="F237" s="12"/>
      <c r="G237" s="55"/>
      <c r="H237" s="55"/>
      <c r="I237" s="55"/>
      <c r="J237" s="55"/>
      <c r="K237" s="55"/>
      <c r="L237" s="10"/>
      <c r="M237" s="10"/>
      <c r="N237" s="189"/>
    </row>
    <row r="238" spans="1:14" s="180" customFormat="1" x14ac:dyDescent="0.15">
      <c r="A238" s="11"/>
      <c r="B238" s="13"/>
      <c r="C238" s="12"/>
      <c r="D238" s="13"/>
      <c r="E238" s="13"/>
      <c r="F238" s="12"/>
      <c r="G238" s="55"/>
      <c r="H238" s="55"/>
      <c r="I238" s="55"/>
      <c r="J238" s="55"/>
      <c r="K238" s="55"/>
      <c r="L238" s="10"/>
      <c r="M238" s="10"/>
      <c r="N238" s="189"/>
    </row>
    <row r="239" spans="1:14" s="180" customFormat="1" x14ac:dyDescent="0.15">
      <c r="A239" s="11"/>
      <c r="B239" s="13"/>
      <c r="C239" s="12"/>
      <c r="D239" s="13"/>
      <c r="E239" s="13"/>
      <c r="F239" s="12"/>
      <c r="G239" s="55"/>
      <c r="H239" s="55"/>
      <c r="I239" s="55"/>
      <c r="J239" s="55"/>
      <c r="K239" s="55"/>
      <c r="L239" s="10"/>
      <c r="M239" s="10"/>
      <c r="N239" s="189"/>
    </row>
    <row r="240" spans="1:14" s="180" customFormat="1" x14ac:dyDescent="0.15">
      <c r="A240" s="11"/>
      <c r="B240" s="13"/>
      <c r="C240" s="12"/>
      <c r="D240" s="13"/>
      <c r="E240" s="13"/>
      <c r="F240" s="12"/>
      <c r="G240" s="55"/>
      <c r="H240" s="55"/>
      <c r="I240" s="55"/>
      <c r="J240" s="55"/>
      <c r="K240" s="55"/>
      <c r="L240" s="10"/>
      <c r="M240" s="10"/>
      <c r="N240" s="189"/>
    </row>
    <row r="241" spans="1:14" s="180" customFormat="1" x14ac:dyDescent="0.15">
      <c r="A241" s="11"/>
      <c r="B241" s="13"/>
      <c r="C241" s="12"/>
      <c r="D241" s="13"/>
      <c r="E241" s="13"/>
      <c r="F241" s="12"/>
      <c r="G241" s="55"/>
      <c r="H241" s="55"/>
      <c r="I241" s="55"/>
      <c r="J241" s="55"/>
      <c r="K241" s="55"/>
      <c r="L241" s="10"/>
      <c r="M241" s="10"/>
      <c r="N241" s="189"/>
    </row>
    <row r="242" spans="1:14" s="180" customFormat="1" x14ac:dyDescent="0.15">
      <c r="A242" s="11"/>
      <c r="B242" s="13"/>
      <c r="C242" s="12"/>
      <c r="D242" s="13"/>
      <c r="E242" s="13"/>
      <c r="F242" s="12"/>
      <c r="G242" s="55"/>
      <c r="H242" s="55"/>
      <c r="I242" s="55"/>
      <c r="J242" s="55"/>
      <c r="K242" s="55"/>
      <c r="L242" s="10"/>
      <c r="M242" s="10"/>
      <c r="N242" s="189"/>
    </row>
    <row r="243" spans="1:14" s="180" customFormat="1" x14ac:dyDescent="0.15">
      <c r="A243" s="11"/>
      <c r="B243" s="13"/>
      <c r="C243" s="12"/>
      <c r="D243" s="13"/>
      <c r="E243" s="13"/>
      <c r="F243" s="12"/>
      <c r="G243" s="55"/>
      <c r="H243" s="55"/>
      <c r="I243" s="55"/>
      <c r="J243" s="55"/>
      <c r="K243" s="55"/>
      <c r="L243" s="10"/>
      <c r="M243" s="10"/>
      <c r="N243" s="189"/>
    </row>
    <row r="244" spans="1:14" s="180" customFormat="1" x14ac:dyDescent="0.15">
      <c r="A244" s="11"/>
      <c r="B244" s="13"/>
      <c r="C244" s="12"/>
      <c r="D244" s="13"/>
      <c r="E244" s="13"/>
      <c r="F244" s="12"/>
      <c r="G244" s="55"/>
      <c r="H244" s="55"/>
      <c r="I244" s="55"/>
      <c r="J244" s="55"/>
      <c r="K244" s="55"/>
      <c r="L244" s="10"/>
      <c r="M244" s="10"/>
      <c r="N244" s="189"/>
    </row>
    <row r="245" spans="1:14" s="180" customFormat="1" x14ac:dyDescent="0.15">
      <c r="A245" s="11"/>
      <c r="B245" s="13"/>
      <c r="C245" s="12"/>
      <c r="D245" s="13"/>
      <c r="E245" s="13"/>
      <c r="F245" s="12"/>
      <c r="G245" s="55"/>
      <c r="H245" s="55"/>
      <c r="I245" s="55"/>
      <c r="J245" s="55"/>
      <c r="K245" s="55"/>
      <c r="L245" s="10"/>
      <c r="M245" s="10"/>
      <c r="N245" s="189"/>
    </row>
    <row r="246" spans="1:14" s="180" customFormat="1" x14ac:dyDescent="0.15">
      <c r="A246" s="11"/>
      <c r="B246" s="13"/>
      <c r="C246" s="12"/>
      <c r="D246" s="13"/>
      <c r="E246" s="13"/>
      <c r="F246" s="12"/>
      <c r="G246" s="55"/>
      <c r="H246" s="55"/>
      <c r="I246" s="55"/>
      <c r="J246" s="55"/>
      <c r="K246" s="55"/>
      <c r="L246" s="10"/>
      <c r="M246" s="10"/>
      <c r="N246" s="189"/>
    </row>
    <row r="247" spans="1:14" s="180" customFormat="1" x14ac:dyDescent="0.15">
      <c r="A247" s="11"/>
      <c r="B247" s="13"/>
      <c r="C247" s="12"/>
      <c r="D247" s="13"/>
      <c r="E247" s="13"/>
      <c r="F247" s="12"/>
      <c r="G247" s="55"/>
      <c r="H247" s="55"/>
      <c r="I247" s="55"/>
      <c r="J247" s="55"/>
      <c r="K247" s="55"/>
      <c r="L247" s="10"/>
      <c r="M247" s="10"/>
      <c r="N247" s="189"/>
    </row>
    <row r="248" spans="1:14" s="180" customFormat="1" x14ac:dyDescent="0.15">
      <c r="A248" s="11"/>
      <c r="B248" s="13"/>
      <c r="C248" s="12"/>
      <c r="D248" s="13"/>
      <c r="E248" s="13"/>
      <c r="F248" s="12"/>
      <c r="G248" s="55"/>
      <c r="H248" s="55"/>
      <c r="I248" s="55"/>
      <c r="J248" s="55"/>
      <c r="K248" s="55"/>
      <c r="L248" s="10"/>
      <c r="M248" s="10"/>
      <c r="N248" s="189"/>
    </row>
    <row r="249" spans="1:14" s="180" customFormat="1" x14ac:dyDescent="0.15">
      <c r="A249" s="11"/>
      <c r="B249" s="13"/>
      <c r="C249" s="12"/>
      <c r="D249" s="13"/>
      <c r="E249" s="13"/>
      <c r="F249" s="12"/>
      <c r="G249" s="55"/>
      <c r="H249" s="55"/>
      <c r="I249" s="55"/>
      <c r="J249" s="55"/>
      <c r="K249" s="55"/>
      <c r="L249" s="10"/>
      <c r="M249" s="10"/>
      <c r="N249" s="189"/>
    </row>
    <row r="250" spans="1:14" s="180" customFormat="1" x14ac:dyDescent="0.15">
      <c r="A250" s="11"/>
      <c r="B250" s="13"/>
      <c r="C250" s="12"/>
      <c r="D250" s="13"/>
      <c r="E250" s="13"/>
      <c r="F250" s="12"/>
      <c r="G250" s="55"/>
      <c r="H250" s="55"/>
      <c r="I250" s="55"/>
      <c r="J250" s="55"/>
      <c r="K250" s="55"/>
      <c r="L250" s="10"/>
      <c r="M250" s="10"/>
      <c r="N250" s="189"/>
    </row>
    <row r="251" spans="1:14" s="180" customFormat="1" x14ac:dyDescent="0.15">
      <c r="A251" s="11"/>
      <c r="B251" s="13"/>
      <c r="C251" s="12"/>
      <c r="D251" s="13"/>
      <c r="E251" s="13"/>
      <c r="F251" s="12"/>
      <c r="G251" s="55"/>
      <c r="H251" s="55"/>
      <c r="I251" s="55"/>
      <c r="J251" s="55"/>
      <c r="K251" s="55"/>
      <c r="L251" s="10"/>
      <c r="M251" s="10"/>
      <c r="N251" s="189"/>
    </row>
    <row r="252" spans="1:14" s="180" customFormat="1" x14ac:dyDescent="0.15">
      <c r="A252" s="11"/>
      <c r="B252" s="13"/>
      <c r="C252" s="12"/>
      <c r="D252" s="13"/>
      <c r="E252" s="13"/>
      <c r="F252" s="12"/>
      <c r="G252" s="55"/>
      <c r="H252" s="55"/>
      <c r="I252" s="55"/>
      <c r="J252" s="55"/>
      <c r="K252" s="55"/>
      <c r="L252" s="10"/>
      <c r="M252" s="10"/>
      <c r="N252" s="189"/>
    </row>
    <row r="253" spans="1:14" s="180" customFormat="1" x14ac:dyDescent="0.15">
      <c r="A253" s="11"/>
      <c r="B253" s="13"/>
      <c r="C253" s="12"/>
      <c r="D253" s="13"/>
      <c r="E253" s="13"/>
      <c r="F253" s="12"/>
      <c r="G253" s="55"/>
      <c r="H253" s="55"/>
      <c r="I253" s="55"/>
      <c r="J253" s="55"/>
      <c r="K253" s="55"/>
      <c r="L253" s="10"/>
      <c r="M253" s="10"/>
      <c r="N253" s="189"/>
    </row>
    <row r="254" spans="1:14" s="180" customFormat="1" x14ac:dyDescent="0.15">
      <c r="A254" s="11"/>
      <c r="B254" s="13"/>
      <c r="C254" s="12"/>
      <c r="D254" s="13"/>
      <c r="E254" s="13"/>
      <c r="F254" s="12"/>
      <c r="G254" s="55"/>
      <c r="H254" s="55"/>
      <c r="I254" s="55"/>
      <c r="J254" s="55"/>
      <c r="K254" s="55"/>
      <c r="L254" s="10"/>
      <c r="M254" s="10"/>
      <c r="N254" s="189"/>
    </row>
    <row r="255" spans="1:14" s="180" customFormat="1" x14ac:dyDescent="0.15">
      <c r="A255" s="11"/>
      <c r="B255" s="13"/>
      <c r="C255" s="12"/>
      <c r="D255" s="13"/>
      <c r="E255" s="13"/>
      <c r="F255" s="12"/>
      <c r="G255" s="55"/>
      <c r="H255" s="55"/>
      <c r="I255" s="55"/>
      <c r="J255" s="55"/>
      <c r="K255" s="55"/>
      <c r="L255" s="10"/>
      <c r="M255" s="10"/>
      <c r="N255" s="189"/>
    </row>
    <row r="256" spans="1:14" s="180" customFormat="1" x14ac:dyDescent="0.15">
      <c r="A256" s="11"/>
      <c r="B256" s="13"/>
      <c r="C256" s="12"/>
      <c r="D256" s="13"/>
      <c r="E256" s="13"/>
      <c r="F256" s="12"/>
      <c r="G256" s="55"/>
      <c r="H256" s="55"/>
      <c r="I256" s="55"/>
      <c r="J256" s="55"/>
      <c r="K256" s="55"/>
      <c r="L256" s="10"/>
      <c r="M256" s="10"/>
      <c r="N256" s="189"/>
    </row>
    <row r="257" spans="1:14" s="180" customFormat="1" x14ac:dyDescent="0.15">
      <c r="A257" s="11"/>
      <c r="B257" s="13"/>
      <c r="C257" s="12"/>
      <c r="D257" s="13"/>
      <c r="E257" s="13"/>
      <c r="F257" s="12"/>
      <c r="G257" s="55"/>
      <c r="H257" s="55"/>
      <c r="I257" s="55"/>
      <c r="J257" s="55"/>
      <c r="K257" s="55"/>
      <c r="L257" s="10"/>
      <c r="M257" s="10"/>
      <c r="N257" s="189"/>
    </row>
    <row r="258" spans="1:14" s="180" customFormat="1" x14ac:dyDescent="0.15">
      <c r="A258" s="11"/>
      <c r="B258" s="13"/>
      <c r="C258" s="12"/>
      <c r="D258" s="13"/>
      <c r="E258" s="13"/>
      <c r="F258" s="12"/>
      <c r="G258" s="55"/>
      <c r="H258" s="55"/>
      <c r="I258" s="55"/>
      <c r="J258" s="55"/>
      <c r="K258" s="55"/>
      <c r="L258" s="10"/>
      <c r="M258" s="10"/>
      <c r="N258" s="189"/>
    </row>
    <row r="259" spans="1:14" s="180" customFormat="1" x14ac:dyDescent="0.15">
      <c r="A259" s="11"/>
      <c r="B259" s="13"/>
      <c r="C259" s="12"/>
      <c r="D259" s="13"/>
      <c r="E259" s="13"/>
      <c r="F259" s="12"/>
      <c r="G259" s="55"/>
      <c r="H259" s="55"/>
      <c r="I259" s="55"/>
      <c r="J259" s="55"/>
      <c r="K259" s="55"/>
      <c r="L259" s="10"/>
      <c r="M259" s="10"/>
      <c r="N259" s="189"/>
    </row>
    <row r="260" spans="1:14" s="180" customFormat="1" x14ac:dyDescent="0.15">
      <c r="A260" s="11"/>
      <c r="B260" s="13"/>
      <c r="C260" s="12"/>
      <c r="D260" s="13"/>
      <c r="E260" s="13"/>
      <c r="F260" s="12"/>
      <c r="G260" s="55"/>
      <c r="H260" s="55"/>
      <c r="I260" s="55"/>
      <c r="J260" s="55"/>
      <c r="K260" s="55"/>
      <c r="L260" s="10"/>
      <c r="M260" s="10"/>
      <c r="N260" s="189"/>
    </row>
    <row r="261" spans="1:14" s="180" customFormat="1" x14ac:dyDescent="0.15">
      <c r="A261" s="11"/>
      <c r="B261" s="13"/>
      <c r="C261" s="12"/>
      <c r="D261" s="13"/>
      <c r="E261" s="13"/>
      <c r="F261" s="12"/>
      <c r="G261" s="55"/>
      <c r="H261" s="55"/>
      <c r="I261" s="55"/>
      <c r="J261" s="55"/>
      <c r="K261" s="55"/>
      <c r="L261" s="10"/>
      <c r="M261" s="10"/>
      <c r="N261" s="189"/>
    </row>
    <row r="262" spans="1:14" s="180" customFormat="1" x14ac:dyDescent="0.15">
      <c r="A262" s="11"/>
      <c r="B262" s="13"/>
      <c r="C262" s="12"/>
      <c r="D262" s="13"/>
      <c r="E262" s="13"/>
      <c r="F262" s="12"/>
      <c r="G262" s="55"/>
      <c r="H262" s="55"/>
      <c r="I262" s="55"/>
      <c r="J262" s="55"/>
      <c r="K262" s="55"/>
      <c r="L262" s="10"/>
      <c r="M262" s="10"/>
      <c r="N262" s="189"/>
    </row>
    <row r="263" spans="1:14" s="180" customFormat="1" x14ac:dyDescent="0.15">
      <c r="A263" s="11"/>
      <c r="B263" s="13"/>
      <c r="C263" s="12"/>
      <c r="D263" s="13"/>
      <c r="E263" s="13"/>
      <c r="F263" s="12"/>
      <c r="G263" s="55"/>
      <c r="H263" s="55"/>
      <c r="I263" s="55"/>
      <c r="J263" s="55"/>
      <c r="K263" s="55"/>
      <c r="L263" s="10"/>
      <c r="M263" s="10"/>
      <c r="N263" s="189"/>
    </row>
    <row r="264" spans="1:14" s="180" customFormat="1" x14ac:dyDescent="0.15">
      <c r="A264" s="11"/>
      <c r="B264" s="13"/>
      <c r="C264" s="12"/>
      <c r="D264" s="13"/>
      <c r="E264" s="13"/>
      <c r="F264" s="12"/>
      <c r="G264" s="55"/>
      <c r="H264" s="55"/>
      <c r="I264" s="55"/>
      <c r="J264" s="55"/>
      <c r="K264" s="55"/>
      <c r="L264" s="10"/>
      <c r="M264" s="10"/>
      <c r="N264" s="189"/>
    </row>
    <row r="265" spans="1:14" s="180" customFormat="1" x14ac:dyDescent="0.15">
      <c r="A265" s="11"/>
      <c r="B265" s="13"/>
      <c r="C265" s="12"/>
      <c r="D265" s="13"/>
      <c r="E265" s="13"/>
      <c r="F265" s="12"/>
      <c r="G265" s="55"/>
      <c r="H265" s="55"/>
      <c r="I265" s="55"/>
      <c r="J265" s="55"/>
      <c r="K265" s="55"/>
      <c r="L265" s="10"/>
      <c r="M265" s="10"/>
      <c r="N265" s="189"/>
    </row>
    <row r="266" spans="1:14" s="180" customFormat="1" x14ac:dyDescent="0.15">
      <c r="A266" s="11"/>
      <c r="B266" s="13"/>
      <c r="C266" s="12"/>
      <c r="D266" s="13"/>
      <c r="E266" s="13"/>
      <c r="F266" s="12"/>
      <c r="G266" s="55"/>
      <c r="H266" s="55"/>
      <c r="I266" s="55"/>
      <c r="J266" s="55"/>
      <c r="K266" s="55"/>
      <c r="L266" s="10"/>
      <c r="M266" s="10"/>
      <c r="N266" s="189"/>
    </row>
    <row r="267" spans="1:14" s="180" customFormat="1" x14ac:dyDescent="0.15">
      <c r="A267" s="11"/>
      <c r="B267" s="13"/>
      <c r="C267" s="12"/>
      <c r="D267" s="13"/>
      <c r="E267" s="13"/>
      <c r="F267" s="12"/>
      <c r="G267" s="55"/>
      <c r="H267" s="55"/>
      <c r="I267" s="55"/>
      <c r="J267" s="55"/>
      <c r="K267" s="55"/>
      <c r="L267" s="10"/>
      <c r="M267" s="10"/>
      <c r="N267" s="189"/>
    </row>
    <row r="268" spans="1:14" s="180" customFormat="1" x14ac:dyDescent="0.15">
      <c r="A268" s="11"/>
      <c r="B268" s="13"/>
      <c r="C268" s="12"/>
      <c r="D268" s="13"/>
      <c r="E268" s="13"/>
      <c r="F268" s="12"/>
      <c r="G268" s="55"/>
      <c r="H268" s="55"/>
      <c r="I268" s="55"/>
      <c r="J268" s="55"/>
      <c r="K268" s="55"/>
      <c r="L268" s="10"/>
      <c r="M268" s="10"/>
      <c r="N268" s="189"/>
    </row>
    <row r="269" spans="1:14" s="180" customFormat="1" x14ac:dyDescent="0.15">
      <c r="A269" s="11"/>
      <c r="B269" s="13"/>
      <c r="C269" s="12"/>
      <c r="D269" s="13"/>
      <c r="E269" s="13"/>
      <c r="F269" s="12"/>
      <c r="G269" s="55"/>
      <c r="H269" s="55"/>
      <c r="I269" s="55"/>
      <c r="J269" s="55"/>
      <c r="K269" s="55"/>
      <c r="L269" s="10"/>
      <c r="M269" s="10"/>
      <c r="N269" s="189"/>
    </row>
    <row r="270" spans="1:14" s="180" customFormat="1" x14ac:dyDescent="0.15">
      <c r="A270" s="11"/>
      <c r="B270" s="13"/>
      <c r="C270" s="12"/>
      <c r="D270" s="13"/>
      <c r="E270" s="13"/>
      <c r="F270" s="12"/>
      <c r="G270" s="55"/>
      <c r="H270" s="55"/>
      <c r="I270" s="55"/>
      <c r="J270" s="55"/>
      <c r="K270" s="55"/>
      <c r="L270" s="10"/>
      <c r="M270" s="10"/>
      <c r="N270" s="189"/>
    </row>
    <row r="271" spans="1:14" s="180" customFormat="1" x14ac:dyDescent="0.15">
      <c r="A271" s="11"/>
      <c r="B271" s="13"/>
      <c r="C271" s="12"/>
      <c r="D271" s="13"/>
      <c r="E271" s="13"/>
      <c r="F271" s="12"/>
      <c r="G271" s="55"/>
      <c r="H271" s="55"/>
      <c r="I271" s="55"/>
      <c r="J271" s="55"/>
      <c r="K271" s="55"/>
      <c r="L271" s="10"/>
      <c r="M271" s="10"/>
      <c r="N271" s="189"/>
    </row>
    <row r="272" spans="1:14" s="180" customFormat="1" x14ac:dyDescent="0.15">
      <c r="A272" s="11"/>
      <c r="B272" s="13"/>
      <c r="C272" s="12"/>
      <c r="D272" s="13"/>
      <c r="E272" s="13"/>
      <c r="F272" s="12"/>
      <c r="G272" s="55"/>
      <c r="H272" s="55"/>
      <c r="I272" s="55"/>
      <c r="J272" s="55"/>
      <c r="K272" s="55"/>
      <c r="L272" s="10"/>
      <c r="M272" s="10"/>
      <c r="N272" s="189"/>
    </row>
    <row r="273" spans="1:14" s="180" customFormat="1" x14ac:dyDescent="0.15">
      <c r="A273" s="11"/>
      <c r="B273" s="13"/>
      <c r="C273" s="12"/>
      <c r="D273" s="13"/>
      <c r="E273" s="13"/>
      <c r="F273" s="12"/>
      <c r="G273" s="55"/>
      <c r="H273" s="55"/>
      <c r="I273" s="55"/>
      <c r="J273" s="55"/>
      <c r="K273" s="55"/>
      <c r="L273" s="10"/>
      <c r="M273" s="10"/>
      <c r="N273" s="189"/>
    </row>
    <row r="274" spans="1:14" s="180" customFormat="1" x14ac:dyDescent="0.15">
      <c r="A274" s="11"/>
      <c r="B274" s="13"/>
      <c r="C274" s="12"/>
      <c r="D274" s="13"/>
      <c r="E274" s="13"/>
      <c r="F274" s="12"/>
      <c r="G274" s="55"/>
      <c r="H274" s="55"/>
      <c r="I274" s="55"/>
      <c r="J274" s="55"/>
      <c r="K274" s="55"/>
      <c r="L274" s="10"/>
      <c r="M274" s="10"/>
      <c r="N274" s="189"/>
    </row>
    <row r="275" spans="1:14" s="180" customFormat="1" x14ac:dyDescent="0.15">
      <c r="A275" s="11"/>
      <c r="B275" s="13"/>
      <c r="C275" s="12"/>
      <c r="D275" s="13"/>
      <c r="E275" s="13"/>
      <c r="F275" s="12"/>
      <c r="G275" s="55"/>
      <c r="H275" s="55"/>
      <c r="I275" s="55"/>
      <c r="J275" s="55"/>
      <c r="K275" s="55"/>
      <c r="L275" s="10"/>
      <c r="M275" s="10"/>
      <c r="N275" s="189"/>
    </row>
    <row r="276" spans="1:14" s="180" customFormat="1" x14ac:dyDescent="0.15">
      <c r="A276" s="11"/>
      <c r="B276" s="13"/>
      <c r="C276" s="12"/>
      <c r="D276" s="13"/>
      <c r="E276" s="13"/>
      <c r="F276" s="12"/>
      <c r="G276" s="55"/>
      <c r="H276" s="55"/>
      <c r="I276" s="55"/>
      <c r="J276" s="55"/>
      <c r="K276" s="55"/>
      <c r="L276" s="10"/>
      <c r="M276" s="10"/>
      <c r="N276" s="189"/>
    </row>
    <row r="277" spans="1:14" s="180" customFormat="1" x14ac:dyDescent="0.15">
      <c r="A277" s="11"/>
      <c r="B277" s="13"/>
      <c r="C277" s="12"/>
      <c r="D277" s="13"/>
      <c r="E277" s="13"/>
      <c r="F277" s="12"/>
      <c r="G277" s="55"/>
      <c r="H277" s="55"/>
      <c r="I277" s="55"/>
      <c r="J277" s="55"/>
      <c r="K277" s="55"/>
      <c r="L277" s="10"/>
      <c r="M277" s="10"/>
      <c r="N277" s="189"/>
    </row>
    <row r="278" spans="1:14" s="180" customFormat="1" x14ac:dyDescent="0.15">
      <c r="A278" s="11"/>
      <c r="B278" s="13"/>
      <c r="C278" s="12"/>
      <c r="D278" s="13"/>
      <c r="E278" s="13"/>
      <c r="F278" s="12"/>
      <c r="G278" s="55"/>
      <c r="H278" s="55"/>
      <c r="I278" s="55"/>
      <c r="J278" s="55"/>
      <c r="K278" s="55"/>
      <c r="L278" s="10"/>
      <c r="M278" s="10"/>
      <c r="N278" s="189"/>
    </row>
    <row r="279" spans="1:14" s="180" customFormat="1" x14ac:dyDescent="0.15">
      <c r="A279" s="11"/>
      <c r="B279" s="13"/>
      <c r="C279" s="12"/>
      <c r="D279" s="13"/>
      <c r="E279" s="13"/>
      <c r="F279" s="12"/>
      <c r="G279" s="55"/>
      <c r="H279" s="55"/>
      <c r="I279" s="55"/>
      <c r="J279" s="55"/>
      <c r="K279" s="55"/>
      <c r="L279" s="10"/>
      <c r="M279" s="10"/>
      <c r="N279" s="189"/>
    </row>
    <row r="280" spans="1:14" s="180" customFormat="1" x14ac:dyDescent="0.15">
      <c r="A280" s="11"/>
      <c r="B280" s="13"/>
      <c r="C280" s="12"/>
      <c r="D280" s="13"/>
      <c r="E280" s="13"/>
      <c r="F280" s="12"/>
      <c r="G280" s="55"/>
      <c r="H280" s="55"/>
      <c r="I280" s="55"/>
      <c r="J280" s="55"/>
      <c r="K280" s="55"/>
      <c r="L280" s="10"/>
      <c r="M280" s="10"/>
      <c r="N280" s="189"/>
    </row>
    <row r="281" spans="1:14" s="180" customFormat="1" x14ac:dyDescent="0.15">
      <c r="A281" s="11"/>
      <c r="B281" s="13"/>
      <c r="C281" s="12"/>
      <c r="D281" s="13"/>
      <c r="E281" s="13"/>
      <c r="F281" s="12"/>
      <c r="G281" s="55"/>
      <c r="H281" s="55"/>
      <c r="I281" s="55"/>
      <c r="J281" s="55"/>
      <c r="K281" s="55"/>
      <c r="L281" s="10"/>
      <c r="M281" s="10"/>
      <c r="N281" s="189"/>
    </row>
    <row r="282" spans="1:14" s="180" customFormat="1" x14ac:dyDescent="0.15">
      <c r="A282" s="11"/>
      <c r="B282" s="13"/>
      <c r="C282" s="12"/>
      <c r="D282" s="13"/>
      <c r="E282" s="13"/>
      <c r="F282" s="12"/>
      <c r="G282" s="55"/>
      <c r="H282" s="55"/>
      <c r="I282" s="55"/>
      <c r="J282" s="55"/>
      <c r="K282" s="55"/>
      <c r="L282" s="10"/>
      <c r="M282" s="10"/>
      <c r="N282" s="189"/>
    </row>
    <row r="283" spans="1:14" s="180" customFormat="1" x14ac:dyDescent="0.15">
      <c r="A283" s="11"/>
      <c r="B283" s="13"/>
      <c r="C283" s="12"/>
      <c r="D283" s="13"/>
      <c r="E283" s="13"/>
      <c r="F283" s="12"/>
      <c r="G283" s="55"/>
      <c r="H283" s="55"/>
      <c r="I283" s="55"/>
      <c r="J283" s="55"/>
      <c r="K283" s="55"/>
      <c r="L283" s="10"/>
      <c r="M283" s="10"/>
      <c r="N283" s="189"/>
    </row>
    <row r="284" spans="1:14" s="180" customFormat="1" x14ac:dyDescent="0.15">
      <c r="A284" s="11"/>
      <c r="B284" s="13"/>
      <c r="C284" s="12"/>
      <c r="D284" s="13"/>
      <c r="E284" s="13"/>
      <c r="F284" s="12"/>
      <c r="G284" s="55"/>
      <c r="H284" s="55"/>
      <c r="I284" s="55"/>
      <c r="J284" s="55"/>
      <c r="K284" s="55"/>
      <c r="L284" s="10"/>
      <c r="M284" s="10"/>
      <c r="N284" s="189"/>
    </row>
    <row r="285" spans="1:14" s="180" customFormat="1" x14ac:dyDescent="0.15">
      <c r="A285" s="11"/>
      <c r="B285" s="13"/>
      <c r="C285" s="12"/>
      <c r="D285" s="13"/>
      <c r="E285" s="13"/>
      <c r="F285" s="12"/>
      <c r="G285" s="55"/>
      <c r="H285" s="55"/>
      <c r="I285" s="55"/>
      <c r="J285" s="55"/>
      <c r="K285" s="55"/>
      <c r="L285" s="10"/>
      <c r="M285" s="10"/>
      <c r="N285" s="189"/>
    </row>
    <row r="286" spans="1:14" s="180" customFormat="1" x14ac:dyDescent="0.15">
      <c r="A286" s="11"/>
      <c r="B286" s="13"/>
      <c r="C286" s="12"/>
      <c r="D286" s="13"/>
      <c r="E286" s="13"/>
      <c r="F286" s="12"/>
      <c r="G286" s="55"/>
      <c r="H286" s="55"/>
      <c r="I286" s="55"/>
      <c r="J286" s="55"/>
      <c r="K286" s="55"/>
      <c r="L286" s="10"/>
      <c r="M286" s="10"/>
      <c r="N286" s="189"/>
    </row>
    <row r="287" spans="1:14" s="180" customFormat="1" x14ac:dyDescent="0.15">
      <c r="A287" s="11"/>
      <c r="B287" s="13"/>
      <c r="C287" s="12"/>
      <c r="D287" s="13"/>
      <c r="E287" s="13"/>
      <c r="F287" s="12"/>
      <c r="G287" s="55"/>
      <c r="H287" s="55"/>
      <c r="I287" s="55"/>
      <c r="J287" s="55"/>
      <c r="K287" s="55"/>
      <c r="L287" s="10"/>
      <c r="M287" s="10"/>
      <c r="N287" s="189"/>
    </row>
    <row r="288" spans="1:14" s="180" customFormat="1" x14ac:dyDescent="0.15">
      <c r="A288" s="11"/>
      <c r="B288" s="13"/>
      <c r="C288" s="12"/>
      <c r="D288" s="13"/>
      <c r="E288" s="13"/>
      <c r="F288" s="12"/>
      <c r="G288" s="55"/>
      <c r="H288" s="55"/>
      <c r="I288" s="55"/>
      <c r="J288" s="55"/>
      <c r="K288" s="55"/>
      <c r="L288" s="10"/>
      <c r="M288" s="10"/>
      <c r="N288" s="189"/>
    </row>
    <row r="289" spans="1:14" s="180" customFormat="1" x14ac:dyDescent="0.15">
      <c r="A289" s="11"/>
      <c r="B289" s="13"/>
      <c r="C289" s="12"/>
      <c r="D289" s="13"/>
      <c r="E289" s="13"/>
      <c r="F289" s="12"/>
      <c r="G289" s="55"/>
      <c r="H289" s="55"/>
      <c r="I289" s="55"/>
      <c r="J289" s="55"/>
      <c r="K289" s="55"/>
      <c r="L289" s="10"/>
      <c r="M289" s="10"/>
      <c r="N289" s="189"/>
    </row>
    <row r="290" spans="1:14" s="180" customFormat="1" x14ac:dyDescent="0.15">
      <c r="A290" s="11"/>
      <c r="B290" s="13"/>
      <c r="C290" s="12"/>
      <c r="D290" s="13"/>
      <c r="E290" s="13"/>
      <c r="F290" s="12"/>
      <c r="G290" s="55"/>
      <c r="H290" s="55"/>
      <c r="I290" s="55"/>
      <c r="J290" s="55"/>
      <c r="K290" s="55"/>
      <c r="L290" s="10"/>
      <c r="M290" s="10"/>
      <c r="N290" s="189"/>
    </row>
    <row r="291" spans="1:14" s="180" customFormat="1" x14ac:dyDescent="0.15">
      <c r="A291" s="11"/>
      <c r="B291" s="13"/>
      <c r="C291" s="12"/>
      <c r="D291" s="13"/>
      <c r="E291" s="13"/>
      <c r="F291" s="12"/>
      <c r="G291" s="55"/>
      <c r="H291" s="55"/>
      <c r="I291" s="55"/>
      <c r="J291" s="55"/>
      <c r="K291" s="55"/>
      <c r="L291" s="10"/>
      <c r="M291" s="10"/>
      <c r="N291" s="189"/>
    </row>
    <row r="292" spans="1:14" s="180" customFormat="1" x14ac:dyDescent="0.15">
      <c r="A292" s="11"/>
      <c r="B292" s="13"/>
      <c r="C292" s="12"/>
      <c r="D292" s="13"/>
      <c r="E292" s="13"/>
      <c r="F292" s="12"/>
      <c r="G292" s="55"/>
      <c r="H292" s="55"/>
      <c r="I292" s="55"/>
      <c r="J292" s="55"/>
      <c r="K292" s="55"/>
      <c r="L292" s="10"/>
      <c r="M292" s="10"/>
      <c r="N292" s="189"/>
    </row>
    <row r="293" spans="1:14" s="180" customFormat="1" x14ac:dyDescent="0.15">
      <c r="A293" s="11"/>
      <c r="B293" s="13"/>
      <c r="C293" s="12"/>
      <c r="D293" s="13"/>
      <c r="E293" s="13"/>
      <c r="F293" s="12"/>
      <c r="G293" s="55"/>
      <c r="H293" s="55"/>
      <c r="I293" s="55"/>
      <c r="J293" s="55"/>
      <c r="K293" s="55"/>
      <c r="L293" s="10"/>
      <c r="M293" s="10"/>
      <c r="N293" s="189"/>
    </row>
    <row r="294" spans="1:14" s="180" customFormat="1" x14ac:dyDescent="0.15">
      <c r="A294" s="11"/>
      <c r="B294" s="13"/>
      <c r="C294" s="12"/>
      <c r="D294" s="13"/>
      <c r="E294" s="13"/>
      <c r="F294" s="12"/>
      <c r="G294" s="55"/>
      <c r="H294" s="55"/>
      <c r="I294" s="55"/>
      <c r="J294" s="55"/>
      <c r="K294" s="55"/>
      <c r="L294" s="10"/>
      <c r="M294" s="10"/>
      <c r="N294" s="189"/>
    </row>
    <row r="295" spans="1:14" s="180" customFormat="1" x14ac:dyDescent="0.15">
      <c r="A295" s="11"/>
      <c r="B295" s="13"/>
      <c r="C295" s="12"/>
      <c r="D295" s="13"/>
      <c r="E295" s="13"/>
      <c r="F295" s="12"/>
      <c r="G295" s="55"/>
      <c r="H295" s="55"/>
      <c r="I295" s="55"/>
      <c r="J295" s="55"/>
      <c r="K295" s="55"/>
      <c r="L295" s="10"/>
      <c r="M295" s="10"/>
      <c r="N295" s="189"/>
    </row>
    <row r="296" spans="1:14" s="180" customFormat="1" x14ac:dyDescent="0.15">
      <c r="A296" s="11"/>
      <c r="B296" s="13"/>
      <c r="C296" s="12"/>
      <c r="D296" s="13"/>
      <c r="E296" s="13"/>
      <c r="F296" s="12"/>
      <c r="G296" s="55"/>
      <c r="H296" s="55"/>
      <c r="I296" s="55"/>
      <c r="J296" s="55"/>
      <c r="K296" s="55"/>
      <c r="L296" s="10"/>
      <c r="M296" s="10"/>
      <c r="N296" s="189"/>
    </row>
    <row r="297" spans="1:14" s="180" customFormat="1" x14ac:dyDescent="0.15">
      <c r="A297" s="11"/>
      <c r="B297" s="13"/>
      <c r="C297" s="12"/>
      <c r="D297" s="13"/>
      <c r="E297" s="13"/>
      <c r="F297" s="12"/>
      <c r="G297" s="55"/>
      <c r="H297" s="55"/>
      <c r="I297" s="55"/>
      <c r="J297" s="55"/>
      <c r="K297" s="55"/>
      <c r="L297" s="10"/>
      <c r="M297" s="10"/>
      <c r="N297" s="189"/>
    </row>
    <row r="298" spans="1:14" s="180" customFormat="1" x14ac:dyDescent="0.15">
      <c r="A298" s="11"/>
      <c r="B298" s="13"/>
      <c r="C298" s="12"/>
      <c r="D298" s="13"/>
      <c r="E298" s="13"/>
      <c r="F298" s="12"/>
      <c r="G298" s="55"/>
      <c r="H298" s="55"/>
      <c r="I298" s="55"/>
      <c r="J298" s="55"/>
      <c r="K298" s="55"/>
      <c r="L298" s="10"/>
      <c r="M298" s="10"/>
      <c r="N298" s="189"/>
    </row>
    <row r="299" spans="1:14" s="180" customFormat="1" x14ac:dyDescent="0.15">
      <c r="A299" s="11"/>
      <c r="B299" s="13"/>
      <c r="C299" s="12"/>
      <c r="D299" s="13"/>
      <c r="E299" s="13"/>
      <c r="F299" s="12"/>
      <c r="G299" s="55"/>
      <c r="H299" s="55"/>
      <c r="I299" s="55"/>
      <c r="J299" s="55"/>
      <c r="K299" s="55"/>
      <c r="L299" s="10"/>
      <c r="M299" s="10"/>
      <c r="N299" s="189"/>
    </row>
    <row r="300" spans="1:14" s="180" customFormat="1" x14ac:dyDescent="0.15">
      <c r="A300" s="11"/>
      <c r="B300" s="13"/>
      <c r="C300" s="12"/>
      <c r="D300" s="13"/>
      <c r="E300" s="13"/>
      <c r="F300" s="12"/>
      <c r="G300" s="55"/>
      <c r="H300" s="55"/>
      <c r="I300" s="55"/>
      <c r="J300" s="55"/>
      <c r="K300" s="55"/>
      <c r="L300" s="10"/>
      <c r="M300" s="10"/>
      <c r="N300" s="189"/>
    </row>
    <row r="301" spans="1:14" s="180" customFormat="1" x14ac:dyDescent="0.15">
      <c r="A301" s="11"/>
      <c r="B301" s="13"/>
      <c r="C301" s="12"/>
      <c r="D301" s="13"/>
      <c r="E301" s="13"/>
      <c r="F301" s="12"/>
      <c r="G301" s="55"/>
      <c r="H301" s="55"/>
      <c r="I301" s="55"/>
      <c r="J301" s="55"/>
      <c r="K301" s="55"/>
      <c r="L301" s="10"/>
      <c r="M301" s="10"/>
      <c r="N301" s="189"/>
    </row>
    <row r="302" spans="1:14" s="180" customFormat="1" x14ac:dyDescent="0.15">
      <c r="A302" s="11"/>
      <c r="B302" s="13"/>
      <c r="C302" s="12"/>
      <c r="D302" s="13"/>
      <c r="E302" s="13"/>
      <c r="F302" s="12"/>
      <c r="G302" s="55"/>
      <c r="H302" s="55"/>
      <c r="I302" s="55"/>
      <c r="J302" s="55"/>
      <c r="K302" s="55"/>
      <c r="L302" s="10"/>
      <c r="M302" s="10"/>
      <c r="N302" s="189"/>
    </row>
    <row r="303" spans="1:14" s="180" customFormat="1" x14ac:dyDescent="0.15">
      <c r="A303" s="11"/>
      <c r="B303" s="13"/>
      <c r="C303" s="12"/>
      <c r="D303" s="13"/>
      <c r="E303" s="13"/>
      <c r="F303" s="12"/>
      <c r="G303" s="55"/>
      <c r="H303" s="55"/>
      <c r="I303" s="55"/>
      <c r="J303" s="55"/>
      <c r="K303" s="55"/>
      <c r="L303" s="10"/>
      <c r="M303" s="10"/>
      <c r="N303" s="189"/>
    </row>
    <row r="304" spans="1:14" s="180" customFormat="1" x14ac:dyDescent="0.15">
      <c r="A304" s="11"/>
      <c r="B304" s="13"/>
      <c r="C304" s="12"/>
      <c r="D304" s="13"/>
      <c r="E304" s="13"/>
      <c r="F304" s="12"/>
      <c r="G304" s="55"/>
      <c r="H304" s="55"/>
      <c r="I304" s="55"/>
      <c r="J304" s="55"/>
      <c r="K304" s="55"/>
      <c r="L304" s="10"/>
      <c r="M304" s="10"/>
      <c r="N304" s="189"/>
    </row>
    <row r="305" spans="1:14" s="180" customFormat="1" x14ac:dyDescent="0.15">
      <c r="A305" s="11"/>
      <c r="B305" s="13"/>
      <c r="C305" s="12"/>
      <c r="D305" s="13"/>
      <c r="E305" s="13"/>
      <c r="F305" s="12"/>
      <c r="G305" s="55"/>
      <c r="H305" s="55"/>
      <c r="I305" s="55"/>
      <c r="J305" s="55"/>
      <c r="K305" s="55"/>
      <c r="L305" s="10"/>
      <c r="M305" s="10"/>
      <c r="N305" s="189"/>
    </row>
    <row r="306" spans="1:14" s="180" customFormat="1" x14ac:dyDescent="0.15">
      <c r="A306" s="11"/>
      <c r="B306" s="13"/>
      <c r="C306" s="12"/>
      <c r="D306" s="13"/>
      <c r="E306" s="13"/>
      <c r="F306" s="12"/>
      <c r="G306" s="55"/>
      <c r="H306" s="55"/>
      <c r="I306" s="55"/>
      <c r="J306" s="55"/>
      <c r="K306" s="55"/>
      <c r="L306" s="10"/>
      <c r="M306" s="10"/>
      <c r="N306" s="189"/>
    </row>
    <row r="307" spans="1:14" s="180" customFormat="1" x14ac:dyDescent="0.15">
      <c r="A307" s="11"/>
      <c r="B307" s="13"/>
      <c r="C307" s="12"/>
      <c r="D307" s="13"/>
      <c r="E307" s="13"/>
      <c r="F307" s="12"/>
      <c r="G307" s="55"/>
      <c r="H307" s="55"/>
      <c r="I307" s="55"/>
      <c r="J307" s="55"/>
      <c r="K307" s="55"/>
      <c r="L307" s="10"/>
      <c r="M307" s="10"/>
      <c r="N307" s="189"/>
    </row>
    <row r="308" spans="1:14" s="180" customFormat="1" x14ac:dyDescent="0.15">
      <c r="A308" s="11"/>
      <c r="B308" s="13"/>
      <c r="C308" s="12"/>
      <c r="D308" s="13"/>
      <c r="E308" s="13"/>
      <c r="F308" s="12"/>
      <c r="G308" s="55"/>
      <c r="H308" s="55"/>
      <c r="I308" s="55"/>
      <c r="J308" s="55"/>
      <c r="K308" s="55"/>
      <c r="L308" s="10"/>
      <c r="M308" s="10"/>
      <c r="N308" s="189"/>
    </row>
    <row r="309" spans="1:14" s="180" customFormat="1" x14ac:dyDescent="0.15">
      <c r="A309" s="11"/>
      <c r="B309" s="13"/>
      <c r="C309" s="12"/>
      <c r="D309" s="13"/>
      <c r="E309" s="13"/>
      <c r="F309" s="12"/>
      <c r="G309" s="55"/>
      <c r="H309" s="55"/>
      <c r="I309" s="55"/>
      <c r="J309" s="55"/>
      <c r="K309" s="55"/>
      <c r="L309" s="10"/>
      <c r="M309" s="10"/>
      <c r="N309" s="189"/>
    </row>
    <row r="310" spans="1:14" s="180" customFormat="1" x14ac:dyDescent="0.15">
      <c r="A310" s="11"/>
      <c r="B310" s="13"/>
      <c r="C310" s="12"/>
      <c r="D310" s="13"/>
      <c r="E310" s="13"/>
      <c r="F310" s="12"/>
      <c r="G310" s="55"/>
      <c r="H310" s="55"/>
      <c r="I310" s="55"/>
      <c r="J310" s="55"/>
      <c r="K310" s="55"/>
      <c r="L310" s="10"/>
      <c r="M310" s="10"/>
      <c r="N310" s="189"/>
    </row>
    <row r="311" spans="1:14" s="180" customFormat="1" x14ac:dyDescent="0.15">
      <c r="A311" s="11"/>
      <c r="B311" s="13"/>
      <c r="C311" s="12"/>
      <c r="D311" s="13"/>
      <c r="E311" s="13"/>
      <c r="F311" s="12"/>
      <c r="G311" s="55"/>
      <c r="H311" s="55"/>
      <c r="I311" s="55"/>
      <c r="J311" s="55"/>
      <c r="K311" s="55"/>
      <c r="L311" s="10"/>
      <c r="M311" s="10"/>
      <c r="N311" s="189"/>
    </row>
    <row r="312" spans="1:14" s="180" customFormat="1" x14ac:dyDescent="0.15">
      <c r="A312" s="11"/>
      <c r="B312" s="13"/>
      <c r="C312" s="12"/>
      <c r="D312" s="13"/>
      <c r="E312" s="13"/>
      <c r="F312" s="12"/>
      <c r="G312" s="55"/>
      <c r="H312" s="55"/>
      <c r="I312" s="55"/>
      <c r="J312" s="55"/>
      <c r="K312" s="55"/>
      <c r="L312" s="10"/>
      <c r="M312" s="10"/>
      <c r="N312" s="189"/>
    </row>
    <row r="313" spans="1:14" s="180" customFormat="1" x14ac:dyDescent="0.15">
      <c r="A313" s="11"/>
      <c r="B313" s="13"/>
      <c r="C313" s="12"/>
      <c r="D313" s="13"/>
      <c r="E313" s="13"/>
      <c r="F313" s="12"/>
      <c r="G313" s="55"/>
      <c r="H313" s="55"/>
      <c r="I313" s="55"/>
      <c r="J313" s="55"/>
      <c r="K313" s="55"/>
      <c r="L313" s="10"/>
      <c r="M313" s="10"/>
      <c r="N313" s="189"/>
    </row>
    <row r="314" spans="1:14" s="180" customFormat="1" x14ac:dyDescent="0.15">
      <c r="A314" s="11"/>
      <c r="B314" s="13"/>
      <c r="C314" s="12"/>
      <c r="D314" s="13"/>
      <c r="E314" s="13"/>
      <c r="F314" s="12"/>
      <c r="G314" s="55"/>
      <c r="H314" s="55"/>
      <c r="I314" s="55"/>
      <c r="J314" s="55"/>
      <c r="K314" s="55"/>
      <c r="L314" s="10"/>
      <c r="M314" s="10"/>
      <c r="N314" s="189"/>
    </row>
    <row r="315" spans="1:14" s="180" customFormat="1" x14ac:dyDescent="0.15">
      <c r="A315" s="11"/>
      <c r="B315" s="13"/>
      <c r="C315" s="12"/>
      <c r="D315" s="13"/>
      <c r="E315" s="13"/>
      <c r="F315" s="12"/>
      <c r="G315" s="55"/>
      <c r="H315" s="55"/>
      <c r="I315" s="55"/>
      <c r="J315" s="55"/>
      <c r="K315" s="55"/>
      <c r="L315" s="10"/>
      <c r="M315" s="10"/>
      <c r="N315" s="189"/>
    </row>
    <row r="316" spans="1:14" s="180" customFormat="1" x14ac:dyDescent="0.15">
      <c r="A316" s="11"/>
      <c r="B316" s="13"/>
      <c r="C316" s="12"/>
      <c r="D316" s="13"/>
      <c r="E316" s="13"/>
      <c r="F316" s="12"/>
      <c r="G316" s="55"/>
      <c r="H316" s="55"/>
      <c r="I316" s="55"/>
      <c r="J316" s="55"/>
      <c r="K316" s="55"/>
      <c r="L316" s="10"/>
      <c r="M316" s="10"/>
      <c r="N316" s="189"/>
    </row>
    <row r="317" spans="1:14" s="180" customFormat="1" x14ac:dyDescent="0.15">
      <c r="A317" s="11"/>
      <c r="B317" s="13"/>
      <c r="C317" s="12"/>
      <c r="D317" s="13"/>
      <c r="E317" s="13"/>
      <c r="F317" s="12"/>
      <c r="G317" s="55"/>
      <c r="H317" s="55"/>
      <c r="I317" s="55"/>
      <c r="J317" s="55"/>
      <c r="K317" s="55"/>
      <c r="L317" s="10"/>
      <c r="M317" s="10"/>
      <c r="N317" s="189"/>
    </row>
    <row r="318" spans="1:14" s="180" customFormat="1" x14ac:dyDescent="0.15">
      <c r="A318" s="11"/>
      <c r="B318" s="13"/>
      <c r="C318" s="12"/>
      <c r="D318" s="13"/>
      <c r="E318" s="13"/>
      <c r="F318" s="12"/>
      <c r="G318" s="55"/>
      <c r="H318" s="55"/>
      <c r="I318" s="55"/>
      <c r="J318" s="55"/>
      <c r="K318" s="55"/>
      <c r="L318" s="10"/>
      <c r="M318" s="10"/>
      <c r="N318" s="189"/>
    </row>
    <row r="319" spans="1:14" s="180" customFormat="1" x14ac:dyDescent="0.15">
      <c r="A319" s="11"/>
      <c r="B319" s="13"/>
      <c r="C319" s="12"/>
      <c r="D319" s="13"/>
      <c r="E319" s="13"/>
      <c r="F319" s="12"/>
      <c r="G319" s="55"/>
      <c r="H319" s="55"/>
      <c r="I319" s="55"/>
      <c r="J319" s="55"/>
      <c r="K319" s="55"/>
      <c r="L319" s="10"/>
      <c r="M319" s="10"/>
      <c r="N319" s="189"/>
    </row>
    <row r="320" spans="1:14" s="180" customFormat="1" x14ac:dyDescent="0.15">
      <c r="A320" s="11"/>
      <c r="B320" s="13"/>
      <c r="C320" s="12"/>
      <c r="D320" s="13"/>
      <c r="E320" s="13"/>
      <c r="F320" s="12"/>
      <c r="G320" s="55"/>
      <c r="H320" s="55"/>
      <c r="I320" s="55"/>
      <c r="J320" s="55"/>
      <c r="K320" s="55"/>
      <c r="L320" s="10"/>
      <c r="M320" s="10"/>
      <c r="N320" s="189"/>
    </row>
    <row r="321" spans="1:14" s="180" customFormat="1" x14ac:dyDescent="0.15">
      <c r="A321" s="11"/>
      <c r="B321" s="13"/>
      <c r="C321" s="12"/>
      <c r="D321" s="13"/>
      <c r="E321" s="13"/>
      <c r="F321" s="12"/>
      <c r="G321" s="55"/>
      <c r="H321" s="55"/>
      <c r="I321" s="55"/>
      <c r="J321" s="55"/>
      <c r="K321" s="55"/>
      <c r="L321" s="10"/>
      <c r="M321" s="10"/>
      <c r="N321" s="189"/>
    </row>
    <row r="322" spans="1:14" s="180" customFormat="1" x14ac:dyDescent="0.15">
      <c r="A322" s="11"/>
      <c r="B322" s="13"/>
      <c r="C322" s="12"/>
      <c r="D322" s="13"/>
      <c r="E322" s="13"/>
      <c r="F322" s="12"/>
      <c r="G322" s="55"/>
      <c r="H322" s="55"/>
      <c r="I322" s="55"/>
      <c r="J322" s="55"/>
      <c r="K322" s="55"/>
      <c r="L322" s="10"/>
      <c r="M322" s="10"/>
      <c r="N322" s="189"/>
    </row>
    <row r="323" spans="1:14" s="180" customFormat="1" x14ac:dyDescent="0.15">
      <c r="A323" s="11"/>
      <c r="B323" s="13"/>
      <c r="C323" s="12"/>
      <c r="D323" s="13"/>
      <c r="E323" s="13"/>
      <c r="F323" s="12"/>
      <c r="G323" s="55"/>
      <c r="H323" s="55"/>
      <c r="I323" s="55"/>
      <c r="J323" s="55"/>
      <c r="K323" s="55"/>
      <c r="L323" s="10"/>
      <c r="M323" s="10"/>
      <c r="N323" s="189"/>
    </row>
    <row r="324" spans="1:14" s="180" customFormat="1" x14ac:dyDescent="0.15">
      <c r="A324" s="11"/>
      <c r="B324" s="13"/>
      <c r="C324" s="12"/>
      <c r="D324" s="13"/>
      <c r="E324" s="13"/>
      <c r="F324" s="12"/>
      <c r="G324" s="55"/>
      <c r="H324" s="55"/>
      <c r="I324" s="55"/>
      <c r="J324" s="55"/>
      <c r="K324" s="55"/>
      <c r="L324" s="10"/>
      <c r="M324" s="10"/>
      <c r="N324" s="189"/>
    </row>
    <row r="325" spans="1:14" s="180" customFormat="1" x14ac:dyDescent="0.15">
      <c r="A325" s="11"/>
      <c r="B325" s="13"/>
      <c r="C325" s="12"/>
      <c r="D325" s="13"/>
      <c r="E325" s="13"/>
      <c r="F325" s="12"/>
      <c r="G325" s="55"/>
      <c r="H325" s="55"/>
      <c r="I325" s="55"/>
      <c r="J325" s="55"/>
      <c r="K325" s="55"/>
      <c r="L325" s="10"/>
      <c r="M325" s="10"/>
      <c r="N325" s="189"/>
    </row>
    <row r="326" spans="1:14" s="180" customFormat="1" x14ac:dyDescent="0.15">
      <c r="A326" s="11"/>
      <c r="B326" s="13"/>
      <c r="C326" s="12"/>
      <c r="D326" s="13"/>
      <c r="E326" s="13"/>
      <c r="F326" s="12"/>
      <c r="G326" s="55"/>
      <c r="H326" s="55"/>
      <c r="I326" s="55"/>
      <c r="J326" s="55"/>
      <c r="K326" s="55"/>
      <c r="L326" s="10"/>
      <c r="M326" s="10"/>
      <c r="N326" s="189"/>
    </row>
    <row r="327" spans="1:14" s="180" customFormat="1" x14ac:dyDescent="0.15">
      <c r="A327" s="11"/>
      <c r="B327" s="13"/>
      <c r="C327" s="12"/>
      <c r="D327" s="13"/>
      <c r="E327" s="13"/>
      <c r="F327" s="12"/>
      <c r="G327" s="55"/>
      <c r="H327" s="55"/>
      <c r="I327" s="55"/>
      <c r="J327" s="55"/>
      <c r="K327" s="55"/>
      <c r="L327" s="10"/>
      <c r="M327" s="10"/>
      <c r="N327" s="189"/>
    </row>
    <row r="328" spans="1:14" s="180" customFormat="1" x14ac:dyDescent="0.15">
      <c r="A328" s="11"/>
      <c r="B328" s="13"/>
      <c r="C328" s="12"/>
      <c r="D328" s="13"/>
      <c r="E328" s="13"/>
      <c r="F328" s="12"/>
      <c r="G328" s="55"/>
      <c r="H328" s="55"/>
      <c r="I328" s="55"/>
      <c r="J328" s="55"/>
      <c r="K328" s="55"/>
      <c r="L328" s="10"/>
      <c r="M328" s="10"/>
      <c r="N328" s="189"/>
    </row>
    <row r="329" spans="1:14" s="180" customFormat="1" x14ac:dyDescent="0.15">
      <c r="A329" s="11"/>
      <c r="B329" s="13"/>
      <c r="C329" s="12"/>
      <c r="D329" s="13"/>
      <c r="E329" s="13"/>
      <c r="F329" s="12"/>
      <c r="G329" s="55"/>
      <c r="H329" s="55"/>
      <c r="I329" s="55"/>
      <c r="J329" s="55"/>
      <c r="K329" s="55"/>
      <c r="L329" s="10"/>
      <c r="M329" s="10"/>
      <c r="N329" s="189"/>
    </row>
    <row r="330" spans="1:14" s="180" customFormat="1" x14ac:dyDescent="0.15">
      <c r="A330" s="11"/>
      <c r="B330" s="13"/>
      <c r="C330" s="12"/>
      <c r="D330" s="13"/>
      <c r="E330" s="13"/>
      <c r="F330" s="12"/>
      <c r="G330" s="55"/>
      <c r="H330" s="55"/>
      <c r="I330" s="55"/>
      <c r="J330" s="55"/>
      <c r="K330" s="55"/>
      <c r="L330" s="10"/>
      <c r="M330" s="10"/>
      <c r="N330" s="189"/>
    </row>
    <row r="331" spans="1:14" s="180" customFormat="1" x14ac:dyDescent="0.15">
      <c r="A331" s="11"/>
      <c r="B331" s="13"/>
      <c r="C331" s="12"/>
      <c r="D331" s="13"/>
      <c r="E331" s="13"/>
      <c r="F331" s="12"/>
      <c r="G331" s="55"/>
      <c r="H331" s="55"/>
      <c r="I331" s="55"/>
      <c r="J331" s="55"/>
      <c r="K331" s="55"/>
      <c r="L331" s="10"/>
      <c r="M331" s="10"/>
      <c r="N331" s="189"/>
    </row>
    <row r="332" spans="1:14" s="180" customFormat="1" x14ac:dyDescent="0.15">
      <c r="A332" s="11"/>
      <c r="B332" s="13"/>
      <c r="C332" s="12"/>
      <c r="D332" s="13"/>
      <c r="E332" s="13"/>
      <c r="F332" s="12"/>
      <c r="G332" s="55"/>
      <c r="H332" s="55"/>
      <c r="I332" s="55"/>
      <c r="J332" s="55"/>
      <c r="K332" s="55"/>
      <c r="L332" s="10"/>
      <c r="M332" s="10"/>
      <c r="N332" s="189"/>
    </row>
    <row r="333" spans="1:14" s="180" customFormat="1" x14ac:dyDescent="0.15">
      <c r="A333" s="11"/>
      <c r="B333" s="13"/>
      <c r="C333" s="12"/>
      <c r="D333" s="13"/>
      <c r="E333" s="13"/>
      <c r="F333" s="12"/>
      <c r="G333" s="55"/>
      <c r="H333" s="55"/>
      <c r="I333" s="55"/>
      <c r="J333" s="55"/>
      <c r="K333" s="55"/>
      <c r="L333" s="10"/>
      <c r="M333" s="10"/>
      <c r="N333" s="189"/>
    </row>
    <row r="334" spans="1:14" s="180" customFormat="1" x14ac:dyDescent="0.15">
      <c r="A334" s="11"/>
      <c r="B334" s="13"/>
      <c r="C334" s="12"/>
      <c r="D334" s="13"/>
      <c r="E334" s="13"/>
      <c r="F334" s="12"/>
      <c r="G334" s="55"/>
      <c r="H334" s="55"/>
      <c r="I334" s="55"/>
      <c r="J334" s="55"/>
      <c r="K334" s="55"/>
      <c r="L334" s="10"/>
      <c r="M334" s="10"/>
      <c r="N334" s="189"/>
    </row>
    <row r="335" spans="1:14" s="180" customFormat="1" x14ac:dyDescent="0.15">
      <c r="A335" s="11"/>
      <c r="B335" s="13"/>
      <c r="C335" s="12"/>
      <c r="D335" s="13"/>
      <c r="E335" s="13"/>
      <c r="F335" s="12"/>
      <c r="G335" s="55"/>
      <c r="H335" s="55"/>
      <c r="I335" s="55"/>
      <c r="J335" s="55"/>
      <c r="K335" s="55"/>
      <c r="L335" s="10"/>
      <c r="M335" s="10"/>
      <c r="N335" s="189"/>
    </row>
    <row r="336" spans="1:14" s="180" customFormat="1" x14ac:dyDescent="0.15">
      <c r="A336" s="11"/>
      <c r="B336" s="13"/>
      <c r="C336" s="12"/>
      <c r="D336" s="13"/>
      <c r="E336" s="13"/>
      <c r="F336" s="12"/>
      <c r="G336" s="55"/>
      <c r="H336" s="55"/>
      <c r="I336" s="55"/>
      <c r="J336" s="55"/>
      <c r="K336" s="55"/>
      <c r="L336" s="10"/>
      <c r="M336" s="10"/>
      <c r="N336" s="189"/>
    </row>
    <row r="337" spans="1:14" s="180" customFormat="1" x14ac:dyDescent="0.15">
      <c r="A337" s="11"/>
      <c r="B337" s="13"/>
      <c r="C337" s="12"/>
      <c r="D337" s="13"/>
      <c r="E337" s="13"/>
      <c r="F337" s="12"/>
      <c r="G337" s="55"/>
      <c r="H337" s="55"/>
      <c r="I337" s="55"/>
      <c r="J337" s="55"/>
      <c r="K337" s="55"/>
      <c r="L337" s="10"/>
      <c r="M337" s="10"/>
      <c r="N337" s="189"/>
    </row>
    <row r="338" spans="1:14" s="180" customFormat="1" x14ac:dyDescent="0.15">
      <c r="A338" s="11"/>
      <c r="B338" s="13"/>
      <c r="C338" s="12"/>
      <c r="D338" s="13"/>
      <c r="E338" s="13"/>
      <c r="F338" s="12"/>
      <c r="G338" s="55"/>
      <c r="H338" s="55"/>
      <c r="I338" s="55"/>
      <c r="J338" s="55"/>
      <c r="K338" s="55"/>
      <c r="L338" s="10"/>
      <c r="M338" s="10"/>
      <c r="N338" s="189"/>
    </row>
    <row r="339" spans="1:14" s="180" customFormat="1" x14ac:dyDescent="0.15">
      <c r="A339" s="11"/>
      <c r="B339" s="13"/>
      <c r="C339" s="12"/>
      <c r="D339" s="13"/>
      <c r="E339" s="13"/>
      <c r="F339" s="12"/>
      <c r="G339" s="55"/>
      <c r="H339" s="55"/>
      <c r="I339" s="55"/>
      <c r="J339" s="55"/>
      <c r="K339" s="55"/>
      <c r="L339" s="10"/>
      <c r="M339" s="10"/>
      <c r="N339" s="189"/>
    </row>
    <row r="340" spans="1:14" s="180" customFormat="1" x14ac:dyDescent="0.15">
      <c r="A340" s="11"/>
      <c r="B340" s="13"/>
      <c r="C340" s="12"/>
      <c r="D340" s="13"/>
      <c r="E340" s="13"/>
      <c r="F340" s="12"/>
      <c r="G340" s="55"/>
      <c r="H340" s="55"/>
      <c r="I340" s="55"/>
      <c r="J340" s="55"/>
      <c r="K340" s="55"/>
      <c r="L340" s="10"/>
      <c r="M340" s="10"/>
      <c r="N340" s="189"/>
    </row>
    <row r="341" spans="1:14" s="180" customFormat="1" x14ac:dyDescent="0.15">
      <c r="A341" s="11"/>
      <c r="B341" s="13"/>
      <c r="C341" s="12"/>
      <c r="D341" s="13"/>
      <c r="E341" s="13"/>
      <c r="F341" s="12"/>
      <c r="G341" s="55"/>
      <c r="H341" s="55"/>
      <c r="I341" s="55"/>
      <c r="J341" s="55"/>
      <c r="K341" s="55"/>
      <c r="L341" s="10"/>
      <c r="M341" s="10"/>
      <c r="N341" s="189"/>
    </row>
    <row r="342" spans="1:14" s="180" customFormat="1" x14ac:dyDescent="0.15">
      <c r="A342" s="11"/>
      <c r="B342" s="13"/>
      <c r="C342" s="12"/>
      <c r="D342" s="13"/>
      <c r="E342" s="13"/>
      <c r="F342" s="12"/>
      <c r="G342" s="55"/>
      <c r="H342" s="55"/>
      <c r="I342" s="55"/>
      <c r="J342" s="55"/>
      <c r="K342" s="55"/>
      <c r="L342" s="10"/>
      <c r="M342" s="10"/>
      <c r="N342" s="189"/>
    </row>
    <row r="343" spans="1:14" s="180" customFormat="1" x14ac:dyDescent="0.15">
      <c r="A343" s="11"/>
      <c r="B343" s="13"/>
      <c r="C343" s="12"/>
      <c r="D343" s="13"/>
      <c r="E343" s="13"/>
      <c r="F343" s="12"/>
      <c r="G343" s="55"/>
      <c r="H343" s="55"/>
      <c r="I343" s="55"/>
      <c r="J343" s="55"/>
      <c r="K343" s="55"/>
      <c r="L343" s="10"/>
      <c r="M343" s="10"/>
      <c r="N343" s="189"/>
    </row>
    <row r="344" spans="1:14" s="180" customFormat="1" x14ac:dyDescent="0.15">
      <c r="A344" s="11"/>
      <c r="B344" s="13"/>
      <c r="C344" s="12"/>
      <c r="D344" s="13"/>
      <c r="E344" s="13"/>
      <c r="F344" s="12"/>
      <c r="G344" s="55"/>
      <c r="H344" s="55"/>
      <c r="I344" s="55"/>
      <c r="J344" s="55"/>
      <c r="K344" s="55"/>
      <c r="L344" s="10"/>
      <c r="M344" s="10"/>
      <c r="N344" s="189"/>
    </row>
    <row r="345" spans="1:14" s="180" customFormat="1" x14ac:dyDescent="0.15">
      <c r="A345" s="11"/>
      <c r="B345" s="13"/>
      <c r="C345" s="12"/>
      <c r="D345" s="13"/>
      <c r="E345" s="13"/>
      <c r="F345" s="12"/>
      <c r="G345" s="55"/>
      <c r="H345" s="55"/>
      <c r="I345" s="55"/>
      <c r="J345" s="55"/>
      <c r="K345" s="55"/>
      <c r="L345" s="10"/>
      <c r="M345" s="10"/>
      <c r="N345" s="189"/>
    </row>
    <row r="346" spans="1:14" s="180" customFormat="1" x14ac:dyDescent="0.15">
      <c r="A346" s="11"/>
      <c r="B346" s="13"/>
      <c r="C346" s="12"/>
      <c r="D346" s="13"/>
      <c r="E346" s="13"/>
      <c r="F346" s="12"/>
      <c r="G346" s="55"/>
      <c r="H346" s="55"/>
      <c r="I346" s="55"/>
      <c r="J346" s="55"/>
      <c r="K346" s="55"/>
      <c r="L346" s="10"/>
      <c r="M346" s="10"/>
      <c r="N346" s="189"/>
    </row>
    <row r="347" spans="1:14" s="180" customFormat="1" x14ac:dyDescent="0.15">
      <c r="A347" s="11"/>
      <c r="B347" s="13"/>
      <c r="C347" s="12"/>
      <c r="D347" s="13"/>
      <c r="E347" s="13"/>
      <c r="F347" s="12"/>
      <c r="G347" s="55"/>
      <c r="H347" s="55"/>
      <c r="I347" s="55"/>
      <c r="J347" s="55"/>
      <c r="K347" s="55"/>
      <c r="L347" s="10"/>
      <c r="M347" s="10"/>
      <c r="N347" s="189"/>
    </row>
    <row r="348" spans="1:14" s="180" customFormat="1" x14ac:dyDescent="0.15">
      <c r="A348" s="11"/>
      <c r="B348" s="13"/>
      <c r="C348" s="12"/>
      <c r="D348" s="13"/>
      <c r="E348" s="13"/>
      <c r="F348" s="12"/>
      <c r="G348" s="55"/>
      <c r="H348" s="55"/>
      <c r="I348" s="55"/>
      <c r="J348" s="55"/>
      <c r="K348" s="55"/>
      <c r="L348" s="10"/>
      <c r="M348" s="10"/>
      <c r="N348" s="189"/>
    </row>
    <row r="349" spans="1:14" s="180" customFormat="1" x14ac:dyDescent="0.15">
      <c r="A349" s="11"/>
      <c r="B349" s="13"/>
      <c r="C349" s="12"/>
      <c r="D349" s="13"/>
      <c r="E349" s="13"/>
      <c r="F349" s="12"/>
      <c r="G349" s="55"/>
      <c r="H349" s="55"/>
      <c r="I349" s="55"/>
      <c r="J349" s="55"/>
      <c r="K349" s="55"/>
      <c r="L349" s="10"/>
      <c r="M349" s="10"/>
      <c r="N349" s="189"/>
    </row>
    <row r="350" spans="1:14" s="180" customFormat="1" x14ac:dyDescent="0.15">
      <c r="A350" s="11"/>
      <c r="B350" s="13"/>
      <c r="C350" s="12"/>
      <c r="D350" s="13"/>
      <c r="E350" s="13"/>
      <c r="F350" s="12"/>
      <c r="G350" s="55"/>
      <c r="H350" s="55"/>
      <c r="I350" s="55"/>
      <c r="J350" s="55"/>
      <c r="K350" s="55"/>
      <c r="L350" s="10"/>
      <c r="M350" s="10"/>
      <c r="N350" s="189"/>
    </row>
    <row r="351" spans="1:14" s="180" customFormat="1" x14ac:dyDescent="0.15">
      <c r="A351" s="11"/>
      <c r="B351" s="13"/>
      <c r="C351" s="12"/>
      <c r="D351" s="13"/>
      <c r="E351" s="13"/>
      <c r="F351" s="12"/>
      <c r="G351" s="55"/>
      <c r="H351" s="55"/>
      <c r="I351" s="55"/>
      <c r="J351" s="55"/>
      <c r="K351" s="55"/>
      <c r="L351" s="10"/>
      <c r="M351" s="10"/>
      <c r="N351" s="189"/>
    </row>
    <row r="352" spans="1:14" s="180" customFormat="1" x14ac:dyDescent="0.15">
      <c r="A352" s="11"/>
      <c r="B352" s="13"/>
      <c r="C352" s="12"/>
      <c r="D352" s="13"/>
      <c r="E352" s="13"/>
      <c r="F352" s="12"/>
      <c r="G352" s="55"/>
      <c r="H352" s="55"/>
      <c r="I352" s="55"/>
      <c r="J352" s="55"/>
      <c r="K352" s="55"/>
      <c r="L352" s="10"/>
      <c r="M352" s="10"/>
      <c r="N352" s="189"/>
    </row>
    <row r="353" spans="1:14" s="180" customFormat="1" x14ac:dyDescent="0.15">
      <c r="A353" s="11"/>
      <c r="B353" s="13"/>
      <c r="C353" s="12"/>
      <c r="D353" s="13"/>
      <c r="E353" s="13"/>
      <c r="F353" s="12"/>
      <c r="G353" s="55"/>
      <c r="H353" s="55"/>
      <c r="I353" s="55"/>
      <c r="J353" s="55"/>
      <c r="K353" s="55"/>
      <c r="L353" s="10"/>
      <c r="M353" s="10"/>
      <c r="N353" s="189"/>
    </row>
    <row r="354" spans="1:14" s="180" customFormat="1" x14ac:dyDescent="0.15">
      <c r="A354" s="11"/>
      <c r="B354" s="13"/>
      <c r="C354" s="12"/>
      <c r="D354" s="13"/>
      <c r="E354" s="13"/>
      <c r="F354" s="12"/>
      <c r="G354" s="55"/>
      <c r="H354" s="55"/>
      <c r="I354" s="55"/>
      <c r="J354" s="55"/>
      <c r="K354" s="55"/>
      <c r="L354" s="10"/>
      <c r="M354" s="10"/>
      <c r="N354" s="189"/>
    </row>
    <row r="355" spans="1:14" s="180" customFormat="1" x14ac:dyDescent="0.15">
      <c r="A355" s="11"/>
      <c r="B355" s="13"/>
      <c r="C355" s="12"/>
      <c r="D355" s="13"/>
      <c r="E355" s="13"/>
      <c r="F355" s="12"/>
      <c r="G355" s="55"/>
      <c r="H355" s="55"/>
      <c r="I355" s="55"/>
      <c r="J355" s="55"/>
      <c r="K355" s="55"/>
      <c r="L355" s="10"/>
      <c r="M355" s="10"/>
      <c r="N355" s="189"/>
    </row>
    <row r="356" spans="1:14" s="180" customFormat="1" x14ac:dyDescent="0.15">
      <c r="A356" s="11"/>
      <c r="B356" s="13"/>
      <c r="C356" s="12"/>
      <c r="D356" s="13"/>
      <c r="E356" s="13"/>
      <c r="F356" s="12"/>
      <c r="G356" s="55"/>
      <c r="H356" s="55"/>
      <c r="I356" s="55"/>
      <c r="J356" s="55"/>
      <c r="K356" s="55"/>
      <c r="L356" s="10"/>
      <c r="M356" s="10"/>
      <c r="N356" s="189"/>
    </row>
    <row r="357" spans="1:14" s="180" customFormat="1" x14ac:dyDescent="0.15">
      <c r="A357" s="11"/>
      <c r="B357" s="13"/>
      <c r="C357" s="12"/>
      <c r="D357" s="13"/>
      <c r="E357" s="13"/>
      <c r="F357" s="12"/>
      <c r="G357" s="55"/>
      <c r="H357" s="55"/>
      <c r="I357" s="55"/>
      <c r="J357" s="55"/>
      <c r="K357" s="55"/>
      <c r="L357" s="10"/>
      <c r="M357" s="10"/>
      <c r="N357" s="189"/>
    </row>
    <row r="358" spans="1:14" s="180" customFormat="1" x14ac:dyDescent="0.15">
      <c r="A358" s="11"/>
      <c r="B358" s="13"/>
      <c r="C358" s="12"/>
      <c r="D358" s="13"/>
      <c r="E358" s="13"/>
      <c r="F358" s="12"/>
      <c r="G358" s="55"/>
      <c r="H358" s="55"/>
      <c r="I358" s="55"/>
      <c r="J358" s="55"/>
      <c r="K358" s="55"/>
      <c r="L358" s="10"/>
      <c r="M358" s="10"/>
      <c r="N358" s="189"/>
    </row>
    <row r="359" spans="1:14" s="180" customFormat="1" x14ac:dyDescent="0.15">
      <c r="A359" s="11"/>
      <c r="B359" s="13"/>
      <c r="C359" s="12"/>
      <c r="D359" s="13"/>
      <c r="E359" s="13"/>
      <c r="F359" s="12"/>
      <c r="G359" s="55"/>
      <c r="H359" s="55"/>
      <c r="I359" s="55"/>
      <c r="J359" s="55"/>
      <c r="K359" s="55"/>
      <c r="L359" s="10"/>
      <c r="M359" s="10"/>
      <c r="N359" s="189"/>
    </row>
    <row r="360" spans="1:14" s="180" customFormat="1" x14ac:dyDescent="0.15">
      <c r="A360" s="11"/>
      <c r="B360" s="13"/>
      <c r="C360" s="12"/>
      <c r="D360" s="13"/>
      <c r="E360" s="13"/>
      <c r="F360" s="12"/>
      <c r="G360" s="55"/>
      <c r="H360" s="55"/>
      <c r="I360" s="55"/>
      <c r="J360" s="55"/>
      <c r="K360" s="55"/>
      <c r="L360" s="10"/>
      <c r="M360" s="10"/>
      <c r="N360" s="189"/>
    </row>
    <row r="361" spans="1:14" s="180" customFormat="1" x14ac:dyDescent="0.15">
      <c r="A361" s="11"/>
      <c r="B361" s="13"/>
      <c r="C361" s="12"/>
      <c r="D361" s="13"/>
      <c r="E361" s="13"/>
      <c r="F361" s="12"/>
      <c r="G361" s="55"/>
      <c r="H361" s="55"/>
      <c r="I361" s="55"/>
      <c r="J361" s="55"/>
      <c r="K361" s="55"/>
      <c r="L361" s="10"/>
      <c r="M361" s="10"/>
      <c r="N361" s="189"/>
    </row>
    <row r="362" spans="1:14" s="180" customFormat="1" x14ac:dyDescent="0.15">
      <c r="A362" s="11"/>
      <c r="B362" s="13"/>
      <c r="C362" s="12"/>
      <c r="D362" s="13"/>
      <c r="E362" s="13"/>
      <c r="F362" s="12"/>
      <c r="G362" s="55"/>
      <c r="H362" s="55"/>
      <c r="I362" s="55"/>
      <c r="J362" s="55"/>
      <c r="K362" s="55"/>
      <c r="L362" s="10"/>
      <c r="M362" s="10"/>
      <c r="N362" s="189"/>
    </row>
    <row r="363" spans="1:14" s="180" customFormat="1" x14ac:dyDescent="0.15">
      <c r="A363" s="11"/>
      <c r="B363" s="13"/>
      <c r="C363" s="12"/>
      <c r="D363" s="13"/>
      <c r="E363" s="13"/>
      <c r="F363" s="12"/>
      <c r="G363" s="55"/>
      <c r="H363" s="55"/>
      <c r="I363" s="55"/>
      <c r="J363" s="55"/>
      <c r="K363" s="55"/>
      <c r="L363" s="10"/>
      <c r="M363" s="10"/>
      <c r="N363" s="189"/>
    </row>
    <row r="364" spans="1:14" s="180" customFormat="1" x14ac:dyDescent="0.15">
      <c r="A364" s="11"/>
      <c r="B364" s="13"/>
      <c r="C364" s="12"/>
      <c r="D364" s="13"/>
      <c r="E364" s="13"/>
      <c r="F364" s="12"/>
      <c r="G364" s="55"/>
      <c r="H364" s="55"/>
      <c r="I364" s="55"/>
      <c r="J364" s="55"/>
      <c r="K364" s="55"/>
      <c r="L364" s="10"/>
      <c r="M364" s="10"/>
      <c r="N364" s="189"/>
    </row>
    <row r="365" spans="1:14" s="180" customFormat="1" x14ac:dyDescent="0.15">
      <c r="A365" s="11"/>
      <c r="B365" s="13"/>
      <c r="C365" s="12"/>
      <c r="D365" s="13"/>
      <c r="E365" s="13"/>
      <c r="F365" s="12"/>
      <c r="G365" s="55"/>
      <c r="H365" s="55"/>
      <c r="I365" s="55"/>
      <c r="J365" s="55"/>
      <c r="K365" s="55"/>
      <c r="L365" s="10"/>
      <c r="M365" s="10"/>
      <c r="N365" s="189"/>
    </row>
    <row r="366" spans="1:14" s="180" customFormat="1" x14ac:dyDescent="0.15">
      <c r="A366" s="11"/>
      <c r="B366" s="13"/>
      <c r="C366" s="12"/>
      <c r="D366" s="13"/>
      <c r="E366" s="13"/>
      <c r="F366" s="12"/>
      <c r="G366" s="55"/>
      <c r="H366" s="55"/>
      <c r="I366" s="55"/>
      <c r="J366" s="55"/>
      <c r="K366" s="55"/>
      <c r="L366" s="10"/>
      <c r="M366" s="10"/>
      <c r="N366" s="189"/>
    </row>
    <row r="367" spans="1:14" s="180" customFormat="1" x14ac:dyDescent="0.15">
      <c r="A367" s="11"/>
      <c r="B367" s="13"/>
      <c r="C367" s="12"/>
      <c r="D367" s="13"/>
      <c r="E367" s="13"/>
      <c r="F367" s="12"/>
      <c r="G367" s="55"/>
      <c r="H367" s="55"/>
      <c r="I367" s="55"/>
      <c r="J367" s="55"/>
      <c r="K367" s="55"/>
      <c r="L367" s="10"/>
      <c r="M367" s="10"/>
      <c r="N367" s="189"/>
    </row>
    <row r="368" spans="1:14" s="180" customFormat="1" x14ac:dyDescent="0.15">
      <c r="A368" s="11"/>
      <c r="B368" s="13"/>
      <c r="C368" s="12"/>
      <c r="D368" s="13"/>
      <c r="E368" s="13"/>
      <c r="F368" s="12"/>
      <c r="G368" s="55"/>
      <c r="H368" s="55"/>
      <c r="I368" s="55"/>
      <c r="J368" s="55"/>
      <c r="K368" s="55"/>
      <c r="L368" s="10"/>
      <c r="M368" s="10"/>
      <c r="N368" s="189"/>
    </row>
    <row r="369" spans="1:14" s="180" customFormat="1" x14ac:dyDescent="0.15">
      <c r="A369" s="11"/>
      <c r="B369" s="13"/>
      <c r="C369" s="12"/>
      <c r="D369" s="13"/>
      <c r="E369" s="13"/>
      <c r="F369" s="12"/>
      <c r="G369" s="55"/>
      <c r="H369" s="55"/>
      <c r="I369" s="55"/>
      <c r="J369" s="55"/>
      <c r="K369" s="55"/>
      <c r="L369" s="10"/>
      <c r="M369" s="10"/>
      <c r="N369" s="189"/>
    </row>
    <row r="370" spans="1:14" s="180" customFormat="1" x14ac:dyDescent="0.15">
      <c r="A370" s="11"/>
      <c r="B370" s="13"/>
      <c r="C370" s="12"/>
      <c r="D370" s="13"/>
      <c r="E370" s="13"/>
      <c r="F370" s="12"/>
      <c r="G370" s="55"/>
      <c r="H370" s="55"/>
      <c r="I370" s="55"/>
      <c r="J370" s="55"/>
      <c r="K370" s="55"/>
      <c r="L370" s="10"/>
      <c r="M370" s="10"/>
      <c r="N370" s="189"/>
    </row>
    <row r="371" spans="1:14" s="180" customFormat="1" x14ac:dyDescent="0.15">
      <c r="A371" s="11"/>
      <c r="B371" s="13"/>
      <c r="C371" s="12"/>
      <c r="D371" s="13"/>
      <c r="E371" s="13"/>
      <c r="F371" s="12"/>
      <c r="G371" s="55"/>
      <c r="H371" s="55"/>
      <c r="I371" s="55"/>
      <c r="J371" s="55"/>
      <c r="K371" s="55"/>
      <c r="L371" s="10"/>
      <c r="M371" s="10"/>
      <c r="N371" s="189"/>
    </row>
    <row r="372" spans="1:14" s="180" customFormat="1" x14ac:dyDescent="0.15">
      <c r="A372" s="11"/>
      <c r="B372" s="13"/>
      <c r="C372" s="12"/>
      <c r="D372" s="13"/>
      <c r="E372" s="13"/>
      <c r="F372" s="12"/>
      <c r="G372" s="55"/>
      <c r="H372" s="55"/>
      <c r="I372" s="55"/>
      <c r="J372" s="55"/>
      <c r="K372" s="55"/>
      <c r="L372" s="10"/>
      <c r="M372" s="10"/>
      <c r="N372" s="189"/>
    </row>
    <row r="373" spans="1:14" s="180" customFormat="1" x14ac:dyDescent="0.15">
      <c r="A373" s="11"/>
      <c r="B373" s="13"/>
      <c r="C373" s="12"/>
      <c r="D373" s="13"/>
      <c r="E373" s="13"/>
      <c r="F373" s="12"/>
      <c r="G373" s="55"/>
      <c r="H373" s="55"/>
      <c r="I373" s="55"/>
      <c r="J373" s="55"/>
      <c r="K373" s="55"/>
      <c r="L373" s="10"/>
      <c r="M373" s="10"/>
      <c r="N373" s="189"/>
    </row>
    <row r="374" spans="1:14" s="180" customFormat="1" x14ac:dyDescent="0.15">
      <c r="A374" s="11"/>
      <c r="B374" s="13"/>
      <c r="C374" s="12"/>
      <c r="D374" s="13"/>
      <c r="E374" s="13"/>
      <c r="F374" s="12"/>
      <c r="G374" s="55"/>
      <c r="H374" s="55"/>
      <c r="I374" s="55"/>
      <c r="J374" s="55"/>
      <c r="K374" s="55"/>
      <c r="L374" s="10"/>
      <c r="M374" s="10"/>
      <c r="N374" s="189"/>
    </row>
    <row r="375" spans="1:14" s="180" customFormat="1" x14ac:dyDescent="0.15">
      <c r="A375" s="11"/>
      <c r="B375" s="13"/>
      <c r="C375" s="12"/>
      <c r="D375" s="13"/>
      <c r="E375" s="13"/>
      <c r="F375" s="12"/>
      <c r="G375" s="55"/>
      <c r="H375" s="55"/>
      <c r="I375" s="55"/>
      <c r="J375" s="55"/>
      <c r="K375" s="55"/>
      <c r="L375" s="10"/>
      <c r="M375" s="10"/>
      <c r="N375" s="189"/>
    </row>
    <row r="376" spans="1:14" s="180" customFormat="1" x14ac:dyDescent="0.15">
      <c r="A376" s="11"/>
      <c r="B376" s="13"/>
      <c r="C376" s="12"/>
      <c r="D376" s="13"/>
      <c r="E376" s="13"/>
      <c r="F376" s="12"/>
      <c r="G376" s="55"/>
      <c r="H376" s="55"/>
      <c r="I376" s="55"/>
      <c r="J376" s="55"/>
      <c r="K376" s="55"/>
      <c r="L376" s="10"/>
      <c r="M376" s="10"/>
      <c r="N376" s="189"/>
    </row>
    <row r="377" spans="1:14" s="180" customFormat="1" x14ac:dyDescent="0.15">
      <c r="A377" s="11"/>
      <c r="B377" s="13"/>
      <c r="C377" s="12"/>
      <c r="D377" s="13"/>
      <c r="E377" s="13"/>
      <c r="F377" s="12"/>
      <c r="G377" s="55"/>
      <c r="H377" s="55"/>
      <c r="I377" s="55"/>
      <c r="J377" s="55"/>
      <c r="K377" s="55"/>
      <c r="L377" s="10"/>
      <c r="M377" s="10"/>
      <c r="N377" s="189"/>
    </row>
    <row r="378" spans="1:14" s="180" customFormat="1" x14ac:dyDescent="0.15">
      <c r="A378" s="11"/>
      <c r="B378" s="13"/>
      <c r="C378" s="12"/>
      <c r="D378" s="13"/>
      <c r="E378" s="13"/>
      <c r="F378" s="12"/>
      <c r="G378" s="55"/>
      <c r="H378" s="55"/>
      <c r="I378" s="55"/>
      <c r="J378" s="55"/>
      <c r="K378" s="55"/>
      <c r="L378" s="10"/>
      <c r="M378" s="10"/>
      <c r="N378" s="189"/>
    </row>
    <row r="379" spans="1:14" s="180" customFormat="1" x14ac:dyDescent="0.15">
      <c r="A379" s="11"/>
      <c r="B379" s="13"/>
      <c r="C379" s="12"/>
      <c r="D379" s="13"/>
      <c r="E379" s="13"/>
      <c r="F379" s="12"/>
      <c r="G379" s="55"/>
      <c r="H379" s="55"/>
      <c r="I379" s="55"/>
      <c r="J379" s="55"/>
      <c r="K379" s="55"/>
      <c r="L379" s="10"/>
      <c r="M379" s="10"/>
      <c r="N379" s="189"/>
    </row>
    <row r="380" spans="1:14" s="180" customFormat="1" x14ac:dyDescent="0.15">
      <c r="A380" s="11"/>
      <c r="B380" s="13"/>
      <c r="C380" s="12"/>
      <c r="D380" s="13"/>
      <c r="E380" s="13"/>
      <c r="F380" s="12"/>
      <c r="G380" s="55"/>
      <c r="H380" s="55"/>
      <c r="I380" s="55"/>
      <c r="J380" s="55"/>
      <c r="K380" s="55"/>
      <c r="L380" s="10"/>
      <c r="M380" s="10"/>
      <c r="N380" s="189"/>
    </row>
    <row r="381" spans="1:14" s="180" customFormat="1" x14ac:dyDescent="0.15">
      <c r="A381" s="11"/>
      <c r="B381" s="13"/>
      <c r="C381" s="12"/>
      <c r="D381" s="13"/>
      <c r="E381" s="13"/>
      <c r="F381" s="12"/>
      <c r="G381" s="55"/>
      <c r="H381" s="55"/>
      <c r="I381" s="55"/>
      <c r="J381" s="55"/>
      <c r="K381" s="55"/>
      <c r="L381" s="10"/>
      <c r="M381" s="10"/>
      <c r="N381" s="189"/>
    </row>
    <row r="382" spans="1:14" s="180" customFormat="1" x14ac:dyDescent="0.15">
      <c r="A382" s="11"/>
      <c r="B382" s="13"/>
      <c r="C382" s="12"/>
      <c r="D382" s="13"/>
      <c r="E382" s="13"/>
      <c r="F382" s="12"/>
      <c r="G382" s="55"/>
      <c r="H382" s="55"/>
      <c r="I382" s="55"/>
      <c r="J382" s="55"/>
      <c r="K382" s="55"/>
      <c r="L382" s="10"/>
      <c r="M382" s="10"/>
      <c r="N382" s="189"/>
    </row>
    <row r="383" spans="1:14" s="180" customFormat="1" x14ac:dyDescent="0.15">
      <c r="A383" s="11"/>
      <c r="B383" s="13"/>
      <c r="C383" s="12"/>
      <c r="D383" s="13"/>
      <c r="E383" s="13"/>
      <c r="F383" s="12"/>
      <c r="G383" s="55"/>
      <c r="H383" s="55"/>
      <c r="I383" s="55"/>
      <c r="J383" s="55"/>
      <c r="K383" s="55"/>
      <c r="L383" s="10"/>
      <c r="M383" s="10"/>
      <c r="N383" s="189"/>
    </row>
    <row r="384" spans="1:14" s="180" customFormat="1" x14ac:dyDescent="0.15">
      <c r="A384" s="11"/>
      <c r="B384" s="13"/>
      <c r="C384" s="12"/>
      <c r="D384" s="13"/>
      <c r="E384" s="13"/>
      <c r="F384" s="12"/>
      <c r="G384" s="55"/>
      <c r="H384" s="55"/>
      <c r="I384" s="55"/>
      <c r="J384" s="55"/>
      <c r="K384" s="55"/>
      <c r="L384" s="10"/>
      <c r="M384" s="10"/>
      <c r="N384" s="189"/>
    </row>
    <row r="385" spans="1:14" s="180" customFormat="1" x14ac:dyDescent="0.15">
      <c r="A385" s="11"/>
      <c r="B385" s="13"/>
      <c r="C385" s="12"/>
      <c r="D385" s="13"/>
      <c r="E385" s="13"/>
      <c r="F385" s="12"/>
      <c r="G385" s="55"/>
      <c r="H385" s="55"/>
      <c r="I385" s="55"/>
      <c r="J385" s="55"/>
      <c r="K385" s="55"/>
      <c r="L385" s="10"/>
      <c r="M385" s="10"/>
      <c r="N385" s="189"/>
    </row>
    <row r="386" spans="1:14" s="180" customFormat="1" x14ac:dyDescent="0.15">
      <c r="A386" s="11"/>
      <c r="B386" s="13"/>
      <c r="C386" s="12"/>
      <c r="D386" s="13"/>
      <c r="E386" s="13"/>
      <c r="F386" s="12"/>
      <c r="G386" s="55"/>
      <c r="H386" s="55"/>
      <c r="I386" s="55"/>
      <c r="J386" s="55"/>
      <c r="K386" s="55"/>
      <c r="L386" s="10"/>
      <c r="M386" s="10"/>
      <c r="N386" s="189"/>
    </row>
    <row r="387" spans="1:14" s="180" customFormat="1" x14ac:dyDescent="0.15">
      <c r="A387" s="11"/>
      <c r="B387" s="13"/>
      <c r="C387" s="12"/>
      <c r="D387" s="13"/>
      <c r="E387" s="13"/>
      <c r="F387" s="12"/>
      <c r="G387" s="55"/>
      <c r="H387" s="55"/>
      <c r="I387" s="55"/>
      <c r="J387" s="55"/>
      <c r="K387" s="55"/>
      <c r="L387" s="10"/>
      <c r="M387" s="10"/>
      <c r="N387" s="189"/>
    </row>
    <row r="388" spans="1:14" s="180" customFormat="1" x14ac:dyDescent="0.15">
      <c r="A388" s="11"/>
      <c r="B388" s="13"/>
      <c r="C388" s="12"/>
      <c r="D388" s="13"/>
      <c r="E388" s="13"/>
      <c r="F388" s="12"/>
      <c r="G388" s="55"/>
      <c r="H388" s="55"/>
      <c r="I388" s="55"/>
      <c r="J388" s="55"/>
      <c r="K388" s="55"/>
      <c r="L388" s="10"/>
      <c r="M388" s="10"/>
      <c r="N388" s="189"/>
    </row>
    <row r="389" spans="1:14" s="180" customFormat="1" x14ac:dyDescent="0.15">
      <c r="A389" s="11"/>
      <c r="B389" s="13"/>
      <c r="C389" s="12"/>
      <c r="D389" s="13"/>
      <c r="E389" s="13"/>
      <c r="F389" s="12"/>
      <c r="G389" s="55"/>
      <c r="H389" s="55"/>
      <c r="I389" s="55"/>
      <c r="J389" s="55"/>
      <c r="K389" s="55"/>
      <c r="L389" s="10"/>
      <c r="M389" s="10"/>
      <c r="N389" s="189"/>
    </row>
    <row r="390" spans="1:14" s="180" customFormat="1" x14ac:dyDescent="0.15">
      <c r="A390" s="11"/>
      <c r="B390" s="13"/>
      <c r="C390" s="12"/>
      <c r="D390" s="13"/>
      <c r="E390" s="13"/>
      <c r="F390" s="12"/>
      <c r="G390" s="55"/>
      <c r="H390" s="55"/>
      <c r="I390" s="55"/>
      <c r="J390" s="55"/>
      <c r="K390" s="55"/>
      <c r="L390" s="10"/>
      <c r="M390" s="10"/>
      <c r="N390" s="189"/>
    </row>
    <row r="391" spans="1:14" s="180" customFormat="1" x14ac:dyDescent="0.15">
      <c r="A391" s="11"/>
      <c r="B391" s="13"/>
      <c r="C391" s="12"/>
      <c r="D391" s="13"/>
      <c r="E391" s="13"/>
      <c r="F391" s="12"/>
      <c r="G391" s="55"/>
      <c r="H391" s="55"/>
      <c r="I391" s="55"/>
      <c r="J391" s="55"/>
      <c r="K391" s="55"/>
      <c r="L391" s="10"/>
      <c r="M391" s="10"/>
      <c r="N391" s="189"/>
    </row>
    <row r="392" spans="1:14" s="180" customFormat="1" x14ac:dyDescent="0.15">
      <c r="A392" s="11"/>
      <c r="B392" s="13"/>
      <c r="C392" s="12"/>
      <c r="D392" s="13"/>
      <c r="E392" s="13"/>
      <c r="F392" s="12"/>
      <c r="G392" s="55"/>
      <c r="H392" s="55"/>
      <c r="I392" s="55"/>
      <c r="J392" s="55"/>
      <c r="K392" s="55"/>
      <c r="L392" s="10"/>
      <c r="M392" s="10"/>
      <c r="N392" s="189"/>
    </row>
    <row r="393" spans="1:14" s="180" customFormat="1" x14ac:dyDescent="0.15">
      <c r="A393" s="11"/>
      <c r="B393" s="13"/>
      <c r="C393" s="12"/>
      <c r="D393" s="13"/>
      <c r="E393" s="13"/>
      <c r="F393" s="12"/>
      <c r="G393" s="55"/>
      <c r="H393" s="55"/>
      <c r="I393" s="55"/>
      <c r="J393" s="55"/>
      <c r="K393" s="55"/>
      <c r="L393" s="10"/>
      <c r="M393" s="10"/>
      <c r="N393" s="189"/>
    </row>
    <row r="394" spans="1:14" s="180" customFormat="1" x14ac:dyDescent="0.15">
      <c r="A394" s="11"/>
      <c r="B394" s="13"/>
      <c r="C394" s="12"/>
      <c r="D394" s="13"/>
      <c r="E394" s="13"/>
      <c r="F394" s="12"/>
      <c r="G394" s="55"/>
      <c r="H394" s="55"/>
      <c r="I394" s="55"/>
      <c r="J394" s="55"/>
      <c r="K394" s="55"/>
      <c r="L394" s="10"/>
      <c r="M394" s="10"/>
      <c r="N394" s="189"/>
    </row>
    <row r="395" spans="1:14" s="180" customFormat="1" x14ac:dyDescent="0.15">
      <c r="A395" s="11"/>
      <c r="B395" s="13"/>
      <c r="C395" s="12"/>
      <c r="D395" s="13"/>
      <c r="E395" s="13"/>
      <c r="F395" s="12"/>
      <c r="G395" s="55"/>
      <c r="H395" s="55"/>
      <c r="I395" s="55"/>
      <c r="J395" s="55"/>
      <c r="K395" s="55"/>
      <c r="L395" s="10"/>
      <c r="M395" s="10"/>
      <c r="N395" s="189"/>
    </row>
    <row r="396" spans="1:14" s="180" customFormat="1" x14ac:dyDescent="0.15">
      <c r="A396" s="11"/>
      <c r="B396" s="13"/>
      <c r="C396" s="12"/>
      <c r="D396" s="13"/>
      <c r="E396" s="13"/>
      <c r="F396" s="12"/>
      <c r="G396" s="55"/>
      <c r="H396" s="55"/>
      <c r="I396" s="55"/>
      <c r="J396" s="55"/>
      <c r="K396" s="55"/>
      <c r="L396" s="10"/>
      <c r="M396" s="10"/>
      <c r="N396" s="189"/>
    </row>
    <row r="397" spans="1:14" s="180" customFormat="1" x14ac:dyDescent="0.15">
      <c r="A397" s="11"/>
      <c r="B397" s="13"/>
      <c r="C397" s="12"/>
      <c r="D397" s="13"/>
      <c r="E397" s="13"/>
      <c r="F397" s="12"/>
      <c r="G397" s="55"/>
      <c r="H397" s="55"/>
      <c r="I397" s="55"/>
      <c r="J397" s="55"/>
      <c r="K397" s="55"/>
      <c r="L397" s="10"/>
      <c r="M397" s="10"/>
      <c r="N397" s="189"/>
    </row>
    <row r="398" spans="1:14" s="180" customFormat="1" x14ac:dyDescent="0.15">
      <c r="A398" s="11"/>
      <c r="B398" s="13"/>
      <c r="C398" s="12"/>
      <c r="D398" s="13"/>
      <c r="E398" s="13"/>
      <c r="F398" s="12"/>
      <c r="G398" s="55"/>
      <c r="H398" s="55"/>
      <c r="I398" s="55"/>
      <c r="J398" s="55"/>
      <c r="K398" s="55"/>
      <c r="L398" s="10"/>
      <c r="M398" s="10"/>
      <c r="N398" s="189"/>
    </row>
    <row r="399" spans="1:14" s="180" customFormat="1" x14ac:dyDescent="0.15">
      <c r="A399" s="11"/>
      <c r="B399" s="13"/>
      <c r="C399" s="12"/>
      <c r="D399" s="13"/>
      <c r="E399" s="13"/>
      <c r="F399" s="12"/>
      <c r="G399" s="55"/>
      <c r="H399" s="55"/>
      <c r="I399" s="55"/>
      <c r="J399" s="55"/>
      <c r="K399" s="55"/>
      <c r="L399" s="10"/>
      <c r="M399" s="10"/>
      <c r="N399" s="189"/>
    </row>
    <row r="400" spans="1:14" s="180" customFormat="1" x14ac:dyDescent="0.15">
      <c r="A400" s="11"/>
      <c r="B400" s="13"/>
      <c r="C400" s="12"/>
      <c r="D400" s="13"/>
      <c r="E400" s="13"/>
      <c r="F400" s="12"/>
      <c r="G400" s="55"/>
      <c r="H400" s="55"/>
      <c r="I400" s="55"/>
      <c r="J400" s="55"/>
      <c r="K400" s="55"/>
      <c r="L400" s="10"/>
      <c r="M400" s="10"/>
      <c r="N400" s="189"/>
    </row>
    <row r="401" spans="1:14" s="180" customFormat="1" x14ac:dyDescent="0.15">
      <c r="A401" s="11"/>
      <c r="B401" s="13"/>
      <c r="C401" s="12"/>
      <c r="D401" s="13"/>
      <c r="E401" s="13"/>
      <c r="F401" s="12"/>
      <c r="G401" s="55"/>
      <c r="H401" s="55"/>
      <c r="I401" s="55"/>
      <c r="J401" s="55"/>
      <c r="K401" s="55"/>
      <c r="L401" s="10"/>
      <c r="M401" s="10"/>
      <c r="N401" s="189"/>
    </row>
    <row r="402" spans="1:14" s="180" customFormat="1" x14ac:dyDescent="0.15">
      <c r="A402" s="11"/>
      <c r="B402" s="13"/>
      <c r="C402" s="12"/>
      <c r="D402" s="13"/>
      <c r="E402" s="13"/>
      <c r="F402" s="12"/>
      <c r="G402" s="55"/>
      <c r="H402" s="55"/>
      <c r="I402" s="55"/>
      <c r="J402" s="55"/>
      <c r="K402" s="55"/>
      <c r="L402" s="10"/>
      <c r="M402" s="10"/>
      <c r="N402" s="189"/>
    </row>
    <row r="403" spans="1:14" s="180" customFormat="1" x14ac:dyDescent="0.15">
      <c r="A403" s="11"/>
      <c r="B403" s="13"/>
      <c r="C403" s="12"/>
      <c r="D403" s="13"/>
      <c r="E403" s="13"/>
      <c r="F403" s="12"/>
      <c r="G403" s="55"/>
      <c r="H403" s="55"/>
      <c r="I403" s="55"/>
      <c r="J403" s="55"/>
      <c r="K403" s="55"/>
      <c r="L403" s="10"/>
      <c r="M403" s="10"/>
      <c r="N403" s="189"/>
    </row>
    <row r="404" spans="1:14" s="180" customFormat="1" x14ac:dyDescent="0.15">
      <c r="A404" s="11"/>
      <c r="B404" s="13"/>
      <c r="C404" s="12"/>
      <c r="D404" s="13"/>
      <c r="E404" s="13"/>
      <c r="F404" s="12"/>
      <c r="G404" s="55"/>
      <c r="H404" s="55"/>
      <c r="I404" s="55"/>
      <c r="J404" s="55"/>
      <c r="K404" s="55"/>
      <c r="L404" s="10"/>
      <c r="M404" s="10"/>
      <c r="N404" s="189"/>
    </row>
    <row r="405" spans="1:14" s="180" customFormat="1" x14ac:dyDescent="0.15">
      <c r="A405" s="11"/>
      <c r="B405" s="13"/>
      <c r="C405" s="12"/>
      <c r="D405" s="13"/>
      <c r="E405" s="13"/>
      <c r="F405" s="12"/>
      <c r="G405" s="55"/>
      <c r="H405" s="55"/>
      <c r="I405" s="55"/>
      <c r="J405" s="55"/>
      <c r="K405" s="55"/>
      <c r="L405" s="10"/>
      <c r="M405" s="10"/>
      <c r="N405" s="189"/>
    </row>
    <row r="406" spans="1:14" s="180" customFormat="1" x14ac:dyDescent="0.15">
      <c r="A406" s="11"/>
      <c r="B406" s="13"/>
      <c r="C406" s="12"/>
      <c r="D406" s="13"/>
      <c r="E406" s="13"/>
      <c r="F406" s="12"/>
      <c r="G406" s="55"/>
      <c r="H406" s="55"/>
      <c r="I406" s="55"/>
      <c r="J406" s="55"/>
      <c r="K406" s="55"/>
      <c r="L406" s="10"/>
      <c r="M406" s="10"/>
      <c r="N406" s="189"/>
    </row>
    <row r="407" spans="1:14" s="180" customFormat="1" x14ac:dyDescent="0.15">
      <c r="A407" s="11"/>
      <c r="B407" s="13"/>
      <c r="C407" s="12"/>
      <c r="D407" s="13"/>
      <c r="E407" s="13"/>
      <c r="F407" s="12"/>
      <c r="G407" s="55"/>
      <c r="H407" s="55"/>
      <c r="I407" s="55"/>
      <c r="J407" s="55"/>
      <c r="K407" s="55"/>
      <c r="L407" s="10"/>
      <c r="M407" s="10"/>
      <c r="N407" s="189"/>
    </row>
    <row r="408" spans="1:14" s="180" customFormat="1" x14ac:dyDescent="0.15">
      <c r="A408" s="11"/>
      <c r="B408" s="13"/>
      <c r="C408" s="12"/>
      <c r="D408" s="13"/>
      <c r="E408" s="13"/>
      <c r="F408" s="12"/>
      <c r="G408" s="55"/>
      <c r="H408" s="55"/>
      <c r="I408" s="55"/>
      <c r="J408" s="55"/>
      <c r="K408" s="55"/>
      <c r="L408" s="10"/>
      <c r="M408" s="10"/>
      <c r="N408" s="189"/>
    </row>
    <row r="409" spans="1:14" s="180" customFormat="1" x14ac:dyDescent="0.15">
      <c r="A409" s="11"/>
      <c r="B409" s="13"/>
      <c r="C409" s="12"/>
      <c r="D409" s="13"/>
      <c r="E409" s="13"/>
      <c r="F409" s="12"/>
      <c r="G409" s="55"/>
      <c r="H409" s="55"/>
      <c r="I409" s="55"/>
      <c r="J409" s="55"/>
      <c r="K409" s="55"/>
      <c r="L409" s="10"/>
      <c r="M409" s="10"/>
      <c r="N409" s="189"/>
    </row>
    <row r="410" spans="1:14" s="180" customFormat="1" x14ac:dyDescent="0.15">
      <c r="A410" s="11"/>
      <c r="B410" s="13"/>
      <c r="C410" s="12"/>
      <c r="D410" s="13"/>
      <c r="E410" s="13"/>
      <c r="F410" s="12"/>
      <c r="G410" s="55"/>
      <c r="H410" s="55"/>
      <c r="I410" s="55"/>
      <c r="J410" s="55"/>
      <c r="K410" s="55"/>
      <c r="L410" s="10"/>
      <c r="M410" s="10"/>
      <c r="N410" s="189"/>
    </row>
    <row r="411" spans="1:14" s="180" customFormat="1" x14ac:dyDescent="0.15">
      <c r="A411" s="11"/>
      <c r="B411" s="13"/>
      <c r="C411" s="12"/>
      <c r="D411" s="13"/>
      <c r="E411" s="13"/>
      <c r="F411" s="12"/>
      <c r="G411" s="55"/>
      <c r="H411" s="55"/>
      <c r="I411" s="55"/>
      <c r="J411" s="55"/>
      <c r="K411" s="55"/>
      <c r="L411" s="10"/>
      <c r="M411" s="10"/>
      <c r="N411" s="189"/>
    </row>
    <row r="412" spans="1:14" s="180" customFormat="1" x14ac:dyDescent="0.15">
      <c r="A412" s="11"/>
      <c r="B412" s="13"/>
      <c r="C412" s="12"/>
      <c r="D412" s="13"/>
      <c r="E412" s="13"/>
      <c r="F412" s="12"/>
      <c r="G412" s="55"/>
      <c r="H412" s="55"/>
      <c r="I412" s="55"/>
      <c r="J412" s="55"/>
      <c r="K412" s="55"/>
      <c r="L412" s="10"/>
      <c r="M412" s="10"/>
      <c r="N412" s="189"/>
    </row>
    <row r="413" spans="1:14" s="180" customFormat="1" x14ac:dyDescent="0.15">
      <c r="A413" s="11"/>
      <c r="B413" s="13"/>
      <c r="C413" s="12"/>
      <c r="D413" s="13"/>
      <c r="E413" s="13"/>
      <c r="F413" s="12"/>
      <c r="G413" s="55"/>
      <c r="H413" s="55"/>
      <c r="I413" s="55"/>
      <c r="J413" s="55"/>
      <c r="K413" s="55"/>
      <c r="L413" s="10"/>
      <c r="M413" s="10"/>
      <c r="N413" s="189"/>
    </row>
    <row r="414" spans="1:14" s="180" customFormat="1" x14ac:dyDescent="0.15">
      <c r="A414" s="11"/>
      <c r="B414" s="13"/>
      <c r="C414" s="12"/>
      <c r="D414" s="13"/>
      <c r="E414" s="13"/>
      <c r="F414" s="12"/>
      <c r="G414" s="55"/>
      <c r="H414" s="55"/>
      <c r="I414" s="55"/>
      <c r="J414" s="55"/>
      <c r="K414" s="55"/>
      <c r="L414" s="10"/>
      <c r="M414" s="10"/>
      <c r="N414" s="189"/>
    </row>
    <row r="415" spans="1:14" s="180" customFormat="1" x14ac:dyDescent="0.15">
      <c r="A415" s="11"/>
      <c r="B415" s="13"/>
      <c r="C415" s="12"/>
      <c r="D415" s="13"/>
      <c r="E415" s="13"/>
      <c r="F415" s="12"/>
      <c r="G415" s="55"/>
      <c r="H415" s="55"/>
      <c r="I415" s="55"/>
      <c r="J415" s="55"/>
      <c r="K415" s="55"/>
      <c r="L415" s="10"/>
      <c r="M415" s="10"/>
      <c r="N415" s="189"/>
    </row>
    <row r="416" spans="1:14" s="180" customFormat="1" x14ac:dyDescent="0.15">
      <c r="A416" s="11"/>
      <c r="B416" s="13"/>
      <c r="C416" s="12"/>
      <c r="D416" s="13"/>
      <c r="E416" s="13"/>
      <c r="F416" s="12"/>
      <c r="G416" s="55"/>
      <c r="H416" s="55"/>
      <c r="I416" s="55"/>
      <c r="J416" s="55"/>
      <c r="K416" s="55"/>
      <c r="L416" s="10"/>
      <c r="M416" s="10"/>
      <c r="N416" s="189"/>
    </row>
    <row r="417" spans="1:14" s="180" customFormat="1" x14ac:dyDescent="0.15">
      <c r="A417" s="11"/>
      <c r="B417" s="13"/>
      <c r="C417" s="12"/>
      <c r="D417" s="13"/>
      <c r="E417" s="13"/>
      <c r="F417" s="12"/>
      <c r="G417" s="55"/>
      <c r="H417" s="55"/>
      <c r="I417" s="55"/>
      <c r="J417" s="55"/>
      <c r="K417" s="55"/>
      <c r="L417" s="10"/>
      <c r="M417" s="10"/>
      <c r="N417" s="189"/>
    </row>
    <row r="418" spans="1:14" s="180" customFormat="1" x14ac:dyDescent="0.15">
      <c r="A418" s="11"/>
      <c r="B418" s="13"/>
      <c r="C418" s="12"/>
      <c r="D418" s="13"/>
      <c r="E418" s="13"/>
      <c r="F418" s="12"/>
      <c r="G418" s="55"/>
      <c r="H418" s="55"/>
      <c r="I418" s="55"/>
      <c r="J418" s="55"/>
      <c r="K418" s="55"/>
      <c r="L418" s="10"/>
      <c r="M418" s="10"/>
      <c r="N418" s="189"/>
    </row>
    <row r="419" spans="1:14" s="180" customFormat="1" x14ac:dyDescent="0.15">
      <c r="A419" s="11"/>
      <c r="B419" s="13"/>
      <c r="C419" s="12"/>
      <c r="D419" s="13"/>
      <c r="E419" s="13"/>
      <c r="F419" s="12"/>
      <c r="G419" s="55"/>
      <c r="H419" s="55"/>
      <c r="I419" s="55"/>
      <c r="J419" s="55"/>
      <c r="K419" s="55"/>
      <c r="L419" s="10"/>
      <c r="M419" s="10"/>
      <c r="N419" s="189"/>
    </row>
    <row r="420" spans="1:14" s="180" customFormat="1" x14ac:dyDescent="0.15">
      <c r="A420" s="11"/>
      <c r="B420" s="13"/>
      <c r="C420" s="12"/>
      <c r="D420" s="13"/>
      <c r="E420" s="13"/>
      <c r="F420" s="12"/>
      <c r="G420" s="55"/>
      <c r="H420" s="55"/>
      <c r="I420" s="55"/>
      <c r="J420" s="55"/>
      <c r="K420" s="55"/>
      <c r="L420" s="10"/>
      <c r="M420" s="10"/>
      <c r="N420" s="189"/>
    </row>
    <row r="421" spans="1:14" s="180" customFormat="1" x14ac:dyDescent="0.15">
      <c r="A421" s="11"/>
      <c r="B421" s="13"/>
      <c r="C421" s="12"/>
      <c r="D421" s="13"/>
      <c r="E421" s="13"/>
      <c r="F421" s="12"/>
      <c r="G421" s="55"/>
      <c r="H421" s="55"/>
      <c r="I421" s="55"/>
      <c r="J421" s="55"/>
      <c r="K421" s="55"/>
      <c r="L421" s="10"/>
      <c r="M421" s="10"/>
      <c r="N421" s="189"/>
    </row>
    <row r="422" spans="1:14" s="180" customFormat="1" x14ac:dyDescent="0.15">
      <c r="A422" s="11"/>
      <c r="B422" s="13"/>
      <c r="C422" s="12"/>
      <c r="D422" s="13"/>
      <c r="E422" s="13"/>
      <c r="F422" s="12"/>
      <c r="G422" s="55"/>
      <c r="H422" s="55"/>
      <c r="I422" s="55"/>
      <c r="J422" s="55"/>
      <c r="K422" s="55"/>
      <c r="L422" s="10"/>
      <c r="M422" s="10"/>
      <c r="N422" s="189"/>
    </row>
    <row r="423" spans="1:14" s="180" customFormat="1" x14ac:dyDescent="0.15">
      <c r="A423" s="11"/>
      <c r="B423" s="13"/>
      <c r="C423" s="12"/>
      <c r="D423" s="13"/>
      <c r="E423" s="13"/>
      <c r="F423" s="12"/>
      <c r="G423" s="55"/>
      <c r="H423" s="55"/>
      <c r="I423" s="55"/>
      <c r="J423" s="55"/>
      <c r="K423" s="55"/>
      <c r="L423" s="10"/>
      <c r="M423" s="10"/>
      <c r="N423" s="189"/>
    </row>
    <row r="424" spans="1:14" s="180" customFormat="1" x14ac:dyDescent="0.15">
      <c r="A424" s="11"/>
      <c r="B424" s="13"/>
      <c r="C424" s="12"/>
      <c r="D424" s="13"/>
      <c r="E424" s="13"/>
      <c r="F424" s="12"/>
      <c r="G424" s="55"/>
      <c r="H424" s="55"/>
      <c r="I424" s="55"/>
      <c r="J424" s="55"/>
      <c r="K424" s="55"/>
      <c r="L424" s="10"/>
      <c r="M424" s="10"/>
      <c r="N424" s="189"/>
    </row>
    <row r="425" spans="1:14" s="180" customFormat="1" x14ac:dyDescent="0.15">
      <c r="A425" s="11"/>
      <c r="B425" s="13"/>
      <c r="C425" s="12"/>
      <c r="D425" s="13"/>
      <c r="E425" s="13"/>
      <c r="F425" s="12"/>
      <c r="G425" s="55"/>
      <c r="H425" s="55"/>
      <c r="I425" s="55"/>
      <c r="J425" s="55"/>
      <c r="K425" s="55"/>
      <c r="L425" s="10"/>
      <c r="M425" s="10"/>
      <c r="N425" s="189"/>
    </row>
    <row r="426" spans="1:14" s="180" customFormat="1" x14ac:dyDescent="0.15">
      <c r="A426" s="11"/>
      <c r="B426" s="13"/>
      <c r="C426" s="12"/>
      <c r="D426" s="13"/>
      <c r="E426" s="13"/>
      <c r="F426" s="12"/>
      <c r="G426" s="55"/>
      <c r="H426" s="55"/>
      <c r="I426" s="55"/>
      <c r="J426" s="55"/>
      <c r="K426" s="55"/>
      <c r="L426" s="10"/>
      <c r="M426" s="10"/>
      <c r="N426" s="189"/>
    </row>
    <row r="427" spans="1:14" s="180" customFormat="1" x14ac:dyDescent="0.15">
      <c r="A427" s="11"/>
      <c r="B427" s="13"/>
      <c r="C427" s="12"/>
      <c r="D427" s="13"/>
      <c r="E427" s="13"/>
      <c r="F427" s="12"/>
      <c r="G427" s="55"/>
      <c r="H427" s="55"/>
      <c r="I427" s="55"/>
      <c r="J427" s="55"/>
      <c r="K427" s="55"/>
      <c r="L427" s="10"/>
      <c r="M427" s="10"/>
      <c r="N427" s="189"/>
    </row>
    <row r="428" spans="1:14" s="180" customFormat="1" x14ac:dyDescent="0.15">
      <c r="A428" s="11"/>
      <c r="B428" s="13"/>
      <c r="C428" s="12"/>
      <c r="D428" s="13"/>
      <c r="E428" s="13"/>
      <c r="F428" s="12"/>
      <c r="G428" s="55"/>
      <c r="H428" s="55"/>
      <c r="I428" s="55"/>
      <c r="J428" s="55"/>
      <c r="K428" s="55"/>
      <c r="L428" s="10"/>
      <c r="M428" s="10"/>
      <c r="N428" s="189"/>
    </row>
    <row r="429" spans="1:14" s="180" customFormat="1" x14ac:dyDescent="0.15">
      <c r="A429" s="11"/>
      <c r="B429" s="13"/>
      <c r="C429" s="12"/>
      <c r="D429" s="13"/>
      <c r="E429" s="13"/>
      <c r="F429" s="12"/>
      <c r="G429" s="55"/>
      <c r="H429" s="55"/>
      <c r="I429" s="55"/>
      <c r="J429" s="55"/>
      <c r="K429" s="55"/>
      <c r="L429" s="10"/>
      <c r="M429" s="10"/>
      <c r="N429" s="189"/>
    </row>
    <row r="430" spans="1:14" s="180" customFormat="1" x14ac:dyDescent="0.15">
      <c r="A430" s="11"/>
      <c r="B430" s="13"/>
      <c r="C430" s="12"/>
      <c r="D430" s="13"/>
      <c r="E430" s="13"/>
      <c r="F430" s="12"/>
      <c r="G430" s="55"/>
      <c r="H430" s="55"/>
      <c r="I430" s="55"/>
      <c r="J430" s="55"/>
      <c r="K430" s="55"/>
      <c r="L430" s="10"/>
      <c r="M430" s="10"/>
      <c r="N430" s="189"/>
    </row>
    <row r="431" spans="1:14" s="180" customFormat="1" x14ac:dyDescent="0.15">
      <c r="A431" s="11"/>
      <c r="B431" s="13"/>
      <c r="C431" s="12"/>
      <c r="D431" s="13"/>
      <c r="E431" s="13"/>
      <c r="F431" s="12"/>
      <c r="G431" s="55"/>
      <c r="H431" s="55"/>
      <c r="I431" s="55"/>
      <c r="J431" s="55"/>
      <c r="K431" s="55"/>
      <c r="L431" s="10"/>
      <c r="M431" s="10"/>
      <c r="N431" s="189"/>
    </row>
    <row r="432" spans="1:14" s="180" customFormat="1" x14ac:dyDescent="0.15">
      <c r="A432" s="11"/>
      <c r="B432" s="13"/>
      <c r="C432" s="12"/>
      <c r="D432" s="13"/>
      <c r="E432" s="13"/>
      <c r="F432" s="12"/>
      <c r="G432" s="55"/>
      <c r="H432" s="55"/>
      <c r="I432" s="55"/>
      <c r="J432" s="55"/>
      <c r="K432" s="55"/>
      <c r="L432" s="10"/>
      <c r="M432" s="10"/>
      <c r="N432" s="189"/>
    </row>
    <row r="433" spans="1:14" s="180" customFormat="1" x14ac:dyDescent="0.15">
      <c r="A433" s="11"/>
      <c r="B433" s="13"/>
      <c r="C433" s="12"/>
      <c r="D433" s="13"/>
      <c r="E433" s="13"/>
      <c r="F433" s="12"/>
      <c r="G433" s="55"/>
      <c r="H433" s="55"/>
      <c r="I433" s="55"/>
      <c r="J433" s="55"/>
      <c r="K433" s="55"/>
      <c r="L433" s="10"/>
      <c r="M433" s="10"/>
      <c r="N433" s="189"/>
    </row>
    <row r="434" spans="1:14" s="180" customFormat="1" x14ac:dyDescent="0.15">
      <c r="A434" s="11"/>
      <c r="B434" s="13"/>
      <c r="C434" s="12"/>
      <c r="D434" s="13"/>
      <c r="E434" s="13"/>
      <c r="F434" s="12"/>
      <c r="G434" s="55"/>
      <c r="H434" s="55"/>
      <c r="I434" s="55"/>
      <c r="J434" s="55"/>
      <c r="K434" s="55"/>
      <c r="L434" s="10"/>
      <c r="M434" s="10"/>
      <c r="N434" s="189"/>
    </row>
    <row r="435" spans="1:14" s="180" customFormat="1" x14ac:dyDescent="0.15">
      <c r="A435" s="11"/>
      <c r="B435" s="13"/>
      <c r="C435" s="12"/>
      <c r="D435" s="13"/>
      <c r="E435" s="13"/>
      <c r="F435" s="12"/>
      <c r="G435" s="55"/>
      <c r="H435" s="55"/>
      <c r="I435" s="55"/>
      <c r="J435" s="55"/>
      <c r="K435" s="55"/>
      <c r="L435" s="10"/>
      <c r="M435" s="10"/>
      <c r="N435" s="189"/>
    </row>
    <row r="436" spans="1:14" s="180" customFormat="1" x14ac:dyDescent="0.15">
      <c r="A436" s="11"/>
      <c r="B436" s="13"/>
      <c r="C436" s="12"/>
      <c r="D436" s="13"/>
      <c r="E436" s="13"/>
      <c r="F436" s="12"/>
      <c r="G436" s="55"/>
      <c r="H436" s="55"/>
      <c r="I436" s="55"/>
      <c r="J436" s="55"/>
      <c r="K436" s="55"/>
      <c r="L436" s="10"/>
      <c r="M436" s="10"/>
      <c r="N436" s="189"/>
    </row>
    <row r="437" spans="1:14" s="180" customFormat="1" x14ac:dyDescent="0.15">
      <c r="A437" s="11"/>
      <c r="B437" s="13"/>
      <c r="C437" s="12"/>
      <c r="D437" s="13"/>
      <c r="E437" s="13"/>
      <c r="F437" s="12"/>
      <c r="G437" s="55"/>
      <c r="H437" s="55"/>
      <c r="I437" s="55"/>
      <c r="J437" s="55"/>
      <c r="K437" s="55"/>
      <c r="L437" s="10"/>
      <c r="M437" s="10"/>
      <c r="N437" s="189"/>
    </row>
    <row r="438" spans="1:14" s="180" customFormat="1" x14ac:dyDescent="0.15">
      <c r="A438" s="11"/>
      <c r="B438" s="13"/>
      <c r="C438" s="12"/>
      <c r="D438" s="13"/>
      <c r="E438" s="13"/>
      <c r="F438" s="12"/>
      <c r="G438" s="55"/>
      <c r="H438" s="55"/>
      <c r="I438" s="55"/>
      <c r="J438" s="55"/>
      <c r="K438" s="55"/>
      <c r="L438" s="10"/>
      <c r="M438" s="10"/>
      <c r="N438" s="189"/>
    </row>
    <row r="439" spans="1:14" s="180" customFormat="1" x14ac:dyDescent="0.15">
      <c r="A439" s="11"/>
      <c r="B439" s="13"/>
      <c r="C439" s="12"/>
      <c r="D439" s="13"/>
      <c r="E439" s="13"/>
      <c r="F439" s="12"/>
      <c r="G439" s="55"/>
      <c r="H439" s="55"/>
      <c r="I439" s="55"/>
      <c r="J439" s="55"/>
      <c r="K439" s="55"/>
      <c r="L439" s="10"/>
      <c r="M439" s="10"/>
      <c r="N439" s="189"/>
    </row>
    <row r="440" spans="1:14" s="180" customFormat="1" x14ac:dyDescent="0.15">
      <c r="A440" s="11"/>
      <c r="B440" s="13"/>
      <c r="C440" s="12"/>
      <c r="D440" s="13"/>
      <c r="E440" s="13"/>
      <c r="F440" s="12"/>
      <c r="G440" s="55"/>
      <c r="H440" s="55"/>
      <c r="I440" s="55"/>
      <c r="J440" s="55"/>
      <c r="K440" s="55"/>
      <c r="L440" s="10"/>
      <c r="M440" s="10"/>
      <c r="N440" s="189"/>
    </row>
    <row r="441" spans="1:14" s="180" customFormat="1" x14ac:dyDescent="0.15">
      <c r="A441" s="11"/>
      <c r="B441" s="13"/>
      <c r="C441" s="12"/>
      <c r="D441" s="13"/>
      <c r="E441" s="13"/>
      <c r="F441" s="12"/>
      <c r="G441" s="55"/>
      <c r="H441" s="55"/>
      <c r="I441" s="55"/>
      <c r="J441" s="55"/>
      <c r="K441" s="55"/>
      <c r="L441" s="10"/>
      <c r="M441" s="10"/>
      <c r="N441" s="189"/>
    </row>
    <row r="442" spans="1:14" s="180" customFormat="1" x14ac:dyDescent="0.15">
      <c r="A442" s="11"/>
      <c r="B442" s="13"/>
      <c r="C442" s="12"/>
      <c r="D442" s="13"/>
      <c r="E442" s="13"/>
      <c r="F442" s="12"/>
      <c r="G442" s="55"/>
      <c r="H442" s="55"/>
      <c r="I442" s="55"/>
      <c r="J442" s="55"/>
      <c r="K442" s="55"/>
      <c r="L442" s="10"/>
      <c r="M442" s="10"/>
      <c r="N442" s="189"/>
    </row>
    <row r="443" spans="1:14" s="180" customFormat="1" x14ac:dyDescent="0.15">
      <c r="A443" s="11"/>
      <c r="B443" s="13"/>
      <c r="C443" s="12"/>
      <c r="D443" s="13"/>
      <c r="E443" s="13"/>
      <c r="F443" s="12"/>
      <c r="G443" s="55"/>
      <c r="H443" s="55"/>
      <c r="I443" s="55"/>
      <c r="J443" s="55"/>
      <c r="K443" s="55"/>
      <c r="L443" s="10"/>
      <c r="M443" s="10"/>
      <c r="N443" s="189"/>
    </row>
    <row r="444" spans="1:14" s="180" customFormat="1" x14ac:dyDescent="0.15">
      <c r="A444" s="11"/>
      <c r="B444" s="13"/>
      <c r="C444" s="12"/>
      <c r="D444" s="13"/>
      <c r="E444" s="13"/>
      <c r="F444" s="12"/>
      <c r="G444" s="55"/>
      <c r="H444" s="55"/>
      <c r="I444" s="55"/>
      <c r="J444" s="55"/>
      <c r="K444" s="55"/>
      <c r="L444" s="10"/>
      <c r="M444" s="10"/>
      <c r="N444" s="189"/>
    </row>
    <row r="445" spans="1:14" s="180" customFormat="1" x14ac:dyDescent="0.15">
      <c r="A445" s="11"/>
      <c r="B445" s="13"/>
      <c r="C445" s="12"/>
      <c r="D445" s="13"/>
      <c r="E445" s="13"/>
      <c r="F445" s="12"/>
      <c r="G445" s="55"/>
      <c r="H445" s="55"/>
      <c r="I445" s="55"/>
      <c r="J445" s="55"/>
      <c r="K445" s="55"/>
      <c r="L445" s="10"/>
      <c r="M445" s="10"/>
      <c r="N445" s="189"/>
    </row>
    <row r="446" spans="1:14" s="180" customFormat="1" x14ac:dyDescent="0.15">
      <c r="A446" s="11"/>
      <c r="B446" s="13"/>
      <c r="C446" s="12"/>
      <c r="D446" s="13"/>
      <c r="E446" s="13"/>
      <c r="F446" s="12"/>
      <c r="G446" s="55"/>
      <c r="H446" s="55"/>
      <c r="I446" s="55"/>
      <c r="J446" s="55"/>
      <c r="K446" s="55"/>
      <c r="L446" s="10"/>
      <c r="M446" s="10"/>
      <c r="N446" s="189"/>
    </row>
    <row r="447" spans="1:14" s="180" customFormat="1" x14ac:dyDescent="0.15">
      <c r="A447" s="11"/>
      <c r="B447" s="13"/>
      <c r="C447" s="12"/>
      <c r="D447" s="13"/>
      <c r="E447" s="13"/>
      <c r="F447" s="12"/>
      <c r="G447" s="55"/>
      <c r="H447" s="55"/>
      <c r="I447" s="55"/>
      <c r="J447" s="55"/>
      <c r="K447" s="55"/>
      <c r="L447" s="10"/>
      <c r="M447" s="10"/>
      <c r="N447" s="189"/>
    </row>
    <row r="448" spans="1:14" s="180" customFormat="1" x14ac:dyDescent="0.15">
      <c r="A448" s="11"/>
      <c r="B448" s="13"/>
      <c r="C448" s="12"/>
      <c r="D448" s="13"/>
      <c r="E448" s="13"/>
      <c r="F448" s="12"/>
      <c r="G448" s="55"/>
      <c r="H448" s="55"/>
      <c r="I448" s="55"/>
      <c r="J448" s="55"/>
      <c r="K448" s="55"/>
      <c r="L448" s="10"/>
      <c r="M448" s="10"/>
      <c r="N448" s="189"/>
    </row>
    <row r="449" spans="1:14" s="180" customFormat="1" x14ac:dyDescent="0.15">
      <c r="A449" s="11"/>
      <c r="B449" s="13"/>
      <c r="C449" s="12"/>
      <c r="D449" s="13"/>
      <c r="E449" s="13"/>
      <c r="F449" s="12"/>
      <c r="G449" s="55"/>
      <c r="H449" s="55"/>
      <c r="I449" s="55"/>
      <c r="J449" s="55"/>
      <c r="K449" s="55"/>
      <c r="L449" s="10"/>
      <c r="M449" s="10"/>
      <c r="N449" s="189"/>
    </row>
    <row r="450" spans="1:14" s="180" customFormat="1" x14ac:dyDescent="0.15">
      <c r="A450" s="11"/>
      <c r="B450" s="13"/>
      <c r="C450" s="12"/>
      <c r="D450" s="13"/>
      <c r="E450" s="13"/>
      <c r="F450" s="12"/>
      <c r="G450" s="55"/>
      <c r="H450" s="55"/>
      <c r="I450" s="55"/>
      <c r="J450" s="55"/>
      <c r="K450" s="55"/>
      <c r="L450" s="10"/>
      <c r="M450" s="10"/>
      <c r="N450" s="189"/>
    </row>
    <row r="451" spans="1:14" s="180" customFormat="1" x14ac:dyDescent="0.15">
      <c r="A451" s="11"/>
      <c r="B451" s="13"/>
      <c r="C451" s="12"/>
      <c r="D451" s="13"/>
      <c r="E451" s="13"/>
      <c r="F451" s="12"/>
      <c r="G451" s="55"/>
      <c r="H451" s="55"/>
      <c r="I451" s="55"/>
      <c r="J451" s="55"/>
      <c r="K451" s="55"/>
      <c r="L451" s="10"/>
      <c r="M451" s="10"/>
      <c r="N451" s="189"/>
    </row>
    <row r="452" spans="1:14" s="180" customFormat="1" x14ac:dyDescent="0.15">
      <c r="A452" s="11"/>
      <c r="B452" s="13"/>
      <c r="C452" s="12"/>
      <c r="D452" s="13"/>
      <c r="E452" s="13"/>
      <c r="F452" s="12"/>
      <c r="G452" s="55"/>
      <c r="H452" s="55"/>
      <c r="I452" s="55"/>
      <c r="J452" s="55"/>
      <c r="K452" s="55"/>
      <c r="L452" s="10"/>
      <c r="M452" s="10"/>
      <c r="N452" s="189"/>
    </row>
    <row r="453" spans="1:14" s="180" customFormat="1" x14ac:dyDescent="0.15">
      <c r="A453" s="11"/>
      <c r="B453" s="13"/>
      <c r="C453" s="12"/>
      <c r="D453" s="13"/>
      <c r="E453" s="13"/>
      <c r="F453" s="12"/>
      <c r="G453" s="55"/>
      <c r="H453" s="55"/>
      <c r="I453" s="55"/>
      <c r="J453" s="55"/>
      <c r="K453" s="55"/>
      <c r="L453" s="10"/>
      <c r="M453" s="10"/>
      <c r="N453" s="189"/>
    </row>
    <row r="454" spans="1:14" s="180" customFormat="1" x14ac:dyDescent="0.15">
      <c r="A454" s="11"/>
      <c r="B454" s="13"/>
      <c r="C454" s="12"/>
      <c r="D454" s="13"/>
      <c r="E454" s="13"/>
      <c r="F454" s="12"/>
      <c r="G454" s="55"/>
      <c r="H454" s="55"/>
      <c r="I454" s="55"/>
      <c r="J454" s="55"/>
      <c r="K454" s="55"/>
      <c r="L454" s="10"/>
      <c r="M454" s="10"/>
      <c r="N454" s="189"/>
    </row>
    <row r="455" spans="1:14" s="180" customFormat="1" x14ac:dyDescent="0.15">
      <c r="A455" s="11"/>
      <c r="B455" s="13"/>
      <c r="C455" s="12"/>
      <c r="D455" s="13"/>
      <c r="E455" s="13"/>
      <c r="F455" s="12"/>
      <c r="G455" s="55"/>
      <c r="H455" s="55"/>
      <c r="I455" s="55"/>
      <c r="J455" s="55"/>
      <c r="K455" s="55"/>
      <c r="L455" s="10"/>
      <c r="M455" s="10"/>
      <c r="N455" s="189"/>
    </row>
    <row r="456" spans="1:14" s="180" customFormat="1" x14ac:dyDescent="0.15">
      <c r="A456" s="11"/>
      <c r="B456" s="13"/>
      <c r="C456" s="12"/>
      <c r="D456" s="13"/>
      <c r="E456" s="13"/>
      <c r="F456" s="12"/>
      <c r="G456" s="55"/>
      <c r="H456" s="55"/>
      <c r="I456" s="55"/>
      <c r="J456" s="55"/>
      <c r="K456" s="55"/>
      <c r="L456" s="10"/>
      <c r="M456" s="10"/>
      <c r="N456" s="189"/>
    </row>
    <row r="457" spans="1:14" s="180" customFormat="1" x14ac:dyDescent="0.15">
      <c r="A457" s="11"/>
      <c r="B457" s="13"/>
      <c r="C457" s="12"/>
      <c r="D457" s="13"/>
      <c r="E457" s="13"/>
      <c r="F457" s="12"/>
      <c r="G457" s="55"/>
      <c r="H457" s="55"/>
      <c r="I457" s="55"/>
      <c r="J457" s="55"/>
      <c r="K457" s="55"/>
      <c r="L457" s="10"/>
      <c r="M457" s="10"/>
      <c r="N457" s="189"/>
    </row>
    <row r="458" spans="1:14" s="180" customFormat="1" x14ac:dyDescent="0.15">
      <c r="A458" s="11"/>
      <c r="B458" s="13"/>
      <c r="C458" s="12"/>
      <c r="D458" s="13"/>
      <c r="E458" s="13"/>
      <c r="F458" s="12"/>
      <c r="G458" s="55"/>
      <c r="H458" s="55"/>
      <c r="I458" s="55"/>
      <c r="J458" s="55"/>
      <c r="K458" s="55"/>
      <c r="L458" s="10"/>
      <c r="M458" s="10"/>
      <c r="N458" s="189"/>
    </row>
    <row r="459" spans="1:14" s="180" customFormat="1" x14ac:dyDescent="0.15">
      <c r="A459" s="11"/>
      <c r="B459" s="13"/>
      <c r="C459" s="12"/>
      <c r="D459" s="13"/>
      <c r="E459" s="13"/>
      <c r="F459" s="12"/>
      <c r="G459" s="55"/>
      <c r="H459" s="55"/>
      <c r="I459" s="55"/>
      <c r="J459" s="55"/>
      <c r="K459" s="55"/>
      <c r="L459" s="10"/>
      <c r="M459" s="10"/>
      <c r="N459" s="189"/>
    </row>
    <row r="460" spans="1:14" s="180" customFormat="1" x14ac:dyDescent="0.15">
      <c r="A460" s="11"/>
      <c r="B460" s="13"/>
      <c r="C460" s="12"/>
      <c r="D460" s="13"/>
      <c r="E460" s="13"/>
      <c r="F460" s="12"/>
      <c r="G460" s="55"/>
      <c r="H460" s="55"/>
      <c r="I460" s="55"/>
      <c r="J460" s="55"/>
      <c r="K460" s="55"/>
      <c r="L460" s="10"/>
      <c r="M460" s="10"/>
      <c r="N460" s="189"/>
    </row>
    <row r="461" spans="1:14" s="180" customFormat="1" x14ac:dyDescent="0.15">
      <c r="A461" s="11"/>
      <c r="B461" s="13"/>
      <c r="C461" s="12"/>
      <c r="D461" s="13"/>
      <c r="E461" s="13"/>
      <c r="F461" s="12"/>
      <c r="G461" s="55"/>
      <c r="H461" s="55"/>
      <c r="I461" s="55"/>
      <c r="J461" s="55"/>
      <c r="K461" s="55"/>
      <c r="L461" s="10"/>
      <c r="M461" s="10"/>
      <c r="N461" s="189"/>
    </row>
    <row r="462" spans="1:14" s="180" customFormat="1" x14ac:dyDescent="0.15">
      <c r="A462" s="11"/>
      <c r="B462" s="13"/>
      <c r="C462" s="12"/>
      <c r="D462" s="13"/>
      <c r="E462" s="13"/>
      <c r="F462" s="12"/>
      <c r="G462" s="55"/>
      <c r="H462" s="55"/>
      <c r="I462" s="55"/>
      <c r="J462" s="55"/>
      <c r="K462" s="55"/>
      <c r="L462" s="10"/>
      <c r="M462" s="10"/>
      <c r="N462" s="189"/>
    </row>
    <row r="463" spans="1:14" s="180" customFormat="1" x14ac:dyDescent="0.15">
      <c r="A463" s="11"/>
      <c r="B463" s="13"/>
      <c r="C463" s="12"/>
      <c r="D463" s="13"/>
      <c r="E463" s="13"/>
      <c r="F463" s="12"/>
      <c r="G463" s="55"/>
      <c r="H463" s="55"/>
      <c r="I463" s="55"/>
      <c r="J463" s="55"/>
      <c r="K463" s="55"/>
      <c r="L463" s="10"/>
      <c r="M463" s="10"/>
      <c r="N463" s="189"/>
    </row>
    <row r="464" spans="1:14" s="180" customFormat="1" x14ac:dyDescent="0.15">
      <c r="A464" s="11"/>
      <c r="B464" s="13"/>
      <c r="C464" s="12"/>
      <c r="D464" s="13"/>
      <c r="E464" s="13"/>
      <c r="F464" s="12"/>
      <c r="G464" s="55"/>
      <c r="H464" s="55"/>
      <c r="I464" s="55"/>
      <c r="J464" s="55"/>
      <c r="K464" s="55"/>
      <c r="L464" s="10"/>
      <c r="M464" s="10"/>
      <c r="N464" s="189"/>
    </row>
    <row r="465" spans="1:14" s="180" customFormat="1" x14ac:dyDescent="0.15">
      <c r="A465" s="11"/>
      <c r="B465" s="13"/>
      <c r="C465" s="12"/>
      <c r="D465" s="13"/>
      <c r="E465" s="13"/>
      <c r="F465" s="12"/>
      <c r="G465" s="55"/>
      <c r="H465" s="55"/>
      <c r="I465" s="55"/>
      <c r="J465" s="55"/>
      <c r="K465" s="55"/>
      <c r="L465" s="10"/>
      <c r="M465" s="10"/>
      <c r="N465" s="189"/>
    </row>
    <row r="466" spans="1:14" s="180" customFormat="1" x14ac:dyDescent="0.15">
      <c r="A466" s="11"/>
      <c r="B466" s="13"/>
      <c r="C466" s="12"/>
      <c r="D466" s="13"/>
      <c r="E466" s="13"/>
      <c r="F466" s="12"/>
      <c r="G466" s="55"/>
      <c r="H466" s="55"/>
      <c r="I466" s="55"/>
      <c r="J466" s="55"/>
      <c r="K466" s="55"/>
      <c r="L466" s="10"/>
      <c r="M466" s="10"/>
      <c r="N466" s="189"/>
    </row>
    <row r="467" spans="1:14" s="180" customFormat="1" x14ac:dyDescent="0.15">
      <c r="A467" s="11"/>
      <c r="B467" s="13"/>
      <c r="C467" s="12"/>
      <c r="D467" s="13"/>
      <c r="E467" s="13"/>
      <c r="F467" s="12"/>
      <c r="G467" s="55"/>
      <c r="H467" s="55"/>
      <c r="I467" s="55"/>
      <c r="J467" s="55"/>
      <c r="K467" s="55"/>
      <c r="L467" s="10"/>
      <c r="M467" s="10"/>
      <c r="N467" s="189"/>
    </row>
    <row r="468" spans="1:14" s="180" customFormat="1" x14ac:dyDescent="0.15">
      <c r="A468" s="11"/>
      <c r="B468" s="13"/>
      <c r="C468" s="12"/>
      <c r="D468" s="13"/>
      <c r="E468" s="13"/>
      <c r="F468" s="12"/>
      <c r="G468" s="55"/>
      <c r="H468" s="55"/>
      <c r="I468" s="55"/>
      <c r="J468" s="55"/>
      <c r="K468" s="55"/>
      <c r="L468" s="10"/>
      <c r="M468" s="10"/>
      <c r="N468" s="189"/>
    </row>
    <row r="469" spans="1:14" s="180" customFormat="1" x14ac:dyDescent="0.15">
      <c r="A469" s="11"/>
      <c r="B469" s="13"/>
      <c r="C469" s="12"/>
      <c r="D469" s="13"/>
      <c r="E469" s="13"/>
      <c r="F469" s="12"/>
      <c r="G469" s="55"/>
      <c r="H469" s="55"/>
      <c r="I469" s="55"/>
      <c r="J469" s="55"/>
      <c r="K469" s="55"/>
      <c r="L469" s="10"/>
      <c r="M469" s="10"/>
      <c r="N469" s="189"/>
    </row>
    <row r="470" spans="1:14" s="180" customFormat="1" x14ac:dyDescent="0.15">
      <c r="A470" s="11"/>
      <c r="B470" s="13"/>
      <c r="C470" s="12"/>
      <c r="D470" s="13"/>
      <c r="E470" s="13"/>
      <c r="F470" s="12"/>
      <c r="G470" s="55"/>
      <c r="H470" s="55"/>
      <c r="I470" s="55"/>
      <c r="J470" s="55"/>
      <c r="K470" s="55"/>
      <c r="L470" s="10"/>
      <c r="M470" s="10"/>
      <c r="N470" s="189"/>
    </row>
    <row r="471" spans="1:14" s="180" customFormat="1" x14ac:dyDescent="0.15">
      <c r="A471" s="11"/>
      <c r="B471" s="13"/>
      <c r="C471" s="12"/>
      <c r="D471" s="13"/>
      <c r="E471" s="13"/>
      <c r="F471" s="12"/>
      <c r="G471" s="55"/>
      <c r="H471" s="55"/>
      <c r="I471" s="55"/>
      <c r="J471" s="55"/>
      <c r="K471" s="55"/>
      <c r="L471" s="10"/>
      <c r="M471" s="10"/>
      <c r="N471" s="189"/>
    </row>
    <row r="472" spans="1:14" s="180" customFormat="1" x14ac:dyDescent="0.15">
      <c r="A472" s="11"/>
      <c r="B472" s="13"/>
      <c r="C472" s="12"/>
      <c r="D472" s="13"/>
      <c r="E472" s="13"/>
      <c r="F472" s="12"/>
      <c r="G472" s="55"/>
      <c r="H472" s="55"/>
      <c r="I472" s="55"/>
      <c r="J472" s="55"/>
      <c r="K472" s="55"/>
      <c r="L472" s="10"/>
      <c r="M472" s="10"/>
      <c r="N472" s="189"/>
    </row>
    <row r="473" spans="1:14" s="180" customFormat="1" x14ac:dyDescent="0.15">
      <c r="A473" s="11"/>
      <c r="B473" s="13"/>
      <c r="C473" s="12"/>
      <c r="D473" s="13"/>
      <c r="E473" s="13"/>
      <c r="F473" s="12"/>
      <c r="G473" s="55"/>
      <c r="H473" s="55"/>
      <c r="I473" s="55"/>
      <c r="J473" s="55"/>
      <c r="K473" s="55"/>
      <c r="L473" s="10"/>
      <c r="M473" s="10"/>
      <c r="N473" s="189"/>
    </row>
    <row r="474" spans="1:14" s="180" customFormat="1" x14ac:dyDescent="0.15">
      <c r="A474" s="11"/>
      <c r="B474" s="13"/>
      <c r="C474" s="12"/>
      <c r="D474" s="13"/>
      <c r="E474" s="13"/>
      <c r="F474" s="12"/>
      <c r="G474" s="55"/>
      <c r="H474" s="55"/>
      <c r="I474" s="55"/>
      <c r="J474" s="55"/>
      <c r="K474" s="55"/>
      <c r="L474" s="10"/>
      <c r="M474" s="10"/>
      <c r="N474" s="189"/>
    </row>
    <row r="475" spans="1:14" s="180" customFormat="1" x14ac:dyDescent="0.15">
      <c r="A475" s="11"/>
      <c r="B475" s="13"/>
      <c r="C475" s="12"/>
      <c r="D475" s="13"/>
      <c r="E475" s="13"/>
      <c r="F475" s="12"/>
      <c r="G475" s="55"/>
      <c r="H475" s="55"/>
      <c r="I475" s="55"/>
      <c r="J475" s="55"/>
      <c r="K475" s="55"/>
      <c r="L475" s="10"/>
      <c r="M475" s="10"/>
      <c r="N475" s="189"/>
    </row>
    <row r="476" spans="1:14" s="180" customFormat="1" x14ac:dyDescent="0.15">
      <c r="A476" s="11"/>
      <c r="B476" s="13"/>
      <c r="C476" s="12"/>
      <c r="D476" s="13"/>
      <c r="E476" s="13"/>
      <c r="F476" s="12"/>
      <c r="G476" s="55"/>
      <c r="H476" s="55"/>
      <c r="I476" s="55"/>
      <c r="J476" s="55"/>
      <c r="K476" s="55"/>
      <c r="L476" s="10"/>
      <c r="M476" s="10"/>
      <c r="N476" s="189"/>
    </row>
    <row r="477" spans="1:14" s="180" customFormat="1" x14ac:dyDescent="0.15">
      <c r="A477" s="11"/>
      <c r="B477" s="13"/>
      <c r="C477" s="12"/>
      <c r="D477" s="13"/>
      <c r="E477" s="13"/>
      <c r="F477" s="12"/>
      <c r="G477" s="55"/>
      <c r="H477" s="55"/>
      <c r="I477" s="55"/>
      <c r="J477" s="55"/>
      <c r="K477" s="55"/>
      <c r="L477" s="10"/>
      <c r="M477" s="10"/>
      <c r="N477" s="189"/>
    </row>
    <row r="478" spans="1:14" s="180" customFormat="1" x14ac:dyDescent="0.15">
      <c r="A478" s="11"/>
      <c r="B478" s="13"/>
      <c r="C478" s="12"/>
      <c r="D478" s="13"/>
      <c r="E478" s="13"/>
      <c r="F478" s="12"/>
      <c r="G478" s="55"/>
      <c r="H478" s="55"/>
      <c r="I478" s="55"/>
      <c r="J478" s="55"/>
      <c r="K478" s="55"/>
      <c r="L478" s="10"/>
      <c r="M478" s="10"/>
      <c r="N478" s="189"/>
    </row>
    <row r="479" spans="1:14" s="180" customFormat="1" x14ac:dyDescent="0.15">
      <c r="A479" s="11"/>
      <c r="B479" s="13"/>
      <c r="C479" s="12"/>
      <c r="D479" s="13"/>
      <c r="E479" s="13"/>
      <c r="F479" s="12"/>
      <c r="G479" s="55"/>
      <c r="H479" s="55"/>
      <c r="I479" s="55"/>
      <c r="J479" s="55"/>
      <c r="K479" s="55"/>
      <c r="L479" s="10"/>
      <c r="M479" s="10"/>
      <c r="N479" s="189"/>
    </row>
    <row r="480" spans="1:14" s="180" customFormat="1" x14ac:dyDescent="0.15">
      <c r="A480" s="11"/>
      <c r="B480" s="13"/>
      <c r="C480" s="12"/>
      <c r="D480" s="13"/>
      <c r="E480" s="13"/>
      <c r="F480" s="12"/>
      <c r="G480" s="55"/>
      <c r="H480" s="55"/>
      <c r="I480" s="55"/>
      <c r="J480" s="55"/>
      <c r="K480" s="55"/>
      <c r="L480" s="10"/>
      <c r="M480" s="10"/>
      <c r="N480" s="189"/>
    </row>
    <row r="481" spans="1:14" s="180" customFormat="1" x14ac:dyDescent="0.15">
      <c r="A481" s="11"/>
      <c r="B481" s="13"/>
      <c r="C481" s="12"/>
      <c r="D481" s="13"/>
      <c r="E481" s="13"/>
      <c r="F481" s="12"/>
      <c r="G481" s="55"/>
      <c r="H481" s="55"/>
      <c r="I481" s="55"/>
      <c r="J481" s="55"/>
      <c r="K481" s="55"/>
      <c r="L481" s="10"/>
      <c r="M481" s="10"/>
      <c r="N481" s="189"/>
    </row>
    <row r="482" spans="1:14" s="180" customFormat="1" x14ac:dyDescent="0.15">
      <c r="A482" s="11"/>
      <c r="B482" s="13"/>
      <c r="C482" s="12"/>
      <c r="D482" s="13"/>
      <c r="E482" s="13"/>
      <c r="F482" s="12"/>
      <c r="G482" s="55"/>
      <c r="H482" s="55"/>
      <c r="I482" s="55"/>
      <c r="J482" s="55"/>
      <c r="K482" s="55"/>
      <c r="L482" s="10"/>
      <c r="M482" s="10"/>
      <c r="N482" s="189"/>
    </row>
    <row r="483" spans="1:14" s="180" customFormat="1" x14ac:dyDescent="0.15">
      <c r="A483" s="11"/>
      <c r="B483" s="13"/>
      <c r="C483" s="12"/>
      <c r="D483" s="13"/>
      <c r="E483" s="13"/>
      <c r="F483" s="12"/>
      <c r="G483" s="55"/>
      <c r="H483" s="55"/>
      <c r="I483" s="55"/>
      <c r="J483" s="55"/>
      <c r="K483" s="55"/>
      <c r="L483" s="10"/>
      <c r="M483" s="10"/>
      <c r="N483" s="189"/>
    </row>
    <row r="484" spans="1:14" s="180" customFormat="1" x14ac:dyDescent="0.15">
      <c r="A484" s="11"/>
      <c r="B484" s="13"/>
      <c r="C484" s="12"/>
      <c r="D484" s="13"/>
      <c r="E484" s="13"/>
      <c r="F484" s="12"/>
      <c r="G484" s="55"/>
      <c r="H484" s="55"/>
      <c r="I484" s="55"/>
      <c r="J484" s="55"/>
      <c r="K484" s="55"/>
      <c r="L484" s="10"/>
      <c r="M484" s="10"/>
      <c r="N484" s="189"/>
    </row>
    <row r="485" spans="1:14" s="180" customFormat="1" x14ac:dyDescent="0.15">
      <c r="A485" s="11"/>
      <c r="B485" s="13"/>
      <c r="C485" s="12"/>
      <c r="D485" s="13"/>
      <c r="E485" s="13"/>
      <c r="F485" s="12"/>
      <c r="G485" s="55"/>
      <c r="H485" s="55"/>
      <c r="I485" s="55"/>
      <c r="J485" s="55"/>
      <c r="K485" s="55"/>
      <c r="L485" s="10"/>
      <c r="M485" s="10"/>
      <c r="N485" s="189"/>
    </row>
    <row r="486" spans="1:14" s="180" customFormat="1" x14ac:dyDescent="0.15">
      <c r="A486" s="11"/>
      <c r="B486" s="13"/>
      <c r="C486" s="12"/>
      <c r="D486" s="13"/>
      <c r="E486" s="13"/>
      <c r="F486" s="12"/>
      <c r="G486" s="55"/>
      <c r="H486" s="55"/>
      <c r="I486" s="55"/>
      <c r="J486" s="55"/>
      <c r="K486" s="55"/>
      <c r="L486" s="10"/>
      <c r="M486" s="10"/>
      <c r="N486" s="189"/>
    </row>
    <row r="487" spans="1:14" s="180" customFormat="1" x14ac:dyDescent="0.15">
      <c r="A487" s="11"/>
      <c r="B487" s="13"/>
      <c r="C487" s="12"/>
      <c r="D487" s="13"/>
      <c r="E487" s="13"/>
      <c r="F487" s="12"/>
      <c r="G487" s="55"/>
      <c r="H487" s="55"/>
      <c r="I487" s="55"/>
      <c r="J487" s="55"/>
      <c r="K487" s="55"/>
      <c r="L487" s="10"/>
      <c r="M487" s="10"/>
      <c r="N487" s="189"/>
    </row>
    <row r="488" spans="1:14" s="180" customFormat="1" x14ac:dyDescent="0.15">
      <c r="A488" s="11"/>
      <c r="B488" s="13"/>
      <c r="C488" s="12"/>
      <c r="D488" s="13"/>
      <c r="E488" s="13"/>
      <c r="F488" s="12"/>
      <c r="G488" s="55"/>
      <c r="H488" s="55"/>
      <c r="I488" s="55"/>
      <c r="J488" s="55"/>
      <c r="K488" s="55"/>
      <c r="L488" s="10"/>
      <c r="M488" s="10"/>
      <c r="N488" s="189"/>
    </row>
    <row r="489" spans="1:14" s="180" customFormat="1" x14ac:dyDescent="0.15">
      <c r="A489" s="11"/>
      <c r="B489" s="13"/>
      <c r="C489" s="12"/>
      <c r="D489" s="13"/>
      <c r="E489" s="13"/>
      <c r="F489" s="12"/>
      <c r="G489" s="55"/>
      <c r="H489" s="55"/>
      <c r="I489" s="55"/>
      <c r="J489" s="55"/>
      <c r="K489" s="55"/>
      <c r="L489" s="10"/>
      <c r="M489" s="10"/>
      <c r="N489" s="189"/>
    </row>
    <row r="490" spans="1:14" s="180" customFormat="1" x14ac:dyDescent="0.15">
      <c r="A490" s="11"/>
      <c r="B490" s="13"/>
      <c r="C490" s="12"/>
      <c r="D490" s="13"/>
      <c r="E490" s="13"/>
      <c r="F490" s="12"/>
      <c r="G490" s="55"/>
      <c r="H490" s="55"/>
      <c r="I490" s="55"/>
      <c r="J490" s="55"/>
      <c r="K490" s="55"/>
      <c r="L490" s="10"/>
      <c r="M490" s="10"/>
      <c r="N490" s="189"/>
    </row>
    <row r="491" spans="1:14" s="180" customFormat="1" x14ac:dyDescent="0.15">
      <c r="A491" s="11"/>
      <c r="B491" s="13"/>
      <c r="C491" s="12"/>
      <c r="D491" s="13"/>
      <c r="E491" s="13"/>
      <c r="F491" s="12"/>
      <c r="G491" s="55"/>
      <c r="H491" s="55"/>
      <c r="I491" s="55"/>
      <c r="J491" s="55"/>
      <c r="K491" s="55"/>
      <c r="L491" s="10"/>
      <c r="M491" s="10"/>
      <c r="N491" s="189"/>
    </row>
    <row r="492" spans="1:14" s="180" customFormat="1" x14ac:dyDescent="0.15">
      <c r="A492" s="11"/>
      <c r="B492" s="13"/>
      <c r="C492" s="12"/>
      <c r="D492" s="13"/>
      <c r="E492" s="13"/>
      <c r="F492" s="12"/>
      <c r="G492" s="55"/>
      <c r="H492" s="55"/>
      <c r="I492" s="55"/>
      <c r="J492" s="55"/>
      <c r="K492" s="55"/>
      <c r="L492" s="10"/>
      <c r="M492" s="10"/>
      <c r="N492" s="189"/>
    </row>
    <row r="493" spans="1:14" s="180" customFormat="1" x14ac:dyDescent="0.15">
      <c r="A493" s="11"/>
      <c r="B493" s="13"/>
      <c r="C493" s="12"/>
      <c r="D493" s="13"/>
      <c r="E493" s="13"/>
      <c r="F493" s="12"/>
      <c r="G493" s="55"/>
      <c r="H493" s="55"/>
      <c r="I493" s="55"/>
      <c r="J493" s="55"/>
      <c r="K493" s="55"/>
      <c r="L493" s="10"/>
      <c r="M493" s="10"/>
      <c r="N493" s="189"/>
    </row>
    <row r="494" spans="1:14" s="180" customFormat="1" x14ac:dyDescent="0.15">
      <c r="A494" s="11"/>
      <c r="B494" s="13"/>
      <c r="C494" s="12"/>
      <c r="D494" s="13"/>
      <c r="E494" s="13"/>
      <c r="F494" s="12"/>
      <c r="G494" s="55"/>
      <c r="H494" s="55"/>
      <c r="I494" s="55"/>
      <c r="J494" s="55"/>
      <c r="K494" s="55"/>
      <c r="L494" s="10"/>
      <c r="M494" s="10"/>
      <c r="N494" s="189"/>
    </row>
    <row r="495" spans="1:14" s="180" customFormat="1" x14ac:dyDescent="0.15">
      <c r="A495" s="11"/>
      <c r="B495" s="13"/>
      <c r="C495" s="12"/>
      <c r="D495" s="13"/>
      <c r="E495" s="13"/>
      <c r="F495" s="12"/>
      <c r="G495" s="55"/>
      <c r="H495" s="55"/>
      <c r="I495" s="55"/>
      <c r="J495" s="55"/>
      <c r="K495" s="55"/>
      <c r="L495" s="10"/>
      <c r="M495" s="10"/>
      <c r="N495" s="189"/>
    </row>
    <row r="496" spans="1:14" s="180" customFormat="1" x14ac:dyDescent="0.15">
      <c r="A496" s="11"/>
      <c r="B496" s="13"/>
      <c r="C496" s="12"/>
      <c r="D496" s="13"/>
      <c r="E496" s="13"/>
      <c r="F496" s="12"/>
      <c r="G496" s="55"/>
      <c r="H496" s="55"/>
      <c r="I496" s="55"/>
      <c r="J496" s="55"/>
      <c r="K496" s="55"/>
      <c r="L496" s="10"/>
      <c r="M496" s="10"/>
      <c r="N496" s="189"/>
    </row>
    <row r="497" spans="1:14" s="180" customFormat="1" x14ac:dyDescent="0.15">
      <c r="A497" s="11"/>
      <c r="B497" s="13"/>
      <c r="C497" s="12"/>
      <c r="D497" s="13"/>
      <c r="E497" s="13"/>
      <c r="F497" s="12"/>
      <c r="G497" s="55"/>
      <c r="H497" s="55"/>
      <c r="I497" s="55"/>
      <c r="J497" s="55"/>
      <c r="K497" s="55"/>
      <c r="L497" s="10"/>
      <c r="M497" s="10"/>
      <c r="N497" s="189"/>
    </row>
    <row r="498" spans="1:14" s="180" customFormat="1" x14ac:dyDescent="0.15">
      <c r="A498" s="11"/>
      <c r="B498" s="13"/>
      <c r="C498" s="12"/>
      <c r="D498" s="13"/>
      <c r="E498" s="13"/>
      <c r="F498" s="12"/>
      <c r="G498" s="55"/>
      <c r="H498" s="55"/>
      <c r="I498" s="55"/>
      <c r="J498" s="55"/>
      <c r="K498" s="55"/>
      <c r="L498" s="10"/>
      <c r="M498" s="10"/>
      <c r="N498" s="189"/>
    </row>
    <row r="499" spans="1:14" s="180" customFormat="1" x14ac:dyDescent="0.15">
      <c r="A499" s="11"/>
      <c r="B499" s="13"/>
      <c r="C499" s="12"/>
      <c r="D499" s="13"/>
      <c r="E499" s="13"/>
      <c r="F499" s="12"/>
      <c r="G499" s="55"/>
      <c r="H499" s="55"/>
      <c r="I499" s="55"/>
      <c r="J499" s="55"/>
      <c r="K499" s="55"/>
      <c r="L499" s="10"/>
      <c r="M499" s="10"/>
      <c r="N499" s="189"/>
    </row>
    <row r="500" spans="1:14" s="180" customFormat="1" x14ac:dyDescent="0.15">
      <c r="A500" s="11"/>
      <c r="B500" s="13"/>
      <c r="C500" s="12"/>
      <c r="D500" s="13"/>
      <c r="E500" s="13"/>
      <c r="F500" s="12"/>
      <c r="G500" s="55"/>
      <c r="H500" s="55"/>
      <c r="I500" s="55"/>
      <c r="J500" s="55"/>
      <c r="K500" s="55"/>
      <c r="L500" s="10"/>
      <c r="M500" s="10"/>
      <c r="N500" s="189"/>
    </row>
    <row r="501" spans="1:14" s="180" customFormat="1" x14ac:dyDescent="0.15">
      <c r="A501" s="11"/>
      <c r="B501" s="13"/>
      <c r="C501" s="12"/>
      <c r="D501" s="13"/>
      <c r="E501" s="13"/>
      <c r="F501" s="12"/>
      <c r="G501" s="55"/>
      <c r="H501" s="55"/>
      <c r="I501" s="55"/>
      <c r="J501" s="55"/>
      <c r="K501" s="55"/>
      <c r="L501" s="10"/>
      <c r="M501" s="10"/>
      <c r="N501" s="189"/>
    </row>
    <row r="502" spans="1:14" s="180" customFormat="1" x14ac:dyDescent="0.15">
      <c r="A502" s="11"/>
      <c r="B502" s="13"/>
      <c r="C502" s="12"/>
      <c r="D502" s="13"/>
      <c r="E502" s="13"/>
      <c r="F502" s="12"/>
      <c r="G502" s="55"/>
      <c r="H502" s="55"/>
      <c r="I502" s="55"/>
      <c r="J502" s="55"/>
      <c r="K502" s="55"/>
      <c r="L502" s="10"/>
      <c r="M502" s="10"/>
      <c r="N502" s="189"/>
    </row>
    <row r="503" spans="1:14" s="180" customFormat="1" x14ac:dyDescent="0.15">
      <c r="A503" s="11"/>
      <c r="B503" s="13"/>
      <c r="C503" s="12"/>
      <c r="D503" s="13"/>
      <c r="E503" s="13"/>
      <c r="F503" s="12"/>
      <c r="G503" s="55"/>
      <c r="H503" s="55"/>
      <c r="I503" s="55"/>
      <c r="J503" s="55"/>
      <c r="K503" s="55"/>
      <c r="L503" s="10"/>
      <c r="M503" s="10"/>
      <c r="N503" s="189"/>
    </row>
    <row r="504" spans="1:14" s="180" customFormat="1" x14ac:dyDescent="0.15">
      <c r="A504" s="11"/>
      <c r="B504" s="13"/>
      <c r="C504" s="12"/>
      <c r="D504" s="13"/>
      <c r="E504" s="13"/>
      <c r="F504" s="12"/>
      <c r="G504" s="55"/>
      <c r="H504" s="55"/>
      <c r="I504" s="55"/>
      <c r="J504" s="55"/>
      <c r="K504" s="55"/>
      <c r="L504" s="10"/>
      <c r="M504" s="10"/>
      <c r="N504" s="189"/>
    </row>
    <row r="505" spans="1:14" s="180" customFormat="1" x14ac:dyDescent="0.15">
      <c r="A505" s="11"/>
      <c r="B505" s="13"/>
      <c r="C505" s="12"/>
      <c r="D505" s="13"/>
      <c r="E505" s="13"/>
      <c r="F505" s="12"/>
      <c r="G505" s="55"/>
      <c r="H505" s="55"/>
      <c r="I505" s="55"/>
      <c r="J505" s="55"/>
      <c r="K505" s="55"/>
      <c r="L505" s="10"/>
      <c r="M505" s="10"/>
      <c r="N505" s="189"/>
    </row>
    <row r="506" spans="1:14" s="180" customFormat="1" x14ac:dyDescent="0.15">
      <c r="A506" s="11"/>
      <c r="B506" s="13"/>
      <c r="C506" s="12"/>
      <c r="D506" s="13"/>
      <c r="E506" s="13"/>
      <c r="F506" s="12"/>
      <c r="G506" s="55"/>
      <c r="H506" s="55"/>
      <c r="I506" s="55"/>
      <c r="J506" s="55"/>
      <c r="K506" s="55"/>
      <c r="L506" s="10"/>
      <c r="M506" s="10"/>
      <c r="N506" s="189"/>
    </row>
    <row r="507" spans="1:14" s="180" customFormat="1" x14ac:dyDescent="0.15">
      <c r="A507" s="11"/>
      <c r="B507" s="13"/>
      <c r="C507" s="12"/>
      <c r="D507" s="13"/>
      <c r="E507" s="13"/>
      <c r="F507" s="12"/>
      <c r="G507" s="55"/>
      <c r="H507" s="55"/>
      <c r="I507" s="55"/>
      <c r="J507" s="55"/>
      <c r="K507" s="55"/>
      <c r="L507" s="10"/>
      <c r="M507" s="10"/>
      <c r="N507" s="189"/>
    </row>
    <row r="508" spans="1:14" s="180" customFormat="1" x14ac:dyDescent="0.15">
      <c r="A508" s="11"/>
      <c r="B508" s="13"/>
      <c r="C508" s="12"/>
      <c r="D508" s="13"/>
      <c r="E508" s="13"/>
      <c r="F508" s="12"/>
      <c r="G508" s="55"/>
      <c r="H508" s="55"/>
      <c r="I508" s="55"/>
      <c r="J508" s="55"/>
      <c r="K508" s="55"/>
      <c r="L508" s="10"/>
      <c r="M508" s="10"/>
      <c r="N508" s="189"/>
    </row>
    <row r="509" spans="1:14" s="180" customFormat="1" x14ac:dyDescent="0.15">
      <c r="A509" s="11"/>
      <c r="B509" s="13"/>
      <c r="C509" s="12"/>
      <c r="D509" s="13"/>
      <c r="E509" s="13"/>
      <c r="F509" s="12"/>
      <c r="G509" s="55"/>
      <c r="H509" s="55"/>
      <c r="I509" s="55"/>
      <c r="J509" s="55"/>
      <c r="K509" s="55"/>
      <c r="L509" s="10"/>
      <c r="M509" s="10"/>
      <c r="N509" s="189"/>
    </row>
    <row r="510" spans="1:14" s="180" customFormat="1" x14ac:dyDescent="0.15">
      <c r="A510" s="11"/>
      <c r="B510" s="13"/>
      <c r="C510" s="12"/>
      <c r="D510" s="13"/>
      <c r="E510" s="13"/>
      <c r="F510" s="12"/>
      <c r="G510" s="55"/>
      <c r="H510" s="55"/>
      <c r="I510" s="55"/>
      <c r="J510" s="55"/>
      <c r="K510" s="55"/>
      <c r="L510" s="10"/>
      <c r="M510" s="10"/>
      <c r="N510" s="189"/>
    </row>
    <row r="511" spans="1:14" s="180" customFormat="1" x14ac:dyDescent="0.15">
      <c r="A511" s="11"/>
      <c r="B511" s="13"/>
      <c r="C511" s="12"/>
      <c r="D511" s="13"/>
      <c r="E511" s="13"/>
      <c r="F511" s="12"/>
      <c r="G511" s="55"/>
      <c r="H511" s="55"/>
      <c r="I511" s="55"/>
      <c r="J511" s="55"/>
      <c r="K511" s="55"/>
      <c r="L511" s="10"/>
      <c r="M511" s="10"/>
      <c r="N511" s="189"/>
    </row>
    <row r="512" spans="1:14" s="180" customFormat="1" x14ac:dyDescent="0.15">
      <c r="A512" s="11"/>
      <c r="B512" s="13"/>
      <c r="C512" s="12"/>
      <c r="D512" s="13"/>
      <c r="E512" s="13"/>
      <c r="F512" s="12"/>
      <c r="G512" s="55"/>
      <c r="H512" s="55"/>
      <c r="I512" s="55"/>
      <c r="J512" s="55"/>
      <c r="K512" s="55"/>
      <c r="L512" s="10"/>
      <c r="M512" s="10"/>
      <c r="N512" s="189"/>
    </row>
    <row r="513" spans="1:14" s="180" customFormat="1" x14ac:dyDescent="0.15">
      <c r="A513" s="11"/>
      <c r="B513" s="13"/>
      <c r="C513" s="12"/>
      <c r="D513" s="13"/>
      <c r="E513" s="13"/>
      <c r="F513" s="12"/>
      <c r="G513" s="55"/>
      <c r="H513" s="55"/>
      <c r="I513" s="55"/>
      <c r="J513" s="55"/>
      <c r="K513" s="55"/>
      <c r="L513" s="10"/>
      <c r="M513" s="10"/>
      <c r="N513" s="189"/>
    </row>
    <row r="514" spans="1:14" s="180" customFormat="1" x14ac:dyDescent="0.15">
      <c r="A514" s="11"/>
      <c r="B514" s="13"/>
      <c r="C514" s="12"/>
      <c r="D514" s="13"/>
      <c r="E514" s="13"/>
      <c r="F514" s="12"/>
      <c r="G514" s="55"/>
      <c r="H514" s="55"/>
      <c r="I514" s="55"/>
      <c r="J514" s="55"/>
      <c r="K514" s="55"/>
      <c r="L514" s="10"/>
      <c r="M514" s="10"/>
      <c r="N514" s="189"/>
    </row>
    <row r="515" spans="1:14" s="180" customFormat="1" x14ac:dyDescent="0.15">
      <c r="A515" s="11"/>
      <c r="B515" s="13"/>
      <c r="C515" s="12"/>
      <c r="D515" s="13"/>
      <c r="E515" s="13"/>
      <c r="F515" s="12"/>
      <c r="G515" s="55"/>
      <c r="H515" s="55"/>
      <c r="I515" s="55"/>
      <c r="J515" s="55"/>
      <c r="K515" s="55"/>
      <c r="L515" s="10"/>
      <c r="M515" s="10"/>
      <c r="N515" s="189"/>
    </row>
    <row r="516" spans="1:14" s="180" customFormat="1" x14ac:dyDescent="0.15">
      <c r="A516" s="11"/>
      <c r="B516" s="13"/>
      <c r="C516" s="12"/>
      <c r="D516" s="13"/>
      <c r="E516" s="13"/>
      <c r="F516" s="12"/>
      <c r="G516" s="55"/>
      <c r="H516" s="55"/>
      <c r="I516" s="55"/>
      <c r="J516" s="55"/>
      <c r="K516" s="55"/>
      <c r="L516" s="10"/>
      <c r="M516" s="10"/>
      <c r="N516" s="189"/>
    </row>
    <row r="517" spans="1:14" s="180" customFormat="1" x14ac:dyDescent="0.15">
      <c r="A517" s="11"/>
      <c r="B517" s="13"/>
      <c r="C517" s="12"/>
      <c r="D517" s="13"/>
      <c r="E517" s="13"/>
      <c r="F517" s="12"/>
      <c r="G517" s="55"/>
      <c r="H517" s="55"/>
      <c r="I517" s="55"/>
      <c r="J517" s="55"/>
      <c r="K517" s="55"/>
      <c r="L517" s="10"/>
      <c r="M517" s="10"/>
      <c r="N517" s="189"/>
    </row>
    <row r="518" spans="1:14" s="180" customFormat="1" x14ac:dyDescent="0.15">
      <c r="A518" s="11"/>
      <c r="B518" s="13"/>
      <c r="C518" s="12"/>
      <c r="D518" s="13"/>
      <c r="E518" s="13"/>
      <c r="F518" s="12"/>
      <c r="G518" s="55"/>
      <c r="H518" s="55"/>
      <c r="I518" s="55"/>
      <c r="J518" s="55"/>
      <c r="K518" s="55"/>
      <c r="L518" s="10"/>
      <c r="M518" s="10"/>
      <c r="N518" s="189"/>
    </row>
    <row r="519" spans="1:14" s="180" customFormat="1" x14ac:dyDescent="0.15">
      <c r="A519" s="11"/>
      <c r="B519" s="13"/>
      <c r="C519" s="12"/>
      <c r="D519" s="13"/>
      <c r="E519" s="13"/>
      <c r="F519" s="12"/>
      <c r="G519" s="55"/>
      <c r="H519" s="55"/>
      <c r="I519" s="55"/>
      <c r="J519" s="55"/>
      <c r="K519" s="55"/>
      <c r="L519" s="10"/>
      <c r="M519" s="10"/>
      <c r="N519" s="189"/>
    </row>
    <row r="520" spans="1:14" s="180" customFormat="1" x14ac:dyDescent="0.15">
      <c r="A520" s="11"/>
      <c r="B520" s="13"/>
      <c r="C520" s="12"/>
      <c r="D520" s="13"/>
      <c r="E520" s="13"/>
      <c r="F520" s="12"/>
      <c r="G520" s="55"/>
      <c r="H520" s="55"/>
      <c r="I520" s="55"/>
      <c r="J520" s="55"/>
      <c r="K520" s="55"/>
      <c r="L520" s="10"/>
      <c r="M520" s="10"/>
      <c r="N520" s="189"/>
    </row>
    <row r="521" spans="1:14" s="180" customFormat="1" x14ac:dyDescent="0.15">
      <c r="A521" s="11"/>
      <c r="B521" s="13"/>
      <c r="C521" s="12"/>
      <c r="D521" s="13"/>
      <c r="E521" s="13"/>
      <c r="F521" s="12"/>
      <c r="G521" s="55"/>
      <c r="H521" s="55"/>
      <c r="I521" s="55"/>
      <c r="J521" s="55"/>
      <c r="K521" s="55"/>
      <c r="L521" s="10"/>
      <c r="M521" s="10"/>
      <c r="N521" s="189"/>
    </row>
    <row r="522" spans="1:14" s="180" customFormat="1" x14ac:dyDescent="0.15">
      <c r="A522" s="11"/>
      <c r="B522" s="13"/>
      <c r="C522" s="12"/>
      <c r="D522" s="13"/>
      <c r="E522" s="13"/>
      <c r="F522" s="12"/>
      <c r="G522" s="55"/>
      <c r="H522" s="55"/>
      <c r="I522" s="55"/>
      <c r="J522" s="55"/>
      <c r="K522" s="55"/>
      <c r="L522" s="10"/>
      <c r="M522" s="10"/>
      <c r="N522" s="189"/>
    </row>
    <row r="523" spans="1:14" s="180" customFormat="1" x14ac:dyDescent="0.15">
      <c r="A523" s="11"/>
      <c r="B523" s="13"/>
      <c r="C523" s="12"/>
      <c r="D523" s="13"/>
      <c r="E523" s="13"/>
      <c r="F523" s="12"/>
      <c r="G523" s="55"/>
      <c r="H523" s="55"/>
      <c r="I523" s="55"/>
      <c r="J523" s="55"/>
      <c r="K523" s="55"/>
      <c r="L523" s="10"/>
      <c r="M523" s="10"/>
      <c r="N523" s="189"/>
    </row>
    <row r="524" spans="1:14" s="180" customFormat="1" x14ac:dyDescent="0.15">
      <c r="A524" s="11"/>
      <c r="B524" s="13"/>
      <c r="C524" s="12"/>
      <c r="D524" s="13"/>
      <c r="E524" s="13"/>
      <c r="F524" s="12"/>
      <c r="G524" s="55"/>
      <c r="H524" s="55"/>
      <c r="I524" s="55"/>
      <c r="J524" s="55"/>
      <c r="K524" s="55"/>
      <c r="L524" s="10"/>
      <c r="M524" s="10"/>
      <c r="N524" s="189"/>
    </row>
    <row r="525" spans="1:14" s="180" customFormat="1" x14ac:dyDescent="0.15">
      <c r="A525" s="11"/>
      <c r="B525" s="13"/>
      <c r="C525" s="12"/>
      <c r="D525" s="13"/>
      <c r="E525" s="13"/>
      <c r="F525" s="12"/>
      <c r="G525" s="55"/>
      <c r="H525" s="55"/>
      <c r="I525" s="55"/>
      <c r="J525" s="55"/>
      <c r="K525" s="55"/>
      <c r="L525" s="10"/>
      <c r="M525" s="10"/>
      <c r="N525" s="189"/>
    </row>
    <row r="526" spans="1:14" s="180" customFormat="1" x14ac:dyDescent="0.15">
      <c r="A526" s="11"/>
      <c r="B526" s="13"/>
      <c r="C526" s="12"/>
      <c r="D526" s="13"/>
      <c r="E526" s="13"/>
      <c r="F526" s="12"/>
      <c r="G526" s="55"/>
      <c r="H526" s="55"/>
      <c r="I526" s="55"/>
      <c r="J526" s="55"/>
      <c r="K526" s="55"/>
      <c r="L526" s="10"/>
      <c r="M526" s="10"/>
      <c r="N526" s="189"/>
    </row>
    <row r="527" spans="1:14" s="180" customFormat="1" x14ac:dyDescent="0.15">
      <c r="A527" s="11"/>
      <c r="B527" s="13"/>
      <c r="C527" s="12"/>
      <c r="D527" s="13"/>
      <c r="E527" s="13"/>
      <c r="F527" s="12"/>
      <c r="G527" s="55"/>
      <c r="H527" s="55"/>
      <c r="I527" s="55"/>
      <c r="J527" s="55"/>
      <c r="K527" s="55"/>
      <c r="L527" s="10"/>
      <c r="M527" s="10"/>
      <c r="N527" s="189"/>
    </row>
    <row r="528" spans="1:14" s="180" customFormat="1" x14ac:dyDescent="0.15">
      <c r="A528" s="11"/>
      <c r="B528" s="13"/>
      <c r="C528" s="12"/>
      <c r="D528" s="13"/>
      <c r="E528" s="13"/>
      <c r="F528" s="12"/>
      <c r="G528" s="55"/>
      <c r="H528" s="55"/>
      <c r="I528" s="55"/>
      <c r="J528" s="55"/>
      <c r="K528" s="55"/>
      <c r="L528" s="10"/>
      <c r="M528" s="10"/>
      <c r="N528" s="189"/>
    </row>
    <row r="529" spans="1:14" s="180" customFormat="1" x14ac:dyDescent="0.15">
      <c r="A529" s="11"/>
      <c r="B529" s="13"/>
      <c r="C529" s="12"/>
      <c r="D529" s="13"/>
      <c r="E529" s="13"/>
      <c r="F529" s="12"/>
      <c r="G529" s="55"/>
      <c r="H529" s="55"/>
      <c r="I529" s="55"/>
      <c r="J529" s="55"/>
      <c r="K529" s="55"/>
      <c r="L529" s="10"/>
      <c r="M529" s="10"/>
      <c r="N529" s="189"/>
    </row>
    <row r="530" spans="1:14" s="180" customFormat="1" x14ac:dyDescent="0.15">
      <c r="A530" s="11"/>
      <c r="B530" s="13"/>
      <c r="C530" s="12"/>
      <c r="D530" s="13"/>
      <c r="E530" s="13"/>
      <c r="F530" s="12"/>
      <c r="G530" s="55"/>
      <c r="H530" s="55"/>
      <c r="I530" s="55"/>
      <c r="J530" s="55"/>
      <c r="K530" s="55"/>
      <c r="L530" s="10"/>
      <c r="M530" s="10"/>
      <c r="N530" s="189"/>
    </row>
    <row r="531" spans="1:14" s="180" customFormat="1" x14ac:dyDescent="0.15">
      <c r="A531" s="11"/>
      <c r="B531" s="13"/>
      <c r="C531" s="12"/>
      <c r="D531" s="13"/>
      <c r="E531" s="13"/>
      <c r="F531" s="12"/>
      <c r="G531" s="55"/>
      <c r="H531" s="55"/>
      <c r="I531" s="55"/>
      <c r="J531" s="55"/>
      <c r="K531" s="55"/>
      <c r="L531" s="10"/>
      <c r="M531" s="10"/>
      <c r="N531" s="189"/>
    </row>
    <row r="532" spans="1:14" s="180" customFormat="1" x14ac:dyDescent="0.15">
      <c r="A532" s="11"/>
      <c r="B532" s="13"/>
      <c r="C532" s="12"/>
      <c r="D532" s="13"/>
      <c r="E532" s="13"/>
      <c r="F532" s="12"/>
      <c r="G532" s="55"/>
      <c r="H532" s="55"/>
      <c r="I532" s="55"/>
      <c r="J532" s="55"/>
      <c r="K532" s="55"/>
      <c r="L532" s="10"/>
      <c r="M532" s="10"/>
      <c r="N532" s="189"/>
    </row>
    <row r="533" spans="1:14" s="180" customFormat="1" x14ac:dyDescent="0.15">
      <c r="A533" s="11"/>
      <c r="B533" s="13"/>
      <c r="C533" s="12"/>
      <c r="D533" s="13"/>
      <c r="E533" s="13"/>
      <c r="F533" s="12"/>
      <c r="G533" s="55"/>
      <c r="H533" s="55"/>
      <c r="I533" s="55"/>
      <c r="J533" s="55"/>
      <c r="K533" s="55"/>
      <c r="L533" s="10"/>
      <c r="M533" s="10"/>
      <c r="N533" s="189"/>
    </row>
    <row r="534" spans="1:14" s="180" customFormat="1" x14ac:dyDescent="0.15">
      <c r="A534" s="11"/>
      <c r="B534" s="13"/>
      <c r="C534" s="12"/>
      <c r="D534" s="13"/>
      <c r="E534" s="13"/>
      <c r="F534" s="12"/>
      <c r="G534" s="55"/>
      <c r="H534" s="55"/>
      <c r="I534" s="55"/>
      <c r="J534" s="55"/>
      <c r="K534" s="55"/>
      <c r="L534" s="10"/>
      <c r="M534" s="10"/>
      <c r="N534" s="189"/>
    </row>
    <row r="535" spans="1:14" s="180" customFormat="1" x14ac:dyDescent="0.15">
      <c r="A535" s="11"/>
      <c r="B535" s="13"/>
      <c r="C535" s="12"/>
      <c r="D535" s="13"/>
      <c r="E535" s="13"/>
      <c r="F535" s="12"/>
      <c r="G535" s="55"/>
      <c r="H535" s="55"/>
      <c r="I535" s="55"/>
      <c r="J535" s="55"/>
      <c r="K535" s="55"/>
      <c r="L535" s="10"/>
      <c r="M535" s="10"/>
      <c r="N535" s="189"/>
    </row>
    <row r="536" spans="1:14" s="180" customFormat="1" x14ac:dyDescent="0.15">
      <c r="A536" s="11"/>
      <c r="B536" s="13"/>
      <c r="C536" s="12"/>
      <c r="D536" s="13"/>
      <c r="E536" s="13"/>
      <c r="F536" s="12"/>
      <c r="G536" s="55"/>
      <c r="H536" s="55"/>
      <c r="I536" s="55"/>
      <c r="J536" s="55"/>
      <c r="K536" s="55"/>
      <c r="L536" s="10"/>
      <c r="M536" s="10"/>
      <c r="N536" s="189"/>
    </row>
    <row r="537" spans="1:14" s="180" customFormat="1" x14ac:dyDescent="0.15">
      <c r="A537" s="11"/>
      <c r="B537" s="13"/>
      <c r="C537" s="12"/>
      <c r="D537" s="13"/>
      <c r="E537" s="13"/>
      <c r="F537" s="12"/>
      <c r="G537" s="55"/>
      <c r="H537" s="55"/>
      <c r="I537" s="55"/>
      <c r="J537" s="55"/>
      <c r="K537" s="55"/>
      <c r="L537" s="10"/>
      <c r="M537" s="10"/>
      <c r="N537" s="189"/>
    </row>
    <row r="538" spans="1:14" s="180" customFormat="1" x14ac:dyDescent="0.15">
      <c r="A538" s="11"/>
      <c r="B538" s="13"/>
      <c r="C538" s="12"/>
      <c r="D538" s="13"/>
      <c r="E538" s="13"/>
      <c r="F538" s="12"/>
      <c r="G538" s="55"/>
      <c r="H538" s="55"/>
      <c r="I538" s="55"/>
      <c r="J538" s="55"/>
      <c r="K538" s="55"/>
      <c r="L538" s="10"/>
      <c r="M538" s="10"/>
      <c r="N538" s="189"/>
    </row>
    <row r="539" spans="1:14" s="180" customFormat="1" x14ac:dyDescent="0.15">
      <c r="A539" s="11"/>
      <c r="B539" s="13"/>
      <c r="C539" s="12"/>
      <c r="D539" s="13"/>
      <c r="E539" s="13"/>
      <c r="F539" s="12"/>
      <c r="G539" s="55"/>
      <c r="H539" s="55"/>
      <c r="I539" s="55"/>
      <c r="J539" s="55"/>
      <c r="K539" s="55"/>
      <c r="L539" s="10"/>
      <c r="M539" s="10"/>
      <c r="N539" s="189"/>
    </row>
    <row r="540" spans="1:14" s="180" customFormat="1" x14ac:dyDescent="0.15">
      <c r="A540" s="11"/>
      <c r="B540" s="13"/>
      <c r="C540" s="12"/>
      <c r="D540" s="13"/>
      <c r="E540" s="13"/>
      <c r="F540" s="12"/>
      <c r="G540" s="55"/>
      <c r="H540" s="55"/>
      <c r="I540" s="55"/>
      <c r="J540" s="55"/>
      <c r="K540" s="55"/>
      <c r="L540" s="10"/>
      <c r="M540" s="10"/>
      <c r="N540" s="189"/>
    </row>
    <row r="541" spans="1:14" s="180" customFormat="1" x14ac:dyDescent="0.15">
      <c r="A541" s="11"/>
      <c r="B541" s="13"/>
      <c r="C541" s="12"/>
      <c r="D541" s="13"/>
      <c r="E541" s="13"/>
      <c r="F541" s="12"/>
      <c r="G541" s="55"/>
      <c r="H541" s="55"/>
      <c r="I541" s="55"/>
      <c r="J541" s="55"/>
      <c r="K541" s="55"/>
      <c r="L541" s="10"/>
      <c r="M541" s="10"/>
      <c r="N541" s="189"/>
    </row>
    <row r="542" spans="1:14" s="180" customFormat="1" x14ac:dyDescent="0.15">
      <c r="A542" s="11"/>
      <c r="B542" s="13"/>
      <c r="C542" s="12"/>
      <c r="D542" s="13"/>
      <c r="E542" s="13"/>
      <c r="F542" s="12"/>
      <c r="G542" s="55"/>
      <c r="H542" s="55"/>
      <c r="I542" s="55"/>
      <c r="J542" s="55"/>
      <c r="K542" s="55"/>
      <c r="L542" s="10"/>
      <c r="M542" s="10"/>
      <c r="N542" s="189"/>
    </row>
    <row r="543" spans="1:14" s="180" customFormat="1" x14ac:dyDescent="0.15">
      <c r="A543" s="11"/>
      <c r="B543" s="13"/>
      <c r="C543" s="12"/>
      <c r="D543" s="13"/>
      <c r="E543" s="13"/>
      <c r="F543" s="12"/>
      <c r="G543" s="55"/>
      <c r="H543" s="55"/>
      <c r="I543" s="55"/>
      <c r="J543" s="55"/>
      <c r="K543" s="55"/>
      <c r="L543" s="10"/>
      <c r="M543" s="10"/>
      <c r="N543" s="189"/>
    </row>
    <row r="544" spans="1:14" s="180" customFormat="1" x14ac:dyDescent="0.15">
      <c r="A544" s="11"/>
      <c r="B544" s="13"/>
      <c r="C544" s="12"/>
      <c r="D544" s="13"/>
      <c r="E544" s="13"/>
      <c r="F544" s="12"/>
      <c r="G544" s="55"/>
      <c r="H544" s="55"/>
      <c r="I544" s="55"/>
      <c r="J544" s="55"/>
      <c r="K544" s="55"/>
      <c r="L544" s="10"/>
      <c r="M544" s="10"/>
      <c r="N544" s="189"/>
    </row>
    <row r="545" spans="1:14" s="180" customFormat="1" x14ac:dyDescent="0.15">
      <c r="A545" s="11"/>
      <c r="B545" s="13"/>
      <c r="C545" s="12"/>
      <c r="D545" s="13"/>
      <c r="E545" s="13"/>
      <c r="F545" s="12"/>
      <c r="G545" s="55"/>
      <c r="H545" s="55"/>
      <c r="I545" s="55"/>
      <c r="J545" s="55"/>
      <c r="K545" s="55"/>
      <c r="L545" s="10"/>
      <c r="M545" s="10"/>
      <c r="N545" s="189"/>
    </row>
    <row r="546" spans="1:14" s="180" customFormat="1" x14ac:dyDescent="0.15">
      <c r="A546" s="11"/>
      <c r="B546" s="13"/>
      <c r="C546" s="12"/>
      <c r="D546" s="13"/>
      <c r="E546" s="13"/>
      <c r="F546" s="12"/>
      <c r="G546" s="55"/>
      <c r="H546" s="55"/>
      <c r="I546" s="55"/>
      <c r="J546" s="55"/>
      <c r="K546" s="55"/>
      <c r="L546" s="10"/>
      <c r="M546" s="10"/>
      <c r="N546" s="189"/>
    </row>
    <row r="547" spans="1:14" s="180" customFormat="1" x14ac:dyDescent="0.15">
      <c r="A547" s="11"/>
      <c r="B547" s="13"/>
      <c r="C547" s="12"/>
      <c r="D547" s="13"/>
      <c r="E547" s="13"/>
      <c r="F547" s="12"/>
      <c r="G547" s="55"/>
      <c r="H547" s="55"/>
      <c r="I547" s="55"/>
      <c r="J547" s="55"/>
      <c r="K547" s="55"/>
      <c r="L547" s="10"/>
      <c r="M547" s="10"/>
      <c r="N547" s="189"/>
    </row>
    <row r="548" spans="1:14" s="180" customFormat="1" x14ac:dyDescent="0.15">
      <c r="A548" s="11"/>
      <c r="B548" s="13"/>
      <c r="C548" s="12"/>
      <c r="D548" s="13"/>
      <c r="E548" s="13"/>
      <c r="F548" s="12"/>
      <c r="G548" s="55"/>
      <c r="H548" s="55"/>
      <c r="I548" s="55"/>
      <c r="J548" s="55"/>
      <c r="K548" s="55"/>
      <c r="L548" s="10"/>
      <c r="M548" s="10"/>
      <c r="N548" s="189"/>
    </row>
    <row r="549" spans="1:14" s="180" customFormat="1" x14ac:dyDescent="0.15">
      <c r="A549" s="11"/>
      <c r="B549" s="13"/>
      <c r="C549" s="12"/>
      <c r="D549" s="13"/>
      <c r="E549" s="13"/>
      <c r="F549" s="12"/>
      <c r="G549" s="55"/>
      <c r="H549" s="55"/>
      <c r="I549" s="55"/>
      <c r="J549" s="55"/>
      <c r="K549" s="55"/>
      <c r="L549" s="10"/>
      <c r="M549" s="10"/>
      <c r="N549" s="189"/>
    </row>
    <row r="550" spans="1:14" s="180" customFormat="1" x14ac:dyDescent="0.15">
      <c r="A550" s="11"/>
      <c r="B550" s="13"/>
      <c r="C550" s="12"/>
      <c r="D550" s="13"/>
      <c r="E550" s="13"/>
      <c r="F550" s="12"/>
      <c r="G550" s="55"/>
      <c r="H550" s="55"/>
      <c r="I550" s="55"/>
      <c r="J550" s="55"/>
      <c r="K550" s="55"/>
      <c r="L550" s="10"/>
      <c r="M550" s="10"/>
      <c r="N550" s="189"/>
    </row>
    <row r="551" spans="1:14" s="180" customFormat="1" x14ac:dyDescent="0.15">
      <c r="A551" s="11"/>
      <c r="B551" s="13"/>
      <c r="C551" s="12"/>
      <c r="D551" s="13"/>
      <c r="E551" s="13"/>
      <c r="F551" s="12"/>
      <c r="G551" s="55"/>
      <c r="H551" s="55"/>
      <c r="I551" s="55"/>
      <c r="J551" s="55"/>
      <c r="K551" s="55"/>
      <c r="L551" s="10"/>
      <c r="M551" s="10"/>
      <c r="N551" s="189"/>
    </row>
    <row r="552" spans="1:14" s="180" customFormat="1" x14ac:dyDescent="0.15">
      <c r="A552" s="11"/>
      <c r="B552" s="13"/>
      <c r="C552" s="12"/>
      <c r="D552" s="13"/>
      <c r="E552" s="13"/>
      <c r="F552" s="12"/>
      <c r="G552" s="55"/>
      <c r="H552" s="55"/>
      <c r="I552" s="55"/>
      <c r="J552" s="55"/>
      <c r="K552" s="55"/>
      <c r="L552" s="10"/>
      <c r="M552" s="10"/>
      <c r="N552" s="189"/>
    </row>
    <row r="553" spans="1:14" s="180" customFormat="1" x14ac:dyDescent="0.15">
      <c r="A553" s="11"/>
      <c r="B553" s="13"/>
      <c r="C553" s="12"/>
      <c r="D553" s="13"/>
      <c r="E553" s="13"/>
      <c r="F553" s="12"/>
      <c r="G553" s="55"/>
      <c r="H553" s="55"/>
      <c r="I553" s="55"/>
      <c r="J553" s="55"/>
      <c r="K553" s="55"/>
      <c r="L553" s="10"/>
      <c r="M553" s="10"/>
      <c r="N553" s="189"/>
    </row>
    <row r="554" spans="1:14" s="180" customFormat="1" x14ac:dyDescent="0.15">
      <c r="A554" s="11"/>
      <c r="B554" s="13"/>
      <c r="C554" s="12"/>
      <c r="D554" s="13"/>
      <c r="E554" s="13"/>
      <c r="F554" s="12"/>
      <c r="G554" s="55"/>
      <c r="H554" s="55"/>
      <c r="I554" s="55"/>
      <c r="J554" s="55"/>
      <c r="K554" s="55"/>
      <c r="L554" s="10"/>
      <c r="M554" s="10"/>
      <c r="N554" s="189"/>
    </row>
    <row r="555" spans="1:14" s="180" customFormat="1" x14ac:dyDescent="0.15">
      <c r="A555" s="11"/>
      <c r="B555" s="13"/>
      <c r="C555" s="12"/>
      <c r="D555" s="13"/>
      <c r="E555" s="13"/>
      <c r="F555" s="12"/>
      <c r="G555" s="55"/>
      <c r="H555" s="55"/>
      <c r="I555" s="55"/>
      <c r="J555" s="55"/>
      <c r="K555" s="55"/>
      <c r="L555" s="10"/>
      <c r="M555" s="10"/>
      <c r="N555" s="189"/>
    </row>
    <row r="556" spans="1:14" s="180" customFormat="1" x14ac:dyDescent="0.15">
      <c r="A556" s="11"/>
      <c r="B556" s="13"/>
      <c r="C556" s="12"/>
      <c r="D556" s="13"/>
      <c r="E556" s="13"/>
      <c r="F556" s="12"/>
      <c r="G556" s="55"/>
      <c r="H556" s="55"/>
      <c r="I556" s="55"/>
      <c r="J556" s="55"/>
      <c r="K556" s="55"/>
      <c r="L556" s="10"/>
      <c r="M556" s="10"/>
      <c r="N556" s="189"/>
    </row>
    <row r="557" spans="1:14" s="180" customFormat="1" x14ac:dyDescent="0.15">
      <c r="A557" s="11"/>
      <c r="B557" s="13"/>
      <c r="C557" s="12"/>
      <c r="D557" s="13"/>
      <c r="E557" s="13"/>
      <c r="F557" s="12"/>
      <c r="G557" s="55"/>
      <c r="H557" s="55"/>
      <c r="I557" s="55"/>
      <c r="J557" s="55"/>
      <c r="K557" s="55"/>
      <c r="L557" s="10"/>
      <c r="M557" s="10"/>
      <c r="N557" s="189"/>
    </row>
    <row r="558" spans="1:14" s="180" customFormat="1" x14ac:dyDescent="0.15">
      <c r="A558" s="11"/>
      <c r="B558" s="13"/>
      <c r="C558" s="12"/>
      <c r="D558" s="13"/>
      <c r="E558" s="13"/>
      <c r="F558" s="12"/>
      <c r="G558" s="55"/>
      <c r="H558" s="55"/>
      <c r="I558" s="55"/>
      <c r="J558" s="55"/>
      <c r="K558" s="55"/>
      <c r="L558" s="10"/>
      <c r="M558" s="10"/>
      <c r="N558" s="189"/>
    </row>
    <row r="559" spans="1:14" s="180" customFormat="1" x14ac:dyDescent="0.15">
      <c r="A559" s="11"/>
      <c r="B559" s="13"/>
      <c r="C559" s="12"/>
      <c r="D559" s="13"/>
      <c r="E559" s="13"/>
      <c r="F559" s="12"/>
      <c r="G559" s="55"/>
      <c r="H559" s="55"/>
      <c r="I559" s="55"/>
      <c r="J559" s="55"/>
      <c r="K559" s="55"/>
      <c r="L559" s="10"/>
      <c r="M559" s="10"/>
      <c r="N559" s="189"/>
    </row>
    <row r="560" spans="1:14" s="180" customFormat="1" x14ac:dyDescent="0.15">
      <c r="A560" s="11"/>
      <c r="B560" s="13"/>
      <c r="C560" s="12"/>
      <c r="D560" s="13"/>
      <c r="E560" s="13"/>
      <c r="F560" s="12"/>
      <c r="G560" s="55"/>
      <c r="H560" s="55"/>
      <c r="I560" s="55"/>
      <c r="J560" s="55"/>
      <c r="K560" s="55"/>
      <c r="L560" s="10"/>
      <c r="M560" s="10"/>
      <c r="N560" s="189"/>
    </row>
    <row r="561" spans="1:14" s="180" customFormat="1" x14ac:dyDescent="0.15">
      <c r="A561" s="11"/>
      <c r="B561" s="13"/>
      <c r="C561" s="12"/>
      <c r="D561" s="13"/>
      <c r="E561" s="13"/>
      <c r="F561" s="12"/>
      <c r="G561" s="55"/>
      <c r="H561" s="55"/>
      <c r="I561" s="55"/>
      <c r="J561" s="55"/>
      <c r="K561" s="55"/>
      <c r="L561" s="10"/>
      <c r="M561" s="10"/>
      <c r="N561" s="189"/>
    </row>
    <row r="562" spans="1:14" s="180" customFormat="1" x14ac:dyDescent="0.15">
      <c r="A562" s="11"/>
      <c r="B562" s="13"/>
      <c r="C562" s="12"/>
      <c r="D562" s="13"/>
      <c r="E562" s="13"/>
      <c r="F562" s="12"/>
      <c r="G562" s="55"/>
      <c r="H562" s="55"/>
      <c r="I562" s="55"/>
      <c r="J562" s="55"/>
      <c r="K562" s="55"/>
      <c r="L562" s="10"/>
      <c r="M562" s="10"/>
      <c r="N562" s="189"/>
    </row>
    <row r="563" spans="1:14" s="180" customFormat="1" x14ac:dyDescent="0.15">
      <c r="A563" s="11"/>
      <c r="B563" s="13"/>
      <c r="C563" s="12"/>
      <c r="D563" s="13"/>
      <c r="E563" s="13"/>
      <c r="F563" s="12"/>
      <c r="G563" s="55"/>
      <c r="H563" s="55"/>
      <c r="I563" s="55"/>
      <c r="J563" s="55"/>
      <c r="K563" s="55"/>
      <c r="L563" s="10"/>
      <c r="M563" s="10"/>
      <c r="N563" s="189"/>
    </row>
    <row r="564" spans="1:14" s="180" customFormat="1" x14ac:dyDescent="0.15">
      <c r="A564" s="11"/>
      <c r="B564" s="13"/>
      <c r="C564" s="12"/>
      <c r="D564" s="13"/>
      <c r="E564" s="13"/>
      <c r="F564" s="12"/>
      <c r="G564" s="55"/>
      <c r="H564" s="55"/>
      <c r="I564" s="55"/>
      <c r="J564" s="55"/>
      <c r="K564" s="55"/>
      <c r="L564" s="10"/>
      <c r="M564" s="10"/>
      <c r="N564" s="189"/>
    </row>
    <row r="565" spans="1:14" s="180" customFormat="1" x14ac:dyDescent="0.15">
      <c r="A565" s="11"/>
      <c r="B565" s="13"/>
      <c r="C565" s="12"/>
      <c r="D565" s="13"/>
      <c r="E565" s="13"/>
      <c r="F565" s="12"/>
      <c r="G565" s="55"/>
      <c r="H565" s="55"/>
      <c r="I565" s="55"/>
      <c r="J565" s="55"/>
      <c r="K565" s="55"/>
      <c r="L565" s="10"/>
      <c r="M565" s="10"/>
      <c r="N565" s="189"/>
    </row>
    <row r="566" spans="1:14" s="180" customFormat="1" x14ac:dyDescent="0.15">
      <c r="A566" s="11"/>
      <c r="B566" s="13"/>
      <c r="C566" s="12"/>
      <c r="D566" s="13"/>
      <c r="E566" s="13"/>
      <c r="F566" s="12"/>
      <c r="G566" s="55"/>
      <c r="H566" s="55"/>
      <c r="I566" s="55"/>
      <c r="J566" s="55"/>
      <c r="K566" s="55"/>
      <c r="L566" s="10"/>
      <c r="M566" s="10"/>
      <c r="N566" s="189"/>
    </row>
    <row r="567" spans="1:14" s="180" customFormat="1" x14ac:dyDescent="0.15">
      <c r="A567" s="11"/>
      <c r="B567" s="13"/>
      <c r="C567" s="12"/>
      <c r="D567" s="13"/>
      <c r="E567" s="13"/>
      <c r="F567" s="12"/>
      <c r="G567" s="55"/>
      <c r="H567" s="55"/>
      <c r="I567" s="55"/>
      <c r="J567" s="55"/>
      <c r="K567" s="55"/>
      <c r="L567" s="10"/>
      <c r="M567" s="10"/>
      <c r="N567" s="189"/>
    </row>
    <row r="568" spans="1:14" s="180" customFormat="1" x14ac:dyDescent="0.15">
      <c r="A568" s="11"/>
      <c r="B568" s="13"/>
      <c r="C568" s="12"/>
      <c r="D568" s="13"/>
      <c r="E568" s="13"/>
      <c r="F568" s="12"/>
      <c r="G568" s="55"/>
      <c r="H568" s="55"/>
      <c r="I568" s="55"/>
      <c r="J568" s="55"/>
      <c r="K568" s="55"/>
      <c r="L568" s="10"/>
      <c r="M568" s="10"/>
      <c r="N568" s="189"/>
    </row>
    <row r="569" spans="1:14" s="180" customFormat="1" x14ac:dyDescent="0.15">
      <c r="A569" s="11"/>
      <c r="B569" s="13"/>
      <c r="C569" s="12"/>
      <c r="D569" s="13"/>
      <c r="E569" s="13"/>
      <c r="F569" s="12"/>
      <c r="G569" s="55"/>
      <c r="H569" s="55"/>
      <c r="I569" s="55"/>
      <c r="J569" s="55"/>
      <c r="K569" s="55"/>
      <c r="L569" s="10"/>
      <c r="M569" s="10"/>
      <c r="N569" s="189"/>
    </row>
    <row r="570" spans="1:14" s="180" customFormat="1" x14ac:dyDescent="0.15">
      <c r="A570" s="11"/>
      <c r="B570" s="13"/>
      <c r="C570" s="12"/>
      <c r="D570" s="13"/>
      <c r="E570" s="13"/>
      <c r="F570" s="12"/>
      <c r="G570" s="55"/>
      <c r="H570" s="55"/>
      <c r="I570" s="55"/>
      <c r="J570" s="55"/>
      <c r="K570" s="55"/>
      <c r="L570" s="10"/>
      <c r="M570" s="10"/>
      <c r="N570" s="189"/>
    </row>
    <row r="571" spans="1:14" s="180" customFormat="1" x14ac:dyDescent="0.15">
      <c r="A571" s="11"/>
      <c r="B571" s="13"/>
      <c r="C571" s="12"/>
      <c r="D571" s="13"/>
      <c r="E571" s="13"/>
      <c r="F571" s="12"/>
      <c r="G571" s="55"/>
      <c r="H571" s="55"/>
      <c r="I571" s="55"/>
      <c r="J571" s="55"/>
      <c r="K571" s="55"/>
      <c r="L571" s="10"/>
      <c r="M571" s="10"/>
      <c r="N571" s="189"/>
    </row>
    <row r="572" spans="1:14" s="180" customFormat="1" x14ac:dyDescent="0.15">
      <c r="A572" s="11"/>
      <c r="B572" s="13"/>
      <c r="C572" s="12"/>
      <c r="D572" s="13"/>
      <c r="E572" s="13"/>
      <c r="F572" s="12"/>
      <c r="G572" s="55"/>
      <c r="H572" s="55"/>
      <c r="I572" s="55"/>
      <c r="J572" s="55"/>
      <c r="K572" s="55"/>
      <c r="L572" s="10"/>
      <c r="M572" s="10"/>
      <c r="N572" s="189"/>
    </row>
    <row r="573" spans="1:14" s="180" customFormat="1" x14ac:dyDescent="0.15">
      <c r="A573" s="11"/>
      <c r="B573" s="13"/>
      <c r="C573" s="12"/>
      <c r="D573" s="13"/>
      <c r="E573" s="13"/>
      <c r="F573" s="12"/>
      <c r="G573" s="55"/>
      <c r="H573" s="55"/>
      <c r="I573" s="55"/>
      <c r="J573" s="55"/>
      <c r="K573" s="55"/>
      <c r="L573" s="10"/>
      <c r="M573" s="10"/>
      <c r="N573" s="189"/>
    </row>
    <row r="574" spans="1:14" s="180" customFormat="1" x14ac:dyDescent="0.15">
      <c r="A574" s="11"/>
      <c r="B574" s="13"/>
      <c r="C574" s="12"/>
      <c r="D574" s="13"/>
      <c r="E574" s="13"/>
      <c r="F574" s="12"/>
      <c r="G574" s="55"/>
      <c r="H574" s="55"/>
      <c r="I574" s="55"/>
      <c r="J574" s="55"/>
      <c r="K574" s="55"/>
      <c r="L574" s="10"/>
      <c r="M574" s="10"/>
      <c r="N574" s="189"/>
    </row>
    <row r="575" spans="1:14" s="180" customFormat="1" x14ac:dyDescent="0.15">
      <c r="A575" s="11"/>
      <c r="B575" s="13"/>
      <c r="C575" s="12"/>
      <c r="D575" s="13"/>
      <c r="E575" s="13"/>
      <c r="F575" s="12"/>
      <c r="G575" s="55"/>
      <c r="H575" s="55"/>
      <c r="I575" s="55"/>
      <c r="J575" s="55"/>
      <c r="K575" s="55"/>
      <c r="L575" s="10"/>
      <c r="M575" s="10"/>
      <c r="N575" s="189"/>
    </row>
    <row r="576" spans="1:14" s="180" customFormat="1" x14ac:dyDescent="0.15">
      <c r="A576" s="11"/>
      <c r="B576" s="13"/>
      <c r="C576" s="12"/>
      <c r="D576" s="13"/>
      <c r="E576" s="13"/>
      <c r="F576" s="12"/>
      <c r="G576" s="55"/>
      <c r="H576" s="55"/>
      <c r="I576" s="55"/>
      <c r="J576" s="55"/>
      <c r="K576" s="55"/>
      <c r="L576" s="10"/>
      <c r="M576" s="10"/>
      <c r="N576" s="189"/>
    </row>
    <row r="577" spans="1:14" s="180" customFormat="1" x14ac:dyDescent="0.15">
      <c r="A577" s="11"/>
      <c r="B577" s="13"/>
      <c r="C577" s="12"/>
      <c r="D577" s="13"/>
      <c r="E577" s="13"/>
      <c r="F577" s="12"/>
      <c r="G577" s="55"/>
      <c r="H577" s="55"/>
      <c r="I577" s="55"/>
      <c r="J577" s="55"/>
      <c r="K577" s="55"/>
      <c r="L577" s="10"/>
      <c r="M577" s="10"/>
      <c r="N577" s="189"/>
    </row>
    <row r="578" spans="1:14" s="180" customFormat="1" x14ac:dyDescent="0.15">
      <c r="A578" s="11"/>
      <c r="B578" s="13"/>
      <c r="C578" s="12"/>
      <c r="D578" s="13"/>
      <c r="E578" s="13"/>
      <c r="F578" s="12"/>
      <c r="G578" s="55"/>
      <c r="H578" s="55"/>
      <c r="I578" s="55"/>
      <c r="J578" s="55"/>
      <c r="K578" s="55"/>
      <c r="L578" s="10"/>
      <c r="M578" s="10"/>
      <c r="N578" s="189"/>
    </row>
    <row r="579" spans="1:14" s="180" customFormat="1" x14ac:dyDescent="0.15">
      <c r="A579" s="11"/>
      <c r="B579" s="13"/>
      <c r="C579" s="12"/>
      <c r="D579" s="13"/>
      <c r="E579" s="13"/>
      <c r="F579" s="12"/>
      <c r="G579" s="55"/>
      <c r="H579" s="55"/>
      <c r="I579" s="55"/>
      <c r="J579" s="55"/>
      <c r="K579" s="55"/>
      <c r="L579" s="10"/>
      <c r="M579" s="10"/>
      <c r="N579" s="189"/>
    </row>
    <row r="580" spans="1:14" s="180" customFormat="1" x14ac:dyDescent="0.15">
      <c r="A580" s="11"/>
      <c r="B580" s="13"/>
      <c r="C580" s="12"/>
      <c r="D580" s="13"/>
      <c r="E580" s="13"/>
      <c r="F580" s="12"/>
      <c r="G580" s="55"/>
      <c r="H580" s="55"/>
      <c r="I580" s="55"/>
      <c r="J580" s="55"/>
      <c r="K580" s="55"/>
      <c r="L580" s="10"/>
      <c r="M580" s="10"/>
      <c r="N580" s="189"/>
    </row>
    <row r="581" spans="1:14" s="180" customFormat="1" x14ac:dyDescent="0.15">
      <c r="A581" s="11"/>
      <c r="B581" s="13"/>
      <c r="C581" s="12"/>
      <c r="D581" s="13"/>
      <c r="E581" s="13"/>
      <c r="F581" s="12"/>
      <c r="G581" s="55"/>
      <c r="H581" s="55"/>
      <c r="I581" s="55"/>
      <c r="J581" s="55"/>
      <c r="K581" s="55"/>
      <c r="L581" s="10"/>
      <c r="M581" s="10"/>
      <c r="N581" s="189"/>
    </row>
    <row r="582" spans="1:14" s="180" customFormat="1" x14ac:dyDescent="0.15">
      <c r="A582" s="11"/>
      <c r="B582" s="13"/>
      <c r="C582" s="12"/>
      <c r="D582" s="13"/>
      <c r="E582" s="13"/>
      <c r="F582" s="12"/>
      <c r="G582" s="55"/>
      <c r="H582" s="55"/>
      <c r="I582" s="55"/>
      <c r="J582" s="55"/>
      <c r="K582" s="55"/>
      <c r="L582" s="10"/>
      <c r="M582" s="10"/>
      <c r="N582" s="189"/>
    </row>
    <row r="583" spans="1:14" s="180" customFormat="1" x14ac:dyDescent="0.15">
      <c r="A583" s="11"/>
      <c r="B583" s="13"/>
      <c r="C583" s="12"/>
      <c r="D583" s="13"/>
      <c r="E583" s="13"/>
      <c r="F583" s="12"/>
      <c r="G583" s="55"/>
      <c r="H583" s="55"/>
      <c r="I583" s="55"/>
      <c r="J583" s="55"/>
      <c r="K583" s="55"/>
      <c r="L583" s="10"/>
      <c r="M583" s="10"/>
      <c r="N583" s="189"/>
    </row>
    <row r="584" spans="1:14" s="180" customFormat="1" x14ac:dyDescent="0.15">
      <c r="A584" s="11"/>
      <c r="B584" s="13"/>
      <c r="C584" s="12"/>
      <c r="D584" s="13"/>
      <c r="E584" s="13"/>
      <c r="F584" s="12"/>
      <c r="G584" s="55"/>
      <c r="H584" s="55"/>
      <c r="I584" s="55"/>
      <c r="J584" s="55"/>
      <c r="K584" s="55"/>
      <c r="L584" s="10"/>
      <c r="M584" s="10"/>
      <c r="N584" s="189"/>
    </row>
    <row r="585" spans="1:14" s="180" customFormat="1" x14ac:dyDescent="0.15">
      <c r="A585" s="11"/>
      <c r="B585" s="13"/>
      <c r="C585" s="12"/>
      <c r="D585" s="13"/>
      <c r="E585" s="13"/>
      <c r="F585" s="12"/>
      <c r="G585" s="55"/>
      <c r="H585" s="55"/>
      <c r="I585" s="55"/>
      <c r="J585" s="55"/>
      <c r="K585" s="55"/>
      <c r="L585" s="10"/>
      <c r="M585" s="10"/>
      <c r="N585" s="189"/>
    </row>
    <row r="586" spans="1:14" s="180" customFormat="1" x14ac:dyDescent="0.15">
      <c r="A586" s="11"/>
      <c r="B586" s="13"/>
      <c r="C586" s="12"/>
      <c r="D586" s="13"/>
      <c r="E586" s="13"/>
      <c r="F586" s="12"/>
      <c r="G586" s="55"/>
      <c r="H586" s="55"/>
      <c r="I586" s="55"/>
      <c r="J586" s="55"/>
      <c r="K586" s="55"/>
      <c r="L586" s="10"/>
      <c r="M586" s="10"/>
      <c r="N586" s="189"/>
    </row>
    <row r="587" spans="1:14" s="180" customFormat="1" x14ac:dyDescent="0.15">
      <c r="A587" s="11"/>
      <c r="B587" s="13"/>
      <c r="C587" s="12"/>
      <c r="D587" s="13"/>
      <c r="E587" s="13"/>
      <c r="F587" s="12"/>
      <c r="G587" s="55"/>
      <c r="H587" s="55"/>
      <c r="I587" s="55"/>
      <c r="J587" s="55"/>
      <c r="K587" s="55"/>
      <c r="L587" s="10"/>
      <c r="M587" s="10"/>
      <c r="N587" s="189"/>
    </row>
    <row r="588" spans="1:14" s="180" customFormat="1" x14ac:dyDescent="0.15">
      <c r="A588" s="11"/>
      <c r="B588" s="13"/>
      <c r="C588" s="12"/>
      <c r="D588" s="13"/>
      <c r="E588" s="13"/>
      <c r="F588" s="12"/>
      <c r="G588" s="55"/>
      <c r="H588" s="55"/>
      <c r="I588" s="55"/>
      <c r="J588" s="55"/>
      <c r="K588" s="55"/>
      <c r="L588" s="10"/>
      <c r="M588" s="10"/>
      <c r="N588" s="189"/>
    </row>
    <row r="589" spans="1:14" s="180" customFormat="1" x14ac:dyDescent="0.15">
      <c r="A589" s="11"/>
      <c r="B589" s="13"/>
      <c r="C589" s="12"/>
      <c r="D589" s="13"/>
      <c r="E589" s="13"/>
      <c r="F589" s="12"/>
      <c r="G589" s="55"/>
      <c r="H589" s="55"/>
      <c r="I589" s="55"/>
      <c r="J589" s="55"/>
      <c r="K589" s="55"/>
      <c r="L589" s="10"/>
      <c r="M589" s="10"/>
      <c r="N589" s="189"/>
    </row>
    <row r="590" spans="1:14" s="180" customFormat="1" x14ac:dyDescent="0.15">
      <c r="A590" s="11"/>
      <c r="B590" s="13"/>
      <c r="C590" s="12"/>
      <c r="D590" s="13"/>
      <c r="E590" s="13"/>
      <c r="F590" s="12"/>
      <c r="G590" s="55"/>
      <c r="H590" s="55"/>
      <c r="I590" s="55"/>
      <c r="J590" s="55"/>
      <c r="K590" s="55"/>
      <c r="L590" s="10"/>
      <c r="M590" s="10"/>
      <c r="N590" s="189"/>
    </row>
    <row r="591" spans="1:14" s="180" customFormat="1" x14ac:dyDescent="0.15">
      <c r="A591" s="11"/>
      <c r="B591" s="13"/>
      <c r="C591" s="12"/>
      <c r="D591" s="13"/>
      <c r="E591" s="13"/>
      <c r="F591" s="12"/>
      <c r="G591" s="55"/>
      <c r="H591" s="55"/>
      <c r="I591" s="55"/>
      <c r="J591" s="55"/>
      <c r="K591" s="55"/>
      <c r="L591" s="10"/>
      <c r="M591" s="10"/>
      <c r="N591" s="189"/>
    </row>
    <row r="592" spans="1:14" s="180" customFormat="1" x14ac:dyDescent="0.15">
      <c r="A592" s="11"/>
      <c r="B592" s="13"/>
      <c r="C592" s="12"/>
      <c r="D592" s="13"/>
      <c r="E592" s="13"/>
      <c r="F592" s="12"/>
      <c r="G592" s="55"/>
      <c r="H592" s="55"/>
      <c r="I592" s="55"/>
      <c r="J592" s="55"/>
      <c r="K592" s="55"/>
      <c r="L592" s="10"/>
      <c r="M592" s="10"/>
      <c r="N592" s="189"/>
    </row>
    <row r="593" spans="1:14" s="180" customFormat="1" x14ac:dyDescent="0.15">
      <c r="A593" s="11"/>
      <c r="B593" s="13"/>
      <c r="C593" s="12"/>
      <c r="D593" s="13"/>
      <c r="E593" s="13"/>
      <c r="F593" s="12"/>
      <c r="G593" s="55"/>
      <c r="H593" s="55"/>
      <c r="I593" s="55"/>
      <c r="J593" s="55"/>
      <c r="K593" s="55"/>
      <c r="L593" s="10"/>
      <c r="M593" s="10"/>
      <c r="N593" s="189"/>
    </row>
    <row r="594" spans="1:14" s="180" customFormat="1" ht="19.5" customHeight="1" x14ac:dyDescent="0.15">
      <c r="A594" s="11"/>
      <c r="B594" s="13"/>
      <c r="C594" s="12"/>
      <c r="D594" s="13"/>
      <c r="E594" s="13"/>
      <c r="F594" s="12"/>
      <c r="G594" s="55"/>
      <c r="H594" s="55"/>
      <c r="I594" s="55"/>
      <c r="J594" s="55"/>
      <c r="K594" s="55"/>
      <c r="L594" s="10"/>
      <c r="M594" s="10"/>
      <c r="N594" s="189"/>
    </row>
  </sheetData>
  <phoneticPr fontId="1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N614"/>
  <sheetViews>
    <sheetView tabSelected="1" zoomScaleNormal="100" workbookViewId="0">
      <pane xSplit="7" ySplit="4" topLeftCell="H5" activePane="bottomRight" state="frozen"/>
      <selection pane="topRight" activeCell="H1" sqref="H1"/>
      <selection pane="bottomLeft" activeCell="A5" sqref="A5"/>
      <selection pane="bottomRight" activeCell="K20" sqref="K20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25" style="12" customWidth="1"/>
    <col min="4" max="4" width="16.125" style="13" customWidth="1"/>
    <col min="5" max="5" width="11.5" style="13" customWidth="1"/>
    <col min="6" max="6" width="3.875" style="12" customWidth="1"/>
    <col min="7" max="7" width="22.75" style="55" customWidth="1"/>
    <col min="8" max="8" width="19.375" style="55" customWidth="1"/>
    <col min="9" max="9" width="23.625" style="55" customWidth="1"/>
    <col min="10" max="10" width="26.25" style="55" customWidth="1"/>
    <col min="11" max="11" width="38.625" style="55" customWidth="1"/>
    <col min="12" max="12" width="19.375" style="158" customWidth="1"/>
    <col min="13" max="13" width="26" style="10" customWidth="1"/>
    <col min="14" max="14" width="17.875" style="55" customWidth="1"/>
    <col min="15" max="15" width="21.625" style="55" customWidth="1"/>
    <col min="16" max="17" width="21.625" style="10" customWidth="1"/>
    <col min="18" max="18" width="19.625" style="155" customWidth="1"/>
    <col min="19" max="19" width="19.625" style="171" customWidth="1"/>
    <col min="20" max="20" width="38.25" style="161" customWidth="1"/>
    <col min="21" max="21" width="38.125" style="55" customWidth="1"/>
    <col min="22" max="23" width="20.125" style="55" customWidth="1"/>
    <col min="24" max="24" width="17" style="155" customWidth="1"/>
    <col min="25" max="25" width="23.25" style="171" customWidth="1"/>
    <col min="26" max="26" width="13" style="165" customWidth="1"/>
    <col min="27" max="27" width="17.875" style="10" customWidth="1"/>
    <col min="28" max="28" width="24" style="55" customWidth="1"/>
    <col min="29" max="32" width="17.875" style="55" customWidth="1"/>
    <col min="33" max="33" width="13" style="167" customWidth="1"/>
    <col min="34" max="35" width="17.875" style="55" customWidth="1"/>
    <col min="36" max="36" width="32.75" style="165" customWidth="1"/>
    <col min="37" max="44" width="21.125" style="55" customWidth="1"/>
    <col min="45" max="45" width="15.25" style="165" customWidth="1"/>
    <col min="46" max="51" width="23.5" style="55" customWidth="1"/>
    <col min="52" max="53" width="33" style="55" customWidth="1"/>
    <col min="54" max="54" width="12.875" style="165" customWidth="1"/>
    <col min="55" max="55" width="23.5" style="55" customWidth="1"/>
    <col min="56" max="56" width="31.625" style="55" customWidth="1"/>
    <col min="57" max="57" width="25.25" style="55" customWidth="1"/>
    <col min="58" max="58" width="10.25" style="165" customWidth="1"/>
    <col min="59" max="59" width="19.125" style="55" customWidth="1"/>
    <col min="60" max="60" width="21.625" style="10" customWidth="1"/>
    <col min="61" max="61" width="13.375" style="55" customWidth="1"/>
    <col min="62" max="64" width="11.75" style="55" customWidth="1"/>
    <col min="65" max="71" width="11.75" style="93" customWidth="1"/>
    <col min="72" max="72" width="17.5" style="141" customWidth="1"/>
    <col min="73" max="91" width="18.5" style="91" customWidth="1"/>
    <col min="92" max="92" width="17.875" style="7" customWidth="1"/>
    <col min="93" max="110" width="17.25" style="91" customWidth="1"/>
    <col min="111" max="111" width="20.125" style="7" customWidth="1"/>
    <col min="112" max="118" width="11.75" style="91" customWidth="1"/>
    <col min="119" max="16384" width="9" style="91"/>
  </cols>
  <sheetData>
    <row r="1" spans="1:118" s="93" customFormat="1" x14ac:dyDescent="0.15">
      <c r="A1" s="11" t="s">
        <v>552</v>
      </c>
      <c r="B1" s="13"/>
      <c r="C1" s="12"/>
      <c r="D1" s="13"/>
      <c r="E1" s="13"/>
      <c r="F1" s="12"/>
      <c r="G1" s="55" t="s">
        <v>779</v>
      </c>
      <c r="H1" s="55" t="s">
        <v>573</v>
      </c>
      <c r="I1" s="55" t="s">
        <v>779</v>
      </c>
      <c r="J1" s="55" t="s">
        <v>573</v>
      </c>
      <c r="K1" s="55" t="s">
        <v>573</v>
      </c>
      <c r="L1" s="158" t="s">
        <v>779</v>
      </c>
      <c r="M1" s="10"/>
      <c r="N1" s="55" t="s">
        <v>779</v>
      </c>
      <c r="O1" s="55" t="s">
        <v>779</v>
      </c>
      <c r="P1" s="10"/>
      <c r="Q1" s="10"/>
      <c r="R1" s="155"/>
      <c r="S1" s="171"/>
      <c r="T1" s="161"/>
      <c r="U1" s="55" t="s">
        <v>60</v>
      </c>
      <c r="V1" s="55"/>
      <c r="W1" s="55"/>
      <c r="X1" s="155"/>
      <c r="Y1" s="171"/>
      <c r="Z1" s="165"/>
      <c r="AA1" s="10"/>
      <c r="AB1" s="55" t="s">
        <v>971</v>
      </c>
      <c r="AC1" s="55" t="s">
        <v>60</v>
      </c>
      <c r="AD1" s="55" t="s">
        <v>60</v>
      </c>
      <c r="AE1" s="55" t="s">
        <v>60</v>
      </c>
      <c r="AF1" s="55" t="s">
        <v>60</v>
      </c>
      <c r="AG1" s="167"/>
      <c r="AH1" s="55" t="s">
        <v>60</v>
      </c>
      <c r="AI1" s="55" t="s">
        <v>60</v>
      </c>
      <c r="AJ1" s="165"/>
      <c r="AK1" s="55" t="s">
        <v>573</v>
      </c>
      <c r="AL1" s="55" t="s">
        <v>573</v>
      </c>
      <c r="AM1" s="55" t="s">
        <v>573</v>
      </c>
      <c r="AN1" s="55" t="s">
        <v>573</v>
      </c>
      <c r="AO1" s="55" t="s">
        <v>573</v>
      </c>
      <c r="AP1" s="55" t="s">
        <v>573</v>
      </c>
      <c r="AQ1" s="55" t="s">
        <v>1254</v>
      </c>
      <c r="AR1" s="55" t="s">
        <v>1254</v>
      </c>
      <c r="AS1" s="165"/>
      <c r="AT1" s="55" t="s">
        <v>573</v>
      </c>
      <c r="AU1" s="55" t="s">
        <v>573</v>
      </c>
      <c r="AV1" s="55" t="s">
        <v>573</v>
      </c>
      <c r="AW1" s="55" t="s">
        <v>573</v>
      </c>
      <c r="AX1" s="55" t="s">
        <v>573</v>
      </c>
      <c r="AY1" s="55" t="s">
        <v>573</v>
      </c>
      <c r="AZ1" s="55" t="s">
        <v>573</v>
      </c>
      <c r="BA1" s="55" t="s">
        <v>1254</v>
      </c>
      <c r="BB1" s="165"/>
      <c r="BC1" s="55" t="s">
        <v>573</v>
      </c>
      <c r="BD1" s="55" t="s">
        <v>573</v>
      </c>
      <c r="BE1" s="55" t="s">
        <v>1029</v>
      </c>
      <c r="BF1" s="165"/>
      <c r="BG1" s="55" t="s">
        <v>573</v>
      </c>
      <c r="BH1" s="10"/>
      <c r="BI1" s="55" t="s">
        <v>573</v>
      </c>
      <c r="BJ1" s="55" t="s">
        <v>573</v>
      </c>
      <c r="BK1" s="55" t="s">
        <v>573</v>
      </c>
      <c r="BL1" s="55" t="s">
        <v>573</v>
      </c>
      <c r="BM1" s="55" t="s">
        <v>573</v>
      </c>
      <c r="BN1" s="55" t="s">
        <v>573</v>
      </c>
      <c r="BO1" s="55" t="s">
        <v>573</v>
      </c>
      <c r="BP1" s="55" t="s">
        <v>573</v>
      </c>
      <c r="BQ1" s="55" t="s">
        <v>573</v>
      </c>
      <c r="BR1" s="55" t="s">
        <v>573</v>
      </c>
      <c r="BS1" s="55" t="s">
        <v>573</v>
      </c>
      <c r="BT1" s="10"/>
      <c r="BU1" s="55" t="s">
        <v>573</v>
      </c>
      <c r="BV1" s="55" t="s">
        <v>573</v>
      </c>
      <c r="BW1" s="55" t="s">
        <v>573</v>
      </c>
      <c r="BX1" s="55" t="s">
        <v>573</v>
      </c>
      <c r="BY1" s="55" t="s">
        <v>573</v>
      </c>
      <c r="BZ1" s="55" t="s">
        <v>573</v>
      </c>
      <c r="CA1" s="55" t="s">
        <v>573</v>
      </c>
      <c r="CB1" s="55" t="s">
        <v>573</v>
      </c>
      <c r="CC1" s="55" t="s">
        <v>573</v>
      </c>
      <c r="CD1" s="55" t="s">
        <v>573</v>
      </c>
      <c r="CE1" s="55" t="s">
        <v>573</v>
      </c>
      <c r="CF1" s="55" t="s">
        <v>573</v>
      </c>
      <c r="CG1" s="55" t="s">
        <v>573</v>
      </c>
      <c r="CH1" s="55" t="s">
        <v>573</v>
      </c>
      <c r="CI1" s="55" t="s">
        <v>573</v>
      </c>
      <c r="CJ1" s="55" t="s">
        <v>573</v>
      </c>
      <c r="CK1" s="55" t="s">
        <v>573</v>
      </c>
      <c r="CL1" s="55" t="s">
        <v>573</v>
      </c>
      <c r="CM1" s="55" t="s">
        <v>573</v>
      </c>
      <c r="CN1" s="10"/>
      <c r="CO1" s="55" t="s">
        <v>573</v>
      </c>
      <c r="CP1" s="55" t="s">
        <v>573</v>
      </c>
      <c r="CQ1" s="55" t="s">
        <v>573</v>
      </c>
      <c r="CR1" s="55" t="s">
        <v>573</v>
      </c>
      <c r="CS1" s="55" t="s">
        <v>573</v>
      </c>
      <c r="CT1" s="55" t="s">
        <v>573</v>
      </c>
      <c r="CU1" s="55" t="s">
        <v>573</v>
      </c>
      <c r="CV1" s="55" t="s">
        <v>573</v>
      </c>
      <c r="CW1" s="55" t="s">
        <v>573</v>
      </c>
      <c r="CX1" s="55" t="s">
        <v>573</v>
      </c>
      <c r="CY1" s="55" t="s">
        <v>573</v>
      </c>
      <c r="CZ1" s="55" t="s">
        <v>573</v>
      </c>
      <c r="DA1" s="55" t="s">
        <v>573</v>
      </c>
      <c r="DB1" s="55" t="s">
        <v>573</v>
      </c>
      <c r="DC1" s="55" t="s">
        <v>573</v>
      </c>
      <c r="DD1" s="55" t="s">
        <v>60</v>
      </c>
      <c r="DE1" s="55" t="s">
        <v>60</v>
      </c>
      <c r="DF1" s="55" t="s">
        <v>60</v>
      </c>
      <c r="DG1" s="10"/>
      <c r="DH1" s="55" t="s">
        <v>573</v>
      </c>
      <c r="DI1" s="55" t="s">
        <v>573</v>
      </c>
      <c r="DJ1" s="55" t="s">
        <v>573</v>
      </c>
      <c r="DK1" s="55" t="s">
        <v>573</v>
      </c>
      <c r="DL1" s="55" t="s">
        <v>573</v>
      </c>
      <c r="DM1" s="55" t="s">
        <v>573</v>
      </c>
      <c r="DN1" s="55" t="s">
        <v>573</v>
      </c>
    </row>
    <row r="2" spans="1:118" s="93" customFormat="1" x14ac:dyDescent="0.15">
      <c r="A2" s="11" t="s">
        <v>61</v>
      </c>
      <c r="B2" s="13"/>
      <c r="C2" s="12"/>
      <c r="D2" s="13"/>
      <c r="E2" s="13"/>
      <c r="F2" s="12"/>
      <c r="G2" s="55" t="s">
        <v>778</v>
      </c>
      <c r="H2" s="55" t="s">
        <v>947</v>
      </c>
      <c r="I2" s="55" t="s">
        <v>778</v>
      </c>
      <c r="J2" s="55" t="s">
        <v>470</v>
      </c>
      <c r="K2" s="55" t="s">
        <v>470</v>
      </c>
      <c r="L2" s="158" t="s">
        <v>780</v>
      </c>
      <c r="M2" s="10"/>
      <c r="N2" s="55" t="s">
        <v>778</v>
      </c>
      <c r="O2" s="55" t="s">
        <v>780</v>
      </c>
      <c r="P2" s="10"/>
      <c r="Q2" s="10"/>
      <c r="R2" s="155"/>
      <c r="S2" s="171"/>
      <c r="T2" s="161"/>
      <c r="U2" s="55" t="s">
        <v>61</v>
      </c>
      <c r="V2" s="55"/>
      <c r="W2" s="55"/>
      <c r="X2" s="155"/>
      <c r="Y2" s="171"/>
      <c r="Z2" s="165"/>
      <c r="AA2" s="10"/>
      <c r="AB2" s="55" t="s">
        <v>970</v>
      </c>
      <c r="AC2" s="55" t="s">
        <v>61</v>
      </c>
      <c r="AD2" s="55" t="s">
        <v>61</v>
      </c>
      <c r="AE2" s="55" t="s">
        <v>61</v>
      </c>
      <c r="AF2" s="55" t="s">
        <v>61</v>
      </c>
      <c r="AG2" s="167"/>
      <c r="AH2" s="55" t="s">
        <v>61</v>
      </c>
      <c r="AI2" s="55" t="s">
        <v>61</v>
      </c>
      <c r="AJ2" s="165"/>
      <c r="AK2" s="55" t="s">
        <v>61</v>
      </c>
      <c r="AL2" s="55" t="s">
        <v>61</v>
      </c>
      <c r="AM2" s="55" t="s">
        <v>61</v>
      </c>
      <c r="AN2" s="55" t="s">
        <v>61</v>
      </c>
      <c r="AO2" s="55" t="s">
        <v>61</v>
      </c>
      <c r="AP2" s="55" t="s">
        <v>61</v>
      </c>
      <c r="AQ2" s="55" t="s">
        <v>1253</v>
      </c>
      <c r="AR2" s="55" t="s">
        <v>1253</v>
      </c>
      <c r="AS2" s="165"/>
      <c r="AT2" s="55" t="s">
        <v>61</v>
      </c>
      <c r="AU2" s="55" t="s">
        <v>61</v>
      </c>
      <c r="AV2" s="55" t="s">
        <v>61</v>
      </c>
      <c r="AW2" s="55" t="s">
        <v>61</v>
      </c>
      <c r="AX2" s="55" t="s">
        <v>61</v>
      </c>
      <c r="AY2" s="55" t="s">
        <v>61</v>
      </c>
      <c r="AZ2" s="55" t="s">
        <v>61</v>
      </c>
      <c r="BA2" s="55" t="s">
        <v>1253</v>
      </c>
      <c r="BB2" s="165"/>
      <c r="BC2" s="55" t="s">
        <v>61</v>
      </c>
      <c r="BD2" s="55" t="s">
        <v>61</v>
      </c>
      <c r="BE2" s="55" t="s">
        <v>1028</v>
      </c>
      <c r="BF2" s="165"/>
      <c r="BG2" s="55" t="s">
        <v>61</v>
      </c>
      <c r="BH2" s="10"/>
      <c r="BI2" s="55" t="s">
        <v>61</v>
      </c>
      <c r="BJ2" s="55" t="s">
        <v>61</v>
      </c>
      <c r="BK2" s="55" t="s">
        <v>61</v>
      </c>
      <c r="BL2" s="55" t="s">
        <v>61</v>
      </c>
      <c r="BM2" s="55" t="s">
        <v>61</v>
      </c>
      <c r="BN2" s="55" t="s">
        <v>61</v>
      </c>
      <c r="BO2" s="55" t="s">
        <v>61</v>
      </c>
      <c r="BP2" s="55" t="s">
        <v>61</v>
      </c>
      <c r="BQ2" s="55" t="s">
        <v>61</v>
      </c>
      <c r="BR2" s="55" t="s">
        <v>61</v>
      </c>
      <c r="BS2" s="55" t="s">
        <v>61</v>
      </c>
      <c r="BT2" s="10"/>
      <c r="BU2" s="55" t="s">
        <v>61</v>
      </c>
      <c r="BV2" s="55" t="s">
        <v>61</v>
      </c>
      <c r="BW2" s="55" t="s">
        <v>61</v>
      </c>
      <c r="BX2" s="55" t="s">
        <v>61</v>
      </c>
      <c r="BY2" s="55" t="s">
        <v>61</v>
      </c>
      <c r="BZ2" s="55" t="s">
        <v>61</v>
      </c>
      <c r="CA2" s="55" t="s">
        <v>61</v>
      </c>
      <c r="CB2" s="55" t="s">
        <v>61</v>
      </c>
      <c r="CC2" s="55" t="s">
        <v>61</v>
      </c>
      <c r="CD2" s="55" t="s">
        <v>61</v>
      </c>
      <c r="CE2" s="55" t="s">
        <v>61</v>
      </c>
      <c r="CF2" s="55" t="s">
        <v>61</v>
      </c>
      <c r="CG2" s="55" t="s">
        <v>61</v>
      </c>
      <c r="CH2" s="55" t="s">
        <v>61</v>
      </c>
      <c r="CI2" s="55" t="s">
        <v>61</v>
      </c>
      <c r="CJ2" s="55" t="s">
        <v>61</v>
      </c>
      <c r="CK2" s="55" t="s">
        <v>61</v>
      </c>
      <c r="CL2" s="55" t="s">
        <v>61</v>
      </c>
      <c r="CM2" s="55" t="s">
        <v>61</v>
      </c>
      <c r="CN2" s="10"/>
      <c r="CO2" s="55" t="s">
        <v>61</v>
      </c>
      <c r="CP2" s="55" t="s">
        <v>61</v>
      </c>
      <c r="CQ2" s="55" t="s">
        <v>61</v>
      </c>
      <c r="CR2" s="55" t="s">
        <v>61</v>
      </c>
      <c r="CS2" s="55" t="s">
        <v>61</v>
      </c>
      <c r="CT2" s="55" t="s">
        <v>61</v>
      </c>
      <c r="CU2" s="55" t="s">
        <v>61</v>
      </c>
      <c r="CV2" s="55" t="s">
        <v>61</v>
      </c>
      <c r="CW2" s="55" t="s">
        <v>61</v>
      </c>
      <c r="CX2" s="55" t="s">
        <v>61</v>
      </c>
      <c r="CY2" s="55" t="s">
        <v>61</v>
      </c>
      <c r="CZ2" s="55" t="s">
        <v>61</v>
      </c>
      <c r="DA2" s="55" t="s">
        <v>61</v>
      </c>
      <c r="DB2" s="55" t="s">
        <v>61</v>
      </c>
      <c r="DC2" s="55" t="s">
        <v>61</v>
      </c>
      <c r="DD2" s="55" t="s">
        <v>61</v>
      </c>
      <c r="DE2" s="55" t="s">
        <v>61</v>
      </c>
      <c r="DF2" s="55" t="s">
        <v>61</v>
      </c>
      <c r="DG2" s="10"/>
      <c r="DH2" s="55" t="s">
        <v>61</v>
      </c>
      <c r="DI2" s="55" t="s">
        <v>61</v>
      </c>
      <c r="DJ2" s="55" t="s">
        <v>61</v>
      </c>
      <c r="DK2" s="55" t="s">
        <v>61</v>
      </c>
      <c r="DL2" s="55" t="s">
        <v>61</v>
      </c>
      <c r="DM2" s="55" t="s">
        <v>61</v>
      </c>
      <c r="DN2" s="55" t="s">
        <v>61</v>
      </c>
    </row>
    <row r="3" spans="1:118" s="93" customFormat="1" x14ac:dyDescent="0.15">
      <c r="A3" s="11" t="s">
        <v>558</v>
      </c>
      <c r="B3" s="13"/>
      <c r="C3" s="12"/>
      <c r="D3" s="13"/>
      <c r="E3" s="13"/>
      <c r="F3" s="12"/>
      <c r="G3" s="55" t="s">
        <v>789</v>
      </c>
      <c r="H3" s="55" t="s">
        <v>946</v>
      </c>
      <c r="I3" s="55" t="s">
        <v>792</v>
      </c>
      <c r="J3" s="55" t="s">
        <v>957</v>
      </c>
      <c r="K3" s="55" t="s">
        <v>958</v>
      </c>
      <c r="L3" s="158" t="s">
        <v>809</v>
      </c>
      <c r="M3" s="10"/>
      <c r="N3" s="55" t="s">
        <v>782</v>
      </c>
      <c r="O3" s="55" t="s">
        <v>801</v>
      </c>
      <c r="P3" s="10"/>
      <c r="Q3" s="10"/>
      <c r="R3" s="155"/>
      <c r="S3" s="171"/>
      <c r="T3" s="161"/>
      <c r="U3" s="55" t="s">
        <v>962</v>
      </c>
      <c r="V3" s="55"/>
      <c r="W3" s="55"/>
      <c r="X3" s="155"/>
      <c r="Y3" s="171"/>
      <c r="Z3" s="165"/>
      <c r="AA3" s="10"/>
      <c r="AB3" s="55" t="s">
        <v>969</v>
      </c>
      <c r="AC3" s="55" t="s">
        <v>784</v>
      </c>
      <c r="AD3" s="55" t="s">
        <v>785</v>
      </c>
      <c r="AE3" s="55" t="s">
        <v>786</v>
      </c>
      <c r="AF3" s="55" t="s">
        <v>787</v>
      </c>
      <c r="AG3" s="167"/>
      <c r="AH3" s="55" t="s">
        <v>1221</v>
      </c>
      <c r="AI3" s="55" t="s">
        <v>1222</v>
      </c>
      <c r="AJ3" s="165"/>
      <c r="AK3" s="38" t="s">
        <v>832</v>
      </c>
      <c r="AL3" s="61" t="s">
        <v>833</v>
      </c>
      <c r="AM3" s="61" t="s">
        <v>834</v>
      </c>
      <c r="AN3" s="61" t="s">
        <v>835</v>
      </c>
      <c r="AO3" s="61" t="s">
        <v>836</v>
      </c>
      <c r="AP3" s="61" t="s">
        <v>837</v>
      </c>
      <c r="AQ3" s="61" t="s">
        <v>1258</v>
      </c>
      <c r="AR3" s="61" t="s">
        <v>1252</v>
      </c>
      <c r="AS3" s="165"/>
      <c r="AT3" s="38" t="s">
        <v>838</v>
      </c>
      <c r="AU3" s="61" t="s">
        <v>839</v>
      </c>
      <c r="AV3" s="61" t="s">
        <v>840</v>
      </c>
      <c r="AW3" s="61" t="s">
        <v>841</v>
      </c>
      <c r="AX3" s="61" t="s">
        <v>842</v>
      </c>
      <c r="AY3" s="61" t="s">
        <v>843</v>
      </c>
      <c r="AZ3" s="61" t="s">
        <v>1259</v>
      </c>
      <c r="BA3" s="61" t="s">
        <v>1256</v>
      </c>
      <c r="BB3" s="165"/>
      <c r="BC3" s="38" t="s">
        <v>882</v>
      </c>
      <c r="BD3" s="61" t="s">
        <v>819</v>
      </c>
      <c r="BE3" s="61" t="s">
        <v>1026</v>
      </c>
      <c r="BF3" s="165"/>
      <c r="BG3" s="38" t="s">
        <v>798</v>
      </c>
      <c r="BH3" s="10"/>
      <c r="BI3" s="38" t="s">
        <v>1169</v>
      </c>
      <c r="BJ3" s="61" t="s">
        <v>1170</v>
      </c>
      <c r="BK3" s="61" t="s">
        <v>1171</v>
      </c>
      <c r="BL3" s="61" t="s">
        <v>1172</v>
      </c>
      <c r="BM3" s="35" t="s">
        <v>1173</v>
      </c>
      <c r="BN3" s="35" t="s">
        <v>1174</v>
      </c>
      <c r="BO3" s="35" t="s">
        <v>1175</v>
      </c>
      <c r="BP3" s="61" t="s">
        <v>1176</v>
      </c>
      <c r="BQ3" s="35" t="s">
        <v>1177</v>
      </c>
      <c r="BR3" s="35" t="s">
        <v>1178</v>
      </c>
      <c r="BS3" s="35" t="s">
        <v>1179</v>
      </c>
      <c r="BT3" s="36"/>
      <c r="BU3" s="35" t="s">
        <v>1180</v>
      </c>
      <c r="BV3" s="35" t="s">
        <v>1181</v>
      </c>
      <c r="BW3" s="35" t="s">
        <v>1182</v>
      </c>
      <c r="BX3" s="35" t="s">
        <v>1183</v>
      </c>
      <c r="BY3" s="35" t="s">
        <v>1184</v>
      </c>
      <c r="BZ3" s="35" t="s">
        <v>1185</v>
      </c>
      <c r="CA3" s="35" t="s">
        <v>1186</v>
      </c>
      <c r="CB3" s="35" t="s">
        <v>1187</v>
      </c>
      <c r="CC3" s="35" t="s">
        <v>1188</v>
      </c>
      <c r="CD3" s="35" t="s">
        <v>1189</v>
      </c>
      <c r="CE3" s="35" t="s">
        <v>1190</v>
      </c>
      <c r="CF3" s="35" t="s">
        <v>1191</v>
      </c>
      <c r="CG3" s="35" t="s">
        <v>1192</v>
      </c>
      <c r="CH3" s="35" t="s">
        <v>1193</v>
      </c>
      <c r="CI3" s="35" t="s">
        <v>1194</v>
      </c>
      <c r="CJ3" s="35" t="s">
        <v>1195</v>
      </c>
      <c r="CK3" s="35" t="s">
        <v>1196</v>
      </c>
      <c r="CL3" s="35" t="s">
        <v>1197</v>
      </c>
      <c r="CM3" s="35" t="s">
        <v>1198</v>
      </c>
      <c r="CN3" s="36"/>
      <c r="CO3" s="35" t="s">
        <v>1199</v>
      </c>
      <c r="CP3" s="35" t="s">
        <v>1200</v>
      </c>
      <c r="CQ3" s="35" t="s">
        <v>1201</v>
      </c>
      <c r="CR3" s="35" t="s">
        <v>1202</v>
      </c>
      <c r="CS3" s="35" t="s">
        <v>1203</v>
      </c>
      <c r="CT3" s="35" t="s">
        <v>1204</v>
      </c>
      <c r="CU3" s="35" t="s">
        <v>1205</v>
      </c>
      <c r="CV3" s="35" t="s">
        <v>1206</v>
      </c>
      <c r="CW3" s="35" t="s">
        <v>1207</v>
      </c>
      <c r="CX3" s="35" t="s">
        <v>1208</v>
      </c>
      <c r="CY3" s="35" t="s">
        <v>1209</v>
      </c>
      <c r="CZ3" s="35" t="s">
        <v>1210</v>
      </c>
      <c r="DA3" s="35" t="s">
        <v>1211</v>
      </c>
      <c r="DB3" s="35" t="s">
        <v>1212</v>
      </c>
      <c r="DC3" s="35" t="s">
        <v>1213</v>
      </c>
      <c r="DD3" s="35" t="s">
        <v>1446</v>
      </c>
      <c r="DE3" s="35" t="s">
        <v>1448</v>
      </c>
      <c r="DF3" s="35" t="s">
        <v>1447</v>
      </c>
      <c r="DG3" s="36"/>
      <c r="DH3" s="35" t="s">
        <v>1214</v>
      </c>
      <c r="DI3" s="35" t="s">
        <v>1215</v>
      </c>
      <c r="DJ3" s="35" t="s">
        <v>1216</v>
      </c>
      <c r="DK3" s="35" t="s">
        <v>1217</v>
      </c>
      <c r="DL3" s="35" t="s">
        <v>1218</v>
      </c>
      <c r="DM3" s="35" t="s">
        <v>1219</v>
      </c>
      <c r="DN3" s="35" t="s">
        <v>1220</v>
      </c>
    </row>
    <row r="4" spans="1:118" s="92" customFormat="1" ht="118.5" customHeight="1" thickBot="1" x14ac:dyDescent="0.2">
      <c r="A4" s="94" t="s">
        <v>558</v>
      </c>
      <c r="B4" s="106" t="s">
        <v>575</v>
      </c>
      <c r="C4" s="107" t="s">
        <v>1319</v>
      </c>
      <c r="D4" s="106" t="s">
        <v>861</v>
      </c>
      <c r="E4" s="106" t="s">
        <v>862</v>
      </c>
      <c r="F4" s="107"/>
      <c r="G4" s="57" t="s">
        <v>790</v>
      </c>
      <c r="H4" s="57" t="s">
        <v>948</v>
      </c>
      <c r="I4" s="57" t="s">
        <v>1031</v>
      </c>
      <c r="J4" s="57" t="s">
        <v>1032</v>
      </c>
      <c r="K4" s="57" t="s">
        <v>1033</v>
      </c>
      <c r="L4" s="159" t="s">
        <v>808</v>
      </c>
      <c r="M4" s="142" t="s">
        <v>791</v>
      </c>
      <c r="N4" s="89" t="s">
        <v>781</v>
      </c>
      <c r="O4" s="55" t="s">
        <v>949</v>
      </c>
      <c r="P4" s="10"/>
      <c r="Q4" s="10" t="s">
        <v>1322</v>
      </c>
      <c r="R4" s="155" t="s">
        <v>989</v>
      </c>
      <c r="S4" s="171" t="s">
        <v>963</v>
      </c>
      <c r="T4" s="161" t="s">
        <v>966</v>
      </c>
      <c r="U4" s="55" t="s">
        <v>967</v>
      </c>
      <c r="V4" s="55" t="s">
        <v>983</v>
      </c>
      <c r="W4" s="55" t="s">
        <v>984</v>
      </c>
      <c r="X4" s="155" t="s">
        <v>980</v>
      </c>
      <c r="Y4" s="171" t="s">
        <v>964</v>
      </c>
      <c r="Z4" s="165" t="s">
        <v>797</v>
      </c>
      <c r="AA4" s="10" t="s">
        <v>788</v>
      </c>
      <c r="AB4" s="55" t="s">
        <v>968</v>
      </c>
      <c r="AC4" s="55" t="s">
        <v>863</v>
      </c>
      <c r="AD4" s="55" t="s">
        <v>864</v>
      </c>
      <c r="AE4" s="55" t="s">
        <v>865</v>
      </c>
      <c r="AF4" s="55" t="s">
        <v>866</v>
      </c>
      <c r="AG4" s="168" t="s">
        <v>965</v>
      </c>
      <c r="AH4" s="55" t="s">
        <v>867</v>
      </c>
      <c r="AI4" s="55" t="s">
        <v>868</v>
      </c>
      <c r="AJ4" s="170" t="s">
        <v>950</v>
      </c>
      <c r="AK4" s="38" t="s">
        <v>869</v>
      </c>
      <c r="AL4" s="61" t="s">
        <v>870</v>
      </c>
      <c r="AM4" s="61" t="s">
        <v>871</v>
      </c>
      <c r="AN4" s="61" t="s">
        <v>872</v>
      </c>
      <c r="AO4" s="61" t="s">
        <v>873</v>
      </c>
      <c r="AP4" s="61" t="s">
        <v>874</v>
      </c>
      <c r="AQ4" s="61" t="s">
        <v>1257</v>
      </c>
      <c r="AR4" s="61" t="s">
        <v>1251</v>
      </c>
      <c r="AS4" s="165" t="s">
        <v>875</v>
      </c>
      <c r="AT4" s="38" t="s">
        <v>876</v>
      </c>
      <c r="AU4" s="61" t="s">
        <v>877</v>
      </c>
      <c r="AV4" s="61" t="s">
        <v>878</v>
      </c>
      <c r="AW4" s="61" t="s">
        <v>879</v>
      </c>
      <c r="AX4" s="61" t="s">
        <v>880</v>
      </c>
      <c r="AY4" s="61" t="s">
        <v>881</v>
      </c>
      <c r="AZ4" s="61" t="s">
        <v>886</v>
      </c>
      <c r="BA4" s="61" t="s">
        <v>1255</v>
      </c>
      <c r="BB4" s="165" t="s">
        <v>820</v>
      </c>
      <c r="BC4" s="38" t="s">
        <v>883</v>
      </c>
      <c r="BD4" s="61" t="s">
        <v>884</v>
      </c>
      <c r="BE4" s="61" t="s">
        <v>1027</v>
      </c>
      <c r="BF4" s="165" t="s">
        <v>844</v>
      </c>
      <c r="BG4" s="38" t="s">
        <v>887</v>
      </c>
      <c r="BH4" s="10" t="s">
        <v>975</v>
      </c>
      <c r="BI4" s="38" t="s">
        <v>888</v>
      </c>
      <c r="BJ4" s="61" t="s">
        <v>889</v>
      </c>
      <c r="BK4" s="61" t="s">
        <v>890</v>
      </c>
      <c r="BL4" s="61" t="s">
        <v>891</v>
      </c>
      <c r="BM4" s="35" t="s">
        <v>892</v>
      </c>
      <c r="BN4" s="35" t="s">
        <v>893</v>
      </c>
      <c r="BO4" s="35" t="s">
        <v>894</v>
      </c>
      <c r="BP4" s="61" t="s">
        <v>895</v>
      </c>
      <c r="BQ4" s="35" t="s">
        <v>896</v>
      </c>
      <c r="BR4" s="35" t="s">
        <v>897</v>
      </c>
      <c r="BS4" s="35" t="s">
        <v>898</v>
      </c>
      <c r="BT4" s="36" t="s">
        <v>974</v>
      </c>
      <c r="BU4" s="35" t="s">
        <v>899</v>
      </c>
      <c r="BV4" s="35" t="s">
        <v>900</v>
      </c>
      <c r="BW4" s="35" t="s">
        <v>901</v>
      </c>
      <c r="BX4" s="35" t="s">
        <v>902</v>
      </c>
      <c r="BY4" s="35" t="s">
        <v>903</v>
      </c>
      <c r="BZ4" s="35" t="s">
        <v>904</v>
      </c>
      <c r="CA4" s="35" t="s">
        <v>905</v>
      </c>
      <c r="CB4" s="35" t="s">
        <v>906</v>
      </c>
      <c r="CC4" s="35" t="s">
        <v>907</v>
      </c>
      <c r="CD4" s="35" t="s">
        <v>908</v>
      </c>
      <c r="CE4" s="35" t="s">
        <v>909</v>
      </c>
      <c r="CF4" s="35" t="s">
        <v>910</v>
      </c>
      <c r="CG4" s="35" t="s">
        <v>911</v>
      </c>
      <c r="CH4" s="35" t="s">
        <v>912</v>
      </c>
      <c r="CI4" s="35" t="s">
        <v>913</v>
      </c>
      <c r="CJ4" s="35" t="s">
        <v>914</v>
      </c>
      <c r="CK4" s="35" t="s">
        <v>915</v>
      </c>
      <c r="CL4" s="35" t="s">
        <v>916</v>
      </c>
      <c r="CM4" s="35" t="s">
        <v>917</v>
      </c>
      <c r="CN4" s="36" t="s">
        <v>973</v>
      </c>
      <c r="CO4" s="35" t="s">
        <v>918</v>
      </c>
      <c r="CP4" s="35" t="s">
        <v>919</v>
      </c>
      <c r="CQ4" s="35" t="s">
        <v>920</v>
      </c>
      <c r="CR4" s="35" t="s">
        <v>921</v>
      </c>
      <c r="CS4" s="35" t="s">
        <v>922</v>
      </c>
      <c r="CT4" s="35" t="s">
        <v>923</v>
      </c>
      <c r="CU4" s="35" t="s">
        <v>924</v>
      </c>
      <c r="CV4" s="35" t="s">
        <v>925</v>
      </c>
      <c r="CW4" s="35" t="s">
        <v>939</v>
      </c>
      <c r="CX4" s="35" t="s">
        <v>938</v>
      </c>
      <c r="CY4" s="35" t="s">
        <v>937</v>
      </c>
      <c r="CZ4" s="35" t="s">
        <v>936</v>
      </c>
      <c r="DA4" s="35" t="s">
        <v>935</v>
      </c>
      <c r="DB4" s="35" t="s">
        <v>934</v>
      </c>
      <c r="DC4" s="35" t="s">
        <v>933</v>
      </c>
      <c r="DD4" s="35" t="s">
        <v>1442</v>
      </c>
      <c r="DE4" s="35" t="s">
        <v>1443</v>
      </c>
      <c r="DF4" s="35" t="s">
        <v>1444</v>
      </c>
      <c r="DG4" s="36" t="s">
        <v>972</v>
      </c>
      <c r="DH4" s="35" t="s">
        <v>932</v>
      </c>
      <c r="DI4" s="35" t="s">
        <v>931</v>
      </c>
      <c r="DJ4" s="35" t="s">
        <v>930</v>
      </c>
      <c r="DK4" s="35" t="s">
        <v>929</v>
      </c>
      <c r="DL4" s="35" t="s">
        <v>928</v>
      </c>
      <c r="DM4" s="35" t="s">
        <v>927</v>
      </c>
      <c r="DN4" s="35" t="s">
        <v>926</v>
      </c>
    </row>
    <row r="5" spans="1:118" s="110" customFormat="1" x14ac:dyDescent="0.15">
      <c r="A5" s="18">
        <f>B5*10000000+C5*1000000+D5*10000+E5*100+F5</f>
        <v>60010101</v>
      </c>
      <c r="B5" s="20">
        <v>6</v>
      </c>
      <c r="C5" s="19">
        <v>0</v>
      </c>
      <c r="D5" s="20">
        <v>1</v>
      </c>
      <c r="E5" s="20">
        <v>1</v>
      </c>
      <c r="F5" s="19">
        <v>1</v>
      </c>
      <c r="G5" s="56" t="s">
        <v>845</v>
      </c>
      <c r="H5" s="56">
        <v>1</v>
      </c>
      <c r="I5" s="56" t="s">
        <v>1459</v>
      </c>
      <c r="J5" s="56" t="s">
        <v>1460</v>
      </c>
      <c r="K5" s="56" t="s">
        <v>1056</v>
      </c>
      <c r="L5" s="160">
        <v>240</v>
      </c>
      <c r="M5" s="17" t="s">
        <v>943</v>
      </c>
      <c r="N5" s="56" t="s">
        <v>1273</v>
      </c>
      <c r="O5" s="56">
        <v>240</v>
      </c>
      <c r="P5" s="17">
        <f>Q5*12</f>
        <v>240</v>
      </c>
      <c r="Q5" s="17">
        <v>20</v>
      </c>
      <c r="R5" s="156">
        <f>IF((1-(1-O5/100000)^1440)=0,"",1-(1-O5/100000)^1440)</f>
        <v>0.96857507299959522</v>
      </c>
      <c r="S5" s="172">
        <f>IF((O5/100000)*1440=0,"",(O5/100000)*1440)</f>
        <v>3.4559999999999995</v>
      </c>
      <c r="T5" s="162"/>
      <c r="U5" s="56"/>
      <c r="V5" s="56"/>
      <c r="W5" s="56"/>
      <c r="X5" s="156" t="str">
        <f t="shared" ref="X5:X68" si="0">IF((1-(1-U5/100000)^L5)=0,"",1-(1-U5/100000)^L5)</f>
        <v/>
      </c>
      <c r="Y5" s="172" t="str">
        <f t="shared" ref="Y5:Y69" si="1">IF((U5/100000)*L5=0,"",(U5/100000)*L5)</f>
        <v/>
      </c>
      <c r="Z5" s="166"/>
      <c r="AA5" s="17"/>
      <c r="AB5" s="150">
        <v>120</v>
      </c>
      <c r="AD5" s="56"/>
      <c r="AE5" s="56"/>
      <c r="AF5" s="150">
        <v>110</v>
      </c>
      <c r="AG5" s="169"/>
      <c r="AH5" s="56"/>
      <c r="AI5" s="56"/>
      <c r="AJ5" s="166"/>
      <c r="AK5" s="56"/>
      <c r="AL5" s="56"/>
      <c r="AM5" s="56"/>
      <c r="AN5" s="56"/>
      <c r="AO5" s="56"/>
      <c r="AP5" s="56"/>
      <c r="AQ5" s="56"/>
      <c r="AR5" s="56"/>
      <c r="AS5" s="166"/>
      <c r="AT5" s="56"/>
      <c r="AU5" s="56"/>
      <c r="AV5" s="56"/>
      <c r="AW5" s="56"/>
      <c r="AX5" s="56"/>
      <c r="AY5" s="56"/>
      <c r="AZ5" s="56"/>
      <c r="BA5" s="56"/>
      <c r="BB5" s="166"/>
      <c r="BC5" s="56"/>
      <c r="BD5" s="56"/>
      <c r="BE5" s="56"/>
      <c r="BF5" s="166"/>
      <c r="BG5" s="150">
        <v>200</v>
      </c>
      <c r="BH5" s="17"/>
      <c r="BI5" s="150">
        <v>110</v>
      </c>
      <c r="BJ5" s="150">
        <v>110</v>
      </c>
      <c r="BK5" s="150">
        <v>110</v>
      </c>
      <c r="BL5" s="150">
        <v>110</v>
      </c>
      <c r="BM5" s="150">
        <v>110</v>
      </c>
      <c r="BN5" s="150">
        <v>110</v>
      </c>
      <c r="BO5" s="150">
        <v>110</v>
      </c>
      <c r="BP5" s="150">
        <v>110</v>
      </c>
      <c r="BQ5" s="150">
        <v>110</v>
      </c>
      <c r="BR5" s="150">
        <v>110</v>
      </c>
      <c r="BS5" s="150">
        <v>110</v>
      </c>
      <c r="BT5" s="140"/>
      <c r="BU5" s="151">
        <v>110</v>
      </c>
      <c r="BV5" s="151">
        <v>110</v>
      </c>
      <c r="BW5" s="151">
        <v>110</v>
      </c>
      <c r="BX5" s="151">
        <v>110</v>
      </c>
      <c r="BY5" s="151">
        <v>110</v>
      </c>
      <c r="BZ5" s="151">
        <v>110</v>
      </c>
      <c r="CA5" s="151">
        <v>110</v>
      </c>
      <c r="CB5" s="151">
        <v>110</v>
      </c>
      <c r="CC5" s="151">
        <v>110</v>
      </c>
      <c r="CD5" s="151">
        <v>110</v>
      </c>
      <c r="CE5" s="151">
        <v>110</v>
      </c>
      <c r="CF5" s="151">
        <v>110</v>
      </c>
      <c r="CG5" s="151">
        <v>110</v>
      </c>
      <c r="CH5" s="151">
        <v>110</v>
      </c>
      <c r="CI5" s="151">
        <v>110</v>
      </c>
      <c r="CJ5" s="151">
        <v>110</v>
      </c>
      <c r="CK5" s="151">
        <v>110</v>
      </c>
      <c r="CL5" s="151">
        <v>110</v>
      </c>
      <c r="CM5" s="151">
        <v>110</v>
      </c>
      <c r="CN5" s="140"/>
      <c r="CO5" s="151">
        <v>120</v>
      </c>
      <c r="CP5" s="151">
        <v>120</v>
      </c>
      <c r="CQ5" s="151">
        <v>120</v>
      </c>
      <c r="CR5" s="151">
        <v>120</v>
      </c>
      <c r="CS5" s="151">
        <v>120</v>
      </c>
      <c r="CT5" s="151">
        <v>120</v>
      </c>
      <c r="CU5" s="151">
        <v>120</v>
      </c>
      <c r="CV5" s="151">
        <v>120</v>
      </c>
      <c r="CW5" s="151">
        <v>120</v>
      </c>
      <c r="CX5" s="151">
        <v>120</v>
      </c>
      <c r="CY5" s="151">
        <v>120</v>
      </c>
      <c r="CZ5" s="151">
        <v>120</v>
      </c>
      <c r="DA5" s="151">
        <v>120</v>
      </c>
      <c r="DB5" s="151">
        <v>120</v>
      </c>
      <c r="DC5" s="151">
        <v>120</v>
      </c>
      <c r="DD5" s="151">
        <v>120</v>
      </c>
      <c r="DE5" s="151">
        <v>120</v>
      </c>
      <c r="DF5" s="151">
        <v>120</v>
      </c>
      <c r="DG5" s="140"/>
      <c r="DH5" s="151">
        <v>120</v>
      </c>
      <c r="DI5" s="151">
        <v>120</v>
      </c>
      <c r="DJ5" s="151">
        <v>120</v>
      </c>
      <c r="DK5" s="151">
        <v>120</v>
      </c>
      <c r="DL5" s="151">
        <v>120</v>
      </c>
      <c r="DM5" s="151">
        <v>120</v>
      </c>
      <c r="DN5" s="151">
        <v>120</v>
      </c>
    </row>
    <row r="6" spans="1:118" x14ac:dyDescent="0.15">
      <c r="A6" s="11">
        <f t="shared" ref="A6:A89" si="2">B6*10000000+C6*1000000+D6*10000+E6*100+F6</f>
        <v>60010102</v>
      </c>
      <c r="B6" s="13">
        <v>6</v>
      </c>
      <c r="C6" s="12">
        <v>0</v>
      </c>
      <c r="D6" s="13">
        <v>1</v>
      </c>
      <c r="E6" s="13">
        <v>1</v>
      </c>
      <c r="F6" s="12">
        <v>2</v>
      </c>
      <c r="G6" s="55" t="s">
        <v>793</v>
      </c>
      <c r="H6" s="55">
        <v>3</v>
      </c>
      <c r="I6" s="55" t="s">
        <v>1030</v>
      </c>
      <c r="J6" s="55" t="s">
        <v>1460</v>
      </c>
      <c r="L6" s="158">
        <v>240</v>
      </c>
      <c r="M6" s="10" t="s">
        <v>944</v>
      </c>
      <c r="N6" s="55" t="s">
        <v>1274</v>
      </c>
      <c r="O6" s="55">
        <v>180</v>
      </c>
      <c r="P6" s="10">
        <f t="shared" ref="P6:P69" si="3">Q6*12</f>
        <v>180</v>
      </c>
      <c r="Q6" s="10">
        <v>15</v>
      </c>
      <c r="R6" s="155">
        <f t="shared" ref="R6:R69" si="4">IF((1-(1-O6/100000)^1440)=0,"",1-(1-O6/100000)^1440)</f>
        <v>0.92530451296137672</v>
      </c>
      <c r="S6" s="171">
        <f t="shared" ref="S6:S69" si="5">IF((O6/100000)*1440=0,"",(O6/100000)*1440)</f>
        <v>2.5920000000000001</v>
      </c>
      <c r="X6" s="155" t="str">
        <f t="shared" si="0"/>
        <v/>
      </c>
      <c r="Y6" s="171" t="str">
        <f t="shared" si="1"/>
        <v/>
      </c>
      <c r="AB6" s="149">
        <v>160</v>
      </c>
      <c r="AF6" s="149">
        <v>120</v>
      </c>
      <c r="BG6" s="149">
        <v>300</v>
      </c>
      <c r="BI6" s="149">
        <v>120</v>
      </c>
      <c r="BJ6" s="149">
        <v>120</v>
      </c>
      <c r="BK6" s="149">
        <v>120</v>
      </c>
      <c r="BL6" s="149">
        <v>120</v>
      </c>
      <c r="BM6" s="149">
        <v>120</v>
      </c>
      <c r="BN6" s="149">
        <v>120</v>
      </c>
      <c r="BO6" s="149">
        <v>120</v>
      </c>
      <c r="BP6" s="149">
        <v>120</v>
      </c>
      <c r="BQ6" s="149">
        <v>120</v>
      </c>
      <c r="BR6" s="149">
        <v>120</v>
      </c>
      <c r="BS6" s="149">
        <v>120</v>
      </c>
      <c r="BU6" s="152">
        <v>120</v>
      </c>
      <c r="BV6" s="152">
        <v>120</v>
      </c>
      <c r="BW6" s="152">
        <v>120</v>
      </c>
      <c r="BX6" s="152">
        <v>120</v>
      </c>
      <c r="BY6" s="152">
        <v>120</v>
      </c>
      <c r="BZ6" s="152">
        <v>120</v>
      </c>
      <c r="CA6" s="152">
        <v>120</v>
      </c>
      <c r="CB6" s="152">
        <v>120</v>
      </c>
      <c r="CC6" s="152">
        <v>120</v>
      </c>
      <c r="CD6" s="152">
        <v>120</v>
      </c>
      <c r="CE6" s="152">
        <v>120</v>
      </c>
      <c r="CF6" s="152">
        <v>120</v>
      </c>
      <c r="CG6" s="152">
        <v>120</v>
      </c>
      <c r="CH6" s="152">
        <v>120</v>
      </c>
      <c r="CI6" s="152">
        <v>120</v>
      </c>
      <c r="CJ6" s="152">
        <v>120</v>
      </c>
      <c r="CK6" s="152">
        <v>120</v>
      </c>
      <c r="CL6" s="152">
        <v>120</v>
      </c>
      <c r="CM6" s="152">
        <v>120</v>
      </c>
      <c r="CO6" s="152">
        <v>140</v>
      </c>
      <c r="CP6" s="152">
        <v>140</v>
      </c>
      <c r="CQ6" s="152">
        <v>140</v>
      </c>
      <c r="CR6" s="152">
        <v>140</v>
      </c>
      <c r="CS6" s="152">
        <v>140</v>
      </c>
      <c r="CT6" s="152">
        <v>140</v>
      </c>
      <c r="CU6" s="152">
        <v>140</v>
      </c>
      <c r="CV6" s="152">
        <v>140</v>
      </c>
      <c r="CW6" s="152">
        <v>140</v>
      </c>
      <c r="CX6" s="152">
        <v>140</v>
      </c>
      <c r="CY6" s="152">
        <v>140</v>
      </c>
      <c r="CZ6" s="152">
        <v>140</v>
      </c>
      <c r="DA6" s="152">
        <v>140</v>
      </c>
      <c r="DB6" s="152">
        <v>140</v>
      </c>
      <c r="DC6" s="152">
        <v>140</v>
      </c>
      <c r="DD6" s="152">
        <v>140</v>
      </c>
      <c r="DE6" s="152">
        <v>140</v>
      </c>
      <c r="DF6" s="152">
        <v>140</v>
      </c>
      <c r="DH6" s="152">
        <v>140</v>
      </c>
      <c r="DI6" s="152">
        <v>140</v>
      </c>
      <c r="DJ6" s="152">
        <v>140</v>
      </c>
      <c r="DK6" s="152">
        <v>140</v>
      </c>
      <c r="DL6" s="152">
        <v>140</v>
      </c>
      <c r="DM6" s="152">
        <v>140</v>
      </c>
      <c r="DN6" s="152">
        <v>140</v>
      </c>
    </row>
    <row r="7" spans="1:118" x14ac:dyDescent="0.15">
      <c r="A7" s="11">
        <f t="shared" si="2"/>
        <v>60010103</v>
      </c>
      <c r="B7" s="13">
        <v>6</v>
      </c>
      <c r="C7" s="12">
        <v>0</v>
      </c>
      <c r="D7" s="13">
        <v>1</v>
      </c>
      <c r="E7" s="13">
        <v>1</v>
      </c>
      <c r="F7" s="12">
        <v>3</v>
      </c>
      <c r="G7" s="55" t="s">
        <v>794</v>
      </c>
      <c r="H7" s="55">
        <v>5</v>
      </c>
      <c r="I7" s="55" t="s">
        <v>1030</v>
      </c>
      <c r="J7" s="55" t="s">
        <v>1043</v>
      </c>
      <c r="L7" s="158">
        <v>240</v>
      </c>
      <c r="M7" s="153" t="s">
        <v>945</v>
      </c>
      <c r="N7" s="55" t="s">
        <v>1275</v>
      </c>
      <c r="O7" s="55">
        <v>120</v>
      </c>
      <c r="P7" s="10">
        <f t="shared" si="3"/>
        <v>120</v>
      </c>
      <c r="Q7" s="10">
        <v>10</v>
      </c>
      <c r="R7" s="155">
        <f t="shared" si="4"/>
        <v>0.82254489474286463</v>
      </c>
      <c r="S7" s="171">
        <f t="shared" si="5"/>
        <v>1.7279999999999998</v>
      </c>
      <c r="X7" s="155" t="str">
        <f t="shared" si="0"/>
        <v/>
      </c>
      <c r="Y7" s="171" t="str">
        <f t="shared" si="1"/>
        <v/>
      </c>
      <c r="AB7" s="149">
        <v>220</v>
      </c>
      <c r="AF7" s="149">
        <v>130</v>
      </c>
      <c r="BG7" s="149">
        <v>400</v>
      </c>
      <c r="BI7" s="149">
        <v>130</v>
      </c>
      <c r="BJ7" s="149">
        <v>130</v>
      </c>
      <c r="BK7" s="149">
        <v>130</v>
      </c>
      <c r="BL7" s="149">
        <v>130</v>
      </c>
      <c r="BM7" s="149">
        <v>130</v>
      </c>
      <c r="BN7" s="149">
        <v>130</v>
      </c>
      <c r="BO7" s="149">
        <v>130</v>
      </c>
      <c r="BP7" s="149">
        <v>130</v>
      </c>
      <c r="BQ7" s="149">
        <v>130</v>
      </c>
      <c r="BR7" s="149">
        <v>130</v>
      </c>
      <c r="BS7" s="149">
        <v>130</v>
      </c>
      <c r="BU7" s="152">
        <v>130</v>
      </c>
      <c r="BV7" s="152">
        <v>130</v>
      </c>
      <c r="BW7" s="152">
        <v>130</v>
      </c>
      <c r="BX7" s="152">
        <v>130</v>
      </c>
      <c r="BY7" s="152">
        <v>130</v>
      </c>
      <c r="BZ7" s="152">
        <v>130</v>
      </c>
      <c r="CA7" s="152">
        <v>130</v>
      </c>
      <c r="CB7" s="152">
        <v>130</v>
      </c>
      <c r="CC7" s="152">
        <v>130</v>
      </c>
      <c r="CD7" s="152">
        <v>130</v>
      </c>
      <c r="CE7" s="152">
        <v>130</v>
      </c>
      <c r="CF7" s="152">
        <v>130</v>
      </c>
      <c r="CG7" s="152">
        <v>130</v>
      </c>
      <c r="CH7" s="152">
        <v>130</v>
      </c>
      <c r="CI7" s="152">
        <v>130</v>
      </c>
      <c r="CJ7" s="152">
        <v>130</v>
      </c>
      <c r="CK7" s="152">
        <v>130</v>
      </c>
      <c r="CL7" s="152">
        <v>130</v>
      </c>
      <c r="CM7" s="152">
        <v>130</v>
      </c>
      <c r="CO7" s="152">
        <v>160</v>
      </c>
      <c r="CP7" s="152">
        <v>160</v>
      </c>
      <c r="CQ7" s="152">
        <v>160</v>
      </c>
      <c r="CR7" s="152">
        <v>160</v>
      </c>
      <c r="CS7" s="152">
        <v>160</v>
      </c>
      <c r="CT7" s="152">
        <v>160</v>
      </c>
      <c r="CU7" s="152">
        <v>160</v>
      </c>
      <c r="CV7" s="152">
        <v>160</v>
      </c>
      <c r="CW7" s="152">
        <v>160</v>
      </c>
      <c r="CX7" s="152">
        <v>160</v>
      </c>
      <c r="CY7" s="152">
        <v>160</v>
      </c>
      <c r="CZ7" s="152">
        <v>160</v>
      </c>
      <c r="DA7" s="152">
        <v>160</v>
      </c>
      <c r="DB7" s="152">
        <v>160</v>
      </c>
      <c r="DC7" s="152">
        <v>160</v>
      </c>
      <c r="DD7" s="152">
        <v>160</v>
      </c>
      <c r="DE7" s="152">
        <v>160</v>
      </c>
      <c r="DF7" s="152">
        <v>160</v>
      </c>
      <c r="DH7" s="152">
        <v>160</v>
      </c>
      <c r="DI7" s="152">
        <v>160</v>
      </c>
      <c r="DJ7" s="152">
        <v>160</v>
      </c>
      <c r="DK7" s="152">
        <v>160</v>
      </c>
      <c r="DL7" s="152">
        <v>160</v>
      </c>
      <c r="DM7" s="152">
        <v>160</v>
      </c>
      <c r="DN7" s="152">
        <v>160</v>
      </c>
    </row>
    <row r="8" spans="1:118" x14ac:dyDescent="0.15">
      <c r="A8" s="11">
        <f t="shared" si="2"/>
        <v>60010104</v>
      </c>
      <c r="B8" s="13">
        <v>6</v>
      </c>
      <c r="C8" s="12">
        <v>0</v>
      </c>
      <c r="D8" s="13">
        <v>1</v>
      </c>
      <c r="E8" s="13">
        <v>1</v>
      </c>
      <c r="F8" s="12">
        <v>4</v>
      </c>
      <c r="G8" s="55" t="s">
        <v>846</v>
      </c>
      <c r="H8" s="55">
        <v>1</v>
      </c>
      <c r="I8" s="55" t="s">
        <v>1036</v>
      </c>
      <c r="J8" s="55" t="s">
        <v>1044</v>
      </c>
      <c r="L8" s="158">
        <v>240</v>
      </c>
      <c r="N8" s="55" t="s">
        <v>1276</v>
      </c>
      <c r="O8" s="55">
        <v>240</v>
      </c>
      <c r="P8" s="10">
        <f t="shared" si="3"/>
        <v>240</v>
      </c>
      <c r="Q8" s="10">
        <v>20</v>
      </c>
      <c r="R8" s="155">
        <f t="shared" si="4"/>
        <v>0.96857507299959522</v>
      </c>
      <c r="S8" s="171">
        <f t="shared" si="5"/>
        <v>3.4559999999999995</v>
      </c>
      <c r="X8" s="155" t="str">
        <f t="shared" si="0"/>
        <v/>
      </c>
      <c r="Y8" s="171" t="str">
        <f t="shared" si="1"/>
        <v/>
      </c>
      <c r="AB8" s="149">
        <v>40</v>
      </c>
      <c r="AF8" s="149">
        <v>90</v>
      </c>
      <c r="BG8" s="149">
        <v>75</v>
      </c>
      <c r="BI8" s="149">
        <v>90</v>
      </c>
      <c r="BJ8" s="149">
        <v>90</v>
      </c>
      <c r="BK8" s="149">
        <v>90</v>
      </c>
      <c r="BL8" s="149">
        <v>90</v>
      </c>
      <c r="BM8" s="149">
        <v>90</v>
      </c>
      <c r="BN8" s="149">
        <v>90</v>
      </c>
      <c r="BO8" s="149">
        <v>90</v>
      </c>
      <c r="BP8" s="149">
        <v>90</v>
      </c>
      <c r="BQ8" s="149">
        <v>90</v>
      </c>
      <c r="BR8" s="149">
        <v>90</v>
      </c>
      <c r="BS8" s="149">
        <v>90</v>
      </c>
      <c r="BU8" s="152">
        <v>90</v>
      </c>
      <c r="BV8" s="152">
        <v>90</v>
      </c>
      <c r="BW8" s="152">
        <v>90</v>
      </c>
      <c r="BX8" s="152">
        <v>90</v>
      </c>
      <c r="BY8" s="152">
        <v>90</v>
      </c>
      <c r="BZ8" s="152">
        <v>90</v>
      </c>
      <c r="CA8" s="152">
        <v>90</v>
      </c>
      <c r="CB8" s="152">
        <v>90</v>
      </c>
      <c r="CC8" s="152">
        <v>90</v>
      </c>
      <c r="CD8" s="152">
        <v>90</v>
      </c>
      <c r="CE8" s="152">
        <v>90</v>
      </c>
      <c r="CF8" s="152">
        <v>90</v>
      </c>
      <c r="CG8" s="152">
        <v>90</v>
      </c>
      <c r="CH8" s="152">
        <v>90</v>
      </c>
      <c r="CI8" s="152">
        <v>90</v>
      </c>
      <c r="CJ8" s="152">
        <v>90</v>
      </c>
      <c r="CK8" s="152">
        <v>90</v>
      </c>
      <c r="CL8" s="152">
        <v>90</v>
      </c>
      <c r="CM8" s="152">
        <v>90</v>
      </c>
      <c r="CO8" s="152">
        <v>90</v>
      </c>
      <c r="CP8" s="152">
        <v>90</v>
      </c>
      <c r="CQ8" s="152">
        <v>90</v>
      </c>
      <c r="CR8" s="152">
        <v>90</v>
      </c>
      <c r="CS8" s="152">
        <v>90</v>
      </c>
      <c r="CT8" s="152">
        <v>90</v>
      </c>
      <c r="CU8" s="152">
        <v>90</v>
      </c>
      <c r="CV8" s="152">
        <v>90</v>
      </c>
      <c r="CW8" s="152">
        <v>90</v>
      </c>
      <c r="CX8" s="152">
        <v>90</v>
      </c>
      <c r="CY8" s="152">
        <v>90</v>
      </c>
      <c r="CZ8" s="152">
        <v>90</v>
      </c>
      <c r="DA8" s="152">
        <v>90</v>
      </c>
      <c r="DB8" s="152">
        <v>90</v>
      </c>
      <c r="DC8" s="152">
        <v>90</v>
      </c>
      <c r="DD8" s="152">
        <v>90</v>
      </c>
      <c r="DE8" s="152">
        <v>90</v>
      </c>
      <c r="DF8" s="152">
        <v>90</v>
      </c>
      <c r="DH8" s="152">
        <v>90</v>
      </c>
      <c r="DI8" s="152">
        <v>90</v>
      </c>
      <c r="DJ8" s="152">
        <v>90</v>
      </c>
      <c r="DK8" s="152">
        <v>90</v>
      </c>
      <c r="DL8" s="152">
        <v>90</v>
      </c>
      <c r="DM8" s="152">
        <v>90</v>
      </c>
      <c r="DN8" s="152">
        <v>90</v>
      </c>
    </row>
    <row r="9" spans="1:118" x14ac:dyDescent="0.15">
      <c r="A9" s="11">
        <f t="shared" si="2"/>
        <v>60010105</v>
      </c>
      <c r="B9" s="13">
        <v>6</v>
      </c>
      <c r="C9" s="12">
        <v>0</v>
      </c>
      <c r="D9" s="13">
        <v>1</v>
      </c>
      <c r="E9" s="13">
        <v>1</v>
      </c>
      <c r="F9" s="12">
        <v>5</v>
      </c>
      <c r="G9" s="55" t="s">
        <v>847</v>
      </c>
      <c r="H9" s="55">
        <v>3</v>
      </c>
      <c r="I9" s="55" t="s">
        <v>1034</v>
      </c>
      <c r="J9" s="55" t="s">
        <v>1044</v>
      </c>
      <c r="L9" s="158">
        <v>240</v>
      </c>
      <c r="N9" s="55" t="s">
        <v>1277</v>
      </c>
      <c r="O9" s="55">
        <v>180</v>
      </c>
      <c r="P9" s="10">
        <f t="shared" si="3"/>
        <v>180</v>
      </c>
      <c r="Q9" s="10">
        <v>15</v>
      </c>
      <c r="R9" s="155">
        <f t="shared" si="4"/>
        <v>0.92530451296137672</v>
      </c>
      <c r="S9" s="171">
        <f t="shared" si="5"/>
        <v>2.5920000000000001</v>
      </c>
      <c r="X9" s="155" t="str">
        <f t="shared" si="0"/>
        <v/>
      </c>
      <c r="Y9" s="171" t="str">
        <f t="shared" si="1"/>
        <v/>
      </c>
      <c r="AB9" s="149">
        <v>25</v>
      </c>
      <c r="AF9" s="149">
        <v>80</v>
      </c>
      <c r="BG9" s="149">
        <v>60</v>
      </c>
      <c r="BI9" s="149">
        <v>80</v>
      </c>
      <c r="BJ9" s="149">
        <v>80</v>
      </c>
      <c r="BK9" s="149">
        <v>80</v>
      </c>
      <c r="BL9" s="149">
        <v>80</v>
      </c>
      <c r="BM9" s="149">
        <v>80</v>
      </c>
      <c r="BN9" s="149">
        <v>80</v>
      </c>
      <c r="BO9" s="149">
        <v>80</v>
      </c>
      <c r="BP9" s="149">
        <v>80</v>
      </c>
      <c r="BQ9" s="149">
        <v>80</v>
      </c>
      <c r="BR9" s="149">
        <v>80</v>
      </c>
      <c r="BS9" s="149">
        <v>80</v>
      </c>
      <c r="BU9" s="152">
        <v>80</v>
      </c>
      <c r="BV9" s="152">
        <v>80</v>
      </c>
      <c r="BW9" s="152">
        <v>80</v>
      </c>
      <c r="BX9" s="152">
        <v>80</v>
      </c>
      <c r="BY9" s="152">
        <v>80</v>
      </c>
      <c r="BZ9" s="152">
        <v>80</v>
      </c>
      <c r="CA9" s="152">
        <v>80</v>
      </c>
      <c r="CB9" s="152">
        <v>80</v>
      </c>
      <c r="CC9" s="152">
        <v>80</v>
      </c>
      <c r="CD9" s="152">
        <v>80</v>
      </c>
      <c r="CE9" s="152">
        <v>80</v>
      </c>
      <c r="CF9" s="152">
        <v>80</v>
      </c>
      <c r="CG9" s="152">
        <v>80</v>
      </c>
      <c r="CH9" s="152">
        <v>80</v>
      </c>
      <c r="CI9" s="152">
        <v>80</v>
      </c>
      <c r="CJ9" s="152">
        <v>80</v>
      </c>
      <c r="CK9" s="152">
        <v>80</v>
      </c>
      <c r="CL9" s="152">
        <v>80</v>
      </c>
      <c r="CM9" s="152">
        <v>80</v>
      </c>
      <c r="CO9" s="152">
        <v>80</v>
      </c>
      <c r="CP9" s="152">
        <v>80</v>
      </c>
      <c r="CQ9" s="152">
        <v>80</v>
      </c>
      <c r="CR9" s="152">
        <v>80</v>
      </c>
      <c r="CS9" s="152">
        <v>80</v>
      </c>
      <c r="CT9" s="152">
        <v>80</v>
      </c>
      <c r="CU9" s="152">
        <v>80</v>
      </c>
      <c r="CV9" s="152">
        <v>80</v>
      </c>
      <c r="CW9" s="152">
        <v>80</v>
      </c>
      <c r="CX9" s="152">
        <v>80</v>
      </c>
      <c r="CY9" s="152">
        <v>80</v>
      </c>
      <c r="CZ9" s="152">
        <v>80</v>
      </c>
      <c r="DA9" s="152">
        <v>80</v>
      </c>
      <c r="DB9" s="152">
        <v>80</v>
      </c>
      <c r="DC9" s="152">
        <v>80</v>
      </c>
      <c r="DD9" s="152">
        <v>80</v>
      </c>
      <c r="DE9" s="152">
        <v>80</v>
      </c>
      <c r="DF9" s="152">
        <v>80</v>
      </c>
      <c r="DH9" s="152">
        <v>80</v>
      </c>
      <c r="DI9" s="152">
        <v>80</v>
      </c>
      <c r="DJ9" s="152">
        <v>80</v>
      </c>
      <c r="DK9" s="152">
        <v>80</v>
      </c>
      <c r="DL9" s="152">
        <v>80</v>
      </c>
      <c r="DM9" s="152">
        <v>80</v>
      </c>
      <c r="DN9" s="152">
        <v>80</v>
      </c>
    </row>
    <row r="10" spans="1:118" x14ac:dyDescent="0.15">
      <c r="A10" s="11">
        <f t="shared" si="2"/>
        <v>60010106</v>
      </c>
      <c r="B10" s="13">
        <v>6</v>
      </c>
      <c r="C10" s="12">
        <v>0</v>
      </c>
      <c r="D10" s="13">
        <v>1</v>
      </c>
      <c r="E10" s="13">
        <v>1</v>
      </c>
      <c r="F10" s="12">
        <v>6</v>
      </c>
      <c r="G10" s="55" t="s">
        <v>848</v>
      </c>
      <c r="H10" s="55">
        <v>5</v>
      </c>
      <c r="I10" s="55" t="s">
        <v>1034</v>
      </c>
      <c r="J10" s="55" t="s">
        <v>1044</v>
      </c>
      <c r="L10" s="158">
        <v>240</v>
      </c>
      <c r="N10" s="55" t="s">
        <v>1278</v>
      </c>
      <c r="O10" s="55">
        <v>120</v>
      </c>
      <c r="P10" s="10">
        <f t="shared" si="3"/>
        <v>120</v>
      </c>
      <c r="Q10" s="10">
        <v>10</v>
      </c>
      <c r="R10" s="155">
        <f t="shared" si="4"/>
        <v>0.82254489474286463</v>
      </c>
      <c r="S10" s="171">
        <f t="shared" si="5"/>
        <v>1.7279999999999998</v>
      </c>
      <c r="X10" s="155" t="str">
        <f t="shared" si="0"/>
        <v/>
      </c>
      <c r="Y10" s="171" t="str">
        <f t="shared" si="1"/>
        <v/>
      </c>
      <c r="AB10" s="149">
        <v>10</v>
      </c>
      <c r="AF10" s="149">
        <v>70</v>
      </c>
      <c r="BG10" s="149">
        <v>50</v>
      </c>
      <c r="BI10" s="149">
        <v>70</v>
      </c>
      <c r="BJ10" s="149">
        <v>70</v>
      </c>
      <c r="BK10" s="149">
        <v>70</v>
      </c>
      <c r="BL10" s="149">
        <v>70</v>
      </c>
      <c r="BM10" s="149">
        <v>70</v>
      </c>
      <c r="BN10" s="149">
        <v>70</v>
      </c>
      <c r="BO10" s="149">
        <v>70</v>
      </c>
      <c r="BP10" s="149">
        <v>70</v>
      </c>
      <c r="BQ10" s="149">
        <v>70</v>
      </c>
      <c r="BR10" s="149">
        <v>70</v>
      </c>
      <c r="BS10" s="149">
        <v>70</v>
      </c>
      <c r="BU10" s="152">
        <v>70</v>
      </c>
      <c r="BV10" s="152">
        <v>70</v>
      </c>
      <c r="BW10" s="152">
        <v>70</v>
      </c>
      <c r="BX10" s="152">
        <v>70</v>
      </c>
      <c r="BY10" s="152">
        <v>70</v>
      </c>
      <c r="BZ10" s="152">
        <v>70</v>
      </c>
      <c r="CA10" s="152">
        <v>70</v>
      </c>
      <c r="CB10" s="152">
        <v>70</v>
      </c>
      <c r="CC10" s="152">
        <v>70</v>
      </c>
      <c r="CD10" s="152">
        <v>70</v>
      </c>
      <c r="CE10" s="152">
        <v>70</v>
      </c>
      <c r="CF10" s="152">
        <v>70</v>
      </c>
      <c r="CG10" s="152">
        <v>70</v>
      </c>
      <c r="CH10" s="152">
        <v>70</v>
      </c>
      <c r="CI10" s="152">
        <v>70</v>
      </c>
      <c r="CJ10" s="152">
        <v>70</v>
      </c>
      <c r="CK10" s="152">
        <v>70</v>
      </c>
      <c r="CL10" s="152">
        <v>70</v>
      </c>
      <c r="CM10" s="152">
        <v>70</v>
      </c>
      <c r="CO10" s="152">
        <v>70</v>
      </c>
      <c r="CP10" s="152">
        <v>70</v>
      </c>
      <c r="CQ10" s="152">
        <v>70</v>
      </c>
      <c r="CR10" s="152">
        <v>70</v>
      </c>
      <c r="CS10" s="152">
        <v>70</v>
      </c>
      <c r="CT10" s="152">
        <v>70</v>
      </c>
      <c r="CU10" s="152">
        <v>70</v>
      </c>
      <c r="CV10" s="152">
        <v>70</v>
      </c>
      <c r="CW10" s="152">
        <v>70</v>
      </c>
      <c r="CX10" s="152">
        <v>70</v>
      </c>
      <c r="CY10" s="152">
        <v>70</v>
      </c>
      <c r="CZ10" s="152">
        <v>70</v>
      </c>
      <c r="DA10" s="152">
        <v>70</v>
      </c>
      <c r="DB10" s="152">
        <v>70</v>
      </c>
      <c r="DC10" s="152">
        <v>70</v>
      </c>
      <c r="DD10" s="152">
        <v>70</v>
      </c>
      <c r="DE10" s="152">
        <v>70</v>
      </c>
      <c r="DF10" s="152">
        <v>70</v>
      </c>
      <c r="DH10" s="152">
        <v>70</v>
      </c>
      <c r="DI10" s="152">
        <v>70</v>
      </c>
      <c r="DJ10" s="152">
        <v>70</v>
      </c>
      <c r="DK10" s="152">
        <v>70</v>
      </c>
      <c r="DL10" s="152">
        <v>70</v>
      </c>
      <c r="DM10" s="152">
        <v>70</v>
      </c>
      <c r="DN10" s="152">
        <v>70</v>
      </c>
    </row>
    <row r="11" spans="1:118" x14ac:dyDescent="0.15">
      <c r="A11" s="11">
        <f t="shared" si="2"/>
        <v>60010207</v>
      </c>
      <c r="B11" s="13">
        <v>6</v>
      </c>
      <c r="C11" s="12">
        <v>0</v>
      </c>
      <c r="D11" s="13">
        <v>1</v>
      </c>
      <c r="E11" s="13">
        <v>2</v>
      </c>
      <c r="F11" s="12">
        <v>7</v>
      </c>
      <c r="G11" s="55" t="s">
        <v>849</v>
      </c>
      <c r="H11" s="55">
        <v>1</v>
      </c>
      <c r="I11" s="55" t="s">
        <v>1035</v>
      </c>
      <c r="J11" s="55" t="s">
        <v>1045</v>
      </c>
      <c r="L11" s="158">
        <v>240</v>
      </c>
      <c r="N11" s="55" t="s">
        <v>1279</v>
      </c>
      <c r="O11" s="55">
        <v>240</v>
      </c>
      <c r="P11" s="10">
        <f t="shared" si="3"/>
        <v>240</v>
      </c>
      <c r="Q11" s="10">
        <v>20</v>
      </c>
      <c r="R11" s="155">
        <f t="shared" si="4"/>
        <v>0.96857507299959522</v>
      </c>
      <c r="S11" s="171">
        <f t="shared" si="5"/>
        <v>3.4559999999999995</v>
      </c>
      <c r="X11" s="155" t="str">
        <f t="shared" si="0"/>
        <v/>
      </c>
      <c r="Y11" s="171" t="str">
        <f t="shared" si="1"/>
        <v/>
      </c>
      <c r="AC11" s="149">
        <v>110</v>
      </c>
      <c r="BG11" s="149">
        <v>200</v>
      </c>
      <c r="BI11" s="149">
        <v>110</v>
      </c>
      <c r="BJ11" s="149">
        <v>110</v>
      </c>
      <c r="BK11" s="149">
        <v>110</v>
      </c>
      <c r="BL11" s="149">
        <v>110</v>
      </c>
      <c r="BM11" s="149">
        <v>110</v>
      </c>
      <c r="BN11" s="149">
        <v>110</v>
      </c>
      <c r="BO11" s="149">
        <v>110</v>
      </c>
      <c r="BP11" s="149">
        <v>110</v>
      </c>
      <c r="BQ11" s="149">
        <v>110</v>
      </c>
      <c r="BR11" s="149">
        <v>110</v>
      </c>
      <c r="BS11" s="149">
        <v>110</v>
      </c>
      <c r="BU11" s="152">
        <v>110</v>
      </c>
      <c r="BV11" s="152">
        <v>110</v>
      </c>
      <c r="BW11" s="152">
        <v>110</v>
      </c>
      <c r="BX11" s="152">
        <v>110</v>
      </c>
      <c r="BY11" s="152">
        <v>110</v>
      </c>
      <c r="BZ11" s="152">
        <v>110</v>
      </c>
      <c r="CA11" s="152">
        <v>110</v>
      </c>
      <c r="CB11" s="152">
        <v>110</v>
      </c>
      <c r="CC11" s="152">
        <v>110</v>
      </c>
      <c r="CD11" s="152">
        <v>110</v>
      </c>
      <c r="CE11" s="152">
        <v>110</v>
      </c>
      <c r="CF11" s="152">
        <v>110</v>
      </c>
      <c r="CG11" s="152">
        <v>110</v>
      </c>
      <c r="CH11" s="152">
        <v>110</v>
      </c>
      <c r="CI11" s="152">
        <v>110</v>
      </c>
      <c r="CJ11" s="152">
        <v>110</v>
      </c>
      <c r="CK11" s="152">
        <v>110</v>
      </c>
      <c r="CL11" s="152">
        <v>110</v>
      </c>
      <c r="CM11" s="152">
        <v>110</v>
      </c>
      <c r="CO11" s="152">
        <v>120</v>
      </c>
      <c r="CP11" s="152">
        <v>120</v>
      </c>
      <c r="CQ11" s="152">
        <v>120</v>
      </c>
      <c r="CR11" s="152">
        <v>120</v>
      </c>
      <c r="CS11" s="152">
        <v>120</v>
      </c>
      <c r="CT11" s="152">
        <v>120</v>
      </c>
      <c r="CU11" s="152">
        <v>120</v>
      </c>
      <c r="CV11" s="152">
        <v>120</v>
      </c>
      <c r="CW11" s="152">
        <v>120</v>
      </c>
      <c r="CX11" s="152">
        <v>120</v>
      </c>
      <c r="CY11" s="152">
        <v>120</v>
      </c>
      <c r="CZ11" s="152">
        <v>120</v>
      </c>
      <c r="DA11" s="152">
        <v>120</v>
      </c>
      <c r="DB11" s="152">
        <v>120</v>
      </c>
      <c r="DC11" s="152">
        <v>120</v>
      </c>
      <c r="DD11" s="152">
        <v>120</v>
      </c>
      <c r="DE11" s="152">
        <v>120</v>
      </c>
      <c r="DF11" s="152">
        <v>120</v>
      </c>
      <c r="DH11" s="152">
        <v>120</v>
      </c>
      <c r="DI11" s="152">
        <v>120</v>
      </c>
      <c r="DJ11" s="152">
        <v>120</v>
      </c>
      <c r="DK11" s="152">
        <v>120</v>
      </c>
      <c r="DL11" s="152">
        <v>120</v>
      </c>
      <c r="DM11" s="152">
        <v>120</v>
      </c>
      <c r="DN11" s="152">
        <v>120</v>
      </c>
    </row>
    <row r="12" spans="1:118" x14ac:dyDescent="0.15">
      <c r="A12" s="11">
        <f t="shared" si="2"/>
        <v>60010208</v>
      </c>
      <c r="B12" s="13">
        <v>6</v>
      </c>
      <c r="C12" s="12">
        <v>0</v>
      </c>
      <c r="D12" s="13">
        <v>1</v>
      </c>
      <c r="E12" s="13">
        <v>2</v>
      </c>
      <c r="F12" s="12">
        <v>8</v>
      </c>
      <c r="G12" s="55" t="s">
        <v>795</v>
      </c>
      <c r="H12" s="55">
        <v>3</v>
      </c>
      <c r="I12" s="55" t="s">
        <v>1035</v>
      </c>
      <c r="J12" s="55" t="s">
        <v>1045</v>
      </c>
      <c r="L12" s="158">
        <v>240</v>
      </c>
      <c r="N12" s="55" t="s">
        <v>1280</v>
      </c>
      <c r="O12" s="55">
        <v>180</v>
      </c>
      <c r="P12" s="10">
        <f t="shared" si="3"/>
        <v>180</v>
      </c>
      <c r="Q12" s="10">
        <v>15</v>
      </c>
      <c r="R12" s="155">
        <f t="shared" si="4"/>
        <v>0.92530451296137672</v>
      </c>
      <c r="S12" s="171">
        <f t="shared" si="5"/>
        <v>2.5920000000000001</v>
      </c>
      <c r="X12" s="155" t="str">
        <f t="shared" si="0"/>
        <v/>
      </c>
      <c r="Y12" s="171" t="str">
        <f t="shared" si="1"/>
        <v/>
      </c>
      <c r="AC12" s="149">
        <v>120</v>
      </c>
      <c r="BG12" s="149">
        <v>300</v>
      </c>
      <c r="BI12" s="149">
        <v>120</v>
      </c>
      <c r="BJ12" s="149">
        <v>120</v>
      </c>
      <c r="BK12" s="149">
        <v>120</v>
      </c>
      <c r="BL12" s="149">
        <v>120</v>
      </c>
      <c r="BM12" s="149">
        <v>120</v>
      </c>
      <c r="BN12" s="149">
        <v>120</v>
      </c>
      <c r="BO12" s="149">
        <v>120</v>
      </c>
      <c r="BP12" s="149">
        <v>120</v>
      </c>
      <c r="BQ12" s="149">
        <v>120</v>
      </c>
      <c r="BR12" s="149">
        <v>120</v>
      </c>
      <c r="BS12" s="149">
        <v>120</v>
      </c>
      <c r="BU12" s="152">
        <v>120</v>
      </c>
      <c r="BV12" s="152">
        <v>120</v>
      </c>
      <c r="BW12" s="152">
        <v>120</v>
      </c>
      <c r="BX12" s="152">
        <v>120</v>
      </c>
      <c r="BY12" s="152">
        <v>120</v>
      </c>
      <c r="BZ12" s="152">
        <v>120</v>
      </c>
      <c r="CA12" s="152">
        <v>120</v>
      </c>
      <c r="CB12" s="152">
        <v>120</v>
      </c>
      <c r="CC12" s="152">
        <v>120</v>
      </c>
      <c r="CD12" s="152">
        <v>120</v>
      </c>
      <c r="CE12" s="152">
        <v>120</v>
      </c>
      <c r="CF12" s="152">
        <v>120</v>
      </c>
      <c r="CG12" s="152">
        <v>120</v>
      </c>
      <c r="CH12" s="152">
        <v>120</v>
      </c>
      <c r="CI12" s="152">
        <v>120</v>
      </c>
      <c r="CJ12" s="152">
        <v>120</v>
      </c>
      <c r="CK12" s="152">
        <v>120</v>
      </c>
      <c r="CL12" s="152">
        <v>120</v>
      </c>
      <c r="CM12" s="152">
        <v>120</v>
      </c>
      <c r="CO12" s="152">
        <v>140</v>
      </c>
      <c r="CP12" s="152">
        <v>140</v>
      </c>
      <c r="CQ12" s="152">
        <v>140</v>
      </c>
      <c r="CR12" s="152">
        <v>140</v>
      </c>
      <c r="CS12" s="152">
        <v>140</v>
      </c>
      <c r="CT12" s="152">
        <v>140</v>
      </c>
      <c r="CU12" s="152">
        <v>140</v>
      </c>
      <c r="CV12" s="152">
        <v>140</v>
      </c>
      <c r="CW12" s="152">
        <v>140</v>
      </c>
      <c r="CX12" s="152">
        <v>140</v>
      </c>
      <c r="CY12" s="152">
        <v>140</v>
      </c>
      <c r="CZ12" s="152">
        <v>140</v>
      </c>
      <c r="DA12" s="152">
        <v>140</v>
      </c>
      <c r="DB12" s="152">
        <v>140</v>
      </c>
      <c r="DC12" s="152">
        <v>140</v>
      </c>
      <c r="DD12" s="152">
        <v>140</v>
      </c>
      <c r="DE12" s="152">
        <v>140</v>
      </c>
      <c r="DF12" s="152">
        <v>140</v>
      </c>
      <c r="DH12" s="152">
        <v>140</v>
      </c>
      <c r="DI12" s="152">
        <v>140</v>
      </c>
      <c r="DJ12" s="152">
        <v>140</v>
      </c>
      <c r="DK12" s="152">
        <v>140</v>
      </c>
      <c r="DL12" s="152">
        <v>140</v>
      </c>
      <c r="DM12" s="152">
        <v>140</v>
      </c>
      <c r="DN12" s="152">
        <v>140</v>
      </c>
    </row>
    <row r="13" spans="1:118" x14ac:dyDescent="0.15">
      <c r="A13" s="11">
        <f t="shared" si="2"/>
        <v>60010209</v>
      </c>
      <c r="B13" s="13">
        <v>6</v>
      </c>
      <c r="C13" s="12">
        <v>0</v>
      </c>
      <c r="D13" s="13">
        <v>1</v>
      </c>
      <c r="E13" s="13">
        <v>2</v>
      </c>
      <c r="F13" s="12">
        <v>9</v>
      </c>
      <c r="G13" s="55" t="s">
        <v>796</v>
      </c>
      <c r="H13" s="55">
        <v>5</v>
      </c>
      <c r="I13" s="55" t="s">
        <v>1035</v>
      </c>
      <c r="J13" s="55" t="s">
        <v>1045</v>
      </c>
      <c r="L13" s="158">
        <v>240</v>
      </c>
      <c r="N13" s="55" t="s">
        <v>1281</v>
      </c>
      <c r="O13" s="55">
        <v>120</v>
      </c>
      <c r="P13" s="10">
        <f t="shared" si="3"/>
        <v>120</v>
      </c>
      <c r="Q13" s="10">
        <v>10</v>
      </c>
      <c r="R13" s="155">
        <f t="shared" si="4"/>
        <v>0.82254489474286463</v>
      </c>
      <c r="S13" s="171">
        <f t="shared" si="5"/>
        <v>1.7279999999999998</v>
      </c>
      <c r="X13" s="155" t="str">
        <f t="shared" si="0"/>
        <v/>
      </c>
      <c r="Y13" s="171" t="str">
        <f t="shared" si="1"/>
        <v/>
      </c>
      <c r="AC13" s="149">
        <v>130</v>
      </c>
      <c r="BG13" s="149">
        <v>400</v>
      </c>
      <c r="BI13" s="149">
        <v>130</v>
      </c>
      <c r="BJ13" s="149">
        <v>130</v>
      </c>
      <c r="BK13" s="149">
        <v>130</v>
      </c>
      <c r="BL13" s="149">
        <v>130</v>
      </c>
      <c r="BM13" s="149">
        <v>130</v>
      </c>
      <c r="BN13" s="149">
        <v>130</v>
      </c>
      <c r="BO13" s="149">
        <v>130</v>
      </c>
      <c r="BP13" s="149">
        <v>130</v>
      </c>
      <c r="BQ13" s="149">
        <v>130</v>
      </c>
      <c r="BR13" s="149">
        <v>130</v>
      </c>
      <c r="BS13" s="149">
        <v>130</v>
      </c>
      <c r="BU13" s="152">
        <v>130</v>
      </c>
      <c r="BV13" s="152">
        <v>130</v>
      </c>
      <c r="BW13" s="152">
        <v>130</v>
      </c>
      <c r="BX13" s="152">
        <v>130</v>
      </c>
      <c r="BY13" s="152">
        <v>130</v>
      </c>
      <c r="BZ13" s="152">
        <v>130</v>
      </c>
      <c r="CA13" s="152">
        <v>130</v>
      </c>
      <c r="CB13" s="152">
        <v>130</v>
      </c>
      <c r="CC13" s="152">
        <v>130</v>
      </c>
      <c r="CD13" s="152">
        <v>130</v>
      </c>
      <c r="CE13" s="152">
        <v>130</v>
      </c>
      <c r="CF13" s="152">
        <v>130</v>
      </c>
      <c r="CG13" s="152">
        <v>130</v>
      </c>
      <c r="CH13" s="152">
        <v>130</v>
      </c>
      <c r="CI13" s="152">
        <v>130</v>
      </c>
      <c r="CJ13" s="152">
        <v>130</v>
      </c>
      <c r="CK13" s="152">
        <v>130</v>
      </c>
      <c r="CL13" s="152">
        <v>130</v>
      </c>
      <c r="CM13" s="152">
        <v>130</v>
      </c>
      <c r="CO13" s="152">
        <v>160</v>
      </c>
      <c r="CP13" s="152">
        <v>160</v>
      </c>
      <c r="CQ13" s="152">
        <v>160</v>
      </c>
      <c r="CR13" s="152">
        <v>160</v>
      </c>
      <c r="CS13" s="152">
        <v>160</v>
      </c>
      <c r="CT13" s="152">
        <v>160</v>
      </c>
      <c r="CU13" s="152">
        <v>160</v>
      </c>
      <c r="CV13" s="152">
        <v>160</v>
      </c>
      <c r="CW13" s="152">
        <v>160</v>
      </c>
      <c r="CX13" s="152">
        <v>160</v>
      </c>
      <c r="CY13" s="152">
        <v>160</v>
      </c>
      <c r="CZ13" s="152">
        <v>160</v>
      </c>
      <c r="DA13" s="152">
        <v>160</v>
      </c>
      <c r="DB13" s="152">
        <v>160</v>
      </c>
      <c r="DC13" s="152">
        <v>160</v>
      </c>
      <c r="DD13" s="152">
        <v>160</v>
      </c>
      <c r="DE13" s="152">
        <v>160</v>
      </c>
      <c r="DF13" s="152">
        <v>160</v>
      </c>
      <c r="DH13" s="152">
        <v>160</v>
      </c>
      <c r="DI13" s="152">
        <v>160</v>
      </c>
      <c r="DJ13" s="152">
        <v>160</v>
      </c>
      <c r="DK13" s="152">
        <v>160</v>
      </c>
      <c r="DL13" s="152">
        <v>160</v>
      </c>
      <c r="DM13" s="152">
        <v>160</v>
      </c>
      <c r="DN13" s="152">
        <v>160</v>
      </c>
    </row>
    <row r="14" spans="1:118" x14ac:dyDescent="0.15">
      <c r="A14" s="11">
        <f t="shared" si="2"/>
        <v>60010010</v>
      </c>
      <c r="B14" s="13">
        <v>6</v>
      </c>
      <c r="C14" s="12">
        <v>0</v>
      </c>
      <c r="D14" s="13">
        <v>1</v>
      </c>
      <c r="E14" s="13">
        <v>0</v>
      </c>
      <c r="F14" s="12">
        <v>10</v>
      </c>
      <c r="O14" s="55">
        <v>0</v>
      </c>
      <c r="P14" s="10">
        <f t="shared" si="3"/>
        <v>0</v>
      </c>
      <c r="R14" s="155" t="str">
        <f t="shared" si="4"/>
        <v/>
      </c>
      <c r="S14" s="171" t="str">
        <f t="shared" si="5"/>
        <v/>
      </c>
      <c r="X14" s="155" t="str">
        <f t="shared" si="0"/>
        <v/>
      </c>
      <c r="Y14" s="171" t="str">
        <f t="shared" si="1"/>
        <v/>
      </c>
    </row>
    <row r="15" spans="1:118" s="93" customFormat="1" x14ac:dyDescent="0.15">
      <c r="A15" s="11">
        <f t="shared" si="2"/>
        <v>60010011</v>
      </c>
      <c r="B15" s="13">
        <v>6</v>
      </c>
      <c r="C15" s="12">
        <v>0</v>
      </c>
      <c r="D15" s="13">
        <v>1</v>
      </c>
      <c r="E15" s="13">
        <v>0</v>
      </c>
      <c r="F15" s="12">
        <v>11</v>
      </c>
      <c r="G15" s="55"/>
      <c r="H15" s="55"/>
      <c r="I15" s="55"/>
      <c r="J15" s="55"/>
      <c r="K15" s="55"/>
      <c r="L15" s="158"/>
      <c r="M15" s="10"/>
      <c r="N15" s="55"/>
      <c r="O15" s="55">
        <v>0</v>
      </c>
      <c r="P15" s="10">
        <f t="shared" si="3"/>
        <v>0</v>
      </c>
      <c r="Q15" s="10"/>
      <c r="R15" s="155" t="str">
        <f t="shared" si="4"/>
        <v/>
      </c>
      <c r="S15" s="171" t="str">
        <f t="shared" si="5"/>
        <v/>
      </c>
      <c r="T15" s="161"/>
      <c r="U15" s="55"/>
      <c r="V15" s="55"/>
      <c r="W15" s="55"/>
      <c r="X15" s="155" t="str">
        <f t="shared" si="0"/>
        <v/>
      </c>
      <c r="Y15" s="171" t="str">
        <f t="shared" si="1"/>
        <v/>
      </c>
      <c r="Z15" s="165"/>
      <c r="AA15" s="10"/>
      <c r="AB15" s="55"/>
      <c r="AC15" s="55"/>
      <c r="AD15" s="55"/>
      <c r="AE15" s="55"/>
      <c r="AF15" s="55"/>
      <c r="AG15" s="167"/>
      <c r="AH15" s="55"/>
      <c r="AI15" s="55"/>
      <c r="AJ15" s="165"/>
      <c r="AK15" s="55"/>
      <c r="AL15" s="55"/>
      <c r="AM15" s="55"/>
      <c r="AN15" s="55"/>
      <c r="AO15" s="55"/>
      <c r="AP15" s="55"/>
      <c r="AQ15" s="55"/>
      <c r="AR15" s="55"/>
      <c r="AS15" s="165"/>
      <c r="AT15" s="55"/>
      <c r="AU15" s="55"/>
      <c r="AV15" s="55"/>
      <c r="AW15" s="55"/>
      <c r="AX15" s="55"/>
      <c r="AY15" s="55"/>
      <c r="AZ15" s="55"/>
      <c r="BA15" s="55"/>
      <c r="BB15" s="165"/>
      <c r="BC15" s="55"/>
      <c r="BD15" s="55"/>
      <c r="BE15" s="55"/>
      <c r="BF15" s="165"/>
      <c r="BG15" s="55"/>
      <c r="BH15" s="10"/>
      <c r="BI15" s="55"/>
      <c r="BJ15" s="55"/>
      <c r="BK15" s="55"/>
      <c r="BL15" s="55"/>
      <c r="BT15" s="141"/>
      <c r="CN15" s="141"/>
      <c r="DG15" s="141"/>
    </row>
    <row r="16" spans="1:118" s="93" customFormat="1" x14ac:dyDescent="0.15">
      <c r="A16" s="11">
        <f t="shared" si="2"/>
        <v>60010012</v>
      </c>
      <c r="B16" s="13">
        <v>6</v>
      </c>
      <c r="C16" s="12">
        <v>0</v>
      </c>
      <c r="D16" s="13">
        <v>1</v>
      </c>
      <c r="E16" s="13">
        <v>0</v>
      </c>
      <c r="F16" s="12">
        <v>12</v>
      </c>
      <c r="G16" s="55"/>
      <c r="H16" s="55"/>
      <c r="I16" s="55"/>
      <c r="J16" s="55"/>
      <c r="K16" s="55"/>
      <c r="L16" s="158"/>
      <c r="M16" s="10"/>
      <c r="N16" s="55"/>
      <c r="O16" s="55">
        <v>0</v>
      </c>
      <c r="P16" s="10">
        <f t="shared" si="3"/>
        <v>0</v>
      </c>
      <c r="Q16" s="10"/>
      <c r="R16" s="155" t="str">
        <f t="shared" si="4"/>
        <v/>
      </c>
      <c r="S16" s="171" t="str">
        <f t="shared" si="5"/>
        <v/>
      </c>
      <c r="T16" s="161"/>
      <c r="U16" s="55"/>
      <c r="V16" s="55"/>
      <c r="W16" s="55"/>
      <c r="X16" s="155" t="str">
        <f t="shared" si="0"/>
        <v/>
      </c>
      <c r="Y16" s="171" t="str">
        <f t="shared" si="1"/>
        <v/>
      </c>
      <c r="Z16" s="165"/>
      <c r="AA16" s="10"/>
      <c r="AB16" s="55"/>
      <c r="AC16" s="55"/>
      <c r="AD16" s="55"/>
      <c r="AE16" s="55"/>
      <c r="AF16" s="55"/>
      <c r="AG16" s="167"/>
      <c r="AH16" s="55"/>
      <c r="AI16" s="55"/>
      <c r="AJ16" s="165"/>
      <c r="AK16" s="55"/>
      <c r="AL16" s="55"/>
      <c r="AM16" s="55"/>
      <c r="AN16" s="55"/>
      <c r="AO16" s="55"/>
      <c r="AP16" s="55"/>
      <c r="AQ16" s="55"/>
      <c r="AR16" s="55"/>
      <c r="AS16" s="165"/>
      <c r="AT16" s="55"/>
      <c r="AU16" s="55"/>
      <c r="AV16" s="55"/>
      <c r="AW16" s="55"/>
      <c r="AX16" s="55"/>
      <c r="AY16" s="55"/>
      <c r="AZ16" s="55"/>
      <c r="BA16" s="55"/>
      <c r="BB16" s="165"/>
      <c r="BC16" s="55"/>
      <c r="BD16" s="55"/>
      <c r="BE16" s="55"/>
      <c r="BF16" s="165"/>
      <c r="BG16" s="55"/>
      <c r="BH16" s="10"/>
      <c r="BI16" s="55"/>
      <c r="BJ16" s="55"/>
      <c r="BK16" s="55"/>
      <c r="BL16" s="55"/>
      <c r="BT16" s="141"/>
      <c r="CN16" s="141"/>
      <c r="DG16" s="141"/>
    </row>
    <row r="17" spans="1:118" s="93" customFormat="1" x14ac:dyDescent="0.15">
      <c r="A17" s="11">
        <f t="shared" si="2"/>
        <v>60010013</v>
      </c>
      <c r="B17" s="13">
        <v>6</v>
      </c>
      <c r="C17" s="12">
        <v>0</v>
      </c>
      <c r="D17" s="13">
        <v>1</v>
      </c>
      <c r="E17" s="13">
        <v>0</v>
      </c>
      <c r="F17" s="12">
        <v>13</v>
      </c>
      <c r="G17" s="55"/>
      <c r="H17" s="55"/>
      <c r="I17" s="55"/>
      <c r="J17" s="55"/>
      <c r="K17" s="55"/>
      <c r="L17" s="158"/>
      <c r="M17" s="10"/>
      <c r="N17" s="55"/>
      <c r="O17" s="55">
        <v>0</v>
      </c>
      <c r="P17" s="10">
        <f t="shared" si="3"/>
        <v>0</v>
      </c>
      <c r="Q17" s="10"/>
      <c r="R17" s="155" t="str">
        <f t="shared" si="4"/>
        <v/>
      </c>
      <c r="S17" s="171" t="str">
        <f t="shared" si="5"/>
        <v/>
      </c>
      <c r="T17" s="161"/>
      <c r="U17" s="55"/>
      <c r="V17" s="55"/>
      <c r="W17" s="55"/>
      <c r="X17" s="155" t="str">
        <f t="shared" si="0"/>
        <v/>
      </c>
      <c r="Y17" s="171" t="str">
        <f t="shared" si="1"/>
        <v/>
      </c>
      <c r="Z17" s="165"/>
      <c r="AA17" s="10"/>
      <c r="AB17" s="55"/>
      <c r="AC17" s="55"/>
      <c r="AD17" s="55"/>
      <c r="AE17" s="55"/>
      <c r="AF17" s="55"/>
      <c r="AG17" s="167"/>
      <c r="AH17" s="55"/>
      <c r="AI17" s="55"/>
      <c r="AJ17" s="165"/>
      <c r="AK17" s="55"/>
      <c r="AL17" s="55"/>
      <c r="AM17" s="55"/>
      <c r="AN17" s="55"/>
      <c r="AO17" s="55"/>
      <c r="AP17" s="55"/>
      <c r="AQ17" s="55"/>
      <c r="AR17" s="55"/>
      <c r="AS17" s="165"/>
      <c r="AT17" s="55"/>
      <c r="AU17" s="55"/>
      <c r="AV17" s="55"/>
      <c r="AW17" s="55"/>
      <c r="AX17" s="55"/>
      <c r="AY17" s="55"/>
      <c r="AZ17" s="55"/>
      <c r="BA17" s="55"/>
      <c r="BB17" s="165"/>
      <c r="BC17" s="55"/>
      <c r="BD17" s="55"/>
      <c r="BE17" s="55"/>
      <c r="BF17" s="165"/>
      <c r="BG17" s="55"/>
      <c r="BH17" s="10"/>
      <c r="BI17" s="55"/>
      <c r="BJ17" s="55"/>
      <c r="BK17" s="55"/>
      <c r="BL17" s="55"/>
      <c r="BT17" s="141"/>
      <c r="CN17" s="141"/>
      <c r="DG17" s="141"/>
    </row>
    <row r="18" spans="1:118" s="93" customFormat="1" x14ac:dyDescent="0.15">
      <c r="A18" s="11">
        <f t="shared" si="2"/>
        <v>60010014</v>
      </c>
      <c r="B18" s="13">
        <v>6</v>
      </c>
      <c r="C18" s="12">
        <v>0</v>
      </c>
      <c r="D18" s="13">
        <v>1</v>
      </c>
      <c r="E18" s="13">
        <v>0</v>
      </c>
      <c r="F18" s="12">
        <v>14</v>
      </c>
      <c r="G18" s="55"/>
      <c r="H18" s="55"/>
      <c r="I18" s="55"/>
      <c r="J18" s="55"/>
      <c r="K18" s="55"/>
      <c r="L18" s="158"/>
      <c r="M18" s="10"/>
      <c r="N18" s="55"/>
      <c r="O18" s="55">
        <v>0</v>
      </c>
      <c r="P18" s="10">
        <f t="shared" si="3"/>
        <v>0</v>
      </c>
      <c r="Q18" s="10"/>
      <c r="R18" s="155" t="str">
        <f t="shared" si="4"/>
        <v/>
      </c>
      <c r="S18" s="171" t="str">
        <f t="shared" si="5"/>
        <v/>
      </c>
      <c r="T18" s="161"/>
      <c r="U18" s="55"/>
      <c r="V18" s="55"/>
      <c r="W18" s="55"/>
      <c r="X18" s="155" t="str">
        <f t="shared" si="0"/>
        <v/>
      </c>
      <c r="Y18" s="171" t="str">
        <f t="shared" si="1"/>
        <v/>
      </c>
      <c r="Z18" s="165"/>
      <c r="AA18" s="10"/>
      <c r="AB18" s="55"/>
      <c r="AC18" s="55"/>
      <c r="AD18" s="55"/>
      <c r="AE18" s="55"/>
      <c r="AF18" s="55"/>
      <c r="AG18" s="167"/>
      <c r="AH18" s="55"/>
      <c r="AI18" s="55"/>
      <c r="AJ18" s="165"/>
      <c r="AK18" s="55"/>
      <c r="AL18" s="55"/>
      <c r="AM18" s="55"/>
      <c r="AN18" s="55"/>
      <c r="AO18" s="55"/>
      <c r="AP18" s="55"/>
      <c r="AQ18" s="55"/>
      <c r="AR18" s="55"/>
      <c r="AS18" s="165"/>
      <c r="AT18" s="55"/>
      <c r="AU18" s="55"/>
      <c r="AV18" s="55"/>
      <c r="AW18" s="55"/>
      <c r="AX18" s="55"/>
      <c r="AY18" s="55"/>
      <c r="AZ18" s="55"/>
      <c r="BA18" s="55"/>
      <c r="BB18" s="165"/>
      <c r="BC18" s="55"/>
      <c r="BD18" s="55"/>
      <c r="BE18" s="55"/>
      <c r="BF18" s="165"/>
      <c r="BG18" s="55"/>
      <c r="BH18" s="10"/>
      <c r="BI18" s="55"/>
      <c r="BJ18" s="55"/>
      <c r="BK18" s="55"/>
      <c r="BL18" s="55"/>
      <c r="BT18" s="141"/>
      <c r="CN18" s="141"/>
      <c r="DG18" s="141"/>
    </row>
    <row r="19" spans="1:118" s="93" customFormat="1" x14ac:dyDescent="0.15">
      <c r="A19" s="11">
        <f t="shared" si="2"/>
        <v>60010015</v>
      </c>
      <c r="B19" s="13">
        <v>6</v>
      </c>
      <c r="C19" s="12">
        <v>0</v>
      </c>
      <c r="D19" s="13">
        <v>1</v>
      </c>
      <c r="E19" s="13">
        <v>0</v>
      </c>
      <c r="F19" s="12">
        <v>15</v>
      </c>
      <c r="G19" s="55"/>
      <c r="H19" s="55"/>
      <c r="I19" s="55"/>
      <c r="J19" s="55"/>
      <c r="K19" s="55"/>
      <c r="L19" s="158"/>
      <c r="M19" s="10"/>
      <c r="N19" s="55"/>
      <c r="O19" s="55">
        <v>0</v>
      </c>
      <c r="P19" s="10">
        <f t="shared" si="3"/>
        <v>0</v>
      </c>
      <c r="Q19" s="10"/>
      <c r="R19" s="155" t="str">
        <f t="shared" si="4"/>
        <v/>
      </c>
      <c r="S19" s="171" t="str">
        <f t="shared" si="5"/>
        <v/>
      </c>
      <c r="T19" s="161"/>
      <c r="U19" s="55"/>
      <c r="V19" s="55"/>
      <c r="W19" s="55"/>
      <c r="X19" s="155" t="str">
        <f t="shared" si="0"/>
        <v/>
      </c>
      <c r="Y19" s="171" t="str">
        <f t="shared" si="1"/>
        <v/>
      </c>
      <c r="Z19" s="165"/>
      <c r="AA19" s="10"/>
      <c r="AB19" s="55"/>
      <c r="AC19" s="55"/>
      <c r="AD19" s="55"/>
      <c r="AE19" s="55"/>
      <c r="AF19" s="55"/>
      <c r="AG19" s="167"/>
      <c r="AH19" s="55"/>
      <c r="AI19" s="55"/>
      <c r="AJ19" s="165"/>
      <c r="AK19" s="55"/>
      <c r="AL19" s="55"/>
      <c r="AM19" s="55"/>
      <c r="AN19" s="55"/>
      <c r="AO19" s="55"/>
      <c r="AP19" s="55"/>
      <c r="AQ19" s="55"/>
      <c r="AR19" s="55"/>
      <c r="AS19" s="165"/>
      <c r="AT19" s="55"/>
      <c r="AU19" s="55"/>
      <c r="AV19" s="55"/>
      <c r="AW19" s="55"/>
      <c r="AX19" s="55"/>
      <c r="AY19" s="55"/>
      <c r="AZ19" s="55"/>
      <c r="BA19" s="55"/>
      <c r="BB19" s="165"/>
      <c r="BC19" s="55"/>
      <c r="BD19" s="55"/>
      <c r="BE19" s="55"/>
      <c r="BF19" s="165"/>
      <c r="BG19" s="55"/>
      <c r="BH19" s="10"/>
      <c r="BI19" s="55"/>
      <c r="BJ19" s="55"/>
      <c r="BK19" s="55"/>
      <c r="BL19" s="55"/>
      <c r="BT19" s="141"/>
      <c r="CN19" s="141"/>
      <c r="DG19" s="141"/>
    </row>
    <row r="20" spans="1:118" s="93" customFormat="1" x14ac:dyDescent="0.15">
      <c r="A20" s="11">
        <f t="shared" si="2"/>
        <v>60010016</v>
      </c>
      <c r="B20" s="13">
        <v>6</v>
      </c>
      <c r="C20" s="12">
        <v>0</v>
      </c>
      <c r="D20" s="13">
        <v>1</v>
      </c>
      <c r="E20" s="13">
        <v>0</v>
      </c>
      <c r="F20" s="12">
        <v>16</v>
      </c>
      <c r="G20" s="55"/>
      <c r="H20" s="55"/>
      <c r="I20" s="55"/>
      <c r="J20" s="55"/>
      <c r="K20" s="55"/>
      <c r="L20" s="158"/>
      <c r="M20" s="10"/>
      <c r="N20" s="55"/>
      <c r="O20" s="55">
        <v>0</v>
      </c>
      <c r="P20" s="10">
        <f t="shared" si="3"/>
        <v>0</v>
      </c>
      <c r="Q20" s="10"/>
      <c r="R20" s="155" t="str">
        <f t="shared" si="4"/>
        <v/>
      </c>
      <c r="S20" s="171" t="str">
        <f t="shared" si="5"/>
        <v/>
      </c>
      <c r="T20" s="161"/>
      <c r="U20" s="55"/>
      <c r="V20" s="55"/>
      <c r="W20" s="55"/>
      <c r="X20" s="155" t="str">
        <f t="shared" si="0"/>
        <v/>
      </c>
      <c r="Y20" s="171" t="str">
        <f t="shared" si="1"/>
        <v/>
      </c>
      <c r="Z20" s="165"/>
      <c r="AA20" s="10"/>
      <c r="AB20" s="55"/>
      <c r="AC20" s="55"/>
      <c r="AD20" s="55"/>
      <c r="AE20" s="55"/>
      <c r="AF20" s="55"/>
      <c r="AG20" s="167"/>
      <c r="AH20" s="55"/>
      <c r="AI20" s="55"/>
      <c r="AJ20" s="165"/>
      <c r="AK20" s="55"/>
      <c r="AL20" s="55"/>
      <c r="AM20" s="55"/>
      <c r="AN20" s="55"/>
      <c r="AO20" s="55"/>
      <c r="AP20" s="55"/>
      <c r="AQ20" s="55"/>
      <c r="AR20" s="55"/>
      <c r="AS20" s="165"/>
      <c r="AT20" s="55"/>
      <c r="AU20" s="55"/>
      <c r="AV20" s="55"/>
      <c r="AW20" s="55"/>
      <c r="AX20" s="55"/>
      <c r="AY20" s="55"/>
      <c r="AZ20" s="55"/>
      <c r="BA20" s="55"/>
      <c r="BB20" s="165"/>
      <c r="BC20" s="55"/>
      <c r="BD20" s="55"/>
      <c r="BE20" s="55"/>
      <c r="BF20" s="165"/>
      <c r="BG20" s="55"/>
      <c r="BH20" s="10"/>
      <c r="BI20" s="55"/>
      <c r="BJ20" s="55"/>
      <c r="BK20" s="55"/>
      <c r="BL20" s="55"/>
      <c r="BT20" s="141"/>
      <c r="CN20" s="141"/>
      <c r="DG20" s="141"/>
    </row>
    <row r="21" spans="1:118" s="93" customFormat="1" x14ac:dyDescent="0.15">
      <c r="A21" s="11">
        <f t="shared" si="2"/>
        <v>60010017</v>
      </c>
      <c r="B21" s="13">
        <v>6</v>
      </c>
      <c r="C21" s="12">
        <v>0</v>
      </c>
      <c r="D21" s="13">
        <v>1</v>
      </c>
      <c r="E21" s="13">
        <v>0</v>
      </c>
      <c r="F21" s="12">
        <v>17</v>
      </c>
      <c r="G21" s="55"/>
      <c r="H21" s="55"/>
      <c r="I21" s="55"/>
      <c r="J21" s="55"/>
      <c r="K21" s="55"/>
      <c r="L21" s="158"/>
      <c r="M21" s="10"/>
      <c r="N21" s="55"/>
      <c r="O21" s="55">
        <v>0</v>
      </c>
      <c r="P21" s="10">
        <f t="shared" si="3"/>
        <v>0</v>
      </c>
      <c r="Q21" s="10"/>
      <c r="R21" s="155" t="str">
        <f t="shared" si="4"/>
        <v/>
      </c>
      <c r="S21" s="171" t="str">
        <f t="shared" si="5"/>
        <v/>
      </c>
      <c r="T21" s="161"/>
      <c r="U21" s="55"/>
      <c r="V21" s="55"/>
      <c r="W21" s="55"/>
      <c r="X21" s="155" t="str">
        <f t="shared" si="0"/>
        <v/>
      </c>
      <c r="Y21" s="171" t="str">
        <f t="shared" si="1"/>
        <v/>
      </c>
      <c r="Z21" s="165"/>
      <c r="AA21" s="10"/>
      <c r="AB21" s="55"/>
      <c r="AC21" s="55"/>
      <c r="AD21" s="55"/>
      <c r="AE21" s="55"/>
      <c r="AF21" s="55"/>
      <c r="AG21" s="167"/>
      <c r="AH21" s="55"/>
      <c r="AI21" s="55"/>
      <c r="AJ21" s="165"/>
      <c r="AK21" s="55"/>
      <c r="AL21" s="55"/>
      <c r="AM21" s="55"/>
      <c r="AN21" s="55"/>
      <c r="AO21" s="55"/>
      <c r="AP21" s="55"/>
      <c r="AQ21" s="55"/>
      <c r="AR21" s="55"/>
      <c r="AS21" s="165"/>
      <c r="AT21" s="55"/>
      <c r="AU21" s="55"/>
      <c r="AV21" s="55"/>
      <c r="AW21" s="55"/>
      <c r="AX21" s="55"/>
      <c r="AY21" s="55"/>
      <c r="AZ21" s="55"/>
      <c r="BA21" s="55"/>
      <c r="BB21" s="165"/>
      <c r="BC21" s="55"/>
      <c r="BD21" s="55"/>
      <c r="BE21" s="55"/>
      <c r="BF21" s="165"/>
      <c r="BG21" s="55"/>
      <c r="BH21" s="10"/>
      <c r="BI21" s="55"/>
      <c r="BJ21" s="55"/>
      <c r="BK21" s="55"/>
      <c r="BL21" s="55"/>
      <c r="BT21" s="141"/>
      <c r="CN21" s="141"/>
      <c r="DG21" s="141"/>
    </row>
    <row r="22" spans="1:118" s="93" customFormat="1" x14ac:dyDescent="0.15">
      <c r="A22" s="11">
        <f t="shared" si="2"/>
        <v>60010018</v>
      </c>
      <c r="B22" s="13">
        <v>6</v>
      </c>
      <c r="C22" s="12">
        <v>0</v>
      </c>
      <c r="D22" s="13">
        <v>1</v>
      </c>
      <c r="E22" s="13">
        <v>0</v>
      </c>
      <c r="F22" s="12">
        <v>18</v>
      </c>
      <c r="G22" s="55"/>
      <c r="H22" s="55"/>
      <c r="I22" s="55"/>
      <c r="J22" s="55"/>
      <c r="K22" s="55"/>
      <c r="L22" s="158"/>
      <c r="M22" s="10"/>
      <c r="N22" s="55"/>
      <c r="O22" s="55">
        <v>0</v>
      </c>
      <c r="P22" s="10">
        <f t="shared" si="3"/>
        <v>0</v>
      </c>
      <c r="Q22" s="10"/>
      <c r="R22" s="155" t="str">
        <f t="shared" si="4"/>
        <v/>
      </c>
      <c r="S22" s="171" t="str">
        <f t="shared" si="5"/>
        <v/>
      </c>
      <c r="T22" s="161"/>
      <c r="U22" s="55"/>
      <c r="V22" s="55"/>
      <c r="W22" s="55"/>
      <c r="X22" s="155" t="str">
        <f t="shared" si="0"/>
        <v/>
      </c>
      <c r="Y22" s="171" t="str">
        <f t="shared" si="1"/>
        <v/>
      </c>
      <c r="Z22" s="165"/>
      <c r="AA22" s="10"/>
      <c r="AB22" s="55"/>
      <c r="AC22" s="55"/>
      <c r="AD22" s="55"/>
      <c r="AE22" s="55"/>
      <c r="AF22" s="55"/>
      <c r="AG22" s="167"/>
      <c r="AH22" s="55"/>
      <c r="AI22" s="55"/>
      <c r="AJ22" s="165"/>
      <c r="AK22" s="55"/>
      <c r="AL22" s="55"/>
      <c r="AM22" s="55"/>
      <c r="AN22" s="55"/>
      <c r="AO22" s="55"/>
      <c r="AP22" s="55"/>
      <c r="AQ22" s="55"/>
      <c r="AR22" s="55"/>
      <c r="AS22" s="165"/>
      <c r="AT22" s="55"/>
      <c r="AU22" s="55"/>
      <c r="AV22" s="55"/>
      <c r="AW22" s="55"/>
      <c r="AX22" s="55"/>
      <c r="AY22" s="55"/>
      <c r="AZ22" s="55"/>
      <c r="BA22" s="55"/>
      <c r="BB22" s="165"/>
      <c r="BC22" s="55"/>
      <c r="BD22" s="55"/>
      <c r="BE22" s="55"/>
      <c r="BF22" s="165"/>
      <c r="BG22" s="55"/>
      <c r="BH22" s="10"/>
      <c r="BI22" s="55"/>
      <c r="BJ22" s="55"/>
      <c r="BK22" s="55"/>
      <c r="BL22" s="55"/>
      <c r="BT22" s="141"/>
      <c r="CN22" s="141"/>
      <c r="DG22" s="141"/>
    </row>
    <row r="23" spans="1:118" s="93" customFormat="1" x14ac:dyDescent="0.15">
      <c r="A23" s="11">
        <f t="shared" si="2"/>
        <v>60010019</v>
      </c>
      <c r="B23" s="13">
        <v>6</v>
      </c>
      <c r="C23" s="12">
        <v>0</v>
      </c>
      <c r="D23" s="13">
        <v>1</v>
      </c>
      <c r="E23" s="13">
        <v>0</v>
      </c>
      <c r="F23" s="12">
        <v>19</v>
      </c>
      <c r="G23" s="55"/>
      <c r="H23" s="55"/>
      <c r="I23" s="55"/>
      <c r="J23" s="55"/>
      <c r="K23" s="55"/>
      <c r="L23" s="158"/>
      <c r="M23" s="10"/>
      <c r="N23" s="55"/>
      <c r="O23" s="55">
        <v>0</v>
      </c>
      <c r="P23" s="10">
        <f t="shared" si="3"/>
        <v>0</v>
      </c>
      <c r="Q23" s="10"/>
      <c r="R23" s="155" t="str">
        <f t="shared" si="4"/>
        <v/>
      </c>
      <c r="S23" s="171" t="str">
        <f t="shared" si="5"/>
        <v/>
      </c>
      <c r="T23" s="161"/>
      <c r="U23" s="55"/>
      <c r="V23" s="55"/>
      <c r="W23" s="55"/>
      <c r="X23" s="155" t="str">
        <f t="shared" si="0"/>
        <v/>
      </c>
      <c r="Y23" s="171" t="str">
        <f t="shared" si="1"/>
        <v/>
      </c>
      <c r="Z23" s="165"/>
      <c r="AA23" s="10"/>
      <c r="AB23" s="55"/>
      <c r="AC23" s="55"/>
      <c r="AD23" s="55"/>
      <c r="AE23" s="55"/>
      <c r="AF23" s="55"/>
      <c r="AG23" s="167"/>
      <c r="AH23" s="55"/>
      <c r="AI23" s="55"/>
      <c r="AJ23" s="165"/>
      <c r="AK23" s="55"/>
      <c r="AL23" s="55"/>
      <c r="AM23" s="55"/>
      <c r="AN23" s="55"/>
      <c r="AO23" s="55"/>
      <c r="AP23" s="55"/>
      <c r="AQ23" s="55"/>
      <c r="AR23" s="55"/>
      <c r="AS23" s="165"/>
      <c r="AT23" s="55"/>
      <c r="AU23" s="55"/>
      <c r="AV23" s="55"/>
      <c r="AW23" s="55"/>
      <c r="AX23" s="55"/>
      <c r="AY23" s="55"/>
      <c r="AZ23" s="55"/>
      <c r="BA23" s="55"/>
      <c r="BB23" s="165"/>
      <c r="BC23" s="55"/>
      <c r="BD23" s="55"/>
      <c r="BE23" s="55"/>
      <c r="BF23" s="165"/>
      <c r="BG23" s="55"/>
      <c r="BH23" s="10"/>
      <c r="BI23" s="55"/>
      <c r="BJ23" s="55"/>
      <c r="BK23" s="55"/>
      <c r="BL23" s="55"/>
      <c r="BT23" s="141"/>
      <c r="CN23" s="141"/>
      <c r="DG23" s="141"/>
    </row>
    <row r="24" spans="1:118" s="93" customFormat="1" ht="17.25" thickBot="1" x14ac:dyDescent="0.2">
      <c r="A24" s="11">
        <f t="shared" si="2"/>
        <v>60010020</v>
      </c>
      <c r="B24" s="108">
        <v>6</v>
      </c>
      <c r="C24" s="12">
        <v>0</v>
      </c>
      <c r="D24" s="13">
        <v>1</v>
      </c>
      <c r="E24" s="108">
        <v>0</v>
      </c>
      <c r="F24" s="109">
        <v>20</v>
      </c>
      <c r="G24" s="55"/>
      <c r="H24" s="55"/>
      <c r="I24" s="55"/>
      <c r="J24" s="55"/>
      <c r="K24" s="55"/>
      <c r="L24" s="158"/>
      <c r="M24" s="10"/>
      <c r="N24" s="55"/>
      <c r="O24" s="55">
        <v>0</v>
      </c>
      <c r="P24" s="10">
        <f t="shared" si="3"/>
        <v>0</v>
      </c>
      <c r="Q24" s="10"/>
      <c r="R24" s="155" t="str">
        <f t="shared" si="4"/>
        <v/>
      </c>
      <c r="S24" s="171" t="str">
        <f t="shared" si="5"/>
        <v/>
      </c>
      <c r="T24" s="161"/>
      <c r="U24" s="55"/>
      <c r="V24" s="55"/>
      <c r="W24" s="55"/>
      <c r="X24" s="155" t="str">
        <f t="shared" si="0"/>
        <v/>
      </c>
      <c r="Y24" s="171" t="str">
        <f t="shared" si="1"/>
        <v/>
      </c>
      <c r="Z24" s="165"/>
      <c r="AA24" s="10"/>
      <c r="AB24" s="55"/>
      <c r="AC24" s="55"/>
      <c r="AD24" s="55"/>
      <c r="AE24" s="55"/>
      <c r="AF24" s="55"/>
      <c r="AG24" s="167"/>
      <c r="AH24" s="55"/>
      <c r="AI24" s="55"/>
      <c r="AJ24" s="165"/>
      <c r="AK24" s="55"/>
      <c r="AL24" s="55"/>
      <c r="AM24" s="55"/>
      <c r="AN24" s="55"/>
      <c r="AO24" s="55"/>
      <c r="AP24" s="55"/>
      <c r="AQ24" s="55"/>
      <c r="AR24" s="55"/>
      <c r="AS24" s="165"/>
      <c r="AT24" s="55"/>
      <c r="AU24" s="55"/>
      <c r="AV24" s="55"/>
      <c r="AW24" s="55"/>
      <c r="AX24" s="55"/>
      <c r="AY24" s="55"/>
      <c r="AZ24" s="55"/>
      <c r="BA24" s="55"/>
      <c r="BB24" s="165"/>
      <c r="BC24" s="55"/>
      <c r="BD24" s="55"/>
      <c r="BE24" s="55"/>
      <c r="BF24" s="165"/>
      <c r="BG24" s="55"/>
      <c r="BH24" s="10"/>
      <c r="BI24" s="55"/>
      <c r="BJ24" s="55"/>
      <c r="BK24" s="55"/>
      <c r="BL24" s="55"/>
      <c r="BT24" s="141"/>
      <c r="CN24" s="141"/>
      <c r="DG24" s="141"/>
    </row>
    <row r="25" spans="1:118" s="110" customFormat="1" x14ac:dyDescent="0.15">
      <c r="A25" s="18">
        <f t="shared" si="2"/>
        <v>60020101</v>
      </c>
      <c r="B25" s="20">
        <v>6</v>
      </c>
      <c r="C25" s="19">
        <v>0</v>
      </c>
      <c r="D25" s="20">
        <v>2</v>
      </c>
      <c r="E25" s="20">
        <v>1</v>
      </c>
      <c r="F25" s="19">
        <v>1</v>
      </c>
      <c r="G25" s="56" t="s">
        <v>940</v>
      </c>
      <c r="H25" s="56">
        <v>1</v>
      </c>
      <c r="I25" s="56" t="s">
        <v>1037</v>
      </c>
      <c r="J25" s="56" t="s">
        <v>1046</v>
      </c>
      <c r="K25" s="56"/>
      <c r="L25" s="160">
        <v>300</v>
      </c>
      <c r="M25" s="17"/>
      <c r="N25" s="56" t="s">
        <v>1282</v>
      </c>
      <c r="O25" s="56">
        <v>120</v>
      </c>
      <c r="P25" s="17">
        <f t="shared" si="3"/>
        <v>120</v>
      </c>
      <c r="Q25" s="17">
        <v>10</v>
      </c>
      <c r="R25" s="156">
        <f t="shared" si="4"/>
        <v>0.82254489474286463</v>
      </c>
      <c r="S25" s="172">
        <f t="shared" si="5"/>
        <v>1.7279999999999998</v>
      </c>
      <c r="T25" s="162"/>
      <c r="U25" s="56"/>
      <c r="V25" s="56"/>
      <c r="W25" s="56"/>
      <c r="X25" s="156" t="str">
        <f t="shared" si="0"/>
        <v/>
      </c>
      <c r="Y25" s="172" t="str">
        <f t="shared" si="1"/>
        <v/>
      </c>
      <c r="Z25" s="166"/>
      <c r="AA25" s="17"/>
      <c r="AB25" s="56"/>
      <c r="AC25" s="56"/>
      <c r="AD25" s="56"/>
      <c r="AE25" s="56"/>
      <c r="AF25" s="56"/>
      <c r="AG25" s="169"/>
      <c r="AH25" s="56"/>
      <c r="AI25" s="56"/>
      <c r="AJ25" s="166"/>
      <c r="AK25" s="56"/>
      <c r="AL25" s="56"/>
      <c r="AM25" s="56"/>
      <c r="AN25" s="56"/>
      <c r="AO25" s="56"/>
      <c r="AP25" s="56"/>
      <c r="AQ25" s="56"/>
      <c r="AR25" s="56"/>
      <c r="AS25" s="166"/>
      <c r="AT25" s="56"/>
      <c r="AU25" s="56"/>
      <c r="AV25" s="56"/>
      <c r="AW25" s="56"/>
      <c r="AX25" s="56"/>
      <c r="AY25" s="56"/>
      <c r="AZ25" s="56"/>
      <c r="BA25" s="56"/>
      <c r="BB25" s="166"/>
      <c r="BC25" s="56"/>
      <c r="BD25" s="56"/>
      <c r="BE25" s="56"/>
      <c r="BF25" s="166"/>
      <c r="BG25" s="150">
        <v>120</v>
      </c>
      <c r="BH25" s="17"/>
      <c r="BI25" s="150">
        <v>140</v>
      </c>
      <c r="BJ25" s="150">
        <v>140</v>
      </c>
      <c r="BK25" s="150">
        <v>140</v>
      </c>
      <c r="BL25" s="150">
        <v>140</v>
      </c>
      <c r="BM25" s="150">
        <v>140</v>
      </c>
      <c r="BN25" s="150">
        <v>140</v>
      </c>
      <c r="BO25" s="150">
        <v>140</v>
      </c>
      <c r="BP25" s="150">
        <v>140</v>
      </c>
      <c r="BQ25" s="150">
        <v>140</v>
      </c>
      <c r="BR25" s="150">
        <v>200</v>
      </c>
      <c r="BS25" s="150">
        <v>140</v>
      </c>
      <c r="BT25" s="140"/>
      <c r="BU25" s="151">
        <v>110</v>
      </c>
      <c r="BV25" s="151">
        <v>110</v>
      </c>
      <c r="BW25" s="151">
        <v>110</v>
      </c>
      <c r="BX25" s="151">
        <v>110</v>
      </c>
      <c r="BY25" s="151">
        <v>110</v>
      </c>
      <c r="BZ25" s="151">
        <v>110</v>
      </c>
      <c r="CA25" s="151">
        <v>110</v>
      </c>
      <c r="CB25" s="151">
        <v>110</v>
      </c>
      <c r="CC25" s="151">
        <v>110</v>
      </c>
      <c r="CD25" s="151">
        <v>110</v>
      </c>
      <c r="CE25" s="151">
        <v>110</v>
      </c>
      <c r="CF25" s="151">
        <v>110</v>
      </c>
      <c r="CG25" s="151">
        <v>110</v>
      </c>
      <c r="CH25" s="151">
        <v>110</v>
      </c>
      <c r="CI25" s="151">
        <v>110</v>
      </c>
      <c r="CJ25" s="151">
        <v>110</v>
      </c>
      <c r="CK25" s="151">
        <v>110</v>
      </c>
      <c r="CL25" s="151">
        <v>110</v>
      </c>
      <c r="CM25" s="151">
        <v>110</v>
      </c>
      <c r="CN25" s="140"/>
      <c r="CO25" s="151">
        <v>150</v>
      </c>
      <c r="CP25" s="151">
        <v>150</v>
      </c>
      <c r="CQ25" s="151">
        <v>150</v>
      </c>
      <c r="CR25" s="151">
        <v>150</v>
      </c>
      <c r="CS25" s="151">
        <v>150</v>
      </c>
      <c r="CT25" s="151">
        <v>150</v>
      </c>
      <c r="CU25" s="151">
        <v>150</v>
      </c>
      <c r="CV25" s="151">
        <v>150</v>
      </c>
      <c r="CW25" s="151">
        <v>150</v>
      </c>
      <c r="CX25" s="151">
        <v>150</v>
      </c>
      <c r="CY25" s="151">
        <v>150</v>
      </c>
      <c r="CZ25" s="151">
        <v>150</v>
      </c>
      <c r="DA25" s="151">
        <v>150</v>
      </c>
      <c r="DB25" s="151">
        <v>150</v>
      </c>
      <c r="DC25" s="151">
        <v>150</v>
      </c>
      <c r="DD25" s="151">
        <v>150</v>
      </c>
      <c r="DE25" s="151">
        <v>150</v>
      </c>
      <c r="DF25" s="151">
        <v>150</v>
      </c>
      <c r="DG25" s="140"/>
      <c r="DH25" s="150">
        <v>140</v>
      </c>
      <c r="DI25" s="150">
        <v>140</v>
      </c>
      <c r="DJ25" s="150">
        <v>140</v>
      </c>
      <c r="DK25" s="150">
        <v>140</v>
      </c>
      <c r="DL25" s="150">
        <v>200</v>
      </c>
      <c r="DM25" s="150">
        <v>140</v>
      </c>
      <c r="DN25" s="150">
        <v>140</v>
      </c>
    </row>
    <row r="26" spans="1:118" x14ac:dyDescent="0.15">
      <c r="A26" s="11">
        <f t="shared" si="2"/>
        <v>60020102</v>
      </c>
      <c r="B26" s="13">
        <v>6</v>
      </c>
      <c r="C26" s="12">
        <v>0</v>
      </c>
      <c r="D26" s="13">
        <v>2</v>
      </c>
      <c r="E26" s="13">
        <v>1</v>
      </c>
      <c r="F26" s="12">
        <v>2</v>
      </c>
      <c r="G26" s="55" t="s">
        <v>941</v>
      </c>
      <c r="H26" s="55">
        <v>3</v>
      </c>
      <c r="I26" s="55" t="s">
        <v>1037</v>
      </c>
      <c r="J26" s="55" t="s">
        <v>1046</v>
      </c>
      <c r="L26" s="158">
        <v>300</v>
      </c>
      <c r="N26" s="55" t="s">
        <v>1283</v>
      </c>
      <c r="O26" s="55">
        <v>96</v>
      </c>
      <c r="P26" s="10">
        <f t="shared" si="3"/>
        <v>96</v>
      </c>
      <c r="Q26" s="10">
        <v>8</v>
      </c>
      <c r="R26" s="155">
        <f t="shared" si="4"/>
        <v>0.74919109813639784</v>
      </c>
      <c r="S26" s="171">
        <f t="shared" si="5"/>
        <v>1.3824000000000001</v>
      </c>
      <c r="X26" s="155" t="str">
        <f t="shared" si="0"/>
        <v/>
      </c>
      <c r="Y26" s="171" t="str">
        <f t="shared" si="1"/>
        <v/>
      </c>
      <c r="BG26" s="149">
        <v>140</v>
      </c>
      <c r="BI26" s="149">
        <v>180</v>
      </c>
      <c r="BJ26" s="149">
        <v>180</v>
      </c>
      <c r="BK26" s="149">
        <v>180</v>
      </c>
      <c r="BL26" s="149">
        <v>180</v>
      </c>
      <c r="BM26" s="149">
        <v>180</v>
      </c>
      <c r="BN26" s="149">
        <v>180</v>
      </c>
      <c r="BO26" s="149">
        <v>180</v>
      </c>
      <c r="BP26" s="149">
        <v>180</v>
      </c>
      <c r="BQ26" s="149">
        <v>180</v>
      </c>
      <c r="BR26" s="149">
        <v>400</v>
      </c>
      <c r="BS26" s="149">
        <v>180</v>
      </c>
      <c r="BU26" s="152">
        <v>120</v>
      </c>
      <c r="BV26" s="152">
        <v>120</v>
      </c>
      <c r="BW26" s="152">
        <v>120</v>
      </c>
      <c r="BX26" s="152">
        <v>120</v>
      </c>
      <c r="BY26" s="152">
        <v>120</v>
      </c>
      <c r="BZ26" s="152">
        <v>120</v>
      </c>
      <c r="CA26" s="152">
        <v>120</v>
      </c>
      <c r="CB26" s="152">
        <v>120</v>
      </c>
      <c r="CC26" s="152">
        <v>120</v>
      </c>
      <c r="CD26" s="152">
        <v>120</v>
      </c>
      <c r="CE26" s="152">
        <v>120</v>
      </c>
      <c r="CF26" s="152">
        <v>120</v>
      </c>
      <c r="CG26" s="152">
        <v>120</v>
      </c>
      <c r="CH26" s="152">
        <v>120</v>
      </c>
      <c r="CI26" s="152">
        <v>120</v>
      </c>
      <c r="CJ26" s="152">
        <v>120</v>
      </c>
      <c r="CK26" s="152">
        <v>120</v>
      </c>
      <c r="CL26" s="152">
        <v>120</v>
      </c>
      <c r="CM26" s="152">
        <v>120</v>
      </c>
      <c r="CO26" s="152">
        <v>200</v>
      </c>
      <c r="CP26" s="152">
        <v>200</v>
      </c>
      <c r="CQ26" s="152">
        <v>200</v>
      </c>
      <c r="CR26" s="152">
        <v>200</v>
      </c>
      <c r="CS26" s="152">
        <v>200</v>
      </c>
      <c r="CT26" s="152">
        <v>200</v>
      </c>
      <c r="CU26" s="152">
        <v>200</v>
      </c>
      <c r="CV26" s="152">
        <v>200</v>
      </c>
      <c r="CW26" s="152">
        <v>200</v>
      </c>
      <c r="CX26" s="152">
        <v>200</v>
      </c>
      <c r="CY26" s="152">
        <v>200</v>
      </c>
      <c r="CZ26" s="152">
        <v>200</v>
      </c>
      <c r="DA26" s="152">
        <v>200</v>
      </c>
      <c r="DB26" s="152">
        <v>200</v>
      </c>
      <c r="DC26" s="152">
        <v>200</v>
      </c>
      <c r="DD26" s="152">
        <v>200</v>
      </c>
      <c r="DE26" s="152">
        <v>200</v>
      </c>
      <c r="DF26" s="152">
        <v>200</v>
      </c>
      <c r="DH26" s="149">
        <v>180</v>
      </c>
      <c r="DI26" s="149">
        <v>180</v>
      </c>
      <c r="DJ26" s="149">
        <v>180</v>
      </c>
      <c r="DK26" s="149">
        <v>180</v>
      </c>
      <c r="DL26" s="149">
        <v>400</v>
      </c>
      <c r="DM26" s="149">
        <v>180</v>
      </c>
      <c r="DN26" s="149">
        <v>180</v>
      </c>
    </row>
    <row r="27" spans="1:118" ht="17.25" thickBot="1" x14ac:dyDescent="0.2">
      <c r="A27" s="11">
        <f t="shared" si="2"/>
        <v>60020103</v>
      </c>
      <c r="B27" s="13">
        <v>6</v>
      </c>
      <c r="C27" s="12">
        <v>0</v>
      </c>
      <c r="D27" s="13">
        <v>2</v>
      </c>
      <c r="E27" s="13">
        <v>1</v>
      </c>
      <c r="F27" s="12">
        <v>3</v>
      </c>
      <c r="G27" s="55" t="s">
        <v>942</v>
      </c>
      <c r="H27" s="55">
        <v>5</v>
      </c>
      <c r="I27" s="55" t="s">
        <v>1037</v>
      </c>
      <c r="J27" s="55" t="s">
        <v>1046</v>
      </c>
      <c r="L27" s="158">
        <v>300</v>
      </c>
      <c r="N27" s="55" t="s">
        <v>1284</v>
      </c>
      <c r="O27" s="55">
        <v>60</v>
      </c>
      <c r="P27" s="10">
        <f t="shared" si="3"/>
        <v>60</v>
      </c>
      <c r="Q27" s="10">
        <v>5</v>
      </c>
      <c r="R27" s="155">
        <f t="shared" si="4"/>
        <v>0.57863646052730333</v>
      </c>
      <c r="S27" s="171">
        <f t="shared" si="5"/>
        <v>0.86399999999999988</v>
      </c>
      <c r="X27" s="155" t="str">
        <f t="shared" si="0"/>
        <v/>
      </c>
      <c r="Y27" s="171" t="str">
        <f t="shared" si="1"/>
        <v/>
      </c>
      <c r="BG27" s="149">
        <v>160</v>
      </c>
      <c r="BI27" s="149">
        <v>220</v>
      </c>
      <c r="BJ27" s="149">
        <v>220</v>
      </c>
      <c r="BK27" s="149">
        <v>220</v>
      </c>
      <c r="BL27" s="149">
        <v>220</v>
      </c>
      <c r="BM27" s="149">
        <v>220</v>
      </c>
      <c r="BN27" s="149">
        <v>220</v>
      </c>
      <c r="BO27" s="149">
        <v>220</v>
      </c>
      <c r="BP27" s="149">
        <v>220</v>
      </c>
      <c r="BQ27" s="149">
        <v>220</v>
      </c>
      <c r="BR27" s="149">
        <v>800</v>
      </c>
      <c r="BS27" s="149">
        <v>220</v>
      </c>
      <c r="BU27" s="152">
        <v>130</v>
      </c>
      <c r="BV27" s="152">
        <v>130</v>
      </c>
      <c r="BW27" s="152">
        <v>130</v>
      </c>
      <c r="BX27" s="152">
        <v>130</v>
      </c>
      <c r="BY27" s="152">
        <v>130</v>
      </c>
      <c r="BZ27" s="152">
        <v>130</v>
      </c>
      <c r="CA27" s="152">
        <v>130</v>
      </c>
      <c r="CB27" s="152">
        <v>130</v>
      </c>
      <c r="CC27" s="152">
        <v>130</v>
      </c>
      <c r="CD27" s="152">
        <v>130</v>
      </c>
      <c r="CE27" s="152">
        <v>130</v>
      </c>
      <c r="CF27" s="152">
        <v>130</v>
      </c>
      <c r="CG27" s="152">
        <v>130</v>
      </c>
      <c r="CH27" s="152">
        <v>130</v>
      </c>
      <c r="CI27" s="152">
        <v>130</v>
      </c>
      <c r="CJ27" s="152">
        <v>130</v>
      </c>
      <c r="CK27" s="152">
        <v>130</v>
      </c>
      <c r="CL27" s="152">
        <v>130</v>
      </c>
      <c r="CM27" s="152">
        <v>130</v>
      </c>
      <c r="CO27" s="152">
        <v>250</v>
      </c>
      <c r="CP27" s="152">
        <v>250</v>
      </c>
      <c r="CQ27" s="152">
        <v>250</v>
      </c>
      <c r="CR27" s="152">
        <v>250</v>
      </c>
      <c r="CS27" s="152">
        <v>250</v>
      </c>
      <c r="CT27" s="152">
        <v>250</v>
      </c>
      <c r="CU27" s="152">
        <v>250</v>
      </c>
      <c r="CV27" s="152">
        <v>250</v>
      </c>
      <c r="CW27" s="152">
        <v>250</v>
      </c>
      <c r="CX27" s="152">
        <v>250</v>
      </c>
      <c r="CY27" s="152">
        <v>250</v>
      </c>
      <c r="CZ27" s="152">
        <v>250</v>
      </c>
      <c r="DA27" s="152">
        <v>250</v>
      </c>
      <c r="DB27" s="152">
        <v>250</v>
      </c>
      <c r="DC27" s="152">
        <v>250</v>
      </c>
      <c r="DD27" s="152">
        <v>250</v>
      </c>
      <c r="DE27" s="152">
        <v>250</v>
      </c>
      <c r="DF27" s="152">
        <v>250</v>
      </c>
      <c r="DH27" s="149">
        <v>220</v>
      </c>
      <c r="DI27" s="149">
        <v>220</v>
      </c>
      <c r="DJ27" s="149">
        <v>220</v>
      </c>
      <c r="DK27" s="149">
        <v>220</v>
      </c>
      <c r="DL27" s="149">
        <v>800</v>
      </c>
      <c r="DM27" s="149">
        <v>220</v>
      </c>
      <c r="DN27" s="149">
        <v>220</v>
      </c>
    </row>
    <row r="28" spans="1:118" x14ac:dyDescent="0.15">
      <c r="A28" s="11">
        <f t="shared" si="2"/>
        <v>60020104</v>
      </c>
      <c r="B28" s="13">
        <v>6</v>
      </c>
      <c r="C28" s="12">
        <v>0</v>
      </c>
      <c r="D28" s="13">
        <v>2</v>
      </c>
      <c r="E28" s="13">
        <v>1</v>
      </c>
      <c r="F28" s="12">
        <v>4</v>
      </c>
      <c r="G28" s="55" t="s">
        <v>954</v>
      </c>
      <c r="H28" s="55">
        <v>1</v>
      </c>
      <c r="I28" s="55" t="s">
        <v>1048</v>
      </c>
      <c r="J28" s="55" t="s">
        <v>1047</v>
      </c>
      <c r="L28" s="158">
        <v>300</v>
      </c>
      <c r="N28" s="55" t="s">
        <v>1285</v>
      </c>
      <c r="O28" s="56">
        <v>120</v>
      </c>
      <c r="P28" s="10">
        <f t="shared" si="3"/>
        <v>120</v>
      </c>
      <c r="Q28" s="10">
        <v>10</v>
      </c>
      <c r="R28" s="155">
        <f t="shared" si="4"/>
        <v>0.82254489474286463</v>
      </c>
      <c r="S28" s="171">
        <f t="shared" si="5"/>
        <v>1.7279999999999998</v>
      </c>
      <c r="X28" s="155" t="str">
        <f t="shared" si="0"/>
        <v/>
      </c>
      <c r="Y28" s="171" t="str">
        <f t="shared" si="1"/>
        <v/>
      </c>
      <c r="BG28" s="149">
        <v>70</v>
      </c>
      <c r="BI28" s="149">
        <v>80</v>
      </c>
      <c r="BJ28" s="149">
        <v>80</v>
      </c>
      <c r="BK28" s="149">
        <v>80</v>
      </c>
      <c r="BL28" s="149">
        <v>80</v>
      </c>
      <c r="BM28" s="149">
        <v>80</v>
      </c>
      <c r="BN28" s="149">
        <v>80</v>
      </c>
      <c r="BO28" s="149">
        <v>80</v>
      </c>
      <c r="BP28" s="149">
        <v>80</v>
      </c>
      <c r="BQ28" s="149">
        <v>80</v>
      </c>
      <c r="BR28" s="149">
        <v>50</v>
      </c>
      <c r="BS28" s="149">
        <v>80</v>
      </c>
      <c r="BU28" s="149">
        <v>80</v>
      </c>
      <c r="BV28" s="149">
        <v>80</v>
      </c>
      <c r="BW28" s="149">
        <v>80</v>
      </c>
      <c r="BX28" s="149">
        <v>80</v>
      </c>
      <c r="BY28" s="149">
        <v>80</v>
      </c>
      <c r="BZ28" s="149">
        <v>80</v>
      </c>
      <c r="CA28" s="149">
        <v>80</v>
      </c>
      <c r="CB28" s="149">
        <v>80</v>
      </c>
      <c r="CC28" s="149">
        <v>80</v>
      </c>
      <c r="CD28" s="149">
        <v>80</v>
      </c>
      <c r="CE28" s="149">
        <v>80</v>
      </c>
      <c r="CF28" s="149">
        <v>80</v>
      </c>
      <c r="CG28" s="149">
        <v>80</v>
      </c>
      <c r="CH28" s="149">
        <v>80</v>
      </c>
      <c r="CI28" s="149">
        <v>80</v>
      </c>
      <c r="CJ28" s="149">
        <v>80</v>
      </c>
      <c r="CK28" s="149">
        <v>80</v>
      </c>
      <c r="CL28" s="149">
        <v>80</v>
      </c>
      <c r="CM28" s="149">
        <v>80</v>
      </c>
      <c r="CO28" s="149">
        <v>70</v>
      </c>
      <c r="CP28" s="149">
        <v>70</v>
      </c>
      <c r="CQ28" s="149">
        <v>70</v>
      </c>
      <c r="CR28" s="149">
        <v>70</v>
      </c>
      <c r="CS28" s="149">
        <v>70</v>
      </c>
      <c r="CT28" s="149">
        <v>70</v>
      </c>
      <c r="CU28" s="149">
        <v>70</v>
      </c>
      <c r="CV28" s="149">
        <v>70</v>
      </c>
      <c r="CW28" s="149">
        <v>70</v>
      </c>
      <c r="CX28" s="149">
        <v>70</v>
      </c>
      <c r="CY28" s="149">
        <v>70</v>
      </c>
      <c r="CZ28" s="149">
        <v>70</v>
      </c>
      <c r="DA28" s="149">
        <v>70</v>
      </c>
      <c r="DB28" s="149">
        <v>70</v>
      </c>
      <c r="DC28" s="149">
        <v>70</v>
      </c>
      <c r="DD28" s="149">
        <v>70</v>
      </c>
      <c r="DE28" s="149">
        <v>70</v>
      </c>
      <c r="DF28" s="149">
        <v>70</v>
      </c>
      <c r="DH28" s="149">
        <v>70</v>
      </c>
      <c r="DI28" s="149">
        <v>70</v>
      </c>
      <c r="DJ28" s="149">
        <v>70</v>
      </c>
      <c r="DK28" s="149">
        <v>70</v>
      </c>
      <c r="DL28" s="149">
        <v>50</v>
      </c>
      <c r="DM28" s="149">
        <v>70</v>
      </c>
      <c r="DN28" s="149">
        <v>70</v>
      </c>
    </row>
    <row r="29" spans="1:118" x14ac:dyDescent="0.15">
      <c r="A29" s="11">
        <f t="shared" si="2"/>
        <v>60020105</v>
      </c>
      <c r="B29" s="13">
        <v>6</v>
      </c>
      <c r="C29" s="12">
        <v>0</v>
      </c>
      <c r="D29" s="13">
        <v>2</v>
      </c>
      <c r="E29" s="13">
        <v>1</v>
      </c>
      <c r="F29" s="12">
        <v>5</v>
      </c>
      <c r="G29" s="55" t="s">
        <v>955</v>
      </c>
      <c r="H29" s="55">
        <v>3</v>
      </c>
      <c r="I29" s="55" t="s">
        <v>1048</v>
      </c>
      <c r="J29" s="55" t="s">
        <v>1047</v>
      </c>
      <c r="L29" s="158">
        <v>300</v>
      </c>
      <c r="N29" s="55" t="s">
        <v>1286</v>
      </c>
      <c r="O29" s="55">
        <v>96</v>
      </c>
      <c r="P29" s="10">
        <f t="shared" si="3"/>
        <v>96</v>
      </c>
      <c r="Q29" s="10">
        <v>8</v>
      </c>
      <c r="R29" s="155">
        <f t="shared" si="4"/>
        <v>0.74919109813639784</v>
      </c>
      <c r="S29" s="171">
        <f t="shared" si="5"/>
        <v>1.3824000000000001</v>
      </c>
      <c r="X29" s="155" t="str">
        <f t="shared" si="0"/>
        <v/>
      </c>
      <c r="Y29" s="171" t="str">
        <f t="shared" si="1"/>
        <v/>
      </c>
      <c r="BG29" s="149">
        <v>50</v>
      </c>
      <c r="BI29" s="149">
        <v>70</v>
      </c>
      <c r="BJ29" s="149">
        <v>70</v>
      </c>
      <c r="BK29" s="149">
        <v>70</v>
      </c>
      <c r="BL29" s="149">
        <v>70</v>
      </c>
      <c r="BM29" s="149">
        <v>70</v>
      </c>
      <c r="BN29" s="149">
        <v>70</v>
      </c>
      <c r="BO29" s="149">
        <v>70</v>
      </c>
      <c r="BP29" s="149">
        <v>70</v>
      </c>
      <c r="BQ29" s="149">
        <v>70</v>
      </c>
      <c r="BR29" s="149">
        <v>40</v>
      </c>
      <c r="BS29" s="149">
        <v>70</v>
      </c>
      <c r="BU29" s="149">
        <v>70</v>
      </c>
      <c r="BV29" s="149">
        <v>70</v>
      </c>
      <c r="BW29" s="149">
        <v>70</v>
      </c>
      <c r="BX29" s="149">
        <v>70</v>
      </c>
      <c r="BY29" s="149">
        <v>70</v>
      </c>
      <c r="BZ29" s="149">
        <v>70</v>
      </c>
      <c r="CA29" s="149">
        <v>70</v>
      </c>
      <c r="CB29" s="149">
        <v>70</v>
      </c>
      <c r="CC29" s="149">
        <v>70</v>
      </c>
      <c r="CD29" s="149">
        <v>70</v>
      </c>
      <c r="CE29" s="149">
        <v>70</v>
      </c>
      <c r="CF29" s="149">
        <v>70</v>
      </c>
      <c r="CG29" s="149">
        <v>70</v>
      </c>
      <c r="CH29" s="149">
        <v>70</v>
      </c>
      <c r="CI29" s="149">
        <v>70</v>
      </c>
      <c r="CJ29" s="149">
        <v>70</v>
      </c>
      <c r="CK29" s="149">
        <v>70</v>
      </c>
      <c r="CL29" s="149">
        <v>70</v>
      </c>
      <c r="CM29" s="149">
        <v>70</v>
      </c>
      <c r="CO29" s="149">
        <v>60</v>
      </c>
      <c r="CP29" s="149">
        <v>60</v>
      </c>
      <c r="CQ29" s="149">
        <v>60</v>
      </c>
      <c r="CR29" s="149">
        <v>60</v>
      </c>
      <c r="CS29" s="149">
        <v>60</v>
      </c>
      <c r="CT29" s="149">
        <v>60</v>
      </c>
      <c r="CU29" s="149">
        <v>60</v>
      </c>
      <c r="CV29" s="149">
        <v>60</v>
      </c>
      <c r="CW29" s="149">
        <v>60</v>
      </c>
      <c r="CX29" s="149">
        <v>60</v>
      </c>
      <c r="CY29" s="149">
        <v>60</v>
      </c>
      <c r="CZ29" s="149">
        <v>60</v>
      </c>
      <c r="DA29" s="149">
        <v>60</v>
      </c>
      <c r="DB29" s="149">
        <v>60</v>
      </c>
      <c r="DC29" s="149">
        <v>60</v>
      </c>
      <c r="DD29" s="149">
        <v>60</v>
      </c>
      <c r="DE29" s="149">
        <v>60</v>
      </c>
      <c r="DF29" s="149">
        <v>60</v>
      </c>
      <c r="DH29" s="149">
        <v>60</v>
      </c>
      <c r="DI29" s="149">
        <v>60</v>
      </c>
      <c r="DJ29" s="149">
        <v>60</v>
      </c>
      <c r="DK29" s="149">
        <v>60</v>
      </c>
      <c r="DL29" s="149">
        <v>40</v>
      </c>
      <c r="DM29" s="149">
        <v>60</v>
      </c>
      <c r="DN29" s="149">
        <v>60</v>
      </c>
    </row>
    <row r="30" spans="1:118" x14ac:dyDescent="0.15">
      <c r="A30" s="11">
        <f t="shared" si="2"/>
        <v>60020106</v>
      </c>
      <c r="B30" s="13">
        <v>6</v>
      </c>
      <c r="C30" s="12">
        <v>0</v>
      </c>
      <c r="D30" s="13">
        <v>2</v>
      </c>
      <c r="E30" s="13">
        <v>1</v>
      </c>
      <c r="F30" s="12">
        <v>6</v>
      </c>
      <c r="G30" s="55" t="s">
        <v>956</v>
      </c>
      <c r="H30" s="55">
        <v>5</v>
      </c>
      <c r="I30" s="55" t="s">
        <v>1048</v>
      </c>
      <c r="J30" s="55" t="s">
        <v>1047</v>
      </c>
      <c r="L30" s="158">
        <v>300</v>
      </c>
      <c r="N30" s="55" t="s">
        <v>1287</v>
      </c>
      <c r="O30" s="55">
        <v>60</v>
      </c>
      <c r="P30" s="10">
        <f t="shared" si="3"/>
        <v>60</v>
      </c>
      <c r="Q30" s="10">
        <v>5</v>
      </c>
      <c r="R30" s="155">
        <f t="shared" si="4"/>
        <v>0.57863646052730333</v>
      </c>
      <c r="S30" s="171">
        <f t="shared" si="5"/>
        <v>0.86399999999999988</v>
      </c>
      <c r="X30" s="155" t="str">
        <f t="shared" si="0"/>
        <v/>
      </c>
      <c r="Y30" s="171" t="str">
        <f t="shared" si="1"/>
        <v/>
      </c>
      <c r="BG30" s="149">
        <v>20</v>
      </c>
      <c r="BI30" s="149">
        <v>60</v>
      </c>
      <c r="BJ30" s="149">
        <v>60</v>
      </c>
      <c r="BK30" s="149">
        <v>60</v>
      </c>
      <c r="BL30" s="149">
        <v>60</v>
      </c>
      <c r="BM30" s="149">
        <v>60</v>
      </c>
      <c r="BN30" s="149">
        <v>60</v>
      </c>
      <c r="BO30" s="149">
        <v>60</v>
      </c>
      <c r="BP30" s="149">
        <v>60</v>
      </c>
      <c r="BQ30" s="149">
        <v>60</v>
      </c>
      <c r="BR30" s="149">
        <v>30</v>
      </c>
      <c r="BS30" s="149">
        <v>60</v>
      </c>
      <c r="BU30" s="149">
        <v>60</v>
      </c>
      <c r="BV30" s="149">
        <v>60</v>
      </c>
      <c r="BW30" s="149">
        <v>60</v>
      </c>
      <c r="BX30" s="149">
        <v>60</v>
      </c>
      <c r="BY30" s="149">
        <v>60</v>
      </c>
      <c r="BZ30" s="149">
        <v>60</v>
      </c>
      <c r="CA30" s="149">
        <v>60</v>
      </c>
      <c r="CB30" s="149">
        <v>60</v>
      </c>
      <c r="CC30" s="149">
        <v>60</v>
      </c>
      <c r="CD30" s="149">
        <v>60</v>
      </c>
      <c r="CE30" s="149">
        <v>60</v>
      </c>
      <c r="CF30" s="149">
        <v>60</v>
      </c>
      <c r="CG30" s="149">
        <v>60</v>
      </c>
      <c r="CH30" s="149">
        <v>60</v>
      </c>
      <c r="CI30" s="149">
        <v>60</v>
      </c>
      <c r="CJ30" s="149">
        <v>60</v>
      </c>
      <c r="CK30" s="149">
        <v>60</v>
      </c>
      <c r="CL30" s="149">
        <v>60</v>
      </c>
      <c r="CM30" s="149">
        <v>60</v>
      </c>
      <c r="CO30" s="149">
        <v>50</v>
      </c>
      <c r="CP30" s="149">
        <v>50</v>
      </c>
      <c r="CQ30" s="149">
        <v>50</v>
      </c>
      <c r="CR30" s="149">
        <v>50</v>
      </c>
      <c r="CS30" s="149">
        <v>50</v>
      </c>
      <c r="CT30" s="149">
        <v>50</v>
      </c>
      <c r="CU30" s="149">
        <v>50</v>
      </c>
      <c r="CV30" s="149">
        <v>50</v>
      </c>
      <c r="CW30" s="149">
        <v>50</v>
      </c>
      <c r="CX30" s="149">
        <v>50</v>
      </c>
      <c r="CY30" s="149">
        <v>50</v>
      </c>
      <c r="CZ30" s="149">
        <v>50</v>
      </c>
      <c r="DA30" s="149">
        <v>50</v>
      </c>
      <c r="DB30" s="149">
        <v>50</v>
      </c>
      <c r="DC30" s="149">
        <v>50</v>
      </c>
      <c r="DD30" s="149">
        <v>50</v>
      </c>
      <c r="DE30" s="149">
        <v>50</v>
      </c>
      <c r="DF30" s="149">
        <v>50</v>
      </c>
      <c r="DH30" s="149">
        <v>50</v>
      </c>
      <c r="DI30" s="149">
        <v>50</v>
      </c>
      <c r="DJ30" s="149">
        <v>50</v>
      </c>
      <c r="DK30" s="149">
        <v>50</v>
      </c>
      <c r="DL30" s="149">
        <v>30</v>
      </c>
      <c r="DM30" s="149">
        <v>50</v>
      </c>
      <c r="DN30" s="149">
        <v>50</v>
      </c>
    </row>
    <row r="31" spans="1:118" x14ac:dyDescent="0.15">
      <c r="A31" s="11">
        <f t="shared" si="2"/>
        <v>60020007</v>
      </c>
      <c r="B31" s="13">
        <v>6</v>
      </c>
      <c r="C31" s="12">
        <v>0</v>
      </c>
      <c r="D31" s="13">
        <v>2</v>
      </c>
      <c r="E31" s="13">
        <v>0</v>
      </c>
      <c r="F31" s="12">
        <v>7</v>
      </c>
      <c r="O31" s="91">
        <v>0</v>
      </c>
      <c r="P31" s="7">
        <f t="shared" si="3"/>
        <v>0</v>
      </c>
      <c r="Q31" s="7"/>
      <c r="R31" s="157" t="str">
        <f t="shared" si="4"/>
        <v/>
      </c>
      <c r="S31" s="173" t="str">
        <f t="shared" si="5"/>
        <v/>
      </c>
      <c r="T31" s="163"/>
      <c r="X31" s="155" t="str">
        <f t="shared" si="0"/>
        <v/>
      </c>
      <c r="Y31" s="171" t="str">
        <f t="shared" si="1"/>
        <v/>
      </c>
    </row>
    <row r="32" spans="1:118" x14ac:dyDescent="0.15">
      <c r="A32" s="11">
        <f t="shared" si="2"/>
        <v>60020008</v>
      </c>
      <c r="B32" s="13">
        <v>6</v>
      </c>
      <c r="C32" s="12">
        <v>0</v>
      </c>
      <c r="D32" s="13">
        <v>2</v>
      </c>
      <c r="E32" s="13">
        <v>0</v>
      </c>
      <c r="F32" s="12">
        <v>8</v>
      </c>
      <c r="O32" s="55">
        <v>0</v>
      </c>
      <c r="P32" s="10">
        <f t="shared" si="3"/>
        <v>0</v>
      </c>
      <c r="R32" s="155" t="str">
        <f t="shared" si="4"/>
        <v/>
      </c>
      <c r="S32" s="171" t="str">
        <f t="shared" si="5"/>
        <v/>
      </c>
      <c r="X32" s="155" t="str">
        <f t="shared" si="0"/>
        <v/>
      </c>
      <c r="Y32" s="171" t="str">
        <f t="shared" si="1"/>
        <v/>
      </c>
    </row>
    <row r="33" spans="1:117" x14ac:dyDescent="0.15">
      <c r="A33" s="11">
        <f t="shared" si="2"/>
        <v>60020009</v>
      </c>
      <c r="B33" s="13">
        <v>6</v>
      </c>
      <c r="C33" s="12">
        <v>0</v>
      </c>
      <c r="D33" s="13">
        <v>2</v>
      </c>
      <c r="E33" s="13">
        <v>0</v>
      </c>
      <c r="F33" s="12">
        <v>9</v>
      </c>
      <c r="O33" s="55">
        <v>0</v>
      </c>
      <c r="P33" s="10">
        <f t="shared" si="3"/>
        <v>0</v>
      </c>
      <c r="R33" s="155" t="str">
        <f t="shared" si="4"/>
        <v/>
      </c>
      <c r="S33" s="171" t="str">
        <f t="shared" si="5"/>
        <v/>
      </c>
      <c r="X33" s="155" t="str">
        <f t="shared" si="0"/>
        <v/>
      </c>
      <c r="Y33" s="171" t="str">
        <f t="shared" si="1"/>
        <v/>
      </c>
    </row>
    <row r="34" spans="1:117" x14ac:dyDescent="0.15">
      <c r="A34" s="11">
        <f t="shared" si="2"/>
        <v>60020010</v>
      </c>
      <c r="B34" s="13">
        <v>6</v>
      </c>
      <c r="C34" s="12">
        <v>0</v>
      </c>
      <c r="D34" s="13">
        <v>2</v>
      </c>
      <c r="E34" s="13">
        <v>0</v>
      </c>
      <c r="F34" s="12">
        <v>10</v>
      </c>
      <c r="O34" s="55">
        <v>0</v>
      </c>
      <c r="P34" s="10">
        <f t="shared" si="3"/>
        <v>0</v>
      </c>
      <c r="R34" s="155" t="str">
        <f t="shared" si="4"/>
        <v/>
      </c>
      <c r="S34" s="171" t="str">
        <f t="shared" si="5"/>
        <v/>
      </c>
      <c r="X34" s="155" t="str">
        <f t="shared" si="0"/>
        <v/>
      </c>
      <c r="Y34" s="171" t="str">
        <f t="shared" si="1"/>
        <v/>
      </c>
    </row>
    <row r="35" spans="1:117" s="93" customFormat="1" x14ac:dyDescent="0.15">
      <c r="A35" s="11">
        <f t="shared" si="2"/>
        <v>60020011</v>
      </c>
      <c r="B35" s="13">
        <v>6</v>
      </c>
      <c r="C35" s="12">
        <v>0</v>
      </c>
      <c r="D35" s="13">
        <v>2</v>
      </c>
      <c r="E35" s="13">
        <v>0</v>
      </c>
      <c r="F35" s="12">
        <v>11</v>
      </c>
      <c r="G35" s="55"/>
      <c r="H35" s="55"/>
      <c r="I35" s="55"/>
      <c r="J35" s="55"/>
      <c r="K35" s="55"/>
      <c r="L35" s="158"/>
      <c r="M35" s="10"/>
      <c r="N35" s="55"/>
      <c r="O35" s="55">
        <v>0</v>
      </c>
      <c r="P35" s="10">
        <f t="shared" si="3"/>
        <v>0</v>
      </c>
      <c r="Q35" s="10"/>
      <c r="R35" s="155" t="str">
        <f t="shared" si="4"/>
        <v/>
      </c>
      <c r="S35" s="171" t="str">
        <f t="shared" si="5"/>
        <v/>
      </c>
      <c r="T35" s="161"/>
      <c r="U35" s="55"/>
      <c r="V35" s="55"/>
      <c r="W35" s="55"/>
      <c r="X35" s="155" t="str">
        <f t="shared" si="0"/>
        <v/>
      </c>
      <c r="Y35" s="171" t="str">
        <f t="shared" si="1"/>
        <v/>
      </c>
      <c r="Z35" s="165"/>
      <c r="AA35" s="10"/>
      <c r="AB35" s="55"/>
      <c r="AC35" s="55"/>
      <c r="AD35" s="55"/>
      <c r="AE35" s="55"/>
      <c r="AF35" s="55"/>
      <c r="AG35" s="167"/>
      <c r="AH35" s="55"/>
      <c r="AI35" s="55"/>
      <c r="AJ35" s="165"/>
      <c r="AK35" s="55"/>
      <c r="AL35" s="55"/>
      <c r="AM35" s="55"/>
      <c r="AN35" s="55"/>
      <c r="AO35" s="55"/>
      <c r="AP35" s="55"/>
      <c r="AQ35" s="55"/>
      <c r="AR35" s="55"/>
      <c r="AS35" s="165"/>
      <c r="AT35" s="55"/>
      <c r="AU35" s="55"/>
      <c r="AV35" s="55"/>
      <c r="AW35" s="55"/>
      <c r="AX35" s="55"/>
      <c r="AY35" s="55"/>
      <c r="AZ35" s="55"/>
      <c r="BA35" s="55"/>
      <c r="BB35" s="165"/>
      <c r="BC35" s="55"/>
      <c r="BD35" s="55"/>
      <c r="BE35" s="55"/>
      <c r="BF35" s="165"/>
      <c r="BG35" s="55"/>
      <c r="BH35" s="10"/>
      <c r="BI35" s="55"/>
      <c r="BJ35" s="55"/>
      <c r="BK35" s="55"/>
      <c r="BL35" s="55"/>
      <c r="BT35" s="141"/>
      <c r="CN35" s="141"/>
      <c r="DG35" s="141"/>
    </row>
    <row r="36" spans="1:117" s="93" customFormat="1" x14ac:dyDescent="0.15">
      <c r="A36" s="11">
        <f t="shared" si="2"/>
        <v>60020012</v>
      </c>
      <c r="B36" s="13">
        <v>6</v>
      </c>
      <c r="C36" s="12">
        <v>0</v>
      </c>
      <c r="D36" s="13">
        <v>2</v>
      </c>
      <c r="E36" s="13">
        <v>0</v>
      </c>
      <c r="F36" s="12">
        <v>12</v>
      </c>
      <c r="G36" s="55"/>
      <c r="H36" s="55"/>
      <c r="I36" s="55"/>
      <c r="J36" s="55"/>
      <c r="K36" s="55"/>
      <c r="L36" s="158"/>
      <c r="M36" s="10"/>
      <c r="N36" s="55"/>
      <c r="O36" s="55">
        <v>0</v>
      </c>
      <c r="P36" s="10">
        <f t="shared" si="3"/>
        <v>0</v>
      </c>
      <c r="Q36" s="10"/>
      <c r="R36" s="155" t="str">
        <f t="shared" si="4"/>
        <v/>
      </c>
      <c r="S36" s="171" t="str">
        <f t="shared" si="5"/>
        <v/>
      </c>
      <c r="T36" s="161"/>
      <c r="U36" s="55"/>
      <c r="V36" s="55"/>
      <c r="W36" s="55"/>
      <c r="X36" s="155" t="str">
        <f t="shared" si="0"/>
        <v/>
      </c>
      <c r="Y36" s="171" t="str">
        <f t="shared" si="1"/>
        <v/>
      </c>
      <c r="Z36" s="165"/>
      <c r="AA36" s="10"/>
      <c r="AB36" s="55"/>
      <c r="AC36" s="55"/>
      <c r="AD36" s="55"/>
      <c r="AE36" s="55"/>
      <c r="AF36" s="55"/>
      <c r="AG36" s="167"/>
      <c r="AH36" s="55"/>
      <c r="AI36" s="55"/>
      <c r="AJ36" s="165"/>
      <c r="AK36" s="55"/>
      <c r="AL36" s="55"/>
      <c r="AM36" s="55"/>
      <c r="AN36" s="55"/>
      <c r="AO36" s="55"/>
      <c r="AP36" s="55"/>
      <c r="AQ36" s="55"/>
      <c r="AR36" s="55"/>
      <c r="AS36" s="165"/>
      <c r="AT36" s="55"/>
      <c r="AU36" s="55"/>
      <c r="AV36" s="55"/>
      <c r="AW36" s="55"/>
      <c r="AX36" s="55"/>
      <c r="AY36" s="55"/>
      <c r="AZ36" s="55"/>
      <c r="BA36" s="55"/>
      <c r="BB36" s="165"/>
      <c r="BC36" s="55"/>
      <c r="BD36" s="55"/>
      <c r="BE36" s="55"/>
      <c r="BF36" s="165"/>
      <c r="BG36" s="55"/>
      <c r="BH36" s="10"/>
      <c r="BI36" s="55"/>
      <c r="BJ36" s="55"/>
      <c r="BK36" s="55"/>
      <c r="BL36" s="55"/>
      <c r="BT36" s="141"/>
      <c r="CN36" s="141"/>
      <c r="DG36" s="141"/>
    </row>
    <row r="37" spans="1:117" s="93" customFormat="1" x14ac:dyDescent="0.15">
      <c r="A37" s="11">
        <f t="shared" si="2"/>
        <v>60020013</v>
      </c>
      <c r="B37" s="13">
        <v>6</v>
      </c>
      <c r="C37" s="12">
        <v>0</v>
      </c>
      <c r="D37" s="13">
        <v>2</v>
      </c>
      <c r="E37" s="13">
        <v>0</v>
      </c>
      <c r="F37" s="12">
        <v>13</v>
      </c>
      <c r="G37" s="55"/>
      <c r="H37" s="55"/>
      <c r="I37" s="55"/>
      <c r="J37" s="55"/>
      <c r="K37" s="55"/>
      <c r="L37" s="158"/>
      <c r="M37" s="10"/>
      <c r="N37" s="55"/>
      <c r="O37" s="55">
        <v>0</v>
      </c>
      <c r="P37" s="10">
        <f t="shared" si="3"/>
        <v>0</v>
      </c>
      <c r="Q37" s="10"/>
      <c r="R37" s="155" t="str">
        <f t="shared" si="4"/>
        <v/>
      </c>
      <c r="S37" s="171" t="str">
        <f t="shared" si="5"/>
        <v/>
      </c>
      <c r="T37" s="161"/>
      <c r="U37" s="55"/>
      <c r="V37" s="55"/>
      <c r="W37" s="55"/>
      <c r="X37" s="155" t="str">
        <f t="shared" si="0"/>
        <v/>
      </c>
      <c r="Y37" s="171" t="str">
        <f t="shared" si="1"/>
        <v/>
      </c>
      <c r="Z37" s="165"/>
      <c r="AA37" s="10"/>
      <c r="AB37" s="55"/>
      <c r="AC37" s="55"/>
      <c r="AD37" s="55"/>
      <c r="AE37" s="55"/>
      <c r="AF37" s="55"/>
      <c r="AG37" s="167"/>
      <c r="AH37" s="55"/>
      <c r="AI37" s="55"/>
      <c r="AJ37" s="165"/>
      <c r="AK37" s="55"/>
      <c r="AL37" s="55"/>
      <c r="AM37" s="55"/>
      <c r="AN37" s="55"/>
      <c r="AO37" s="55"/>
      <c r="AP37" s="55"/>
      <c r="AQ37" s="55"/>
      <c r="AR37" s="55"/>
      <c r="AS37" s="165"/>
      <c r="AT37" s="55"/>
      <c r="AU37" s="55"/>
      <c r="AV37" s="55"/>
      <c r="AW37" s="55"/>
      <c r="AX37" s="55"/>
      <c r="AY37" s="55"/>
      <c r="AZ37" s="55"/>
      <c r="BA37" s="55"/>
      <c r="BB37" s="165"/>
      <c r="BC37" s="55"/>
      <c r="BD37" s="55"/>
      <c r="BE37" s="55"/>
      <c r="BF37" s="165"/>
      <c r="BG37" s="55"/>
      <c r="BH37" s="10"/>
      <c r="BI37" s="55"/>
      <c r="BJ37" s="55"/>
      <c r="BK37" s="55"/>
      <c r="BL37" s="55"/>
      <c r="BT37" s="141"/>
      <c r="CN37" s="141"/>
      <c r="DG37" s="141"/>
    </row>
    <row r="38" spans="1:117" s="93" customFormat="1" x14ac:dyDescent="0.15">
      <c r="A38" s="11">
        <f t="shared" si="2"/>
        <v>60020014</v>
      </c>
      <c r="B38" s="13">
        <v>6</v>
      </c>
      <c r="C38" s="12">
        <v>0</v>
      </c>
      <c r="D38" s="13">
        <v>2</v>
      </c>
      <c r="E38" s="13">
        <v>0</v>
      </c>
      <c r="F38" s="12">
        <v>14</v>
      </c>
      <c r="G38" s="55"/>
      <c r="H38" s="55"/>
      <c r="I38" s="55"/>
      <c r="J38" s="55"/>
      <c r="K38" s="55"/>
      <c r="L38" s="158"/>
      <c r="M38" s="10"/>
      <c r="N38" s="55"/>
      <c r="O38" s="55">
        <v>0</v>
      </c>
      <c r="P38" s="10">
        <f t="shared" si="3"/>
        <v>0</v>
      </c>
      <c r="Q38" s="10"/>
      <c r="R38" s="155" t="str">
        <f t="shared" si="4"/>
        <v/>
      </c>
      <c r="S38" s="171" t="str">
        <f t="shared" si="5"/>
        <v/>
      </c>
      <c r="T38" s="161"/>
      <c r="U38" s="55"/>
      <c r="V38" s="55"/>
      <c r="W38" s="55"/>
      <c r="X38" s="155" t="str">
        <f t="shared" si="0"/>
        <v/>
      </c>
      <c r="Y38" s="171" t="str">
        <f t="shared" si="1"/>
        <v/>
      </c>
      <c r="Z38" s="165"/>
      <c r="AA38" s="10"/>
      <c r="AB38" s="55"/>
      <c r="AC38" s="55"/>
      <c r="AD38" s="55"/>
      <c r="AE38" s="55"/>
      <c r="AF38" s="55"/>
      <c r="AG38" s="167"/>
      <c r="AH38" s="55"/>
      <c r="AI38" s="55"/>
      <c r="AJ38" s="165"/>
      <c r="AK38" s="55"/>
      <c r="AL38" s="55"/>
      <c r="AM38" s="55"/>
      <c r="AN38" s="55"/>
      <c r="AO38" s="55"/>
      <c r="AP38" s="55"/>
      <c r="AQ38" s="55"/>
      <c r="AR38" s="55"/>
      <c r="AS38" s="165"/>
      <c r="AT38" s="55"/>
      <c r="AU38" s="55"/>
      <c r="AV38" s="55"/>
      <c r="AW38" s="55"/>
      <c r="AX38" s="55"/>
      <c r="AY38" s="55"/>
      <c r="AZ38" s="55"/>
      <c r="BA38" s="55"/>
      <c r="BB38" s="165"/>
      <c r="BC38" s="55"/>
      <c r="BD38" s="55"/>
      <c r="BE38" s="55"/>
      <c r="BF38" s="165"/>
      <c r="BG38" s="55"/>
      <c r="BH38" s="10"/>
      <c r="BI38" s="55"/>
      <c r="BJ38" s="55"/>
      <c r="BK38" s="55"/>
      <c r="BL38" s="55"/>
      <c r="BT38" s="141"/>
      <c r="CN38" s="141"/>
      <c r="DG38" s="141"/>
    </row>
    <row r="39" spans="1:117" s="93" customFormat="1" x14ac:dyDescent="0.15">
      <c r="A39" s="11">
        <f t="shared" si="2"/>
        <v>60020015</v>
      </c>
      <c r="B39" s="13">
        <v>6</v>
      </c>
      <c r="C39" s="12">
        <v>0</v>
      </c>
      <c r="D39" s="13">
        <v>2</v>
      </c>
      <c r="E39" s="13">
        <v>0</v>
      </c>
      <c r="F39" s="12">
        <v>15</v>
      </c>
      <c r="G39" s="55"/>
      <c r="H39" s="55"/>
      <c r="I39" s="55"/>
      <c r="J39" s="55"/>
      <c r="K39" s="55"/>
      <c r="L39" s="158"/>
      <c r="M39" s="10"/>
      <c r="N39" s="55"/>
      <c r="O39" s="55">
        <v>0</v>
      </c>
      <c r="P39" s="10">
        <f t="shared" si="3"/>
        <v>0</v>
      </c>
      <c r="Q39" s="10"/>
      <c r="R39" s="155" t="str">
        <f t="shared" si="4"/>
        <v/>
      </c>
      <c r="S39" s="171" t="str">
        <f t="shared" si="5"/>
        <v/>
      </c>
      <c r="T39" s="161"/>
      <c r="U39" s="55"/>
      <c r="V39" s="55"/>
      <c r="W39" s="55"/>
      <c r="X39" s="155" t="str">
        <f t="shared" si="0"/>
        <v/>
      </c>
      <c r="Y39" s="171" t="str">
        <f t="shared" si="1"/>
        <v/>
      </c>
      <c r="Z39" s="165"/>
      <c r="AA39" s="10"/>
      <c r="AB39" s="55"/>
      <c r="AC39" s="55"/>
      <c r="AD39" s="55"/>
      <c r="AE39" s="55"/>
      <c r="AF39" s="55"/>
      <c r="AG39" s="167"/>
      <c r="AH39" s="55"/>
      <c r="AI39" s="55"/>
      <c r="AJ39" s="165"/>
      <c r="AK39" s="55"/>
      <c r="AL39" s="55"/>
      <c r="AM39" s="55"/>
      <c r="AN39" s="55"/>
      <c r="AO39" s="55"/>
      <c r="AP39" s="55"/>
      <c r="AQ39" s="55"/>
      <c r="AR39" s="55"/>
      <c r="AS39" s="165"/>
      <c r="AT39" s="55"/>
      <c r="AU39" s="55"/>
      <c r="AV39" s="55"/>
      <c r="AW39" s="55"/>
      <c r="AX39" s="55"/>
      <c r="AY39" s="55"/>
      <c r="AZ39" s="55"/>
      <c r="BA39" s="55"/>
      <c r="BB39" s="165"/>
      <c r="BC39" s="55"/>
      <c r="BD39" s="55"/>
      <c r="BE39" s="55"/>
      <c r="BF39" s="165"/>
      <c r="BG39" s="55"/>
      <c r="BH39" s="10"/>
      <c r="BI39" s="55"/>
      <c r="BJ39" s="55"/>
      <c r="BK39" s="55"/>
      <c r="BL39" s="55"/>
      <c r="BT39" s="141"/>
      <c r="CN39" s="141"/>
      <c r="DG39" s="141"/>
    </row>
    <row r="40" spans="1:117" s="93" customFormat="1" x14ac:dyDescent="0.15">
      <c r="A40" s="11">
        <f t="shared" si="2"/>
        <v>60020016</v>
      </c>
      <c r="B40" s="13">
        <v>6</v>
      </c>
      <c r="C40" s="12">
        <v>0</v>
      </c>
      <c r="D40" s="13">
        <v>2</v>
      </c>
      <c r="E40" s="13">
        <v>0</v>
      </c>
      <c r="F40" s="12">
        <v>16</v>
      </c>
      <c r="G40" s="55"/>
      <c r="H40" s="55"/>
      <c r="I40" s="55"/>
      <c r="J40" s="55"/>
      <c r="K40" s="55"/>
      <c r="L40" s="158"/>
      <c r="M40" s="10"/>
      <c r="N40" s="55"/>
      <c r="O40" s="55">
        <v>0</v>
      </c>
      <c r="P40" s="10">
        <f t="shared" si="3"/>
        <v>0</v>
      </c>
      <c r="Q40" s="10"/>
      <c r="R40" s="155" t="str">
        <f t="shared" si="4"/>
        <v/>
      </c>
      <c r="S40" s="171" t="str">
        <f t="shared" si="5"/>
        <v/>
      </c>
      <c r="T40" s="161"/>
      <c r="U40" s="55"/>
      <c r="V40" s="55"/>
      <c r="W40" s="55"/>
      <c r="X40" s="155" t="str">
        <f t="shared" si="0"/>
        <v/>
      </c>
      <c r="Y40" s="171" t="str">
        <f t="shared" si="1"/>
        <v/>
      </c>
      <c r="Z40" s="165"/>
      <c r="AA40" s="10"/>
      <c r="AB40" s="55"/>
      <c r="AC40" s="55"/>
      <c r="AD40" s="55"/>
      <c r="AE40" s="55"/>
      <c r="AF40" s="55"/>
      <c r="AG40" s="167"/>
      <c r="AH40" s="55"/>
      <c r="AI40" s="55"/>
      <c r="AJ40" s="165"/>
      <c r="AK40" s="55"/>
      <c r="AL40" s="55"/>
      <c r="AM40" s="55"/>
      <c r="AN40" s="55"/>
      <c r="AO40" s="55"/>
      <c r="AP40" s="55"/>
      <c r="AQ40" s="55"/>
      <c r="AR40" s="55"/>
      <c r="AS40" s="165"/>
      <c r="AT40" s="55"/>
      <c r="AU40" s="55"/>
      <c r="AV40" s="55"/>
      <c r="AW40" s="55"/>
      <c r="AX40" s="55"/>
      <c r="AY40" s="55"/>
      <c r="AZ40" s="55"/>
      <c r="BA40" s="55"/>
      <c r="BB40" s="165"/>
      <c r="BC40" s="55"/>
      <c r="BD40" s="55"/>
      <c r="BE40" s="55"/>
      <c r="BF40" s="165"/>
      <c r="BG40" s="55"/>
      <c r="BH40" s="10"/>
      <c r="BI40" s="55"/>
      <c r="BJ40" s="55"/>
      <c r="BK40" s="55"/>
      <c r="BL40" s="55"/>
      <c r="BT40" s="141"/>
      <c r="CN40" s="141"/>
      <c r="DG40" s="141"/>
    </row>
    <row r="41" spans="1:117" s="93" customFormat="1" x14ac:dyDescent="0.15">
      <c r="A41" s="11">
        <f t="shared" si="2"/>
        <v>60020017</v>
      </c>
      <c r="B41" s="13">
        <v>6</v>
      </c>
      <c r="C41" s="12">
        <v>0</v>
      </c>
      <c r="D41" s="13">
        <v>2</v>
      </c>
      <c r="E41" s="13">
        <v>0</v>
      </c>
      <c r="F41" s="12">
        <v>17</v>
      </c>
      <c r="G41" s="55"/>
      <c r="H41" s="55"/>
      <c r="I41" s="55"/>
      <c r="J41" s="55"/>
      <c r="K41" s="55"/>
      <c r="L41" s="158"/>
      <c r="M41" s="10"/>
      <c r="N41" s="55"/>
      <c r="O41" s="55">
        <v>0</v>
      </c>
      <c r="P41" s="10">
        <f t="shared" si="3"/>
        <v>0</v>
      </c>
      <c r="Q41" s="10"/>
      <c r="R41" s="155" t="str">
        <f t="shared" si="4"/>
        <v/>
      </c>
      <c r="S41" s="171" t="str">
        <f t="shared" si="5"/>
        <v/>
      </c>
      <c r="T41" s="161"/>
      <c r="U41" s="55"/>
      <c r="V41" s="55"/>
      <c r="W41" s="55"/>
      <c r="X41" s="155" t="str">
        <f t="shared" si="0"/>
        <v/>
      </c>
      <c r="Y41" s="171" t="str">
        <f t="shared" si="1"/>
        <v/>
      </c>
      <c r="Z41" s="165"/>
      <c r="AA41" s="10"/>
      <c r="AB41" s="55"/>
      <c r="AC41" s="55"/>
      <c r="AD41" s="55"/>
      <c r="AE41" s="55"/>
      <c r="AF41" s="55"/>
      <c r="AG41" s="167"/>
      <c r="AH41" s="55"/>
      <c r="AI41" s="55"/>
      <c r="AJ41" s="165"/>
      <c r="AK41" s="55"/>
      <c r="AL41" s="55"/>
      <c r="AM41" s="55"/>
      <c r="AN41" s="55"/>
      <c r="AO41" s="55"/>
      <c r="AP41" s="55"/>
      <c r="AQ41" s="55"/>
      <c r="AR41" s="55"/>
      <c r="AS41" s="165"/>
      <c r="AT41" s="55"/>
      <c r="AU41" s="55"/>
      <c r="AV41" s="55"/>
      <c r="AW41" s="55"/>
      <c r="AX41" s="55"/>
      <c r="AY41" s="55"/>
      <c r="AZ41" s="55"/>
      <c r="BA41" s="55"/>
      <c r="BB41" s="165"/>
      <c r="BC41" s="55"/>
      <c r="BD41" s="55"/>
      <c r="BE41" s="55"/>
      <c r="BF41" s="165"/>
      <c r="BG41" s="55"/>
      <c r="BH41" s="10"/>
      <c r="BI41" s="55"/>
      <c r="BJ41" s="55"/>
      <c r="BK41" s="55"/>
      <c r="BL41" s="55"/>
      <c r="BT41" s="141"/>
      <c r="CN41" s="141"/>
      <c r="DG41" s="141"/>
    </row>
    <row r="42" spans="1:117" s="93" customFormat="1" x14ac:dyDescent="0.15">
      <c r="A42" s="11">
        <f t="shared" si="2"/>
        <v>60020018</v>
      </c>
      <c r="B42" s="13">
        <v>6</v>
      </c>
      <c r="C42" s="12">
        <v>0</v>
      </c>
      <c r="D42" s="13">
        <v>2</v>
      </c>
      <c r="E42" s="13">
        <v>0</v>
      </c>
      <c r="F42" s="12">
        <v>18</v>
      </c>
      <c r="G42" s="55"/>
      <c r="H42" s="55"/>
      <c r="I42" s="55"/>
      <c r="J42" s="55"/>
      <c r="K42" s="55"/>
      <c r="L42" s="158"/>
      <c r="M42" s="10"/>
      <c r="N42" s="55"/>
      <c r="O42" s="55">
        <v>0</v>
      </c>
      <c r="P42" s="10">
        <f t="shared" si="3"/>
        <v>0</v>
      </c>
      <c r="Q42" s="10"/>
      <c r="R42" s="155" t="str">
        <f t="shared" si="4"/>
        <v/>
      </c>
      <c r="S42" s="171" t="str">
        <f t="shared" si="5"/>
        <v/>
      </c>
      <c r="T42" s="161"/>
      <c r="U42" s="55"/>
      <c r="V42" s="55"/>
      <c r="W42" s="55"/>
      <c r="X42" s="155" t="str">
        <f t="shared" si="0"/>
        <v/>
      </c>
      <c r="Y42" s="171" t="str">
        <f t="shared" si="1"/>
        <v/>
      </c>
      <c r="Z42" s="165"/>
      <c r="AA42" s="10"/>
      <c r="AB42" s="55"/>
      <c r="AC42" s="55"/>
      <c r="AD42" s="55"/>
      <c r="AE42" s="55"/>
      <c r="AF42" s="55"/>
      <c r="AG42" s="167"/>
      <c r="AH42" s="55"/>
      <c r="AI42" s="55"/>
      <c r="AJ42" s="165"/>
      <c r="AK42" s="55"/>
      <c r="AL42" s="55"/>
      <c r="AM42" s="55"/>
      <c r="AN42" s="55"/>
      <c r="AO42" s="55"/>
      <c r="AP42" s="55"/>
      <c r="AQ42" s="55"/>
      <c r="AR42" s="55"/>
      <c r="AS42" s="165"/>
      <c r="AT42" s="55"/>
      <c r="AU42" s="55"/>
      <c r="AV42" s="55"/>
      <c r="AW42" s="55"/>
      <c r="AX42" s="55"/>
      <c r="AY42" s="55"/>
      <c r="AZ42" s="55"/>
      <c r="BA42" s="55"/>
      <c r="BB42" s="165"/>
      <c r="BC42" s="55"/>
      <c r="BD42" s="55"/>
      <c r="BE42" s="55"/>
      <c r="BF42" s="165"/>
      <c r="BG42" s="55"/>
      <c r="BH42" s="10"/>
      <c r="BI42" s="55"/>
      <c r="BJ42" s="55"/>
      <c r="BK42" s="55"/>
      <c r="BL42" s="55"/>
      <c r="BT42" s="141"/>
      <c r="CN42" s="141"/>
      <c r="DG42" s="141"/>
    </row>
    <row r="43" spans="1:117" s="93" customFormat="1" x14ac:dyDescent="0.15">
      <c r="A43" s="11">
        <f t="shared" si="2"/>
        <v>60020019</v>
      </c>
      <c r="B43" s="13">
        <v>6</v>
      </c>
      <c r="C43" s="12">
        <v>0</v>
      </c>
      <c r="D43" s="13">
        <v>2</v>
      </c>
      <c r="E43" s="13">
        <v>0</v>
      </c>
      <c r="F43" s="12">
        <v>19</v>
      </c>
      <c r="G43" s="55"/>
      <c r="H43" s="55"/>
      <c r="I43" s="55"/>
      <c r="J43" s="55"/>
      <c r="K43" s="55"/>
      <c r="L43" s="158"/>
      <c r="M43" s="10"/>
      <c r="N43" s="55"/>
      <c r="O43" s="55">
        <v>0</v>
      </c>
      <c r="P43" s="10">
        <f t="shared" si="3"/>
        <v>0</v>
      </c>
      <c r="Q43" s="10"/>
      <c r="R43" s="155" t="str">
        <f t="shared" si="4"/>
        <v/>
      </c>
      <c r="S43" s="171" t="str">
        <f t="shared" si="5"/>
        <v/>
      </c>
      <c r="T43" s="161"/>
      <c r="U43" s="55"/>
      <c r="V43" s="55"/>
      <c r="W43" s="55"/>
      <c r="X43" s="155" t="str">
        <f t="shared" si="0"/>
        <v/>
      </c>
      <c r="Y43" s="171" t="str">
        <f t="shared" si="1"/>
        <v/>
      </c>
      <c r="Z43" s="165"/>
      <c r="AA43" s="10"/>
      <c r="AB43" s="55"/>
      <c r="AC43" s="55"/>
      <c r="AD43" s="55"/>
      <c r="AE43" s="55"/>
      <c r="AF43" s="55"/>
      <c r="AG43" s="167"/>
      <c r="AH43" s="55"/>
      <c r="AI43" s="55"/>
      <c r="AJ43" s="165"/>
      <c r="AK43" s="55"/>
      <c r="AL43" s="55"/>
      <c r="AM43" s="55"/>
      <c r="AN43" s="55"/>
      <c r="AO43" s="55"/>
      <c r="AP43" s="55"/>
      <c r="AQ43" s="55"/>
      <c r="AR43" s="55"/>
      <c r="AS43" s="165"/>
      <c r="AT43" s="55"/>
      <c r="AU43" s="55"/>
      <c r="AV43" s="55"/>
      <c r="AW43" s="55"/>
      <c r="AX43" s="55"/>
      <c r="AY43" s="55"/>
      <c r="AZ43" s="55"/>
      <c r="BA43" s="55"/>
      <c r="BB43" s="165"/>
      <c r="BC43" s="55"/>
      <c r="BD43" s="55"/>
      <c r="BE43" s="55"/>
      <c r="BF43" s="165"/>
      <c r="BG43" s="55"/>
      <c r="BH43" s="10"/>
      <c r="BI43" s="55"/>
      <c r="BJ43" s="55"/>
      <c r="BK43" s="55"/>
      <c r="BL43" s="55"/>
      <c r="BT43" s="141"/>
      <c r="CN43" s="141"/>
      <c r="DG43" s="141"/>
    </row>
    <row r="44" spans="1:117" s="93" customFormat="1" ht="17.25" thickBot="1" x14ac:dyDescent="0.2">
      <c r="A44" s="11">
        <f t="shared" si="2"/>
        <v>60020020</v>
      </c>
      <c r="B44" s="108">
        <v>6</v>
      </c>
      <c r="C44" s="12">
        <v>0</v>
      </c>
      <c r="D44" s="108">
        <v>2</v>
      </c>
      <c r="E44" s="108">
        <v>0</v>
      </c>
      <c r="F44" s="109">
        <v>20</v>
      </c>
      <c r="G44" s="55"/>
      <c r="H44" s="55"/>
      <c r="I44" s="55"/>
      <c r="J44" s="55"/>
      <c r="K44" s="55"/>
      <c r="L44" s="158"/>
      <c r="M44" s="10"/>
      <c r="N44" s="55"/>
      <c r="O44" s="55">
        <v>0</v>
      </c>
      <c r="P44" s="10">
        <f t="shared" si="3"/>
        <v>0</v>
      </c>
      <c r="Q44" s="10"/>
      <c r="R44" s="155" t="str">
        <f t="shared" si="4"/>
        <v/>
      </c>
      <c r="S44" s="171" t="str">
        <f t="shared" si="5"/>
        <v/>
      </c>
      <c r="T44" s="161"/>
      <c r="U44" s="55"/>
      <c r="V44" s="55"/>
      <c r="W44" s="55"/>
      <c r="X44" s="155" t="str">
        <f t="shared" si="0"/>
        <v/>
      </c>
      <c r="Y44" s="171" t="str">
        <f t="shared" si="1"/>
        <v/>
      </c>
      <c r="Z44" s="165"/>
      <c r="AA44" s="10"/>
      <c r="AB44" s="55"/>
      <c r="AC44" s="55"/>
      <c r="AD44" s="55"/>
      <c r="AE44" s="55"/>
      <c r="AF44" s="55"/>
      <c r="AG44" s="167"/>
      <c r="AH44" s="55"/>
      <c r="AI44" s="55"/>
      <c r="AJ44" s="165"/>
      <c r="AK44" s="55"/>
      <c r="AL44" s="55"/>
      <c r="AM44" s="55"/>
      <c r="AN44" s="55"/>
      <c r="AO44" s="55"/>
      <c r="AP44" s="55"/>
      <c r="AQ44" s="55"/>
      <c r="AR44" s="55"/>
      <c r="AS44" s="165"/>
      <c r="AT44" s="55"/>
      <c r="AU44" s="55"/>
      <c r="AV44" s="55"/>
      <c r="AW44" s="55"/>
      <c r="AX44" s="55"/>
      <c r="AY44" s="55"/>
      <c r="AZ44" s="55"/>
      <c r="BA44" s="55"/>
      <c r="BB44" s="165"/>
      <c r="BC44" s="55"/>
      <c r="BD44" s="55"/>
      <c r="BE44" s="55"/>
      <c r="BF44" s="165"/>
      <c r="BG44" s="55"/>
      <c r="BH44" s="10"/>
      <c r="BI44" s="55"/>
      <c r="BJ44" s="55"/>
      <c r="BK44" s="55"/>
      <c r="BL44" s="55"/>
      <c r="BT44" s="141"/>
      <c r="CN44" s="141"/>
      <c r="DG44" s="141"/>
    </row>
    <row r="45" spans="1:117" s="110" customFormat="1" x14ac:dyDescent="0.15">
      <c r="A45" s="18">
        <f t="shared" si="2"/>
        <v>60030101</v>
      </c>
      <c r="B45" s="20">
        <v>6</v>
      </c>
      <c r="C45" s="19">
        <v>0</v>
      </c>
      <c r="D45" s="20">
        <v>3</v>
      </c>
      <c r="E45" s="20">
        <v>1</v>
      </c>
      <c r="F45" s="19">
        <v>1</v>
      </c>
      <c r="G45" s="56" t="s">
        <v>802</v>
      </c>
      <c r="H45" s="56">
        <v>1</v>
      </c>
      <c r="I45" s="56" t="s">
        <v>1461</v>
      </c>
      <c r="J45" s="56" t="s">
        <v>1049</v>
      </c>
      <c r="K45" s="56"/>
      <c r="L45" s="160">
        <v>40</v>
      </c>
      <c r="M45" s="17"/>
      <c r="N45" s="56" t="s">
        <v>1288</v>
      </c>
      <c r="O45" s="56">
        <v>120</v>
      </c>
      <c r="P45" s="17">
        <f t="shared" si="3"/>
        <v>120</v>
      </c>
      <c r="Q45" s="17">
        <v>10</v>
      </c>
      <c r="R45" s="156">
        <f t="shared" si="4"/>
        <v>0.82254489474286463</v>
      </c>
      <c r="S45" s="172">
        <f t="shared" si="5"/>
        <v>1.7279999999999998</v>
      </c>
      <c r="T45" s="162"/>
      <c r="U45" s="56"/>
      <c r="V45" s="56"/>
      <c r="W45" s="56"/>
      <c r="X45" s="156" t="str">
        <f t="shared" si="0"/>
        <v/>
      </c>
      <c r="Y45" s="172" t="str">
        <f t="shared" si="1"/>
        <v/>
      </c>
      <c r="Z45" s="166"/>
      <c r="AA45" s="17"/>
      <c r="AB45" s="56"/>
      <c r="AC45" s="56"/>
      <c r="AD45" s="56"/>
      <c r="AE45" s="56"/>
      <c r="AF45" s="56"/>
      <c r="AG45" s="169"/>
      <c r="AH45" s="56"/>
      <c r="AI45" s="56"/>
      <c r="AJ45" s="166"/>
      <c r="AK45" s="150">
        <v>90</v>
      </c>
      <c r="AL45" s="150">
        <v>90</v>
      </c>
      <c r="AM45" s="150">
        <v>90</v>
      </c>
      <c r="AN45" s="56"/>
      <c r="AO45" s="56"/>
      <c r="AP45" s="56"/>
      <c r="AQ45" s="56"/>
      <c r="AR45" s="56"/>
      <c r="AS45" s="166"/>
      <c r="AT45" s="56"/>
      <c r="AU45" s="56"/>
      <c r="AV45" s="56"/>
      <c r="AW45" s="56"/>
      <c r="AX45" s="56"/>
      <c r="AY45" s="56"/>
      <c r="AZ45" s="56"/>
      <c r="BA45" s="56"/>
      <c r="BB45" s="166"/>
      <c r="BC45" s="56"/>
      <c r="BD45" s="56"/>
      <c r="BE45" s="56"/>
      <c r="BF45" s="166"/>
      <c r="BG45" s="56"/>
      <c r="BH45" s="17"/>
      <c r="BI45" s="150">
        <v>150</v>
      </c>
      <c r="BJ45" s="150">
        <v>150</v>
      </c>
      <c r="BK45" s="150">
        <v>150</v>
      </c>
      <c r="BL45" s="56"/>
      <c r="BP45" s="150">
        <v>150</v>
      </c>
      <c r="BT45" s="140"/>
      <c r="CN45" s="140"/>
      <c r="DG45" s="140"/>
    </row>
    <row r="46" spans="1:117" x14ac:dyDescent="0.15">
      <c r="A46" s="11">
        <f t="shared" si="2"/>
        <v>60030102</v>
      </c>
      <c r="B46" s="13">
        <v>6</v>
      </c>
      <c r="C46" s="12">
        <v>0</v>
      </c>
      <c r="D46" s="13">
        <v>3</v>
      </c>
      <c r="E46" s="13">
        <v>1</v>
      </c>
      <c r="F46" s="12">
        <v>2</v>
      </c>
      <c r="G46" s="55" t="s">
        <v>803</v>
      </c>
      <c r="H46" s="55">
        <v>3</v>
      </c>
      <c r="I46" s="55" t="s">
        <v>1461</v>
      </c>
      <c r="J46" s="55" t="s">
        <v>1049</v>
      </c>
      <c r="L46" s="158">
        <v>40</v>
      </c>
      <c r="N46" s="55" t="s">
        <v>1289</v>
      </c>
      <c r="O46" s="55">
        <v>96</v>
      </c>
      <c r="P46" s="10">
        <f t="shared" si="3"/>
        <v>96</v>
      </c>
      <c r="Q46" s="10">
        <v>8</v>
      </c>
      <c r="R46" s="155">
        <f t="shared" si="4"/>
        <v>0.74919109813639784</v>
      </c>
      <c r="S46" s="171">
        <f t="shared" si="5"/>
        <v>1.3824000000000001</v>
      </c>
      <c r="X46" s="155" t="str">
        <f t="shared" si="0"/>
        <v/>
      </c>
      <c r="Y46" s="171" t="str">
        <f t="shared" si="1"/>
        <v/>
      </c>
      <c r="AK46" s="149">
        <v>80</v>
      </c>
      <c r="AL46" s="149">
        <v>80</v>
      </c>
      <c r="AM46" s="149">
        <v>80</v>
      </c>
      <c r="BI46" s="149">
        <v>180</v>
      </c>
      <c r="BJ46" s="149">
        <v>180</v>
      </c>
      <c r="BK46" s="149">
        <v>180</v>
      </c>
      <c r="BM46" s="105"/>
      <c r="BP46" s="149">
        <v>180</v>
      </c>
    </row>
    <row r="47" spans="1:117" x14ac:dyDescent="0.15">
      <c r="A47" s="11">
        <f t="shared" si="2"/>
        <v>60030103</v>
      </c>
      <c r="B47" s="13">
        <v>6</v>
      </c>
      <c r="C47" s="12">
        <v>0</v>
      </c>
      <c r="D47" s="13">
        <v>3</v>
      </c>
      <c r="E47" s="13">
        <v>1</v>
      </c>
      <c r="F47" s="12">
        <v>3</v>
      </c>
      <c r="G47" s="55" t="s">
        <v>804</v>
      </c>
      <c r="H47" s="55">
        <v>5</v>
      </c>
      <c r="I47" s="55" t="s">
        <v>1461</v>
      </c>
      <c r="J47" s="55" t="s">
        <v>1049</v>
      </c>
      <c r="L47" s="158">
        <v>20</v>
      </c>
      <c r="N47" s="55" t="s">
        <v>1290</v>
      </c>
      <c r="O47" s="55">
        <v>60</v>
      </c>
      <c r="P47" s="10">
        <f t="shared" si="3"/>
        <v>60</v>
      </c>
      <c r="Q47" s="10">
        <v>5</v>
      </c>
      <c r="R47" s="155">
        <f t="shared" si="4"/>
        <v>0.57863646052730333</v>
      </c>
      <c r="S47" s="171">
        <f t="shared" si="5"/>
        <v>0.86399999999999988</v>
      </c>
      <c r="X47" s="155" t="str">
        <f t="shared" si="0"/>
        <v/>
      </c>
      <c r="Y47" s="171" t="str">
        <f t="shared" si="1"/>
        <v/>
      </c>
      <c r="AK47" s="149">
        <v>70</v>
      </c>
      <c r="AL47" s="149">
        <v>70</v>
      </c>
      <c r="AM47" s="149">
        <v>70</v>
      </c>
      <c r="BI47" s="149">
        <v>210</v>
      </c>
      <c r="BJ47" s="149">
        <v>210</v>
      </c>
      <c r="BK47" s="149">
        <v>210</v>
      </c>
      <c r="BM47" s="105"/>
      <c r="BP47" s="149">
        <v>210</v>
      </c>
    </row>
    <row r="48" spans="1:117" x14ac:dyDescent="0.15">
      <c r="A48" s="11">
        <f t="shared" si="2"/>
        <v>60030204</v>
      </c>
      <c r="B48" s="13">
        <v>6</v>
      </c>
      <c r="C48" s="12">
        <v>0</v>
      </c>
      <c r="D48" s="13">
        <v>3</v>
      </c>
      <c r="E48" s="13">
        <v>2</v>
      </c>
      <c r="F48" s="12">
        <v>4</v>
      </c>
      <c r="G48" s="55" t="s">
        <v>805</v>
      </c>
      <c r="H48" s="55">
        <v>1</v>
      </c>
      <c r="I48" s="55" t="s">
        <v>1462</v>
      </c>
      <c r="J48" s="55" t="s">
        <v>1051</v>
      </c>
      <c r="L48" s="158">
        <v>40</v>
      </c>
      <c r="N48" s="55" t="s">
        <v>1291</v>
      </c>
      <c r="O48" s="55">
        <v>120</v>
      </c>
      <c r="P48" s="10">
        <f t="shared" si="3"/>
        <v>120</v>
      </c>
      <c r="Q48" s="10">
        <v>10</v>
      </c>
      <c r="R48" s="155">
        <f t="shared" si="4"/>
        <v>0.82254489474286463</v>
      </c>
      <c r="S48" s="171">
        <f t="shared" si="5"/>
        <v>1.7279999999999998</v>
      </c>
      <c r="X48" s="155" t="str">
        <f t="shared" si="0"/>
        <v/>
      </c>
      <c r="Y48" s="171" t="str">
        <f t="shared" si="1"/>
        <v/>
      </c>
      <c r="AT48" s="149">
        <v>90</v>
      </c>
      <c r="AU48" s="149">
        <v>90</v>
      </c>
      <c r="AV48" s="149">
        <v>90</v>
      </c>
      <c r="AW48" s="149">
        <v>90</v>
      </c>
      <c r="AX48" s="149">
        <v>90</v>
      </c>
      <c r="AY48" s="149">
        <v>90</v>
      </c>
      <c r="BI48" s="149">
        <v>150</v>
      </c>
      <c r="BJ48" s="149">
        <v>150</v>
      </c>
      <c r="BK48" s="149">
        <v>150</v>
      </c>
      <c r="BM48" s="149">
        <v>150</v>
      </c>
      <c r="BN48" s="149">
        <v>150</v>
      </c>
      <c r="BP48" s="149">
        <v>150</v>
      </c>
      <c r="DH48" s="149">
        <v>150</v>
      </c>
      <c r="DI48" s="152">
        <v>110</v>
      </c>
      <c r="DJ48" s="152">
        <v>110</v>
      </c>
      <c r="DM48" s="149">
        <v>150</v>
      </c>
    </row>
    <row r="49" spans="1:117" x14ac:dyDescent="0.15">
      <c r="A49" s="11">
        <f t="shared" si="2"/>
        <v>60030205</v>
      </c>
      <c r="B49" s="13">
        <v>6</v>
      </c>
      <c r="C49" s="12">
        <v>0</v>
      </c>
      <c r="D49" s="13">
        <v>3</v>
      </c>
      <c r="E49" s="13">
        <v>2</v>
      </c>
      <c r="F49" s="12">
        <v>5</v>
      </c>
      <c r="G49" s="55" t="s">
        <v>806</v>
      </c>
      <c r="H49" s="55">
        <v>3</v>
      </c>
      <c r="I49" s="55" t="s">
        <v>1038</v>
      </c>
      <c r="J49" s="55" t="s">
        <v>1051</v>
      </c>
      <c r="L49" s="158">
        <v>40</v>
      </c>
      <c r="N49" s="55" t="s">
        <v>1293</v>
      </c>
      <c r="O49" s="55">
        <v>96</v>
      </c>
      <c r="P49" s="10">
        <f t="shared" si="3"/>
        <v>96</v>
      </c>
      <c r="Q49" s="10">
        <v>8</v>
      </c>
      <c r="R49" s="155">
        <f t="shared" si="4"/>
        <v>0.74919109813639784</v>
      </c>
      <c r="S49" s="171">
        <f t="shared" si="5"/>
        <v>1.3824000000000001</v>
      </c>
      <c r="X49" s="155" t="str">
        <f t="shared" si="0"/>
        <v/>
      </c>
      <c r="Y49" s="171" t="str">
        <f t="shared" si="1"/>
        <v/>
      </c>
      <c r="AT49" s="149">
        <v>80</v>
      </c>
      <c r="AU49" s="149">
        <v>80</v>
      </c>
      <c r="AV49" s="149">
        <v>80</v>
      </c>
      <c r="AW49" s="149">
        <v>80</v>
      </c>
      <c r="AX49" s="149">
        <v>80</v>
      </c>
      <c r="AY49" s="149">
        <v>80</v>
      </c>
      <c r="BI49" s="149">
        <v>180</v>
      </c>
      <c r="BJ49" s="149">
        <v>180</v>
      </c>
      <c r="BK49" s="149">
        <v>180</v>
      </c>
      <c r="BM49" s="149">
        <v>180</v>
      </c>
      <c r="BN49" s="149">
        <v>180</v>
      </c>
      <c r="BP49" s="149">
        <v>180</v>
      </c>
      <c r="DH49" s="149">
        <v>180</v>
      </c>
      <c r="DI49" s="152">
        <v>120</v>
      </c>
      <c r="DJ49" s="152">
        <v>120</v>
      </c>
      <c r="DM49" s="149">
        <v>180</v>
      </c>
    </row>
    <row r="50" spans="1:117" x14ac:dyDescent="0.15">
      <c r="A50" s="11">
        <f t="shared" si="2"/>
        <v>60030206</v>
      </c>
      <c r="B50" s="13">
        <v>6</v>
      </c>
      <c r="C50" s="12">
        <v>0</v>
      </c>
      <c r="D50" s="13">
        <v>3</v>
      </c>
      <c r="E50" s="13">
        <v>2</v>
      </c>
      <c r="F50" s="12">
        <v>6</v>
      </c>
      <c r="G50" s="55" t="s">
        <v>807</v>
      </c>
      <c r="H50" s="55">
        <v>5</v>
      </c>
      <c r="I50" s="55" t="s">
        <v>1038</v>
      </c>
      <c r="J50" s="55" t="s">
        <v>1051</v>
      </c>
      <c r="L50" s="158">
        <v>20</v>
      </c>
      <c r="N50" s="55" t="s">
        <v>1292</v>
      </c>
      <c r="O50" s="55">
        <v>60</v>
      </c>
      <c r="P50" s="10">
        <f t="shared" si="3"/>
        <v>60</v>
      </c>
      <c r="Q50" s="10">
        <v>5</v>
      </c>
      <c r="R50" s="155">
        <f t="shared" si="4"/>
        <v>0.57863646052730333</v>
      </c>
      <c r="S50" s="171">
        <f t="shared" si="5"/>
        <v>0.86399999999999988</v>
      </c>
      <c r="X50" s="155" t="str">
        <f t="shared" si="0"/>
        <v/>
      </c>
      <c r="Y50" s="171" t="str">
        <f t="shared" si="1"/>
        <v/>
      </c>
      <c r="AT50" s="149">
        <v>60</v>
      </c>
      <c r="AU50" s="149">
        <v>60</v>
      </c>
      <c r="AV50" s="149">
        <v>60</v>
      </c>
      <c r="AW50" s="149">
        <v>60</v>
      </c>
      <c r="AX50" s="149">
        <v>60</v>
      </c>
      <c r="AY50" s="149">
        <v>60</v>
      </c>
      <c r="BI50" s="149">
        <v>210</v>
      </c>
      <c r="BJ50" s="149">
        <v>210</v>
      </c>
      <c r="BK50" s="149">
        <v>210</v>
      </c>
      <c r="BM50" s="149">
        <v>210</v>
      </c>
      <c r="BN50" s="149">
        <v>210</v>
      </c>
      <c r="BP50" s="149">
        <v>210</v>
      </c>
      <c r="DH50" s="149">
        <v>210</v>
      </c>
      <c r="DI50" s="152">
        <v>130</v>
      </c>
      <c r="DJ50" s="152">
        <v>130</v>
      </c>
      <c r="DM50" s="149">
        <v>210</v>
      </c>
    </row>
    <row r="51" spans="1:117" x14ac:dyDescent="0.15">
      <c r="A51" s="11">
        <f t="shared" si="2"/>
        <v>60030207</v>
      </c>
      <c r="B51" s="13">
        <v>6</v>
      </c>
      <c r="C51" s="12">
        <v>0</v>
      </c>
      <c r="D51" s="13">
        <v>3</v>
      </c>
      <c r="E51" s="13">
        <v>2</v>
      </c>
      <c r="F51" s="12">
        <v>7</v>
      </c>
      <c r="G51" s="55" t="s">
        <v>850</v>
      </c>
      <c r="H51" s="55">
        <v>1</v>
      </c>
      <c r="I51" s="55" t="s">
        <v>1463</v>
      </c>
      <c r="J51" s="55" t="s">
        <v>1050</v>
      </c>
      <c r="L51" s="158">
        <v>40</v>
      </c>
      <c r="N51" s="55" t="s">
        <v>1294</v>
      </c>
      <c r="O51" s="55">
        <v>120</v>
      </c>
      <c r="P51" s="10">
        <f t="shared" si="3"/>
        <v>120</v>
      </c>
      <c r="Q51" s="10">
        <v>10</v>
      </c>
      <c r="R51" s="155">
        <f t="shared" si="4"/>
        <v>0.82254489474286463</v>
      </c>
      <c r="S51" s="171">
        <f t="shared" si="5"/>
        <v>1.7279999999999998</v>
      </c>
      <c r="X51" s="155" t="str">
        <f t="shared" si="0"/>
        <v/>
      </c>
      <c r="Y51" s="171" t="str">
        <f t="shared" si="1"/>
        <v/>
      </c>
      <c r="AT51" s="149">
        <v>90</v>
      </c>
      <c r="AU51" s="149">
        <v>90</v>
      </c>
      <c r="AV51" s="149">
        <v>90</v>
      </c>
      <c r="AW51" s="149">
        <v>150</v>
      </c>
      <c r="AX51" s="149">
        <v>150</v>
      </c>
      <c r="AY51" s="149">
        <v>90</v>
      </c>
      <c r="BI51" s="149">
        <v>150</v>
      </c>
      <c r="BJ51" s="149">
        <v>150</v>
      </c>
      <c r="BK51" s="149">
        <v>150</v>
      </c>
      <c r="BM51" s="154">
        <v>70</v>
      </c>
      <c r="DH51" s="154">
        <v>70</v>
      </c>
      <c r="DI51" s="152">
        <v>110</v>
      </c>
      <c r="DJ51" s="152">
        <v>110</v>
      </c>
      <c r="DM51" s="149">
        <v>150</v>
      </c>
    </row>
    <row r="52" spans="1:117" x14ac:dyDescent="0.15">
      <c r="A52" s="11">
        <f t="shared" si="2"/>
        <v>60030208</v>
      </c>
      <c r="B52" s="13">
        <v>6</v>
      </c>
      <c r="C52" s="12">
        <v>0</v>
      </c>
      <c r="D52" s="13">
        <v>3</v>
      </c>
      <c r="E52" s="13">
        <v>2</v>
      </c>
      <c r="F52" s="12">
        <v>8</v>
      </c>
      <c r="G52" s="55" t="s">
        <v>851</v>
      </c>
      <c r="H52" s="55">
        <v>3</v>
      </c>
      <c r="I52" s="55" t="s">
        <v>1463</v>
      </c>
      <c r="J52" s="55" t="s">
        <v>1050</v>
      </c>
      <c r="L52" s="158">
        <v>40</v>
      </c>
      <c r="N52" s="55" t="s">
        <v>1296</v>
      </c>
      <c r="O52" s="55">
        <v>96</v>
      </c>
      <c r="P52" s="10">
        <f t="shared" si="3"/>
        <v>96</v>
      </c>
      <c r="Q52" s="10">
        <v>8</v>
      </c>
      <c r="R52" s="155">
        <f t="shared" si="4"/>
        <v>0.74919109813639784</v>
      </c>
      <c r="S52" s="171">
        <f t="shared" si="5"/>
        <v>1.3824000000000001</v>
      </c>
      <c r="X52" s="155" t="str">
        <f t="shared" si="0"/>
        <v/>
      </c>
      <c r="Y52" s="171" t="str">
        <f t="shared" si="1"/>
        <v/>
      </c>
      <c r="AT52" s="149">
        <v>80</v>
      </c>
      <c r="AU52" s="149">
        <v>80</v>
      </c>
      <c r="AV52" s="149">
        <v>80</v>
      </c>
      <c r="AW52" s="149">
        <v>180</v>
      </c>
      <c r="AX52" s="149">
        <v>180</v>
      </c>
      <c r="AY52" s="149">
        <v>80</v>
      </c>
      <c r="BI52" s="149">
        <v>180</v>
      </c>
      <c r="BJ52" s="149">
        <v>180</v>
      </c>
      <c r="BK52" s="149">
        <v>180</v>
      </c>
      <c r="BM52" s="154">
        <v>50</v>
      </c>
      <c r="DH52" s="154">
        <v>50</v>
      </c>
      <c r="DI52" s="152">
        <v>120</v>
      </c>
      <c r="DJ52" s="152">
        <v>120</v>
      </c>
      <c r="DM52" s="149">
        <v>180</v>
      </c>
    </row>
    <row r="53" spans="1:117" ht="17.25" thickBot="1" x14ac:dyDescent="0.2">
      <c r="A53" s="11">
        <f t="shared" si="2"/>
        <v>60030209</v>
      </c>
      <c r="B53" s="13">
        <v>6</v>
      </c>
      <c r="C53" s="12">
        <v>0</v>
      </c>
      <c r="D53" s="13">
        <v>3</v>
      </c>
      <c r="E53" s="13">
        <v>2</v>
      </c>
      <c r="F53" s="12">
        <v>9</v>
      </c>
      <c r="G53" s="55" t="s">
        <v>852</v>
      </c>
      <c r="H53" s="55">
        <v>5</v>
      </c>
      <c r="I53" s="55" t="s">
        <v>1463</v>
      </c>
      <c r="J53" s="55" t="s">
        <v>1050</v>
      </c>
      <c r="L53" s="158">
        <v>20</v>
      </c>
      <c r="N53" s="55" t="s">
        <v>1295</v>
      </c>
      <c r="O53" s="55">
        <v>60</v>
      </c>
      <c r="P53" s="10">
        <f t="shared" si="3"/>
        <v>60</v>
      </c>
      <c r="Q53" s="10">
        <v>5</v>
      </c>
      <c r="R53" s="155">
        <f t="shared" si="4"/>
        <v>0.57863646052730333</v>
      </c>
      <c r="S53" s="171">
        <f t="shared" si="5"/>
        <v>0.86399999999999988</v>
      </c>
      <c r="X53" s="155" t="str">
        <f t="shared" si="0"/>
        <v/>
      </c>
      <c r="Y53" s="171" t="str">
        <f t="shared" si="1"/>
        <v/>
      </c>
      <c r="AT53" s="149">
        <v>60</v>
      </c>
      <c r="AU53" s="149">
        <v>60</v>
      </c>
      <c r="AV53" s="149">
        <v>60</v>
      </c>
      <c r="AW53" s="149">
        <v>200</v>
      </c>
      <c r="AX53" s="149">
        <v>200</v>
      </c>
      <c r="AY53" s="149">
        <v>60</v>
      </c>
      <c r="BI53" s="149">
        <v>210</v>
      </c>
      <c r="BJ53" s="149">
        <v>210</v>
      </c>
      <c r="BK53" s="149">
        <v>210</v>
      </c>
      <c r="BM53" s="154">
        <v>20</v>
      </c>
      <c r="DH53" s="154">
        <v>20</v>
      </c>
      <c r="DI53" s="152">
        <v>130</v>
      </c>
      <c r="DJ53" s="152">
        <v>130</v>
      </c>
      <c r="DM53" s="149">
        <v>210</v>
      </c>
    </row>
    <row r="54" spans="1:117" x14ac:dyDescent="0.15">
      <c r="A54" s="11">
        <f t="shared" si="2"/>
        <v>60030210</v>
      </c>
      <c r="B54" s="13">
        <v>6</v>
      </c>
      <c r="C54" s="12">
        <v>0</v>
      </c>
      <c r="D54" s="13">
        <v>3</v>
      </c>
      <c r="E54" s="13">
        <v>2</v>
      </c>
      <c r="F54" s="12">
        <v>10</v>
      </c>
      <c r="G54" s="55" t="s">
        <v>959</v>
      </c>
      <c r="H54" s="55">
        <v>1</v>
      </c>
      <c r="I54" s="55" t="s">
        <v>1464</v>
      </c>
      <c r="J54" s="55" t="s">
        <v>1300</v>
      </c>
      <c r="L54" s="158">
        <v>40</v>
      </c>
      <c r="N54" s="55" t="s">
        <v>1297</v>
      </c>
      <c r="O54" s="55">
        <v>120</v>
      </c>
      <c r="P54" s="10">
        <f t="shared" si="3"/>
        <v>120</v>
      </c>
      <c r="Q54" s="10">
        <v>10</v>
      </c>
      <c r="R54" s="155">
        <f t="shared" si="4"/>
        <v>0.82254489474286463</v>
      </c>
      <c r="S54" s="171">
        <f t="shared" si="5"/>
        <v>1.7279999999999998</v>
      </c>
      <c r="X54" s="155" t="str">
        <f t="shared" si="0"/>
        <v/>
      </c>
      <c r="Y54" s="171" t="str">
        <f t="shared" si="1"/>
        <v/>
      </c>
      <c r="AB54" s="149">
        <v>80</v>
      </c>
      <c r="AK54" s="150">
        <v>90</v>
      </c>
      <c r="AL54" s="150">
        <v>90</v>
      </c>
      <c r="AM54" s="150">
        <v>90</v>
      </c>
      <c r="AP54" s="150">
        <v>90</v>
      </c>
      <c r="AQ54" s="149"/>
      <c r="AR54" s="149"/>
      <c r="AT54" s="149">
        <v>90</v>
      </c>
      <c r="AU54" s="149">
        <v>90</v>
      </c>
      <c r="AV54" s="149">
        <v>90</v>
      </c>
      <c r="AY54" s="149">
        <v>90</v>
      </c>
      <c r="AZ54" s="149">
        <v>200</v>
      </c>
      <c r="BA54" s="149"/>
      <c r="BC54" s="149"/>
      <c r="BD54" s="149"/>
      <c r="BE54" s="149">
        <v>50</v>
      </c>
      <c r="BG54" s="149">
        <v>150</v>
      </c>
      <c r="BI54" s="149">
        <v>150</v>
      </c>
      <c r="BJ54" s="149">
        <v>150</v>
      </c>
      <c r="BK54" s="149">
        <v>150</v>
      </c>
      <c r="BN54" s="149">
        <v>150</v>
      </c>
      <c r="BP54" s="149">
        <v>150</v>
      </c>
      <c r="DI54" s="152">
        <v>110</v>
      </c>
      <c r="DJ54" s="152">
        <v>110</v>
      </c>
      <c r="DM54" s="149">
        <v>150</v>
      </c>
    </row>
    <row r="55" spans="1:117" s="93" customFormat="1" x14ac:dyDescent="0.15">
      <c r="A55" s="11">
        <f t="shared" si="2"/>
        <v>60030211</v>
      </c>
      <c r="B55" s="13">
        <v>6</v>
      </c>
      <c r="C55" s="12">
        <v>0</v>
      </c>
      <c r="D55" s="13">
        <v>3</v>
      </c>
      <c r="E55" s="13">
        <v>2</v>
      </c>
      <c r="F55" s="12">
        <v>11</v>
      </c>
      <c r="G55" s="55" t="s">
        <v>960</v>
      </c>
      <c r="H55" s="55">
        <v>3</v>
      </c>
      <c r="I55" s="55" t="s">
        <v>1464</v>
      </c>
      <c r="J55" s="55" t="s">
        <v>1300</v>
      </c>
      <c r="K55" s="55"/>
      <c r="L55" s="158">
        <v>40</v>
      </c>
      <c r="M55" s="10"/>
      <c r="N55" s="55" t="s">
        <v>1299</v>
      </c>
      <c r="O55" s="55">
        <v>96</v>
      </c>
      <c r="P55" s="10">
        <f t="shared" si="3"/>
        <v>96</v>
      </c>
      <c r="Q55" s="10">
        <v>8</v>
      </c>
      <c r="R55" s="155">
        <f t="shared" si="4"/>
        <v>0.74919109813639784</v>
      </c>
      <c r="S55" s="171">
        <f t="shared" si="5"/>
        <v>1.3824000000000001</v>
      </c>
      <c r="T55" s="161"/>
      <c r="U55" s="55"/>
      <c r="V55" s="55"/>
      <c r="W55" s="55"/>
      <c r="X55" s="155" t="str">
        <f t="shared" si="0"/>
        <v/>
      </c>
      <c r="Y55" s="171" t="str">
        <f t="shared" si="1"/>
        <v/>
      </c>
      <c r="Z55" s="165"/>
      <c r="AA55" s="10"/>
      <c r="AB55" s="149">
        <v>70</v>
      </c>
      <c r="AC55" s="55"/>
      <c r="AD55" s="55"/>
      <c r="AE55" s="55"/>
      <c r="AF55" s="55"/>
      <c r="AG55" s="167"/>
      <c r="AH55" s="55"/>
      <c r="AI55" s="55"/>
      <c r="AJ55" s="165"/>
      <c r="AK55" s="149">
        <v>80</v>
      </c>
      <c r="AL55" s="149">
        <v>80</v>
      </c>
      <c r="AM55" s="149">
        <v>80</v>
      </c>
      <c r="AN55" s="55"/>
      <c r="AO55" s="55"/>
      <c r="AP55" s="149">
        <v>80</v>
      </c>
      <c r="AQ55" s="149"/>
      <c r="AR55" s="149"/>
      <c r="AS55" s="165"/>
      <c r="AT55" s="149">
        <v>80</v>
      </c>
      <c r="AU55" s="149">
        <v>80</v>
      </c>
      <c r="AV55" s="149">
        <v>80</v>
      </c>
      <c r="AW55" s="55"/>
      <c r="AX55" s="55"/>
      <c r="AY55" s="149">
        <v>80</v>
      </c>
      <c r="AZ55" s="149">
        <v>400</v>
      </c>
      <c r="BA55" s="149"/>
      <c r="BB55" s="165"/>
      <c r="BC55" s="149">
        <v>40</v>
      </c>
      <c r="BD55" s="149">
        <v>40</v>
      </c>
      <c r="BE55" s="149">
        <v>35</v>
      </c>
      <c r="BF55" s="165"/>
      <c r="BG55" s="149">
        <v>200</v>
      </c>
      <c r="BH55" s="10"/>
      <c r="BI55" s="149">
        <v>180</v>
      </c>
      <c r="BJ55" s="149">
        <v>180</v>
      </c>
      <c r="BK55" s="149">
        <v>180</v>
      </c>
      <c r="BL55" s="55"/>
      <c r="BN55" s="149">
        <v>180</v>
      </c>
      <c r="BP55" s="149">
        <v>180</v>
      </c>
      <c r="BT55" s="141"/>
      <c r="CN55" s="141"/>
      <c r="DG55" s="141"/>
      <c r="DI55" s="152">
        <v>120</v>
      </c>
      <c r="DJ55" s="152">
        <v>120</v>
      </c>
      <c r="DM55" s="149">
        <v>180</v>
      </c>
    </row>
    <row r="56" spans="1:117" s="93" customFormat="1" x14ac:dyDescent="0.15">
      <c r="A56" s="11">
        <f t="shared" si="2"/>
        <v>60030212</v>
      </c>
      <c r="B56" s="13">
        <v>6</v>
      </c>
      <c r="C56" s="12">
        <v>0</v>
      </c>
      <c r="D56" s="13">
        <v>3</v>
      </c>
      <c r="E56" s="13">
        <v>2</v>
      </c>
      <c r="F56" s="12">
        <v>12</v>
      </c>
      <c r="G56" s="55" t="s">
        <v>961</v>
      </c>
      <c r="H56" s="55">
        <v>5</v>
      </c>
      <c r="I56" s="55" t="s">
        <v>1464</v>
      </c>
      <c r="J56" s="55" t="s">
        <v>1300</v>
      </c>
      <c r="K56" s="55"/>
      <c r="L56" s="158">
        <v>20</v>
      </c>
      <c r="M56" s="10"/>
      <c r="N56" s="55" t="s">
        <v>1298</v>
      </c>
      <c r="O56" s="55">
        <v>60</v>
      </c>
      <c r="P56" s="10">
        <f t="shared" si="3"/>
        <v>60</v>
      </c>
      <c r="Q56" s="10">
        <v>5</v>
      </c>
      <c r="R56" s="155">
        <f t="shared" si="4"/>
        <v>0.57863646052730333</v>
      </c>
      <c r="S56" s="171">
        <f t="shared" si="5"/>
        <v>0.86399999999999988</v>
      </c>
      <c r="T56" s="161"/>
      <c r="U56" s="55"/>
      <c r="V56" s="55"/>
      <c r="W56" s="55"/>
      <c r="X56" s="155" t="str">
        <f t="shared" si="0"/>
        <v/>
      </c>
      <c r="Y56" s="171" t="str">
        <f t="shared" si="1"/>
        <v/>
      </c>
      <c r="Z56" s="165"/>
      <c r="AA56" s="10"/>
      <c r="AB56" s="149">
        <v>60</v>
      </c>
      <c r="AC56" s="55"/>
      <c r="AD56" s="55"/>
      <c r="AE56" s="55"/>
      <c r="AF56" s="55"/>
      <c r="AG56" s="167"/>
      <c r="AH56" s="55"/>
      <c r="AI56" s="55"/>
      <c r="AJ56" s="165"/>
      <c r="AK56" s="149">
        <v>70</v>
      </c>
      <c r="AL56" s="149">
        <v>70</v>
      </c>
      <c r="AM56" s="149">
        <v>70</v>
      </c>
      <c r="AN56" s="55"/>
      <c r="AO56" s="55"/>
      <c r="AP56" s="149">
        <v>70</v>
      </c>
      <c r="AQ56" s="149"/>
      <c r="AR56" s="149"/>
      <c r="AS56" s="165"/>
      <c r="AT56" s="149">
        <v>60</v>
      </c>
      <c r="AU56" s="149">
        <v>60</v>
      </c>
      <c r="AV56" s="149">
        <v>60</v>
      </c>
      <c r="AW56" s="55"/>
      <c r="AX56" s="55"/>
      <c r="AY56" s="149">
        <v>60</v>
      </c>
      <c r="AZ56" s="149">
        <v>600</v>
      </c>
      <c r="BA56" s="149"/>
      <c r="BB56" s="165"/>
      <c r="BC56" s="149">
        <v>10</v>
      </c>
      <c r="BD56" s="149">
        <v>10</v>
      </c>
      <c r="BE56" s="149">
        <v>20</v>
      </c>
      <c r="BF56" s="165"/>
      <c r="BG56" s="149">
        <v>300</v>
      </c>
      <c r="BH56" s="10"/>
      <c r="BI56" s="149">
        <v>210</v>
      </c>
      <c r="BJ56" s="149">
        <v>210</v>
      </c>
      <c r="BK56" s="149">
        <v>210</v>
      </c>
      <c r="BL56" s="55"/>
      <c r="BN56" s="149">
        <v>210</v>
      </c>
      <c r="BP56" s="149">
        <v>210</v>
      </c>
      <c r="BT56" s="141"/>
      <c r="CN56" s="141"/>
      <c r="DG56" s="141"/>
      <c r="DI56" s="152">
        <v>130</v>
      </c>
      <c r="DJ56" s="152">
        <v>130</v>
      </c>
      <c r="DM56" s="149">
        <v>210</v>
      </c>
    </row>
    <row r="57" spans="1:117" s="93" customFormat="1" x14ac:dyDescent="0.15">
      <c r="A57" s="11">
        <f t="shared" si="2"/>
        <v>60030413</v>
      </c>
      <c r="B57" s="13">
        <v>6</v>
      </c>
      <c r="C57" s="12">
        <v>0</v>
      </c>
      <c r="D57" s="13">
        <v>3</v>
      </c>
      <c r="E57" s="13">
        <v>4</v>
      </c>
      <c r="F57" s="12">
        <v>13</v>
      </c>
      <c r="G57" s="55" t="s">
        <v>1039</v>
      </c>
      <c r="H57" s="55">
        <v>1</v>
      </c>
      <c r="I57" s="55" t="s">
        <v>1040</v>
      </c>
      <c r="J57" s="55" t="s">
        <v>1052</v>
      </c>
      <c r="K57" s="55"/>
      <c r="L57" s="158">
        <v>120</v>
      </c>
      <c r="M57" s="10"/>
      <c r="N57" s="55" t="s">
        <v>1301</v>
      </c>
      <c r="O57" s="55">
        <v>120</v>
      </c>
      <c r="P57" s="10">
        <f t="shared" si="3"/>
        <v>120</v>
      </c>
      <c r="Q57" s="10">
        <v>10</v>
      </c>
      <c r="R57" s="155">
        <f t="shared" si="4"/>
        <v>0.82254489474286463</v>
      </c>
      <c r="S57" s="171">
        <f t="shared" si="5"/>
        <v>1.7279999999999998</v>
      </c>
      <c r="T57" s="161"/>
      <c r="U57" s="55"/>
      <c r="V57" s="55"/>
      <c r="W57" s="55"/>
      <c r="X57" s="155" t="str">
        <f t="shared" si="0"/>
        <v/>
      </c>
      <c r="Y57" s="171" t="str">
        <f t="shared" si="1"/>
        <v/>
      </c>
      <c r="Z57" s="165"/>
      <c r="AA57" s="10"/>
      <c r="AB57" s="55"/>
      <c r="AC57" s="55"/>
      <c r="AD57" s="55"/>
      <c r="AE57" s="55"/>
      <c r="AF57" s="55"/>
      <c r="AG57" s="167"/>
      <c r="AH57" s="55"/>
      <c r="AI57" s="55"/>
      <c r="AJ57" s="165"/>
      <c r="AK57" s="55"/>
      <c r="AL57" s="55"/>
      <c r="AM57" s="55"/>
      <c r="AN57" s="55"/>
      <c r="AO57" s="55"/>
      <c r="AP57" s="55"/>
      <c r="AQ57" s="55"/>
      <c r="AR57" s="55"/>
      <c r="AS57" s="165"/>
      <c r="AT57" s="55"/>
      <c r="AU57" s="55"/>
      <c r="AV57" s="55"/>
      <c r="AW57" s="55"/>
      <c r="AX57" s="55"/>
      <c r="AY57" s="55"/>
      <c r="AZ57" s="55"/>
      <c r="BA57" s="55"/>
      <c r="BB57" s="165"/>
      <c r="BC57" s="149">
        <v>50</v>
      </c>
      <c r="BD57" s="149">
        <v>50</v>
      </c>
      <c r="BE57" s="149"/>
      <c r="BF57" s="165"/>
      <c r="BG57" s="55"/>
      <c r="BH57" s="10"/>
      <c r="BI57" s="55"/>
      <c r="BJ57" s="55"/>
      <c r="BK57" s="55"/>
      <c r="BL57" s="55"/>
      <c r="BT57" s="141"/>
      <c r="CN57" s="141"/>
      <c r="DG57" s="141"/>
    </row>
    <row r="58" spans="1:117" s="93" customFormat="1" x14ac:dyDescent="0.15">
      <c r="A58" s="11">
        <f t="shared" si="2"/>
        <v>60030414</v>
      </c>
      <c r="B58" s="13">
        <v>6</v>
      </c>
      <c r="C58" s="12">
        <v>0</v>
      </c>
      <c r="D58" s="13">
        <v>3</v>
      </c>
      <c r="E58" s="13">
        <v>4</v>
      </c>
      <c r="F58" s="12">
        <v>14</v>
      </c>
      <c r="G58" s="55" t="s">
        <v>853</v>
      </c>
      <c r="H58" s="55">
        <v>3</v>
      </c>
      <c r="I58" s="55" t="s">
        <v>1040</v>
      </c>
      <c r="J58" s="55" t="s">
        <v>1052</v>
      </c>
      <c r="K58" s="55"/>
      <c r="L58" s="158">
        <v>120</v>
      </c>
      <c r="M58" s="10"/>
      <c r="N58" s="55" t="s">
        <v>1303</v>
      </c>
      <c r="O58" s="55">
        <v>96</v>
      </c>
      <c r="P58" s="10">
        <f t="shared" si="3"/>
        <v>96</v>
      </c>
      <c r="Q58" s="10">
        <v>8</v>
      </c>
      <c r="R58" s="155">
        <f t="shared" si="4"/>
        <v>0.74919109813639784</v>
      </c>
      <c r="S58" s="171">
        <f t="shared" si="5"/>
        <v>1.3824000000000001</v>
      </c>
      <c r="T58" s="161"/>
      <c r="U58" s="55"/>
      <c r="V58" s="55"/>
      <c r="W58" s="55"/>
      <c r="X58" s="155" t="str">
        <f t="shared" si="0"/>
        <v/>
      </c>
      <c r="Y58" s="171" t="str">
        <f t="shared" si="1"/>
        <v/>
      </c>
      <c r="Z58" s="165"/>
      <c r="AA58" s="10"/>
      <c r="AB58" s="55"/>
      <c r="AC58" s="55"/>
      <c r="AD58" s="55"/>
      <c r="AE58" s="55"/>
      <c r="AF58" s="55"/>
      <c r="AG58" s="167"/>
      <c r="AH58" s="55"/>
      <c r="AI58" s="55"/>
      <c r="AJ58" s="165"/>
      <c r="AK58" s="55"/>
      <c r="AL58" s="55"/>
      <c r="AM58" s="55"/>
      <c r="AN58" s="55"/>
      <c r="AO58" s="55"/>
      <c r="AP58" s="55"/>
      <c r="AQ58" s="55"/>
      <c r="AR58" s="55"/>
      <c r="AS58" s="165"/>
      <c r="AT58" s="55"/>
      <c r="AU58" s="55"/>
      <c r="AV58" s="55"/>
      <c r="AW58" s="55"/>
      <c r="AX58" s="55"/>
      <c r="AY58" s="55"/>
      <c r="AZ58" s="55"/>
      <c r="BA58" s="55"/>
      <c r="BB58" s="165"/>
      <c r="BC58" s="149">
        <v>30</v>
      </c>
      <c r="BD58" s="149">
        <v>30</v>
      </c>
      <c r="BE58" s="149"/>
      <c r="BF58" s="165"/>
      <c r="BG58" s="55"/>
      <c r="BH58" s="10"/>
      <c r="BI58" s="55"/>
      <c r="BJ58" s="55"/>
      <c r="BK58" s="55"/>
      <c r="BL58" s="55"/>
      <c r="BT58" s="141"/>
      <c r="CN58" s="141"/>
      <c r="DG58" s="141"/>
    </row>
    <row r="59" spans="1:117" s="93" customFormat="1" ht="17.25" thickBot="1" x14ac:dyDescent="0.2">
      <c r="A59" s="11">
        <f t="shared" si="2"/>
        <v>60030415</v>
      </c>
      <c r="B59" s="13">
        <v>6</v>
      </c>
      <c r="C59" s="12">
        <v>0</v>
      </c>
      <c r="D59" s="13">
        <v>3</v>
      </c>
      <c r="E59" s="13">
        <v>4</v>
      </c>
      <c r="F59" s="12">
        <v>15</v>
      </c>
      <c r="G59" s="55" t="s">
        <v>854</v>
      </c>
      <c r="H59" s="55">
        <v>5</v>
      </c>
      <c r="I59" s="55" t="s">
        <v>1040</v>
      </c>
      <c r="J59" s="55" t="s">
        <v>1052</v>
      </c>
      <c r="K59" s="55"/>
      <c r="L59" s="158">
        <v>60</v>
      </c>
      <c r="M59" s="10"/>
      <c r="N59" s="55" t="s">
        <v>1302</v>
      </c>
      <c r="O59" s="55">
        <v>60</v>
      </c>
      <c r="P59" s="10">
        <f t="shared" si="3"/>
        <v>60</v>
      </c>
      <c r="Q59" s="10">
        <v>5</v>
      </c>
      <c r="R59" s="155">
        <f t="shared" si="4"/>
        <v>0.57863646052730333</v>
      </c>
      <c r="S59" s="171">
        <f t="shared" si="5"/>
        <v>0.86399999999999988</v>
      </c>
      <c r="T59" s="161"/>
      <c r="U59" s="55"/>
      <c r="V59" s="55"/>
      <c r="W59" s="55"/>
      <c r="X59" s="155" t="str">
        <f t="shared" si="0"/>
        <v/>
      </c>
      <c r="Y59" s="171" t="str">
        <f t="shared" si="1"/>
        <v/>
      </c>
      <c r="Z59" s="165"/>
      <c r="AA59" s="10"/>
      <c r="AB59" s="55"/>
      <c r="AC59" s="55"/>
      <c r="AD59" s="55"/>
      <c r="AE59" s="55"/>
      <c r="AF59" s="55"/>
      <c r="AG59" s="167"/>
      <c r="AH59" s="55"/>
      <c r="AI59" s="55"/>
      <c r="AJ59" s="165"/>
      <c r="AK59" s="55"/>
      <c r="AL59" s="55"/>
      <c r="AM59" s="55"/>
      <c r="AN59" s="55"/>
      <c r="AO59" s="55"/>
      <c r="AP59" s="55"/>
      <c r="AQ59" s="55"/>
      <c r="AR59" s="55"/>
      <c r="AS59" s="165"/>
      <c r="AT59" s="55"/>
      <c r="AU59" s="55"/>
      <c r="AV59" s="55"/>
      <c r="AW59" s="55"/>
      <c r="AX59" s="55"/>
      <c r="AY59" s="55"/>
      <c r="AZ59" s="55"/>
      <c r="BA59" s="55"/>
      <c r="BB59" s="165"/>
      <c r="BC59" s="149">
        <v>0</v>
      </c>
      <c r="BD59" s="149">
        <v>0</v>
      </c>
      <c r="BE59" s="149"/>
      <c r="BF59" s="165"/>
      <c r="BG59" s="55"/>
      <c r="BH59" s="10"/>
      <c r="BI59" s="55"/>
      <c r="BJ59" s="55"/>
      <c r="BK59" s="55"/>
      <c r="BL59" s="55"/>
      <c r="BT59" s="141"/>
      <c r="CN59" s="141"/>
      <c r="DG59" s="141"/>
    </row>
    <row r="60" spans="1:117" s="93" customFormat="1" x14ac:dyDescent="0.15">
      <c r="A60" s="11">
        <f t="shared" si="2"/>
        <v>60030516</v>
      </c>
      <c r="B60" s="13">
        <v>6</v>
      </c>
      <c r="C60" s="12">
        <v>0</v>
      </c>
      <c r="D60" s="13">
        <v>3</v>
      </c>
      <c r="E60" s="13">
        <v>5</v>
      </c>
      <c r="F60" s="12">
        <v>16</v>
      </c>
      <c r="G60" s="55" t="s">
        <v>810</v>
      </c>
      <c r="H60" s="55">
        <v>1</v>
      </c>
      <c r="I60" s="55" t="s">
        <v>1465</v>
      </c>
      <c r="J60" s="55" t="s">
        <v>1053</v>
      </c>
      <c r="K60" s="55"/>
      <c r="L60" s="158">
        <v>120</v>
      </c>
      <c r="M60" s="10"/>
      <c r="N60" s="55" t="s">
        <v>1304</v>
      </c>
      <c r="O60" s="55">
        <v>120</v>
      </c>
      <c r="P60" s="10">
        <f t="shared" si="3"/>
        <v>120</v>
      </c>
      <c r="Q60" s="10">
        <v>10</v>
      </c>
      <c r="R60" s="155">
        <f t="shared" si="4"/>
        <v>0.82254489474286463</v>
      </c>
      <c r="S60" s="171">
        <f t="shared" si="5"/>
        <v>1.7279999999999998</v>
      </c>
      <c r="T60" s="161"/>
      <c r="U60" s="55"/>
      <c r="V60" s="55"/>
      <c r="W60" s="55"/>
      <c r="X60" s="155" t="str">
        <f t="shared" si="0"/>
        <v/>
      </c>
      <c r="Y60" s="171" t="str">
        <f t="shared" si="1"/>
        <v/>
      </c>
      <c r="Z60" s="165"/>
      <c r="AA60" s="10"/>
      <c r="AB60" s="55"/>
      <c r="AC60" s="55"/>
      <c r="AD60" s="55"/>
      <c r="AE60" s="55"/>
      <c r="AF60" s="55"/>
      <c r="AG60" s="167"/>
      <c r="AH60" s="55"/>
      <c r="AI60" s="55"/>
      <c r="AJ60" s="165"/>
      <c r="AK60" s="150">
        <v>90</v>
      </c>
      <c r="AL60" s="150">
        <v>90</v>
      </c>
      <c r="AM60" s="150">
        <v>90</v>
      </c>
      <c r="AN60" s="55"/>
      <c r="AO60" s="55"/>
      <c r="AP60" s="150">
        <v>90</v>
      </c>
      <c r="AQ60" s="149"/>
      <c r="AR60" s="149"/>
      <c r="AS60" s="165"/>
      <c r="AT60" s="149">
        <v>90</v>
      </c>
      <c r="AU60" s="149">
        <v>90</v>
      </c>
      <c r="AV60" s="149">
        <v>90</v>
      </c>
      <c r="AW60" s="55"/>
      <c r="AX60" s="55"/>
      <c r="AY60" s="149">
        <v>90</v>
      </c>
      <c r="AZ60" s="55"/>
      <c r="BA60" s="55"/>
      <c r="BB60" s="165"/>
      <c r="BC60" s="55"/>
      <c r="BD60" s="55"/>
      <c r="BE60" s="55"/>
      <c r="BF60" s="165"/>
      <c r="BG60" s="55"/>
      <c r="BH60" s="10"/>
      <c r="BI60" s="149">
        <v>150</v>
      </c>
      <c r="BJ60" s="149">
        <v>150</v>
      </c>
      <c r="BK60" s="149">
        <v>150</v>
      </c>
      <c r="BL60" s="55"/>
      <c r="BN60" s="149">
        <v>150</v>
      </c>
      <c r="BP60" s="149">
        <v>150</v>
      </c>
      <c r="BT60" s="141"/>
      <c r="CN60" s="141"/>
      <c r="DG60" s="141"/>
      <c r="DI60" s="152">
        <v>110</v>
      </c>
      <c r="DJ60" s="152">
        <v>110</v>
      </c>
      <c r="DM60" s="149">
        <v>150</v>
      </c>
    </row>
    <row r="61" spans="1:117" s="93" customFormat="1" x14ac:dyDescent="0.15">
      <c r="A61" s="11">
        <f t="shared" si="2"/>
        <v>60030517</v>
      </c>
      <c r="B61" s="13">
        <v>6</v>
      </c>
      <c r="C61" s="12">
        <v>0</v>
      </c>
      <c r="D61" s="13">
        <v>3</v>
      </c>
      <c r="E61" s="13">
        <v>5</v>
      </c>
      <c r="F61" s="12">
        <v>17</v>
      </c>
      <c r="G61" s="55" t="s">
        <v>811</v>
      </c>
      <c r="H61" s="55">
        <v>3</v>
      </c>
      <c r="I61" s="55" t="s">
        <v>1465</v>
      </c>
      <c r="J61" s="55" t="s">
        <v>1053</v>
      </c>
      <c r="K61" s="55"/>
      <c r="L61" s="158">
        <v>120</v>
      </c>
      <c r="M61" s="10"/>
      <c r="N61" s="55" t="s">
        <v>1306</v>
      </c>
      <c r="O61" s="55">
        <v>96</v>
      </c>
      <c r="P61" s="10">
        <f t="shared" si="3"/>
        <v>96</v>
      </c>
      <c r="Q61" s="10">
        <v>8</v>
      </c>
      <c r="R61" s="155">
        <f t="shared" si="4"/>
        <v>0.74919109813639784</v>
      </c>
      <c r="S61" s="171">
        <f t="shared" si="5"/>
        <v>1.3824000000000001</v>
      </c>
      <c r="T61" s="161"/>
      <c r="U61" s="55"/>
      <c r="V61" s="55"/>
      <c r="W61" s="55"/>
      <c r="X61" s="155" t="str">
        <f t="shared" si="0"/>
        <v/>
      </c>
      <c r="Y61" s="171" t="str">
        <f t="shared" si="1"/>
        <v/>
      </c>
      <c r="Z61" s="165"/>
      <c r="AA61" s="10"/>
      <c r="AB61" s="55"/>
      <c r="AC61" s="55"/>
      <c r="AD61" s="55"/>
      <c r="AE61" s="55"/>
      <c r="AF61" s="55"/>
      <c r="AG61" s="167"/>
      <c r="AH61" s="55"/>
      <c r="AI61" s="55"/>
      <c r="AJ61" s="165"/>
      <c r="AK61" s="149">
        <v>80</v>
      </c>
      <c r="AL61" s="149">
        <v>80</v>
      </c>
      <c r="AM61" s="149">
        <v>80</v>
      </c>
      <c r="AN61" s="55"/>
      <c r="AO61" s="55"/>
      <c r="AP61" s="149">
        <v>80</v>
      </c>
      <c r="AQ61" s="149"/>
      <c r="AR61" s="149"/>
      <c r="AS61" s="165"/>
      <c r="AT61" s="149">
        <v>80</v>
      </c>
      <c r="AU61" s="149">
        <v>80</v>
      </c>
      <c r="AV61" s="149">
        <v>80</v>
      </c>
      <c r="AW61" s="55"/>
      <c r="AX61" s="55"/>
      <c r="AY61" s="149">
        <v>80</v>
      </c>
      <c r="AZ61" s="55"/>
      <c r="BA61" s="55"/>
      <c r="BB61" s="165"/>
      <c r="BC61" s="55"/>
      <c r="BD61" s="55"/>
      <c r="BE61" s="55"/>
      <c r="BF61" s="165"/>
      <c r="BG61" s="55"/>
      <c r="BH61" s="10"/>
      <c r="BI61" s="149">
        <v>180</v>
      </c>
      <c r="BJ61" s="149">
        <v>180</v>
      </c>
      <c r="BK61" s="149">
        <v>180</v>
      </c>
      <c r="BL61" s="55"/>
      <c r="BN61" s="149">
        <v>180</v>
      </c>
      <c r="BP61" s="149">
        <v>180</v>
      </c>
      <c r="BT61" s="141"/>
      <c r="CN61" s="141"/>
      <c r="DG61" s="141"/>
      <c r="DI61" s="152">
        <v>120</v>
      </c>
      <c r="DJ61" s="152">
        <v>120</v>
      </c>
      <c r="DM61" s="149">
        <v>180</v>
      </c>
    </row>
    <row r="62" spans="1:117" s="93" customFormat="1" ht="17.25" thickBot="1" x14ac:dyDescent="0.2">
      <c r="A62" s="11">
        <f t="shared" si="2"/>
        <v>60030518</v>
      </c>
      <c r="B62" s="13">
        <v>6</v>
      </c>
      <c r="C62" s="12">
        <v>0</v>
      </c>
      <c r="D62" s="13">
        <v>3</v>
      </c>
      <c r="E62" s="13">
        <v>5</v>
      </c>
      <c r="F62" s="12">
        <v>18</v>
      </c>
      <c r="G62" s="55" t="s">
        <v>812</v>
      </c>
      <c r="H62" s="55">
        <v>5</v>
      </c>
      <c r="I62" s="55" t="s">
        <v>1465</v>
      </c>
      <c r="J62" s="55" t="s">
        <v>1053</v>
      </c>
      <c r="K62" s="55"/>
      <c r="L62" s="158">
        <v>60</v>
      </c>
      <c r="M62" s="10"/>
      <c r="N62" s="55" t="s">
        <v>1305</v>
      </c>
      <c r="O62" s="55">
        <v>60</v>
      </c>
      <c r="P62" s="10">
        <f t="shared" si="3"/>
        <v>60</v>
      </c>
      <c r="Q62" s="10">
        <v>5</v>
      </c>
      <c r="R62" s="155">
        <f t="shared" si="4"/>
        <v>0.57863646052730333</v>
      </c>
      <c r="S62" s="171">
        <f t="shared" si="5"/>
        <v>0.86399999999999988</v>
      </c>
      <c r="T62" s="161"/>
      <c r="U62" s="55"/>
      <c r="V62" s="55"/>
      <c r="W62" s="55"/>
      <c r="X62" s="155" t="str">
        <f t="shared" si="0"/>
        <v/>
      </c>
      <c r="Y62" s="171" t="str">
        <f t="shared" si="1"/>
        <v/>
      </c>
      <c r="Z62" s="165"/>
      <c r="AA62" s="10"/>
      <c r="AB62" s="55"/>
      <c r="AC62" s="55"/>
      <c r="AD62" s="55"/>
      <c r="AE62" s="55"/>
      <c r="AF62" s="55"/>
      <c r="AG62" s="167"/>
      <c r="AH62" s="55"/>
      <c r="AI62" s="55"/>
      <c r="AJ62" s="165"/>
      <c r="AK62" s="149">
        <v>70</v>
      </c>
      <c r="AL62" s="149">
        <v>70</v>
      </c>
      <c r="AM62" s="149">
        <v>70</v>
      </c>
      <c r="AN62" s="55"/>
      <c r="AO62" s="55"/>
      <c r="AP62" s="149">
        <v>70</v>
      </c>
      <c r="AQ62" s="149"/>
      <c r="AR62" s="149"/>
      <c r="AS62" s="165"/>
      <c r="AT62" s="149">
        <v>60</v>
      </c>
      <c r="AU62" s="149">
        <v>60</v>
      </c>
      <c r="AV62" s="149">
        <v>60</v>
      </c>
      <c r="AW62" s="55"/>
      <c r="AX62" s="55"/>
      <c r="AY62" s="149">
        <v>60</v>
      </c>
      <c r="AZ62" s="55"/>
      <c r="BA62" s="55"/>
      <c r="BB62" s="165"/>
      <c r="BC62" s="55"/>
      <c r="BD62" s="55"/>
      <c r="BE62" s="55"/>
      <c r="BF62" s="165"/>
      <c r="BG62" s="55"/>
      <c r="BH62" s="10"/>
      <c r="BI62" s="149">
        <v>260</v>
      </c>
      <c r="BJ62" s="149">
        <v>260</v>
      </c>
      <c r="BK62" s="149">
        <v>260</v>
      </c>
      <c r="BL62" s="55"/>
      <c r="BN62" s="149">
        <v>260</v>
      </c>
      <c r="BP62" s="149">
        <v>260</v>
      </c>
      <c r="BT62" s="141"/>
      <c r="CN62" s="141"/>
      <c r="DG62" s="141"/>
      <c r="DI62" s="152">
        <v>130</v>
      </c>
      <c r="DJ62" s="152">
        <v>130</v>
      </c>
      <c r="DM62" s="149">
        <v>260</v>
      </c>
    </row>
    <row r="63" spans="1:117" s="93" customFormat="1" x14ac:dyDescent="0.15">
      <c r="A63" s="11">
        <f t="shared" si="2"/>
        <v>60030619</v>
      </c>
      <c r="B63" s="13">
        <v>6</v>
      </c>
      <c r="C63" s="12">
        <v>0</v>
      </c>
      <c r="D63" s="13">
        <v>3</v>
      </c>
      <c r="E63" s="13">
        <v>6</v>
      </c>
      <c r="F63" s="12">
        <v>19</v>
      </c>
      <c r="G63" s="55" t="s">
        <v>855</v>
      </c>
      <c r="H63" s="55">
        <v>1</v>
      </c>
      <c r="I63" s="55" t="s">
        <v>1041</v>
      </c>
      <c r="J63" s="55" t="s">
        <v>1054</v>
      </c>
      <c r="K63" s="55"/>
      <c r="L63" s="158">
        <v>120</v>
      </c>
      <c r="M63" s="10"/>
      <c r="N63" s="55" t="s">
        <v>1307</v>
      </c>
      <c r="O63" s="55">
        <v>120</v>
      </c>
      <c r="P63" s="10">
        <f t="shared" si="3"/>
        <v>120</v>
      </c>
      <c r="Q63" s="10">
        <v>10</v>
      </c>
      <c r="R63" s="155">
        <f t="shared" si="4"/>
        <v>0.82254489474286463</v>
      </c>
      <c r="S63" s="171">
        <f t="shared" si="5"/>
        <v>1.7279999999999998</v>
      </c>
      <c r="T63" s="161"/>
      <c r="U63" s="55"/>
      <c r="V63" s="55"/>
      <c r="W63" s="55"/>
      <c r="X63" s="155" t="str">
        <f t="shared" si="0"/>
        <v/>
      </c>
      <c r="Y63" s="171" t="str">
        <f t="shared" si="1"/>
        <v/>
      </c>
      <c r="Z63" s="165"/>
      <c r="AA63" s="10"/>
      <c r="AB63" s="55"/>
      <c r="AC63" s="55"/>
      <c r="AD63" s="55"/>
      <c r="AE63" s="55"/>
      <c r="AF63" s="55"/>
      <c r="AG63" s="167"/>
      <c r="AH63" s="55"/>
      <c r="AI63" s="55"/>
      <c r="AJ63" s="165"/>
      <c r="AK63" s="150">
        <v>90</v>
      </c>
      <c r="AL63" s="55"/>
      <c r="AM63" s="55"/>
      <c r="AN63" s="55"/>
      <c r="AO63" s="55"/>
      <c r="AP63" s="55"/>
      <c r="AQ63" s="55"/>
      <c r="AR63" s="55"/>
      <c r="AS63" s="165"/>
      <c r="AT63" s="149">
        <v>90</v>
      </c>
      <c r="AU63" s="55"/>
      <c r="AV63" s="55"/>
      <c r="AW63" s="55"/>
      <c r="AX63" s="55"/>
      <c r="AY63" s="55"/>
      <c r="AZ63" s="55"/>
      <c r="BA63" s="55"/>
      <c r="BB63" s="165"/>
      <c r="BC63" s="55"/>
      <c r="BD63" s="55"/>
      <c r="BE63" s="55"/>
      <c r="BF63" s="165"/>
      <c r="BG63" s="55"/>
      <c r="BH63" s="10"/>
      <c r="BI63" s="149">
        <v>150</v>
      </c>
      <c r="BJ63" s="55"/>
      <c r="BK63" s="55"/>
      <c r="BL63" s="55"/>
      <c r="BT63" s="141"/>
      <c r="CN63" s="141"/>
      <c r="DG63" s="141"/>
      <c r="DJ63" s="152">
        <v>110</v>
      </c>
    </row>
    <row r="64" spans="1:117" s="93" customFormat="1" x14ac:dyDescent="0.15">
      <c r="A64" s="11">
        <f t="shared" si="2"/>
        <v>60030620</v>
      </c>
      <c r="B64" s="13">
        <v>6</v>
      </c>
      <c r="C64" s="12">
        <v>0</v>
      </c>
      <c r="D64" s="13">
        <v>3</v>
      </c>
      <c r="E64" s="13">
        <v>6</v>
      </c>
      <c r="F64" s="12">
        <v>20</v>
      </c>
      <c r="G64" s="55" t="s">
        <v>856</v>
      </c>
      <c r="H64" s="55">
        <v>3</v>
      </c>
      <c r="I64" s="55" t="s">
        <v>1041</v>
      </c>
      <c r="J64" s="55" t="s">
        <v>1054</v>
      </c>
      <c r="K64" s="55"/>
      <c r="L64" s="158">
        <v>120</v>
      </c>
      <c r="M64" s="10"/>
      <c r="N64" s="55" t="s">
        <v>1309</v>
      </c>
      <c r="O64" s="55">
        <v>96</v>
      </c>
      <c r="P64" s="10">
        <f t="shared" si="3"/>
        <v>96</v>
      </c>
      <c r="Q64" s="10">
        <v>8</v>
      </c>
      <c r="R64" s="155">
        <f t="shared" si="4"/>
        <v>0.74919109813639784</v>
      </c>
      <c r="S64" s="171">
        <f t="shared" si="5"/>
        <v>1.3824000000000001</v>
      </c>
      <c r="T64" s="161"/>
      <c r="U64" s="55"/>
      <c r="V64" s="55"/>
      <c r="W64" s="55"/>
      <c r="X64" s="155" t="str">
        <f t="shared" si="0"/>
        <v/>
      </c>
      <c r="Y64" s="171" t="str">
        <f t="shared" si="1"/>
        <v/>
      </c>
      <c r="Z64" s="165"/>
      <c r="AA64" s="10"/>
      <c r="AB64" s="55"/>
      <c r="AC64" s="55"/>
      <c r="AD64" s="55"/>
      <c r="AE64" s="55"/>
      <c r="AF64" s="55"/>
      <c r="AG64" s="167"/>
      <c r="AH64" s="55"/>
      <c r="AI64" s="55"/>
      <c r="AJ64" s="165"/>
      <c r="AK64" s="149">
        <v>80</v>
      </c>
      <c r="AL64" s="55"/>
      <c r="AM64" s="55"/>
      <c r="AN64" s="55"/>
      <c r="AO64" s="55"/>
      <c r="AP64" s="55"/>
      <c r="AQ64" s="55"/>
      <c r="AR64" s="55"/>
      <c r="AS64" s="165"/>
      <c r="AT64" s="149">
        <v>80</v>
      </c>
      <c r="AU64" s="55"/>
      <c r="AV64" s="55"/>
      <c r="AW64" s="55"/>
      <c r="AX64" s="55"/>
      <c r="AY64" s="55"/>
      <c r="AZ64" s="55"/>
      <c r="BA64" s="55"/>
      <c r="BB64" s="165"/>
      <c r="BC64" s="55"/>
      <c r="BD64" s="55"/>
      <c r="BE64" s="55"/>
      <c r="BF64" s="165"/>
      <c r="BG64" s="55"/>
      <c r="BH64" s="10"/>
      <c r="BI64" s="149">
        <v>180</v>
      </c>
      <c r="BJ64" s="55"/>
      <c r="BK64" s="55"/>
      <c r="BL64" s="55"/>
      <c r="BT64" s="141"/>
      <c r="CN64" s="141"/>
      <c r="DG64" s="141"/>
      <c r="DJ64" s="152">
        <v>120</v>
      </c>
    </row>
    <row r="65" spans="1:117" s="93" customFormat="1" x14ac:dyDescent="0.15">
      <c r="A65" s="11">
        <f t="shared" ref="A65:A84" si="6">B65*10000000+C65*1000000+D65*10000+E65*100+F65</f>
        <v>60030621</v>
      </c>
      <c r="B65" s="13">
        <v>6</v>
      </c>
      <c r="C65" s="12">
        <v>0</v>
      </c>
      <c r="D65" s="13">
        <v>3</v>
      </c>
      <c r="E65" s="13">
        <v>6</v>
      </c>
      <c r="F65" s="12">
        <v>21</v>
      </c>
      <c r="G65" s="55" t="s">
        <v>857</v>
      </c>
      <c r="H65" s="55">
        <v>5</v>
      </c>
      <c r="I65" s="55" t="s">
        <v>1041</v>
      </c>
      <c r="J65" s="55" t="s">
        <v>1054</v>
      </c>
      <c r="K65" s="55"/>
      <c r="L65" s="158">
        <v>60</v>
      </c>
      <c r="M65" s="10"/>
      <c r="N65" s="55" t="s">
        <v>1308</v>
      </c>
      <c r="O65" s="55">
        <v>60</v>
      </c>
      <c r="P65" s="10">
        <f t="shared" si="3"/>
        <v>60</v>
      </c>
      <c r="Q65" s="10">
        <v>5</v>
      </c>
      <c r="R65" s="155">
        <f t="shared" si="4"/>
        <v>0.57863646052730333</v>
      </c>
      <c r="S65" s="171">
        <f t="shared" si="5"/>
        <v>0.86399999999999988</v>
      </c>
      <c r="T65" s="161"/>
      <c r="U65" s="55"/>
      <c r="V65" s="55"/>
      <c r="W65" s="55"/>
      <c r="X65" s="155" t="str">
        <f t="shared" si="0"/>
        <v/>
      </c>
      <c r="Y65" s="171" t="str">
        <f t="shared" si="1"/>
        <v/>
      </c>
      <c r="Z65" s="165"/>
      <c r="AA65" s="10"/>
      <c r="AB65" s="55"/>
      <c r="AC65" s="55"/>
      <c r="AD65" s="55"/>
      <c r="AE65" s="55"/>
      <c r="AF65" s="55"/>
      <c r="AG65" s="167"/>
      <c r="AH65" s="55"/>
      <c r="AI65" s="55"/>
      <c r="AJ65" s="165"/>
      <c r="AK65" s="149">
        <v>70</v>
      </c>
      <c r="AL65" s="55"/>
      <c r="AM65" s="55"/>
      <c r="AN65" s="55"/>
      <c r="AO65" s="55"/>
      <c r="AP65" s="55"/>
      <c r="AQ65" s="55"/>
      <c r="AR65" s="55"/>
      <c r="AS65" s="165"/>
      <c r="AT65" s="149">
        <v>60</v>
      </c>
      <c r="AU65" s="55"/>
      <c r="AV65" s="55"/>
      <c r="AW65" s="55"/>
      <c r="AX65" s="55"/>
      <c r="AY65" s="55"/>
      <c r="AZ65" s="55"/>
      <c r="BA65" s="55"/>
      <c r="BB65" s="165"/>
      <c r="BC65" s="55"/>
      <c r="BD65" s="55"/>
      <c r="BE65" s="55"/>
      <c r="BF65" s="165"/>
      <c r="BG65" s="55"/>
      <c r="BH65" s="10"/>
      <c r="BI65" s="149">
        <v>260</v>
      </c>
      <c r="BJ65" s="55"/>
      <c r="BK65" s="55"/>
      <c r="BL65" s="55"/>
      <c r="BT65" s="141"/>
      <c r="CN65" s="141"/>
      <c r="DG65" s="141"/>
      <c r="DJ65" s="152">
        <v>130</v>
      </c>
    </row>
    <row r="66" spans="1:117" x14ac:dyDescent="0.15">
      <c r="A66" s="11">
        <f t="shared" si="6"/>
        <v>60030222</v>
      </c>
      <c r="B66" s="13">
        <v>6</v>
      </c>
      <c r="C66" s="12">
        <v>0</v>
      </c>
      <c r="D66" s="13">
        <v>3</v>
      </c>
      <c r="E66" s="13">
        <v>2</v>
      </c>
      <c r="F66" s="12">
        <v>22</v>
      </c>
      <c r="G66" s="55" t="s">
        <v>951</v>
      </c>
      <c r="H66" s="55">
        <v>1</v>
      </c>
      <c r="I66" s="55" t="s">
        <v>1042</v>
      </c>
      <c r="J66" s="55" t="s">
        <v>1055</v>
      </c>
      <c r="L66" s="158">
        <v>120</v>
      </c>
      <c r="N66" s="55" t="s">
        <v>1310</v>
      </c>
      <c r="O66" s="55">
        <v>300</v>
      </c>
      <c r="P66" s="10">
        <f t="shared" si="3"/>
        <v>300</v>
      </c>
      <c r="Q66" s="10">
        <v>25</v>
      </c>
      <c r="R66" s="155">
        <f t="shared" si="4"/>
        <v>0.98678619270966395</v>
      </c>
      <c r="S66" s="171">
        <f t="shared" si="5"/>
        <v>4.32</v>
      </c>
      <c r="X66" s="155" t="str">
        <f t="shared" si="0"/>
        <v/>
      </c>
      <c r="Y66" s="171" t="str">
        <f t="shared" si="1"/>
        <v/>
      </c>
      <c r="AB66" s="149">
        <v>90</v>
      </c>
      <c r="AT66" s="149">
        <v>130</v>
      </c>
      <c r="AU66" s="149">
        <v>130</v>
      </c>
      <c r="AV66" s="149">
        <v>130</v>
      </c>
      <c r="AY66" s="149">
        <v>130</v>
      </c>
      <c r="BE66" s="149">
        <v>120</v>
      </c>
      <c r="BI66" s="149">
        <v>80</v>
      </c>
      <c r="BJ66" s="149">
        <v>80</v>
      </c>
      <c r="BK66" s="149">
        <v>80</v>
      </c>
      <c r="BL66" s="149">
        <v>130</v>
      </c>
      <c r="BM66" s="105"/>
      <c r="BN66" s="149">
        <v>80</v>
      </c>
      <c r="BP66" s="149">
        <v>80</v>
      </c>
      <c r="DH66" s="149">
        <v>80</v>
      </c>
      <c r="DI66" s="149">
        <v>80</v>
      </c>
      <c r="DJ66" s="149">
        <v>80</v>
      </c>
      <c r="DK66" s="152">
        <v>130</v>
      </c>
      <c r="DM66" s="149">
        <v>80</v>
      </c>
    </row>
    <row r="67" spans="1:117" x14ac:dyDescent="0.15">
      <c r="A67" s="11">
        <f t="shared" si="6"/>
        <v>60030223</v>
      </c>
      <c r="B67" s="13">
        <v>6</v>
      </c>
      <c r="C67" s="12">
        <v>0</v>
      </c>
      <c r="D67" s="13">
        <v>3</v>
      </c>
      <c r="E67" s="13">
        <v>2</v>
      </c>
      <c r="F67" s="12">
        <v>23</v>
      </c>
      <c r="G67" s="55" t="s">
        <v>952</v>
      </c>
      <c r="H67" s="55">
        <v>3</v>
      </c>
      <c r="I67" s="55" t="s">
        <v>1042</v>
      </c>
      <c r="J67" s="55" t="s">
        <v>1055</v>
      </c>
      <c r="L67" s="158">
        <v>120</v>
      </c>
      <c r="N67" s="55" t="s">
        <v>1311</v>
      </c>
      <c r="O67" s="55">
        <v>240</v>
      </c>
      <c r="P67" s="10">
        <f t="shared" si="3"/>
        <v>240</v>
      </c>
      <c r="Q67" s="10">
        <v>20</v>
      </c>
      <c r="R67" s="155">
        <f t="shared" si="4"/>
        <v>0.96857507299959522</v>
      </c>
      <c r="S67" s="171">
        <f t="shared" si="5"/>
        <v>3.4559999999999995</v>
      </c>
      <c r="X67" s="155" t="str">
        <f t="shared" si="0"/>
        <v/>
      </c>
      <c r="Y67" s="171" t="str">
        <f t="shared" si="1"/>
        <v/>
      </c>
      <c r="AB67" s="149">
        <v>80</v>
      </c>
      <c r="AT67" s="149">
        <v>160</v>
      </c>
      <c r="AU67" s="149">
        <v>160</v>
      </c>
      <c r="AV67" s="149">
        <v>160</v>
      </c>
      <c r="AY67" s="149">
        <v>160</v>
      </c>
      <c r="BE67" s="149">
        <v>150</v>
      </c>
      <c r="BI67" s="149">
        <v>70</v>
      </c>
      <c r="BJ67" s="149">
        <v>70</v>
      </c>
      <c r="BK67" s="149">
        <v>70</v>
      </c>
      <c r="BL67" s="149">
        <v>150</v>
      </c>
      <c r="BM67" s="105"/>
      <c r="BN67" s="149">
        <v>70</v>
      </c>
      <c r="BP67" s="149">
        <v>70</v>
      </c>
      <c r="DH67" s="149">
        <v>70</v>
      </c>
      <c r="DI67" s="149">
        <v>70</v>
      </c>
      <c r="DJ67" s="149">
        <v>70</v>
      </c>
      <c r="DK67" s="152">
        <v>140</v>
      </c>
      <c r="DM67" s="149">
        <v>70</v>
      </c>
    </row>
    <row r="68" spans="1:117" x14ac:dyDescent="0.15">
      <c r="A68" s="11">
        <f t="shared" si="6"/>
        <v>60030224</v>
      </c>
      <c r="B68" s="13">
        <v>6</v>
      </c>
      <c r="C68" s="12">
        <v>0</v>
      </c>
      <c r="D68" s="13">
        <v>3</v>
      </c>
      <c r="E68" s="13">
        <v>2</v>
      </c>
      <c r="F68" s="12">
        <v>24</v>
      </c>
      <c r="G68" s="55" t="s">
        <v>953</v>
      </c>
      <c r="H68" s="55">
        <v>5</v>
      </c>
      <c r="I68" s="55" t="s">
        <v>1042</v>
      </c>
      <c r="J68" s="55" t="s">
        <v>1055</v>
      </c>
      <c r="L68" s="158">
        <v>120</v>
      </c>
      <c r="N68" s="55" t="s">
        <v>1312</v>
      </c>
      <c r="O68" s="55">
        <v>120</v>
      </c>
      <c r="P68" s="10">
        <f t="shared" si="3"/>
        <v>120</v>
      </c>
      <c r="Q68" s="10">
        <v>10</v>
      </c>
      <c r="R68" s="155">
        <f t="shared" si="4"/>
        <v>0.82254489474286463</v>
      </c>
      <c r="S68" s="171">
        <f t="shared" si="5"/>
        <v>1.7279999999999998</v>
      </c>
      <c r="X68" s="155" t="str">
        <f t="shared" si="0"/>
        <v/>
      </c>
      <c r="Y68" s="171" t="str">
        <f t="shared" si="1"/>
        <v/>
      </c>
      <c r="AB68" s="149">
        <v>70</v>
      </c>
      <c r="AT68" s="149">
        <v>200</v>
      </c>
      <c r="AU68" s="149">
        <v>200</v>
      </c>
      <c r="AV68" s="149">
        <v>200</v>
      </c>
      <c r="AY68" s="149">
        <v>200</v>
      </c>
      <c r="BE68" s="149">
        <v>180</v>
      </c>
      <c r="BI68" s="149">
        <v>50</v>
      </c>
      <c r="BJ68" s="149">
        <v>50</v>
      </c>
      <c r="BK68" s="149">
        <v>50</v>
      </c>
      <c r="BL68" s="149">
        <v>200</v>
      </c>
      <c r="BN68" s="149">
        <v>50</v>
      </c>
      <c r="BP68" s="149">
        <v>50</v>
      </c>
      <c r="DH68" s="149">
        <v>50</v>
      </c>
      <c r="DI68" s="149">
        <v>50</v>
      </c>
      <c r="DJ68" s="149">
        <v>50</v>
      </c>
      <c r="DK68" s="152">
        <v>150</v>
      </c>
      <c r="DM68" s="149">
        <v>50</v>
      </c>
    </row>
    <row r="69" spans="1:117" x14ac:dyDescent="0.15">
      <c r="A69" s="11">
        <f t="shared" si="6"/>
        <v>60030025</v>
      </c>
      <c r="B69" s="13">
        <v>6</v>
      </c>
      <c r="C69" s="12">
        <v>0</v>
      </c>
      <c r="D69" s="13">
        <v>3</v>
      </c>
      <c r="E69" s="13">
        <v>0</v>
      </c>
      <c r="F69" s="12">
        <v>25</v>
      </c>
      <c r="G69" s="91"/>
      <c r="O69" s="55">
        <v>0</v>
      </c>
      <c r="P69" s="10">
        <f t="shared" si="3"/>
        <v>0</v>
      </c>
      <c r="R69" s="155" t="str">
        <f t="shared" si="4"/>
        <v/>
      </c>
      <c r="S69" s="171" t="str">
        <f t="shared" si="5"/>
        <v/>
      </c>
      <c r="X69" s="155" t="str">
        <f t="shared" ref="X69:X84" si="7">IF((1-(1-U69/100000)^L69)=0,"",1-(1-U69/100000)^L69)</f>
        <v/>
      </c>
      <c r="Y69" s="171" t="str">
        <f t="shared" si="1"/>
        <v/>
      </c>
    </row>
    <row r="70" spans="1:117" x14ac:dyDescent="0.15">
      <c r="A70" s="11">
        <f t="shared" si="6"/>
        <v>60030026</v>
      </c>
      <c r="B70" s="13">
        <v>6</v>
      </c>
      <c r="C70" s="12">
        <v>0</v>
      </c>
      <c r="D70" s="13">
        <v>3</v>
      </c>
      <c r="E70" s="13">
        <v>0</v>
      </c>
      <c r="F70" s="12">
        <v>26</v>
      </c>
      <c r="G70" s="91"/>
      <c r="O70" s="55">
        <v>0</v>
      </c>
      <c r="P70" s="10">
        <f t="shared" ref="P70:P133" si="8">Q70*12</f>
        <v>0</v>
      </c>
      <c r="R70" s="155" t="str">
        <f t="shared" ref="R70:R133" si="9">IF((1-(1-O70/100000)^1440)=0,"",1-(1-O70/100000)^1440)</f>
        <v/>
      </c>
      <c r="S70" s="171" t="str">
        <f t="shared" ref="S70:S133" si="10">IF((O70/100000)*1440=0,"",(O70/100000)*1440)</f>
        <v/>
      </c>
      <c r="X70" s="155" t="str">
        <f t="shared" si="7"/>
        <v/>
      </c>
      <c r="Y70" s="171" t="str">
        <f t="shared" ref="Y70:Y84" si="11">IF((U70/100000)*L70=0,"",(U70/100000)*L70)</f>
        <v/>
      </c>
    </row>
    <row r="71" spans="1:117" x14ac:dyDescent="0.15">
      <c r="A71" s="11">
        <f t="shared" si="6"/>
        <v>60030027</v>
      </c>
      <c r="B71" s="13">
        <v>6</v>
      </c>
      <c r="C71" s="12">
        <v>0</v>
      </c>
      <c r="D71" s="13">
        <v>3</v>
      </c>
      <c r="E71" s="13">
        <v>0</v>
      </c>
      <c r="F71" s="12">
        <v>27</v>
      </c>
      <c r="G71" s="91"/>
      <c r="O71" s="55">
        <v>0</v>
      </c>
      <c r="P71" s="10">
        <f t="shared" si="8"/>
        <v>0</v>
      </c>
      <c r="R71" s="155" t="str">
        <f t="shared" si="9"/>
        <v/>
      </c>
      <c r="S71" s="171" t="str">
        <f t="shared" si="10"/>
        <v/>
      </c>
      <c r="X71" s="155" t="str">
        <f t="shared" si="7"/>
        <v/>
      </c>
      <c r="Y71" s="171" t="str">
        <f t="shared" si="11"/>
        <v/>
      </c>
    </row>
    <row r="72" spans="1:117" x14ac:dyDescent="0.15">
      <c r="A72" s="11">
        <f t="shared" si="6"/>
        <v>60030028</v>
      </c>
      <c r="B72" s="13">
        <v>6</v>
      </c>
      <c r="C72" s="12">
        <v>0</v>
      </c>
      <c r="D72" s="13">
        <v>3</v>
      </c>
      <c r="E72" s="13">
        <v>0</v>
      </c>
      <c r="F72" s="12">
        <v>28</v>
      </c>
      <c r="O72" s="55">
        <v>0</v>
      </c>
      <c r="P72" s="10">
        <f t="shared" si="8"/>
        <v>0</v>
      </c>
      <c r="R72" s="155" t="str">
        <f t="shared" si="9"/>
        <v/>
      </c>
      <c r="S72" s="171" t="str">
        <f t="shared" si="10"/>
        <v/>
      </c>
      <c r="X72" s="155" t="str">
        <f t="shared" si="7"/>
        <v/>
      </c>
      <c r="Y72" s="171" t="str">
        <f t="shared" si="11"/>
        <v/>
      </c>
    </row>
    <row r="73" spans="1:117" x14ac:dyDescent="0.15">
      <c r="A73" s="11">
        <f t="shared" si="6"/>
        <v>60030029</v>
      </c>
      <c r="B73" s="13">
        <v>6</v>
      </c>
      <c r="C73" s="12">
        <v>0</v>
      </c>
      <c r="D73" s="13">
        <v>3</v>
      </c>
      <c r="E73" s="13">
        <v>0</v>
      </c>
      <c r="F73" s="12">
        <v>29</v>
      </c>
      <c r="O73" s="55">
        <v>0</v>
      </c>
      <c r="P73" s="10">
        <f t="shared" si="8"/>
        <v>0</v>
      </c>
      <c r="R73" s="155" t="str">
        <f t="shared" si="9"/>
        <v/>
      </c>
      <c r="S73" s="171" t="str">
        <f t="shared" si="10"/>
        <v/>
      </c>
      <c r="X73" s="155" t="str">
        <f t="shared" si="7"/>
        <v/>
      </c>
      <c r="Y73" s="171" t="str">
        <f t="shared" si="11"/>
        <v/>
      </c>
    </row>
    <row r="74" spans="1:117" x14ac:dyDescent="0.15">
      <c r="A74" s="11">
        <f t="shared" si="6"/>
        <v>60030030</v>
      </c>
      <c r="B74" s="13">
        <v>6</v>
      </c>
      <c r="C74" s="12">
        <v>0</v>
      </c>
      <c r="D74" s="13">
        <v>3</v>
      </c>
      <c r="E74" s="13">
        <v>0</v>
      </c>
      <c r="F74" s="12">
        <v>30</v>
      </c>
      <c r="O74" s="55">
        <v>0</v>
      </c>
      <c r="P74" s="10">
        <f t="shared" si="8"/>
        <v>0</v>
      </c>
      <c r="R74" s="155" t="str">
        <f t="shared" si="9"/>
        <v/>
      </c>
      <c r="S74" s="171" t="str">
        <f t="shared" si="10"/>
        <v/>
      </c>
      <c r="X74" s="155" t="str">
        <f t="shared" si="7"/>
        <v/>
      </c>
      <c r="Y74" s="171" t="str">
        <f t="shared" si="11"/>
        <v/>
      </c>
    </row>
    <row r="75" spans="1:117" s="93" customFormat="1" x14ac:dyDescent="0.15">
      <c r="A75" s="11">
        <f t="shared" si="6"/>
        <v>60030031</v>
      </c>
      <c r="B75" s="13">
        <v>6</v>
      </c>
      <c r="C75" s="12">
        <v>0</v>
      </c>
      <c r="D75" s="13">
        <v>3</v>
      </c>
      <c r="E75" s="13">
        <v>0</v>
      </c>
      <c r="F75" s="12">
        <v>31</v>
      </c>
      <c r="G75" s="55"/>
      <c r="H75" s="55"/>
      <c r="I75" s="55"/>
      <c r="J75" s="55"/>
      <c r="K75" s="55"/>
      <c r="L75" s="158"/>
      <c r="M75" s="10"/>
      <c r="N75" s="55"/>
      <c r="O75" s="55">
        <v>0</v>
      </c>
      <c r="P75" s="10">
        <f t="shared" si="8"/>
        <v>0</v>
      </c>
      <c r="Q75" s="10"/>
      <c r="R75" s="155" t="str">
        <f t="shared" si="9"/>
        <v/>
      </c>
      <c r="S75" s="171" t="str">
        <f t="shared" si="10"/>
        <v/>
      </c>
      <c r="T75" s="161"/>
      <c r="U75" s="55"/>
      <c r="V75" s="55"/>
      <c r="W75" s="55"/>
      <c r="X75" s="155" t="str">
        <f t="shared" si="7"/>
        <v/>
      </c>
      <c r="Y75" s="171" t="str">
        <f t="shared" si="11"/>
        <v/>
      </c>
      <c r="Z75" s="165"/>
      <c r="AA75" s="10"/>
      <c r="AB75" s="55"/>
      <c r="AC75" s="55"/>
      <c r="AD75" s="55"/>
      <c r="AE75" s="55"/>
      <c r="AF75" s="55"/>
      <c r="AG75" s="167"/>
      <c r="AH75" s="55"/>
      <c r="AI75" s="55"/>
      <c r="AJ75" s="165"/>
      <c r="AK75" s="55"/>
      <c r="AL75" s="55"/>
      <c r="AM75" s="55"/>
      <c r="AN75" s="55"/>
      <c r="AO75" s="55"/>
      <c r="AP75" s="55"/>
      <c r="AQ75" s="55"/>
      <c r="AR75" s="55"/>
      <c r="AS75" s="165"/>
      <c r="AT75" s="55"/>
      <c r="AU75" s="55"/>
      <c r="AV75" s="55"/>
      <c r="AW75" s="55"/>
      <c r="AX75" s="55"/>
      <c r="AY75" s="55"/>
      <c r="AZ75" s="55"/>
      <c r="BA75" s="55"/>
      <c r="BB75" s="165"/>
      <c r="BC75" s="55"/>
      <c r="BD75" s="55"/>
      <c r="BE75" s="55"/>
      <c r="BF75" s="165"/>
      <c r="BG75" s="55"/>
      <c r="BH75" s="10"/>
      <c r="BI75" s="55"/>
      <c r="BJ75" s="55"/>
      <c r="BK75" s="55"/>
      <c r="BL75" s="55"/>
      <c r="BT75" s="141"/>
      <c r="CN75" s="141"/>
      <c r="DG75" s="141"/>
    </row>
    <row r="76" spans="1:117" s="93" customFormat="1" x14ac:dyDescent="0.15">
      <c r="A76" s="11">
        <f t="shared" si="6"/>
        <v>60030032</v>
      </c>
      <c r="B76" s="13">
        <v>6</v>
      </c>
      <c r="C76" s="12">
        <v>0</v>
      </c>
      <c r="D76" s="13">
        <v>3</v>
      </c>
      <c r="E76" s="13">
        <v>0</v>
      </c>
      <c r="F76" s="12">
        <v>32</v>
      </c>
      <c r="G76" s="55"/>
      <c r="H76" s="55"/>
      <c r="I76" s="55"/>
      <c r="J76" s="55"/>
      <c r="K76" s="55"/>
      <c r="L76" s="158"/>
      <c r="M76" s="10"/>
      <c r="N76" s="55"/>
      <c r="O76" s="55">
        <v>0</v>
      </c>
      <c r="P76" s="10">
        <f t="shared" si="8"/>
        <v>0</v>
      </c>
      <c r="Q76" s="10"/>
      <c r="R76" s="155" t="str">
        <f t="shared" si="9"/>
        <v/>
      </c>
      <c r="S76" s="171" t="str">
        <f t="shared" si="10"/>
        <v/>
      </c>
      <c r="T76" s="161"/>
      <c r="U76" s="55"/>
      <c r="V76" s="55"/>
      <c r="W76" s="55"/>
      <c r="X76" s="155" t="str">
        <f t="shared" si="7"/>
        <v/>
      </c>
      <c r="Y76" s="171" t="str">
        <f t="shared" si="11"/>
        <v/>
      </c>
      <c r="Z76" s="165"/>
      <c r="AA76" s="10"/>
      <c r="AB76" s="55"/>
      <c r="AC76" s="55"/>
      <c r="AD76" s="55"/>
      <c r="AE76" s="55"/>
      <c r="AF76" s="55"/>
      <c r="AG76" s="167"/>
      <c r="AH76" s="55"/>
      <c r="AI76" s="55"/>
      <c r="AJ76" s="165"/>
      <c r="AK76" s="55"/>
      <c r="AL76" s="55"/>
      <c r="AM76" s="55"/>
      <c r="AN76" s="55"/>
      <c r="AO76" s="55"/>
      <c r="AP76" s="55"/>
      <c r="AQ76" s="55"/>
      <c r="AR76" s="55"/>
      <c r="AS76" s="165"/>
      <c r="AT76" s="55"/>
      <c r="AU76" s="55"/>
      <c r="AV76" s="55"/>
      <c r="AW76" s="55"/>
      <c r="AX76" s="55"/>
      <c r="AY76" s="55"/>
      <c r="AZ76" s="55"/>
      <c r="BA76" s="55"/>
      <c r="BB76" s="165"/>
      <c r="BC76" s="55"/>
      <c r="BD76" s="55"/>
      <c r="BE76" s="55"/>
      <c r="BF76" s="165"/>
      <c r="BG76" s="55"/>
      <c r="BH76" s="10"/>
      <c r="BI76" s="55"/>
      <c r="BJ76" s="55"/>
      <c r="BK76" s="55"/>
      <c r="BL76" s="55"/>
      <c r="BT76" s="141"/>
      <c r="CN76" s="141"/>
      <c r="DG76" s="141"/>
    </row>
    <row r="77" spans="1:117" s="93" customFormat="1" x14ac:dyDescent="0.15">
      <c r="A77" s="11">
        <f t="shared" si="6"/>
        <v>60030033</v>
      </c>
      <c r="B77" s="13">
        <v>6</v>
      </c>
      <c r="C77" s="12">
        <v>0</v>
      </c>
      <c r="D77" s="13">
        <v>3</v>
      </c>
      <c r="E77" s="13">
        <v>0</v>
      </c>
      <c r="F77" s="12">
        <v>33</v>
      </c>
      <c r="G77" s="55"/>
      <c r="H77" s="55"/>
      <c r="I77" s="55"/>
      <c r="J77" s="55"/>
      <c r="K77" s="55"/>
      <c r="L77" s="158"/>
      <c r="M77" s="10"/>
      <c r="N77" s="55"/>
      <c r="O77" s="55">
        <v>0</v>
      </c>
      <c r="P77" s="10">
        <f t="shared" si="8"/>
        <v>0</v>
      </c>
      <c r="Q77" s="10"/>
      <c r="R77" s="155" t="str">
        <f t="shared" si="9"/>
        <v/>
      </c>
      <c r="S77" s="171" t="str">
        <f t="shared" si="10"/>
        <v/>
      </c>
      <c r="T77" s="161"/>
      <c r="U77" s="55"/>
      <c r="V77" s="55"/>
      <c r="W77" s="55"/>
      <c r="X77" s="155" t="str">
        <f t="shared" si="7"/>
        <v/>
      </c>
      <c r="Y77" s="171" t="str">
        <f t="shared" si="11"/>
        <v/>
      </c>
      <c r="Z77" s="165"/>
      <c r="AA77" s="10"/>
      <c r="AB77" s="55"/>
      <c r="AC77" s="55"/>
      <c r="AD77" s="55"/>
      <c r="AE77" s="55"/>
      <c r="AF77" s="55"/>
      <c r="AG77" s="167"/>
      <c r="AH77" s="55"/>
      <c r="AI77" s="55"/>
      <c r="AJ77" s="165"/>
      <c r="AK77" s="55"/>
      <c r="AL77" s="55"/>
      <c r="AM77" s="55"/>
      <c r="AN77" s="55"/>
      <c r="AO77" s="55"/>
      <c r="AP77" s="55"/>
      <c r="AQ77" s="55"/>
      <c r="AR77" s="55"/>
      <c r="AS77" s="165"/>
      <c r="AT77" s="55"/>
      <c r="AU77" s="55"/>
      <c r="AV77" s="55"/>
      <c r="AW77" s="55"/>
      <c r="AX77" s="55"/>
      <c r="AY77" s="55"/>
      <c r="AZ77" s="55"/>
      <c r="BA77" s="55"/>
      <c r="BB77" s="165"/>
      <c r="BC77" s="55"/>
      <c r="BD77" s="55"/>
      <c r="BE77" s="55"/>
      <c r="BF77" s="165"/>
      <c r="BG77" s="55"/>
      <c r="BH77" s="10"/>
      <c r="BI77" s="55"/>
      <c r="BJ77" s="55"/>
      <c r="BK77" s="55"/>
      <c r="BL77" s="55"/>
      <c r="BT77" s="141"/>
      <c r="CN77" s="141"/>
      <c r="DG77" s="141"/>
    </row>
    <row r="78" spans="1:117" s="93" customFormat="1" x14ac:dyDescent="0.15">
      <c r="A78" s="11">
        <f t="shared" si="6"/>
        <v>60030034</v>
      </c>
      <c r="B78" s="13">
        <v>6</v>
      </c>
      <c r="C78" s="12">
        <v>0</v>
      </c>
      <c r="D78" s="13">
        <v>3</v>
      </c>
      <c r="E78" s="13">
        <v>0</v>
      </c>
      <c r="F78" s="12">
        <v>34</v>
      </c>
      <c r="G78" s="55"/>
      <c r="H78" s="55"/>
      <c r="I78" s="55"/>
      <c r="J78" s="55"/>
      <c r="K78" s="55"/>
      <c r="L78" s="158"/>
      <c r="M78" s="10"/>
      <c r="N78" s="55"/>
      <c r="O78" s="55">
        <v>0</v>
      </c>
      <c r="P78" s="10">
        <f t="shared" si="8"/>
        <v>0</v>
      </c>
      <c r="Q78" s="10"/>
      <c r="R78" s="155" t="str">
        <f t="shared" si="9"/>
        <v/>
      </c>
      <c r="S78" s="171" t="str">
        <f t="shared" si="10"/>
        <v/>
      </c>
      <c r="T78" s="161"/>
      <c r="U78" s="55"/>
      <c r="V78" s="55"/>
      <c r="W78" s="55"/>
      <c r="X78" s="155" t="str">
        <f t="shared" si="7"/>
        <v/>
      </c>
      <c r="Y78" s="171" t="str">
        <f t="shared" si="11"/>
        <v/>
      </c>
      <c r="Z78" s="165"/>
      <c r="AA78" s="10"/>
      <c r="AB78" s="55"/>
      <c r="AC78" s="55"/>
      <c r="AD78" s="55"/>
      <c r="AE78" s="55"/>
      <c r="AF78" s="55"/>
      <c r="AG78" s="167"/>
      <c r="AH78" s="55"/>
      <c r="AI78" s="55"/>
      <c r="AJ78" s="165"/>
      <c r="AK78" s="55"/>
      <c r="AL78" s="55"/>
      <c r="AM78" s="55"/>
      <c r="AN78" s="55"/>
      <c r="AO78" s="55"/>
      <c r="AP78" s="55"/>
      <c r="AQ78" s="55"/>
      <c r="AR78" s="55"/>
      <c r="AS78" s="165"/>
      <c r="AT78" s="55"/>
      <c r="AU78" s="55"/>
      <c r="AV78" s="55"/>
      <c r="AW78" s="55"/>
      <c r="AX78" s="55"/>
      <c r="AY78" s="55"/>
      <c r="AZ78" s="55"/>
      <c r="BA78" s="55"/>
      <c r="BB78" s="165"/>
      <c r="BC78" s="55"/>
      <c r="BD78" s="55"/>
      <c r="BE78" s="55"/>
      <c r="BF78" s="165"/>
      <c r="BG78" s="55"/>
      <c r="BH78" s="10"/>
      <c r="BI78" s="55"/>
      <c r="BJ78" s="55"/>
      <c r="BK78" s="55"/>
      <c r="BL78" s="55"/>
      <c r="BT78" s="141"/>
      <c r="CN78" s="141"/>
      <c r="DG78" s="141"/>
    </row>
    <row r="79" spans="1:117" s="93" customFormat="1" x14ac:dyDescent="0.15">
      <c r="A79" s="11">
        <f t="shared" si="6"/>
        <v>60030035</v>
      </c>
      <c r="B79" s="13">
        <v>6</v>
      </c>
      <c r="C79" s="12">
        <v>0</v>
      </c>
      <c r="D79" s="13">
        <v>3</v>
      </c>
      <c r="E79" s="13">
        <v>0</v>
      </c>
      <c r="F79" s="12">
        <v>35</v>
      </c>
      <c r="G79" s="55"/>
      <c r="H79" s="55"/>
      <c r="I79" s="55"/>
      <c r="J79" s="55"/>
      <c r="K79" s="55"/>
      <c r="L79" s="158"/>
      <c r="M79" s="10"/>
      <c r="N79" s="55"/>
      <c r="O79" s="55">
        <v>0</v>
      </c>
      <c r="P79" s="10">
        <f t="shared" si="8"/>
        <v>0</v>
      </c>
      <c r="Q79" s="10"/>
      <c r="R79" s="155" t="str">
        <f t="shared" si="9"/>
        <v/>
      </c>
      <c r="S79" s="171" t="str">
        <f t="shared" si="10"/>
        <v/>
      </c>
      <c r="T79" s="161"/>
      <c r="U79" s="55"/>
      <c r="V79" s="55"/>
      <c r="W79" s="55"/>
      <c r="X79" s="155" t="str">
        <f t="shared" si="7"/>
        <v/>
      </c>
      <c r="Y79" s="171" t="str">
        <f t="shared" si="11"/>
        <v/>
      </c>
      <c r="Z79" s="165"/>
      <c r="AA79" s="10"/>
      <c r="AB79" s="55"/>
      <c r="AC79" s="55"/>
      <c r="AD79" s="55"/>
      <c r="AE79" s="55"/>
      <c r="AF79" s="55"/>
      <c r="AG79" s="167"/>
      <c r="AH79" s="55"/>
      <c r="AI79" s="55"/>
      <c r="AJ79" s="165"/>
      <c r="AK79" s="55"/>
      <c r="AL79" s="55"/>
      <c r="AM79" s="55"/>
      <c r="AN79" s="55"/>
      <c r="AO79" s="55"/>
      <c r="AP79" s="55"/>
      <c r="AQ79" s="55"/>
      <c r="AR79" s="55"/>
      <c r="AS79" s="165"/>
      <c r="AT79" s="55"/>
      <c r="AU79" s="55"/>
      <c r="AV79" s="55"/>
      <c r="AW79" s="55"/>
      <c r="AX79" s="55"/>
      <c r="AY79" s="55"/>
      <c r="AZ79" s="55"/>
      <c r="BA79" s="55"/>
      <c r="BB79" s="165"/>
      <c r="BC79" s="55"/>
      <c r="BD79" s="55"/>
      <c r="BE79" s="55"/>
      <c r="BF79" s="165"/>
      <c r="BG79" s="55"/>
      <c r="BH79" s="10"/>
      <c r="BI79" s="55"/>
      <c r="BJ79" s="55"/>
      <c r="BK79" s="55"/>
      <c r="BL79" s="55"/>
      <c r="BT79" s="141"/>
      <c r="CN79" s="141"/>
      <c r="DG79" s="141"/>
    </row>
    <row r="80" spans="1:117" s="93" customFormat="1" x14ac:dyDescent="0.15">
      <c r="A80" s="11">
        <f t="shared" si="6"/>
        <v>60030036</v>
      </c>
      <c r="B80" s="13">
        <v>6</v>
      </c>
      <c r="C80" s="12">
        <v>0</v>
      </c>
      <c r="D80" s="13">
        <v>3</v>
      </c>
      <c r="E80" s="13">
        <v>0</v>
      </c>
      <c r="F80" s="12">
        <v>36</v>
      </c>
      <c r="G80" s="55"/>
      <c r="H80" s="55"/>
      <c r="I80" s="55"/>
      <c r="J80" s="55"/>
      <c r="K80" s="55"/>
      <c r="L80" s="158"/>
      <c r="M80" s="10"/>
      <c r="N80" s="55"/>
      <c r="O80" s="55">
        <v>0</v>
      </c>
      <c r="P80" s="10">
        <f t="shared" si="8"/>
        <v>0</v>
      </c>
      <c r="Q80" s="10"/>
      <c r="R80" s="155" t="str">
        <f t="shared" si="9"/>
        <v/>
      </c>
      <c r="S80" s="171" t="str">
        <f t="shared" si="10"/>
        <v/>
      </c>
      <c r="T80" s="161"/>
      <c r="U80" s="55"/>
      <c r="V80" s="55"/>
      <c r="W80" s="55"/>
      <c r="X80" s="155" t="str">
        <f t="shared" si="7"/>
        <v/>
      </c>
      <c r="Y80" s="171" t="str">
        <f t="shared" si="11"/>
        <v/>
      </c>
      <c r="Z80" s="165"/>
      <c r="AA80" s="10"/>
      <c r="AB80" s="55"/>
      <c r="AC80" s="55"/>
      <c r="AD80" s="55"/>
      <c r="AE80" s="55"/>
      <c r="AF80" s="55"/>
      <c r="AG80" s="167"/>
      <c r="AH80" s="55"/>
      <c r="AI80" s="55"/>
      <c r="AJ80" s="165"/>
      <c r="AK80" s="55"/>
      <c r="AL80" s="55"/>
      <c r="AM80" s="55"/>
      <c r="AN80" s="55"/>
      <c r="AO80" s="55"/>
      <c r="AP80" s="55"/>
      <c r="AQ80" s="55"/>
      <c r="AR80" s="55"/>
      <c r="AS80" s="165"/>
      <c r="AT80" s="55"/>
      <c r="AU80" s="55"/>
      <c r="AV80" s="55"/>
      <c r="AW80" s="55"/>
      <c r="AX80" s="55"/>
      <c r="AY80" s="55"/>
      <c r="AZ80" s="55"/>
      <c r="BA80" s="55"/>
      <c r="BB80" s="165"/>
      <c r="BC80" s="55"/>
      <c r="BD80" s="55"/>
      <c r="BE80" s="55"/>
      <c r="BF80" s="165"/>
      <c r="BG80" s="55"/>
      <c r="BH80" s="10"/>
      <c r="BI80" s="55"/>
      <c r="BJ80" s="55"/>
      <c r="BK80" s="55"/>
      <c r="BL80" s="55"/>
      <c r="BT80" s="141"/>
      <c r="CN80" s="141"/>
      <c r="DG80" s="141"/>
    </row>
    <row r="81" spans="1:114" s="93" customFormat="1" x14ac:dyDescent="0.15">
      <c r="A81" s="11">
        <f t="shared" si="6"/>
        <v>60030037</v>
      </c>
      <c r="B81" s="13">
        <v>6</v>
      </c>
      <c r="C81" s="12">
        <v>0</v>
      </c>
      <c r="D81" s="13">
        <v>3</v>
      </c>
      <c r="E81" s="13">
        <v>0</v>
      </c>
      <c r="F81" s="12">
        <v>37</v>
      </c>
      <c r="G81" s="55"/>
      <c r="H81" s="55"/>
      <c r="I81" s="55"/>
      <c r="J81" s="55"/>
      <c r="K81" s="55"/>
      <c r="L81" s="158"/>
      <c r="M81" s="10"/>
      <c r="N81" s="55"/>
      <c r="O81" s="55">
        <v>0</v>
      </c>
      <c r="P81" s="10">
        <f t="shared" si="8"/>
        <v>0</v>
      </c>
      <c r="Q81" s="10"/>
      <c r="R81" s="155" t="str">
        <f t="shared" si="9"/>
        <v/>
      </c>
      <c r="S81" s="171" t="str">
        <f t="shared" si="10"/>
        <v/>
      </c>
      <c r="T81" s="161"/>
      <c r="U81" s="55"/>
      <c r="V81" s="55"/>
      <c r="W81" s="55"/>
      <c r="X81" s="155" t="str">
        <f t="shared" si="7"/>
        <v/>
      </c>
      <c r="Y81" s="171" t="str">
        <f t="shared" si="11"/>
        <v/>
      </c>
      <c r="Z81" s="165"/>
      <c r="AA81" s="10"/>
      <c r="AB81" s="55"/>
      <c r="AC81" s="55"/>
      <c r="AD81" s="55"/>
      <c r="AE81" s="55"/>
      <c r="AF81" s="55"/>
      <c r="AG81" s="167"/>
      <c r="AH81" s="55"/>
      <c r="AI81" s="55"/>
      <c r="AJ81" s="165"/>
      <c r="AK81" s="55"/>
      <c r="AL81" s="55"/>
      <c r="AM81" s="55"/>
      <c r="AN81" s="55"/>
      <c r="AO81" s="55"/>
      <c r="AP81" s="55"/>
      <c r="AQ81" s="55"/>
      <c r="AR81" s="55"/>
      <c r="AS81" s="165"/>
      <c r="AT81" s="55"/>
      <c r="AU81" s="55"/>
      <c r="AV81" s="55"/>
      <c r="AW81" s="55"/>
      <c r="AX81" s="55"/>
      <c r="AY81" s="55"/>
      <c r="AZ81" s="55"/>
      <c r="BA81" s="55"/>
      <c r="BB81" s="165"/>
      <c r="BC81" s="55"/>
      <c r="BD81" s="55"/>
      <c r="BE81" s="55"/>
      <c r="BF81" s="165"/>
      <c r="BG81" s="55"/>
      <c r="BH81" s="10"/>
      <c r="BI81" s="55"/>
      <c r="BJ81" s="55"/>
      <c r="BK81" s="55"/>
      <c r="BL81" s="55"/>
      <c r="BT81" s="141"/>
      <c r="CN81" s="141"/>
      <c r="DG81" s="141"/>
    </row>
    <row r="82" spans="1:114" s="93" customFormat="1" x14ac:dyDescent="0.15">
      <c r="A82" s="11">
        <f t="shared" si="6"/>
        <v>60030038</v>
      </c>
      <c r="B82" s="13">
        <v>6</v>
      </c>
      <c r="C82" s="12">
        <v>0</v>
      </c>
      <c r="D82" s="13">
        <v>3</v>
      </c>
      <c r="E82" s="13">
        <v>0</v>
      </c>
      <c r="F82" s="12">
        <v>38</v>
      </c>
      <c r="G82" s="55"/>
      <c r="H82" s="55"/>
      <c r="I82" s="55"/>
      <c r="J82" s="55"/>
      <c r="K82" s="55"/>
      <c r="L82" s="158"/>
      <c r="M82" s="10"/>
      <c r="N82" s="55"/>
      <c r="O82" s="55">
        <v>0</v>
      </c>
      <c r="P82" s="10">
        <f t="shared" si="8"/>
        <v>0</v>
      </c>
      <c r="Q82" s="10"/>
      <c r="R82" s="155" t="str">
        <f t="shared" si="9"/>
        <v/>
      </c>
      <c r="S82" s="171" t="str">
        <f t="shared" si="10"/>
        <v/>
      </c>
      <c r="T82" s="161"/>
      <c r="U82" s="55"/>
      <c r="V82" s="55"/>
      <c r="W82" s="55"/>
      <c r="X82" s="155" t="str">
        <f t="shared" si="7"/>
        <v/>
      </c>
      <c r="Y82" s="171" t="str">
        <f t="shared" si="11"/>
        <v/>
      </c>
      <c r="Z82" s="165"/>
      <c r="AA82" s="10"/>
      <c r="AB82" s="55"/>
      <c r="AC82" s="55"/>
      <c r="AD82" s="55"/>
      <c r="AE82" s="55"/>
      <c r="AF82" s="55"/>
      <c r="AG82" s="167"/>
      <c r="AH82" s="55"/>
      <c r="AI82" s="55"/>
      <c r="AJ82" s="165"/>
      <c r="AK82" s="55"/>
      <c r="AL82" s="55"/>
      <c r="AM82" s="55"/>
      <c r="AN82" s="55"/>
      <c r="AO82" s="55"/>
      <c r="AP82" s="55"/>
      <c r="AQ82" s="55"/>
      <c r="AR82" s="55"/>
      <c r="AS82" s="165"/>
      <c r="AT82" s="55"/>
      <c r="AU82" s="55"/>
      <c r="AV82" s="55"/>
      <c r="AW82" s="55"/>
      <c r="AX82" s="55"/>
      <c r="AY82" s="55"/>
      <c r="AZ82" s="55"/>
      <c r="BA82" s="55"/>
      <c r="BB82" s="165"/>
      <c r="BC82" s="55"/>
      <c r="BD82" s="55"/>
      <c r="BE82" s="55"/>
      <c r="BF82" s="165"/>
      <c r="BG82" s="55"/>
      <c r="BH82" s="10"/>
      <c r="BI82" s="55"/>
      <c r="BJ82" s="55"/>
      <c r="BK82" s="55"/>
      <c r="BL82" s="55"/>
      <c r="BT82" s="141"/>
      <c r="CN82" s="141"/>
      <c r="DG82" s="141"/>
    </row>
    <row r="83" spans="1:114" s="93" customFormat="1" x14ac:dyDescent="0.15">
      <c r="A83" s="11">
        <f t="shared" si="6"/>
        <v>60030039</v>
      </c>
      <c r="B83" s="13">
        <v>6</v>
      </c>
      <c r="C83" s="12">
        <v>0</v>
      </c>
      <c r="D83" s="13">
        <v>3</v>
      </c>
      <c r="E83" s="13">
        <v>0</v>
      </c>
      <c r="F83" s="12">
        <v>39</v>
      </c>
      <c r="G83" s="55"/>
      <c r="H83" s="55"/>
      <c r="I83" s="55"/>
      <c r="J83" s="55"/>
      <c r="K83" s="55"/>
      <c r="L83" s="158"/>
      <c r="M83" s="10"/>
      <c r="N83" s="55"/>
      <c r="O83" s="55">
        <v>0</v>
      </c>
      <c r="P83" s="10">
        <f t="shared" si="8"/>
        <v>0</v>
      </c>
      <c r="Q83" s="10"/>
      <c r="R83" s="155" t="str">
        <f t="shared" si="9"/>
        <v/>
      </c>
      <c r="S83" s="171" t="str">
        <f t="shared" si="10"/>
        <v/>
      </c>
      <c r="T83" s="161"/>
      <c r="U83" s="55"/>
      <c r="V83" s="55"/>
      <c r="W83" s="55"/>
      <c r="X83" s="155" t="str">
        <f t="shared" si="7"/>
        <v/>
      </c>
      <c r="Y83" s="171" t="str">
        <f t="shared" si="11"/>
        <v/>
      </c>
      <c r="Z83" s="165"/>
      <c r="AA83" s="10"/>
      <c r="AB83" s="55"/>
      <c r="AC83" s="55"/>
      <c r="AD83" s="55"/>
      <c r="AE83" s="55"/>
      <c r="AF83" s="55"/>
      <c r="AG83" s="167"/>
      <c r="AH83" s="55"/>
      <c r="AI83" s="55"/>
      <c r="AJ83" s="165"/>
      <c r="AK83" s="55"/>
      <c r="AL83" s="55"/>
      <c r="AM83" s="55"/>
      <c r="AN83" s="55"/>
      <c r="AO83" s="55"/>
      <c r="AP83" s="55"/>
      <c r="AQ83" s="55"/>
      <c r="AR83" s="55"/>
      <c r="AS83" s="165"/>
      <c r="AT83" s="55"/>
      <c r="AU83" s="55"/>
      <c r="AV83" s="55"/>
      <c r="AW83" s="55"/>
      <c r="AX83" s="55"/>
      <c r="AY83" s="55"/>
      <c r="AZ83" s="55"/>
      <c r="BA83" s="55"/>
      <c r="BB83" s="165"/>
      <c r="BC83" s="55"/>
      <c r="BD83" s="55"/>
      <c r="BE83" s="55"/>
      <c r="BF83" s="165"/>
      <c r="BG83" s="55"/>
      <c r="BH83" s="10"/>
      <c r="BI83" s="55"/>
      <c r="BJ83" s="55"/>
      <c r="BK83" s="55"/>
      <c r="BL83" s="55"/>
      <c r="BT83" s="141"/>
      <c r="CN83" s="141"/>
      <c r="DG83" s="141"/>
    </row>
    <row r="84" spans="1:114" s="93" customFormat="1" ht="17.25" thickBot="1" x14ac:dyDescent="0.2">
      <c r="A84" s="11">
        <f t="shared" si="6"/>
        <v>60030040</v>
      </c>
      <c r="B84" s="108">
        <v>6</v>
      </c>
      <c r="C84" s="12">
        <v>0</v>
      </c>
      <c r="D84" s="108">
        <v>3</v>
      </c>
      <c r="E84" s="108">
        <v>0</v>
      </c>
      <c r="F84" s="109">
        <v>40</v>
      </c>
      <c r="G84" s="55"/>
      <c r="H84" s="55"/>
      <c r="I84" s="55"/>
      <c r="J84" s="55"/>
      <c r="K84" s="55"/>
      <c r="L84" s="158"/>
      <c r="M84" s="10"/>
      <c r="N84" s="55"/>
      <c r="O84" s="55">
        <v>0</v>
      </c>
      <c r="P84" s="10">
        <f t="shared" si="8"/>
        <v>0</v>
      </c>
      <c r="Q84" s="10"/>
      <c r="R84" s="155" t="str">
        <f t="shared" si="9"/>
        <v/>
      </c>
      <c r="S84" s="171" t="str">
        <f t="shared" si="10"/>
        <v/>
      </c>
      <c r="T84" s="161"/>
      <c r="U84" s="55"/>
      <c r="V84" s="55"/>
      <c r="W84" s="55"/>
      <c r="X84" s="155" t="str">
        <f t="shared" si="7"/>
        <v/>
      </c>
      <c r="Y84" s="171" t="str">
        <f t="shared" si="11"/>
        <v/>
      </c>
      <c r="Z84" s="165"/>
      <c r="AA84" s="10"/>
      <c r="AB84" s="55"/>
      <c r="AC84" s="55"/>
      <c r="AD84" s="55"/>
      <c r="AE84" s="55"/>
      <c r="AF84" s="55"/>
      <c r="AG84" s="167"/>
      <c r="AH84" s="55"/>
      <c r="AI84" s="55"/>
      <c r="AJ84" s="165"/>
      <c r="AK84" s="55"/>
      <c r="AL84" s="55"/>
      <c r="AM84" s="55"/>
      <c r="AN84" s="55"/>
      <c r="AO84" s="55"/>
      <c r="AP84" s="55"/>
      <c r="AQ84" s="55"/>
      <c r="AR84" s="55"/>
      <c r="AS84" s="165"/>
      <c r="AT84" s="55"/>
      <c r="AU84" s="55"/>
      <c r="AV84" s="55"/>
      <c r="AW84" s="55"/>
      <c r="AX84" s="55"/>
      <c r="AY84" s="55"/>
      <c r="AZ84" s="55"/>
      <c r="BA84" s="55"/>
      <c r="BB84" s="165"/>
      <c r="BC84" s="55"/>
      <c r="BD84" s="55"/>
      <c r="BE84" s="55"/>
      <c r="BF84" s="165"/>
      <c r="BG84" s="55"/>
      <c r="BH84" s="10"/>
      <c r="BI84" s="55"/>
      <c r="BJ84" s="55"/>
      <c r="BK84" s="55"/>
      <c r="BL84" s="55"/>
      <c r="BT84" s="141"/>
      <c r="CN84" s="141"/>
      <c r="DG84" s="141"/>
    </row>
    <row r="85" spans="1:114" s="110" customFormat="1" x14ac:dyDescent="0.15">
      <c r="A85" s="18">
        <f t="shared" si="2"/>
        <v>60040101</v>
      </c>
      <c r="B85" s="20">
        <v>6</v>
      </c>
      <c r="C85" s="19">
        <v>0</v>
      </c>
      <c r="D85" s="20">
        <v>4</v>
      </c>
      <c r="E85" s="20">
        <v>1</v>
      </c>
      <c r="F85" s="19">
        <v>1</v>
      </c>
      <c r="G85" s="56" t="s">
        <v>813</v>
      </c>
      <c r="H85" s="56">
        <v>1</v>
      </c>
      <c r="I85" s="56"/>
      <c r="J85" s="56"/>
      <c r="K85" s="56"/>
      <c r="L85" s="160">
        <v>120</v>
      </c>
      <c r="M85" s="17"/>
      <c r="N85" s="56" t="s">
        <v>1313</v>
      </c>
      <c r="O85" s="56">
        <v>0</v>
      </c>
      <c r="P85" s="17">
        <f t="shared" si="8"/>
        <v>0</v>
      </c>
      <c r="Q85" s="17">
        <v>0</v>
      </c>
      <c r="R85" s="156" t="str">
        <f t="shared" si="9"/>
        <v/>
      </c>
      <c r="S85" s="172" t="str">
        <f t="shared" si="10"/>
        <v/>
      </c>
      <c r="T85" s="164" t="s">
        <v>981</v>
      </c>
      <c r="U85" s="56">
        <v>100</v>
      </c>
      <c r="V85" s="56" t="s">
        <v>985</v>
      </c>
      <c r="W85" s="56" t="s">
        <v>986</v>
      </c>
      <c r="X85" s="156">
        <f>IF((1-(1-U85/100000)^L85)=0,"",1-(1-U85/100000)^L85)</f>
        <v>0.11313281241393525</v>
      </c>
      <c r="Y85" s="172">
        <f>IF((U85/100000)*L85=0,"",(U85/100000)*L85)</f>
        <v>0.12</v>
      </c>
      <c r="Z85" s="166"/>
      <c r="AA85" s="17"/>
      <c r="AB85" s="56"/>
      <c r="AC85" s="56"/>
      <c r="AD85" s="56"/>
      <c r="AE85" s="56"/>
      <c r="AF85" s="56"/>
      <c r="AG85" s="169"/>
      <c r="AH85" s="150">
        <v>90</v>
      </c>
      <c r="AI85" s="150">
        <v>90</v>
      </c>
      <c r="AJ85" s="166"/>
      <c r="AK85" s="56"/>
      <c r="AL85" s="56"/>
      <c r="AM85" s="56"/>
      <c r="AN85" s="56"/>
      <c r="AO85" s="56"/>
      <c r="AP85" s="56"/>
      <c r="AQ85" s="56"/>
      <c r="AR85" s="56"/>
      <c r="AS85" s="166"/>
      <c r="AT85" s="56"/>
      <c r="AU85" s="56"/>
      <c r="AV85" s="56"/>
      <c r="AW85" s="56"/>
      <c r="AX85" s="56"/>
      <c r="AY85" s="56"/>
      <c r="AZ85" s="56"/>
      <c r="BA85" s="56"/>
      <c r="BB85" s="166"/>
      <c r="BC85" s="56"/>
      <c r="BD85" s="56"/>
      <c r="BE85" s="56"/>
      <c r="BF85" s="166"/>
      <c r="BG85" s="56"/>
      <c r="BH85" s="17"/>
      <c r="BI85" s="56"/>
      <c r="BJ85" s="150">
        <v>150</v>
      </c>
      <c r="BK85" s="150">
        <v>150</v>
      </c>
      <c r="BL85" s="56"/>
      <c r="BS85" s="150">
        <v>250</v>
      </c>
      <c r="BT85" s="140"/>
      <c r="CN85" s="140"/>
      <c r="DG85" s="140"/>
      <c r="DI85" s="151">
        <v>90</v>
      </c>
      <c r="DJ85" s="151">
        <v>80</v>
      </c>
    </row>
    <row r="86" spans="1:114" x14ac:dyDescent="0.15">
      <c r="A86" s="11">
        <f t="shared" si="2"/>
        <v>60040102</v>
      </c>
      <c r="B86" s="13">
        <v>6</v>
      </c>
      <c r="C86" s="12">
        <v>0</v>
      </c>
      <c r="D86" s="13">
        <v>4</v>
      </c>
      <c r="E86" s="13">
        <v>1</v>
      </c>
      <c r="F86" s="12">
        <v>2</v>
      </c>
      <c r="G86" s="55" t="s">
        <v>814</v>
      </c>
      <c r="H86" s="55">
        <v>3</v>
      </c>
      <c r="L86" s="158">
        <v>120</v>
      </c>
      <c r="N86" s="55" t="s">
        <v>1314</v>
      </c>
      <c r="O86" s="55">
        <v>0</v>
      </c>
      <c r="P86" s="10">
        <f t="shared" si="8"/>
        <v>0</v>
      </c>
      <c r="Q86" s="10">
        <v>0</v>
      </c>
      <c r="R86" s="155" t="str">
        <f t="shared" si="9"/>
        <v/>
      </c>
      <c r="S86" s="171" t="str">
        <f t="shared" si="10"/>
        <v/>
      </c>
      <c r="T86" s="95" t="s">
        <v>982</v>
      </c>
      <c r="U86" s="55">
        <v>200</v>
      </c>
      <c r="V86" s="55" t="s">
        <v>985</v>
      </c>
      <c r="W86" s="55" t="s">
        <v>987</v>
      </c>
      <c r="X86" s="155">
        <f t="shared" ref="X86:X149" si="12">IF((1-(1-U86/100000)^L86)=0,"",1-(1-U86/100000)^L86)</f>
        <v>0.21356115900559691</v>
      </c>
      <c r="Y86" s="171">
        <f t="shared" ref="Y86:Y149" si="13">IF((U86/100000)*L86=0,"",(U86/100000)*L86)</f>
        <v>0.24</v>
      </c>
      <c r="AH86" s="149">
        <v>80</v>
      </c>
      <c r="AI86" s="149">
        <v>80</v>
      </c>
      <c r="BJ86" s="149">
        <v>180</v>
      </c>
      <c r="BK86" s="149">
        <v>180</v>
      </c>
      <c r="BM86" s="105"/>
      <c r="BS86" s="149">
        <v>280</v>
      </c>
      <c r="DI86" s="152">
        <v>70</v>
      </c>
      <c r="DJ86" s="152">
        <v>60</v>
      </c>
    </row>
    <row r="87" spans="1:114" x14ac:dyDescent="0.15">
      <c r="A87" s="11">
        <f t="shared" si="2"/>
        <v>60040103</v>
      </c>
      <c r="B87" s="13">
        <v>6</v>
      </c>
      <c r="C87" s="12">
        <v>0</v>
      </c>
      <c r="D87" s="13">
        <v>4</v>
      </c>
      <c r="E87" s="13">
        <v>1</v>
      </c>
      <c r="F87" s="12">
        <v>3</v>
      </c>
      <c r="G87" s="55" t="s">
        <v>815</v>
      </c>
      <c r="H87" s="55">
        <v>5</v>
      </c>
      <c r="L87" s="158">
        <v>120</v>
      </c>
      <c r="N87" s="55" t="s">
        <v>1315</v>
      </c>
      <c r="O87" s="55">
        <v>0</v>
      </c>
      <c r="P87" s="10">
        <f t="shared" si="8"/>
        <v>0</v>
      </c>
      <c r="Q87" s="10">
        <v>0</v>
      </c>
      <c r="R87" s="155" t="str">
        <f t="shared" si="9"/>
        <v/>
      </c>
      <c r="S87" s="171" t="str">
        <f t="shared" si="10"/>
        <v/>
      </c>
      <c r="T87" s="95" t="s">
        <v>982</v>
      </c>
      <c r="U87" s="55">
        <v>300</v>
      </c>
      <c r="V87" s="55" t="s">
        <v>985</v>
      </c>
      <c r="W87" s="55" t="s">
        <v>988</v>
      </c>
      <c r="X87" s="155">
        <f t="shared" si="12"/>
        <v>0.30270107222390907</v>
      </c>
      <c r="Y87" s="171">
        <f t="shared" si="13"/>
        <v>0.36</v>
      </c>
      <c r="AH87" s="149">
        <v>70</v>
      </c>
      <c r="AI87" s="149">
        <v>70</v>
      </c>
      <c r="BJ87" s="149">
        <v>260</v>
      </c>
      <c r="BK87" s="149">
        <v>260</v>
      </c>
      <c r="BM87" s="105"/>
      <c r="BS87" s="149">
        <v>360</v>
      </c>
      <c r="DI87" s="152">
        <v>60</v>
      </c>
      <c r="DJ87" s="152">
        <v>50</v>
      </c>
    </row>
    <row r="88" spans="1:114" x14ac:dyDescent="0.15">
      <c r="A88" s="11">
        <f t="shared" si="2"/>
        <v>60040204</v>
      </c>
      <c r="B88" s="13">
        <v>6</v>
      </c>
      <c r="C88" s="12">
        <v>0</v>
      </c>
      <c r="D88" s="13">
        <v>4</v>
      </c>
      <c r="E88" s="13">
        <v>2</v>
      </c>
      <c r="F88" s="12">
        <v>4</v>
      </c>
      <c r="G88" s="55" t="s">
        <v>858</v>
      </c>
      <c r="H88" s="55">
        <v>1</v>
      </c>
      <c r="L88" s="158">
        <v>120</v>
      </c>
      <c r="N88" s="55" t="s">
        <v>1316</v>
      </c>
      <c r="O88" s="55">
        <v>0</v>
      </c>
      <c r="P88" s="10">
        <f t="shared" si="8"/>
        <v>0</v>
      </c>
      <c r="Q88" s="10">
        <v>0</v>
      </c>
      <c r="R88" s="155" t="str">
        <f t="shared" si="9"/>
        <v/>
      </c>
      <c r="S88" s="171" t="str">
        <f t="shared" si="10"/>
        <v/>
      </c>
      <c r="T88" s="95" t="s">
        <v>982</v>
      </c>
      <c r="U88" s="55">
        <v>100</v>
      </c>
      <c r="X88" s="155">
        <f t="shared" si="12"/>
        <v>0.11313281241393525</v>
      </c>
      <c r="Y88" s="171">
        <f t="shared" si="13"/>
        <v>0.12</v>
      </c>
      <c r="AH88" s="149">
        <v>90</v>
      </c>
      <c r="AI88" s="149">
        <v>90</v>
      </c>
      <c r="BE88" s="55">
        <v>80</v>
      </c>
      <c r="BJ88" s="149">
        <v>150</v>
      </c>
      <c r="BK88" s="149">
        <v>150</v>
      </c>
      <c r="BS88" s="149">
        <v>250</v>
      </c>
    </row>
    <row r="89" spans="1:114" x14ac:dyDescent="0.15">
      <c r="A89" s="11">
        <f t="shared" si="2"/>
        <v>60040205</v>
      </c>
      <c r="B89" s="13">
        <v>6</v>
      </c>
      <c r="C89" s="12">
        <v>0</v>
      </c>
      <c r="D89" s="13">
        <v>4</v>
      </c>
      <c r="E89" s="13">
        <v>2</v>
      </c>
      <c r="F89" s="12">
        <v>5</v>
      </c>
      <c r="G89" s="55" t="s">
        <v>859</v>
      </c>
      <c r="H89" s="55">
        <v>3</v>
      </c>
      <c r="L89" s="158">
        <v>120</v>
      </c>
      <c r="N89" s="55" t="s">
        <v>1317</v>
      </c>
      <c r="O89" s="55">
        <v>0</v>
      </c>
      <c r="P89" s="10">
        <f t="shared" si="8"/>
        <v>0</v>
      </c>
      <c r="Q89" s="10">
        <v>0</v>
      </c>
      <c r="R89" s="155" t="str">
        <f t="shared" si="9"/>
        <v/>
      </c>
      <c r="S89" s="171" t="str">
        <f t="shared" si="10"/>
        <v/>
      </c>
      <c r="T89" s="95" t="s">
        <v>982</v>
      </c>
      <c r="U89" s="55">
        <v>200</v>
      </c>
      <c r="X89" s="155">
        <f t="shared" si="12"/>
        <v>0.21356115900559691</v>
      </c>
      <c r="Y89" s="171">
        <f t="shared" si="13"/>
        <v>0.24</v>
      </c>
      <c r="AH89" s="149">
        <v>80</v>
      </c>
      <c r="AI89" s="149">
        <v>80</v>
      </c>
      <c r="BE89" s="55">
        <v>70</v>
      </c>
      <c r="BJ89" s="149">
        <v>180</v>
      </c>
      <c r="BK89" s="149">
        <v>180</v>
      </c>
      <c r="BS89" s="149">
        <v>280</v>
      </c>
    </row>
    <row r="90" spans="1:114" x14ac:dyDescent="0.15">
      <c r="A90" s="11">
        <f t="shared" ref="A90:A153" si="14">B90*10000000+C90*1000000+D90*10000+E90*100+F90</f>
        <v>60040206</v>
      </c>
      <c r="B90" s="13">
        <v>6</v>
      </c>
      <c r="C90" s="12">
        <v>0</v>
      </c>
      <c r="D90" s="13">
        <v>4</v>
      </c>
      <c r="E90" s="13">
        <v>2</v>
      </c>
      <c r="F90" s="12">
        <v>6</v>
      </c>
      <c r="G90" s="55" t="s">
        <v>860</v>
      </c>
      <c r="H90" s="55">
        <v>5</v>
      </c>
      <c r="L90" s="158">
        <v>120</v>
      </c>
      <c r="N90" s="55" t="s">
        <v>1318</v>
      </c>
      <c r="O90" s="55">
        <v>0</v>
      </c>
      <c r="P90" s="10">
        <f t="shared" si="8"/>
        <v>0</v>
      </c>
      <c r="Q90" s="10">
        <v>0</v>
      </c>
      <c r="R90" s="155" t="str">
        <f t="shared" si="9"/>
        <v/>
      </c>
      <c r="S90" s="171" t="str">
        <f t="shared" si="10"/>
        <v/>
      </c>
      <c r="T90" s="95" t="s">
        <v>982</v>
      </c>
      <c r="U90" s="55">
        <v>300</v>
      </c>
      <c r="X90" s="155">
        <f t="shared" si="12"/>
        <v>0.30270107222390907</v>
      </c>
      <c r="Y90" s="171">
        <f t="shared" si="13"/>
        <v>0.36</v>
      </c>
      <c r="AH90" s="149">
        <v>70</v>
      </c>
      <c r="AI90" s="149">
        <v>70</v>
      </c>
      <c r="BE90" s="55">
        <v>60</v>
      </c>
      <c r="BJ90" s="149">
        <v>260</v>
      </c>
      <c r="BK90" s="149">
        <v>260</v>
      </c>
      <c r="BS90" s="149">
        <v>360</v>
      </c>
    </row>
    <row r="91" spans="1:114" x14ac:dyDescent="0.15">
      <c r="A91" s="11">
        <f t="shared" si="14"/>
        <v>60040007</v>
      </c>
      <c r="B91" s="13">
        <v>6</v>
      </c>
      <c r="C91" s="12">
        <v>0</v>
      </c>
      <c r="D91" s="13">
        <v>4</v>
      </c>
      <c r="E91" s="13">
        <v>0</v>
      </c>
      <c r="F91" s="12">
        <v>7</v>
      </c>
      <c r="O91" s="55">
        <v>0</v>
      </c>
      <c r="P91" s="10">
        <f t="shared" si="8"/>
        <v>0</v>
      </c>
      <c r="R91" s="155" t="str">
        <f t="shared" si="9"/>
        <v/>
      </c>
      <c r="S91" s="171" t="str">
        <f t="shared" si="10"/>
        <v/>
      </c>
      <c r="X91" s="155" t="str">
        <f t="shared" si="12"/>
        <v/>
      </c>
      <c r="Y91" s="171" t="str">
        <f t="shared" si="13"/>
        <v/>
      </c>
    </row>
    <row r="92" spans="1:114" x14ac:dyDescent="0.15">
      <c r="A92" s="11">
        <f t="shared" si="14"/>
        <v>60040008</v>
      </c>
      <c r="B92" s="13">
        <v>6</v>
      </c>
      <c r="C92" s="12">
        <v>0</v>
      </c>
      <c r="D92" s="13">
        <v>4</v>
      </c>
      <c r="E92" s="13">
        <v>0</v>
      </c>
      <c r="F92" s="12">
        <v>8</v>
      </c>
      <c r="O92" s="55">
        <v>0</v>
      </c>
      <c r="P92" s="10">
        <f t="shared" si="8"/>
        <v>0</v>
      </c>
      <c r="R92" s="155" t="str">
        <f t="shared" si="9"/>
        <v/>
      </c>
      <c r="S92" s="171" t="str">
        <f t="shared" si="10"/>
        <v/>
      </c>
      <c r="X92" s="155" t="str">
        <f t="shared" si="12"/>
        <v/>
      </c>
      <c r="Y92" s="171" t="str">
        <f t="shared" si="13"/>
        <v/>
      </c>
    </row>
    <row r="93" spans="1:114" x14ac:dyDescent="0.15">
      <c r="A93" s="11">
        <f t="shared" si="14"/>
        <v>60040009</v>
      </c>
      <c r="B93" s="13">
        <v>6</v>
      </c>
      <c r="C93" s="12">
        <v>0</v>
      </c>
      <c r="D93" s="13">
        <v>4</v>
      </c>
      <c r="E93" s="13">
        <v>0</v>
      </c>
      <c r="F93" s="12">
        <v>9</v>
      </c>
      <c r="O93" s="55">
        <v>0</v>
      </c>
      <c r="P93" s="10">
        <f t="shared" si="8"/>
        <v>0</v>
      </c>
      <c r="R93" s="155" t="str">
        <f t="shared" si="9"/>
        <v/>
      </c>
      <c r="S93" s="171" t="str">
        <f t="shared" si="10"/>
        <v/>
      </c>
      <c r="X93" s="155" t="str">
        <f t="shared" si="12"/>
        <v/>
      </c>
      <c r="Y93" s="171" t="str">
        <f t="shared" si="13"/>
        <v/>
      </c>
    </row>
    <row r="94" spans="1:114" x14ac:dyDescent="0.15">
      <c r="A94" s="11">
        <f t="shared" si="14"/>
        <v>60040010</v>
      </c>
      <c r="B94" s="13">
        <v>6</v>
      </c>
      <c r="C94" s="12">
        <v>0</v>
      </c>
      <c r="D94" s="13">
        <v>4</v>
      </c>
      <c r="E94" s="13">
        <v>0</v>
      </c>
      <c r="F94" s="12">
        <v>10</v>
      </c>
      <c r="O94" s="55">
        <v>0</v>
      </c>
      <c r="P94" s="10">
        <f t="shared" si="8"/>
        <v>0</v>
      </c>
      <c r="R94" s="155" t="str">
        <f t="shared" si="9"/>
        <v/>
      </c>
      <c r="S94" s="171" t="str">
        <f t="shared" si="10"/>
        <v/>
      </c>
      <c r="X94" s="155" t="str">
        <f t="shared" si="12"/>
        <v/>
      </c>
      <c r="Y94" s="171" t="str">
        <f t="shared" si="13"/>
        <v/>
      </c>
    </row>
    <row r="95" spans="1:114" s="93" customFormat="1" x14ac:dyDescent="0.15">
      <c r="A95" s="11">
        <f t="shared" si="14"/>
        <v>60040011</v>
      </c>
      <c r="B95" s="13">
        <v>6</v>
      </c>
      <c r="C95" s="12">
        <v>0</v>
      </c>
      <c r="D95" s="13">
        <v>4</v>
      </c>
      <c r="E95" s="13">
        <v>0</v>
      </c>
      <c r="F95" s="12">
        <v>11</v>
      </c>
      <c r="G95" s="55"/>
      <c r="H95" s="55"/>
      <c r="I95" s="55"/>
      <c r="J95" s="55"/>
      <c r="K95" s="55"/>
      <c r="L95" s="158"/>
      <c r="M95" s="10"/>
      <c r="N95" s="55"/>
      <c r="O95" s="55">
        <v>0</v>
      </c>
      <c r="P95" s="10">
        <f t="shared" si="8"/>
        <v>0</v>
      </c>
      <c r="Q95" s="10"/>
      <c r="R95" s="155" t="str">
        <f t="shared" si="9"/>
        <v/>
      </c>
      <c r="S95" s="171" t="str">
        <f t="shared" si="10"/>
        <v/>
      </c>
      <c r="T95" s="161"/>
      <c r="U95" s="55"/>
      <c r="V95" s="55"/>
      <c r="W95" s="55"/>
      <c r="X95" s="155" t="str">
        <f t="shared" si="12"/>
        <v/>
      </c>
      <c r="Y95" s="171" t="str">
        <f t="shared" si="13"/>
        <v/>
      </c>
      <c r="Z95" s="165"/>
      <c r="AA95" s="10"/>
      <c r="AB95" s="55"/>
      <c r="AC95" s="55"/>
      <c r="AD95" s="55"/>
      <c r="AE95" s="55"/>
      <c r="AF95" s="55"/>
      <c r="AG95" s="167"/>
      <c r="AH95" s="55"/>
      <c r="AI95" s="55"/>
      <c r="AJ95" s="165"/>
      <c r="AK95" s="55"/>
      <c r="AL95" s="55"/>
      <c r="AM95" s="55"/>
      <c r="AN95" s="55"/>
      <c r="AO95" s="55"/>
      <c r="AP95" s="55"/>
      <c r="AQ95" s="55"/>
      <c r="AR95" s="55"/>
      <c r="AS95" s="165"/>
      <c r="AT95" s="55"/>
      <c r="AU95" s="55"/>
      <c r="AV95" s="55"/>
      <c r="AW95" s="55"/>
      <c r="AX95" s="55"/>
      <c r="AY95" s="55"/>
      <c r="AZ95" s="55"/>
      <c r="BA95" s="55"/>
      <c r="BB95" s="165"/>
      <c r="BC95" s="55"/>
      <c r="BD95" s="55"/>
      <c r="BE95" s="55"/>
      <c r="BF95" s="165"/>
      <c r="BG95" s="55"/>
      <c r="BH95" s="10"/>
      <c r="BI95" s="55"/>
      <c r="BJ95" s="55"/>
      <c r="BK95" s="55"/>
      <c r="BL95" s="55"/>
      <c r="BT95" s="141"/>
      <c r="CN95" s="141"/>
      <c r="DG95" s="141"/>
    </row>
    <row r="96" spans="1:114" s="93" customFormat="1" x14ac:dyDescent="0.15">
      <c r="A96" s="11">
        <f t="shared" si="14"/>
        <v>60040012</v>
      </c>
      <c r="B96" s="13">
        <v>6</v>
      </c>
      <c r="C96" s="12">
        <v>0</v>
      </c>
      <c r="D96" s="13">
        <v>4</v>
      </c>
      <c r="E96" s="13">
        <v>0</v>
      </c>
      <c r="F96" s="12">
        <v>12</v>
      </c>
      <c r="G96" s="55"/>
      <c r="H96" s="55"/>
      <c r="I96" s="55"/>
      <c r="J96" s="55"/>
      <c r="K96" s="55"/>
      <c r="L96" s="158"/>
      <c r="M96" s="10"/>
      <c r="N96" s="55"/>
      <c r="O96" s="55">
        <v>0</v>
      </c>
      <c r="P96" s="10">
        <f t="shared" si="8"/>
        <v>0</v>
      </c>
      <c r="Q96" s="10"/>
      <c r="R96" s="155" t="str">
        <f t="shared" si="9"/>
        <v/>
      </c>
      <c r="S96" s="171" t="str">
        <f t="shared" si="10"/>
        <v/>
      </c>
      <c r="T96" s="161"/>
      <c r="U96" s="55"/>
      <c r="V96" s="55"/>
      <c r="W96" s="55"/>
      <c r="X96" s="155" t="str">
        <f t="shared" si="12"/>
        <v/>
      </c>
      <c r="Y96" s="171" t="str">
        <f t="shared" si="13"/>
        <v/>
      </c>
      <c r="Z96" s="165"/>
      <c r="AA96" s="10"/>
      <c r="AB96" s="55"/>
      <c r="AC96" s="55"/>
      <c r="AD96" s="55"/>
      <c r="AE96" s="55"/>
      <c r="AF96" s="55"/>
      <c r="AG96" s="167"/>
      <c r="AH96" s="55"/>
      <c r="AI96" s="55"/>
      <c r="AJ96" s="165"/>
      <c r="AK96" s="55"/>
      <c r="AL96" s="55"/>
      <c r="AM96" s="55"/>
      <c r="AN96" s="55"/>
      <c r="AO96" s="55"/>
      <c r="AP96" s="55"/>
      <c r="AQ96" s="55"/>
      <c r="AR96" s="55"/>
      <c r="AS96" s="165"/>
      <c r="AT96" s="55"/>
      <c r="AU96" s="55"/>
      <c r="AV96" s="55"/>
      <c r="AW96" s="55"/>
      <c r="AX96" s="55"/>
      <c r="AY96" s="55"/>
      <c r="AZ96" s="55"/>
      <c r="BA96" s="55"/>
      <c r="BB96" s="165"/>
      <c r="BC96" s="55"/>
      <c r="BD96" s="55"/>
      <c r="BE96" s="55"/>
      <c r="BF96" s="165"/>
      <c r="BG96" s="55"/>
      <c r="BH96" s="10"/>
      <c r="BI96" s="55"/>
      <c r="BJ96" s="55"/>
      <c r="BK96" s="55"/>
      <c r="BL96" s="55"/>
      <c r="BT96" s="141"/>
      <c r="CN96" s="141"/>
      <c r="DG96" s="141"/>
    </row>
    <row r="97" spans="1:111" s="93" customFormat="1" x14ac:dyDescent="0.15">
      <c r="A97" s="11">
        <f t="shared" si="14"/>
        <v>60040013</v>
      </c>
      <c r="B97" s="13">
        <v>6</v>
      </c>
      <c r="C97" s="12">
        <v>0</v>
      </c>
      <c r="D97" s="13">
        <v>4</v>
      </c>
      <c r="E97" s="13">
        <v>0</v>
      </c>
      <c r="F97" s="12">
        <v>13</v>
      </c>
      <c r="G97" s="55"/>
      <c r="H97" s="55"/>
      <c r="I97" s="55"/>
      <c r="J97" s="55"/>
      <c r="K97" s="55"/>
      <c r="L97" s="158"/>
      <c r="M97" s="10"/>
      <c r="N97" s="55"/>
      <c r="O97" s="55">
        <v>0</v>
      </c>
      <c r="P97" s="10">
        <f t="shared" si="8"/>
        <v>0</v>
      </c>
      <c r="Q97" s="10"/>
      <c r="R97" s="155" t="str">
        <f t="shared" si="9"/>
        <v/>
      </c>
      <c r="S97" s="171" t="str">
        <f t="shared" si="10"/>
        <v/>
      </c>
      <c r="T97" s="161"/>
      <c r="U97" s="55"/>
      <c r="V97" s="55"/>
      <c r="W97" s="55"/>
      <c r="X97" s="155" t="str">
        <f t="shared" si="12"/>
        <v/>
      </c>
      <c r="Y97" s="171" t="str">
        <f t="shared" si="13"/>
        <v/>
      </c>
      <c r="Z97" s="165"/>
      <c r="AA97" s="10"/>
      <c r="AB97" s="55"/>
      <c r="AC97" s="55"/>
      <c r="AD97" s="55"/>
      <c r="AE97" s="55"/>
      <c r="AF97" s="55"/>
      <c r="AG97" s="167"/>
      <c r="AH97" s="55"/>
      <c r="AI97" s="55"/>
      <c r="AJ97" s="165"/>
      <c r="AK97" s="55"/>
      <c r="AL97" s="55"/>
      <c r="AM97" s="55"/>
      <c r="AN97" s="55"/>
      <c r="AO97" s="55"/>
      <c r="AP97" s="55"/>
      <c r="AQ97" s="55"/>
      <c r="AR97" s="55"/>
      <c r="AS97" s="165"/>
      <c r="AT97" s="55"/>
      <c r="AU97" s="55"/>
      <c r="AV97" s="55"/>
      <c r="AW97" s="55"/>
      <c r="AX97" s="55"/>
      <c r="AY97" s="55"/>
      <c r="AZ97" s="55"/>
      <c r="BA97" s="55"/>
      <c r="BB97" s="165"/>
      <c r="BC97" s="55"/>
      <c r="BD97" s="55"/>
      <c r="BE97" s="55"/>
      <c r="BF97" s="165"/>
      <c r="BG97" s="55"/>
      <c r="BH97" s="10"/>
      <c r="BI97" s="55"/>
      <c r="BJ97" s="55"/>
      <c r="BK97" s="55"/>
      <c r="BL97" s="55"/>
      <c r="BT97" s="141"/>
      <c r="CN97" s="141"/>
      <c r="DG97" s="141"/>
    </row>
    <row r="98" spans="1:111" s="93" customFormat="1" x14ac:dyDescent="0.15">
      <c r="A98" s="11">
        <f t="shared" si="14"/>
        <v>60040014</v>
      </c>
      <c r="B98" s="13">
        <v>6</v>
      </c>
      <c r="C98" s="12">
        <v>0</v>
      </c>
      <c r="D98" s="13">
        <v>4</v>
      </c>
      <c r="E98" s="13">
        <v>0</v>
      </c>
      <c r="F98" s="12">
        <v>14</v>
      </c>
      <c r="G98" s="55"/>
      <c r="H98" s="55"/>
      <c r="I98" s="55"/>
      <c r="J98" s="55"/>
      <c r="K98" s="55"/>
      <c r="L98" s="158"/>
      <c r="M98" s="10"/>
      <c r="N98" s="55"/>
      <c r="O98" s="55">
        <v>0</v>
      </c>
      <c r="P98" s="10">
        <f t="shared" si="8"/>
        <v>0</v>
      </c>
      <c r="Q98" s="10"/>
      <c r="R98" s="155" t="str">
        <f t="shared" si="9"/>
        <v/>
      </c>
      <c r="S98" s="171" t="str">
        <f t="shared" si="10"/>
        <v/>
      </c>
      <c r="T98" s="161"/>
      <c r="U98" s="55"/>
      <c r="V98" s="55"/>
      <c r="W98" s="55"/>
      <c r="X98" s="155" t="str">
        <f t="shared" si="12"/>
        <v/>
      </c>
      <c r="Y98" s="171" t="str">
        <f t="shared" si="13"/>
        <v/>
      </c>
      <c r="Z98" s="165"/>
      <c r="AA98" s="10"/>
      <c r="AB98" s="55"/>
      <c r="AC98" s="55"/>
      <c r="AD98" s="55"/>
      <c r="AE98" s="55"/>
      <c r="AF98" s="55"/>
      <c r="AG98" s="167"/>
      <c r="AH98" s="55"/>
      <c r="AI98" s="55"/>
      <c r="AJ98" s="165"/>
      <c r="AK98" s="55"/>
      <c r="AL98" s="55"/>
      <c r="AM98" s="55"/>
      <c r="AN98" s="55"/>
      <c r="AO98" s="55"/>
      <c r="AP98" s="55"/>
      <c r="AQ98" s="55"/>
      <c r="AR98" s="55"/>
      <c r="AS98" s="165"/>
      <c r="AT98" s="55"/>
      <c r="AU98" s="55"/>
      <c r="AV98" s="55"/>
      <c r="AW98" s="55"/>
      <c r="AX98" s="55"/>
      <c r="AY98" s="55"/>
      <c r="AZ98" s="55"/>
      <c r="BA98" s="55"/>
      <c r="BB98" s="165"/>
      <c r="BC98" s="55"/>
      <c r="BD98" s="55"/>
      <c r="BE98" s="55"/>
      <c r="BF98" s="165"/>
      <c r="BG98" s="55"/>
      <c r="BH98" s="10"/>
      <c r="BI98" s="55"/>
      <c r="BJ98" s="55"/>
      <c r="BK98" s="55"/>
      <c r="BL98" s="55"/>
      <c r="BT98" s="141"/>
      <c r="CN98" s="141"/>
      <c r="DG98" s="141"/>
    </row>
    <row r="99" spans="1:111" s="93" customFormat="1" x14ac:dyDescent="0.15">
      <c r="A99" s="11">
        <f t="shared" si="14"/>
        <v>60040015</v>
      </c>
      <c r="B99" s="13">
        <v>6</v>
      </c>
      <c r="C99" s="12">
        <v>0</v>
      </c>
      <c r="D99" s="13">
        <v>4</v>
      </c>
      <c r="E99" s="13">
        <v>0</v>
      </c>
      <c r="F99" s="12">
        <v>15</v>
      </c>
      <c r="G99" s="55"/>
      <c r="H99" s="55"/>
      <c r="I99" s="55"/>
      <c r="J99" s="55"/>
      <c r="K99" s="55"/>
      <c r="L99" s="158"/>
      <c r="M99" s="10"/>
      <c r="N99" s="55"/>
      <c r="O99" s="55">
        <v>0</v>
      </c>
      <c r="P99" s="10">
        <f t="shared" si="8"/>
        <v>0</v>
      </c>
      <c r="Q99" s="10"/>
      <c r="R99" s="155" t="str">
        <f t="shared" si="9"/>
        <v/>
      </c>
      <c r="S99" s="171" t="str">
        <f t="shared" si="10"/>
        <v/>
      </c>
      <c r="T99" s="161"/>
      <c r="U99" s="55"/>
      <c r="V99" s="55"/>
      <c r="W99" s="55"/>
      <c r="X99" s="155" t="str">
        <f t="shared" si="12"/>
        <v/>
      </c>
      <c r="Y99" s="171" t="str">
        <f t="shared" si="13"/>
        <v/>
      </c>
      <c r="Z99" s="165"/>
      <c r="AA99" s="10"/>
      <c r="AB99" s="55"/>
      <c r="AC99" s="55"/>
      <c r="AD99" s="55"/>
      <c r="AE99" s="55"/>
      <c r="AF99" s="55"/>
      <c r="AG99" s="167"/>
      <c r="AH99" s="55"/>
      <c r="AI99" s="55"/>
      <c r="AJ99" s="165"/>
      <c r="AK99" s="55"/>
      <c r="AL99" s="55"/>
      <c r="AM99" s="55"/>
      <c r="AN99" s="55"/>
      <c r="AO99" s="55"/>
      <c r="AP99" s="55"/>
      <c r="AQ99" s="55"/>
      <c r="AR99" s="55"/>
      <c r="AS99" s="165"/>
      <c r="AT99" s="55"/>
      <c r="AU99" s="55"/>
      <c r="AV99" s="55"/>
      <c r="AW99" s="55"/>
      <c r="AX99" s="55"/>
      <c r="AY99" s="55"/>
      <c r="AZ99" s="55"/>
      <c r="BA99" s="55"/>
      <c r="BB99" s="165"/>
      <c r="BC99" s="55"/>
      <c r="BD99" s="55"/>
      <c r="BE99" s="55"/>
      <c r="BF99" s="165"/>
      <c r="BG99" s="55"/>
      <c r="BH99" s="10"/>
      <c r="BI99" s="55"/>
      <c r="BJ99" s="55"/>
      <c r="BK99" s="55"/>
      <c r="BL99" s="55"/>
      <c r="BT99" s="141"/>
      <c r="CN99" s="141"/>
      <c r="DG99" s="141"/>
    </row>
    <row r="100" spans="1:111" s="93" customFormat="1" x14ac:dyDescent="0.15">
      <c r="A100" s="11">
        <f t="shared" si="14"/>
        <v>60040016</v>
      </c>
      <c r="B100" s="13">
        <v>6</v>
      </c>
      <c r="C100" s="12">
        <v>0</v>
      </c>
      <c r="D100" s="13">
        <v>4</v>
      </c>
      <c r="E100" s="13">
        <v>0</v>
      </c>
      <c r="F100" s="12">
        <v>16</v>
      </c>
      <c r="G100" s="55"/>
      <c r="H100" s="55"/>
      <c r="I100" s="55"/>
      <c r="J100" s="55"/>
      <c r="K100" s="55"/>
      <c r="L100" s="158"/>
      <c r="M100" s="10"/>
      <c r="N100" s="55"/>
      <c r="O100" s="55">
        <v>0</v>
      </c>
      <c r="P100" s="10">
        <f t="shared" si="8"/>
        <v>0</v>
      </c>
      <c r="Q100" s="10"/>
      <c r="R100" s="155" t="str">
        <f t="shared" si="9"/>
        <v/>
      </c>
      <c r="S100" s="171" t="str">
        <f t="shared" si="10"/>
        <v/>
      </c>
      <c r="T100" s="161"/>
      <c r="U100" s="55"/>
      <c r="V100" s="55"/>
      <c r="W100" s="55"/>
      <c r="X100" s="155" t="str">
        <f t="shared" si="12"/>
        <v/>
      </c>
      <c r="Y100" s="171" t="str">
        <f t="shared" si="13"/>
        <v/>
      </c>
      <c r="Z100" s="165"/>
      <c r="AA100" s="10"/>
      <c r="AB100" s="55"/>
      <c r="AC100" s="55"/>
      <c r="AD100" s="55"/>
      <c r="AE100" s="55"/>
      <c r="AF100" s="55"/>
      <c r="AG100" s="167"/>
      <c r="AH100" s="55"/>
      <c r="AI100" s="55"/>
      <c r="AJ100" s="165"/>
      <c r="AK100" s="55"/>
      <c r="AL100" s="55"/>
      <c r="AM100" s="55"/>
      <c r="AN100" s="55"/>
      <c r="AO100" s="55"/>
      <c r="AP100" s="55"/>
      <c r="AQ100" s="55"/>
      <c r="AR100" s="55"/>
      <c r="AS100" s="165"/>
      <c r="AT100" s="55"/>
      <c r="AU100" s="55"/>
      <c r="AV100" s="55"/>
      <c r="AW100" s="55"/>
      <c r="AX100" s="55"/>
      <c r="AY100" s="55"/>
      <c r="AZ100" s="55"/>
      <c r="BA100" s="55"/>
      <c r="BB100" s="165"/>
      <c r="BC100" s="55"/>
      <c r="BD100" s="55"/>
      <c r="BE100" s="55"/>
      <c r="BF100" s="165"/>
      <c r="BG100" s="55"/>
      <c r="BH100" s="10"/>
      <c r="BI100" s="55"/>
      <c r="BJ100" s="55"/>
      <c r="BK100" s="55"/>
      <c r="BL100" s="55"/>
      <c r="BT100" s="141"/>
      <c r="CN100" s="141"/>
      <c r="DG100" s="141"/>
    </row>
    <row r="101" spans="1:111" s="93" customFormat="1" x14ac:dyDescent="0.15">
      <c r="A101" s="11">
        <f t="shared" si="14"/>
        <v>60040017</v>
      </c>
      <c r="B101" s="13">
        <v>6</v>
      </c>
      <c r="C101" s="12">
        <v>0</v>
      </c>
      <c r="D101" s="13">
        <v>4</v>
      </c>
      <c r="E101" s="13">
        <v>0</v>
      </c>
      <c r="F101" s="12">
        <v>17</v>
      </c>
      <c r="G101" s="55"/>
      <c r="H101" s="55"/>
      <c r="I101" s="55"/>
      <c r="J101" s="55"/>
      <c r="K101" s="55"/>
      <c r="L101" s="158"/>
      <c r="M101" s="10"/>
      <c r="N101" s="55"/>
      <c r="O101" s="55">
        <v>0</v>
      </c>
      <c r="P101" s="10">
        <f t="shared" si="8"/>
        <v>0</v>
      </c>
      <c r="Q101" s="10"/>
      <c r="R101" s="155" t="str">
        <f t="shared" si="9"/>
        <v/>
      </c>
      <c r="S101" s="171" t="str">
        <f t="shared" si="10"/>
        <v/>
      </c>
      <c r="T101" s="161"/>
      <c r="U101" s="55"/>
      <c r="V101" s="55"/>
      <c r="W101" s="55"/>
      <c r="X101" s="155" t="str">
        <f t="shared" si="12"/>
        <v/>
      </c>
      <c r="Y101" s="171" t="str">
        <f t="shared" si="13"/>
        <v/>
      </c>
      <c r="Z101" s="165"/>
      <c r="AA101" s="10"/>
      <c r="AB101" s="55"/>
      <c r="AC101" s="55"/>
      <c r="AD101" s="55"/>
      <c r="AE101" s="55"/>
      <c r="AF101" s="55"/>
      <c r="AG101" s="167"/>
      <c r="AH101" s="55"/>
      <c r="AI101" s="55"/>
      <c r="AJ101" s="165"/>
      <c r="AK101" s="55"/>
      <c r="AL101" s="55"/>
      <c r="AM101" s="55"/>
      <c r="AN101" s="55"/>
      <c r="AO101" s="55"/>
      <c r="AP101" s="55"/>
      <c r="AQ101" s="55"/>
      <c r="AR101" s="55"/>
      <c r="AS101" s="165"/>
      <c r="AT101" s="55"/>
      <c r="AU101" s="55"/>
      <c r="AV101" s="55"/>
      <c r="AW101" s="55"/>
      <c r="AX101" s="55"/>
      <c r="AY101" s="55"/>
      <c r="AZ101" s="55"/>
      <c r="BA101" s="55"/>
      <c r="BB101" s="165"/>
      <c r="BC101" s="55"/>
      <c r="BD101" s="55"/>
      <c r="BE101" s="55"/>
      <c r="BF101" s="165"/>
      <c r="BG101" s="55"/>
      <c r="BH101" s="10"/>
      <c r="BI101" s="55"/>
      <c r="BJ101" s="55"/>
      <c r="BK101" s="55"/>
      <c r="BL101" s="55"/>
      <c r="BT101" s="141"/>
      <c r="CN101" s="141"/>
      <c r="DG101" s="141"/>
    </row>
    <row r="102" spans="1:111" s="93" customFormat="1" x14ac:dyDescent="0.15">
      <c r="A102" s="11">
        <f t="shared" si="14"/>
        <v>60040018</v>
      </c>
      <c r="B102" s="13">
        <v>6</v>
      </c>
      <c r="C102" s="12">
        <v>0</v>
      </c>
      <c r="D102" s="13">
        <v>4</v>
      </c>
      <c r="E102" s="13">
        <v>0</v>
      </c>
      <c r="F102" s="12">
        <v>18</v>
      </c>
      <c r="G102" s="55"/>
      <c r="H102" s="55"/>
      <c r="I102" s="55"/>
      <c r="J102" s="55"/>
      <c r="K102" s="55"/>
      <c r="L102" s="158"/>
      <c r="M102" s="10"/>
      <c r="N102" s="55"/>
      <c r="O102" s="55">
        <v>0</v>
      </c>
      <c r="P102" s="10">
        <f t="shared" si="8"/>
        <v>0</v>
      </c>
      <c r="Q102" s="10"/>
      <c r="R102" s="155" t="str">
        <f t="shared" si="9"/>
        <v/>
      </c>
      <c r="S102" s="171" t="str">
        <f t="shared" si="10"/>
        <v/>
      </c>
      <c r="T102" s="161"/>
      <c r="U102" s="55"/>
      <c r="V102" s="55"/>
      <c r="W102" s="55"/>
      <c r="X102" s="155" t="str">
        <f t="shared" si="12"/>
        <v/>
      </c>
      <c r="Y102" s="171" t="str">
        <f t="shared" si="13"/>
        <v/>
      </c>
      <c r="Z102" s="165"/>
      <c r="AA102" s="10"/>
      <c r="AB102" s="55"/>
      <c r="AC102" s="55"/>
      <c r="AD102" s="55"/>
      <c r="AE102" s="55"/>
      <c r="AF102" s="55"/>
      <c r="AG102" s="167"/>
      <c r="AH102" s="55"/>
      <c r="AI102" s="55"/>
      <c r="AJ102" s="165"/>
      <c r="AK102" s="55"/>
      <c r="AL102" s="55"/>
      <c r="AM102" s="55"/>
      <c r="AN102" s="55"/>
      <c r="AO102" s="55"/>
      <c r="AP102" s="55"/>
      <c r="AQ102" s="55"/>
      <c r="AR102" s="55"/>
      <c r="AS102" s="165"/>
      <c r="AT102" s="55"/>
      <c r="AU102" s="55"/>
      <c r="AV102" s="55"/>
      <c r="AW102" s="55"/>
      <c r="AX102" s="55"/>
      <c r="AY102" s="55"/>
      <c r="AZ102" s="55"/>
      <c r="BA102" s="55"/>
      <c r="BB102" s="165"/>
      <c r="BC102" s="55"/>
      <c r="BD102" s="55"/>
      <c r="BE102" s="55"/>
      <c r="BF102" s="165"/>
      <c r="BG102" s="55"/>
      <c r="BH102" s="10"/>
      <c r="BI102" s="55"/>
      <c r="BJ102" s="55"/>
      <c r="BK102" s="55"/>
      <c r="BL102" s="55"/>
      <c r="BT102" s="141"/>
      <c r="CN102" s="141"/>
      <c r="DG102" s="141"/>
    </row>
    <row r="103" spans="1:111" s="93" customFormat="1" x14ac:dyDescent="0.15">
      <c r="A103" s="11">
        <f t="shared" si="14"/>
        <v>60040019</v>
      </c>
      <c r="B103" s="13">
        <v>6</v>
      </c>
      <c r="C103" s="12">
        <v>0</v>
      </c>
      <c r="D103" s="13">
        <v>4</v>
      </c>
      <c r="E103" s="13">
        <v>0</v>
      </c>
      <c r="F103" s="12">
        <v>19</v>
      </c>
      <c r="G103" s="55"/>
      <c r="H103" s="55"/>
      <c r="I103" s="55"/>
      <c r="J103" s="55"/>
      <c r="K103" s="55"/>
      <c r="L103" s="158"/>
      <c r="M103" s="10"/>
      <c r="N103" s="55"/>
      <c r="O103" s="55">
        <v>0</v>
      </c>
      <c r="P103" s="10">
        <f t="shared" si="8"/>
        <v>0</v>
      </c>
      <c r="Q103" s="10"/>
      <c r="R103" s="155" t="str">
        <f t="shared" si="9"/>
        <v/>
      </c>
      <c r="S103" s="171" t="str">
        <f t="shared" si="10"/>
        <v/>
      </c>
      <c r="T103" s="161"/>
      <c r="U103" s="55"/>
      <c r="V103" s="55"/>
      <c r="W103" s="55"/>
      <c r="X103" s="155" t="str">
        <f t="shared" si="12"/>
        <v/>
      </c>
      <c r="Y103" s="171" t="str">
        <f t="shared" si="13"/>
        <v/>
      </c>
      <c r="Z103" s="165"/>
      <c r="AA103" s="10"/>
      <c r="AB103" s="55"/>
      <c r="AC103" s="55"/>
      <c r="AD103" s="55"/>
      <c r="AE103" s="55"/>
      <c r="AF103" s="55"/>
      <c r="AG103" s="167"/>
      <c r="AH103" s="55"/>
      <c r="AI103" s="55"/>
      <c r="AJ103" s="165"/>
      <c r="AK103" s="55"/>
      <c r="AL103" s="55"/>
      <c r="AM103" s="55"/>
      <c r="AN103" s="55"/>
      <c r="AO103" s="55"/>
      <c r="AP103" s="55"/>
      <c r="AQ103" s="55"/>
      <c r="AR103" s="55"/>
      <c r="AS103" s="165"/>
      <c r="AT103" s="55"/>
      <c r="AU103" s="55"/>
      <c r="AV103" s="55"/>
      <c r="AW103" s="55"/>
      <c r="AX103" s="55"/>
      <c r="AY103" s="55"/>
      <c r="AZ103" s="55"/>
      <c r="BA103" s="55"/>
      <c r="BB103" s="165"/>
      <c r="BC103" s="55"/>
      <c r="BD103" s="55"/>
      <c r="BE103" s="55"/>
      <c r="BF103" s="165"/>
      <c r="BG103" s="55"/>
      <c r="BH103" s="10"/>
      <c r="BI103" s="55"/>
      <c r="BJ103" s="55"/>
      <c r="BK103" s="55"/>
      <c r="BL103" s="55"/>
      <c r="BT103" s="141"/>
      <c r="CN103" s="141"/>
      <c r="DG103" s="141"/>
    </row>
    <row r="104" spans="1:111" s="93" customFormat="1" ht="17.25" thickBot="1" x14ac:dyDescent="0.2">
      <c r="A104" s="11">
        <f t="shared" si="14"/>
        <v>60040020</v>
      </c>
      <c r="B104" s="108">
        <v>6</v>
      </c>
      <c r="C104" s="12">
        <v>0</v>
      </c>
      <c r="D104" s="108">
        <v>4</v>
      </c>
      <c r="E104" s="108">
        <v>0</v>
      </c>
      <c r="F104" s="109">
        <v>20</v>
      </c>
      <c r="G104" s="55"/>
      <c r="H104" s="55"/>
      <c r="I104" s="55"/>
      <c r="J104" s="55"/>
      <c r="K104" s="55"/>
      <c r="L104" s="158"/>
      <c r="M104" s="10"/>
      <c r="N104" s="55"/>
      <c r="O104" s="55">
        <v>0</v>
      </c>
      <c r="P104" s="10">
        <f t="shared" si="8"/>
        <v>0</v>
      </c>
      <c r="Q104" s="10"/>
      <c r="R104" s="155" t="str">
        <f t="shared" si="9"/>
        <v/>
      </c>
      <c r="S104" s="171" t="str">
        <f t="shared" si="10"/>
        <v/>
      </c>
      <c r="T104" s="161"/>
      <c r="U104" s="55"/>
      <c r="V104" s="55"/>
      <c r="W104" s="55"/>
      <c r="X104" s="155" t="str">
        <f t="shared" si="12"/>
        <v/>
      </c>
      <c r="Y104" s="171" t="str">
        <f t="shared" si="13"/>
        <v/>
      </c>
      <c r="Z104" s="165"/>
      <c r="AA104" s="10"/>
      <c r="AB104" s="55"/>
      <c r="AC104" s="55"/>
      <c r="AD104" s="55"/>
      <c r="AE104" s="55"/>
      <c r="AF104" s="55"/>
      <c r="AG104" s="167"/>
      <c r="AH104" s="55"/>
      <c r="AI104" s="55"/>
      <c r="AJ104" s="165"/>
      <c r="AK104" s="55"/>
      <c r="AL104" s="55"/>
      <c r="AM104" s="55"/>
      <c r="AN104" s="55"/>
      <c r="AO104" s="55"/>
      <c r="AP104" s="55"/>
      <c r="AQ104" s="55"/>
      <c r="AR104" s="55"/>
      <c r="AS104" s="165"/>
      <c r="AT104" s="55"/>
      <c r="AU104" s="55"/>
      <c r="AV104" s="55"/>
      <c r="AW104" s="55"/>
      <c r="AX104" s="55"/>
      <c r="AY104" s="55"/>
      <c r="AZ104" s="55"/>
      <c r="BA104" s="55"/>
      <c r="BB104" s="165"/>
      <c r="BC104" s="55"/>
      <c r="BD104" s="55"/>
      <c r="BE104" s="55"/>
      <c r="BF104" s="165"/>
      <c r="BG104" s="55"/>
      <c r="BH104" s="10"/>
      <c r="BI104" s="55"/>
      <c r="BJ104" s="55"/>
      <c r="BK104" s="55"/>
      <c r="BL104" s="55"/>
      <c r="BT104" s="141"/>
      <c r="CN104" s="141"/>
      <c r="DG104" s="141"/>
    </row>
    <row r="105" spans="1:111" s="110" customFormat="1" x14ac:dyDescent="0.15">
      <c r="A105" s="18">
        <f t="shared" si="14"/>
        <v>60050001</v>
      </c>
      <c r="B105" s="20">
        <v>6</v>
      </c>
      <c r="C105" s="19">
        <v>0</v>
      </c>
      <c r="D105" s="20">
        <v>5</v>
      </c>
      <c r="E105" s="20">
        <v>0</v>
      </c>
      <c r="F105" s="19">
        <v>1</v>
      </c>
      <c r="H105" s="56"/>
      <c r="I105" s="56"/>
      <c r="J105" s="56"/>
      <c r="K105" s="56"/>
      <c r="L105" s="160"/>
      <c r="M105" s="17"/>
      <c r="N105" s="56"/>
      <c r="O105" s="56">
        <v>0</v>
      </c>
      <c r="P105" s="17">
        <f t="shared" si="8"/>
        <v>0</v>
      </c>
      <c r="Q105" s="17"/>
      <c r="R105" s="156" t="str">
        <f t="shared" si="9"/>
        <v/>
      </c>
      <c r="S105" s="172" t="str">
        <f t="shared" si="10"/>
        <v/>
      </c>
      <c r="T105" s="162"/>
      <c r="U105" s="56"/>
      <c r="V105" s="56"/>
      <c r="W105" s="56"/>
      <c r="X105" s="156" t="str">
        <f t="shared" si="12"/>
        <v/>
      </c>
      <c r="Y105" s="172" t="str">
        <f t="shared" si="13"/>
        <v/>
      </c>
      <c r="Z105" s="166"/>
      <c r="AA105" s="17"/>
      <c r="AB105" s="56"/>
      <c r="AC105" s="56"/>
      <c r="AD105" s="56"/>
      <c r="AE105" s="56"/>
      <c r="AF105" s="56"/>
      <c r="AG105" s="169"/>
      <c r="AH105" s="56"/>
      <c r="AI105" s="56"/>
      <c r="AJ105" s="166"/>
      <c r="AK105" s="56"/>
      <c r="AL105" s="56"/>
      <c r="AM105" s="56"/>
      <c r="AN105" s="56"/>
      <c r="AO105" s="56"/>
      <c r="AP105" s="56"/>
      <c r="AQ105" s="56"/>
      <c r="AR105" s="56"/>
      <c r="AS105" s="166"/>
      <c r="AT105" s="56"/>
      <c r="AU105" s="56"/>
      <c r="AV105" s="56"/>
      <c r="AW105" s="56"/>
      <c r="AX105" s="56"/>
      <c r="AY105" s="56"/>
      <c r="AZ105" s="56"/>
      <c r="BA105" s="56"/>
      <c r="BB105" s="166"/>
      <c r="BC105" s="56"/>
      <c r="BD105" s="56"/>
      <c r="BE105" s="56"/>
      <c r="BF105" s="166"/>
      <c r="BG105" s="56"/>
      <c r="BH105" s="17"/>
      <c r="BI105" s="56"/>
      <c r="BJ105" s="56"/>
      <c r="BK105" s="56"/>
      <c r="BL105" s="56"/>
      <c r="BT105" s="140"/>
      <c r="CN105" s="140"/>
      <c r="DG105" s="140"/>
    </row>
    <row r="106" spans="1:111" x14ac:dyDescent="0.15">
      <c r="A106" s="11">
        <f t="shared" si="14"/>
        <v>60050002</v>
      </c>
      <c r="B106" s="13">
        <v>6</v>
      </c>
      <c r="C106" s="12">
        <v>0</v>
      </c>
      <c r="D106" s="13">
        <v>5</v>
      </c>
      <c r="E106" s="13">
        <v>0</v>
      </c>
      <c r="F106" s="12">
        <v>2</v>
      </c>
      <c r="G106" s="91"/>
      <c r="O106" s="55">
        <v>0</v>
      </c>
      <c r="P106" s="10">
        <f t="shared" si="8"/>
        <v>0</v>
      </c>
      <c r="R106" s="155" t="str">
        <f t="shared" si="9"/>
        <v/>
      </c>
      <c r="S106" s="171" t="str">
        <f t="shared" si="10"/>
        <v/>
      </c>
      <c r="X106" s="155" t="str">
        <f t="shared" si="12"/>
        <v/>
      </c>
      <c r="Y106" s="171" t="str">
        <f t="shared" si="13"/>
        <v/>
      </c>
      <c r="BM106" s="105"/>
    </row>
    <row r="107" spans="1:111" x14ac:dyDescent="0.15">
      <c r="A107" s="11">
        <f t="shared" si="14"/>
        <v>60050003</v>
      </c>
      <c r="B107" s="13">
        <v>6</v>
      </c>
      <c r="C107" s="12">
        <v>0</v>
      </c>
      <c r="D107" s="13">
        <v>5</v>
      </c>
      <c r="E107" s="13">
        <v>0</v>
      </c>
      <c r="F107" s="12">
        <v>3</v>
      </c>
      <c r="G107" s="91"/>
      <c r="O107" s="55">
        <v>0</v>
      </c>
      <c r="P107" s="10">
        <f t="shared" si="8"/>
        <v>0</v>
      </c>
      <c r="R107" s="155" t="str">
        <f t="shared" si="9"/>
        <v/>
      </c>
      <c r="S107" s="171" t="str">
        <f t="shared" si="10"/>
        <v/>
      </c>
      <c r="X107" s="155" t="str">
        <f t="shared" si="12"/>
        <v/>
      </c>
      <c r="Y107" s="171" t="str">
        <f t="shared" si="13"/>
        <v/>
      </c>
      <c r="BM107" s="105"/>
    </row>
    <row r="108" spans="1:111" x14ac:dyDescent="0.15">
      <c r="A108" s="11">
        <f t="shared" si="14"/>
        <v>60050004</v>
      </c>
      <c r="B108" s="13">
        <v>6</v>
      </c>
      <c r="C108" s="12">
        <v>0</v>
      </c>
      <c r="D108" s="13">
        <v>5</v>
      </c>
      <c r="E108" s="13">
        <v>0</v>
      </c>
      <c r="F108" s="12">
        <v>4</v>
      </c>
      <c r="G108" s="91"/>
      <c r="O108" s="55">
        <v>0</v>
      </c>
      <c r="P108" s="10">
        <f t="shared" si="8"/>
        <v>0</v>
      </c>
      <c r="R108" s="155" t="str">
        <f t="shared" si="9"/>
        <v/>
      </c>
      <c r="S108" s="171" t="str">
        <f t="shared" si="10"/>
        <v/>
      </c>
      <c r="X108" s="155" t="str">
        <f t="shared" si="12"/>
        <v/>
      </c>
      <c r="Y108" s="171" t="str">
        <f t="shared" si="13"/>
        <v/>
      </c>
    </row>
    <row r="109" spans="1:111" x14ac:dyDescent="0.15">
      <c r="A109" s="11">
        <f t="shared" si="14"/>
        <v>60050005</v>
      </c>
      <c r="B109" s="13">
        <v>6</v>
      </c>
      <c r="C109" s="12">
        <v>0</v>
      </c>
      <c r="D109" s="13">
        <v>5</v>
      </c>
      <c r="E109" s="13">
        <v>0</v>
      </c>
      <c r="F109" s="12">
        <v>5</v>
      </c>
      <c r="G109" s="91"/>
      <c r="O109" s="55">
        <v>0</v>
      </c>
      <c r="P109" s="10">
        <f t="shared" si="8"/>
        <v>0</v>
      </c>
      <c r="R109" s="155" t="str">
        <f t="shared" si="9"/>
        <v/>
      </c>
      <c r="S109" s="171" t="str">
        <f t="shared" si="10"/>
        <v/>
      </c>
      <c r="X109" s="155" t="str">
        <f t="shared" si="12"/>
        <v/>
      </c>
      <c r="Y109" s="171" t="str">
        <f t="shared" si="13"/>
        <v/>
      </c>
    </row>
    <row r="110" spans="1:111" x14ac:dyDescent="0.15">
      <c r="A110" s="11">
        <f t="shared" si="14"/>
        <v>60050006</v>
      </c>
      <c r="B110" s="13">
        <v>6</v>
      </c>
      <c r="C110" s="12">
        <v>0</v>
      </c>
      <c r="D110" s="13">
        <v>5</v>
      </c>
      <c r="E110" s="13">
        <v>0</v>
      </c>
      <c r="F110" s="12">
        <v>6</v>
      </c>
      <c r="G110" s="91"/>
      <c r="O110" s="55">
        <v>0</v>
      </c>
      <c r="P110" s="10">
        <f t="shared" si="8"/>
        <v>0</v>
      </c>
      <c r="R110" s="155" t="str">
        <f t="shared" si="9"/>
        <v/>
      </c>
      <c r="S110" s="171" t="str">
        <f t="shared" si="10"/>
        <v/>
      </c>
      <c r="X110" s="155" t="str">
        <f t="shared" si="12"/>
        <v/>
      </c>
      <c r="Y110" s="171" t="str">
        <f t="shared" si="13"/>
        <v/>
      </c>
    </row>
    <row r="111" spans="1:111" x14ac:dyDescent="0.15">
      <c r="A111" s="11">
        <f t="shared" si="14"/>
        <v>60050007</v>
      </c>
      <c r="B111" s="13">
        <v>6</v>
      </c>
      <c r="C111" s="12">
        <v>0</v>
      </c>
      <c r="D111" s="13">
        <v>5</v>
      </c>
      <c r="E111" s="13">
        <v>0</v>
      </c>
      <c r="F111" s="12">
        <v>7</v>
      </c>
      <c r="O111" s="55">
        <v>0</v>
      </c>
      <c r="P111" s="10">
        <f t="shared" si="8"/>
        <v>0</v>
      </c>
      <c r="R111" s="155" t="str">
        <f t="shared" si="9"/>
        <v/>
      </c>
      <c r="S111" s="171" t="str">
        <f t="shared" si="10"/>
        <v/>
      </c>
      <c r="X111" s="155" t="str">
        <f t="shared" si="12"/>
        <v/>
      </c>
      <c r="Y111" s="171" t="str">
        <f t="shared" si="13"/>
        <v/>
      </c>
    </row>
    <row r="112" spans="1:111" x14ac:dyDescent="0.15">
      <c r="A112" s="11">
        <f t="shared" si="14"/>
        <v>60050008</v>
      </c>
      <c r="B112" s="13">
        <v>6</v>
      </c>
      <c r="C112" s="12">
        <v>0</v>
      </c>
      <c r="D112" s="13">
        <v>5</v>
      </c>
      <c r="E112" s="13">
        <v>0</v>
      </c>
      <c r="F112" s="12">
        <v>8</v>
      </c>
      <c r="O112" s="55">
        <v>0</v>
      </c>
      <c r="P112" s="10">
        <f t="shared" si="8"/>
        <v>0</v>
      </c>
      <c r="R112" s="155" t="str">
        <f t="shared" si="9"/>
        <v/>
      </c>
      <c r="S112" s="171" t="str">
        <f t="shared" si="10"/>
        <v/>
      </c>
      <c r="X112" s="155" t="str">
        <f t="shared" si="12"/>
        <v/>
      </c>
      <c r="Y112" s="171" t="str">
        <f t="shared" si="13"/>
        <v/>
      </c>
    </row>
    <row r="113" spans="1:111" x14ac:dyDescent="0.15">
      <c r="A113" s="11">
        <f t="shared" si="14"/>
        <v>60050009</v>
      </c>
      <c r="B113" s="13">
        <v>6</v>
      </c>
      <c r="C113" s="12">
        <v>0</v>
      </c>
      <c r="D113" s="13">
        <v>5</v>
      </c>
      <c r="E113" s="13">
        <v>0</v>
      </c>
      <c r="F113" s="12">
        <v>9</v>
      </c>
      <c r="O113" s="55">
        <v>0</v>
      </c>
      <c r="P113" s="10">
        <f t="shared" si="8"/>
        <v>0</v>
      </c>
      <c r="R113" s="155" t="str">
        <f t="shared" si="9"/>
        <v/>
      </c>
      <c r="S113" s="171" t="str">
        <f t="shared" si="10"/>
        <v/>
      </c>
      <c r="X113" s="155" t="str">
        <f t="shared" si="12"/>
        <v/>
      </c>
      <c r="Y113" s="171" t="str">
        <f t="shared" si="13"/>
        <v/>
      </c>
    </row>
    <row r="114" spans="1:111" x14ac:dyDescent="0.15">
      <c r="A114" s="11">
        <f t="shared" si="14"/>
        <v>60050010</v>
      </c>
      <c r="B114" s="13">
        <v>6</v>
      </c>
      <c r="C114" s="12">
        <v>0</v>
      </c>
      <c r="D114" s="13">
        <v>5</v>
      </c>
      <c r="E114" s="13">
        <v>0</v>
      </c>
      <c r="F114" s="12">
        <v>10</v>
      </c>
      <c r="O114" s="55">
        <v>0</v>
      </c>
      <c r="P114" s="10">
        <f t="shared" si="8"/>
        <v>0</v>
      </c>
      <c r="R114" s="155" t="str">
        <f t="shared" si="9"/>
        <v/>
      </c>
      <c r="S114" s="171" t="str">
        <f t="shared" si="10"/>
        <v/>
      </c>
      <c r="X114" s="155" t="str">
        <f t="shared" si="12"/>
        <v/>
      </c>
      <c r="Y114" s="171" t="str">
        <f t="shared" si="13"/>
        <v/>
      </c>
    </row>
    <row r="115" spans="1:111" s="93" customFormat="1" x14ac:dyDescent="0.15">
      <c r="A115" s="11">
        <f t="shared" si="14"/>
        <v>60050011</v>
      </c>
      <c r="B115" s="13">
        <v>6</v>
      </c>
      <c r="C115" s="12">
        <v>0</v>
      </c>
      <c r="D115" s="13">
        <v>5</v>
      </c>
      <c r="E115" s="13">
        <v>0</v>
      </c>
      <c r="F115" s="12">
        <v>11</v>
      </c>
      <c r="G115" s="55"/>
      <c r="H115" s="55"/>
      <c r="I115" s="55"/>
      <c r="J115" s="55"/>
      <c r="K115" s="55"/>
      <c r="L115" s="158"/>
      <c r="M115" s="10"/>
      <c r="N115" s="55"/>
      <c r="O115" s="55">
        <v>0</v>
      </c>
      <c r="P115" s="10">
        <f t="shared" si="8"/>
        <v>0</v>
      </c>
      <c r="Q115" s="10"/>
      <c r="R115" s="155" t="str">
        <f t="shared" si="9"/>
        <v/>
      </c>
      <c r="S115" s="171" t="str">
        <f t="shared" si="10"/>
        <v/>
      </c>
      <c r="T115" s="161"/>
      <c r="U115" s="55"/>
      <c r="V115" s="55"/>
      <c r="W115" s="55"/>
      <c r="X115" s="155" t="str">
        <f t="shared" si="12"/>
        <v/>
      </c>
      <c r="Y115" s="171" t="str">
        <f t="shared" si="13"/>
        <v/>
      </c>
      <c r="Z115" s="165"/>
      <c r="AA115" s="10"/>
      <c r="AB115" s="55"/>
      <c r="AC115" s="55"/>
      <c r="AD115" s="55"/>
      <c r="AE115" s="55"/>
      <c r="AF115" s="55"/>
      <c r="AG115" s="167"/>
      <c r="AH115" s="55"/>
      <c r="AI115" s="55"/>
      <c r="AJ115" s="165"/>
      <c r="AK115" s="55"/>
      <c r="AL115" s="55"/>
      <c r="AM115" s="55"/>
      <c r="AN115" s="55"/>
      <c r="AO115" s="55"/>
      <c r="AP115" s="55"/>
      <c r="AQ115" s="55"/>
      <c r="AR115" s="55"/>
      <c r="AS115" s="165"/>
      <c r="AT115" s="55"/>
      <c r="AU115" s="55"/>
      <c r="AV115" s="55"/>
      <c r="AW115" s="55"/>
      <c r="AX115" s="55"/>
      <c r="AY115" s="55"/>
      <c r="AZ115" s="55"/>
      <c r="BA115" s="55"/>
      <c r="BB115" s="165"/>
      <c r="BC115" s="55"/>
      <c r="BD115" s="55"/>
      <c r="BE115" s="55"/>
      <c r="BF115" s="165"/>
      <c r="BG115" s="55"/>
      <c r="BH115" s="10"/>
      <c r="BI115" s="55"/>
      <c r="BJ115" s="55"/>
      <c r="BK115" s="55"/>
      <c r="BL115" s="55"/>
      <c r="BT115" s="141"/>
      <c r="CN115" s="141"/>
      <c r="DG115" s="141"/>
    </row>
    <row r="116" spans="1:111" s="93" customFormat="1" x14ac:dyDescent="0.15">
      <c r="A116" s="11">
        <f t="shared" si="14"/>
        <v>60050012</v>
      </c>
      <c r="B116" s="13">
        <v>6</v>
      </c>
      <c r="C116" s="12">
        <v>0</v>
      </c>
      <c r="D116" s="13">
        <v>5</v>
      </c>
      <c r="E116" s="13">
        <v>0</v>
      </c>
      <c r="F116" s="12">
        <v>12</v>
      </c>
      <c r="G116" s="55"/>
      <c r="H116" s="55"/>
      <c r="I116" s="55"/>
      <c r="J116" s="55"/>
      <c r="K116" s="55"/>
      <c r="L116" s="158"/>
      <c r="M116" s="10"/>
      <c r="N116" s="55"/>
      <c r="O116" s="55">
        <v>0</v>
      </c>
      <c r="P116" s="10">
        <f t="shared" si="8"/>
        <v>0</v>
      </c>
      <c r="Q116" s="10"/>
      <c r="R116" s="155" t="str">
        <f t="shared" si="9"/>
        <v/>
      </c>
      <c r="S116" s="171" t="str">
        <f t="shared" si="10"/>
        <v/>
      </c>
      <c r="T116" s="161"/>
      <c r="U116" s="55"/>
      <c r="V116" s="55"/>
      <c r="W116" s="55"/>
      <c r="X116" s="155" t="str">
        <f t="shared" si="12"/>
        <v/>
      </c>
      <c r="Y116" s="171" t="str">
        <f t="shared" si="13"/>
        <v/>
      </c>
      <c r="Z116" s="165"/>
      <c r="AA116" s="10"/>
      <c r="AB116" s="55"/>
      <c r="AC116" s="55"/>
      <c r="AD116" s="55"/>
      <c r="AE116" s="55"/>
      <c r="AF116" s="55"/>
      <c r="AG116" s="167"/>
      <c r="AH116" s="55"/>
      <c r="AI116" s="55"/>
      <c r="AJ116" s="165"/>
      <c r="AK116" s="55"/>
      <c r="AL116" s="55"/>
      <c r="AM116" s="55"/>
      <c r="AN116" s="55"/>
      <c r="AO116" s="55"/>
      <c r="AP116" s="55"/>
      <c r="AQ116" s="55"/>
      <c r="AR116" s="55"/>
      <c r="AS116" s="165"/>
      <c r="AT116" s="55"/>
      <c r="AU116" s="55"/>
      <c r="AV116" s="55"/>
      <c r="AW116" s="55"/>
      <c r="AX116" s="55"/>
      <c r="AY116" s="55"/>
      <c r="AZ116" s="55"/>
      <c r="BA116" s="55"/>
      <c r="BB116" s="165"/>
      <c r="BC116" s="55"/>
      <c r="BD116" s="55"/>
      <c r="BE116" s="55"/>
      <c r="BF116" s="165"/>
      <c r="BG116" s="55"/>
      <c r="BH116" s="10"/>
      <c r="BI116" s="55"/>
      <c r="BJ116" s="55"/>
      <c r="BK116" s="55"/>
      <c r="BL116" s="55"/>
      <c r="BT116" s="141"/>
      <c r="CN116" s="141"/>
      <c r="DG116" s="141"/>
    </row>
    <row r="117" spans="1:111" s="93" customFormat="1" x14ac:dyDescent="0.15">
      <c r="A117" s="11">
        <f t="shared" si="14"/>
        <v>60050013</v>
      </c>
      <c r="B117" s="13">
        <v>6</v>
      </c>
      <c r="C117" s="12">
        <v>0</v>
      </c>
      <c r="D117" s="13">
        <v>5</v>
      </c>
      <c r="E117" s="13">
        <v>0</v>
      </c>
      <c r="F117" s="12">
        <v>13</v>
      </c>
      <c r="G117" s="55"/>
      <c r="H117" s="55"/>
      <c r="I117" s="55"/>
      <c r="J117" s="55"/>
      <c r="K117" s="55"/>
      <c r="L117" s="158"/>
      <c r="M117" s="10"/>
      <c r="N117" s="55"/>
      <c r="O117" s="55">
        <v>0</v>
      </c>
      <c r="P117" s="10">
        <f t="shared" si="8"/>
        <v>0</v>
      </c>
      <c r="Q117" s="10"/>
      <c r="R117" s="155" t="str">
        <f t="shared" si="9"/>
        <v/>
      </c>
      <c r="S117" s="171" t="str">
        <f t="shared" si="10"/>
        <v/>
      </c>
      <c r="T117" s="161"/>
      <c r="U117" s="55"/>
      <c r="V117" s="55"/>
      <c r="W117" s="55"/>
      <c r="X117" s="155" t="str">
        <f t="shared" si="12"/>
        <v/>
      </c>
      <c r="Y117" s="171" t="str">
        <f t="shared" si="13"/>
        <v/>
      </c>
      <c r="Z117" s="165"/>
      <c r="AA117" s="10"/>
      <c r="AB117" s="55"/>
      <c r="AC117" s="55"/>
      <c r="AD117" s="55"/>
      <c r="AE117" s="55"/>
      <c r="AF117" s="55"/>
      <c r="AG117" s="167"/>
      <c r="AH117" s="55"/>
      <c r="AI117" s="55"/>
      <c r="AJ117" s="165"/>
      <c r="AK117" s="55"/>
      <c r="AL117" s="55"/>
      <c r="AM117" s="55"/>
      <c r="AN117" s="55"/>
      <c r="AO117" s="55"/>
      <c r="AP117" s="55"/>
      <c r="AQ117" s="55"/>
      <c r="AR117" s="55"/>
      <c r="AS117" s="165"/>
      <c r="AT117" s="55"/>
      <c r="AU117" s="55"/>
      <c r="AV117" s="55"/>
      <c r="AW117" s="55"/>
      <c r="AX117" s="55"/>
      <c r="AY117" s="55"/>
      <c r="AZ117" s="55"/>
      <c r="BA117" s="55"/>
      <c r="BB117" s="165"/>
      <c r="BC117" s="55"/>
      <c r="BD117" s="55"/>
      <c r="BE117" s="55"/>
      <c r="BF117" s="165"/>
      <c r="BG117" s="55"/>
      <c r="BH117" s="10"/>
      <c r="BI117" s="55"/>
      <c r="BJ117" s="55"/>
      <c r="BK117" s="55"/>
      <c r="BL117" s="55"/>
      <c r="BT117" s="141"/>
      <c r="CN117" s="141"/>
      <c r="DG117" s="141"/>
    </row>
    <row r="118" spans="1:111" s="93" customFormat="1" x14ac:dyDescent="0.15">
      <c r="A118" s="11">
        <f t="shared" si="14"/>
        <v>60050014</v>
      </c>
      <c r="B118" s="13">
        <v>6</v>
      </c>
      <c r="C118" s="12">
        <v>0</v>
      </c>
      <c r="D118" s="13">
        <v>5</v>
      </c>
      <c r="E118" s="13">
        <v>0</v>
      </c>
      <c r="F118" s="12">
        <v>14</v>
      </c>
      <c r="G118" s="55"/>
      <c r="H118" s="55"/>
      <c r="I118" s="55"/>
      <c r="J118" s="55"/>
      <c r="K118" s="55"/>
      <c r="L118" s="158"/>
      <c r="M118" s="10"/>
      <c r="N118" s="55"/>
      <c r="O118" s="55">
        <v>0</v>
      </c>
      <c r="P118" s="10">
        <f t="shared" si="8"/>
        <v>0</v>
      </c>
      <c r="Q118" s="10"/>
      <c r="R118" s="155" t="str">
        <f t="shared" si="9"/>
        <v/>
      </c>
      <c r="S118" s="171" t="str">
        <f t="shared" si="10"/>
        <v/>
      </c>
      <c r="T118" s="161"/>
      <c r="U118" s="55"/>
      <c r="V118" s="55"/>
      <c r="W118" s="55"/>
      <c r="X118" s="155" t="str">
        <f t="shared" si="12"/>
        <v/>
      </c>
      <c r="Y118" s="171" t="str">
        <f t="shared" si="13"/>
        <v/>
      </c>
      <c r="Z118" s="165"/>
      <c r="AA118" s="10"/>
      <c r="AB118" s="55"/>
      <c r="AC118" s="55"/>
      <c r="AD118" s="55"/>
      <c r="AE118" s="55"/>
      <c r="AF118" s="55"/>
      <c r="AG118" s="167"/>
      <c r="AH118" s="55"/>
      <c r="AI118" s="55"/>
      <c r="AJ118" s="165"/>
      <c r="AK118" s="55"/>
      <c r="AL118" s="55"/>
      <c r="AM118" s="55"/>
      <c r="AN118" s="55"/>
      <c r="AO118" s="55"/>
      <c r="AP118" s="55"/>
      <c r="AQ118" s="55"/>
      <c r="AR118" s="55"/>
      <c r="AS118" s="165"/>
      <c r="AT118" s="55"/>
      <c r="AU118" s="55"/>
      <c r="AV118" s="55"/>
      <c r="AW118" s="55"/>
      <c r="AX118" s="55"/>
      <c r="AY118" s="55"/>
      <c r="AZ118" s="55"/>
      <c r="BA118" s="55"/>
      <c r="BB118" s="165"/>
      <c r="BC118" s="55"/>
      <c r="BD118" s="55"/>
      <c r="BE118" s="55"/>
      <c r="BF118" s="165"/>
      <c r="BG118" s="55"/>
      <c r="BH118" s="10"/>
      <c r="BI118" s="55"/>
      <c r="BJ118" s="55"/>
      <c r="BK118" s="55"/>
      <c r="BL118" s="55"/>
      <c r="BT118" s="141"/>
      <c r="CN118" s="141"/>
      <c r="DG118" s="141"/>
    </row>
    <row r="119" spans="1:111" s="93" customFormat="1" x14ac:dyDescent="0.15">
      <c r="A119" s="11">
        <f t="shared" si="14"/>
        <v>60050015</v>
      </c>
      <c r="B119" s="13">
        <v>6</v>
      </c>
      <c r="C119" s="12">
        <v>0</v>
      </c>
      <c r="D119" s="13">
        <v>5</v>
      </c>
      <c r="E119" s="13">
        <v>0</v>
      </c>
      <c r="F119" s="12">
        <v>15</v>
      </c>
      <c r="G119" s="55"/>
      <c r="H119" s="55"/>
      <c r="I119" s="55"/>
      <c r="J119" s="55"/>
      <c r="K119" s="55"/>
      <c r="L119" s="158"/>
      <c r="M119" s="10"/>
      <c r="N119" s="55"/>
      <c r="O119" s="55">
        <v>0</v>
      </c>
      <c r="P119" s="10">
        <f t="shared" si="8"/>
        <v>0</v>
      </c>
      <c r="Q119" s="10"/>
      <c r="R119" s="155" t="str">
        <f t="shared" si="9"/>
        <v/>
      </c>
      <c r="S119" s="171" t="str">
        <f t="shared" si="10"/>
        <v/>
      </c>
      <c r="T119" s="161"/>
      <c r="U119" s="55"/>
      <c r="V119" s="55"/>
      <c r="W119" s="55"/>
      <c r="X119" s="155" t="str">
        <f t="shared" si="12"/>
        <v/>
      </c>
      <c r="Y119" s="171" t="str">
        <f t="shared" si="13"/>
        <v/>
      </c>
      <c r="Z119" s="165"/>
      <c r="AA119" s="10"/>
      <c r="AB119" s="55"/>
      <c r="AC119" s="55"/>
      <c r="AD119" s="55"/>
      <c r="AE119" s="55"/>
      <c r="AF119" s="55"/>
      <c r="AG119" s="167"/>
      <c r="AH119" s="55"/>
      <c r="AI119" s="55"/>
      <c r="AJ119" s="165"/>
      <c r="AK119" s="55"/>
      <c r="AL119" s="55"/>
      <c r="AM119" s="55"/>
      <c r="AN119" s="55"/>
      <c r="AO119" s="55"/>
      <c r="AP119" s="55"/>
      <c r="AQ119" s="55"/>
      <c r="AR119" s="55"/>
      <c r="AS119" s="165"/>
      <c r="AT119" s="55"/>
      <c r="AU119" s="55"/>
      <c r="AV119" s="55"/>
      <c r="AW119" s="55"/>
      <c r="AX119" s="55"/>
      <c r="AY119" s="55"/>
      <c r="AZ119" s="55"/>
      <c r="BA119" s="55"/>
      <c r="BB119" s="165"/>
      <c r="BC119" s="55"/>
      <c r="BD119" s="55"/>
      <c r="BE119" s="55"/>
      <c r="BF119" s="165"/>
      <c r="BG119" s="55"/>
      <c r="BH119" s="10"/>
      <c r="BI119" s="55"/>
      <c r="BJ119" s="55"/>
      <c r="BK119" s="55"/>
      <c r="BL119" s="55"/>
      <c r="BT119" s="141"/>
      <c r="CN119" s="141"/>
      <c r="DG119" s="141"/>
    </row>
    <row r="120" spans="1:111" s="93" customFormat="1" x14ac:dyDescent="0.15">
      <c r="A120" s="11">
        <f t="shared" si="14"/>
        <v>60050016</v>
      </c>
      <c r="B120" s="13">
        <v>6</v>
      </c>
      <c r="C120" s="12">
        <v>0</v>
      </c>
      <c r="D120" s="13">
        <v>5</v>
      </c>
      <c r="E120" s="13">
        <v>0</v>
      </c>
      <c r="F120" s="12">
        <v>16</v>
      </c>
      <c r="G120" s="55"/>
      <c r="H120" s="55"/>
      <c r="I120" s="55"/>
      <c r="J120" s="55"/>
      <c r="K120" s="55"/>
      <c r="L120" s="158"/>
      <c r="M120" s="10"/>
      <c r="N120" s="55"/>
      <c r="O120" s="55">
        <v>0</v>
      </c>
      <c r="P120" s="10">
        <f t="shared" si="8"/>
        <v>0</v>
      </c>
      <c r="Q120" s="10"/>
      <c r="R120" s="155" t="str">
        <f t="shared" si="9"/>
        <v/>
      </c>
      <c r="S120" s="171" t="str">
        <f t="shared" si="10"/>
        <v/>
      </c>
      <c r="T120" s="161"/>
      <c r="U120" s="55"/>
      <c r="V120" s="55"/>
      <c r="W120" s="55"/>
      <c r="X120" s="155" t="str">
        <f t="shared" si="12"/>
        <v/>
      </c>
      <c r="Y120" s="171" t="str">
        <f t="shared" si="13"/>
        <v/>
      </c>
      <c r="Z120" s="165"/>
      <c r="AA120" s="10"/>
      <c r="AB120" s="55"/>
      <c r="AC120" s="55"/>
      <c r="AD120" s="55"/>
      <c r="AE120" s="55"/>
      <c r="AF120" s="55"/>
      <c r="AG120" s="167"/>
      <c r="AH120" s="55"/>
      <c r="AI120" s="55"/>
      <c r="AJ120" s="165"/>
      <c r="AK120" s="55"/>
      <c r="AL120" s="55"/>
      <c r="AM120" s="55"/>
      <c r="AN120" s="55"/>
      <c r="AO120" s="55"/>
      <c r="AP120" s="55"/>
      <c r="AQ120" s="55"/>
      <c r="AR120" s="55"/>
      <c r="AS120" s="165"/>
      <c r="AT120" s="55"/>
      <c r="AU120" s="55"/>
      <c r="AV120" s="55"/>
      <c r="AW120" s="55"/>
      <c r="AX120" s="55"/>
      <c r="AY120" s="55"/>
      <c r="AZ120" s="55"/>
      <c r="BA120" s="55"/>
      <c r="BB120" s="165"/>
      <c r="BC120" s="55"/>
      <c r="BD120" s="55"/>
      <c r="BE120" s="55"/>
      <c r="BF120" s="165"/>
      <c r="BG120" s="55"/>
      <c r="BH120" s="10"/>
      <c r="BI120" s="55"/>
      <c r="BJ120" s="55"/>
      <c r="BK120" s="55"/>
      <c r="BL120" s="55"/>
      <c r="BT120" s="141"/>
      <c r="CN120" s="141"/>
      <c r="DG120" s="141"/>
    </row>
    <row r="121" spans="1:111" s="93" customFormat="1" x14ac:dyDescent="0.15">
      <c r="A121" s="11">
        <f t="shared" si="14"/>
        <v>60050017</v>
      </c>
      <c r="B121" s="13">
        <v>6</v>
      </c>
      <c r="C121" s="12">
        <v>0</v>
      </c>
      <c r="D121" s="13">
        <v>5</v>
      </c>
      <c r="E121" s="13">
        <v>0</v>
      </c>
      <c r="F121" s="12">
        <v>17</v>
      </c>
      <c r="G121" s="55"/>
      <c r="H121" s="55"/>
      <c r="I121" s="55"/>
      <c r="J121" s="55"/>
      <c r="K121" s="55"/>
      <c r="L121" s="158"/>
      <c r="M121" s="10"/>
      <c r="N121" s="55"/>
      <c r="O121" s="55">
        <v>0</v>
      </c>
      <c r="P121" s="10">
        <f t="shared" si="8"/>
        <v>0</v>
      </c>
      <c r="Q121" s="10"/>
      <c r="R121" s="155" t="str">
        <f t="shared" si="9"/>
        <v/>
      </c>
      <c r="S121" s="171" t="str">
        <f t="shared" si="10"/>
        <v/>
      </c>
      <c r="T121" s="161"/>
      <c r="U121" s="55"/>
      <c r="V121" s="55"/>
      <c r="W121" s="55"/>
      <c r="X121" s="155" t="str">
        <f t="shared" si="12"/>
        <v/>
      </c>
      <c r="Y121" s="171" t="str">
        <f t="shared" si="13"/>
        <v/>
      </c>
      <c r="Z121" s="165"/>
      <c r="AA121" s="10"/>
      <c r="AB121" s="55"/>
      <c r="AC121" s="55"/>
      <c r="AD121" s="55"/>
      <c r="AE121" s="55"/>
      <c r="AF121" s="55"/>
      <c r="AG121" s="167"/>
      <c r="AH121" s="55"/>
      <c r="AI121" s="55"/>
      <c r="AJ121" s="165"/>
      <c r="AK121" s="55"/>
      <c r="AL121" s="55"/>
      <c r="AM121" s="55"/>
      <c r="AN121" s="55"/>
      <c r="AO121" s="55"/>
      <c r="AP121" s="55"/>
      <c r="AQ121" s="55"/>
      <c r="AR121" s="55"/>
      <c r="AS121" s="165"/>
      <c r="AT121" s="55"/>
      <c r="AU121" s="55"/>
      <c r="AV121" s="55"/>
      <c r="AW121" s="55"/>
      <c r="AX121" s="55"/>
      <c r="AY121" s="55"/>
      <c r="AZ121" s="55"/>
      <c r="BA121" s="55"/>
      <c r="BB121" s="165"/>
      <c r="BC121" s="55"/>
      <c r="BD121" s="55"/>
      <c r="BE121" s="55"/>
      <c r="BF121" s="165"/>
      <c r="BG121" s="55"/>
      <c r="BH121" s="10"/>
      <c r="BI121" s="55"/>
      <c r="BJ121" s="55"/>
      <c r="BK121" s="55"/>
      <c r="BL121" s="55"/>
      <c r="BT121" s="141"/>
      <c r="CN121" s="141"/>
      <c r="DG121" s="141"/>
    </row>
    <row r="122" spans="1:111" s="93" customFormat="1" x14ac:dyDescent="0.15">
      <c r="A122" s="11">
        <f t="shared" si="14"/>
        <v>60050018</v>
      </c>
      <c r="B122" s="13">
        <v>6</v>
      </c>
      <c r="C122" s="12">
        <v>0</v>
      </c>
      <c r="D122" s="13">
        <v>5</v>
      </c>
      <c r="E122" s="13">
        <v>0</v>
      </c>
      <c r="F122" s="12">
        <v>18</v>
      </c>
      <c r="G122" s="55"/>
      <c r="H122" s="55"/>
      <c r="I122" s="55"/>
      <c r="J122" s="55"/>
      <c r="K122" s="55"/>
      <c r="L122" s="158"/>
      <c r="M122" s="10"/>
      <c r="N122" s="55"/>
      <c r="O122" s="55">
        <v>0</v>
      </c>
      <c r="P122" s="10">
        <f t="shared" si="8"/>
        <v>0</v>
      </c>
      <c r="Q122" s="10"/>
      <c r="R122" s="155" t="str">
        <f t="shared" si="9"/>
        <v/>
      </c>
      <c r="S122" s="171" t="str">
        <f t="shared" si="10"/>
        <v/>
      </c>
      <c r="T122" s="161"/>
      <c r="U122" s="55"/>
      <c r="V122" s="55"/>
      <c r="W122" s="55"/>
      <c r="X122" s="155" t="str">
        <f t="shared" si="12"/>
        <v/>
      </c>
      <c r="Y122" s="171" t="str">
        <f t="shared" si="13"/>
        <v/>
      </c>
      <c r="Z122" s="165"/>
      <c r="AA122" s="10"/>
      <c r="AB122" s="55"/>
      <c r="AC122" s="55"/>
      <c r="AD122" s="55"/>
      <c r="AE122" s="55"/>
      <c r="AF122" s="55"/>
      <c r="AG122" s="167"/>
      <c r="AH122" s="55"/>
      <c r="AI122" s="55"/>
      <c r="AJ122" s="165"/>
      <c r="AK122" s="55"/>
      <c r="AL122" s="55"/>
      <c r="AM122" s="55"/>
      <c r="AN122" s="55"/>
      <c r="AO122" s="55"/>
      <c r="AP122" s="55"/>
      <c r="AQ122" s="55"/>
      <c r="AR122" s="55"/>
      <c r="AS122" s="165"/>
      <c r="AT122" s="55"/>
      <c r="AU122" s="55"/>
      <c r="AV122" s="55"/>
      <c r="AW122" s="55"/>
      <c r="AX122" s="55"/>
      <c r="AY122" s="55"/>
      <c r="AZ122" s="55"/>
      <c r="BA122" s="55"/>
      <c r="BB122" s="165"/>
      <c r="BC122" s="55"/>
      <c r="BD122" s="55"/>
      <c r="BE122" s="55"/>
      <c r="BF122" s="165"/>
      <c r="BG122" s="55"/>
      <c r="BH122" s="10"/>
      <c r="BI122" s="55"/>
      <c r="BJ122" s="55"/>
      <c r="BK122" s="55"/>
      <c r="BL122" s="55"/>
      <c r="BT122" s="141"/>
      <c r="CN122" s="141"/>
      <c r="DG122" s="141"/>
    </row>
    <row r="123" spans="1:111" s="93" customFormat="1" x14ac:dyDescent="0.15">
      <c r="A123" s="11">
        <f t="shared" si="14"/>
        <v>60050019</v>
      </c>
      <c r="B123" s="13">
        <v>6</v>
      </c>
      <c r="C123" s="12">
        <v>0</v>
      </c>
      <c r="D123" s="13">
        <v>5</v>
      </c>
      <c r="E123" s="13">
        <v>0</v>
      </c>
      <c r="F123" s="12">
        <v>19</v>
      </c>
      <c r="G123" s="55"/>
      <c r="H123" s="55"/>
      <c r="I123" s="55"/>
      <c r="J123" s="55"/>
      <c r="K123" s="55"/>
      <c r="L123" s="158"/>
      <c r="M123" s="10"/>
      <c r="N123" s="55"/>
      <c r="O123" s="55">
        <v>0</v>
      </c>
      <c r="P123" s="10">
        <f t="shared" si="8"/>
        <v>0</v>
      </c>
      <c r="Q123" s="10"/>
      <c r="R123" s="155" t="str">
        <f t="shared" si="9"/>
        <v/>
      </c>
      <c r="S123" s="171" t="str">
        <f t="shared" si="10"/>
        <v/>
      </c>
      <c r="T123" s="161"/>
      <c r="U123" s="55"/>
      <c r="V123" s="55"/>
      <c r="W123" s="55"/>
      <c r="X123" s="155" t="str">
        <f t="shared" si="12"/>
        <v/>
      </c>
      <c r="Y123" s="171" t="str">
        <f t="shared" si="13"/>
        <v/>
      </c>
      <c r="Z123" s="165"/>
      <c r="AA123" s="10"/>
      <c r="AB123" s="55"/>
      <c r="AC123" s="55"/>
      <c r="AD123" s="55"/>
      <c r="AE123" s="55"/>
      <c r="AF123" s="55"/>
      <c r="AG123" s="167"/>
      <c r="AH123" s="55"/>
      <c r="AI123" s="55"/>
      <c r="AJ123" s="165"/>
      <c r="AK123" s="55"/>
      <c r="AL123" s="55"/>
      <c r="AM123" s="55"/>
      <c r="AN123" s="55"/>
      <c r="AO123" s="55"/>
      <c r="AP123" s="55"/>
      <c r="AQ123" s="55"/>
      <c r="AR123" s="55"/>
      <c r="AS123" s="165"/>
      <c r="AT123" s="55"/>
      <c r="AU123" s="55"/>
      <c r="AV123" s="55"/>
      <c r="AW123" s="55"/>
      <c r="AX123" s="55"/>
      <c r="AY123" s="55"/>
      <c r="AZ123" s="55"/>
      <c r="BA123" s="55"/>
      <c r="BB123" s="165"/>
      <c r="BC123" s="55"/>
      <c r="BD123" s="55"/>
      <c r="BE123" s="55"/>
      <c r="BF123" s="165"/>
      <c r="BG123" s="55"/>
      <c r="BH123" s="10"/>
      <c r="BI123" s="55"/>
      <c r="BJ123" s="55"/>
      <c r="BK123" s="55"/>
      <c r="BL123" s="55"/>
      <c r="BT123" s="141"/>
      <c r="CN123" s="141"/>
      <c r="DG123" s="141"/>
    </row>
    <row r="124" spans="1:111" s="93" customFormat="1" ht="17.25" thickBot="1" x14ac:dyDescent="0.2">
      <c r="A124" s="11">
        <f t="shared" si="14"/>
        <v>60050020</v>
      </c>
      <c r="B124" s="108">
        <v>6</v>
      </c>
      <c r="C124" s="12">
        <v>0</v>
      </c>
      <c r="D124" s="108">
        <v>5</v>
      </c>
      <c r="E124" s="108">
        <v>0</v>
      </c>
      <c r="F124" s="109">
        <v>20</v>
      </c>
      <c r="G124" s="55"/>
      <c r="H124" s="55"/>
      <c r="I124" s="55"/>
      <c r="J124" s="55"/>
      <c r="K124" s="55"/>
      <c r="L124" s="158"/>
      <c r="M124" s="10"/>
      <c r="N124" s="55"/>
      <c r="O124" s="55">
        <v>0</v>
      </c>
      <c r="P124" s="10">
        <f t="shared" si="8"/>
        <v>0</v>
      </c>
      <c r="Q124" s="10"/>
      <c r="R124" s="155" t="str">
        <f t="shared" si="9"/>
        <v/>
      </c>
      <c r="S124" s="171" t="str">
        <f t="shared" si="10"/>
        <v/>
      </c>
      <c r="T124" s="161"/>
      <c r="U124" s="55"/>
      <c r="V124" s="55"/>
      <c r="W124" s="55"/>
      <c r="X124" s="155" t="str">
        <f t="shared" si="12"/>
        <v/>
      </c>
      <c r="Y124" s="171" t="str">
        <f t="shared" si="13"/>
        <v/>
      </c>
      <c r="Z124" s="165"/>
      <c r="AA124" s="10"/>
      <c r="AB124" s="55"/>
      <c r="AC124" s="55"/>
      <c r="AD124" s="55"/>
      <c r="AE124" s="55"/>
      <c r="AF124" s="55"/>
      <c r="AG124" s="167"/>
      <c r="AH124" s="55"/>
      <c r="AI124" s="55"/>
      <c r="AJ124" s="165"/>
      <c r="AK124" s="55"/>
      <c r="AL124" s="55"/>
      <c r="AM124" s="55"/>
      <c r="AN124" s="55"/>
      <c r="AO124" s="55"/>
      <c r="AP124" s="55"/>
      <c r="AQ124" s="55"/>
      <c r="AR124" s="55"/>
      <c r="AS124" s="165"/>
      <c r="AT124" s="55"/>
      <c r="AU124" s="55"/>
      <c r="AV124" s="55"/>
      <c r="AW124" s="55"/>
      <c r="AX124" s="55"/>
      <c r="AY124" s="55"/>
      <c r="AZ124" s="55"/>
      <c r="BA124" s="55"/>
      <c r="BB124" s="165"/>
      <c r="BC124" s="55"/>
      <c r="BD124" s="55"/>
      <c r="BE124" s="55"/>
      <c r="BF124" s="165"/>
      <c r="BG124" s="55"/>
      <c r="BH124" s="10"/>
      <c r="BI124" s="55"/>
      <c r="BJ124" s="55"/>
      <c r="BK124" s="55"/>
      <c r="BL124" s="55"/>
      <c r="BT124" s="141"/>
      <c r="CN124" s="141"/>
      <c r="DG124" s="141"/>
    </row>
    <row r="125" spans="1:111" s="110" customFormat="1" x14ac:dyDescent="0.15">
      <c r="A125" s="18">
        <f t="shared" si="14"/>
        <v>60060001</v>
      </c>
      <c r="B125" s="20">
        <v>6</v>
      </c>
      <c r="C125" s="19">
        <v>0</v>
      </c>
      <c r="D125" s="20">
        <v>6</v>
      </c>
      <c r="E125" s="20">
        <v>0</v>
      </c>
      <c r="F125" s="19">
        <v>1</v>
      </c>
      <c r="G125" s="56"/>
      <c r="H125" s="56"/>
      <c r="I125" s="56"/>
      <c r="J125" s="56"/>
      <c r="K125" s="56"/>
      <c r="L125" s="160"/>
      <c r="M125" s="17"/>
      <c r="N125" s="56"/>
      <c r="O125" s="56">
        <v>0</v>
      </c>
      <c r="P125" s="17">
        <f t="shared" si="8"/>
        <v>0</v>
      </c>
      <c r="Q125" s="17"/>
      <c r="R125" s="156" t="str">
        <f t="shared" si="9"/>
        <v/>
      </c>
      <c r="S125" s="172" t="str">
        <f t="shared" si="10"/>
        <v/>
      </c>
      <c r="T125" s="162"/>
      <c r="U125" s="56"/>
      <c r="V125" s="56"/>
      <c r="W125" s="56"/>
      <c r="X125" s="156" t="str">
        <f t="shared" si="12"/>
        <v/>
      </c>
      <c r="Y125" s="172" t="str">
        <f t="shared" si="13"/>
        <v/>
      </c>
      <c r="Z125" s="166"/>
      <c r="AA125" s="17"/>
      <c r="AB125" s="56"/>
      <c r="AC125" s="56"/>
      <c r="AD125" s="56"/>
      <c r="AE125" s="56"/>
      <c r="AF125" s="56"/>
      <c r="AG125" s="169"/>
      <c r="AH125" s="56"/>
      <c r="AI125" s="56"/>
      <c r="AJ125" s="166"/>
      <c r="AK125" s="56"/>
      <c r="AL125" s="56"/>
      <c r="AM125" s="56"/>
      <c r="AN125" s="56"/>
      <c r="AO125" s="56"/>
      <c r="AP125" s="56"/>
      <c r="AQ125" s="56"/>
      <c r="AR125" s="56"/>
      <c r="AS125" s="166"/>
      <c r="AT125" s="56"/>
      <c r="AU125" s="56"/>
      <c r="AV125" s="56"/>
      <c r="AW125" s="56"/>
      <c r="AX125" s="56"/>
      <c r="AY125" s="56"/>
      <c r="AZ125" s="56"/>
      <c r="BA125" s="56"/>
      <c r="BB125" s="166"/>
      <c r="BC125" s="56"/>
      <c r="BD125" s="56"/>
      <c r="BE125" s="56"/>
      <c r="BF125" s="166"/>
      <c r="BG125" s="56"/>
      <c r="BH125" s="17"/>
      <c r="BI125" s="56"/>
      <c r="BJ125" s="56"/>
      <c r="BK125" s="56"/>
      <c r="BL125" s="56"/>
      <c r="BT125" s="140"/>
      <c r="CN125" s="140"/>
      <c r="DG125" s="140"/>
    </row>
    <row r="126" spans="1:111" x14ac:dyDescent="0.15">
      <c r="A126" s="11">
        <f t="shared" si="14"/>
        <v>60060002</v>
      </c>
      <c r="B126" s="13">
        <v>6</v>
      </c>
      <c r="C126" s="12">
        <v>0</v>
      </c>
      <c r="D126" s="13">
        <v>6</v>
      </c>
      <c r="E126" s="13">
        <v>0</v>
      </c>
      <c r="F126" s="12">
        <v>2</v>
      </c>
      <c r="O126" s="55">
        <v>0</v>
      </c>
      <c r="P126" s="10">
        <f t="shared" si="8"/>
        <v>0</v>
      </c>
      <c r="R126" s="155" t="str">
        <f t="shared" si="9"/>
        <v/>
      </c>
      <c r="S126" s="171" t="str">
        <f t="shared" si="10"/>
        <v/>
      </c>
      <c r="X126" s="155" t="str">
        <f t="shared" si="12"/>
        <v/>
      </c>
      <c r="Y126" s="171" t="str">
        <f t="shared" si="13"/>
        <v/>
      </c>
      <c r="BM126" s="105"/>
    </row>
    <row r="127" spans="1:111" x14ac:dyDescent="0.15">
      <c r="A127" s="11">
        <f t="shared" si="14"/>
        <v>60060003</v>
      </c>
      <c r="B127" s="13">
        <v>6</v>
      </c>
      <c r="C127" s="12">
        <v>0</v>
      </c>
      <c r="D127" s="13">
        <v>6</v>
      </c>
      <c r="E127" s="13">
        <v>0</v>
      </c>
      <c r="F127" s="12">
        <v>3</v>
      </c>
      <c r="O127" s="55">
        <v>0</v>
      </c>
      <c r="P127" s="10">
        <f t="shared" si="8"/>
        <v>0</v>
      </c>
      <c r="R127" s="155" t="str">
        <f t="shared" si="9"/>
        <v/>
      </c>
      <c r="S127" s="171" t="str">
        <f t="shared" si="10"/>
        <v/>
      </c>
      <c r="X127" s="155" t="str">
        <f t="shared" si="12"/>
        <v/>
      </c>
      <c r="Y127" s="171" t="str">
        <f t="shared" si="13"/>
        <v/>
      </c>
      <c r="BM127" s="105"/>
    </row>
    <row r="128" spans="1:111" x14ac:dyDescent="0.15">
      <c r="A128" s="11">
        <f t="shared" si="14"/>
        <v>60060004</v>
      </c>
      <c r="B128" s="13">
        <v>6</v>
      </c>
      <c r="C128" s="12">
        <v>0</v>
      </c>
      <c r="D128" s="13">
        <v>6</v>
      </c>
      <c r="E128" s="13">
        <v>0</v>
      </c>
      <c r="F128" s="12">
        <v>4</v>
      </c>
      <c r="O128" s="55">
        <v>0</v>
      </c>
      <c r="P128" s="10">
        <f t="shared" si="8"/>
        <v>0</v>
      </c>
      <c r="R128" s="155" t="str">
        <f t="shared" si="9"/>
        <v/>
      </c>
      <c r="S128" s="171" t="str">
        <f t="shared" si="10"/>
        <v/>
      </c>
      <c r="X128" s="155" t="str">
        <f t="shared" si="12"/>
        <v/>
      </c>
      <c r="Y128" s="171" t="str">
        <f t="shared" si="13"/>
        <v/>
      </c>
    </row>
    <row r="129" spans="1:111" x14ac:dyDescent="0.15">
      <c r="A129" s="11">
        <f t="shared" si="14"/>
        <v>60060005</v>
      </c>
      <c r="B129" s="13">
        <v>6</v>
      </c>
      <c r="C129" s="12">
        <v>0</v>
      </c>
      <c r="D129" s="13">
        <v>6</v>
      </c>
      <c r="E129" s="13">
        <v>0</v>
      </c>
      <c r="F129" s="12">
        <v>5</v>
      </c>
      <c r="O129" s="55">
        <v>0</v>
      </c>
      <c r="P129" s="10">
        <f t="shared" si="8"/>
        <v>0</v>
      </c>
      <c r="R129" s="155" t="str">
        <f t="shared" si="9"/>
        <v/>
      </c>
      <c r="S129" s="171" t="str">
        <f t="shared" si="10"/>
        <v/>
      </c>
      <c r="X129" s="155" t="str">
        <f t="shared" si="12"/>
        <v/>
      </c>
      <c r="Y129" s="171" t="str">
        <f t="shared" si="13"/>
        <v/>
      </c>
    </row>
    <row r="130" spans="1:111" x14ac:dyDescent="0.15">
      <c r="A130" s="11">
        <f t="shared" si="14"/>
        <v>60060006</v>
      </c>
      <c r="B130" s="13">
        <v>6</v>
      </c>
      <c r="C130" s="12">
        <v>0</v>
      </c>
      <c r="D130" s="13">
        <v>6</v>
      </c>
      <c r="E130" s="13">
        <v>0</v>
      </c>
      <c r="F130" s="12">
        <v>6</v>
      </c>
      <c r="O130" s="55">
        <v>0</v>
      </c>
      <c r="P130" s="10">
        <f t="shared" si="8"/>
        <v>0</v>
      </c>
      <c r="R130" s="155" t="str">
        <f t="shared" si="9"/>
        <v/>
      </c>
      <c r="S130" s="171" t="str">
        <f t="shared" si="10"/>
        <v/>
      </c>
      <c r="X130" s="155" t="str">
        <f t="shared" si="12"/>
        <v/>
      </c>
      <c r="Y130" s="171" t="str">
        <f t="shared" si="13"/>
        <v/>
      </c>
    </row>
    <row r="131" spans="1:111" x14ac:dyDescent="0.15">
      <c r="A131" s="11">
        <f t="shared" si="14"/>
        <v>60060007</v>
      </c>
      <c r="B131" s="13">
        <v>6</v>
      </c>
      <c r="C131" s="12">
        <v>0</v>
      </c>
      <c r="D131" s="13">
        <v>6</v>
      </c>
      <c r="E131" s="13">
        <v>0</v>
      </c>
      <c r="F131" s="12">
        <v>7</v>
      </c>
      <c r="O131" s="55">
        <v>0</v>
      </c>
      <c r="P131" s="10">
        <f t="shared" si="8"/>
        <v>0</v>
      </c>
      <c r="R131" s="155" t="str">
        <f t="shared" si="9"/>
        <v/>
      </c>
      <c r="S131" s="171" t="str">
        <f t="shared" si="10"/>
        <v/>
      </c>
      <c r="X131" s="155" t="str">
        <f t="shared" si="12"/>
        <v/>
      </c>
      <c r="Y131" s="171" t="str">
        <f t="shared" si="13"/>
        <v/>
      </c>
    </row>
    <row r="132" spans="1:111" x14ac:dyDescent="0.15">
      <c r="A132" s="11">
        <f t="shared" si="14"/>
        <v>60060008</v>
      </c>
      <c r="B132" s="13">
        <v>6</v>
      </c>
      <c r="C132" s="12">
        <v>0</v>
      </c>
      <c r="D132" s="13">
        <v>6</v>
      </c>
      <c r="E132" s="13">
        <v>0</v>
      </c>
      <c r="F132" s="12">
        <v>8</v>
      </c>
      <c r="O132" s="55">
        <v>0</v>
      </c>
      <c r="P132" s="10">
        <f t="shared" si="8"/>
        <v>0</v>
      </c>
      <c r="R132" s="155" t="str">
        <f t="shared" si="9"/>
        <v/>
      </c>
      <c r="S132" s="171" t="str">
        <f t="shared" si="10"/>
        <v/>
      </c>
      <c r="X132" s="155" t="str">
        <f t="shared" si="12"/>
        <v/>
      </c>
      <c r="Y132" s="171" t="str">
        <f t="shared" si="13"/>
        <v/>
      </c>
    </row>
    <row r="133" spans="1:111" x14ac:dyDescent="0.15">
      <c r="A133" s="11">
        <f t="shared" si="14"/>
        <v>60060009</v>
      </c>
      <c r="B133" s="13">
        <v>6</v>
      </c>
      <c r="C133" s="12">
        <v>0</v>
      </c>
      <c r="D133" s="13">
        <v>6</v>
      </c>
      <c r="E133" s="13">
        <v>0</v>
      </c>
      <c r="F133" s="12">
        <v>9</v>
      </c>
      <c r="O133" s="55">
        <v>0</v>
      </c>
      <c r="P133" s="10">
        <f t="shared" si="8"/>
        <v>0</v>
      </c>
      <c r="R133" s="155" t="str">
        <f t="shared" si="9"/>
        <v/>
      </c>
      <c r="S133" s="171" t="str">
        <f t="shared" si="10"/>
        <v/>
      </c>
      <c r="X133" s="155" t="str">
        <f t="shared" si="12"/>
        <v/>
      </c>
      <c r="Y133" s="171" t="str">
        <f t="shared" si="13"/>
        <v/>
      </c>
    </row>
    <row r="134" spans="1:111" x14ac:dyDescent="0.15">
      <c r="A134" s="11">
        <f t="shared" si="14"/>
        <v>60060010</v>
      </c>
      <c r="B134" s="13">
        <v>6</v>
      </c>
      <c r="C134" s="12">
        <v>0</v>
      </c>
      <c r="D134" s="13">
        <v>6</v>
      </c>
      <c r="E134" s="13">
        <v>0</v>
      </c>
      <c r="F134" s="12">
        <v>10</v>
      </c>
      <c r="O134" s="55">
        <v>0</v>
      </c>
      <c r="P134" s="10">
        <f t="shared" ref="P134:P197" si="15">Q134*12</f>
        <v>0</v>
      </c>
      <c r="R134" s="155" t="str">
        <f t="shared" ref="R134:R197" si="16">IF((1-(1-O134/100000)^1440)=0,"",1-(1-O134/100000)^1440)</f>
        <v/>
      </c>
      <c r="S134" s="171" t="str">
        <f t="shared" ref="S134:S197" si="17">IF((O134/100000)*1440=0,"",(O134/100000)*1440)</f>
        <v/>
      </c>
      <c r="X134" s="155" t="str">
        <f t="shared" si="12"/>
        <v/>
      </c>
      <c r="Y134" s="171" t="str">
        <f t="shared" si="13"/>
        <v/>
      </c>
    </row>
    <row r="135" spans="1:111" s="93" customFormat="1" x14ac:dyDescent="0.15">
      <c r="A135" s="11">
        <f t="shared" si="14"/>
        <v>60060011</v>
      </c>
      <c r="B135" s="13">
        <v>6</v>
      </c>
      <c r="C135" s="12">
        <v>0</v>
      </c>
      <c r="D135" s="13">
        <v>6</v>
      </c>
      <c r="E135" s="13">
        <v>0</v>
      </c>
      <c r="F135" s="12">
        <v>11</v>
      </c>
      <c r="G135" s="55"/>
      <c r="H135" s="55"/>
      <c r="I135" s="55"/>
      <c r="J135" s="55"/>
      <c r="K135" s="55"/>
      <c r="L135" s="158"/>
      <c r="M135" s="10"/>
      <c r="N135" s="55"/>
      <c r="O135" s="55">
        <v>0</v>
      </c>
      <c r="P135" s="10">
        <f t="shared" si="15"/>
        <v>0</v>
      </c>
      <c r="Q135" s="10"/>
      <c r="R135" s="155" t="str">
        <f t="shared" si="16"/>
        <v/>
      </c>
      <c r="S135" s="171" t="str">
        <f t="shared" si="17"/>
        <v/>
      </c>
      <c r="T135" s="161"/>
      <c r="U135" s="55"/>
      <c r="V135" s="55"/>
      <c r="W135" s="55"/>
      <c r="X135" s="155" t="str">
        <f t="shared" si="12"/>
        <v/>
      </c>
      <c r="Y135" s="171" t="str">
        <f t="shared" si="13"/>
        <v/>
      </c>
      <c r="Z135" s="165"/>
      <c r="AA135" s="10"/>
      <c r="AB135" s="55"/>
      <c r="AC135" s="55"/>
      <c r="AD135" s="55"/>
      <c r="AE135" s="55"/>
      <c r="AF135" s="55"/>
      <c r="AG135" s="167"/>
      <c r="AH135" s="55"/>
      <c r="AI135" s="55"/>
      <c r="AJ135" s="165"/>
      <c r="AK135" s="55"/>
      <c r="AL135" s="55"/>
      <c r="AM135" s="55"/>
      <c r="AN135" s="55"/>
      <c r="AO135" s="55"/>
      <c r="AP135" s="55"/>
      <c r="AQ135" s="55"/>
      <c r="AR135" s="55"/>
      <c r="AS135" s="165"/>
      <c r="AT135" s="55"/>
      <c r="AU135" s="55"/>
      <c r="AV135" s="55"/>
      <c r="AW135" s="55"/>
      <c r="AX135" s="55"/>
      <c r="AY135" s="55"/>
      <c r="AZ135" s="55"/>
      <c r="BA135" s="55"/>
      <c r="BB135" s="165"/>
      <c r="BC135" s="55"/>
      <c r="BD135" s="55"/>
      <c r="BE135" s="55"/>
      <c r="BF135" s="165"/>
      <c r="BG135" s="55"/>
      <c r="BH135" s="10"/>
      <c r="BI135" s="55"/>
      <c r="BJ135" s="55"/>
      <c r="BK135" s="55"/>
      <c r="BL135" s="55"/>
      <c r="BT135" s="141"/>
      <c r="CN135" s="141"/>
      <c r="DG135" s="141"/>
    </row>
    <row r="136" spans="1:111" s="93" customFormat="1" x14ac:dyDescent="0.15">
      <c r="A136" s="11">
        <f t="shared" si="14"/>
        <v>60060012</v>
      </c>
      <c r="B136" s="13">
        <v>6</v>
      </c>
      <c r="C136" s="12">
        <v>0</v>
      </c>
      <c r="D136" s="13">
        <v>6</v>
      </c>
      <c r="E136" s="13">
        <v>0</v>
      </c>
      <c r="F136" s="12">
        <v>12</v>
      </c>
      <c r="G136" s="55"/>
      <c r="H136" s="55"/>
      <c r="I136" s="55"/>
      <c r="J136" s="55"/>
      <c r="K136" s="55"/>
      <c r="L136" s="158"/>
      <c r="M136" s="10"/>
      <c r="N136" s="55"/>
      <c r="O136" s="55">
        <v>0</v>
      </c>
      <c r="P136" s="10">
        <f t="shared" si="15"/>
        <v>0</v>
      </c>
      <c r="Q136" s="10"/>
      <c r="R136" s="155" t="str">
        <f t="shared" si="16"/>
        <v/>
      </c>
      <c r="S136" s="171" t="str">
        <f t="shared" si="17"/>
        <v/>
      </c>
      <c r="T136" s="161"/>
      <c r="U136" s="55"/>
      <c r="V136" s="55"/>
      <c r="W136" s="55"/>
      <c r="X136" s="155" t="str">
        <f t="shared" si="12"/>
        <v/>
      </c>
      <c r="Y136" s="171" t="str">
        <f t="shared" si="13"/>
        <v/>
      </c>
      <c r="Z136" s="165"/>
      <c r="AA136" s="10"/>
      <c r="AB136" s="55"/>
      <c r="AC136" s="55"/>
      <c r="AD136" s="55"/>
      <c r="AE136" s="55"/>
      <c r="AF136" s="55"/>
      <c r="AG136" s="167"/>
      <c r="AH136" s="55"/>
      <c r="AI136" s="55"/>
      <c r="AJ136" s="165"/>
      <c r="AK136" s="55"/>
      <c r="AL136" s="55"/>
      <c r="AM136" s="55"/>
      <c r="AN136" s="55"/>
      <c r="AO136" s="55"/>
      <c r="AP136" s="55"/>
      <c r="AQ136" s="55"/>
      <c r="AR136" s="55"/>
      <c r="AS136" s="165"/>
      <c r="AT136" s="55"/>
      <c r="AU136" s="55"/>
      <c r="AV136" s="55"/>
      <c r="AW136" s="55"/>
      <c r="AX136" s="55"/>
      <c r="AY136" s="55"/>
      <c r="AZ136" s="55"/>
      <c r="BA136" s="55"/>
      <c r="BB136" s="165"/>
      <c r="BC136" s="55"/>
      <c r="BD136" s="55"/>
      <c r="BE136" s="55"/>
      <c r="BF136" s="165"/>
      <c r="BG136" s="55"/>
      <c r="BH136" s="10"/>
      <c r="BI136" s="55"/>
      <c r="BJ136" s="55"/>
      <c r="BK136" s="55"/>
      <c r="BL136" s="55"/>
      <c r="BT136" s="141"/>
      <c r="CN136" s="141"/>
      <c r="DG136" s="141"/>
    </row>
    <row r="137" spans="1:111" s="93" customFormat="1" x14ac:dyDescent="0.15">
      <c r="A137" s="11">
        <f t="shared" si="14"/>
        <v>60060013</v>
      </c>
      <c r="B137" s="13">
        <v>6</v>
      </c>
      <c r="C137" s="12">
        <v>0</v>
      </c>
      <c r="D137" s="13">
        <v>6</v>
      </c>
      <c r="E137" s="13">
        <v>0</v>
      </c>
      <c r="F137" s="12">
        <v>13</v>
      </c>
      <c r="G137" s="55"/>
      <c r="H137" s="55"/>
      <c r="I137" s="55"/>
      <c r="J137" s="55"/>
      <c r="K137" s="55"/>
      <c r="L137" s="158"/>
      <c r="M137" s="10"/>
      <c r="N137" s="55"/>
      <c r="O137" s="55">
        <v>0</v>
      </c>
      <c r="P137" s="10">
        <f t="shared" si="15"/>
        <v>0</v>
      </c>
      <c r="Q137" s="10"/>
      <c r="R137" s="155" t="str">
        <f t="shared" si="16"/>
        <v/>
      </c>
      <c r="S137" s="171" t="str">
        <f t="shared" si="17"/>
        <v/>
      </c>
      <c r="T137" s="161"/>
      <c r="U137" s="55"/>
      <c r="V137" s="55"/>
      <c r="W137" s="55"/>
      <c r="X137" s="155" t="str">
        <f t="shared" si="12"/>
        <v/>
      </c>
      <c r="Y137" s="171" t="str">
        <f t="shared" si="13"/>
        <v/>
      </c>
      <c r="Z137" s="165"/>
      <c r="AA137" s="10"/>
      <c r="AB137" s="55"/>
      <c r="AC137" s="55"/>
      <c r="AD137" s="55"/>
      <c r="AE137" s="55"/>
      <c r="AF137" s="55"/>
      <c r="AG137" s="167"/>
      <c r="AH137" s="55"/>
      <c r="AI137" s="55"/>
      <c r="AJ137" s="165"/>
      <c r="AK137" s="55"/>
      <c r="AL137" s="55"/>
      <c r="AM137" s="55"/>
      <c r="AN137" s="55"/>
      <c r="AO137" s="55"/>
      <c r="AP137" s="55"/>
      <c r="AQ137" s="55"/>
      <c r="AR137" s="55"/>
      <c r="AS137" s="165"/>
      <c r="AT137" s="55"/>
      <c r="AU137" s="55"/>
      <c r="AV137" s="55"/>
      <c r="AW137" s="55"/>
      <c r="AX137" s="55"/>
      <c r="AY137" s="55"/>
      <c r="AZ137" s="55"/>
      <c r="BA137" s="55"/>
      <c r="BB137" s="165"/>
      <c r="BC137" s="55"/>
      <c r="BD137" s="55"/>
      <c r="BE137" s="55"/>
      <c r="BF137" s="165"/>
      <c r="BG137" s="55"/>
      <c r="BH137" s="10"/>
      <c r="BI137" s="55"/>
      <c r="BJ137" s="55"/>
      <c r="BK137" s="55"/>
      <c r="BL137" s="55"/>
      <c r="BT137" s="141"/>
      <c r="CN137" s="141"/>
      <c r="DG137" s="141"/>
    </row>
    <row r="138" spans="1:111" s="93" customFormat="1" x14ac:dyDescent="0.15">
      <c r="A138" s="11">
        <f t="shared" si="14"/>
        <v>60060014</v>
      </c>
      <c r="B138" s="13">
        <v>6</v>
      </c>
      <c r="C138" s="12">
        <v>0</v>
      </c>
      <c r="D138" s="13">
        <v>6</v>
      </c>
      <c r="E138" s="13">
        <v>0</v>
      </c>
      <c r="F138" s="12">
        <v>14</v>
      </c>
      <c r="G138" s="55"/>
      <c r="H138" s="55"/>
      <c r="I138" s="55"/>
      <c r="J138" s="55"/>
      <c r="K138" s="55"/>
      <c r="L138" s="158"/>
      <c r="M138" s="10"/>
      <c r="N138" s="55"/>
      <c r="O138" s="55">
        <v>0</v>
      </c>
      <c r="P138" s="10">
        <f t="shared" si="15"/>
        <v>0</v>
      </c>
      <c r="Q138" s="10"/>
      <c r="R138" s="155" t="str">
        <f t="shared" si="16"/>
        <v/>
      </c>
      <c r="S138" s="171" t="str">
        <f t="shared" si="17"/>
        <v/>
      </c>
      <c r="T138" s="161"/>
      <c r="U138" s="55"/>
      <c r="V138" s="55"/>
      <c r="W138" s="55"/>
      <c r="X138" s="155" t="str">
        <f t="shared" si="12"/>
        <v/>
      </c>
      <c r="Y138" s="171" t="str">
        <f t="shared" si="13"/>
        <v/>
      </c>
      <c r="Z138" s="165"/>
      <c r="AA138" s="10"/>
      <c r="AB138" s="55"/>
      <c r="AC138" s="55"/>
      <c r="AD138" s="55"/>
      <c r="AE138" s="55"/>
      <c r="AF138" s="55"/>
      <c r="AG138" s="167"/>
      <c r="AH138" s="55"/>
      <c r="AI138" s="55"/>
      <c r="AJ138" s="165"/>
      <c r="AK138" s="55"/>
      <c r="AL138" s="55"/>
      <c r="AM138" s="55"/>
      <c r="AN138" s="55"/>
      <c r="AO138" s="55"/>
      <c r="AP138" s="55"/>
      <c r="AQ138" s="55"/>
      <c r="AR138" s="55"/>
      <c r="AS138" s="165"/>
      <c r="AT138" s="55"/>
      <c r="AU138" s="55"/>
      <c r="AV138" s="55"/>
      <c r="AW138" s="55"/>
      <c r="AX138" s="55"/>
      <c r="AY138" s="55"/>
      <c r="AZ138" s="55"/>
      <c r="BA138" s="55"/>
      <c r="BB138" s="165"/>
      <c r="BC138" s="55"/>
      <c r="BD138" s="55"/>
      <c r="BE138" s="55"/>
      <c r="BF138" s="165"/>
      <c r="BG138" s="55"/>
      <c r="BH138" s="10"/>
      <c r="BI138" s="55"/>
      <c r="BJ138" s="55"/>
      <c r="BK138" s="55"/>
      <c r="BL138" s="55"/>
      <c r="BT138" s="141"/>
      <c r="CN138" s="141"/>
      <c r="DG138" s="141"/>
    </row>
    <row r="139" spans="1:111" s="93" customFormat="1" x14ac:dyDescent="0.15">
      <c r="A139" s="11">
        <f t="shared" si="14"/>
        <v>60060015</v>
      </c>
      <c r="B139" s="13">
        <v>6</v>
      </c>
      <c r="C139" s="12">
        <v>0</v>
      </c>
      <c r="D139" s="13">
        <v>6</v>
      </c>
      <c r="E139" s="13">
        <v>0</v>
      </c>
      <c r="F139" s="12">
        <v>15</v>
      </c>
      <c r="G139" s="55"/>
      <c r="H139" s="55"/>
      <c r="I139" s="55"/>
      <c r="J139" s="55"/>
      <c r="K139" s="55"/>
      <c r="L139" s="158"/>
      <c r="M139" s="10"/>
      <c r="N139" s="55"/>
      <c r="O139" s="55">
        <v>0</v>
      </c>
      <c r="P139" s="10">
        <f t="shared" si="15"/>
        <v>0</v>
      </c>
      <c r="Q139" s="10"/>
      <c r="R139" s="155" t="str">
        <f t="shared" si="16"/>
        <v/>
      </c>
      <c r="S139" s="171" t="str">
        <f t="shared" si="17"/>
        <v/>
      </c>
      <c r="T139" s="161"/>
      <c r="U139" s="55"/>
      <c r="V139" s="55"/>
      <c r="W139" s="55"/>
      <c r="X139" s="155" t="str">
        <f t="shared" si="12"/>
        <v/>
      </c>
      <c r="Y139" s="171" t="str">
        <f t="shared" si="13"/>
        <v/>
      </c>
      <c r="Z139" s="165"/>
      <c r="AA139" s="10"/>
      <c r="AB139" s="55"/>
      <c r="AC139" s="55"/>
      <c r="AD139" s="55"/>
      <c r="AE139" s="55"/>
      <c r="AF139" s="55"/>
      <c r="AG139" s="167"/>
      <c r="AH139" s="55"/>
      <c r="AI139" s="55"/>
      <c r="AJ139" s="165"/>
      <c r="AK139" s="55"/>
      <c r="AL139" s="55"/>
      <c r="AM139" s="55"/>
      <c r="AN139" s="55"/>
      <c r="AO139" s="55"/>
      <c r="AP139" s="55"/>
      <c r="AQ139" s="55"/>
      <c r="AR139" s="55"/>
      <c r="AS139" s="165"/>
      <c r="AT139" s="55"/>
      <c r="AU139" s="55"/>
      <c r="AV139" s="55"/>
      <c r="AW139" s="55"/>
      <c r="AX139" s="55"/>
      <c r="AY139" s="55"/>
      <c r="AZ139" s="55"/>
      <c r="BA139" s="55"/>
      <c r="BB139" s="165"/>
      <c r="BC139" s="55"/>
      <c r="BD139" s="55"/>
      <c r="BE139" s="55"/>
      <c r="BF139" s="165"/>
      <c r="BG139" s="55"/>
      <c r="BH139" s="10"/>
      <c r="BI139" s="55"/>
      <c r="BJ139" s="55"/>
      <c r="BK139" s="55"/>
      <c r="BL139" s="55"/>
      <c r="BT139" s="141"/>
      <c r="CN139" s="141"/>
      <c r="DG139" s="141"/>
    </row>
    <row r="140" spans="1:111" s="93" customFormat="1" x14ac:dyDescent="0.15">
      <c r="A140" s="11">
        <f t="shared" si="14"/>
        <v>60060016</v>
      </c>
      <c r="B140" s="13">
        <v>6</v>
      </c>
      <c r="C140" s="12">
        <v>0</v>
      </c>
      <c r="D140" s="13">
        <v>6</v>
      </c>
      <c r="E140" s="13">
        <v>0</v>
      </c>
      <c r="F140" s="12">
        <v>16</v>
      </c>
      <c r="G140" s="55"/>
      <c r="H140" s="55"/>
      <c r="I140" s="55"/>
      <c r="J140" s="55"/>
      <c r="K140" s="55"/>
      <c r="L140" s="158"/>
      <c r="M140" s="10"/>
      <c r="N140" s="55"/>
      <c r="O140" s="55">
        <v>0</v>
      </c>
      <c r="P140" s="10">
        <f t="shared" si="15"/>
        <v>0</v>
      </c>
      <c r="Q140" s="10"/>
      <c r="R140" s="155" t="str">
        <f t="shared" si="16"/>
        <v/>
      </c>
      <c r="S140" s="171" t="str">
        <f t="shared" si="17"/>
        <v/>
      </c>
      <c r="T140" s="161"/>
      <c r="U140" s="55"/>
      <c r="V140" s="55"/>
      <c r="W140" s="55"/>
      <c r="X140" s="155" t="str">
        <f t="shared" si="12"/>
        <v/>
      </c>
      <c r="Y140" s="171" t="str">
        <f t="shared" si="13"/>
        <v/>
      </c>
      <c r="Z140" s="165"/>
      <c r="AA140" s="10"/>
      <c r="AB140" s="55"/>
      <c r="AC140" s="55"/>
      <c r="AD140" s="55"/>
      <c r="AE140" s="55"/>
      <c r="AF140" s="55"/>
      <c r="AG140" s="167"/>
      <c r="AH140" s="55"/>
      <c r="AI140" s="55"/>
      <c r="AJ140" s="165"/>
      <c r="AK140" s="55"/>
      <c r="AL140" s="55"/>
      <c r="AM140" s="55"/>
      <c r="AN140" s="55"/>
      <c r="AO140" s="55"/>
      <c r="AP140" s="55"/>
      <c r="AQ140" s="55"/>
      <c r="AR140" s="55"/>
      <c r="AS140" s="165"/>
      <c r="AT140" s="55"/>
      <c r="AU140" s="55"/>
      <c r="AV140" s="55"/>
      <c r="AW140" s="55"/>
      <c r="AX140" s="55"/>
      <c r="AY140" s="55"/>
      <c r="AZ140" s="55"/>
      <c r="BA140" s="55"/>
      <c r="BB140" s="165"/>
      <c r="BC140" s="55"/>
      <c r="BD140" s="55"/>
      <c r="BE140" s="55"/>
      <c r="BF140" s="165"/>
      <c r="BG140" s="55"/>
      <c r="BH140" s="10"/>
      <c r="BI140" s="55"/>
      <c r="BJ140" s="55"/>
      <c r="BK140" s="55"/>
      <c r="BL140" s="55"/>
      <c r="BT140" s="141"/>
      <c r="CN140" s="141"/>
      <c r="DG140" s="141"/>
    </row>
    <row r="141" spans="1:111" s="93" customFormat="1" x14ac:dyDescent="0.15">
      <c r="A141" s="11">
        <f t="shared" si="14"/>
        <v>60060017</v>
      </c>
      <c r="B141" s="13">
        <v>6</v>
      </c>
      <c r="C141" s="12">
        <v>0</v>
      </c>
      <c r="D141" s="13">
        <v>6</v>
      </c>
      <c r="E141" s="13">
        <v>0</v>
      </c>
      <c r="F141" s="12">
        <v>17</v>
      </c>
      <c r="G141" s="55"/>
      <c r="H141" s="55"/>
      <c r="I141" s="55"/>
      <c r="J141" s="55"/>
      <c r="K141" s="55"/>
      <c r="L141" s="158"/>
      <c r="M141" s="10"/>
      <c r="N141" s="55"/>
      <c r="O141" s="55">
        <v>0</v>
      </c>
      <c r="P141" s="10">
        <f t="shared" si="15"/>
        <v>0</v>
      </c>
      <c r="Q141" s="10"/>
      <c r="R141" s="155" t="str">
        <f t="shared" si="16"/>
        <v/>
      </c>
      <c r="S141" s="171" t="str">
        <f t="shared" si="17"/>
        <v/>
      </c>
      <c r="T141" s="161"/>
      <c r="U141" s="55"/>
      <c r="V141" s="55"/>
      <c r="W141" s="55"/>
      <c r="X141" s="155" t="str">
        <f t="shared" si="12"/>
        <v/>
      </c>
      <c r="Y141" s="171" t="str">
        <f t="shared" si="13"/>
        <v/>
      </c>
      <c r="Z141" s="165"/>
      <c r="AA141" s="10"/>
      <c r="AB141" s="55"/>
      <c r="AC141" s="55"/>
      <c r="AD141" s="55"/>
      <c r="AE141" s="55"/>
      <c r="AF141" s="55"/>
      <c r="AG141" s="167"/>
      <c r="AH141" s="55"/>
      <c r="AI141" s="55"/>
      <c r="AJ141" s="165"/>
      <c r="AK141" s="55"/>
      <c r="AL141" s="55"/>
      <c r="AM141" s="55"/>
      <c r="AN141" s="55"/>
      <c r="AO141" s="55"/>
      <c r="AP141" s="55"/>
      <c r="AQ141" s="55"/>
      <c r="AR141" s="55"/>
      <c r="AS141" s="165"/>
      <c r="AT141" s="55"/>
      <c r="AU141" s="55"/>
      <c r="AV141" s="55"/>
      <c r="AW141" s="55"/>
      <c r="AX141" s="55"/>
      <c r="AY141" s="55"/>
      <c r="AZ141" s="55"/>
      <c r="BA141" s="55"/>
      <c r="BB141" s="165"/>
      <c r="BC141" s="55"/>
      <c r="BD141" s="55"/>
      <c r="BE141" s="55"/>
      <c r="BF141" s="165"/>
      <c r="BG141" s="55"/>
      <c r="BH141" s="10"/>
      <c r="BI141" s="55"/>
      <c r="BJ141" s="55"/>
      <c r="BK141" s="55"/>
      <c r="BL141" s="55"/>
      <c r="BT141" s="141"/>
      <c r="CN141" s="141"/>
      <c r="DG141" s="141"/>
    </row>
    <row r="142" spans="1:111" s="93" customFormat="1" x14ac:dyDescent="0.15">
      <c r="A142" s="11">
        <f t="shared" si="14"/>
        <v>60060018</v>
      </c>
      <c r="B142" s="13">
        <v>6</v>
      </c>
      <c r="C142" s="12">
        <v>0</v>
      </c>
      <c r="D142" s="13">
        <v>6</v>
      </c>
      <c r="E142" s="13">
        <v>0</v>
      </c>
      <c r="F142" s="12">
        <v>18</v>
      </c>
      <c r="G142" s="55"/>
      <c r="H142" s="55"/>
      <c r="I142" s="55"/>
      <c r="J142" s="55"/>
      <c r="K142" s="55"/>
      <c r="L142" s="158"/>
      <c r="M142" s="10"/>
      <c r="N142" s="55"/>
      <c r="O142" s="55">
        <v>0</v>
      </c>
      <c r="P142" s="10">
        <f t="shared" si="15"/>
        <v>0</v>
      </c>
      <c r="Q142" s="10"/>
      <c r="R142" s="155" t="str">
        <f t="shared" si="16"/>
        <v/>
      </c>
      <c r="S142" s="171" t="str">
        <f t="shared" si="17"/>
        <v/>
      </c>
      <c r="T142" s="161"/>
      <c r="U142" s="55"/>
      <c r="V142" s="55"/>
      <c r="W142" s="55"/>
      <c r="X142" s="155" t="str">
        <f t="shared" si="12"/>
        <v/>
      </c>
      <c r="Y142" s="171" t="str">
        <f t="shared" si="13"/>
        <v/>
      </c>
      <c r="Z142" s="165"/>
      <c r="AA142" s="10"/>
      <c r="AB142" s="55"/>
      <c r="AC142" s="55"/>
      <c r="AD142" s="55"/>
      <c r="AE142" s="55"/>
      <c r="AF142" s="55"/>
      <c r="AG142" s="167"/>
      <c r="AH142" s="55"/>
      <c r="AI142" s="55"/>
      <c r="AJ142" s="165"/>
      <c r="AK142" s="55"/>
      <c r="AL142" s="55"/>
      <c r="AM142" s="55"/>
      <c r="AN142" s="55"/>
      <c r="AO142" s="55"/>
      <c r="AP142" s="55"/>
      <c r="AQ142" s="55"/>
      <c r="AR142" s="55"/>
      <c r="AS142" s="165"/>
      <c r="AT142" s="55"/>
      <c r="AU142" s="55"/>
      <c r="AV142" s="55"/>
      <c r="AW142" s="55"/>
      <c r="AX142" s="55"/>
      <c r="AY142" s="55"/>
      <c r="AZ142" s="55"/>
      <c r="BA142" s="55"/>
      <c r="BB142" s="165"/>
      <c r="BC142" s="55"/>
      <c r="BD142" s="55"/>
      <c r="BE142" s="55"/>
      <c r="BF142" s="165"/>
      <c r="BG142" s="55"/>
      <c r="BH142" s="10"/>
      <c r="BI142" s="55"/>
      <c r="BJ142" s="55"/>
      <c r="BK142" s="55"/>
      <c r="BL142" s="55"/>
      <c r="BT142" s="141"/>
      <c r="CN142" s="141"/>
      <c r="DG142" s="141"/>
    </row>
    <row r="143" spans="1:111" s="93" customFormat="1" x14ac:dyDescent="0.15">
      <c r="A143" s="11">
        <f t="shared" si="14"/>
        <v>60060019</v>
      </c>
      <c r="B143" s="13">
        <v>6</v>
      </c>
      <c r="C143" s="12">
        <v>0</v>
      </c>
      <c r="D143" s="13">
        <v>6</v>
      </c>
      <c r="E143" s="13">
        <v>0</v>
      </c>
      <c r="F143" s="12">
        <v>19</v>
      </c>
      <c r="G143" s="55"/>
      <c r="H143" s="55"/>
      <c r="I143" s="55"/>
      <c r="J143" s="55"/>
      <c r="K143" s="55"/>
      <c r="L143" s="158"/>
      <c r="M143" s="10"/>
      <c r="N143" s="55"/>
      <c r="O143" s="55">
        <v>0</v>
      </c>
      <c r="P143" s="10">
        <f t="shared" si="15"/>
        <v>0</v>
      </c>
      <c r="Q143" s="10"/>
      <c r="R143" s="155" t="str">
        <f t="shared" si="16"/>
        <v/>
      </c>
      <c r="S143" s="171" t="str">
        <f t="shared" si="17"/>
        <v/>
      </c>
      <c r="T143" s="161"/>
      <c r="U143" s="55"/>
      <c r="V143" s="55"/>
      <c r="W143" s="55"/>
      <c r="X143" s="155" t="str">
        <f t="shared" si="12"/>
        <v/>
      </c>
      <c r="Y143" s="171" t="str">
        <f t="shared" si="13"/>
        <v/>
      </c>
      <c r="Z143" s="165"/>
      <c r="AA143" s="10"/>
      <c r="AB143" s="55"/>
      <c r="AC143" s="55"/>
      <c r="AD143" s="55"/>
      <c r="AE143" s="55"/>
      <c r="AF143" s="55"/>
      <c r="AG143" s="167"/>
      <c r="AH143" s="55"/>
      <c r="AI143" s="55"/>
      <c r="AJ143" s="165"/>
      <c r="AK143" s="55"/>
      <c r="AL143" s="55"/>
      <c r="AM143" s="55"/>
      <c r="AN143" s="55"/>
      <c r="AO143" s="55"/>
      <c r="AP143" s="55"/>
      <c r="AQ143" s="55"/>
      <c r="AR143" s="55"/>
      <c r="AS143" s="165"/>
      <c r="AT143" s="55"/>
      <c r="AU143" s="55"/>
      <c r="AV143" s="55"/>
      <c r="AW143" s="55"/>
      <c r="AX143" s="55"/>
      <c r="AY143" s="55"/>
      <c r="AZ143" s="55"/>
      <c r="BA143" s="55"/>
      <c r="BB143" s="165"/>
      <c r="BC143" s="55"/>
      <c r="BD143" s="55"/>
      <c r="BE143" s="55"/>
      <c r="BF143" s="165"/>
      <c r="BG143" s="55"/>
      <c r="BH143" s="10"/>
      <c r="BI143" s="55"/>
      <c r="BJ143" s="55"/>
      <c r="BK143" s="55"/>
      <c r="BL143" s="55"/>
      <c r="BT143" s="141"/>
      <c r="CN143" s="141"/>
      <c r="DG143" s="141"/>
    </row>
    <row r="144" spans="1:111" s="93" customFormat="1" ht="17.25" thickBot="1" x14ac:dyDescent="0.2">
      <c r="A144" s="11">
        <f t="shared" si="14"/>
        <v>60060020</v>
      </c>
      <c r="B144" s="108">
        <v>6</v>
      </c>
      <c r="C144" s="12">
        <v>0</v>
      </c>
      <c r="D144" s="108">
        <v>6</v>
      </c>
      <c r="E144" s="108">
        <v>0</v>
      </c>
      <c r="F144" s="109">
        <v>20</v>
      </c>
      <c r="G144" s="55"/>
      <c r="H144" s="55"/>
      <c r="I144" s="55"/>
      <c r="J144" s="55"/>
      <c r="K144" s="55"/>
      <c r="L144" s="158"/>
      <c r="M144" s="10"/>
      <c r="N144" s="55"/>
      <c r="O144" s="55">
        <v>0</v>
      </c>
      <c r="P144" s="10">
        <f t="shared" si="15"/>
        <v>0</v>
      </c>
      <c r="Q144" s="10"/>
      <c r="R144" s="155" t="str">
        <f t="shared" si="16"/>
        <v/>
      </c>
      <c r="S144" s="171" t="str">
        <f t="shared" si="17"/>
        <v/>
      </c>
      <c r="T144" s="161"/>
      <c r="U144" s="55"/>
      <c r="V144" s="55"/>
      <c r="W144" s="55"/>
      <c r="X144" s="155" t="str">
        <f t="shared" si="12"/>
        <v/>
      </c>
      <c r="Y144" s="171" t="str">
        <f t="shared" si="13"/>
        <v/>
      </c>
      <c r="Z144" s="165"/>
      <c r="AA144" s="10"/>
      <c r="AB144" s="55"/>
      <c r="AC144" s="55"/>
      <c r="AD144" s="55"/>
      <c r="AE144" s="55"/>
      <c r="AF144" s="55"/>
      <c r="AG144" s="167"/>
      <c r="AH144" s="55"/>
      <c r="AI144" s="55"/>
      <c r="AJ144" s="165"/>
      <c r="AK144" s="55"/>
      <c r="AL144" s="55"/>
      <c r="AM144" s="55"/>
      <c r="AN144" s="55"/>
      <c r="AO144" s="55"/>
      <c r="AP144" s="55"/>
      <c r="AQ144" s="55"/>
      <c r="AR144" s="55"/>
      <c r="AS144" s="165"/>
      <c r="AT144" s="55"/>
      <c r="AU144" s="55"/>
      <c r="AV144" s="55"/>
      <c r="AW144" s="55"/>
      <c r="AX144" s="55"/>
      <c r="AY144" s="55"/>
      <c r="AZ144" s="55"/>
      <c r="BA144" s="55"/>
      <c r="BB144" s="165"/>
      <c r="BC144" s="55"/>
      <c r="BD144" s="55"/>
      <c r="BE144" s="55"/>
      <c r="BF144" s="165"/>
      <c r="BG144" s="55"/>
      <c r="BH144" s="10"/>
      <c r="BI144" s="55"/>
      <c r="BJ144" s="55"/>
      <c r="BK144" s="55"/>
      <c r="BL144" s="55"/>
      <c r="BT144" s="141"/>
      <c r="CN144" s="141"/>
      <c r="DG144" s="141"/>
    </row>
    <row r="145" spans="1:111" s="110" customFormat="1" x14ac:dyDescent="0.15">
      <c r="A145" s="18">
        <f t="shared" si="14"/>
        <v>60070001</v>
      </c>
      <c r="B145" s="20">
        <v>6</v>
      </c>
      <c r="C145" s="19">
        <v>0</v>
      </c>
      <c r="D145" s="20">
        <v>7</v>
      </c>
      <c r="E145" s="20">
        <v>0</v>
      </c>
      <c r="F145" s="19">
        <v>1</v>
      </c>
      <c r="G145" s="56"/>
      <c r="H145" s="56"/>
      <c r="I145" s="56"/>
      <c r="J145" s="56"/>
      <c r="K145" s="56"/>
      <c r="L145" s="160"/>
      <c r="M145" s="17"/>
      <c r="N145" s="56"/>
      <c r="O145" s="56">
        <v>0</v>
      </c>
      <c r="P145" s="17">
        <f t="shared" si="15"/>
        <v>0</v>
      </c>
      <c r="Q145" s="17"/>
      <c r="R145" s="156" t="str">
        <f t="shared" si="16"/>
        <v/>
      </c>
      <c r="S145" s="172" t="str">
        <f t="shared" si="17"/>
        <v/>
      </c>
      <c r="T145" s="162"/>
      <c r="U145" s="56"/>
      <c r="V145" s="56"/>
      <c r="W145" s="56"/>
      <c r="X145" s="156" t="str">
        <f t="shared" si="12"/>
        <v/>
      </c>
      <c r="Y145" s="172" t="str">
        <f t="shared" si="13"/>
        <v/>
      </c>
      <c r="Z145" s="166"/>
      <c r="AA145" s="17"/>
      <c r="AB145" s="56"/>
      <c r="AC145" s="56"/>
      <c r="AD145" s="56"/>
      <c r="AE145" s="56"/>
      <c r="AF145" s="56"/>
      <c r="AG145" s="169"/>
      <c r="AH145" s="56"/>
      <c r="AI145" s="56"/>
      <c r="AJ145" s="166"/>
      <c r="AK145" s="56"/>
      <c r="AL145" s="56"/>
      <c r="AM145" s="56"/>
      <c r="AN145" s="56"/>
      <c r="AO145" s="56"/>
      <c r="AP145" s="56"/>
      <c r="AQ145" s="56"/>
      <c r="AR145" s="56"/>
      <c r="AS145" s="166"/>
      <c r="AT145" s="56"/>
      <c r="AU145" s="56"/>
      <c r="AV145" s="56"/>
      <c r="AW145" s="56"/>
      <c r="AX145" s="56"/>
      <c r="AY145" s="56"/>
      <c r="AZ145" s="56"/>
      <c r="BA145" s="56"/>
      <c r="BB145" s="166"/>
      <c r="BC145" s="56"/>
      <c r="BD145" s="56"/>
      <c r="BE145" s="56"/>
      <c r="BF145" s="166"/>
      <c r="BG145" s="56"/>
      <c r="BH145" s="17"/>
      <c r="BI145" s="56"/>
      <c r="BJ145" s="56"/>
      <c r="BK145" s="56"/>
      <c r="BL145" s="56"/>
      <c r="BT145" s="140"/>
      <c r="CN145" s="140"/>
      <c r="DG145" s="140"/>
    </row>
    <row r="146" spans="1:111" x14ac:dyDescent="0.15">
      <c r="A146" s="11">
        <f t="shared" si="14"/>
        <v>60070002</v>
      </c>
      <c r="B146" s="13">
        <v>6</v>
      </c>
      <c r="C146" s="12">
        <v>0</v>
      </c>
      <c r="D146" s="13">
        <v>7</v>
      </c>
      <c r="E146" s="13">
        <v>0</v>
      </c>
      <c r="F146" s="12">
        <v>2</v>
      </c>
      <c r="O146" s="55">
        <v>0</v>
      </c>
      <c r="P146" s="10">
        <f t="shared" si="15"/>
        <v>0</v>
      </c>
      <c r="R146" s="155" t="str">
        <f t="shared" si="16"/>
        <v/>
      </c>
      <c r="S146" s="171" t="str">
        <f t="shared" si="17"/>
        <v/>
      </c>
      <c r="X146" s="155" t="str">
        <f t="shared" si="12"/>
        <v/>
      </c>
      <c r="Y146" s="171" t="str">
        <f t="shared" si="13"/>
        <v/>
      </c>
      <c r="BM146" s="105"/>
    </row>
    <row r="147" spans="1:111" x14ac:dyDescent="0.15">
      <c r="A147" s="11">
        <f t="shared" si="14"/>
        <v>60070003</v>
      </c>
      <c r="B147" s="13">
        <v>6</v>
      </c>
      <c r="C147" s="12">
        <v>0</v>
      </c>
      <c r="D147" s="13">
        <v>7</v>
      </c>
      <c r="E147" s="13">
        <v>0</v>
      </c>
      <c r="F147" s="12">
        <v>3</v>
      </c>
      <c r="O147" s="55">
        <v>0</v>
      </c>
      <c r="P147" s="10">
        <f t="shared" si="15"/>
        <v>0</v>
      </c>
      <c r="R147" s="155" t="str">
        <f t="shared" si="16"/>
        <v/>
      </c>
      <c r="S147" s="171" t="str">
        <f t="shared" si="17"/>
        <v/>
      </c>
      <c r="X147" s="155" t="str">
        <f t="shared" si="12"/>
        <v/>
      </c>
      <c r="Y147" s="171" t="str">
        <f t="shared" si="13"/>
        <v/>
      </c>
      <c r="BM147" s="105"/>
    </row>
    <row r="148" spans="1:111" x14ac:dyDescent="0.15">
      <c r="A148" s="11">
        <f t="shared" si="14"/>
        <v>60070004</v>
      </c>
      <c r="B148" s="13">
        <v>6</v>
      </c>
      <c r="C148" s="12">
        <v>0</v>
      </c>
      <c r="D148" s="13">
        <v>7</v>
      </c>
      <c r="E148" s="13">
        <v>0</v>
      </c>
      <c r="F148" s="12">
        <v>4</v>
      </c>
      <c r="O148" s="55">
        <v>0</v>
      </c>
      <c r="P148" s="10">
        <f t="shared" si="15"/>
        <v>0</v>
      </c>
      <c r="R148" s="155" t="str">
        <f t="shared" si="16"/>
        <v/>
      </c>
      <c r="S148" s="171" t="str">
        <f t="shared" si="17"/>
        <v/>
      </c>
      <c r="X148" s="155" t="str">
        <f t="shared" si="12"/>
        <v/>
      </c>
      <c r="Y148" s="171" t="str">
        <f t="shared" si="13"/>
        <v/>
      </c>
    </row>
    <row r="149" spans="1:111" x14ac:dyDescent="0.15">
      <c r="A149" s="11">
        <f t="shared" si="14"/>
        <v>60070005</v>
      </c>
      <c r="B149" s="13">
        <v>6</v>
      </c>
      <c r="C149" s="12">
        <v>0</v>
      </c>
      <c r="D149" s="13">
        <v>7</v>
      </c>
      <c r="E149" s="13">
        <v>0</v>
      </c>
      <c r="F149" s="12">
        <v>5</v>
      </c>
      <c r="O149" s="55">
        <v>0</v>
      </c>
      <c r="P149" s="10">
        <f t="shared" si="15"/>
        <v>0</v>
      </c>
      <c r="R149" s="155" t="str">
        <f t="shared" si="16"/>
        <v/>
      </c>
      <c r="S149" s="171" t="str">
        <f t="shared" si="17"/>
        <v/>
      </c>
      <c r="X149" s="155" t="str">
        <f t="shared" si="12"/>
        <v/>
      </c>
      <c r="Y149" s="171" t="str">
        <f t="shared" si="13"/>
        <v/>
      </c>
    </row>
    <row r="150" spans="1:111" x14ac:dyDescent="0.15">
      <c r="A150" s="11">
        <f t="shared" si="14"/>
        <v>60070006</v>
      </c>
      <c r="B150" s="13">
        <v>6</v>
      </c>
      <c r="C150" s="12">
        <v>0</v>
      </c>
      <c r="D150" s="13">
        <v>7</v>
      </c>
      <c r="E150" s="13">
        <v>0</v>
      </c>
      <c r="F150" s="12">
        <v>6</v>
      </c>
      <c r="O150" s="55">
        <v>0</v>
      </c>
      <c r="P150" s="10">
        <f t="shared" si="15"/>
        <v>0</v>
      </c>
      <c r="R150" s="155" t="str">
        <f t="shared" si="16"/>
        <v/>
      </c>
      <c r="S150" s="171" t="str">
        <f t="shared" si="17"/>
        <v/>
      </c>
      <c r="X150" s="155" t="str">
        <f t="shared" ref="X150:X213" si="18">IF((1-(1-U150/100000)^L150)=0,"",1-(1-U150/100000)^L150)</f>
        <v/>
      </c>
      <c r="Y150" s="171" t="str">
        <f t="shared" ref="Y150:Y213" si="19">IF((U150/100000)*L150=0,"",(U150/100000)*L150)</f>
        <v/>
      </c>
    </row>
    <row r="151" spans="1:111" x14ac:dyDescent="0.15">
      <c r="A151" s="11">
        <f t="shared" si="14"/>
        <v>60070007</v>
      </c>
      <c r="B151" s="13">
        <v>6</v>
      </c>
      <c r="C151" s="12">
        <v>0</v>
      </c>
      <c r="D151" s="13">
        <v>7</v>
      </c>
      <c r="E151" s="13">
        <v>0</v>
      </c>
      <c r="F151" s="12">
        <v>7</v>
      </c>
      <c r="O151" s="55">
        <v>0</v>
      </c>
      <c r="P151" s="10">
        <f t="shared" si="15"/>
        <v>0</v>
      </c>
      <c r="R151" s="155" t="str">
        <f t="shared" si="16"/>
        <v/>
      </c>
      <c r="S151" s="171" t="str">
        <f t="shared" si="17"/>
        <v/>
      </c>
      <c r="X151" s="155" t="str">
        <f t="shared" si="18"/>
        <v/>
      </c>
      <c r="Y151" s="171" t="str">
        <f t="shared" si="19"/>
        <v/>
      </c>
    </row>
    <row r="152" spans="1:111" x14ac:dyDescent="0.15">
      <c r="A152" s="11">
        <f t="shared" si="14"/>
        <v>60070008</v>
      </c>
      <c r="B152" s="13">
        <v>6</v>
      </c>
      <c r="C152" s="12">
        <v>0</v>
      </c>
      <c r="D152" s="13">
        <v>7</v>
      </c>
      <c r="E152" s="13">
        <v>0</v>
      </c>
      <c r="F152" s="12">
        <v>8</v>
      </c>
      <c r="O152" s="55">
        <v>0</v>
      </c>
      <c r="P152" s="10">
        <f t="shared" si="15"/>
        <v>0</v>
      </c>
      <c r="R152" s="155" t="str">
        <f t="shared" si="16"/>
        <v/>
      </c>
      <c r="S152" s="171" t="str">
        <f t="shared" si="17"/>
        <v/>
      </c>
      <c r="X152" s="155" t="str">
        <f t="shared" si="18"/>
        <v/>
      </c>
      <c r="Y152" s="171" t="str">
        <f t="shared" si="19"/>
        <v/>
      </c>
    </row>
    <row r="153" spans="1:111" x14ac:dyDescent="0.15">
      <c r="A153" s="11">
        <f t="shared" si="14"/>
        <v>60070009</v>
      </c>
      <c r="B153" s="13">
        <v>6</v>
      </c>
      <c r="C153" s="12">
        <v>0</v>
      </c>
      <c r="D153" s="13">
        <v>7</v>
      </c>
      <c r="E153" s="13">
        <v>0</v>
      </c>
      <c r="F153" s="12">
        <v>9</v>
      </c>
      <c r="O153" s="55">
        <v>0</v>
      </c>
      <c r="P153" s="10">
        <f t="shared" si="15"/>
        <v>0</v>
      </c>
      <c r="R153" s="155" t="str">
        <f t="shared" si="16"/>
        <v/>
      </c>
      <c r="S153" s="171" t="str">
        <f t="shared" si="17"/>
        <v/>
      </c>
      <c r="X153" s="155" t="str">
        <f t="shared" si="18"/>
        <v/>
      </c>
      <c r="Y153" s="171" t="str">
        <f t="shared" si="19"/>
        <v/>
      </c>
    </row>
    <row r="154" spans="1:111" x14ac:dyDescent="0.15">
      <c r="A154" s="11">
        <f t="shared" ref="A154:A217" si="20">B154*10000000+C154*1000000+D154*10000+E154*100+F154</f>
        <v>60070010</v>
      </c>
      <c r="B154" s="13">
        <v>6</v>
      </c>
      <c r="C154" s="12">
        <v>0</v>
      </c>
      <c r="D154" s="13">
        <v>7</v>
      </c>
      <c r="E154" s="13">
        <v>0</v>
      </c>
      <c r="F154" s="12">
        <v>10</v>
      </c>
      <c r="O154" s="55">
        <v>0</v>
      </c>
      <c r="P154" s="10">
        <f t="shared" si="15"/>
        <v>0</v>
      </c>
      <c r="R154" s="155" t="str">
        <f t="shared" si="16"/>
        <v/>
      </c>
      <c r="S154" s="171" t="str">
        <f t="shared" si="17"/>
        <v/>
      </c>
      <c r="X154" s="155" t="str">
        <f t="shared" si="18"/>
        <v/>
      </c>
      <c r="Y154" s="171" t="str">
        <f t="shared" si="19"/>
        <v/>
      </c>
    </row>
    <row r="155" spans="1:111" s="93" customFormat="1" x14ac:dyDescent="0.15">
      <c r="A155" s="11">
        <f t="shared" si="20"/>
        <v>60070011</v>
      </c>
      <c r="B155" s="13">
        <v>6</v>
      </c>
      <c r="C155" s="12">
        <v>0</v>
      </c>
      <c r="D155" s="13">
        <v>7</v>
      </c>
      <c r="E155" s="13">
        <v>0</v>
      </c>
      <c r="F155" s="12">
        <v>11</v>
      </c>
      <c r="G155" s="55"/>
      <c r="H155" s="55"/>
      <c r="I155" s="55"/>
      <c r="J155" s="55"/>
      <c r="K155" s="55"/>
      <c r="L155" s="158"/>
      <c r="M155" s="10"/>
      <c r="N155" s="55"/>
      <c r="O155" s="55">
        <v>0</v>
      </c>
      <c r="P155" s="10">
        <f t="shared" si="15"/>
        <v>0</v>
      </c>
      <c r="Q155" s="10"/>
      <c r="R155" s="155" t="str">
        <f t="shared" si="16"/>
        <v/>
      </c>
      <c r="S155" s="171" t="str">
        <f t="shared" si="17"/>
        <v/>
      </c>
      <c r="T155" s="161"/>
      <c r="U155" s="55"/>
      <c r="V155" s="55"/>
      <c r="W155" s="55"/>
      <c r="X155" s="155" t="str">
        <f t="shared" si="18"/>
        <v/>
      </c>
      <c r="Y155" s="171" t="str">
        <f t="shared" si="19"/>
        <v/>
      </c>
      <c r="Z155" s="165"/>
      <c r="AA155" s="10"/>
      <c r="AB155" s="55"/>
      <c r="AC155" s="55"/>
      <c r="AD155" s="55"/>
      <c r="AE155" s="55"/>
      <c r="AF155" s="55"/>
      <c r="AG155" s="167"/>
      <c r="AH155" s="55"/>
      <c r="AI155" s="55"/>
      <c r="AJ155" s="165"/>
      <c r="AK155" s="55"/>
      <c r="AL155" s="55"/>
      <c r="AM155" s="55"/>
      <c r="AN155" s="55"/>
      <c r="AO155" s="55"/>
      <c r="AP155" s="55"/>
      <c r="AQ155" s="55"/>
      <c r="AR155" s="55"/>
      <c r="AS155" s="165"/>
      <c r="AT155" s="55"/>
      <c r="AU155" s="55"/>
      <c r="AV155" s="55"/>
      <c r="AW155" s="55"/>
      <c r="AX155" s="55"/>
      <c r="AY155" s="55"/>
      <c r="AZ155" s="55"/>
      <c r="BA155" s="55"/>
      <c r="BB155" s="165"/>
      <c r="BC155" s="55"/>
      <c r="BD155" s="55"/>
      <c r="BE155" s="55"/>
      <c r="BF155" s="165"/>
      <c r="BG155" s="55"/>
      <c r="BH155" s="10"/>
      <c r="BI155" s="55"/>
      <c r="BJ155" s="55"/>
      <c r="BK155" s="55"/>
      <c r="BL155" s="55"/>
      <c r="BT155" s="141"/>
      <c r="CN155" s="141"/>
      <c r="DG155" s="141"/>
    </row>
    <row r="156" spans="1:111" s="93" customFormat="1" x14ac:dyDescent="0.15">
      <c r="A156" s="11">
        <f t="shared" si="20"/>
        <v>60070012</v>
      </c>
      <c r="B156" s="13">
        <v>6</v>
      </c>
      <c r="C156" s="12">
        <v>0</v>
      </c>
      <c r="D156" s="13">
        <v>7</v>
      </c>
      <c r="E156" s="13">
        <v>0</v>
      </c>
      <c r="F156" s="12">
        <v>12</v>
      </c>
      <c r="G156" s="55"/>
      <c r="H156" s="55"/>
      <c r="I156" s="55"/>
      <c r="J156" s="55"/>
      <c r="K156" s="55"/>
      <c r="L156" s="158"/>
      <c r="M156" s="10"/>
      <c r="N156" s="55"/>
      <c r="O156" s="55">
        <v>0</v>
      </c>
      <c r="P156" s="10">
        <f t="shared" si="15"/>
        <v>0</v>
      </c>
      <c r="Q156" s="10"/>
      <c r="R156" s="155" t="str">
        <f t="shared" si="16"/>
        <v/>
      </c>
      <c r="S156" s="171" t="str">
        <f t="shared" si="17"/>
        <v/>
      </c>
      <c r="T156" s="161"/>
      <c r="U156" s="55"/>
      <c r="V156" s="55"/>
      <c r="W156" s="55"/>
      <c r="X156" s="155" t="str">
        <f t="shared" si="18"/>
        <v/>
      </c>
      <c r="Y156" s="171" t="str">
        <f t="shared" si="19"/>
        <v/>
      </c>
      <c r="Z156" s="165"/>
      <c r="AA156" s="10"/>
      <c r="AB156" s="55"/>
      <c r="AC156" s="55"/>
      <c r="AD156" s="55"/>
      <c r="AE156" s="55"/>
      <c r="AF156" s="55"/>
      <c r="AG156" s="167"/>
      <c r="AH156" s="55"/>
      <c r="AI156" s="55"/>
      <c r="AJ156" s="165"/>
      <c r="AK156" s="55"/>
      <c r="AL156" s="55"/>
      <c r="AM156" s="55"/>
      <c r="AN156" s="55"/>
      <c r="AO156" s="55"/>
      <c r="AP156" s="55"/>
      <c r="AQ156" s="55"/>
      <c r="AR156" s="55"/>
      <c r="AS156" s="165"/>
      <c r="AT156" s="55"/>
      <c r="AU156" s="55"/>
      <c r="AV156" s="55"/>
      <c r="AW156" s="55"/>
      <c r="AX156" s="55"/>
      <c r="AY156" s="55"/>
      <c r="AZ156" s="55"/>
      <c r="BA156" s="55"/>
      <c r="BB156" s="165"/>
      <c r="BC156" s="55"/>
      <c r="BD156" s="55"/>
      <c r="BE156" s="55"/>
      <c r="BF156" s="165"/>
      <c r="BG156" s="55"/>
      <c r="BH156" s="10"/>
      <c r="BI156" s="55"/>
      <c r="BJ156" s="55"/>
      <c r="BK156" s="55"/>
      <c r="BL156" s="55"/>
      <c r="BT156" s="141"/>
      <c r="CN156" s="141"/>
      <c r="DG156" s="141"/>
    </row>
    <row r="157" spans="1:111" s="93" customFormat="1" x14ac:dyDescent="0.15">
      <c r="A157" s="11">
        <f t="shared" si="20"/>
        <v>60070013</v>
      </c>
      <c r="B157" s="13">
        <v>6</v>
      </c>
      <c r="C157" s="12">
        <v>0</v>
      </c>
      <c r="D157" s="13">
        <v>7</v>
      </c>
      <c r="E157" s="13">
        <v>0</v>
      </c>
      <c r="F157" s="12">
        <v>13</v>
      </c>
      <c r="G157" s="55"/>
      <c r="H157" s="55"/>
      <c r="I157" s="55"/>
      <c r="J157" s="55"/>
      <c r="K157" s="55"/>
      <c r="L157" s="158"/>
      <c r="M157" s="10"/>
      <c r="N157" s="55"/>
      <c r="O157" s="55">
        <v>0</v>
      </c>
      <c r="P157" s="10">
        <f t="shared" si="15"/>
        <v>0</v>
      </c>
      <c r="Q157" s="10"/>
      <c r="R157" s="155" t="str">
        <f t="shared" si="16"/>
        <v/>
      </c>
      <c r="S157" s="171" t="str">
        <f t="shared" si="17"/>
        <v/>
      </c>
      <c r="T157" s="161"/>
      <c r="U157" s="55"/>
      <c r="V157" s="55"/>
      <c r="W157" s="55"/>
      <c r="X157" s="155" t="str">
        <f t="shared" si="18"/>
        <v/>
      </c>
      <c r="Y157" s="171" t="str">
        <f t="shared" si="19"/>
        <v/>
      </c>
      <c r="Z157" s="165"/>
      <c r="AA157" s="10"/>
      <c r="AB157" s="55"/>
      <c r="AC157" s="55"/>
      <c r="AD157" s="55"/>
      <c r="AE157" s="55"/>
      <c r="AF157" s="55"/>
      <c r="AG157" s="167"/>
      <c r="AH157" s="55"/>
      <c r="AI157" s="55"/>
      <c r="AJ157" s="165"/>
      <c r="AK157" s="55"/>
      <c r="AL157" s="55"/>
      <c r="AM157" s="55"/>
      <c r="AN157" s="55"/>
      <c r="AO157" s="55"/>
      <c r="AP157" s="55"/>
      <c r="AQ157" s="55"/>
      <c r="AR157" s="55"/>
      <c r="AS157" s="165"/>
      <c r="AT157" s="55"/>
      <c r="AU157" s="55"/>
      <c r="AV157" s="55"/>
      <c r="AW157" s="55"/>
      <c r="AX157" s="55"/>
      <c r="AY157" s="55"/>
      <c r="AZ157" s="55"/>
      <c r="BA157" s="55"/>
      <c r="BB157" s="165"/>
      <c r="BC157" s="55"/>
      <c r="BD157" s="55"/>
      <c r="BE157" s="55"/>
      <c r="BF157" s="165"/>
      <c r="BG157" s="55"/>
      <c r="BH157" s="10"/>
      <c r="BI157" s="55"/>
      <c r="BJ157" s="55"/>
      <c r="BK157" s="55"/>
      <c r="BL157" s="55"/>
      <c r="BT157" s="141"/>
      <c r="CN157" s="141"/>
      <c r="DG157" s="141"/>
    </row>
    <row r="158" spans="1:111" s="93" customFormat="1" x14ac:dyDescent="0.15">
      <c r="A158" s="11">
        <f t="shared" si="20"/>
        <v>60070014</v>
      </c>
      <c r="B158" s="13">
        <v>6</v>
      </c>
      <c r="C158" s="12">
        <v>0</v>
      </c>
      <c r="D158" s="13">
        <v>7</v>
      </c>
      <c r="E158" s="13">
        <v>0</v>
      </c>
      <c r="F158" s="12">
        <v>14</v>
      </c>
      <c r="G158" s="55"/>
      <c r="H158" s="55"/>
      <c r="I158" s="55"/>
      <c r="J158" s="55"/>
      <c r="K158" s="55"/>
      <c r="L158" s="158"/>
      <c r="M158" s="10"/>
      <c r="N158" s="55"/>
      <c r="O158" s="55">
        <v>0</v>
      </c>
      <c r="P158" s="10">
        <f t="shared" si="15"/>
        <v>0</v>
      </c>
      <c r="Q158" s="10"/>
      <c r="R158" s="155" t="str">
        <f t="shared" si="16"/>
        <v/>
      </c>
      <c r="S158" s="171" t="str">
        <f t="shared" si="17"/>
        <v/>
      </c>
      <c r="T158" s="161"/>
      <c r="U158" s="55"/>
      <c r="V158" s="55"/>
      <c r="W158" s="55"/>
      <c r="X158" s="155" t="str">
        <f t="shared" si="18"/>
        <v/>
      </c>
      <c r="Y158" s="171" t="str">
        <f t="shared" si="19"/>
        <v/>
      </c>
      <c r="Z158" s="165"/>
      <c r="AA158" s="10"/>
      <c r="AB158" s="55"/>
      <c r="AC158" s="55"/>
      <c r="AD158" s="55"/>
      <c r="AE158" s="55"/>
      <c r="AF158" s="55"/>
      <c r="AG158" s="167"/>
      <c r="AH158" s="55"/>
      <c r="AI158" s="55"/>
      <c r="AJ158" s="165"/>
      <c r="AK158" s="55"/>
      <c r="AL158" s="55"/>
      <c r="AM158" s="55"/>
      <c r="AN158" s="55"/>
      <c r="AO158" s="55"/>
      <c r="AP158" s="55"/>
      <c r="AQ158" s="55"/>
      <c r="AR158" s="55"/>
      <c r="AS158" s="165"/>
      <c r="AT158" s="55"/>
      <c r="AU158" s="55"/>
      <c r="AV158" s="55"/>
      <c r="AW158" s="55"/>
      <c r="AX158" s="55"/>
      <c r="AY158" s="55"/>
      <c r="AZ158" s="55"/>
      <c r="BA158" s="55"/>
      <c r="BB158" s="165"/>
      <c r="BC158" s="55"/>
      <c r="BD158" s="55"/>
      <c r="BE158" s="55"/>
      <c r="BF158" s="165"/>
      <c r="BG158" s="55"/>
      <c r="BH158" s="10"/>
      <c r="BI158" s="55"/>
      <c r="BJ158" s="55"/>
      <c r="BK158" s="55"/>
      <c r="BL158" s="55"/>
      <c r="BT158" s="141"/>
      <c r="CN158" s="141"/>
      <c r="DG158" s="141"/>
    </row>
    <row r="159" spans="1:111" s="93" customFormat="1" x14ac:dyDescent="0.15">
      <c r="A159" s="11">
        <f t="shared" si="20"/>
        <v>60070015</v>
      </c>
      <c r="B159" s="13">
        <v>6</v>
      </c>
      <c r="C159" s="12">
        <v>0</v>
      </c>
      <c r="D159" s="13">
        <v>7</v>
      </c>
      <c r="E159" s="13">
        <v>0</v>
      </c>
      <c r="F159" s="12">
        <v>15</v>
      </c>
      <c r="G159" s="55"/>
      <c r="H159" s="55"/>
      <c r="I159" s="55"/>
      <c r="J159" s="55"/>
      <c r="K159" s="55"/>
      <c r="L159" s="158"/>
      <c r="M159" s="10"/>
      <c r="N159" s="55"/>
      <c r="O159" s="55">
        <v>0</v>
      </c>
      <c r="P159" s="10">
        <f t="shared" si="15"/>
        <v>0</v>
      </c>
      <c r="Q159" s="10"/>
      <c r="R159" s="155" t="str">
        <f t="shared" si="16"/>
        <v/>
      </c>
      <c r="S159" s="171" t="str">
        <f t="shared" si="17"/>
        <v/>
      </c>
      <c r="T159" s="161"/>
      <c r="U159" s="55"/>
      <c r="V159" s="55"/>
      <c r="W159" s="55"/>
      <c r="X159" s="155" t="str">
        <f t="shared" si="18"/>
        <v/>
      </c>
      <c r="Y159" s="171" t="str">
        <f t="shared" si="19"/>
        <v/>
      </c>
      <c r="Z159" s="165"/>
      <c r="AA159" s="10"/>
      <c r="AB159" s="55"/>
      <c r="AC159" s="55"/>
      <c r="AD159" s="55"/>
      <c r="AE159" s="55"/>
      <c r="AF159" s="55"/>
      <c r="AG159" s="167"/>
      <c r="AH159" s="55"/>
      <c r="AI159" s="55"/>
      <c r="AJ159" s="165"/>
      <c r="AK159" s="55"/>
      <c r="AL159" s="55"/>
      <c r="AM159" s="55"/>
      <c r="AN159" s="55"/>
      <c r="AO159" s="55"/>
      <c r="AP159" s="55"/>
      <c r="AQ159" s="55"/>
      <c r="AR159" s="55"/>
      <c r="AS159" s="165"/>
      <c r="AT159" s="55"/>
      <c r="AU159" s="55"/>
      <c r="AV159" s="55"/>
      <c r="AW159" s="55"/>
      <c r="AX159" s="55"/>
      <c r="AY159" s="55"/>
      <c r="AZ159" s="55"/>
      <c r="BA159" s="55"/>
      <c r="BB159" s="165"/>
      <c r="BC159" s="55"/>
      <c r="BD159" s="55"/>
      <c r="BE159" s="55"/>
      <c r="BF159" s="165"/>
      <c r="BG159" s="55"/>
      <c r="BH159" s="10"/>
      <c r="BI159" s="55"/>
      <c r="BJ159" s="55"/>
      <c r="BK159" s="55"/>
      <c r="BL159" s="55"/>
      <c r="BT159" s="141"/>
      <c r="CN159" s="141"/>
      <c r="DG159" s="141"/>
    </row>
    <row r="160" spans="1:111" s="93" customFormat="1" x14ac:dyDescent="0.15">
      <c r="A160" s="11">
        <f t="shared" si="20"/>
        <v>60070016</v>
      </c>
      <c r="B160" s="13">
        <v>6</v>
      </c>
      <c r="C160" s="12">
        <v>0</v>
      </c>
      <c r="D160" s="13">
        <v>7</v>
      </c>
      <c r="E160" s="13">
        <v>0</v>
      </c>
      <c r="F160" s="12">
        <v>16</v>
      </c>
      <c r="G160" s="55"/>
      <c r="H160" s="55"/>
      <c r="I160" s="55"/>
      <c r="J160" s="55"/>
      <c r="K160" s="55"/>
      <c r="L160" s="158"/>
      <c r="M160" s="10"/>
      <c r="N160" s="55"/>
      <c r="O160" s="55">
        <v>0</v>
      </c>
      <c r="P160" s="10">
        <f t="shared" si="15"/>
        <v>0</v>
      </c>
      <c r="Q160" s="10"/>
      <c r="R160" s="155" t="str">
        <f t="shared" si="16"/>
        <v/>
      </c>
      <c r="S160" s="171" t="str">
        <f t="shared" si="17"/>
        <v/>
      </c>
      <c r="T160" s="161"/>
      <c r="U160" s="55"/>
      <c r="V160" s="55"/>
      <c r="W160" s="55"/>
      <c r="X160" s="155" t="str">
        <f t="shared" si="18"/>
        <v/>
      </c>
      <c r="Y160" s="171" t="str">
        <f t="shared" si="19"/>
        <v/>
      </c>
      <c r="Z160" s="165"/>
      <c r="AA160" s="10"/>
      <c r="AB160" s="55"/>
      <c r="AC160" s="55"/>
      <c r="AD160" s="55"/>
      <c r="AE160" s="55"/>
      <c r="AF160" s="55"/>
      <c r="AG160" s="167"/>
      <c r="AH160" s="55"/>
      <c r="AI160" s="55"/>
      <c r="AJ160" s="165"/>
      <c r="AK160" s="55"/>
      <c r="AL160" s="55"/>
      <c r="AM160" s="55"/>
      <c r="AN160" s="55"/>
      <c r="AO160" s="55"/>
      <c r="AP160" s="55"/>
      <c r="AQ160" s="55"/>
      <c r="AR160" s="55"/>
      <c r="AS160" s="165"/>
      <c r="AT160" s="55"/>
      <c r="AU160" s="55"/>
      <c r="AV160" s="55"/>
      <c r="AW160" s="55"/>
      <c r="AX160" s="55"/>
      <c r="AY160" s="55"/>
      <c r="AZ160" s="55"/>
      <c r="BA160" s="55"/>
      <c r="BB160" s="165"/>
      <c r="BC160" s="55"/>
      <c r="BD160" s="55"/>
      <c r="BE160" s="55"/>
      <c r="BF160" s="165"/>
      <c r="BG160" s="55"/>
      <c r="BH160" s="10"/>
      <c r="BI160" s="55"/>
      <c r="BJ160" s="55"/>
      <c r="BK160" s="55"/>
      <c r="BL160" s="55"/>
      <c r="BT160" s="141"/>
      <c r="CN160" s="141"/>
      <c r="DG160" s="141"/>
    </row>
    <row r="161" spans="1:111" s="93" customFormat="1" x14ac:dyDescent="0.15">
      <c r="A161" s="11">
        <f t="shared" si="20"/>
        <v>60070017</v>
      </c>
      <c r="B161" s="13">
        <v>6</v>
      </c>
      <c r="C161" s="12">
        <v>0</v>
      </c>
      <c r="D161" s="13">
        <v>7</v>
      </c>
      <c r="E161" s="13">
        <v>0</v>
      </c>
      <c r="F161" s="12">
        <v>17</v>
      </c>
      <c r="G161" s="55"/>
      <c r="H161" s="55"/>
      <c r="I161" s="55"/>
      <c r="J161" s="55"/>
      <c r="K161" s="55"/>
      <c r="L161" s="158"/>
      <c r="M161" s="10"/>
      <c r="N161" s="55"/>
      <c r="O161" s="55">
        <v>0</v>
      </c>
      <c r="P161" s="10">
        <f t="shared" si="15"/>
        <v>0</v>
      </c>
      <c r="Q161" s="10"/>
      <c r="R161" s="155" t="str">
        <f t="shared" si="16"/>
        <v/>
      </c>
      <c r="S161" s="171" t="str">
        <f t="shared" si="17"/>
        <v/>
      </c>
      <c r="T161" s="161"/>
      <c r="U161" s="55"/>
      <c r="V161" s="55"/>
      <c r="W161" s="55"/>
      <c r="X161" s="155" t="str">
        <f t="shared" si="18"/>
        <v/>
      </c>
      <c r="Y161" s="171" t="str">
        <f t="shared" si="19"/>
        <v/>
      </c>
      <c r="Z161" s="165"/>
      <c r="AA161" s="10"/>
      <c r="AB161" s="55"/>
      <c r="AC161" s="55"/>
      <c r="AD161" s="55"/>
      <c r="AE161" s="55"/>
      <c r="AF161" s="55"/>
      <c r="AG161" s="167"/>
      <c r="AH161" s="55"/>
      <c r="AI161" s="55"/>
      <c r="AJ161" s="165"/>
      <c r="AK161" s="55"/>
      <c r="AL161" s="55"/>
      <c r="AM161" s="55"/>
      <c r="AN161" s="55"/>
      <c r="AO161" s="55"/>
      <c r="AP161" s="55"/>
      <c r="AQ161" s="55"/>
      <c r="AR161" s="55"/>
      <c r="AS161" s="165"/>
      <c r="AT161" s="55"/>
      <c r="AU161" s="55"/>
      <c r="AV161" s="55"/>
      <c r="AW161" s="55"/>
      <c r="AX161" s="55"/>
      <c r="AY161" s="55"/>
      <c r="AZ161" s="55"/>
      <c r="BA161" s="55"/>
      <c r="BB161" s="165"/>
      <c r="BC161" s="55"/>
      <c r="BD161" s="55"/>
      <c r="BE161" s="55"/>
      <c r="BF161" s="165"/>
      <c r="BG161" s="55"/>
      <c r="BH161" s="10"/>
      <c r="BI161" s="55"/>
      <c r="BJ161" s="55"/>
      <c r="BK161" s="55"/>
      <c r="BL161" s="55"/>
      <c r="BT161" s="141"/>
      <c r="CN161" s="141"/>
      <c r="DG161" s="141"/>
    </row>
    <row r="162" spans="1:111" s="93" customFormat="1" x14ac:dyDescent="0.15">
      <c r="A162" s="11">
        <f t="shared" si="20"/>
        <v>60070018</v>
      </c>
      <c r="B162" s="13">
        <v>6</v>
      </c>
      <c r="C162" s="12">
        <v>0</v>
      </c>
      <c r="D162" s="13">
        <v>7</v>
      </c>
      <c r="E162" s="13">
        <v>0</v>
      </c>
      <c r="F162" s="12">
        <v>18</v>
      </c>
      <c r="G162" s="55"/>
      <c r="H162" s="55"/>
      <c r="I162" s="55"/>
      <c r="J162" s="55"/>
      <c r="K162" s="55"/>
      <c r="L162" s="158"/>
      <c r="M162" s="10"/>
      <c r="N162" s="55"/>
      <c r="O162" s="55">
        <v>0</v>
      </c>
      <c r="P162" s="10">
        <f t="shared" si="15"/>
        <v>0</v>
      </c>
      <c r="Q162" s="10"/>
      <c r="R162" s="155" t="str">
        <f t="shared" si="16"/>
        <v/>
      </c>
      <c r="S162" s="171" t="str">
        <f t="shared" si="17"/>
        <v/>
      </c>
      <c r="T162" s="161"/>
      <c r="U162" s="55"/>
      <c r="V162" s="55"/>
      <c r="W162" s="55"/>
      <c r="X162" s="155" t="str">
        <f t="shared" si="18"/>
        <v/>
      </c>
      <c r="Y162" s="171" t="str">
        <f t="shared" si="19"/>
        <v/>
      </c>
      <c r="Z162" s="165"/>
      <c r="AA162" s="10"/>
      <c r="AB162" s="55"/>
      <c r="AC162" s="55"/>
      <c r="AD162" s="55"/>
      <c r="AE162" s="55"/>
      <c r="AF162" s="55"/>
      <c r="AG162" s="167"/>
      <c r="AH162" s="55"/>
      <c r="AI162" s="55"/>
      <c r="AJ162" s="165"/>
      <c r="AK162" s="55"/>
      <c r="AL162" s="55"/>
      <c r="AM162" s="55"/>
      <c r="AN162" s="55"/>
      <c r="AO162" s="55"/>
      <c r="AP162" s="55"/>
      <c r="AQ162" s="55"/>
      <c r="AR162" s="55"/>
      <c r="AS162" s="165"/>
      <c r="AT162" s="55"/>
      <c r="AU162" s="55"/>
      <c r="AV162" s="55"/>
      <c r="AW162" s="55"/>
      <c r="AX162" s="55"/>
      <c r="AY162" s="55"/>
      <c r="AZ162" s="55"/>
      <c r="BA162" s="55"/>
      <c r="BB162" s="165"/>
      <c r="BC162" s="55"/>
      <c r="BD162" s="55"/>
      <c r="BE162" s="55"/>
      <c r="BF162" s="165"/>
      <c r="BG162" s="55"/>
      <c r="BH162" s="10"/>
      <c r="BI162" s="55"/>
      <c r="BJ162" s="55"/>
      <c r="BK162" s="55"/>
      <c r="BL162" s="55"/>
      <c r="BT162" s="141"/>
      <c r="CN162" s="141"/>
      <c r="DG162" s="141"/>
    </row>
    <row r="163" spans="1:111" s="93" customFormat="1" x14ac:dyDescent="0.15">
      <c r="A163" s="11">
        <f t="shared" si="20"/>
        <v>60070019</v>
      </c>
      <c r="B163" s="13">
        <v>6</v>
      </c>
      <c r="C163" s="12">
        <v>0</v>
      </c>
      <c r="D163" s="13">
        <v>7</v>
      </c>
      <c r="E163" s="13">
        <v>0</v>
      </c>
      <c r="F163" s="12">
        <v>19</v>
      </c>
      <c r="G163" s="55"/>
      <c r="H163" s="55"/>
      <c r="I163" s="55"/>
      <c r="J163" s="55"/>
      <c r="K163" s="55"/>
      <c r="L163" s="158"/>
      <c r="M163" s="10"/>
      <c r="N163" s="55"/>
      <c r="O163" s="55">
        <v>0</v>
      </c>
      <c r="P163" s="10">
        <f t="shared" si="15"/>
        <v>0</v>
      </c>
      <c r="Q163" s="10"/>
      <c r="R163" s="155" t="str">
        <f t="shared" si="16"/>
        <v/>
      </c>
      <c r="S163" s="171" t="str">
        <f t="shared" si="17"/>
        <v/>
      </c>
      <c r="T163" s="161"/>
      <c r="U163" s="55"/>
      <c r="V163" s="55"/>
      <c r="W163" s="55"/>
      <c r="X163" s="155" t="str">
        <f t="shared" si="18"/>
        <v/>
      </c>
      <c r="Y163" s="171" t="str">
        <f t="shared" si="19"/>
        <v/>
      </c>
      <c r="Z163" s="165"/>
      <c r="AA163" s="10"/>
      <c r="AB163" s="55"/>
      <c r="AC163" s="55"/>
      <c r="AD163" s="55"/>
      <c r="AE163" s="55"/>
      <c r="AF163" s="55"/>
      <c r="AG163" s="167"/>
      <c r="AH163" s="55"/>
      <c r="AI163" s="55"/>
      <c r="AJ163" s="165"/>
      <c r="AK163" s="55"/>
      <c r="AL163" s="55"/>
      <c r="AM163" s="55"/>
      <c r="AN163" s="55"/>
      <c r="AO163" s="55"/>
      <c r="AP163" s="55"/>
      <c r="AQ163" s="55"/>
      <c r="AR163" s="55"/>
      <c r="AS163" s="165"/>
      <c r="AT163" s="55"/>
      <c r="AU163" s="55"/>
      <c r="AV163" s="55"/>
      <c r="AW163" s="55"/>
      <c r="AX163" s="55"/>
      <c r="AY163" s="55"/>
      <c r="AZ163" s="55"/>
      <c r="BA163" s="55"/>
      <c r="BB163" s="165"/>
      <c r="BC163" s="55"/>
      <c r="BD163" s="55"/>
      <c r="BE163" s="55"/>
      <c r="BF163" s="165"/>
      <c r="BG163" s="55"/>
      <c r="BH163" s="10"/>
      <c r="BI163" s="55"/>
      <c r="BJ163" s="55"/>
      <c r="BK163" s="55"/>
      <c r="BL163" s="55"/>
      <c r="BT163" s="141"/>
      <c r="CN163" s="141"/>
      <c r="DG163" s="141"/>
    </row>
    <row r="164" spans="1:111" s="93" customFormat="1" ht="17.25" thickBot="1" x14ac:dyDescent="0.2">
      <c r="A164" s="11">
        <f t="shared" si="20"/>
        <v>60070020</v>
      </c>
      <c r="B164" s="108">
        <v>6</v>
      </c>
      <c r="C164" s="12">
        <v>0</v>
      </c>
      <c r="D164" s="108">
        <v>7</v>
      </c>
      <c r="E164" s="108">
        <v>0</v>
      </c>
      <c r="F164" s="109">
        <v>20</v>
      </c>
      <c r="G164" s="55"/>
      <c r="H164" s="55"/>
      <c r="I164" s="55"/>
      <c r="J164" s="55"/>
      <c r="K164" s="55"/>
      <c r="L164" s="158"/>
      <c r="M164" s="10"/>
      <c r="N164" s="55"/>
      <c r="O164" s="55">
        <v>0</v>
      </c>
      <c r="P164" s="10">
        <f t="shared" si="15"/>
        <v>0</v>
      </c>
      <c r="Q164" s="10"/>
      <c r="R164" s="155" t="str">
        <f t="shared" si="16"/>
        <v/>
      </c>
      <c r="S164" s="171" t="str">
        <f t="shared" si="17"/>
        <v/>
      </c>
      <c r="T164" s="161"/>
      <c r="U164" s="55"/>
      <c r="V164" s="55"/>
      <c r="W164" s="55"/>
      <c r="X164" s="155" t="str">
        <f t="shared" si="18"/>
        <v/>
      </c>
      <c r="Y164" s="171" t="str">
        <f t="shared" si="19"/>
        <v/>
      </c>
      <c r="Z164" s="165"/>
      <c r="AA164" s="10"/>
      <c r="AB164" s="55"/>
      <c r="AC164" s="55"/>
      <c r="AD164" s="55"/>
      <c r="AE164" s="55"/>
      <c r="AF164" s="55"/>
      <c r="AG164" s="167"/>
      <c r="AH164" s="55"/>
      <c r="AI164" s="55"/>
      <c r="AJ164" s="165"/>
      <c r="AK164" s="55"/>
      <c r="AL164" s="55"/>
      <c r="AM164" s="55"/>
      <c r="AN164" s="55"/>
      <c r="AO164" s="55"/>
      <c r="AP164" s="55"/>
      <c r="AQ164" s="55"/>
      <c r="AR164" s="55"/>
      <c r="AS164" s="165"/>
      <c r="AT164" s="55"/>
      <c r="AU164" s="55"/>
      <c r="AV164" s="55"/>
      <c r="AW164" s="55"/>
      <c r="AX164" s="55"/>
      <c r="AY164" s="55"/>
      <c r="AZ164" s="55"/>
      <c r="BA164" s="55"/>
      <c r="BB164" s="165"/>
      <c r="BC164" s="55"/>
      <c r="BD164" s="55"/>
      <c r="BE164" s="55"/>
      <c r="BF164" s="165"/>
      <c r="BG164" s="55"/>
      <c r="BH164" s="10"/>
      <c r="BI164" s="55"/>
      <c r="BJ164" s="55"/>
      <c r="BK164" s="55"/>
      <c r="BL164" s="55"/>
      <c r="BT164" s="141"/>
      <c r="CN164" s="141"/>
      <c r="DG164" s="141"/>
    </row>
    <row r="165" spans="1:111" s="110" customFormat="1" x14ac:dyDescent="0.15">
      <c r="A165" s="18">
        <f t="shared" si="20"/>
        <v>60080001</v>
      </c>
      <c r="B165" s="20">
        <v>6</v>
      </c>
      <c r="C165" s="19">
        <v>0</v>
      </c>
      <c r="D165" s="20">
        <v>8</v>
      </c>
      <c r="E165" s="20">
        <v>0</v>
      </c>
      <c r="F165" s="19">
        <v>1</v>
      </c>
      <c r="G165" s="56"/>
      <c r="H165" s="56"/>
      <c r="I165" s="56"/>
      <c r="J165" s="56"/>
      <c r="K165" s="56"/>
      <c r="L165" s="160"/>
      <c r="M165" s="17"/>
      <c r="N165" s="56"/>
      <c r="O165" s="56">
        <v>0</v>
      </c>
      <c r="P165" s="17">
        <f t="shared" si="15"/>
        <v>0</v>
      </c>
      <c r="Q165" s="17"/>
      <c r="R165" s="156" t="str">
        <f t="shared" si="16"/>
        <v/>
      </c>
      <c r="S165" s="172" t="str">
        <f t="shared" si="17"/>
        <v/>
      </c>
      <c r="T165" s="162"/>
      <c r="U165" s="56"/>
      <c r="V165" s="56"/>
      <c r="W165" s="56"/>
      <c r="X165" s="156" t="str">
        <f t="shared" si="18"/>
        <v/>
      </c>
      <c r="Y165" s="172" t="str">
        <f t="shared" si="19"/>
        <v/>
      </c>
      <c r="Z165" s="166"/>
      <c r="AA165" s="17"/>
      <c r="AB165" s="56"/>
      <c r="AC165" s="56"/>
      <c r="AD165" s="56"/>
      <c r="AE165" s="56"/>
      <c r="AF165" s="56"/>
      <c r="AG165" s="169"/>
      <c r="AH165" s="56"/>
      <c r="AI165" s="56"/>
      <c r="AJ165" s="166"/>
      <c r="AK165" s="56"/>
      <c r="AL165" s="56"/>
      <c r="AM165" s="56"/>
      <c r="AN165" s="56"/>
      <c r="AO165" s="56"/>
      <c r="AP165" s="56"/>
      <c r="AQ165" s="56"/>
      <c r="AR165" s="56"/>
      <c r="AS165" s="166"/>
      <c r="AT165" s="56"/>
      <c r="AU165" s="56"/>
      <c r="AV165" s="56"/>
      <c r="AW165" s="56"/>
      <c r="AX165" s="56"/>
      <c r="AY165" s="56"/>
      <c r="AZ165" s="56"/>
      <c r="BA165" s="56"/>
      <c r="BB165" s="166"/>
      <c r="BC165" s="56"/>
      <c r="BD165" s="56"/>
      <c r="BE165" s="56"/>
      <c r="BF165" s="166"/>
      <c r="BG165" s="56"/>
      <c r="BH165" s="17"/>
      <c r="BI165" s="56"/>
      <c r="BJ165" s="56"/>
      <c r="BK165" s="56"/>
      <c r="BL165" s="56"/>
      <c r="BT165" s="140"/>
      <c r="CN165" s="140"/>
      <c r="DG165" s="140"/>
    </row>
    <row r="166" spans="1:111" x14ac:dyDescent="0.15">
      <c r="A166" s="11">
        <f t="shared" si="20"/>
        <v>60080002</v>
      </c>
      <c r="B166" s="13">
        <v>6</v>
      </c>
      <c r="C166" s="12">
        <v>0</v>
      </c>
      <c r="D166" s="13">
        <v>8</v>
      </c>
      <c r="E166" s="13">
        <v>0</v>
      </c>
      <c r="F166" s="12">
        <v>2</v>
      </c>
      <c r="O166" s="55">
        <v>0</v>
      </c>
      <c r="P166" s="10">
        <f t="shared" si="15"/>
        <v>0</v>
      </c>
      <c r="R166" s="155" t="str">
        <f t="shared" si="16"/>
        <v/>
      </c>
      <c r="S166" s="171" t="str">
        <f t="shared" si="17"/>
        <v/>
      </c>
      <c r="X166" s="155" t="str">
        <f t="shared" si="18"/>
        <v/>
      </c>
      <c r="Y166" s="171" t="str">
        <f t="shared" si="19"/>
        <v/>
      </c>
      <c r="BM166" s="105"/>
    </row>
    <row r="167" spans="1:111" x14ac:dyDescent="0.15">
      <c r="A167" s="11">
        <f t="shared" si="20"/>
        <v>60080003</v>
      </c>
      <c r="B167" s="13">
        <v>6</v>
      </c>
      <c r="C167" s="12">
        <v>0</v>
      </c>
      <c r="D167" s="13">
        <v>8</v>
      </c>
      <c r="E167" s="13">
        <v>0</v>
      </c>
      <c r="F167" s="12">
        <v>3</v>
      </c>
      <c r="O167" s="55">
        <v>0</v>
      </c>
      <c r="P167" s="10">
        <f t="shared" si="15"/>
        <v>0</v>
      </c>
      <c r="R167" s="155" t="str">
        <f t="shared" si="16"/>
        <v/>
      </c>
      <c r="S167" s="171" t="str">
        <f t="shared" si="17"/>
        <v/>
      </c>
      <c r="X167" s="155" t="str">
        <f t="shared" si="18"/>
        <v/>
      </c>
      <c r="Y167" s="171" t="str">
        <f t="shared" si="19"/>
        <v/>
      </c>
      <c r="BM167" s="105"/>
    </row>
    <row r="168" spans="1:111" x14ac:dyDescent="0.15">
      <c r="A168" s="11">
        <f t="shared" si="20"/>
        <v>60080004</v>
      </c>
      <c r="B168" s="13">
        <v>6</v>
      </c>
      <c r="C168" s="12">
        <v>0</v>
      </c>
      <c r="D168" s="13">
        <v>8</v>
      </c>
      <c r="E168" s="13">
        <v>0</v>
      </c>
      <c r="F168" s="12">
        <v>4</v>
      </c>
      <c r="O168" s="55">
        <v>0</v>
      </c>
      <c r="P168" s="10">
        <f t="shared" si="15"/>
        <v>0</v>
      </c>
      <c r="R168" s="155" t="str">
        <f t="shared" si="16"/>
        <v/>
      </c>
      <c r="S168" s="171" t="str">
        <f t="shared" si="17"/>
        <v/>
      </c>
      <c r="X168" s="155" t="str">
        <f t="shared" si="18"/>
        <v/>
      </c>
      <c r="Y168" s="171" t="str">
        <f t="shared" si="19"/>
        <v/>
      </c>
    </row>
    <row r="169" spans="1:111" x14ac:dyDescent="0.15">
      <c r="A169" s="11">
        <f t="shared" si="20"/>
        <v>60080005</v>
      </c>
      <c r="B169" s="13">
        <v>6</v>
      </c>
      <c r="C169" s="12">
        <v>0</v>
      </c>
      <c r="D169" s="13">
        <v>8</v>
      </c>
      <c r="E169" s="13">
        <v>0</v>
      </c>
      <c r="F169" s="12">
        <v>5</v>
      </c>
      <c r="O169" s="55">
        <v>0</v>
      </c>
      <c r="P169" s="10">
        <f t="shared" si="15"/>
        <v>0</v>
      </c>
      <c r="R169" s="155" t="str">
        <f t="shared" si="16"/>
        <v/>
      </c>
      <c r="S169" s="171" t="str">
        <f t="shared" si="17"/>
        <v/>
      </c>
      <c r="X169" s="155" t="str">
        <f t="shared" si="18"/>
        <v/>
      </c>
      <c r="Y169" s="171" t="str">
        <f t="shared" si="19"/>
        <v/>
      </c>
    </row>
    <row r="170" spans="1:111" x14ac:dyDescent="0.15">
      <c r="A170" s="11">
        <f t="shared" si="20"/>
        <v>60080006</v>
      </c>
      <c r="B170" s="13">
        <v>6</v>
      </c>
      <c r="C170" s="12">
        <v>0</v>
      </c>
      <c r="D170" s="13">
        <v>8</v>
      </c>
      <c r="E170" s="13">
        <v>0</v>
      </c>
      <c r="F170" s="12">
        <v>6</v>
      </c>
      <c r="O170" s="55">
        <v>0</v>
      </c>
      <c r="P170" s="10">
        <f t="shared" si="15"/>
        <v>0</v>
      </c>
      <c r="R170" s="155" t="str">
        <f t="shared" si="16"/>
        <v/>
      </c>
      <c r="S170" s="171" t="str">
        <f t="shared" si="17"/>
        <v/>
      </c>
      <c r="X170" s="155" t="str">
        <f t="shared" si="18"/>
        <v/>
      </c>
      <c r="Y170" s="171" t="str">
        <f t="shared" si="19"/>
        <v/>
      </c>
    </row>
    <row r="171" spans="1:111" x14ac:dyDescent="0.15">
      <c r="A171" s="11">
        <f t="shared" si="20"/>
        <v>60080007</v>
      </c>
      <c r="B171" s="13">
        <v>6</v>
      </c>
      <c r="C171" s="12">
        <v>0</v>
      </c>
      <c r="D171" s="13">
        <v>8</v>
      </c>
      <c r="E171" s="13">
        <v>0</v>
      </c>
      <c r="F171" s="12">
        <v>7</v>
      </c>
      <c r="O171" s="55">
        <v>0</v>
      </c>
      <c r="P171" s="10">
        <f t="shared" si="15"/>
        <v>0</v>
      </c>
      <c r="R171" s="155" t="str">
        <f t="shared" si="16"/>
        <v/>
      </c>
      <c r="S171" s="171" t="str">
        <f t="shared" si="17"/>
        <v/>
      </c>
      <c r="X171" s="155" t="str">
        <f t="shared" si="18"/>
        <v/>
      </c>
      <c r="Y171" s="171" t="str">
        <f t="shared" si="19"/>
        <v/>
      </c>
    </row>
    <row r="172" spans="1:111" x14ac:dyDescent="0.15">
      <c r="A172" s="11">
        <f t="shared" si="20"/>
        <v>60080008</v>
      </c>
      <c r="B172" s="13">
        <v>6</v>
      </c>
      <c r="C172" s="12">
        <v>0</v>
      </c>
      <c r="D172" s="13">
        <v>8</v>
      </c>
      <c r="E172" s="13">
        <v>0</v>
      </c>
      <c r="F172" s="12">
        <v>8</v>
      </c>
      <c r="O172" s="55">
        <v>0</v>
      </c>
      <c r="P172" s="10">
        <f t="shared" si="15"/>
        <v>0</v>
      </c>
      <c r="R172" s="155" t="str">
        <f t="shared" si="16"/>
        <v/>
      </c>
      <c r="S172" s="171" t="str">
        <f t="shared" si="17"/>
        <v/>
      </c>
      <c r="X172" s="155" t="str">
        <f t="shared" si="18"/>
        <v/>
      </c>
      <c r="Y172" s="171" t="str">
        <f t="shared" si="19"/>
        <v/>
      </c>
    </row>
    <row r="173" spans="1:111" x14ac:dyDescent="0.15">
      <c r="A173" s="11">
        <f t="shared" si="20"/>
        <v>60080009</v>
      </c>
      <c r="B173" s="13">
        <v>6</v>
      </c>
      <c r="C173" s="12">
        <v>0</v>
      </c>
      <c r="D173" s="13">
        <v>8</v>
      </c>
      <c r="E173" s="13">
        <v>0</v>
      </c>
      <c r="F173" s="12">
        <v>9</v>
      </c>
      <c r="O173" s="55">
        <v>0</v>
      </c>
      <c r="P173" s="10">
        <f t="shared" si="15"/>
        <v>0</v>
      </c>
      <c r="R173" s="155" t="str">
        <f t="shared" si="16"/>
        <v/>
      </c>
      <c r="S173" s="171" t="str">
        <f t="shared" si="17"/>
        <v/>
      </c>
      <c r="X173" s="155" t="str">
        <f t="shared" si="18"/>
        <v/>
      </c>
      <c r="Y173" s="171" t="str">
        <f t="shared" si="19"/>
        <v/>
      </c>
    </row>
    <row r="174" spans="1:111" x14ac:dyDescent="0.15">
      <c r="A174" s="11">
        <f t="shared" si="20"/>
        <v>60080010</v>
      </c>
      <c r="B174" s="13">
        <v>6</v>
      </c>
      <c r="C174" s="12">
        <v>0</v>
      </c>
      <c r="D174" s="13">
        <v>8</v>
      </c>
      <c r="E174" s="13">
        <v>0</v>
      </c>
      <c r="F174" s="12">
        <v>10</v>
      </c>
      <c r="O174" s="55">
        <v>0</v>
      </c>
      <c r="P174" s="10">
        <f t="shared" si="15"/>
        <v>0</v>
      </c>
      <c r="R174" s="155" t="str">
        <f t="shared" si="16"/>
        <v/>
      </c>
      <c r="S174" s="171" t="str">
        <f t="shared" si="17"/>
        <v/>
      </c>
      <c r="X174" s="155" t="str">
        <f t="shared" si="18"/>
        <v/>
      </c>
      <c r="Y174" s="171" t="str">
        <f t="shared" si="19"/>
        <v/>
      </c>
    </row>
    <row r="175" spans="1:111" s="93" customFormat="1" x14ac:dyDescent="0.15">
      <c r="A175" s="11">
        <f t="shared" si="20"/>
        <v>60080011</v>
      </c>
      <c r="B175" s="13">
        <v>6</v>
      </c>
      <c r="C175" s="12">
        <v>0</v>
      </c>
      <c r="D175" s="13">
        <v>8</v>
      </c>
      <c r="E175" s="13">
        <v>0</v>
      </c>
      <c r="F175" s="12">
        <v>11</v>
      </c>
      <c r="G175" s="55"/>
      <c r="H175" s="55"/>
      <c r="I175" s="55"/>
      <c r="J175" s="55"/>
      <c r="K175" s="55"/>
      <c r="L175" s="158"/>
      <c r="M175" s="10"/>
      <c r="N175" s="55"/>
      <c r="O175" s="55">
        <v>0</v>
      </c>
      <c r="P175" s="10">
        <f t="shared" si="15"/>
        <v>0</v>
      </c>
      <c r="Q175" s="10"/>
      <c r="R175" s="155" t="str">
        <f t="shared" si="16"/>
        <v/>
      </c>
      <c r="S175" s="171" t="str">
        <f t="shared" si="17"/>
        <v/>
      </c>
      <c r="T175" s="161"/>
      <c r="U175" s="55"/>
      <c r="V175" s="55"/>
      <c r="W175" s="55"/>
      <c r="X175" s="155" t="str">
        <f t="shared" si="18"/>
        <v/>
      </c>
      <c r="Y175" s="171" t="str">
        <f t="shared" si="19"/>
        <v/>
      </c>
      <c r="Z175" s="165"/>
      <c r="AA175" s="10"/>
      <c r="AB175" s="55"/>
      <c r="AC175" s="55"/>
      <c r="AD175" s="55"/>
      <c r="AE175" s="55"/>
      <c r="AF175" s="55"/>
      <c r="AG175" s="167"/>
      <c r="AH175" s="55"/>
      <c r="AI175" s="55"/>
      <c r="AJ175" s="165"/>
      <c r="AK175" s="55"/>
      <c r="AL175" s="55"/>
      <c r="AM175" s="55"/>
      <c r="AN175" s="55"/>
      <c r="AO175" s="55"/>
      <c r="AP175" s="55"/>
      <c r="AQ175" s="55"/>
      <c r="AR175" s="55"/>
      <c r="AS175" s="165"/>
      <c r="AT175" s="55"/>
      <c r="AU175" s="55"/>
      <c r="AV175" s="55"/>
      <c r="AW175" s="55"/>
      <c r="AX175" s="55"/>
      <c r="AY175" s="55"/>
      <c r="AZ175" s="55"/>
      <c r="BA175" s="55"/>
      <c r="BB175" s="165"/>
      <c r="BC175" s="55"/>
      <c r="BD175" s="55"/>
      <c r="BE175" s="55"/>
      <c r="BF175" s="165"/>
      <c r="BG175" s="55"/>
      <c r="BH175" s="10"/>
      <c r="BI175" s="55"/>
      <c r="BJ175" s="55"/>
      <c r="BK175" s="55"/>
      <c r="BL175" s="55"/>
      <c r="BT175" s="141"/>
      <c r="CN175" s="141"/>
      <c r="DG175" s="141"/>
    </row>
    <row r="176" spans="1:111" s="93" customFormat="1" x14ac:dyDescent="0.15">
      <c r="A176" s="11">
        <f t="shared" si="20"/>
        <v>60080012</v>
      </c>
      <c r="B176" s="13">
        <v>6</v>
      </c>
      <c r="C176" s="12">
        <v>0</v>
      </c>
      <c r="D176" s="13">
        <v>8</v>
      </c>
      <c r="E176" s="13">
        <v>0</v>
      </c>
      <c r="F176" s="12">
        <v>12</v>
      </c>
      <c r="G176" s="55"/>
      <c r="H176" s="55"/>
      <c r="I176" s="55"/>
      <c r="J176" s="55"/>
      <c r="K176" s="55"/>
      <c r="L176" s="158"/>
      <c r="M176" s="10"/>
      <c r="N176" s="55"/>
      <c r="O176" s="55">
        <v>0</v>
      </c>
      <c r="P176" s="10">
        <f t="shared" si="15"/>
        <v>0</v>
      </c>
      <c r="Q176" s="10"/>
      <c r="R176" s="155" t="str">
        <f t="shared" si="16"/>
        <v/>
      </c>
      <c r="S176" s="171" t="str">
        <f t="shared" si="17"/>
        <v/>
      </c>
      <c r="T176" s="161"/>
      <c r="U176" s="55"/>
      <c r="V176" s="55"/>
      <c r="W176" s="55"/>
      <c r="X176" s="155" t="str">
        <f t="shared" si="18"/>
        <v/>
      </c>
      <c r="Y176" s="171" t="str">
        <f t="shared" si="19"/>
        <v/>
      </c>
      <c r="Z176" s="165"/>
      <c r="AA176" s="10"/>
      <c r="AB176" s="55"/>
      <c r="AC176" s="55"/>
      <c r="AD176" s="55"/>
      <c r="AE176" s="55"/>
      <c r="AF176" s="55"/>
      <c r="AG176" s="167"/>
      <c r="AH176" s="55"/>
      <c r="AI176" s="55"/>
      <c r="AJ176" s="165"/>
      <c r="AK176" s="55"/>
      <c r="AL176" s="55"/>
      <c r="AM176" s="55"/>
      <c r="AN176" s="55"/>
      <c r="AO176" s="55"/>
      <c r="AP176" s="55"/>
      <c r="AQ176" s="55"/>
      <c r="AR176" s="55"/>
      <c r="AS176" s="165"/>
      <c r="AT176" s="55"/>
      <c r="AU176" s="55"/>
      <c r="AV176" s="55"/>
      <c r="AW176" s="55"/>
      <c r="AX176" s="55"/>
      <c r="AY176" s="55"/>
      <c r="AZ176" s="55"/>
      <c r="BA176" s="55"/>
      <c r="BB176" s="165"/>
      <c r="BC176" s="55"/>
      <c r="BD176" s="55"/>
      <c r="BE176" s="55"/>
      <c r="BF176" s="165"/>
      <c r="BG176" s="55"/>
      <c r="BH176" s="10"/>
      <c r="BI176" s="55"/>
      <c r="BJ176" s="55"/>
      <c r="BK176" s="55"/>
      <c r="BL176" s="55"/>
      <c r="BT176" s="141"/>
      <c r="CN176" s="141"/>
      <c r="DG176" s="141"/>
    </row>
    <row r="177" spans="1:111" s="93" customFormat="1" x14ac:dyDescent="0.15">
      <c r="A177" s="11">
        <f t="shared" si="20"/>
        <v>60080013</v>
      </c>
      <c r="B177" s="13">
        <v>6</v>
      </c>
      <c r="C177" s="12">
        <v>0</v>
      </c>
      <c r="D177" s="13">
        <v>8</v>
      </c>
      <c r="E177" s="13">
        <v>0</v>
      </c>
      <c r="F177" s="12">
        <v>13</v>
      </c>
      <c r="G177" s="55"/>
      <c r="H177" s="55"/>
      <c r="I177" s="55"/>
      <c r="J177" s="55"/>
      <c r="K177" s="55"/>
      <c r="L177" s="158"/>
      <c r="M177" s="10"/>
      <c r="N177" s="55"/>
      <c r="O177" s="55">
        <v>0</v>
      </c>
      <c r="P177" s="10">
        <f t="shared" si="15"/>
        <v>0</v>
      </c>
      <c r="Q177" s="10"/>
      <c r="R177" s="155" t="str">
        <f t="shared" si="16"/>
        <v/>
      </c>
      <c r="S177" s="171" t="str">
        <f t="shared" si="17"/>
        <v/>
      </c>
      <c r="T177" s="161"/>
      <c r="U177" s="55"/>
      <c r="V177" s="55"/>
      <c r="W177" s="55"/>
      <c r="X177" s="155" t="str">
        <f t="shared" si="18"/>
        <v/>
      </c>
      <c r="Y177" s="171" t="str">
        <f t="shared" si="19"/>
        <v/>
      </c>
      <c r="Z177" s="165"/>
      <c r="AA177" s="10"/>
      <c r="AB177" s="55"/>
      <c r="AC177" s="55"/>
      <c r="AD177" s="55"/>
      <c r="AE177" s="55"/>
      <c r="AF177" s="55"/>
      <c r="AG177" s="167"/>
      <c r="AH177" s="55"/>
      <c r="AI177" s="55"/>
      <c r="AJ177" s="165"/>
      <c r="AK177" s="55"/>
      <c r="AL177" s="55"/>
      <c r="AM177" s="55"/>
      <c r="AN177" s="55"/>
      <c r="AO177" s="55"/>
      <c r="AP177" s="55"/>
      <c r="AQ177" s="55"/>
      <c r="AR177" s="55"/>
      <c r="AS177" s="165"/>
      <c r="AT177" s="55"/>
      <c r="AU177" s="55"/>
      <c r="AV177" s="55"/>
      <c r="AW177" s="55"/>
      <c r="AX177" s="55"/>
      <c r="AY177" s="55"/>
      <c r="AZ177" s="55"/>
      <c r="BA177" s="55"/>
      <c r="BB177" s="165"/>
      <c r="BC177" s="55"/>
      <c r="BD177" s="55"/>
      <c r="BE177" s="55"/>
      <c r="BF177" s="165"/>
      <c r="BG177" s="55"/>
      <c r="BH177" s="10"/>
      <c r="BI177" s="55"/>
      <c r="BJ177" s="55"/>
      <c r="BK177" s="55"/>
      <c r="BL177" s="55"/>
      <c r="BT177" s="141"/>
      <c r="CN177" s="141"/>
      <c r="DG177" s="141"/>
    </row>
    <row r="178" spans="1:111" s="93" customFormat="1" x14ac:dyDescent="0.15">
      <c r="A178" s="11">
        <f t="shared" si="20"/>
        <v>60080014</v>
      </c>
      <c r="B178" s="13">
        <v>6</v>
      </c>
      <c r="C178" s="12">
        <v>0</v>
      </c>
      <c r="D178" s="13">
        <v>8</v>
      </c>
      <c r="E178" s="13">
        <v>0</v>
      </c>
      <c r="F178" s="12">
        <v>14</v>
      </c>
      <c r="G178" s="55"/>
      <c r="H178" s="55"/>
      <c r="I178" s="55"/>
      <c r="J178" s="55"/>
      <c r="K178" s="55"/>
      <c r="L178" s="158"/>
      <c r="M178" s="10"/>
      <c r="N178" s="55"/>
      <c r="O178" s="55">
        <v>0</v>
      </c>
      <c r="P178" s="10">
        <f t="shared" si="15"/>
        <v>0</v>
      </c>
      <c r="Q178" s="10"/>
      <c r="R178" s="155" t="str">
        <f t="shared" si="16"/>
        <v/>
      </c>
      <c r="S178" s="171" t="str">
        <f t="shared" si="17"/>
        <v/>
      </c>
      <c r="T178" s="161"/>
      <c r="U178" s="55"/>
      <c r="V178" s="55"/>
      <c r="W178" s="55"/>
      <c r="X178" s="155" t="str">
        <f t="shared" si="18"/>
        <v/>
      </c>
      <c r="Y178" s="171" t="str">
        <f t="shared" si="19"/>
        <v/>
      </c>
      <c r="Z178" s="165"/>
      <c r="AA178" s="10"/>
      <c r="AB178" s="55"/>
      <c r="AC178" s="55"/>
      <c r="AD178" s="55"/>
      <c r="AE178" s="55"/>
      <c r="AF178" s="55"/>
      <c r="AG178" s="167"/>
      <c r="AH178" s="55"/>
      <c r="AI178" s="55"/>
      <c r="AJ178" s="165"/>
      <c r="AK178" s="55"/>
      <c r="AL178" s="55"/>
      <c r="AM178" s="55"/>
      <c r="AN178" s="55"/>
      <c r="AO178" s="55"/>
      <c r="AP178" s="55"/>
      <c r="AQ178" s="55"/>
      <c r="AR178" s="55"/>
      <c r="AS178" s="165"/>
      <c r="AT178" s="55"/>
      <c r="AU178" s="55"/>
      <c r="AV178" s="55"/>
      <c r="AW178" s="55"/>
      <c r="AX178" s="55"/>
      <c r="AY178" s="55"/>
      <c r="AZ178" s="55"/>
      <c r="BA178" s="55"/>
      <c r="BB178" s="165"/>
      <c r="BC178" s="55"/>
      <c r="BD178" s="55"/>
      <c r="BE178" s="55"/>
      <c r="BF178" s="165"/>
      <c r="BG178" s="55"/>
      <c r="BH178" s="10"/>
      <c r="BI178" s="55"/>
      <c r="BJ178" s="55"/>
      <c r="BK178" s="55"/>
      <c r="BL178" s="55"/>
      <c r="BT178" s="141"/>
      <c r="CN178" s="141"/>
      <c r="DG178" s="141"/>
    </row>
    <row r="179" spans="1:111" s="93" customFormat="1" x14ac:dyDescent="0.15">
      <c r="A179" s="11">
        <f t="shared" si="20"/>
        <v>60080015</v>
      </c>
      <c r="B179" s="13">
        <v>6</v>
      </c>
      <c r="C179" s="12">
        <v>0</v>
      </c>
      <c r="D179" s="13">
        <v>8</v>
      </c>
      <c r="E179" s="13">
        <v>0</v>
      </c>
      <c r="F179" s="12">
        <v>15</v>
      </c>
      <c r="G179" s="55"/>
      <c r="H179" s="55"/>
      <c r="I179" s="55"/>
      <c r="J179" s="55"/>
      <c r="K179" s="55"/>
      <c r="L179" s="158"/>
      <c r="M179" s="10"/>
      <c r="N179" s="55"/>
      <c r="O179" s="55">
        <v>0</v>
      </c>
      <c r="P179" s="10">
        <f t="shared" si="15"/>
        <v>0</v>
      </c>
      <c r="Q179" s="10"/>
      <c r="R179" s="155" t="str">
        <f t="shared" si="16"/>
        <v/>
      </c>
      <c r="S179" s="171" t="str">
        <f t="shared" si="17"/>
        <v/>
      </c>
      <c r="T179" s="161"/>
      <c r="U179" s="55"/>
      <c r="V179" s="55"/>
      <c r="W179" s="55"/>
      <c r="X179" s="155" t="str">
        <f t="shared" si="18"/>
        <v/>
      </c>
      <c r="Y179" s="171" t="str">
        <f t="shared" si="19"/>
        <v/>
      </c>
      <c r="Z179" s="165"/>
      <c r="AA179" s="10"/>
      <c r="AB179" s="55"/>
      <c r="AC179" s="55"/>
      <c r="AD179" s="55"/>
      <c r="AE179" s="55"/>
      <c r="AF179" s="55"/>
      <c r="AG179" s="167"/>
      <c r="AH179" s="55"/>
      <c r="AI179" s="55"/>
      <c r="AJ179" s="165"/>
      <c r="AK179" s="55"/>
      <c r="AL179" s="55"/>
      <c r="AM179" s="55"/>
      <c r="AN179" s="55"/>
      <c r="AO179" s="55"/>
      <c r="AP179" s="55"/>
      <c r="AQ179" s="55"/>
      <c r="AR179" s="55"/>
      <c r="AS179" s="165"/>
      <c r="AT179" s="55"/>
      <c r="AU179" s="55"/>
      <c r="AV179" s="55"/>
      <c r="AW179" s="55"/>
      <c r="AX179" s="55"/>
      <c r="AY179" s="55"/>
      <c r="AZ179" s="55"/>
      <c r="BA179" s="55"/>
      <c r="BB179" s="165"/>
      <c r="BC179" s="55"/>
      <c r="BD179" s="55"/>
      <c r="BE179" s="55"/>
      <c r="BF179" s="165"/>
      <c r="BG179" s="55"/>
      <c r="BH179" s="10"/>
      <c r="BI179" s="55"/>
      <c r="BJ179" s="55"/>
      <c r="BK179" s="55"/>
      <c r="BL179" s="55"/>
      <c r="BT179" s="141"/>
      <c r="CN179" s="141"/>
      <c r="DG179" s="141"/>
    </row>
    <row r="180" spans="1:111" s="93" customFormat="1" x14ac:dyDescent="0.15">
      <c r="A180" s="11">
        <f t="shared" si="20"/>
        <v>60080016</v>
      </c>
      <c r="B180" s="13">
        <v>6</v>
      </c>
      <c r="C180" s="12">
        <v>0</v>
      </c>
      <c r="D180" s="13">
        <v>8</v>
      </c>
      <c r="E180" s="13">
        <v>0</v>
      </c>
      <c r="F180" s="12">
        <v>16</v>
      </c>
      <c r="G180" s="55"/>
      <c r="H180" s="55"/>
      <c r="I180" s="55"/>
      <c r="J180" s="55"/>
      <c r="K180" s="55"/>
      <c r="L180" s="158"/>
      <c r="M180" s="10"/>
      <c r="N180" s="55"/>
      <c r="O180" s="55">
        <v>0</v>
      </c>
      <c r="P180" s="10">
        <f t="shared" si="15"/>
        <v>0</v>
      </c>
      <c r="Q180" s="10"/>
      <c r="R180" s="155" t="str">
        <f t="shared" si="16"/>
        <v/>
      </c>
      <c r="S180" s="171" t="str">
        <f t="shared" si="17"/>
        <v/>
      </c>
      <c r="T180" s="161"/>
      <c r="U180" s="55"/>
      <c r="V180" s="55"/>
      <c r="W180" s="55"/>
      <c r="X180" s="155" t="str">
        <f t="shared" si="18"/>
        <v/>
      </c>
      <c r="Y180" s="171" t="str">
        <f t="shared" si="19"/>
        <v/>
      </c>
      <c r="Z180" s="165"/>
      <c r="AA180" s="10"/>
      <c r="AB180" s="55"/>
      <c r="AC180" s="55"/>
      <c r="AD180" s="55"/>
      <c r="AE180" s="55"/>
      <c r="AF180" s="55"/>
      <c r="AG180" s="167"/>
      <c r="AH180" s="55"/>
      <c r="AI180" s="55"/>
      <c r="AJ180" s="165"/>
      <c r="AK180" s="55"/>
      <c r="AL180" s="55"/>
      <c r="AM180" s="55"/>
      <c r="AN180" s="55"/>
      <c r="AO180" s="55"/>
      <c r="AP180" s="55"/>
      <c r="AQ180" s="55"/>
      <c r="AR180" s="55"/>
      <c r="AS180" s="165"/>
      <c r="AT180" s="55"/>
      <c r="AU180" s="55"/>
      <c r="AV180" s="55"/>
      <c r="AW180" s="55"/>
      <c r="AX180" s="55"/>
      <c r="AY180" s="55"/>
      <c r="AZ180" s="55"/>
      <c r="BA180" s="55"/>
      <c r="BB180" s="165"/>
      <c r="BC180" s="55"/>
      <c r="BD180" s="55"/>
      <c r="BE180" s="55"/>
      <c r="BF180" s="165"/>
      <c r="BG180" s="55"/>
      <c r="BH180" s="10"/>
      <c r="BI180" s="55"/>
      <c r="BJ180" s="55"/>
      <c r="BK180" s="55"/>
      <c r="BL180" s="55"/>
      <c r="BT180" s="141"/>
      <c r="CN180" s="141"/>
      <c r="DG180" s="141"/>
    </row>
    <row r="181" spans="1:111" s="93" customFormat="1" x14ac:dyDescent="0.15">
      <c r="A181" s="11">
        <f t="shared" si="20"/>
        <v>60080017</v>
      </c>
      <c r="B181" s="13">
        <v>6</v>
      </c>
      <c r="C181" s="12">
        <v>0</v>
      </c>
      <c r="D181" s="13">
        <v>8</v>
      </c>
      <c r="E181" s="13">
        <v>0</v>
      </c>
      <c r="F181" s="12">
        <v>17</v>
      </c>
      <c r="G181" s="55"/>
      <c r="H181" s="55"/>
      <c r="I181" s="55"/>
      <c r="J181" s="55"/>
      <c r="K181" s="55"/>
      <c r="L181" s="158"/>
      <c r="M181" s="10"/>
      <c r="N181" s="55"/>
      <c r="O181" s="55">
        <v>0</v>
      </c>
      <c r="P181" s="10">
        <f t="shared" si="15"/>
        <v>0</v>
      </c>
      <c r="Q181" s="10"/>
      <c r="R181" s="155" t="str">
        <f t="shared" si="16"/>
        <v/>
      </c>
      <c r="S181" s="171" t="str">
        <f t="shared" si="17"/>
        <v/>
      </c>
      <c r="T181" s="161"/>
      <c r="U181" s="55"/>
      <c r="V181" s="55"/>
      <c r="W181" s="55"/>
      <c r="X181" s="155" t="str">
        <f t="shared" si="18"/>
        <v/>
      </c>
      <c r="Y181" s="171" t="str">
        <f t="shared" si="19"/>
        <v/>
      </c>
      <c r="Z181" s="165"/>
      <c r="AA181" s="10"/>
      <c r="AB181" s="55"/>
      <c r="AC181" s="55"/>
      <c r="AD181" s="55"/>
      <c r="AE181" s="55"/>
      <c r="AF181" s="55"/>
      <c r="AG181" s="167"/>
      <c r="AH181" s="55"/>
      <c r="AI181" s="55"/>
      <c r="AJ181" s="165"/>
      <c r="AK181" s="55"/>
      <c r="AL181" s="55"/>
      <c r="AM181" s="55"/>
      <c r="AN181" s="55"/>
      <c r="AO181" s="55"/>
      <c r="AP181" s="55"/>
      <c r="AQ181" s="55"/>
      <c r="AR181" s="55"/>
      <c r="AS181" s="165"/>
      <c r="AT181" s="55"/>
      <c r="AU181" s="55"/>
      <c r="AV181" s="55"/>
      <c r="AW181" s="55"/>
      <c r="AX181" s="55"/>
      <c r="AY181" s="55"/>
      <c r="AZ181" s="55"/>
      <c r="BA181" s="55"/>
      <c r="BB181" s="165"/>
      <c r="BC181" s="55"/>
      <c r="BD181" s="55"/>
      <c r="BE181" s="55"/>
      <c r="BF181" s="165"/>
      <c r="BG181" s="55"/>
      <c r="BH181" s="10"/>
      <c r="BI181" s="55"/>
      <c r="BJ181" s="55"/>
      <c r="BK181" s="55"/>
      <c r="BL181" s="55"/>
      <c r="BT181" s="141"/>
      <c r="CN181" s="141"/>
      <c r="DG181" s="141"/>
    </row>
    <row r="182" spans="1:111" s="93" customFormat="1" x14ac:dyDescent="0.15">
      <c r="A182" s="11">
        <f t="shared" si="20"/>
        <v>60080018</v>
      </c>
      <c r="B182" s="13">
        <v>6</v>
      </c>
      <c r="C182" s="12">
        <v>0</v>
      </c>
      <c r="D182" s="13">
        <v>8</v>
      </c>
      <c r="E182" s="13">
        <v>0</v>
      </c>
      <c r="F182" s="12">
        <v>18</v>
      </c>
      <c r="G182" s="55"/>
      <c r="H182" s="55"/>
      <c r="I182" s="55"/>
      <c r="J182" s="55"/>
      <c r="K182" s="55"/>
      <c r="L182" s="158"/>
      <c r="M182" s="10"/>
      <c r="N182" s="55"/>
      <c r="O182" s="55">
        <v>0</v>
      </c>
      <c r="P182" s="10">
        <f t="shared" si="15"/>
        <v>0</v>
      </c>
      <c r="Q182" s="10"/>
      <c r="R182" s="155" t="str">
        <f t="shared" si="16"/>
        <v/>
      </c>
      <c r="S182" s="171" t="str">
        <f t="shared" si="17"/>
        <v/>
      </c>
      <c r="T182" s="161"/>
      <c r="U182" s="55"/>
      <c r="V182" s="55"/>
      <c r="W182" s="55"/>
      <c r="X182" s="155" t="str">
        <f t="shared" si="18"/>
        <v/>
      </c>
      <c r="Y182" s="171" t="str">
        <f t="shared" si="19"/>
        <v/>
      </c>
      <c r="Z182" s="165"/>
      <c r="AA182" s="10"/>
      <c r="AB182" s="55"/>
      <c r="AC182" s="55"/>
      <c r="AD182" s="55"/>
      <c r="AE182" s="55"/>
      <c r="AF182" s="55"/>
      <c r="AG182" s="167"/>
      <c r="AH182" s="55"/>
      <c r="AI182" s="55"/>
      <c r="AJ182" s="165"/>
      <c r="AK182" s="55"/>
      <c r="AL182" s="55"/>
      <c r="AM182" s="55"/>
      <c r="AN182" s="55"/>
      <c r="AO182" s="55"/>
      <c r="AP182" s="55"/>
      <c r="AQ182" s="55"/>
      <c r="AR182" s="55"/>
      <c r="AS182" s="165"/>
      <c r="AT182" s="55"/>
      <c r="AU182" s="55"/>
      <c r="AV182" s="55"/>
      <c r="AW182" s="55"/>
      <c r="AX182" s="55"/>
      <c r="AY182" s="55"/>
      <c r="AZ182" s="55"/>
      <c r="BA182" s="55"/>
      <c r="BB182" s="165"/>
      <c r="BC182" s="55"/>
      <c r="BD182" s="55"/>
      <c r="BE182" s="55"/>
      <c r="BF182" s="165"/>
      <c r="BG182" s="55"/>
      <c r="BH182" s="10"/>
      <c r="BI182" s="55"/>
      <c r="BJ182" s="55"/>
      <c r="BK182" s="55"/>
      <c r="BL182" s="55"/>
      <c r="BT182" s="141"/>
      <c r="CN182" s="141"/>
      <c r="DG182" s="141"/>
    </row>
    <row r="183" spans="1:111" s="93" customFormat="1" x14ac:dyDescent="0.15">
      <c r="A183" s="11">
        <f t="shared" si="20"/>
        <v>60080019</v>
      </c>
      <c r="B183" s="13">
        <v>6</v>
      </c>
      <c r="C183" s="12">
        <v>0</v>
      </c>
      <c r="D183" s="13">
        <v>8</v>
      </c>
      <c r="E183" s="13">
        <v>0</v>
      </c>
      <c r="F183" s="12">
        <v>19</v>
      </c>
      <c r="G183" s="55"/>
      <c r="H183" s="55"/>
      <c r="I183" s="55"/>
      <c r="J183" s="55"/>
      <c r="K183" s="55"/>
      <c r="L183" s="158"/>
      <c r="M183" s="10"/>
      <c r="N183" s="55"/>
      <c r="O183" s="55">
        <v>0</v>
      </c>
      <c r="P183" s="10">
        <f t="shared" si="15"/>
        <v>0</v>
      </c>
      <c r="Q183" s="10"/>
      <c r="R183" s="155" t="str">
        <f t="shared" si="16"/>
        <v/>
      </c>
      <c r="S183" s="171" t="str">
        <f t="shared" si="17"/>
        <v/>
      </c>
      <c r="T183" s="161"/>
      <c r="U183" s="55"/>
      <c r="V183" s="55"/>
      <c r="W183" s="55"/>
      <c r="X183" s="155" t="str">
        <f t="shared" si="18"/>
        <v/>
      </c>
      <c r="Y183" s="171" t="str">
        <f t="shared" si="19"/>
        <v/>
      </c>
      <c r="Z183" s="165"/>
      <c r="AA183" s="10"/>
      <c r="AB183" s="55"/>
      <c r="AC183" s="55"/>
      <c r="AD183" s="55"/>
      <c r="AE183" s="55"/>
      <c r="AF183" s="55"/>
      <c r="AG183" s="167"/>
      <c r="AH183" s="55"/>
      <c r="AI183" s="55"/>
      <c r="AJ183" s="165"/>
      <c r="AK183" s="55"/>
      <c r="AL183" s="55"/>
      <c r="AM183" s="55"/>
      <c r="AN183" s="55"/>
      <c r="AO183" s="55"/>
      <c r="AP183" s="55"/>
      <c r="AQ183" s="55"/>
      <c r="AR183" s="55"/>
      <c r="AS183" s="165"/>
      <c r="AT183" s="55"/>
      <c r="AU183" s="55"/>
      <c r="AV183" s="55"/>
      <c r="AW183" s="55"/>
      <c r="AX183" s="55"/>
      <c r="AY183" s="55"/>
      <c r="AZ183" s="55"/>
      <c r="BA183" s="55"/>
      <c r="BB183" s="165"/>
      <c r="BC183" s="55"/>
      <c r="BD183" s="55"/>
      <c r="BE183" s="55"/>
      <c r="BF183" s="165"/>
      <c r="BG183" s="55"/>
      <c r="BH183" s="10"/>
      <c r="BI183" s="55"/>
      <c r="BJ183" s="55"/>
      <c r="BK183" s="55"/>
      <c r="BL183" s="55"/>
      <c r="BT183" s="141"/>
      <c r="CN183" s="141"/>
      <c r="DG183" s="141"/>
    </row>
    <row r="184" spans="1:111" s="93" customFormat="1" ht="17.25" thickBot="1" x14ac:dyDescent="0.2">
      <c r="A184" s="11">
        <f t="shared" si="20"/>
        <v>60080020</v>
      </c>
      <c r="B184" s="108">
        <v>6</v>
      </c>
      <c r="C184" s="12">
        <v>0</v>
      </c>
      <c r="D184" s="108">
        <v>8</v>
      </c>
      <c r="E184" s="108">
        <v>0</v>
      </c>
      <c r="F184" s="109">
        <v>20</v>
      </c>
      <c r="G184" s="55"/>
      <c r="H184" s="55"/>
      <c r="I184" s="55"/>
      <c r="J184" s="55"/>
      <c r="K184" s="55"/>
      <c r="L184" s="158"/>
      <c r="M184" s="10"/>
      <c r="N184" s="55"/>
      <c r="O184" s="55">
        <v>0</v>
      </c>
      <c r="P184" s="10">
        <f t="shared" si="15"/>
        <v>0</v>
      </c>
      <c r="Q184" s="10"/>
      <c r="R184" s="155" t="str">
        <f t="shared" si="16"/>
        <v/>
      </c>
      <c r="S184" s="171" t="str">
        <f t="shared" si="17"/>
        <v/>
      </c>
      <c r="T184" s="161"/>
      <c r="U184" s="55"/>
      <c r="V184" s="55"/>
      <c r="W184" s="55"/>
      <c r="X184" s="155" t="str">
        <f t="shared" si="18"/>
        <v/>
      </c>
      <c r="Y184" s="171" t="str">
        <f t="shared" si="19"/>
        <v/>
      </c>
      <c r="Z184" s="165"/>
      <c r="AA184" s="10"/>
      <c r="AB184" s="55"/>
      <c r="AC184" s="55"/>
      <c r="AD184" s="55"/>
      <c r="AE184" s="55"/>
      <c r="AF184" s="55"/>
      <c r="AG184" s="167"/>
      <c r="AH184" s="55"/>
      <c r="AI184" s="55"/>
      <c r="AJ184" s="165"/>
      <c r="AK184" s="55"/>
      <c r="AL184" s="55"/>
      <c r="AM184" s="55"/>
      <c r="AN184" s="55"/>
      <c r="AO184" s="55"/>
      <c r="AP184" s="55"/>
      <c r="AQ184" s="55"/>
      <c r="AR184" s="55"/>
      <c r="AS184" s="165"/>
      <c r="AT184" s="55"/>
      <c r="AU184" s="55"/>
      <c r="AV184" s="55"/>
      <c r="AW184" s="55"/>
      <c r="AX184" s="55"/>
      <c r="AY184" s="55"/>
      <c r="AZ184" s="55"/>
      <c r="BA184" s="55"/>
      <c r="BB184" s="165"/>
      <c r="BC184" s="55"/>
      <c r="BD184" s="55"/>
      <c r="BE184" s="55"/>
      <c r="BF184" s="165"/>
      <c r="BG184" s="55"/>
      <c r="BH184" s="10"/>
      <c r="BI184" s="55"/>
      <c r="BJ184" s="55"/>
      <c r="BK184" s="55"/>
      <c r="BL184" s="55"/>
      <c r="BT184" s="141"/>
      <c r="CN184" s="141"/>
      <c r="DG184" s="141"/>
    </row>
    <row r="185" spans="1:111" s="110" customFormat="1" x14ac:dyDescent="0.15">
      <c r="A185" s="18">
        <f t="shared" si="20"/>
        <v>60090001</v>
      </c>
      <c r="B185" s="20">
        <v>6</v>
      </c>
      <c r="C185" s="19">
        <v>0</v>
      </c>
      <c r="D185" s="20">
        <v>9</v>
      </c>
      <c r="E185" s="20">
        <v>0</v>
      </c>
      <c r="F185" s="19">
        <v>1</v>
      </c>
      <c r="G185" s="56"/>
      <c r="H185" s="56"/>
      <c r="I185" s="56"/>
      <c r="J185" s="56"/>
      <c r="K185" s="56"/>
      <c r="L185" s="160"/>
      <c r="M185" s="17"/>
      <c r="N185" s="56"/>
      <c r="O185" s="56">
        <v>0</v>
      </c>
      <c r="P185" s="17">
        <f t="shared" si="15"/>
        <v>0</v>
      </c>
      <c r="Q185" s="17"/>
      <c r="R185" s="156" t="str">
        <f t="shared" si="16"/>
        <v/>
      </c>
      <c r="S185" s="172" t="str">
        <f t="shared" si="17"/>
        <v/>
      </c>
      <c r="T185" s="162"/>
      <c r="U185" s="56"/>
      <c r="V185" s="56"/>
      <c r="W185" s="56"/>
      <c r="X185" s="156" t="str">
        <f t="shared" si="18"/>
        <v/>
      </c>
      <c r="Y185" s="172" t="str">
        <f t="shared" si="19"/>
        <v/>
      </c>
      <c r="Z185" s="166"/>
      <c r="AA185" s="17"/>
      <c r="AB185" s="56"/>
      <c r="AC185" s="56"/>
      <c r="AD185" s="56"/>
      <c r="AE185" s="56"/>
      <c r="AF185" s="56"/>
      <c r="AG185" s="169"/>
      <c r="AH185" s="56"/>
      <c r="AI185" s="56"/>
      <c r="AJ185" s="166"/>
      <c r="AK185" s="56"/>
      <c r="AL185" s="56"/>
      <c r="AM185" s="56"/>
      <c r="AN185" s="56"/>
      <c r="AO185" s="56"/>
      <c r="AP185" s="56"/>
      <c r="AQ185" s="56"/>
      <c r="AR185" s="56"/>
      <c r="AS185" s="166"/>
      <c r="AT185" s="56"/>
      <c r="AU185" s="56"/>
      <c r="AV185" s="56"/>
      <c r="AW185" s="56"/>
      <c r="AX185" s="56"/>
      <c r="AY185" s="56"/>
      <c r="AZ185" s="56"/>
      <c r="BA185" s="56"/>
      <c r="BB185" s="166"/>
      <c r="BC185" s="56"/>
      <c r="BD185" s="56"/>
      <c r="BE185" s="56"/>
      <c r="BF185" s="166"/>
      <c r="BG185" s="56"/>
      <c r="BH185" s="17"/>
      <c r="BI185" s="56"/>
      <c r="BJ185" s="56"/>
      <c r="BK185" s="56"/>
      <c r="BL185" s="56"/>
      <c r="BT185" s="140"/>
      <c r="CN185" s="140"/>
      <c r="DG185" s="140"/>
    </row>
    <row r="186" spans="1:111" x14ac:dyDescent="0.15">
      <c r="A186" s="11">
        <f t="shared" si="20"/>
        <v>60090002</v>
      </c>
      <c r="B186" s="13">
        <v>6</v>
      </c>
      <c r="C186" s="12">
        <v>0</v>
      </c>
      <c r="D186" s="13">
        <v>9</v>
      </c>
      <c r="E186" s="13">
        <v>0</v>
      </c>
      <c r="F186" s="12">
        <v>2</v>
      </c>
      <c r="O186" s="55">
        <v>0</v>
      </c>
      <c r="P186" s="10">
        <f t="shared" si="15"/>
        <v>0</v>
      </c>
      <c r="R186" s="155" t="str">
        <f t="shared" si="16"/>
        <v/>
      </c>
      <c r="S186" s="171" t="str">
        <f t="shared" si="17"/>
        <v/>
      </c>
      <c r="X186" s="155" t="str">
        <f t="shared" si="18"/>
        <v/>
      </c>
      <c r="Y186" s="171" t="str">
        <f t="shared" si="19"/>
        <v/>
      </c>
      <c r="BM186" s="105"/>
    </row>
    <row r="187" spans="1:111" x14ac:dyDescent="0.15">
      <c r="A187" s="11">
        <f t="shared" si="20"/>
        <v>60090003</v>
      </c>
      <c r="B187" s="13">
        <v>6</v>
      </c>
      <c r="C187" s="12">
        <v>0</v>
      </c>
      <c r="D187" s="13">
        <v>9</v>
      </c>
      <c r="E187" s="13">
        <v>0</v>
      </c>
      <c r="F187" s="12">
        <v>3</v>
      </c>
      <c r="O187" s="55">
        <v>0</v>
      </c>
      <c r="P187" s="10">
        <f t="shared" si="15"/>
        <v>0</v>
      </c>
      <c r="R187" s="155" t="str">
        <f t="shared" si="16"/>
        <v/>
      </c>
      <c r="S187" s="171" t="str">
        <f t="shared" si="17"/>
        <v/>
      </c>
      <c r="X187" s="155" t="str">
        <f t="shared" si="18"/>
        <v/>
      </c>
      <c r="Y187" s="171" t="str">
        <f t="shared" si="19"/>
        <v/>
      </c>
      <c r="BM187" s="105"/>
    </row>
    <row r="188" spans="1:111" x14ac:dyDescent="0.15">
      <c r="A188" s="11">
        <f t="shared" si="20"/>
        <v>60090004</v>
      </c>
      <c r="B188" s="13">
        <v>6</v>
      </c>
      <c r="C188" s="12">
        <v>0</v>
      </c>
      <c r="D188" s="13">
        <v>9</v>
      </c>
      <c r="E188" s="13">
        <v>0</v>
      </c>
      <c r="F188" s="12">
        <v>4</v>
      </c>
      <c r="O188" s="55">
        <v>0</v>
      </c>
      <c r="P188" s="10">
        <f t="shared" si="15"/>
        <v>0</v>
      </c>
      <c r="R188" s="155" t="str">
        <f t="shared" si="16"/>
        <v/>
      </c>
      <c r="S188" s="171" t="str">
        <f t="shared" si="17"/>
        <v/>
      </c>
      <c r="X188" s="155" t="str">
        <f t="shared" si="18"/>
        <v/>
      </c>
      <c r="Y188" s="171" t="str">
        <f t="shared" si="19"/>
        <v/>
      </c>
    </row>
    <row r="189" spans="1:111" x14ac:dyDescent="0.15">
      <c r="A189" s="11">
        <f t="shared" si="20"/>
        <v>60090005</v>
      </c>
      <c r="B189" s="13">
        <v>6</v>
      </c>
      <c r="C189" s="12">
        <v>0</v>
      </c>
      <c r="D189" s="13">
        <v>9</v>
      </c>
      <c r="E189" s="13">
        <v>0</v>
      </c>
      <c r="F189" s="12">
        <v>5</v>
      </c>
      <c r="O189" s="55">
        <v>0</v>
      </c>
      <c r="P189" s="10">
        <f t="shared" si="15"/>
        <v>0</v>
      </c>
      <c r="R189" s="155" t="str">
        <f t="shared" si="16"/>
        <v/>
      </c>
      <c r="S189" s="171" t="str">
        <f t="shared" si="17"/>
        <v/>
      </c>
      <c r="X189" s="155" t="str">
        <f t="shared" si="18"/>
        <v/>
      </c>
      <c r="Y189" s="171" t="str">
        <f t="shared" si="19"/>
        <v/>
      </c>
    </row>
    <row r="190" spans="1:111" x14ac:dyDescent="0.15">
      <c r="A190" s="11">
        <f t="shared" si="20"/>
        <v>60090006</v>
      </c>
      <c r="B190" s="13">
        <v>6</v>
      </c>
      <c r="C190" s="12">
        <v>0</v>
      </c>
      <c r="D190" s="13">
        <v>9</v>
      </c>
      <c r="E190" s="13">
        <v>0</v>
      </c>
      <c r="F190" s="12">
        <v>6</v>
      </c>
      <c r="O190" s="55">
        <v>0</v>
      </c>
      <c r="P190" s="10">
        <f t="shared" si="15"/>
        <v>0</v>
      </c>
      <c r="R190" s="155" t="str">
        <f t="shared" si="16"/>
        <v/>
      </c>
      <c r="S190" s="171" t="str">
        <f t="shared" si="17"/>
        <v/>
      </c>
      <c r="X190" s="155" t="str">
        <f t="shared" si="18"/>
        <v/>
      </c>
      <c r="Y190" s="171" t="str">
        <f t="shared" si="19"/>
        <v/>
      </c>
    </row>
    <row r="191" spans="1:111" x14ac:dyDescent="0.15">
      <c r="A191" s="11">
        <f t="shared" si="20"/>
        <v>60090007</v>
      </c>
      <c r="B191" s="13">
        <v>6</v>
      </c>
      <c r="C191" s="12">
        <v>0</v>
      </c>
      <c r="D191" s="13">
        <v>9</v>
      </c>
      <c r="E191" s="13">
        <v>0</v>
      </c>
      <c r="F191" s="12">
        <v>7</v>
      </c>
      <c r="O191" s="55">
        <v>0</v>
      </c>
      <c r="P191" s="10">
        <f t="shared" si="15"/>
        <v>0</v>
      </c>
      <c r="R191" s="155" t="str">
        <f t="shared" si="16"/>
        <v/>
      </c>
      <c r="S191" s="171" t="str">
        <f t="shared" si="17"/>
        <v/>
      </c>
      <c r="X191" s="155" t="str">
        <f t="shared" si="18"/>
        <v/>
      </c>
      <c r="Y191" s="171" t="str">
        <f t="shared" si="19"/>
        <v/>
      </c>
    </row>
    <row r="192" spans="1:111" x14ac:dyDescent="0.15">
      <c r="A192" s="11">
        <f t="shared" si="20"/>
        <v>60090008</v>
      </c>
      <c r="B192" s="13">
        <v>6</v>
      </c>
      <c r="C192" s="12">
        <v>0</v>
      </c>
      <c r="D192" s="13">
        <v>9</v>
      </c>
      <c r="E192" s="13">
        <v>0</v>
      </c>
      <c r="F192" s="12">
        <v>8</v>
      </c>
      <c r="O192" s="55">
        <v>0</v>
      </c>
      <c r="P192" s="10">
        <f t="shared" si="15"/>
        <v>0</v>
      </c>
      <c r="R192" s="155" t="str">
        <f t="shared" si="16"/>
        <v/>
      </c>
      <c r="S192" s="171" t="str">
        <f t="shared" si="17"/>
        <v/>
      </c>
      <c r="X192" s="155" t="str">
        <f t="shared" si="18"/>
        <v/>
      </c>
      <c r="Y192" s="171" t="str">
        <f t="shared" si="19"/>
        <v/>
      </c>
    </row>
    <row r="193" spans="1:111" x14ac:dyDescent="0.15">
      <c r="A193" s="11">
        <f t="shared" si="20"/>
        <v>60090009</v>
      </c>
      <c r="B193" s="13">
        <v>6</v>
      </c>
      <c r="C193" s="12">
        <v>0</v>
      </c>
      <c r="D193" s="13">
        <v>9</v>
      </c>
      <c r="E193" s="13">
        <v>0</v>
      </c>
      <c r="F193" s="12">
        <v>9</v>
      </c>
      <c r="O193" s="55">
        <v>0</v>
      </c>
      <c r="P193" s="10">
        <f t="shared" si="15"/>
        <v>0</v>
      </c>
      <c r="R193" s="155" t="str">
        <f t="shared" si="16"/>
        <v/>
      </c>
      <c r="S193" s="171" t="str">
        <f t="shared" si="17"/>
        <v/>
      </c>
      <c r="X193" s="155" t="str">
        <f t="shared" si="18"/>
        <v/>
      </c>
      <c r="Y193" s="171" t="str">
        <f t="shared" si="19"/>
        <v/>
      </c>
    </row>
    <row r="194" spans="1:111" x14ac:dyDescent="0.15">
      <c r="A194" s="11">
        <f t="shared" si="20"/>
        <v>60090010</v>
      </c>
      <c r="B194" s="13">
        <v>6</v>
      </c>
      <c r="C194" s="12">
        <v>0</v>
      </c>
      <c r="D194" s="13">
        <v>9</v>
      </c>
      <c r="E194" s="13">
        <v>0</v>
      </c>
      <c r="F194" s="12">
        <v>10</v>
      </c>
      <c r="O194" s="55">
        <v>0</v>
      </c>
      <c r="P194" s="10">
        <f t="shared" si="15"/>
        <v>0</v>
      </c>
      <c r="R194" s="155" t="str">
        <f t="shared" si="16"/>
        <v/>
      </c>
      <c r="S194" s="171" t="str">
        <f t="shared" si="17"/>
        <v/>
      </c>
      <c r="X194" s="155" t="str">
        <f t="shared" si="18"/>
        <v/>
      </c>
      <c r="Y194" s="171" t="str">
        <f t="shared" si="19"/>
        <v/>
      </c>
    </row>
    <row r="195" spans="1:111" s="93" customFormat="1" x14ac:dyDescent="0.15">
      <c r="A195" s="11">
        <f t="shared" si="20"/>
        <v>60090011</v>
      </c>
      <c r="B195" s="13">
        <v>6</v>
      </c>
      <c r="C195" s="12">
        <v>0</v>
      </c>
      <c r="D195" s="13">
        <v>9</v>
      </c>
      <c r="E195" s="13">
        <v>0</v>
      </c>
      <c r="F195" s="12">
        <v>11</v>
      </c>
      <c r="G195" s="55"/>
      <c r="H195" s="55"/>
      <c r="I195" s="55"/>
      <c r="J195" s="55"/>
      <c r="K195" s="55"/>
      <c r="L195" s="158"/>
      <c r="M195" s="10"/>
      <c r="N195" s="55"/>
      <c r="O195" s="55">
        <v>0</v>
      </c>
      <c r="P195" s="10">
        <f t="shared" si="15"/>
        <v>0</v>
      </c>
      <c r="Q195" s="10"/>
      <c r="R195" s="155" t="str">
        <f t="shared" si="16"/>
        <v/>
      </c>
      <c r="S195" s="171" t="str">
        <f t="shared" si="17"/>
        <v/>
      </c>
      <c r="T195" s="161"/>
      <c r="U195" s="55"/>
      <c r="V195" s="55"/>
      <c r="W195" s="55"/>
      <c r="X195" s="155" t="str">
        <f t="shared" si="18"/>
        <v/>
      </c>
      <c r="Y195" s="171" t="str">
        <f t="shared" si="19"/>
        <v/>
      </c>
      <c r="Z195" s="165"/>
      <c r="AA195" s="10"/>
      <c r="AB195" s="55"/>
      <c r="AC195" s="55"/>
      <c r="AD195" s="55"/>
      <c r="AE195" s="55"/>
      <c r="AF195" s="55"/>
      <c r="AG195" s="167"/>
      <c r="AH195" s="55"/>
      <c r="AI195" s="55"/>
      <c r="AJ195" s="165"/>
      <c r="AK195" s="55"/>
      <c r="AL195" s="55"/>
      <c r="AM195" s="55"/>
      <c r="AN195" s="55"/>
      <c r="AO195" s="55"/>
      <c r="AP195" s="55"/>
      <c r="AQ195" s="55"/>
      <c r="AR195" s="55"/>
      <c r="AS195" s="165"/>
      <c r="AT195" s="55"/>
      <c r="AU195" s="55"/>
      <c r="AV195" s="55"/>
      <c r="AW195" s="55"/>
      <c r="AX195" s="55"/>
      <c r="AY195" s="55"/>
      <c r="AZ195" s="55"/>
      <c r="BA195" s="55"/>
      <c r="BB195" s="165"/>
      <c r="BC195" s="55"/>
      <c r="BD195" s="55"/>
      <c r="BE195" s="55"/>
      <c r="BF195" s="165"/>
      <c r="BG195" s="55"/>
      <c r="BH195" s="10"/>
      <c r="BI195" s="55"/>
      <c r="BJ195" s="55"/>
      <c r="BK195" s="55"/>
      <c r="BL195" s="55"/>
      <c r="BT195" s="141"/>
      <c r="CN195" s="141"/>
      <c r="DG195" s="141"/>
    </row>
    <row r="196" spans="1:111" s="93" customFormat="1" x14ac:dyDescent="0.15">
      <c r="A196" s="11">
        <f t="shared" si="20"/>
        <v>60090012</v>
      </c>
      <c r="B196" s="13">
        <v>6</v>
      </c>
      <c r="C196" s="12">
        <v>0</v>
      </c>
      <c r="D196" s="13">
        <v>9</v>
      </c>
      <c r="E196" s="13">
        <v>0</v>
      </c>
      <c r="F196" s="12">
        <v>12</v>
      </c>
      <c r="G196" s="55"/>
      <c r="H196" s="55"/>
      <c r="I196" s="55"/>
      <c r="J196" s="55"/>
      <c r="K196" s="55"/>
      <c r="L196" s="158"/>
      <c r="M196" s="10"/>
      <c r="N196" s="55"/>
      <c r="O196" s="55">
        <v>0</v>
      </c>
      <c r="P196" s="10">
        <f t="shared" si="15"/>
        <v>0</v>
      </c>
      <c r="Q196" s="10"/>
      <c r="R196" s="155" t="str">
        <f t="shared" si="16"/>
        <v/>
      </c>
      <c r="S196" s="171" t="str">
        <f t="shared" si="17"/>
        <v/>
      </c>
      <c r="T196" s="161"/>
      <c r="U196" s="55"/>
      <c r="V196" s="55"/>
      <c r="W196" s="55"/>
      <c r="X196" s="155" t="str">
        <f t="shared" si="18"/>
        <v/>
      </c>
      <c r="Y196" s="171" t="str">
        <f t="shared" si="19"/>
        <v/>
      </c>
      <c r="Z196" s="165"/>
      <c r="AA196" s="10"/>
      <c r="AB196" s="55"/>
      <c r="AC196" s="55"/>
      <c r="AD196" s="55"/>
      <c r="AE196" s="55"/>
      <c r="AF196" s="55"/>
      <c r="AG196" s="167"/>
      <c r="AH196" s="55"/>
      <c r="AI196" s="55"/>
      <c r="AJ196" s="165"/>
      <c r="AK196" s="55"/>
      <c r="AL196" s="55"/>
      <c r="AM196" s="55"/>
      <c r="AN196" s="55"/>
      <c r="AO196" s="55"/>
      <c r="AP196" s="55"/>
      <c r="AQ196" s="55"/>
      <c r="AR196" s="55"/>
      <c r="AS196" s="165"/>
      <c r="AT196" s="55"/>
      <c r="AU196" s="55"/>
      <c r="AV196" s="55"/>
      <c r="AW196" s="55"/>
      <c r="AX196" s="55"/>
      <c r="AY196" s="55"/>
      <c r="AZ196" s="55"/>
      <c r="BA196" s="55"/>
      <c r="BB196" s="165"/>
      <c r="BC196" s="55"/>
      <c r="BD196" s="55"/>
      <c r="BE196" s="55"/>
      <c r="BF196" s="165"/>
      <c r="BG196" s="55"/>
      <c r="BH196" s="10"/>
      <c r="BI196" s="55"/>
      <c r="BJ196" s="55"/>
      <c r="BK196" s="55"/>
      <c r="BL196" s="55"/>
      <c r="BT196" s="141"/>
      <c r="CN196" s="141"/>
      <c r="DG196" s="141"/>
    </row>
    <row r="197" spans="1:111" s="93" customFormat="1" x14ac:dyDescent="0.15">
      <c r="A197" s="11">
        <f t="shared" si="20"/>
        <v>60090013</v>
      </c>
      <c r="B197" s="13">
        <v>6</v>
      </c>
      <c r="C197" s="12">
        <v>0</v>
      </c>
      <c r="D197" s="13">
        <v>9</v>
      </c>
      <c r="E197" s="13">
        <v>0</v>
      </c>
      <c r="F197" s="12">
        <v>13</v>
      </c>
      <c r="G197" s="55"/>
      <c r="H197" s="55"/>
      <c r="I197" s="55"/>
      <c r="J197" s="55"/>
      <c r="K197" s="55"/>
      <c r="L197" s="158"/>
      <c r="M197" s="10"/>
      <c r="N197" s="55"/>
      <c r="O197" s="55">
        <v>0</v>
      </c>
      <c r="P197" s="10">
        <f t="shared" si="15"/>
        <v>0</v>
      </c>
      <c r="Q197" s="10"/>
      <c r="R197" s="155" t="str">
        <f t="shared" si="16"/>
        <v/>
      </c>
      <c r="S197" s="171" t="str">
        <f t="shared" si="17"/>
        <v/>
      </c>
      <c r="T197" s="161"/>
      <c r="U197" s="55"/>
      <c r="V197" s="55"/>
      <c r="W197" s="55"/>
      <c r="X197" s="155" t="str">
        <f t="shared" si="18"/>
        <v/>
      </c>
      <c r="Y197" s="171" t="str">
        <f t="shared" si="19"/>
        <v/>
      </c>
      <c r="Z197" s="165"/>
      <c r="AA197" s="10"/>
      <c r="AB197" s="55"/>
      <c r="AC197" s="55"/>
      <c r="AD197" s="55"/>
      <c r="AE197" s="55"/>
      <c r="AF197" s="55"/>
      <c r="AG197" s="167"/>
      <c r="AH197" s="55"/>
      <c r="AI197" s="55"/>
      <c r="AJ197" s="165"/>
      <c r="AK197" s="55"/>
      <c r="AL197" s="55"/>
      <c r="AM197" s="55"/>
      <c r="AN197" s="55"/>
      <c r="AO197" s="55"/>
      <c r="AP197" s="55"/>
      <c r="AQ197" s="55"/>
      <c r="AR197" s="55"/>
      <c r="AS197" s="165"/>
      <c r="AT197" s="55"/>
      <c r="AU197" s="55"/>
      <c r="AV197" s="55"/>
      <c r="AW197" s="55"/>
      <c r="AX197" s="55"/>
      <c r="AY197" s="55"/>
      <c r="AZ197" s="55"/>
      <c r="BA197" s="55"/>
      <c r="BB197" s="165"/>
      <c r="BC197" s="55"/>
      <c r="BD197" s="55"/>
      <c r="BE197" s="55"/>
      <c r="BF197" s="165"/>
      <c r="BG197" s="55"/>
      <c r="BH197" s="10"/>
      <c r="BI197" s="55"/>
      <c r="BJ197" s="55"/>
      <c r="BK197" s="55"/>
      <c r="BL197" s="55"/>
      <c r="BT197" s="141"/>
      <c r="CN197" s="141"/>
      <c r="DG197" s="141"/>
    </row>
    <row r="198" spans="1:111" s="93" customFormat="1" x14ac:dyDescent="0.15">
      <c r="A198" s="11">
        <f t="shared" si="20"/>
        <v>60090014</v>
      </c>
      <c r="B198" s="13">
        <v>6</v>
      </c>
      <c r="C198" s="12">
        <v>0</v>
      </c>
      <c r="D198" s="13">
        <v>9</v>
      </c>
      <c r="E198" s="13">
        <v>0</v>
      </c>
      <c r="F198" s="12">
        <v>14</v>
      </c>
      <c r="G198" s="55"/>
      <c r="H198" s="55"/>
      <c r="I198" s="55"/>
      <c r="J198" s="55"/>
      <c r="K198" s="55"/>
      <c r="L198" s="158"/>
      <c r="M198" s="10"/>
      <c r="N198" s="55"/>
      <c r="O198" s="55">
        <v>0</v>
      </c>
      <c r="P198" s="10">
        <f t="shared" ref="P198:P224" si="21">Q198*12</f>
        <v>0</v>
      </c>
      <c r="Q198" s="10"/>
      <c r="R198" s="155" t="str">
        <f t="shared" ref="R198:R224" si="22">IF((1-(1-O198/100000)^1440)=0,"",1-(1-O198/100000)^1440)</f>
        <v/>
      </c>
      <c r="S198" s="171" t="str">
        <f t="shared" ref="S198:S224" si="23">IF((O198/100000)*1440=0,"",(O198/100000)*1440)</f>
        <v/>
      </c>
      <c r="T198" s="161"/>
      <c r="U198" s="55"/>
      <c r="V198" s="55"/>
      <c r="W198" s="55"/>
      <c r="X198" s="155" t="str">
        <f t="shared" si="18"/>
        <v/>
      </c>
      <c r="Y198" s="171" t="str">
        <f t="shared" si="19"/>
        <v/>
      </c>
      <c r="Z198" s="165"/>
      <c r="AA198" s="10"/>
      <c r="AB198" s="55"/>
      <c r="AC198" s="55"/>
      <c r="AD198" s="55"/>
      <c r="AE198" s="55"/>
      <c r="AF198" s="55"/>
      <c r="AG198" s="167"/>
      <c r="AH198" s="55"/>
      <c r="AI198" s="55"/>
      <c r="AJ198" s="165"/>
      <c r="AK198" s="55"/>
      <c r="AL198" s="55"/>
      <c r="AM198" s="55"/>
      <c r="AN198" s="55"/>
      <c r="AO198" s="55"/>
      <c r="AP198" s="55"/>
      <c r="AQ198" s="55"/>
      <c r="AR198" s="55"/>
      <c r="AS198" s="165"/>
      <c r="AT198" s="55"/>
      <c r="AU198" s="55"/>
      <c r="AV198" s="55"/>
      <c r="AW198" s="55"/>
      <c r="AX198" s="55"/>
      <c r="AY198" s="55"/>
      <c r="AZ198" s="55"/>
      <c r="BA198" s="55"/>
      <c r="BB198" s="165"/>
      <c r="BC198" s="55"/>
      <c r="BD198" s="55"/>
      <c r="BE198" s="55"/>
      <c r="BF198" s="165"/>
      <c r="BG198" s="55"/>
      <c r="BH198" s="10"/>
      <c r="BI198" s="55"/>
      <c r="BJ198" s="55"/>
      <c r="BK198" s="55"/>
      <c r="BL198" s="55"/>
      <c r="BT198" s="141"/>
      <c r="CN198" s="141"/>
      <c r="DG198" s="141"/>
    </row>
    <row r="199" spans="1:111" s="93" customFormat="1" x14ac:dyDescent="0.15">
      <c r="A199" s="11">
        <f t="shared" si="20"/>
        <v>60090015</v>
      </c>
      <c r="B199" s="13">
        <v>6</v>
      </c>
      <c r="C199" s="12">
        <v>0</v>
      </c>
      <c r="D199" s="13">
        <v>9</v>
      </c>
      <c r="E199" s="13">
        <v>0</v>
      </c>
      <c r="F199" s="12">
        <v>15</v>
      </c>
      <c r="G199" s="55"/>
      <c r="H199" s="55"/>
      <c r="I199" s="55"/>
      <c r="J199" s="55"/>
      <c r="K199" s="55"/>
      <c r="L199" s="158"/>
      <c r="M199" s="10"/>
      <c r="N199" s="55"/>
      <c r="O199" s="55">
        <v>0</v>
      </c>
      <c r="P199" s="10">
        <f t="shared" si="21"/>
        <v>0</v>
      </c>
      <c r="Q199" s="10"/>
      <c r="R199" s="155" t="str">
        <f t="shared" si="22"/>
        <v/>
      </c>
      <c r="S199" s="171" t="str">
        <f t="shared" si="23"/>
        <v/>
      </c>
      <c r="T199" s="161"/>
      <c r="U199" s="55"/>
      <c r="V199" s="55"/>
      <c r="W199" s="55"/>
      <c r="X199" s="155" t="str">
        <f t="shared" si="18"/>
        <v/>
      </c>
      <c r="Y199" s="171" t="str">
        <f t="shared" si="19"/>
        <v/>
      </c>
      <c r="Z199" s="165"/>
      <c r="AA199" s="10"/>
      <c r="AB199" s="55"/>
      <c r="AC199" s="55"/>
      <c r="AD199" s="55"/>
      <c r="AE199" s="55"/>
      <c r="AF199" s="55"/>
      <c r="AG199" s="167"/>
      <c r="AH199" s="55"/>
      <c r="AI199" s="55"/>
      <c r="AJ199" s="165"/>
      <c r="AK199" s="55"/>
      <c r="AL199" s="55"/>
      <c r="AM199" s="55"/>
      <c r="AN199" s="55"/>
      <c r="AO199" s="55"/>
      <c r="AP199" s="55"/>
      <c r="AQ199" s="55"/>
      <c r="AR199" s="55"/>
      <c r="AS199" s="165"/>
      <c r="AT199" s="55"/>
      <c r="AU199" s="55"/>
      <c r="AV199" s="55"/>
      <c r="AW199" s="55"/>
      <c r="AX199" s="55"/>
      <c r="AY199" s="55"/>
      <c r="AZ199" s="55"/>
      <c r="BA199" s="55"/>
      <c r="BB199" s="165"/>
      <c r="BC199" s="55"/>
      <c r="BD199" s="55"/>
      <c r="BE199" s="55"/>
      <c r="BF199" s="165"/>
      <c r="BG199" s="55"/>
      <c r="BH199" s="10"/>
      <c r="BI199" s="55"/>
      <c r="BJ199" s="55"/>
      <c r="BK199" s="55"/>
      <c r="BL199" s="55"/>
      <c r="BT199" s="141"/>
      <c r="CN199" s="141"/>
      <c r="DG199" s="141"/>
    </row>
    <row r="200" spans="1:111" s="93" customFormat="1" x14ac:dyDescent="0.15">
      <c r="A200" s="11">
        <f t="shared" si="20"/>
        <v>60090016</v>
      </c>
      <c r="B200" s="13">
        <v>6</v>
      </c>
      <c r="C200" s="12">
        <v>0</v>
      </c>
      <c r="D200" s="13">
        <v>9</v>
      </c>
      <c r="E200" s="13">
        <v>0</v>
      </c>
      <c r="F200" s="12">
        <v>16</v>
      </c>
      <c r="G200" s="55"/>
      <c r="H200" s="55"/>
      <c r="I200" s="55"/>
      <c r="J200" s="55"/>
      <c r="K200" s="55"/>
      <c r="L200" s="158"/>
      <c r="M200" s="10"/>
      <c r="N200" s="55"/>
      <c r="O200" s="55">
        <v>0</v>
      </c>
      <c r="P200" s="10">
        <f t="shared" si="21"/>
        <v>0</v>
      </c>
      <c r="Q200" s="10"/>
      <c r="R200" s="155" t="str">
        <f t="shared" si="22"/>
        <v/>
      </c>
      <c r="S200" s="171" t="str">
        <f t="shared" si="23"/>
        <v/>
      </c>
      <c r="T200" s="161"/>
      <c r="U200" s="55"/>
      <c r="V200" s="55"/>
      <c r="W200" s="55"/>
      <c r="X200" s="155" t="str">
        <f t="shared" si="18"/>
        <v/>
      </c>
      <c r="Y200" s="171" t="str">
        <f t="shared" si="19"/>
        <v/>
      </c>
      <c r="Z200" s="165"/>
      <c r="AA200" s="10"/>
      <c r="AB200" s="55"/>
      <c r="AC200" s="55"/>
      <c r="AD200" s="55"/>
      <c r="AE200" s="55"/>
      <c r="AF200" s="55"/>
      <c r="AG200" s="167"/>
      <c r="AH200" s="55"/>
      <c r="AI200" s="55"/>
      <c r="AJ200" s="165"/>
      <c r="AK200" s="55"/>
      <c r="AL200" s="55"/>
      <c r="AM200" s="55"/>
      <c r="AN200" s="55"/>
      <c r="AO200" s="55"/>
      <c r="AP200" s="55"/>
      <c r="AQ200" s="55"/>
      <c r="AR200" s="55"/>
      <c r="AS200" s="165"/>
      <c r="AT200" s="55"/>
      <c r="AU200" s="55"/>
      <c r="AV200" s="55"/>
      <c r="AW200" s="55"/>
      <c r="AX200" s="55"/>
      <c r="AY200" s="55"/>
      <c r="AZ200" s="55"/>
      <c r="BA200" s="55"/>
      <c r="BB200" s="165"/>
      <c r="BC200" s="55"/>
      <c r="BD200" s="55"/>
      <c r="BE200" s="55"/>
      <c r="BF200" s="165"/>
      <c r="BG200" s="55"/>
      <c r="BH200" s="10"/>
      <c r="BI200" s="55"/>
      <c r="BJ200" s="55"/>
      <c r="BK200" s="55"/>
      <c r="BL200" s="55"/>
      <c r="BT200" s="141"/>
      <c r="CN200" s="141"/>
      <c r="DG200" s="141"/>
    </row>
    <row r="201" spans="1:111" s="93" customFormat="1" x14ac:dyDescent="0.15">
      <c r="A201" s="11">
        <f t="shared" si="20"/>
        <v>60090017</v>
      </c>
      <c r="B201" s="13">
        <v>6</v>
      </c>
      <c r="C201" s="12">
        <v>0</v>
      </c>
      <c r="D201" s="13">
        <v>9</v>
      </c>
      <c r="E201" s="13">
        <v>0</v>
      </c>
      <c r="F201" s="12">
        <v>17</v>
      </c>
      <c r="G201" s="55"/>
      <c r="H201" s="55"/>
      <c r="I201" s="55"/>
      <c r="J201" s="55"/>
      <c r="K201" s="55"/>
      <c r="L201" s="158"/>
      <c r="M201" s="10"/>
      <c r="N201" s="55"/>
      <c r="O201" s="55">
        <v>0</v>
      </c>
      <c r="P201" s="10">
        <f t="shared" si="21"/>
        <v>0</v>
      </c>
      <c r="Q201" s="10"/>
      <c r="R201" s="155" t="str">
        <f t="shared" si="22"/>
        <v/>
      </c>
      <c r="S201" s="171" t="str">
        <f t="shared" si="23"/>
        <v/>
      </c>
      <c r="T201" s="161"/>
      <c r="U201" s="55"/>
      <c r="V201" s="55"/>
      <c r="W201" s="55"/>
      <c r="X201" s="155" t="str">
        <f t="shared" si="18"/>
        <v/>
      </c>
      <c r="Y201" s="171" t="str">
        <f t="shared" si="19"/>
        <v/>
      </c>
      <c r="Z201" s="165"/>
      <c r="AA201" s="10"/>
      <c r="AB201" s="55"/>
      <c r="AC201" s="55"/>
      <c r="AD201" s="55"/>
      <c r="AE201" s="55"/>
      <c r="AF201" s="55"/>
      <c r="AG201" s="167"/>
      <c r="AH201" s="55"/>
      <c r="AI201" s="55"/>
      <c r="AJ201" s="165"/>
      <c r="AK201" s="55"/>
      <c r="AL201" s="55"/>
      <c r="AM201" s="55"/>
      <c r="AN201" s="55"/>
      <c r="AO201" s="55"/>
      <c r="AP201" s="55"/>
      <c r="AQ201" s="55"/>
      <c r="AR201" s="55"/>
      <c r="AS201" s="165"/>
      <c r="AT201" s="55"/>
      <c r="AU201" s="55"/>
      <c r="AV201" s="55"/>
      <c r="AW201" s="55"/>
      <c r="AX201" s="55"/>
      <c r="AY201" s="55"/>
      <c r="AZ201" s="55"/>
      <c r="BA201" s="55"/>
      <c r="BB201" s="165"/>
      <c r="BC201" s="55"/>
      <c r="BD201" s="55"/>
      <c r="BE201" s="55"/>
      <c r="BF201" s="165"/>
      <c r="BG201" s="55"/>
      <c r="BH201" s="10"/>
      <c r="BI201" s="55"/>
      <c r="BJ201" s="55"/>
      <c r="BK201" s="55"/>
      <c r="BL201" s="55"/>
      <c r="BT201" s="141"/>
      <c r="CN201" s="141"/>
      <c r="DG201" s="141"/>
    </row>
    <row r="202" spans="1:111" s="93" customFormat="1" x14ac:dyDescent="0.15">
      <c r="A202" s="11">
        <f t="shared" si="20"/>
        <v>60090018</v>
      </c>
      <c r="B202" s="13">
        <v>6</v>
      </c>
      <c r="C202" s="12">
        <v>0</v>
      </c>
      <c r="D202" s="13">
        <v>9</v>
      </c>
      <c r="E202" s="13">
        <v>0</v>
      </c>
      <c r="F202" s="12">
        <v>18</v>
      </c>
      <c r="G202" s="55"/>
      <c r="H202" s="55"/>
      <c r="I202" s="55"/>
      <c r="J202" s="55"/>
      <c r="K202" s="55"/>
      <c r="L202" s="158"/>
      <c r="M202" s="10"/>
      <c r="N202" s="55"/>
      <c r="O202" s="55">
        <v>0</v>
      </c>
      <c r="P202" s="10">
        <f t="shared" si="21"/>
        <v>0</v>
      </c>
      <c r="Q202" s="10"/>
      <c r="R202" s="155" t="str">
        <f t="shared" si="22"/>
        <v/>
      </c>
      <c r="S202" s="171" t="str">
        <f t="shared" si="23"/>
        <v/>
      </c>
      <c r="T202" s="161"/>
      <c r="U202" s="55"/>
      <c r="V202" s="55"/>
      <c r="W202" s="55"/>
      <c r="X202" s="155" t="str">
        <f t="shared" si="18"/>
        <v/>
      </c>
      <c r="Y202" s="171" t="str">
        <f t="shared" si="19"/>
        <v/>
      </c>
      <c r="Z202" s="165"/>
      <c r="AA202" s="10"/>
      <c r="AB202" s="55"/>
      <c r="AC202" s="55"/>
      <c r="AD202" s="55"/>
      <c r="AE202" s="55"/>
      <c r="AF202" s="55"/>
      <c r="AG202" s="167"/>
      <c r="AH202" s="55"/>
      <c r="AI202" s="55"/>
      <c r="AJ202" s="165"/>
      <c r="AK202" s="55"/>
      <c r="AL202" s="55"/>
      <c r="AM202" s="55"/>
      <c r="AN202" s="55"/>
      <c r="AO202" s="55"/>
      <c r="AP202" s="55"/>
      <c r="AQ202" s="55"/>
      <c r="AR202" s="55"/>
      <c r="AS202" s="165"/>
      <c r="AT202" s="55"/>
      <c r="AU202" s="55"/>
      <c r="AV202" s="55"/>
      <c r="AW202" s="55"/>
      <c r="AX202" s="55"/>
      <c r="AY202" s="55"/>
      <c r="AZ202" s="55"/>
      <c r="BA202" s="55"/>
      <c r="BB202" s="165"/>
      <c r="BC202" s="55"/>
      <c r="BD202" s="55"/>
      <c r="BE202" s="55"/>
      <c r="BF202" s="165"/>
      <c r="BG202" s="55"/>
      <c r="BH202" s="10"/>
      <c r="BI202" s="55"/>
      <c r="BJ202" s="55"/>
      <c r="BK202" s="55"/>
      <c r="BL202" s="55"/>
      <c r="BT202" s="141"/>
      <c r="CN202" s="141"/>
      <c r="DG202" s="141"/>
    </row>
    <row r="203" spans="1:111" s="93" customFormat="1" x14ac:dyDescent="0.15">
      <c r="A203" s="11">
        <f t="shared" si="20"/>
        <v>60090019</v>
      </c>
      <c r="B203" s="13">
        <v>6</v>
      </c>
      <c r="C203" s="12">
        <v>0</v>
      </c>
      <c r="D203" s="13">
        <v>9</v>
      </c>
      <c r="E203" s="13">
        <v>0</v>
      </c>
      <c r="F203" s="12">
        <v>19</v>
      </c>
      <c r="G203" s="55"/>
      <c r="H203" s="55"/>
      <c r="I203" s="55"/>
      <c r="J203" s="55"/>
      <c r="K203" s="55"/>
      <c r="L203" s="158"/>
      <c r="M203" s="10"/>
      <c r="N203" s="55"/>
      <c r="O203" s="55">
        <v>0</v>
      </c>
      <c r="P203" s="10">
        <f t="shared" si="21"/>
        <v>0</v>
      </c>
      <c r="Q203" s="10"/>
      <c r="R203" s="155" t="str">
        <f t="shared" si="22"/>
        <v/>
      </c>
      <c r="S203" s="171" t="str">
        <f t="shared" si="23"/>
        <v/>
      </c>
      <c r="T203" s="161"/>
      <c r="U203" s="55"/>
      <c r="V203" s="55"/>
      <c r="W203" s="55"/>
      <c r="X203" s="155" t="str">
        <f t="shared" si="18"/>
        <v/>
      </c>
      <c r="Y203" s="171" t="str">
        <f t="shared" si="19"/>
        <v/>
      </c>
      <c r="Z203" s="165"/>
      <c r="AA203" s="10"/>
      <c r="AB203" s="55"/>
      <c r="AC203" s="55"/>
      <c r="AD203" s="55"/>
      <c r="AE203" s="55"/>
      <c r="AF203" s="55"/>
      <c r="AG203" s="167"/>
      <c r="AH203" s="55"/>
      <c r="AI203" s="55"/>
      <c r="AJ203" s="165"/>
      <c r="AK203" s="55"/>
      <c r="AL203" s="55"/>
      <c r="AM203" s="55"/>
      <c r="AN203" s="55"/>
      <c r="AO203" s="55"/>
      <c r="AP203" s="55"/>
      <c r="AQ203" s="55"/>
      <c r="AR203" s="55"/>
      <c r="AS203" s="165"/>
      <c r="AT203" s="55"/>
      <c r="AU203" s="55"/>
      <c r="AV203" s="55"/>
      <c r="AW203" s="55"/>
      <c r="AX203" s="55"/>
      <c r="AY203" s="55"/>
      <c r="AZ203" s="55"/>
      <c r="BA203" s="55"/>
      <c r="BB203" s="165"/>
      <c r="BC203" s="55"/>
      <c r="BD203" s="55"/>
      <c r="BE203" s="55"/>
      <c r="BF203" s="165"/>
      <c r="BG203" s="55"/>
      <c r="BH203" s="10"/>
      <c r="BI203" s="55"/>
      <c r="BJ203" s="55"/>
      <c r="BK203" s="55"/>
      <c r="BL203" s="55"/>
      <c r="BT203" s="141"/>
      <c r="CN203" s="141"/>
      <c r="DG203" s="141"/>
    </row>
    <row r="204" spans="1:111" s="93" customFormat="1" ht="17.25" thickBot="1" x14ac:dyDescent="0.2">
      <c r="A204" s="11">
        <f t="shared" si="20"/>
        <v>60090020</v>
      </c>
      <c r="B204" s="108">
        <v>6</v>
      </c>
      <c r="C204" s="12">
        <v>0</v>
      </c>
      <c r="D204" s="108">
        <v>9</v>
      </c>
      <c r="E204" s="108">
        <v>0</v>
      </c>
      <c r="F204" s="109">
        <v>20</v>
      </c>
      <c r="G204" s="55"/>
      <c r="H204" s="55"/>
      <c r="I204" s="55"/>
      <c r="J204" s="55"/>
      <c r="K204" s="55"/>
      <c r="L204" s="158"/>
      <c r="M204" s="10"/>
      <c r="N204" s="55"/>
      <c r="O204" s="55">
        <v>0</v>
      </c>
      <c r="P204" s="10">
        <f t="shared" si="21"/>
        <v>0</v>
      </c>
      <c r="Q204" s="10"/>
      <c r="R204" s="155" t="str">
        <f t="shared" si="22"/>
        <v/>
      </c>
      <c r="S204" s="171" t="str">
        <f t="shared" si="23"/>
        <v/>
      </c>
      <c r="T204" s="161"/>
      <c r="U204" s="55"/>
      <c r="V204" s="55"/>
      <c r="W204" s="55"/>
      <c r="X204" s="155" t="str">
        <f t="shared" si="18"/>
        <v/>
      </c>
      <c r="Y204" s="171" t="str">
        <f t="shared" si="19"/>
        <v/>
      </c>
      <c r="Z204" s="165"/>
      <c r="AA204" s="10"/>
      <c r="AB204" s="55"/>
      <c r="AC204" s="55"/>
      <c r="AD204" s="55"/>
      <c r="AE204" s="55"/>
      <c r="AF204" s="55"/>
      <c r="AG204" s="167"/>
      <c r="AH204" s="55"/>
      <c r="AI204" s="55"/>
      <c r="AJ204" s="165"/>
      <c r="AK204" s="55"/>
      <c r="AL204" s="55"/>
      <c r="AM204" s="55"/>
      <c r="AN204" s="55"/>
      <c r="AO204" s="55"/>
      <c r="AP204" s="55"/>
      <c r="AQ204" s="55"/>
      <c r="AR204" s="55"/>
      <c r="AS204" s="165"/>
      <c r="AT204" s="55"/>
      <c r="AU204" s="55"/>
      <c r="AV204" s="55"/>
      <c r="AW204" s="55"/>
      <c r="AX204" s="55"/>
      <c r="AY204" s="55"/>
      <c r="AZ204" s="55"/>
      <c r="BA204" s="55"/>
      <c r="BB204" s="165"/>
      <c r="BC204" s="55"/>
      <c r="BD204" s="55"/>
      <c r="BE204" s="55"/>
      <c r="BF204" s="165"/>
      <c r="BG204" s="55"/>
      <c r="BH204" s="10"/>
      <c r="BI204" s="55"/>
      <c r="BJ204" s="55"/>
      <c r="BK204" s="55"/>
      <c r="BL204" s="55"/>
      <c r="BT204" s="141"/>
      <c r="CN204" s="141"/>
      <c r="DG204" s="141"/>
    </row>
    <row r="205" spans="1:111" s="110" customFormat="1" x14ac:dyDescent="0.15">
      <c r="A205" s="18">
        <f t="shared" si="20"/>
        <v>60100001</v>
      </c>
      <c r="B205" s="20">
        <v>6</v>
      </c>
      <c r="C205" s="19">
        <v>0</v>
      </c>
      <c r="D205" s="20">
        <v>10</v>
      </c>
      <c r="E205" s="20">
        <v>0</v>
      </c>
      <c r="F205" s="19">
        <v>1</v>
      </c>
      <c r="G205" s="56"/>
      <c r="H205" s="56"/>
      <c r="I205" s="56"/>
      <c r="J205" s="56"/>
      <c r="K205" s="56"/>
      <c r="L205" s="160"/>
      <c r="M205" s="17"/>
      <c r="N205" s="56"/>
      <c r="O205" s="56">
        <v>0</v>
      </c>
      <c r="P205" s="17">
        <f t="shared" si="21"/>
        <v>0</v>
      </c>
      <c r="Q205" s="17"/>
      <c r="R205" s="156" t="str">
        <f t="shared" si="22"/>
        <v/>
      </c>
      <c r="S205" s="172" t="str">
        <f t="shared" si="23"/>
        <v/>
      </c>
      <c r="T205" s="162"/>
      <c r="U205" s="56"/>
      <c r="V205" s="56"/>
      <c r="W205" s="56"/>
      <c r="X205" s="156" t="str">
        <f t="shared" si="18"/>
        <v/>
      </c>
      <c r="Y205" s="172" t="str">
        <f t="shared" si="19"/>
        <v/>
      </c>
      <c r="Z205" s="166"/>
      <c r="AA205" s="17"/>
      <c r="AB205" s="56"/>
      <c r="AC205" s="56"/>
      <c r="AD205" s="56"/>
      <c r="AE205" s="56"/>
      <c r="AF205" s="56"/>
      <c r="AG205" s="169"/>
      <c r="AH205" s="56"/>
      <c r="AI205" s="56"/>
      <c r="AJ205" s="166"/>
      <c r="AK205" s="56"/>
      <c r="AL205" s="56"/>
      <c r="AM205" s="56"/>
      <c r="AN205" s="56"/>
      <c r="AO205" s="56"/>
      <c r="AP205" s="56"/>
      <c r="AQ205" s="56"/>
      <c r="AR205" s="56"/>
      <c r="AS205" s="166"/>
      <c r="AT205" s="56"/>
      <c r="AU205" s="56"/>
      <c r="AV205" s="56"/>
      <c r="AW205" s="56"/>
      <c r="AX205" s="56"/>
      <c r="AY205" s="56"/>
      <c r="AZ205" s="56"/>
      <c r="BA205" s="56"/>
      <c r="BB205" s="166"/>
      <c r="BC205" s="56"/>
      <c r="BD205" s="56"/>
      <c r="BE205" s="56"/>
      <c r="BF205" s="166"/>
      <c r="BG205" s="56"/>
      <c r="BH205" s="17"/>
      <c r="BI205" s="56"/>
      <c r="BJ205" s="56"/>
      <c r="BK205" s="56"/>
      <c r="BL205" s="56"/>
      <c r="BT205" s="140"/>
      <c r="CN205" s="140"/>
      <c r="DG205" s="140"/>
    </row>
    <row r="206" spans="1:111" x14ac:dyDescent="0.15">
      <c r="A206" s="11">
        <f t="shared" si="20"/>
        <v>60100002</v>
      </c>
      <c r="B206" s="13">
        <v>6</v>
      </c>
      <c r="C206" s="12">
        <v>0</v>
      </c>
      <c r="D206" s="13">
        <v>10</v>
      </c>
      <c r="E206" s="13">
        <v>0</v>
      </c>
      <c r="F206" s="12">
        <v>2</v>
      </c>
      <c r="O206" s="55">
        <v>0</v>
      </c>
      <c r="P206" s="10">
        <f t="shared" si="21"/>
        <v>0</v>
      </c>
      <c r="R206" s="155" t="str">
        <f t="shared" si="22"/>
        <v/>
      </c>
      <c r="S206" s="171" t="str">
        <f t="shared" si="23"/>
        <v/>
      </c>
      <c r="X206" s="155" t="str">
        <f t="shared" si="18"/>
        <v/>
      </c>
      <c r="Y206" s="171" t="str">
        <f t="shared" si="19"/>
        <v/>
      </c>
      <c r="BM206" s="105"/>
    </row>
    <row r="207" spans="1:111" x14ac:dyDescent="0.15">
      <c r="A207" s="11">
        <f t="shared" si="20"/>
        <v>60100003</v>
      </c>
      <c r="B207" s="13">
        <v>6</v>
      </c>
      <c r="C207" s="12">
        <v>0</v>
      </c>
      <c r="D207" s="13">
        <v>10</v>
      </c>
      <c r="E207" s="13">
        <v>0</v>
      </c>
      <c r="F207" s="12">
        <v>3</v>
      </c>
      <c r="O207" s="55">
        <v>0</v>
      </c>
      <c r="P207" s="10">
        <f t="shared" si="21"/>
        <v>0</v>
      </c>
      <c r="R207" s="155" t="str">
        <f t="shared" si="22"/>
        <v/>
      </c>
      <c r="S207" s="171" t="str">
        <f t="shared" si="23"/>
        <v/>
      </c>
      <c r="X207" s="155" t="str">
        <f t="shared" si="18"/>
        <v/>
      </c>
      <c r="Y207" s="171" t="str">
        <f t="shared" si="19"/>
        <v/>
      </c>
      <c r="BM207" s="105"/>
    </row>
    <row r="208" spans="1:111" x14ac:dyDescent="0.15">
      <c r="A208" s="11">
        <f t="shared" si="20"/>
        <v>60100004</v>
      </c>
      <c r="B208" s="13">
        <v>6</v>
      </c>
      <c r="C208" s="12">
        <v>0</v>
      </c>
      <c r="D208" s="13">
        <v>10</v>
      </c>
      <c r="E208" s="13">
        <v>0</v>
      </c>
      <c r="F208" s="12">
        <v>4</v>
      </c>
      <c r="O208" s="55">
        <v>0</v>
      </c>
      <c r="P208" s="10">
        <f t="shared" si="21"/>
        <v>0</v>
      </c>
      <c r="R208" s="155" t="str">
        <f t="shared" si="22"/>
        <v/>
      </c>
      <c r="S208" s="171" t="str">
        <f t="shared" si="23"/>
        <v/>
      </c>
      <c r="X208" s="155" t="str">
        <f t="shared" si="18"/>
        <v/>
      </c>
      <c r="Y208" s="171" t="str">
        <f t="shared" si="19"/>
        <v/>
      </c>
    </row>
    <row r="209" spans="1:111" x14ac:dyDescent="0.15">
      <c r="A209" s="11">
        <f t="shared" si="20"/>
        <v>60100005</v>
      </c>
      <c r="B209" s="13">
        <v>6</v>
      </c>
      <c r="C209" s="12">
        <v>0</v>
      </c>
      <c r="D209" s="13">
        <v>10</v>
      </c>
      <c r="E209" s="13">
        <v>0</v>
      </c>
      <c r="F209" s="12">
        <v>5</v>
      </c>
      <c r="O209" s="55">
        <v>0</v>
      </c>
      <c r="P209" s="10">
        <f t="shared" si="21"/>
        <v>0</v>
      </c>
      <c r="R209" s="155" t="str">
        <f t="shared" si="22"/>
        <v/>
      </c>
      <c r="S209" s="171" t="str">
        <f t="shared" si="23"/>
        <v/>
      </c>
      <c r="X209" s="155" t="str">
        <f t="shared" si="18"/>
        <v/>
      </c>
      <c r="Y209" s="171" t="str">
        <f t="shared" si="19"/>
        <v/>
      </c>
    </row>
    <row r="210" spans="1:111" x14ac:dyDescent="0.15">
      <c r="A210" s="11">
        <f t="shared" si="20"/>
        <v>60100006</v>
      </c>
      <c r="B210" s="13">
        <v>6</v>
      </c>
      <c r="C210" s="12">
        <v>0</v>
      </c>
      <c r="D210" s="13">
        <v>10</v>
      </c>
      <c r="E210" s="13">
        <v>0</v>
      </c>
      <c r="F210" s="12">
        <v>6</v>
      </c>
      <c r="O210" s="55">
        <v>0</v>
      </c>
      <c r="P210" s="10">
        <f t="shared" si="21"/>
        <v>0</v>
      </c>
      <c r="R210" s="155" t="str">
        <f t="shared" si="22"/>
        <v/>
      </c>
      <c r="S210" s="171" t="str">
        <f t="shared" si="23"/>
        <v/>
      </c>
      <c r="X210" s="155" t="str">
        <f t="shared" si="18"/>
        <v/>
      </c>
      <c r="Y210" s="171" t="str">
        <f t="shared" si="19"/>
        <v/>
      </c>
    </row>
    <row r="211" spans="1:111" x14ac:dyDescent="0.15">
      <c r="A211" s="11">
        <f t="shared" si="20"/>
        <v>60100007</v>
      </c>
      <c r="B211" s="13">
        <v>6</v>
      </c>
      <c r="C211" s="12">
        <v>0</v>
      </c>
      <c r="D211" s="13">
        <v>10</v>
      </c>
      <c r="E211" s="13">
        <v>0</v>
      </c>
      <c r="F211" s="12">
        <v>7</v>
      </c>
      <c r="O211" s="55">
        <v>0</v>
      </c>
      <c r="P211" s="10">
        <f t="shared" si="21"/>
        <v>0</v>
      </c>
      <c r="R211" s="155" t="str">
        <f t="shared" si="22"/>
        <v/>
      </c>
      <c r="S211" s="171" t="str">
        <f t="shared" si="23"/>
        <v/>
      </c>
      <c r="X211" s="155" t="str">
        <f t="shared" si="18"/>
        <v/>
      </c>
      <c r="Y211" s="171" t="str">
        <f t="shared" si="19"/>
        <v/>
      </c>
    </row>
    <row r="212" spans="1:111" x14ac:dyDescent="0.15">
      <c r="A212" s="11">
        <f t="shared" si="20"/>
        <v>60100008</v>
      </c>
      <c r="B212" s="13">
        <v>6</v>
      </c>
      <c r="C212" s="12">
        <v>0</v>
      </c>
      <c r="D212" s="13">
        <v>10</v>
      </c>
      <c r="E212" s="13">
        <v>0</v>
      </c>
      <c r="F212" s="12">
        <v>8</v>
      </c>
      <c r="O212" s="55">
        <v>0</v>
      </c>
      <c r="P212" s="10">
        <f t="shared" si="21"/>
        <v>0</v>
      </c>
      <c r="R212" s="155" t="str">
        <f t="shared" si="22"/>
        <v/>
      </c>
      <c r="S212" s="171" t="str">
        <f t="shared" si="23"/>
        <v/>
      </c>
      <c r="X212" s="155" t="str">
        <f t="shared" si="18"/>
        <v/>
      </c>
      <c r="Y212" s="171" t="str">
        <f t="shared" si="19"/>
        <v/>
      </c>
    </row>
    <row r="213" spans="1:111" x14ac:dyDescent="0.15">
      <c r="A213" s="11">
        <f t="shared" si="20"/>
        <v>60100009</v>
      </c>
      <c r="B213" s="13">
        <v>6</v>
      </c>
      <c r="C213" s="12">
        <v>0</v>
      </c>
      <c r="D213" s="13">
        <v>10</v>
      </c>
      <c r="E213" s="13">
        <v>0</v>
      </c>
      <c r="F213" s="12">
        <v>9</v>
      </c>
      <c r="O213" s="55">
        <v>0</v>
      </c>
      <c r="P213" s="10">
        <f t="shared" si="21"/>
        <v>0</v>
      </c>
      <c r="R213" s="155" t="str">
        <f t="shared" si="22"/>
        <v/>
      </c>
      <c r="S213" s="171" t="str">
        <f t="shared" si="23"/>
        <v/>
      </c>
      <c r="X213" s="155" t="str">
        <f t="shared" si="18"/>
        <v/>
      </c>
      <c r="Y213" s="171" t="str">
        <f t="shared" si="19"/>
        <v/>
      </c>
    </row>
    <row r="214" spans="1:111" x14ac:dyDescent="0.15">
      <c r="A214" s="11">
        <f t="shared" si="20"/>
        <v>60100010</v>
      </c>
      <c r="B214" s="13">
        <v>6</v>
      </c>
      <c r="C214" s="12">
        <v>0</v>
      </c>
      <c r="D214" s="13">
        <v>10</v>
      </c>
      <c r="E214" s="13">
        <v>0</v>
      </c>
      <c r="F214" s="12">
        <v>10</v>
      </c>
      <c r="O214" s="55">
        <v>0</v>
      </c>
      <c r="P214" s="10">
        <f t="shared" si="21"/>
        <v>0</v>
      </c>
      <c r="R214" s="155" t="str">
        <f t="shared" si="22"/>
        <v/>
      </c>
      <c r="S214" s="171" t="str">
        <f t="shared" si="23"/>
        <v/>
      </c>
      <c r="X214" s="155" t="str">
        <f t="shared" ref="X214:X224" si="24">IF((1-(1-U214/100000)^L214)=0,"",1-(1-U214/100000)^L214)</f>
        <v/>
      </c>
      <c r="Y214" s="171" t="str">
        <f t="shared" ref="Y214:Y224" si="25">IF((U214/100000)*L214=0,"",(U214/100000)*L214)</f>
        <v/>
      </c>
    </row>
    <row r="215" spans="1:111" s="93" customFormat="1" x14ac:dyDescent="0.15">
      <c r="A215" s="11">
        <f t="shared" si="20"/>
        <v>60100011</v>
      </c>
      <c r="B215" s="13">
        <v>6</v>
      </c>
      <c r="C215" s="12">
        <v>0</v>
      </c>
      <c r="D215" s="13">
        <v>10</v>
      </c>
      <c r="E215" s="13">
        <v>0</v>
      </c>
      <c r="F215" s="12">
        <v>11</v>
      </c>
      <c r="G215" s="55"/>
      <c r="H215" s="55"/>
      <c r="I215" s="55"/>
      <c r="J215" s="55"/>
      <c r="K215" s="55"/>
      <c r="L215" s="158"/>
      <c r="M215" s="10"/>
      <c r="N215" s="55"/>
      <c r="O215" s="55">
        <v>0</v>
      </c>
      <c r="P215" s="10">
        <f t="shared" si="21"/>
        <v>0</v>
      </c>
      <c r="Q215" s="10"/>
      <c r="R215" s="155" t="str">
        <f t="shared" si="22"/>
        <v/>
      </c>
      <c r="S215" s="171" t="str">
        <f t="shared" si="23"/>
        <v/>
      </c>
      <c r="T215" s="161"/>
      <c r="U215" s="55"/>
      <c r="V215" s="55"/>
      <c r="W215" s="55"/>
      <c r="X215" s="155" t="str">
        <f t="shared" si="24"/>
        <v/>
      </c>
      <c r="Y215" s="171" t="str">
        <f t="shared" si="25"/>
        <v/>
      </c>
      <c r="Z215" s="165"/>
      <c r="AA215" s="10"/>
      <c r="AB215" s="55"/>
      <c r="AC215" s="55"/>
      <c r="AD215" s="55"/>
      <c r="AE215" s="55"/>
      <c r="AF215" s="55"/>
      <c r="AG215" s="167"/>
      <c r="AH215" s="55"/>
      <c r="AI215" s="55"/>
      <c r="AJ215" s="165"/>
      <c r="AK215" s="55"/>
      <c r="AL215" s="55"/>
      <c r="AM215" s="55"/>
      <c r="AN215" s="55"/>
      <c r="AO215" s="55"/>
      <c r="AP215" s="55"/>
      <c r="AQ215" s="55"/>
      <c r="AR215" s="55"/>
      <c r="AS215" s="165"/>
      <c r="AT215" s="55"/>
      <c r="AU215" s="55"/>
      <c r="AV215" s="55"/>
      <c r="AW215" s="55"/>
      <c r="AX215" s="55"/>
      <c r="AY215" s="55"/>
      <c r="AZ215" s="55"/>
      <c r="BA215" s="55"/>
      <c r="BB215" s="165"/>
      <c r="BC215" s="55"/>
      <c r="BD215" s="55"/>
      <c r="BE215" s="55"/>
      <c r="BF215" s="165"/>
      <c r="BG215" s="55"/>
      <c r="BH215" s="10"/>
      <c r="BI215" s="55"/>
      <c r="BJ215" s="55"/>
      <c r="BK215" s="55"/>
      <c r="BL215" s="55"/>
      <c r="BT215" s="141"/>
      <c r="CN215" s="141"/>
      <c r="DG215" s="141"/>
    </row>
    <row r="216" spans="1:111" s="93" customFormat="1" x14ac:dyDescent="0.15">
      <c r="A216" s="11">
        <f t="shared" si="20"/>
        <v>60100012</v>
      </c>
      <c r="B216" s="13">
        <v>6</v>
      </c>
      <c r="C216" s="12">
        <v>0</v>
      </c>
      <c r="D216" s="13">
        <v>10</v>
      </c>
      <c r="E216" s="13">
        <v>0</v>
      </c>
      <c r="F216" s="12">
        <v>12</v>
      </c>
      <c r="G216" s="55"/>
      <c r="H216" s="55"/>
      <c r="I216" s="55"/>
      <c r="J216" s="55"/>
      <c r="K216" s="55"/>
      <c r="L216" s="158"/>
      <c r="M216" s="10"/>
      <c r="N216" s="55"/>
      <c r="O216" s="55">
        <v>0</v>
      </c>
      <c r="P216" s="10">
        <f t="shared" si="21"/>
        <v>0</v>
      </c>
      <c r="Q216" s="10"/>
      <c r="R216" s="155" t="str">
        <f t="shared" si="22"/>
        <v/>
      </c>
      <c r="S216" s="171" t="str">
        <f t="shared" si="23"/>
        <v/>
      </c>
      <c r="T216" s="161"/>
      <c r="U216" s="55"/>
      <c r="V216" s="55"/>
      <c r="W216" s="55"/>
      <c r="X216" s="155" t="str">
        <f t="shared" si="24"/>
        <v/>
      </c>
      <c r="Y216" s="171" t="str">
        <f t="shared" si="25"/>
        <v/>
      </c>
      <c r="Z216" s="165"/>
      <c r="AA216" s="10"/>
      <c r="AB216" s="55"/>
      <c r="AC216" s="55"/>
      <c r="AD216" s="55"/>
      <c r="AE216" s="55"/>
      <c r="AF216" s="55"/>
      <c r="AG216" s="167"/>
      <c r="AH216" s="55"/>
      <c r="AI216" s="55"/>
      <c r="AJ216" s="165"/>
      <c r="AK216" s="55"/>
      <c r="AL216" s="55"/>
      <c r="AM216" s="55"/>
      <c r="AN216" s="55"/>
      <c r="AO216" s="55"/>
      <c r="AP216" s="55"/>
      <c r="AQ216" s="55"/>
      <c r="AR216" s="55"/>
      <c r="AS216" s="165"/>
      <c r="AT216" s="55"/>
      <c r="AU216" s="55"/>
      <c r="AV216" s="55"/>
      <c r="AW216" s="55"/>
      <c r="AX216" s="55"/>
      <c r="AY216" s="55"/>
      <c r="AZ216" s="55"/>
      <c r="BA216" s="55"/>
      <c r="BB216" s="165"/>
      <c r="BC216" s="55"/>
      <c r="BD216" s="55"/>
      <c r="BE216" s="55"/>
      <c r="BF216" s="165"/>
      <c r="BG216" s="55"/>
      <c r="BH216" s="10"/>
      <c r="BI216" s="55"/>
      <c r="BJ216" s="55"/>
      <c r="BK216" s="55"/>
      <c r="BL216" s="55"/>
      <c r="BT216" s="141"/>
      <c r="CN216" s="141"/>
      <c r="DG216" s="141"/>
    </row>
    <row r="217" spans="1:111" s="93" customFormat="1" x14ac:dyDescent="0.15">
      <c r="A217" s="11">
        <f t="shared" si="20"/>
        <v>60100013</v>
      </c>
      <c r="B217" s="13">
        <v>6</v>
      </c>
      <c r="C217" s="12">
        <v>0</v>
      </c>
      <c r="D217" s="13">
        <v>10</v>
      </c>
      <c r="E217" s="13">
        <v>0</v>
      </c>
      <c r="F217" s="12">
        <v>13</v>
      </c>
      <c r="G217" s="55"/>
      <c r="H217" s="55"/>
      <c r="I217" s="55"/>
      <c r="J217" s="55"/>
      <c r="K217" s="55"/>
      <c r="L217" s="158"/>
      <c r="M217" s="10"/>
      <c r="N217" s="55"/>
      <c r="O217" s="55">
        <v>0</v>
      </c>
      <c r="P217" s="10">
        <f t="shared" si="21"/>
        <v>0</v>
      </c>
      <c r="Q217" s="10"/>
      <c r="R217" s="155" t="str">
        <f t="shared" si="22"/>
        <v/>
      </c>
      <c r="S217" s="171" t="str">
        <f t="shared" si="23"/>
        <v/>
      </c>
      <c r="T217" s="161"/>
      <c r="U217" s="55"/>
      <c r="V217" s="55"/>
      <c r="W217" s="55"/>
      <c r="X217" s="155" t="str">
        <f t="shared" si="24"/>
        <v/>
      </c>
      <c r="Y217" s="171" t="str">
        <f t="shared" si="25"/>
        <v/>
      </c>
      <c r="Z217" s="165"/>
      <c r="AA217" s="10"/>
      <c r="AB217" s="55"/>
      <c r="AC217" s="55"/>
      <c r="AD217" s="55"/>
      <c r="AE217" s="55"/>
      <c r="AF217" s="55"/>
      <c r="AG217" s="167"/>
      <c r="AH217" s="55"/>
      <c r="AI217" s="55"/>
      <c r="AJ217" s="165"/>
      <c r="AK217" s="55"/>
      <c r="AL217" s="55"/>
      <c r="AM217" s="55"/>
      <c r="AN217" s="55"/>
      <c r="AO217" s="55"/>
      <c r="AP217" s="55"/>
      <c r="AQ217" s="55"/>
      <c r="AR217" s="55"/>
      <c r="AS217" s="165"/>
      <c r="AT217" s="55"/>
      <c r="AU217" s="55"/>
      <c r="AV217" s="55"/>
      <c r="AW217" s="55"/>
      <c r="AX217" s="55"/>
      <c r="AY217" s="55"/>
      <c r="AZ217" s="55"/>
      <c r="BA217" s="55"/>
      <c r="BB217" s="165"/>
      <c r="BC217" s="55"/>
      <c r="BD217" s="55"/>
      <c r="BE217" s="55"/>
      <c r="BF217" s="165"/>
      <c r="BG217" s="55"/>
      <c r="BH217" s="10"/>
      <c r="BI217" s="55"/>
      <c r="BJ217" s="55"/>
      <c r="BK217" s="55"/>
      <c r="BL217" s="55"/>
      <c r="BT217" s="141"/>
      <c r="CN217" s="141"/>
      <c r="DG217" s="141"/>
    </row>
    <row r="218" spans="1:111" s="93" customFormat="1" x14ac:dyDescent="0.15">
      <c r="A218" s="11">
        <f t="shared" ref="A218:A224" si="26">B218*10000000+C218*1000000+D218*10000+E218*100+F218</f>
        <v>60100014</v>
      </c>
      <c r="B218" s="13">
        <v>6</v>
      </c>
      <c r="C218" s="12">
        <v>0</v>
      </c>
      <c r="D218" s="13">
        <v>10</v>
      </c>
      <c r="E218" s="13">
        <v>0</v>
      </c>
      <c r="F218" s="12">
        <v>14</v>
      </c>
      <c r="G218" s="55"/>
      <c r="H218" s="55"/>
      <c r="I218" s="55"/>
      <c r="J218" s="55"/>
      <c r="K218" s="55"/>
      <c r="L218" s="158"/>
      <c r="M218" s="10"/>
      <c r="N218" s="55"/>
      <c r="O218" s="55">
        <v>0</v>
      </c>
      <c r="P218" s="10">
        <f t="shared" si="21"/>
        <v>0</v>
      </c>
      <c r="Q218" s="10"/>
      <c r="R218" s="155" t="str">
        <f t="shared" si="22"/>
        <v/>
      </c>
      <c r="S218" s="171" t="str">
        <f t="shared" si="23"/>
        <v/>
      </c>
      <c r="T218" s="161"/>
      <c r="U218" s="55"/>
      <c r="V218" s="55"/>
      <c r="W218" s="55"/>
      <c r="X218" s="155" t="str">
        <f t="shared" si="24"/>
        <v/>
      </c>
      <c r="Y218" s="171" t="str">
        <f t="shared" si="25"/>
        <v/>
      </c>
      <c r="Z218" s="165"/>
      <c r="AA218" s="10"/>
      <c r="AB218" s="55"/>
      <c r="AC218" s="55"/>
      <c r="AD218" s="55"/>
      <c r="AE218" s="55"/>
      <c r="AF218" s="55"/>
      <c r="AG218" s="167"/>
      <c r="AH218" s="55"/>
      <c r="AI218" s="55"/>
      <c r="AJ218" s="165"/>
      <c r="AK218" s="55"/>
      <c r="AL218" s="55"/>
      <c r="AM218" s="55"/>
      <c r="AN218" s="55"/>
      <c r="AO218" s="55"/>
      <c r="AP218" s="55"/>
      <c r="AQ218" s="55"/>
      <c r="AR218" s="55"/>
      <c r="AS218" s="165"/>
      <c r="AT218" s="55"/>
      <c r="AU218" s="55"/>
      <c r="AV218" s="55"/>
      <c r="AW218" s="55"/>
      <c r="AX218" s="55"/>
      <c r="AY218" s="55"/>
      <c r="AZ218" s="55"/>
      <c r="BA218" s="55"/>
      <c r="BB218" s="165"/>
      <c r="BC218" s="55"/>
      <c r="BD218" s="55"/>
      <c r="BE218" s="55"/>
      <c r="BF218" s="165"/>
      <c r="BG218" s="55"/>
      <c r="BH218" s="10"/>
      <c r="BI218" s="55"/>
      <c r="BJ218" s="55"/>
      <c r="BK218" s="55"/>
      <c r="BL218" s="55"/>
      <c r="BT218" s="141"/>
      <c r="CN218" s="141"/>
      <c r="DG218" s="141"/>
    </row>
    <row r="219" spans="1:111" s="93" customFormat="1" x14ac:dyDescent="0.15">
      <c r="A219" s="11">
        <f t="shared" si="26"/>
        <v>60100015</v>
      </c>
      <c r="B219" s="13">
        <v>6</v>
      </c>
      <c r="C219" s="12">
        <v>0</v>
      </c>
      <c r="D219" s="13">
        <v>10</v>
      </c>
      <c r="E219" s="13">
        <v>0</v>
      </c>
      <c r="F219" s="12">
        <v>15</v>
      </c>
      <c r="G219" s="55"/>
      <c r="H219" s="55"/>
      <c r="I219" s="55"/>
      <c r="J219" s="55"/>
      <c r="K219" s="55"/>
      <c r="L219" s="158"/>
      <c r="M219" s="10"/>
      <c r="N219" s="55"/>
      <c r="O219" s="55">
        <v>0</v>
      </c>
      <c r="P219" s="10">
        <f t="shared" si="21"/>
        <v>0</v>
      </c>
      <c r="Q219" s="10"/>
      <c r="R219" s="155" t="str">
        <f t="shared" si="22"/>
        <v/>
      </c>
      <c r="S219" s="171" t="str">
        <f t="shared" si="23"/>
        <v/>
      </c>
      <c r="T219" s="161"/>
      <c r="U219" s="55"/>
      <c r="V219" s="55"/>
      <c r="W219" s="55"/>
      <c r="X219" s="155" t="str">
        <f t="shared" si="24"/>
        <v/>
      </c>
      <c r="Y219" s="171" t="str">
        <f t="shared" si="25"/>
        <v/>
      </c>
      <c r="Z219" s="165"/>
      <c r="AA219" s="10"/>
      <c r="AB219" s="55"/>
      <c r="AC219" s="55"/>
      <c r="AD219" s="55"/>
      <c r="AE219" s="55"/>
      <c r="AF219" s="55"/>
      <c r="AG219" s="167"/>
      <c r="AH219" s="55"/>
      <c r="AI219" s="55"/>
      <c r="AJ219" s="165"/>
      <c r="AK219" s="55"/>
      <c r="AL219" s="55"/>
      <c r="AM219" s="55"/>
      <c r="AN219" s="55"/>
      <c r="AO219" s="55"/>
      <c r="AP219" s="55"/>
      <c r="AQ219" s="55"/>
      <c r="AR219" s="55"/>
      <c r="AS219" s="165"/>
      <c r="AT219" s="55"/>
      <c r="AU219" s="55"/>
      <c r="AV219" s="55"/>
      <c r="AW219" s="55"/>
      <c r="AX219" s="55"/>
      <c r="AY219" s="55"/>
      <c r="AZ219" s="55"/>
      <c r="BA219" s="55"/>
      <c r="BB219" s="165"/>
      <c r="BC219" s="55"/>
      <c r="BD219" s="55"/>
      <c r="BE219" s="55"/>
      <c r="BF219" s="165"/>
      <c r="BG219" s="55"/>
      <c r="BH219" s="10"/>
      <c r="BI219" s="55"/>
      <c r="BJ219" s="55"/>
      <c r="BK219" s="55"/>
      <c r="BL219" s="55"/>
      <c r="BT219" s="141"/>
      <c r="CN219" s="141"/>
      <c r="DG219" s="141"/>
    </row>
    <row r="220" spans="1:111" s="93" customFormat="1" x14ac:dyDescent="0.15">
      <c r="A220" s="11">
        <f t="shared" si="26"/>
        <v>60100016</v>
      </c>
      <c r="B220" s="13">
        <v>6</v>
      </c>
      <c r="C220" s="12">
        <v>0</v>
      </c>
      <c r="D220" s="13">
        <v>10</v>
      </c>
      <c r="E220" s="13">
        <v>0</v>
      </c>
      <c r="F220" s="12">
        <v>16</v>
      </c>
      <c r="G220" s="55"/>
      <c r="H220" s="55"/>
      <c r="I220" s="55"/>
      <c r="J220" s="55"/>
      <c r="K220" s="55"/>
      <c r="L220" s="158"/>
      <c r="M220" s="10"/>
      <c r="N220" s="55"/>
      <c r="O220" s="55">
        <v>0</v>
      </c>
      <c r="P220" s="10">
        <f t="shared" si="21"/>
        <v>0</v>
      </c>
      <c r="Q220" s="10"/>
      <c r="R220" s="155" t="str">
        <f t="shared" si="22"/>
        <v/>
      </c>
      <c r="S220" s="171" t="str">
        <f t="shared" si="23"/>
        <v/>
      </c>
      <c r="T220" s="161"/>
      <c r="U220" s="55"/>
      <c r="V220" s="55"/>
      <c r="W220" s="55"/>
      <c r="X220" s="155" t="str">
        <f t="shared" si="24"/>
        <v/>
      </c>
      <c r="Y220" s="171" t="str">
        <f t="shared" si="25"/>
        <v/>
      </c>
      <c r="Z220" s="165"/>
      <c r="AA220" s="10"/>
      <c r="AB220" s="55"/>
      <c r="AC220" s="55"/>
      <c r="AD220" s="55"/>
      <c r="AE220" s="55"/>
      <c r="AF220" s="55"/>
      <c r="AG220" s="167"/>
      <c r="AH220" s="55"/>
      <c r="AI220" s="55"/>
      <c r="AJ220" s="165"/>
      <c r="AK220" s="55"/>
      <c r="AL220" s="55"/>
      <c r="AM220" s="55"/>
      <c r="AN220" s="55"/>
      <c r="AO220" s="55"/>
      <c r="AP220" s="55"/>
      <c r="AQ220" s="55"/>
      <c r="AR220" s="55"/>
      <c r="AS220" s="165"/>
      <c r="AT220" s="55"/>
      <c r="AU220" s="55"/>
      <c r="AV220" s="55"/>
      <c r="AW220" s="55"/>
      <c r="AX220" s="55"/>
      <c r="AY220" s="55"/>
      <c r="AZ220" s="55"/>
      <c r="BA220" s="55"/>
      <c r="BB220" s="165"/>
      <c r="BC220" s="55"/>
      <c r="BD220" s="55"/>
      <c r="BE220" s="55"/>
      <c r="BF220" s="165"/>
      <c r="BG220" s="55"/>
      <c r="BH220" s="10"/>
      <c r="BI220" s="55"/>
      <c r="BJ220" s="55"/>
      <c r="BK220" s="55"/>
      <c r="BL220" s="55"/>
      <c r="BT220" s="141"/>
      <c r="CN220" s="141"/>
      <c r="DG220" s="141"/>
    </row>
    <row r="221" spans="1:111" s="93" customFormat="1" x14ac:dyDescent="0.15">
      <c r="A221" s="11">
        <f t="shared" si="26"/>
        <v>60100017</v>
      </c>
      <c r="B221" s="13">
        <v>6</v>
      </c>
      <c r="C221" s="12">
        <v>0</v>
      </c>
      <c r="D221" s="13">
        <v>10</v>
      </c>
      <c r="E221" s="13">
        <v>0</v>
      </c>
      <c r="F221" s="12">
        <v>17</v>
      </c>
      <c r="G221" s="55"/>
      <c r="H221" s="55"/>
      <c r="I221" s="55"/>
      <c r="J221" s="55"/>
      <c r="K221" s="55"/>
      <c r="L221" s="158"/>
      <c r="M221" s="10"/>
      <c r="N221" s="55"/>
      <c r="O221" s="55">
        <v>0</v>
      </c>
      <c r="P221" s="10">
        <f t="shared" si="21"/>
        <v>0</v>
      </c>
      <c r="Q221" s="10"/>
      <c r="R221" s="155" t="str">
        <f t="shared" si="22"/>
        <v/>
      </c>
      <c r="S221" s="171" t="str">
        <f t="shared" si="23"/>
        <v/>
      </c>
      <c r="T221" s="161"/>
      <c r="U221" s="55"/>
      <c r="V221" s="55"/>
      <c r="W221" s="55"/>
      <c r="X221" s="155" t="str">
        <f t="shared" si="24"/>
        <v/>
      </c>
      <c r="Y221" s="171" t="str">
        <f t="shared" si="25"/>
        <v/>
      </c>
      <c r="Z221" s="165"/>
      <c r="AA221" s="10"/>
      <c r="AB221" s="55"/>
      <c r="AC221" s="55"/>
      <c r="AD221" s="55"/>
      <c r="AE221" s="55"/>
      <c r="AF221" s="55"/>
      <c r="AG221" s="167"/>
      <c r="AH221" s="55"/>
      <c r="AI221" s="55"/>
      <c r="AJ221" s="165"/>
      <c r="AK221" s="55"/>
      <c r="AL221" s="55"/>
      <c r="AM221" s="55"/>
      <c r="AN221" s="55"/>
      <c r="AO221" s="55"/>
      <c r="AP221" s="55"/>
      <c r="AQ221" s="55"/>
      <c r="AR221" s="55"/>
      <c r="AS221" s="165"/>
      <c r="AT221" s="55"/>
      <c r="AU221" s="55"/>
      <c r="AV221" s="55"/>
      <c r="AW221" s="55"/>
      <c r="AX221" s="55"/>
      <c r="AY221" s="55"/>
      <c r="AZ221" s="55"/>
      <c r="BA221" s="55"/>
      <c r="BB221" s="165"/>
      <c r="BC221" s="55"/>
      <c r="BD221" s="55"/>
      <c r="BE221" s="55"/>
      <c r="BF221" s="165"/>
      <c r="BG221" s="55"/>
      <c r="BH221" s="10"/>
      <c r="BI221" s="55"/>
      <c r="BJ221" s="55"/>
      <c r="BK221" s="55"/>
      <c r="BL221" s="55"/>
      <c r="BT221" s="141"/>
      <c r="CN221" s="141"/>
      <c r="DG221" s="141"/>
    </row>
    <row r="222" spans="1:111" s="93" customFormat="1" x14ac:dyDescent="0.15">
      <c r="A222" s="11">
        <f t="shared" si="26"/>
        <v>60100018</v>
      </c>
      <c r="B222" s="13">
        <v>6</v>
      </c>
      <c r="C222" s="12">
        <v>0</v>
      </c>
      <c r="D222" s="13">
        <v>10</v>
      </c>
      <c r="E222" s="13">
        <v>0</v>
      </c>
      <c r="F222" s="12">
        <v>18</v>
      </c>
      <c r="G222" s="55"/>
      <c r="H222" s="55"/>
      <c r="I222" s="55"/>
      <c r="J222" s="55"/>
      <c r="K222" s="55"/>
      <c r="L222" s="158"/>
      <c r="M222" s="10"/>
      <c r="N222" s="55"/>
      <c r="O222" s="55">
        <v>0</v>
      </c>
      <c r="P222" s="10">
        <f t="shared" si="21"/>
        <v>0</v>
      </c>
      <c r="Q222" s="10"/>
      <c r="R222" s="155" t="str">
        <f t="shared" si="22"/>
        <v/>
      </c>
      <c r="S222" s="171" t="str">
        <f t="shared" si="23"/>
        <v/>
      </c>
      <c r="T222" s="161"/>
      <c r="U222" s="55"/>
      <c r="V222" s="55"/>
      <c r="W222" s="55"/>
      <c r="X222" s="155" t="str">
        <f t="shared" si="24"/>
        <v/>
      </c>
      <c r="Y222" s="171" t="str">
        <f t="shared" si="25"/>
        <v/>
      </c>
      <c r="Z222" s="165"/>
      <c r="AA222" s="10"/>
      <c r="AB222" s="55"/>
      <c r="AC222" s="55"/>
      <c r="AD222" s="55"/>
      <c r="AE222" s="55"/>
      <c r="AF222" s="55"/>
      <c r="AG222" s="167"/>
      <c r="AH222" s="55"/>
      <c r="AI222" s="55"/>
      <c r="AJ222" s="165"/>
      <c r="AK222" s="55"/>
      <c r="AL222" s="55"/>
      <c r="AM222" s="55"/>
      <c r="AN222" s="55"/>
      <c r="AO222" s="55"/>
      <c r="AP222" s="55"/>
      <c r="AQ222" s="55"/>
      <c r="AR222" s="55"/>
      <c r="AS222" s="165"/>
      <c r="AT222" s="55"/>
      <c r="AU222" s="55"/>
      <c r="AV222" s="55"/>
      <c r="AW222" s="55"/>
      <c r="AX222" s="55"/>
      <c r="AY222" s="55"/>
      <c r="AZ222" s="55"/>
      <c r="BA222" s="55"/>
      <c r="BB222" s="165"/>
      <c r="BC222" s="55"/>
      <c r="BD222" s="55"/>
      <c r="BE222" s="55"/>
      <c r="BF222" s="165"/>
      <c r="BG222" s="55"/>
      <c r="BH222" s="10"/>
      <c r="BI222" s="55"/>
      <c r="BJ222" s="55"/>
      <c r="BK222" s="55"/>
      <c r="BL222" s="55"/>
      <c r="BT222" s="141"/>
      <c r="CN222" s="141"/>
      <c r="DG222" s="141"/>
    </row>
    <row r="223" spans="1:111" s="93" customFormat="1" x14ac:dyDescent="0.15">
      <c r="A223" s="11">
        <f t="shared" si="26"/>
        <v>60100019</v>
      </c>
      <c r="B223" s="13">
        <v>6</v>
      </c>
      <c r="C223" s="12">
        <v>0</v>
      </c>
      <c r="D223" s="13">
        <v>10</v>
      </c>
      <c r="E223" s="13">
        <v>0</v>
      </c>
      <c r="F223" s="12">
        <v>19</v>
      </c>
      <c r="G223" s="55"/>
      <c r="H223" s="55"/>
      <c r="I223" s="55"/>
      <c r="J223" s="55"/>
      <c r="K223" s="55"/>
      <c r="L223" s="158"/>
      <c r="M223" s="10"/>
      <c r="N223" s="55"/>
      <c r="O223" s="55">
        <v>0</v>
      </c>
      <c r="P223" s="10">
        <f t="shared" si="21"/>
        <v>0</v>
      </c>
      <c r="Q223" s="10"/>
      <c r="R223" s="155" t="str">
        <f t="shared" si="22"/>
        <v/>
      </c>
      <c r="S223" s="171" t="str">
        <f t="shared" si="23"/>
        <v/>
      </c>
      <c r="T223" s="161"/>
      <c r="U223" s="55"/>
      <c r="V223" s="55"/>
      <c r="W223" s="55"/>
      <c r="X223" s="155" t="str">
        <f t="shared" si="24"/>
        <v/>
      </c>
      <c r="Y223" s="171" t="str">
        <f t="shared" si="25"/>
        <v/>
      </c>
      <c r="Z223" s="165"/>
      <c r="AA223" s="10"/>
      <c r="AB223" s="55"/>
      <c r="AC223" s="55"/>
      <c r="AD223" s="55"/>
      <c r="AE223" s="55"/>
      <c r="AF223" s="55"/>
      <c r="AG223" s="167"/>
      <c r="AH223" s="55"/>
      <c r="AI223" s="55"/>
      <c r="AJ223" s="165"/>
      <c r="AK223" s="55"/>
      <c r="AL223" s="55"/>
      <c r="AM223" s="55"/>
      <c r="AN223" s="55"/>
      <c r="AO223" s="55"/>
      <c r="AP223" s="55"/>
      <c r="AQ223" s="55"/>
      <c r="AR223" s="55"/>
      <c r="AS223" s="165"/>
      <c r="AT223" s="55"/>
      <c r="AU223" s="55"/>
      <c r="AV223" s="55"/>
      <c r="AW223" s="55"/>
      <c r="AX223" s="55"/>
      <c r="AY223" s="55"/>
      <c r="AZ223" s="55"/>
      <c r="BA223" s="55"/>
      <c r="BB223" s="165"/>
      <c r="BC223" s="55"/>
      <c r="BD223" s="55"/>
      <c r="BE223" s="55"/>
      <c r="BF223" s="165"/>
      <c r="BG223" s="55"/>
      <c r="BH223" s="10"/>
      <c r="BI223" s="55"/>
      <c r="BJ223" s="55"/>
      <c r="BK223" s="55"/>
      <c r="BL223" s="55"/>
      <c r="BT223" s="141"/>
      <c r="CN223" s="141"/>
      <c r="DG223" s="141"/>
    </row>
    <row r="224" spans="1:111" s="93" customFormat="1" ht="17.25" thickBot="1" x14ac:dyDescent="0.2">
      <c r="A224" s="11">
        <f t="shared" si="26"/>
        <v>60100020</v>
      </c>
      <c r="B224" s="108">
        <v>6</v>
      </c>
      <c r="C224" s="12">
        <v>0</v>
      </c>
      <c r="D224" s="108">
        <v>10</v>
      </c>
      <c r="E224" s="108">
        <v>0</v>
      </c>
      <c r="F224" s="109">
        <v>20</v>
      </c>
      <c r="G224" s="55"/>
      <c r="H224" s="55"/>
      <c r="I224" s="55"/>
      <c r="J224" s="55"/>
      <c r="K224" s="55"/>
      <c r="L224" s="158"/>
      <c r="M224" s="10"/>
      <c r="N224" s="55"/>
      <c r="O224" s="55">
        <v>0</v>
      </c>
      <c r="P224" s="10">
        <f t="shared" si="21"/>
        <v>0</v>
      </c>
      <c r="Q224" s="10"/>
      <c r="R224" s="155" t="str">
        <f t="shared" si="22"/>
        <v/>
      </c>
      <c r="S224" s="171" t="str">
        <f t="shared" si="23"/>
        <v/>
      </c>
      <c r="T224" s="161"/>
      <c r="U224" s="55"/>
      <c r="V224" s="55"/>
      <c r="W224" s="55"/>
      <c r="X224" s="155" t="str">
        <f t="shared" si="24"/>
        <v/>
      </c>
      <c r="Y224" s="171" t="str">
        <f t="shared" si="25"/>
        <v/>
      </c>
      <c r="Z224" s="165"/>
      <c r="AA224" s="10"/>
      <c r="AB224" s="55"/>
      <c r="AC224" s="55"/>
      <c r="AD224" s="55"/>
      <c r="AE224" s="55"/>
      <c r="AF224" s="55"/>
      <c r="AG224" s="167"/>
      <c r="AH224" s="55"/>
      <c r="AI224" s="55"/>
      <c r="AJ224" s="165"/>
      <c r="AK224" s="55"/>
      <c r="AL224" s="55"/>
      <c r="AM224" s="55"/>
      <c r="AN224" s="55"/>
      <c r="AO224" s="55"/>
      <c r="AP224" s="55"/>
      <c r="AQ224" s="55"/>
      <c r="AR224" s="55"/>
      <c r="AS224" s="165"/>
      <c r="AT224" s="55"/>
      <c r="AU224" s="55"/>
      <c r="AV224" s="55"/>
      <c r="AW224" s="55"/>
      <c r="AX224" s="55"/>
      <c r="AY224" s="55"/>
      <c r="AZ224" s="55"/>
      <c r="BA224" s="55"/>
      <c r="BB224" s="165"/>
      <c r="BC224" s="55"/>
      <c r="BD224" s="55"/>
      <c r="BE224" s="55"/>
      <c r="BF224" s="165"/>
      <c r="BG224" s="55"/>
      <c r="BH224" s="10"/>
      <c r="BI224" s="55"/>
      <c r="BJ224" s="55"/>
      <c r="BK224" s="55"/>
      <c r="BL224" s="55"/>
      <c r="BT224" s="141"/>
      <c r="CN224" s="141"/>
      <c r="DG224" s="141"/>
    </row>
    <row r="225" spans="1:111" s="110" customFormat="1" x14ac:dyDescent="0.15">
      <c r="A225" s="18"/>
      <c r="B225" s="20"/>
      <c r="C225" s="19"/>
      <c r="D225" s="20"/>
      <c r="E225" s="20"/>
      <c r="F225" s="19"/>
      <c r="G225" s="56"/>
      <c r="H225" s="56"/>
      <c r="I225" s="56"/>
      <c r="J225" s="56"/>
      <c r="K225" s="56"/>
      <c r="L225" s="160"/>
      <c r="M225" s="17"/>
      <c r="N225" s="56"/>
      <c r="O225" s="56"/>
      <c r="P225" s="17"/>
      <c r="Q225" s="17"/>
      <c r="R225" s="156"/>
      <c r="S225" s="172"/>
      <c r="T225" s="162"/>
      <c r="U225" s="56"/>
      <c r="V225" s="56"/>
      <c r="W225" s="56"/>
      <c r="X225" s="156"/>
      <c r="Y225" s="172"/>
      <c r="Z225" s="166"/>
      <c r="AA225" s="17"/>
      <c r="AB225" s="56"/>
      <c r="AC225" s="56"/>
      <c r="AD225" s="56"/>
      <c r="AE225" s="56"/>
      <c r="AF225" s="56"/>
      <c r="AG225" s="169"/>
      <c r="AH225" s="56"/>
      <c r="AI225" s="56"/>
      <c r="AJ225" s="166"/>
      <c r="AK225" s="56"/>
      <c r="AL225" s="56"/>
      <c r="AM225" s="56"/>
      <c r="AN225" s="56"/>
      <c r="AO225" s="56"/>
      <c r="AP225" s="56"/>
      <c r="AQ225" s="56"/>
      <c r="AR225" s="56"/>
      <c r="AS225" s="166"/>
      <c r="AT225" s="56"/>
      <c r="AU225" s="56"/>
      <c r="AV225" s="56"/>
      <c r="AW225" s="56"/>
      <c r="AX225" s="56"/>
      <c r="AY225" s="56"/>
      <c r="AZ225" s="56"/>
      <c r="BA225" s="56"/>
      <c r="BB225" s="166"/>
      <c r="BC225" s="56"/>
      <c r="BD225" s="56"/>
      <c r="BE225" s="56"/>
      <c r="BF225" s="166"/>
      <c r="BG225" s="56"/>
      <c r="BH225" s="17"/>
      <c r="BI225" s="56"/>
      <c r="BJ225" s="56"/>
      <c r="BK225" s="56"/>
      <c r="BL225" s="56"/>
      <c r="BT225" s="140"/>
      <c r="CN225" s="140"/>
      <c r="DG225" s="140"/>
    </row>
    <row r="226" spans="1:111" s="93" customFormat="1" x14ac:dyDescent="0.15">
      <c r="A226" s="11"/>
      <c r="B226" s="13"/>
      <c r="C226" s="12"/>
      <c r="D226" s="13"/>
      <c r="E226" s="13"/>
      <c r="F226" s="12"/>
      <c r="G226" s="55"/>
      <c r="H226" s="55"/>
      <c r="I226" s="55"/>
      <c r="J226" s="55"/>
      <c r="K226" s="55"/>
      <c r="L226" s="158"/>
      <c r="M226" s="10"/>
      <c r="N226" s="55"/>
      <c r="O226" s="55"/>
      <c r="P226" s="10"/>
      <c r="Q226" s="10"/>
      <c r="R226" s="155"/>
      <c r="S226" s="171"/>
      <c r="T226" s="161"/>
      <c r="U226" s="55"/>
      <c r="V226" s="55"/>
      <c r="W226" s="55"/>
      <c r="X226" s="155"/>
      <c r="Y226" s="171"/>
      <c r="Z226" s="165"/>
      <c r="AA226" s="10"/>
      <c r="AB226" s="55"/>
      <c r="AC226" s="55"/>
      <c r="AD226" s="55"/>
      <c r="AE226" s="55"/>
      <c r="AF226" s="55"/>
      <c r="AG226" s="167"/>
      <c r="AH226" s="55"/>
      <c r="AI226" s="55"/>
      <c r="AJ226" s="165"/>
      <c r="AK226" s="55"/>
      <c r="AL226" s="55"/>
      <c r="AM226" s="55"/>
      <c r="AN226" s="55"/>
      <c r="AO226" s="55"/>
      <c r="AP226" s="55"/>
      <c r="AQ226" s="55"/>
      <c r="AR226" s="55"/>
      <c r="AS226" s="165"/>
      <c r="AT226" s="55"/>
      <c r="AU226" s="55"/>
      <c r="AV226" s="55"/>
      <c r="AW226" s="55"/>
      <c r="AX226" s="55"/>
      <c r="AY226" s="55"/>
      <c r="AZ226" s="55"/>
      <c r="BA226" s="55"/>
      <c r="BB226" s="165"/>
      <c r="BC226" s="55"/>
      <c r="BD226" s="55"/>
      <c r="BE226" s="55"/>
      <c r="BF226" s="165"/>
      <c r="BG226" s="55"/>
      <c r="BH226" s="10"/>
      <c r="BI226" s="55"/>
      <c r="BJ226" s="55"/>
      <c r="BK226" s="55"/>
      <c r="BL226" s="55"/>
      <c r="BT226" s="141"/>
      <c r="CN226" s="141"/>
      <c r="DG226" s="141"/>
    </row>
    <row r="227" spans="1:111" s="93" customFormat="1" x14ac:dyDescent="0.15">
      <c r="A227" s="11"/>
      <c r="B227" s="13"/>
      <c r="C227" s="12"/>
      <c r="D227" s="13"/>
      <c r="E227" s="13"/>
      <c r="F227" s="12"/>
      <c r="G227" s="55"/>
      <c r="H227" s="55"/>
      <c r="I227" s="55"/>
      <c r="J227" s="55"/>
      <c r="K227" s="55"/>
      <c r="L227" s="158"/>
      <c r="M227" s="10"/>
      <c r="N227" s="55"/>
      <c r="O227" s="55"/>
      <c r="P227" s="10"/>
      <c r="Q227" s="10"/>
      <c r="R227" s="155"/>
      <c r="S227" s="171"/>
      <c r="T227" s="161"/>
      <c r="U227" s="55"/>
      <c r="V227" s="55"/>
      <c r="W227" s="55"/>
      <c r="X227" s="155"/>
      <c r="Y227" s="171"/>
      <c r="Z227" s="165"/>
      <c r="AA227" s="10"/>
      <c r="AB227" s="55"/>
      <c r="AC227" s="55"/>
      <c r="AD227" s="55"/>
      <c r="AE227" s="55"/>
      <c r="AF227" s="55"/>
      <c r="AG227" s="167"/>
      <c r="AH227" s="55"/>
      <c r="AI227" s="55"/>
      <c r="AJ227" s="165"/>
      <c r="AK227" s="55"/>
      <c r="AL227" s="55"/>
      <c r="AM227" s="55"/>
      <c r="AN227" s="55"/>
      <c r="AO227" s="55"/>
      <c r="AP227" s="55"/>
      <c r="AQ227" s="55"/>
      <c r="AR227" s="55"/>
      <c r="AS227" s="165"/>
      <c r="AT227" s="55"/>
      <c r="AU227" s="55"/>
      <c r="AV227" s="55"/>
      <c r="AW227" s="55"/>
      <c r="AX227" s="55"/>
      <c r="AY227" s="55"/>
      <c r="AZ227" s="55"/>
      <c r="BA227" s="55"/>
      <c r="BB227" s="165"/>
      <c r="BC227" s="55"/>
      <c r="BD227" s="55"/>
      <c r="BE227" s="55"/>
      <c r="BF227" s="165"/>
      <c r="BG227" s="55"/>
      <c r="BH227" s="10"/>
      <c r="BI227" s="55"/>
      <c r="BJ227" s="55"/>
      <c r="BK227" s="55"/>
      <c r="BL227" s="55"/>
      <c r="BT227" s="141"/>
      <c r="CN227" s="141"/>
      <c r="DG227" s="141"/>
    </row>
    <row r="228" spans="1:111" s="93" customFormat="1" x14ac:dyDescent="0.15">
      <c r="A228" s="11"/>
      <c r="B228" s="13"/>
      <c r="C228" s="12"/>
      <c r="D228" s="13"/>
      <c r="E228" s="13"/>
      <c r="F228" s="12"/>
      <c r="G228" s="55"/>
      <c r="H228" s="55"/>
      <c r="I228" s="55"/>
      <c r="J228" s="55"/>
      <c r="K228" s="55"/>
      <c r="L228" s="158"/>
      <c r="M228" s="10"/>
      <c r="N228" s="55"/>
      <c r="O228" s="55"/>
      <c r="P228" s="10"/>
      <c r="Q228" s="10"/>
      <c r="R228" s="155"/>
      <c r="S228" s="171"/>
      <c r="T228" s="161"/>
      <c r="U228" s="55"/>
      <c r="V228" s="55"/>
      <c r="W228" s="55"/>
      <c r="X228" s="155"/>
      <c r="Y228" s="171"/>
      <c r="Z228" s="165"/>
      <c r="AA228" s="10"/>
      <c r="AB228" s="55"/>
      <c r="AC228" s="55"/>
      <c r="AD228" s="55"/>
      <c r="AE228" s="55"/>
      <c r="AF228" s="55"/>
      <c r="AG228" s="167"/>
      <c r="AH228" s="55"/>
      <c r="AI228" s="55"/>
      <c r="AJ228" s="165"/>
      <c r="AK228" s="55"/>
      <c r="AL228" s="55"/>
      <c r="AM228" s="55"/>
      <c r="AN228" s="55"/>
      <c r="AO228" s="55"/>
      <c r="AP228" s="55"/>
      <c r="AQ228" s="55"/>
      <c r="AR228" s="55"/>
      <c r="AS228" s="165"/>
      <c r="AT228" s="55"/>
      <c r="AU228" s="55"/>
      <c r="AV228" s="55"/>
      <c r="AW228" s="55"/>
      <c r="AX228" s="55"/>
      <c r="AY228" s="55"/>
      <c r="AZ228" s="55"/>
      <c r="BA228" s="55"/>
      <c r="BB228" s="165"/>
      <c r="BC228" s="55"/>
      <c r="BD228" s="55"/>
      <c r="BE228" s="55"/>
      <c r="BF228" s="165"/>
      <c r="BG228" s="55"/>
      <c r="BH228" s="10"/>
      <c r="BI228" s="55"/>
      <c r="BJ228" s="55"/>
      <c r="BK228" s="55"/>
      <c r="BL228" s="55"/>
      <c r="BT228" s="141"/>
      <c r="CN228" s="141"/>
      <c r="DG228" s="141"/>
    </row>
    <row r="229" spans="1:111" s="93" customFormat="1" x14ac:dyDescent="0.15">
      <c r="A229" s="11"/>
      <c r="B229" s="13"/>
      <c r="C229" s="12"/>
      <c r="D229" s="13"/>
      <c r="E229" s="13"/>
      <c r="F229" s="12"/>
      <c r="G229" s="55"/>
      <c r="H229" s="55"/>
      <c r="I229" s="55"/>
      <c r="J229" s="55"/>
      <c r="K229" s="55"/>
      <c r="L229" s="158"/>
      <c r="M229" s="10"/>
      <c r="N229" s="55"/>
      <c r="O229" s="55"/>
      <c r="P229" s="10"/>
      <c r="Q229" s="10"/>
      <c r="R229" s="155"/>
      <c r="S229" s="171"/>
      <c r="T229" s="161"/>
      <c r="U229" s="55"/>
      <c r="V229" s="55"/>
      <c r="W229" s="55"/>
      <c r="X229" s="155"/>
      <c r="Y229" s="171"/>
      <c r="Z229" s="165"/>
      <c r="AA229" s="10"/>
      <c r="AB229" s="55"/>
      <c r="AC229" s="55"/>
      <c r="AD229" s="55"/>
      <c r="AE229" s="55"/>
      <c r="AF229" s="55"/>
      <c r="AG229" s="167"/>
      <c r="AH229" s="55"/>
      <c r="AI229" s="55"/>
      <c r="AJ229" s="165"/>
      <c r="AK229" s="55"/>
      <c r="AL229" s="55"/>
      <c r="AM229" s="55"/>
      <c r="AN229" s="55"/>
      <c r="AO229" s="55"/>
      <c r="AP229" s="55"/>
      <c r="AQ229" s="55"/>
      <c r="AR229" s="55"/>
      <c r="AS229" s="165"/>
      <c r="AT229" s="55"/>
      <c r="AU229" s="55"/>
      <c r="AV229" s="55"/>
      <c r="AW229" s="55"/>
      <c r="AX229" s="55"/>
      <c r="AY229" s="55"/>
      <c r="AZ229" s="55"/>
      <c r="BA229" s="55"/>
      <c r="BB229" s="165"/>
      <c r="BC229" s="55"/>
      <c r="BD229" s="55"/>
      <c r="BE229" s="55"/>
      <c r="BF229" s="165"/>
      <c r="BG229" s="55"/>
      <c r="BH229" s="10"/>
      <c r="BI229" s="55"/>
      <c r="BJ229" s="55"/>
      <c r="BK229" s="55"/>
      <c r="BL229" s="55"/>
      <c r="BT229" s="141"/>
      <c r="CN229" s="141"/>
      <c r="DG229" s="141"/>
    </row>
    <row r="230" spans="1:111" s="93" customFormat="1" x14ac:dyDescent="0.15">
      <c r="A230" s="11"/>
      <c r="B230" s="13"/>
      <c r="C230" s="12"/>
      <c r="D230" s="13"/>
      <c r="E230" s="13"/>
      <c r="F230" s="12"/>
      <c r="G230" s="55"/>
      <c r="H230" s="55"/>
      <c r="I230" s="55"/>
      <c r="J230" s="55"/>
      <c r="K230" s="55"/>
      <c r="L230" s="158"/>
      <c r="M230" s="10"/>
      <c r="N230" s="55"/>
      <c r="O230" s="55"/>
      <c r="P230" s="10"/>
      <c r="Q230" s="10"/>
      <c r="R230" s="155"/>
      <c r="S230" s="171"/>
      <c r="T230" s="161"/>
      <c r="U230" s="55"/>
      <c r="V230" s="55"/>
      <c r="W230" s="55"/>
      <c r="X230" s="155"/>
      <c r="Y230" s="171"/>
      <c r="Z230" s="165"/>
      <c r="AA230" s="10"/>
      <c r="AB230" s="55"/>
      <c r="AC230" s="55"/>
      <c r="AD230" s="55"/>
      <c r="AE230" s="55"/>
      <c r="AF230" s="55"/>
      <c r="AG230" s="167"/>
      <c r="AH230" s="55"/>
      <c r="AI230" s="55"/>
      <c r="AJ230" s="165"/>
      <c r="AK230" s="55"/>
      <c r="AL230" s="55"/>
      <c r="AM230" s="55"/>
      <c r="AN230" s="55"/>
      <c r="AO230" s="55"/>
      <c r="AP230" s="55"/>
      <c r="AQ230" s="55"/>
      <c r="AR230" s="55"/>
      <c r="AS230" s="165"/>
      <c r="AT230" s="55"/>
      <c r="AU230" s="55"/>
      <c r="AV230" s="55"/>
      <c r="AW230" s="55"/>
      <c r="AX230" s="55"/>
      <c r="AY230" s="55"/>
      <c r="AZ230" s="55"/>
      <c r="BA230" s="55"/>
      <c r="BB230" s="165"/>
      <c r="BC230" s="55"/>
      <c r="BD230" s="55"/>
      <c r="BE230" s="55"/>
      <c r="BF230" s="165"/>
      <c r="BG230" s="55"/>
      <c r="BH230" s="10"/>
      <c r="BI230" s="55"/>
      <c r="BJ230" s="55"/>
      <c r="BK230" s="55"/>
      <c r="BL230" s="55"/>
      <c r="BT230" s="141"/>
      <c r="CN230" s="141"/>
      <c r="DG230" s="141"/>
    </row>
    <row r="231" spans="1:111" s="93" customFormat="1" x14ac:dyDescent="0.15">
      <c r="A231" s="11"/>
      <c r="B231" s="13"/>
      <c r="C231" s="12"/>
      <c r="D231" s="13"/>
      <c r="E231" s="13"/>
      <c r="F231" s="12"/>
      <c r="G231" s="55"/>
      <c r="H231" s="55"/>
      <c r="I231" s="55"/>
      <c r="J231" s="55"/>
      <c r="K231" s="55"/>
      <c r="L231" s="158"/>
      <c r="M231" s="10"/>
      <c r="N231" s="55"/>
      <c r="O231" s="55"/>
      <c r="P231" s="10"/>
      <c r="Q231" s="10"/>
      <c r="R231" s="155"/>
      <c r="S231" s="171"/>
      <c r="T231" s="161"/>
      <c r="U231" s="55"/>
      <c r="V231" s="55"/>
      <c r="W231" s="55"/>
      <c r="X231" s="155"/>
      <c r="Y231" s="171"/>
      <c r="Z231" s="165"/>
      <c r="AA231" s="10"/>
      <c r="AB231" s="55"/>
      <c r="AC231" s="55"/>
      <c r="AD231" s="55"/>
      <c r="AE231" s="55"/>
      <c r="AF231" s="55"/>
      <c r="AG231" s="167"/>
      <c r="AH231" s="55"/>
      <c r="AI231" s="55"/>
      <c r="AJ231" s="165"/>
      <c r="AK231" s="55"/>
      <c r="AL231" s="55"/>
      <c r="AM231" s="55"/>
      <c r="AN231" s="55"/>
      <c r="AO231" s="55"/>
      <c r="AP231" s="55"/>
      <c r="AQ231" s="55"/>
      <c r="AR231" s="55"/>
      <c r="AS231" s="165"/>
      <c r="AT231" s="55"/>
      <c r="AU231" s="55"/>
      <c r="AV231" s="55"/>
      <c r="AW231" s="55"/>
      <c r="AX231" s="55"/>
      <c r="AY231" s="55"/>
      <c r="AZ231" s="55"/>
      <c r="BA231" s="55"/>
      <c r="BB231" s="165"/>
      <c r="BC231" s="55"/>
      <c r="BD231" s="55"/>
      <c r="BE231" s="55"/>
      <c r="BF231" s="165"/>
      <c r="BG231" s="55"/>
      <c r="BH231" s="10"/>
      <c r="BI231" s="55"/>
      <c r="BJ231" s="55"/>
      <c r="BK231" s="55"/>
      <c r="BL231" s="55"/>
      <c r="BT231" s="141"/>
      <c r="CN231" s="141"/>
      <c r="DG231" s="141"/>
    </row>
    <row r="232" spans="1:111" s="93" customFormat="1" x14ac:dyDescent="0.15">
      <c r="A232" s="11"/>
      <c r="B232" s="13"/>
      <c r="C232" s="12"/>
      <c r="D232" s="13"/>
      <c r="E232" s="13"/>
      <c r="F232" s="12"/>
      <c r="G232" s="55"/>
      <c r="H232" s="55"/>
      <c r="I232" s="55"/>
      <c r="J232" s="55"/>
      <c r="K232" s="55"/>
      <c r="L232" s="158"/>
      <c r="M232" s="10"/>
      <c r="N232" s="55"/>
      <c r="O232" s="55"/>
      <c r="P232" s="10"/>
      <c r="Q232" s="10"/>
      <c r="R232" s="155"/>
      <c r="S232" s="171"/>
      <c r="T232" s="161"/>
      <c r="U232" s="55"/>
      <c r="V232" s="55"/>
      <c r="W232" s="55"/>
      <c r="X232" s="155"/>
      <c r="Y232" s="171"/>
      <c r="Z232" s="165"/>
      <c r="AA232" s="10"/>
      <c r="AB232" s="55"/>
      <c r="AC232" s="55"/>
      <c r="AD232" s="55"/>
      <c r="AE232" s="55"/>
      <c r="AF232" s="55"/>
      <c r="AG232" s="167"/>
      <c r="AH232" s="55"/>
      <c r="AI232" s="55"/>
      <c r="AJ232" s="165"/>
      <c r="AK232" s="55"/>
      <c r="AL232" s="55"/>
      <c r="AM232" s="55"/>
      <c r="AN232" s="55"/>
      <c r="AO232" s="55"/>
      <c r="AP232" s="55"/>
      <c r="AQ232" s="55"/>
      <c r="AR232" s="55"/>
      <c r="AS232" s="165"/>
      <c r="AT232" s="55"/>
      <c r="AU232" s="55"/>
      <c r="AV232" s="55"/>
      <c r="AW232" s="55"/>
      <c r="AX232" s="55"/>
      <c r="AY232" s="55"/>
      <c r="AZ232" s="55"/>
      <c r="BA232" s="55"/>
      <c r="BB232" s="165"/>
      <c r="BC232" s="55"/>
      <c r="BD232" s="55"/>
      <c r="BE232" s="55"/>
      <c r="BF232" s="165"/>
      <c r="BG232" s="55"/>
      <c r="BH232" s="10"/>
      <c r="BI232" s="55"/>
      <c r="BJ232" s="55"/>
      <c r="BK232" s="55"/>
      <c r="BL232" s="55"/>
      <c r="BT232" s="141"/>
      <c r="CN232" s="141"/>
      <c r="DG232" s="141"/>
    </row>
    <row r="233" spans="1:111" s="93" customFormat="1" x14ac:dyDescent="0.15">
      <c r="A233" s="11"/>
      <c r="B233" s="13"/>
      <c r="C233" s="12"/>
      <c r="D233" s="13"/>
      <c r="E233" s="13"/>
      <c r="F233" s="12"/>
      <c r="G233" s="55"/>
      <c r="H233" s="55"/>
      <c r="I233" s="55"/>
      <c r="J233" s="55"/>
      <c r="K233" s="55"/>
      <c r="L233" s="158"/>
      <c r="M233" s="10"/>
      <c r="N233" s="55"/>
      <c r="O233" s="55"/>
      <c r="P233" s="10"/>
      <c r="Q233" s="10"/>
      <c r="R233" s="155"/>
      <c r="S233" s="171"/>
      <c r="T233" s="161"/>
      <c r="U233" s="55"/>
      <c r="V233" s="55"/>
      <c r="W233" s="55"/>
      <c r="X233" s="155"/>
      <c r="Y233" s="171"/>
      <c r="Z233" s="165"/>
      <c r="AA233" s="10"/>
      <c r="AB233" s="55"/>
      <c r="AC233" s="55"/>
      <c r="AD233" s="55"/>
      <c r="AE233" s="55"/>
      <c r="AF233" s="55"/>
      <c r="AG233" s="167"/>
      <c r="AH233" s="55"/>
      <c r="AI233" s="55"/>
      <c r="AJ233" s="165"/>
      <c r="AK233" s="55"/>
      <c r="AL233" s="55"/>
      <c r="AM233" s="55"/>
      <c r="AN233" s="55"/>
      <c r="AO233" s="55"/>
      <c r="AP233" s="55"/>
      <c r="AQ233" s="55"/>
      <c r="AR233" s="55"/>
      <c r="AS233" s="165"/>
      <c r="AT233" s="55"/>
      <c r="AU233" s="55"/>
      <c r="AV233" s="55"/>
      <c r="AW233" s="55"/>
      <c r="AX233" s="55"/>
      <c r="AY233" s="55"/>
      <c r="AZ233" s="55"/>
      <c r="BA233" s="55"/>
      <c r="BB233" s="165"/>
      <c r="BC233" s="55"/>
      <c r="BD233" s="55"/>
      <c r="BE233" s="55"/>
      <c r="BF233" s="165"/>
      <c r="BG233" s="55"/>
      <c r="BH233" s="10"/>
      <c r="BI233" s="55"/>
      <c r="BJ233" s="55"/>
      <c r="BK233" s="55"/>
      <c r="BL233" s="55"/>
      <c r="BT233" s="141"/>
      <c r="CN233" s="141"/>
      <c r="DG233" s="141"/>
    </row>
    <row r="234" spans="1:111" s="93" customFormat="1" x14ac:dyDescent="0.15">
      <c r="A234" s="11"/>
      <c r="B234" s="13"/>
      <c r="C234" s="12"/>
      <c r="D234" s="13"/>
      <c r="E234" s="13"/>
      <c r="F234" s="12"/>
      <c r="G234" s="55"/>
      <c r="H234" s="55"/>
      <c r="I234" s="55"/>
      <c r="J234" s="55"/>
      <c r="K234" s="55"/>
      <c r="L234" s="158"/>
      <c r="M234" s="10"/>
      <c r="N234" s="55"/>
      <c r="O234" s="55"/>
      <c r="P234" s="10"/>
      <c r="Q234" s="10"/>
      <c r="R234" s="155"/>
      <c r="S234" s="171"/>
      <c r="T234" s="161"/>
      <c r="U234" s="55"/>
      <c r="V234" s="55"/>
      <c r="W234" s="55"/>
      <c r="X234" s="155"/>
      <c r="Y234" s="171"/>
      <c r="Z234" s="165"/>
      <c r="AA234" s="10"/>
      <c r="AB234" s="55"/>
      <c r="AC234" s="55"/>
      <c r="AD234" s="55"/>
      <c r="AE234" s="55"/>
      <c r="AF234" s="55"/>
      <c r="AG234" s="167"/>
      <c r="AH234" s="55"/>
      <c r="AI234" s="55"/>
      <c r="AJ234" s="165"/>
      <c r="AK234" s="55"/>
      <c r="AL234" s="55"/>
      <c r="AM234" s="55"/>
      <c r="AN234" s="55"/>
      <c r="AO234" s="55"/>
      <c r="AP234" s="55"/>
      <c r="AQ234" s="55"/>
      <c r="AR234" s="55"/>
      <c r="AS234" s="165"/>
      <c r="AT234" s="55"/>
      <c r="AU234" s="55"/>
      <c r="AV234" s="55"/>
      <c r="AW234" s="55"/>
      <c r="AX234" s="55"/>
      <c r="AY234" s="55"/>
      <c r="AZ234" s="55"/>
      <c r="BA234" s="55"/>
      <c r="BB234" s="165"/>
      <c r="BC234" s="55"/>
      <c r="BD234" s="55"/>
      <c r="BE234" s="55"/>
      <c r="BF234" s="165"/>
      <c r="BG234" s="55"/>
      <c r="BH234" s="10"/>
      <c r="BI234" s="55"/>
      <c r="BJ234" s="55"/>
      <c r="BK234" s="55"/>
      <c r="BL234" s="55"/>
      <c r="BT234" s="141"/>
      <c r="CN234" s="141"/>
      <c r="DG234" s="141"/>
    </row>
    <row r="235" spans="1:111" s="93" customFormat="1" x14ac:dyDescent="0.15">
      <c r="A235" s="11"/>
      <c r="B235" s="13"/>
      <c r="C235" s="12"/>
      <c r="D235" s="13"/>
      <c r="E235" s="13"/>
      <c r="F235" s="12"/>
      <c r="G235" s="55"/>
      <c r="H235" s="55"/>
      <c r="I235" s="55"/>
      <c r="J235" s="55"/>
      <c r="K235" s="55"/>
      <c r="L235" s="158"/>
      <c r="M235" s="10"/>
      <c r="N235" s="55"/>
      <c r="O235" s="55"/>
      <c r="P235" s="10"/>
      <c r="Q235" s="10"/>
      <c r="R235" s="155"/>
      <c r="S235" s="171"/>
      <c r="T235" s="161"/>
      <c r="U235" s="55"/>
      <c r="V235" s="55"/>
      <c r="W235" s="55"/>
      <c r="X235" s="155"/>
      <c r="Y235" s="171"/>
      <c r="Z235" s="165"/>
      <c r="AA235" s="10"/>
      <c r="AB235" s="55"/>
      <c r="AC235" s="55"/>
      <c r="AD235" s="55"/>
      <c r="AE235" s="55"/>
      <c r="AF235" s="55"/>
      <c r="AG235" s="167"/>
      <c r="AH235" s="55"/>
      <c r="AI235" s="55"/>
      <c r="AJ235" s="165"/>
      <c r="AK235" s="55"/>
      <c r="AL235" s="55"/>
      <c r="AM235" s="55"/>
      <c r="AN235" s="55"/>
      <c r="AO235" s="55"/>
      <c r="AP235" s="55"/>
      <c r="AQ235" s="55"/>
      <c r="AR235" s="55"/>
      <c r="AS235" s="165"/>
      <c r="AT235" s="55"/>
      <c r="AU235" s="55"/>
      <c r="AV235" s="55"/>
      <c r="AW235" s="55"/>
      <c r="AX235" s="55"/>
      <c r="AY235" s="55"/>
      <c r="AZ235" s="55"/>
      <c r="BA235" s="55"/>
      <c r="BB235" s="165"/>
      <c r="BC235" s="55"/>
      <c r="BD235" s="55"/>
      <c r="BE235" s="55"/>
      <c r="BF235" s="165"/>
      <c r="BG235" s="55"/>
      <c r="BH235" s="10"/>
      <c r="BI235" s="55"/>
      <c r="BJ235" s="55"/>
      <c r="BK235" s="55"/>
      <c r="BL235" s="55"/>
      <c r="BT235" s="141"/>
      <c r="CN235" s="141"/>
      <c r="DG235" s="141"/>
    </row>
    <row r="236" spans="1:111" s="93" customFormat="1" x14ac:dyDescent="0.15">
      <c r="A236" s="11"/>
      <c r="B236" s="13"/>
      <c r="C236" s="12"/>
      <c r="D236" s="13"/>
      <c r="E236" s="13"/>
      <c r="F236" s="12"/>
      <c r="G236" s="55"/>
      <c r="H236" s="55"/>
      <c r="I236" s="55"/>
      <c r="J236" s="55"/>
      <c r="K236" s="55"/>
      <c r="L236" s="158"/>
      <c r="M236" s="10"/>
      <c r="N236" s="55"/>
      <c r="O236" s="55"/>
      <c r="P236" s="10"/>
      <c r="Q236" s="10"/>
      <c r="R236" s="155"/>
      <c r="S236" s="171"/>
      <c r="T236" s="161"/>
      <c r="U236" s="55"/>
      <c r="V236" s="55"/>
      <c r="W236" s="55"/>
      <c r="X236" s="155"/>
      <c r="Y236" s="171"/>
      <c r="Z236" s="165"/>
      <c r="AA236" s="10"/>
      <c r="AB236" s="55"/>
      <c r="AC236" s="55"/>
      <c r="AD236" s="55"/>
      <c r="AE236" s="55"/>
      <c r="AF236" s="55"/>
      <c r="AG236" s="167"/>
      <c r="AH236" s="55"/>
      <c r="AI236" s="55"/>
      <c r="AJ236" s="165"/>
      <c r="AK236" s="55"/>
      <c r="AL236" s="55"/>
      <c r="AM236" s="55"/>
      <c r="AN236" s="55"/>
      <c r="AO236" s="55"/>
      <c r="AP236" s="55"/>
      <c r="AQ236" s="55"/>
      <c r="AR236" s="55"/>
      <c r="AS236" s="165"/>
      <c r="AT236" s="55"/>
      <c r="AU236" s="55"/>
      <c r="AV236" s="55"/>
      <c r="AW236" s="55"/>
      <c r="AX236" s="55"/>
      <c r="AY236" s="55"/>
      <c r="AZ236" s="55"/>
      <c r="BA236" s="55"/>
      <c r="BB236" s="165"/>
      <c r="BC236" s="55"/>
      <c r="BD236" s="55"/>
      <c r="BE236" s="55"/>
      <c r="BF236" s="165"/>
      <c r="BG236" s="55"/>
      <c r="BH236" s="10"/>
      <c r="BI236" s="55"/>
      <c r="BJ236" s="55"/>
      <c r="BK236" s="55"/>
      <c r="BL236" s="55"/>
      <c r="BT236" s="141"/>
      <c r="CN236" s="141"/>
      <c r="DG236" s="141"/>
    </row>
    <row r="237" spans="1:111" s="93" customFormat="1" x14ac:dyDescent="0.15">
      <c r="A237" s="11"/>
      <c r="B237" s="13"/>
      <c r="C237" s="12"/>
      <c r="D237" s="13"/>
      <c r="E237" s="13"/>
      <c r="F237" s="12"/>
      <c r="G237" s="55"/>
      <c r="H237" s="55"/>
      <c r="I237" s="55"/>
      <c r="J237" s="55"/>
      <c r="K237" s="55"/>
      <c r="L237" s="158"/>
      <c r="M237" s="10"/>
      <c r="N237" s="55"/>
      <c r="O237" s="55"/>
      <c r="P237" s="10"/>
      <c r="Q237" s="10"/>
      <c r="R237" s="155"/>
      <c r="S237" s="171"/>
      <c r="T237" s="161"/>
      <c r="U237" s="55"/>
      <c r="V237" s="55"/>
      <c r="W237" s="55"/>
      <c r="X237" s="155"/>
      <c r="Y237" s="171"/>
      <c r="Z237" s="165"/>
      <c r="AA237" s="10"/>
      <c r="AB237" s="55"/>
      <c r="AC237" s="55"/>
      <c r="AD237" s="55"/>
      <c r="AE237" s="55"/>
      <c r="AF237" s="55"/>
      <c r="AG237" s="167"/>
      <c r="AH237" s="55"/>
      <c r="AI237" s="55"/>
      <c r="AJ237" s="165"/>
      <c r="AK237" s="55"/>
      <c r="AL237" s="55"/>
      <c r="AM237" s="55"/>
      <c r="AN237" s="55"/>
      <c r="AO237" s="55"/>
      <c r="AP237" s="55"/>
      <c r="AQ237" s="55"/>
      <c r="AR237" s="55"/>
      <c r="AS237" s="165"/>
      <c r="AT237" s="55"/>
      <c r="AU237" s="55"/>
      <c r="AV237" s="55"/>
      <c r="AW237" s="55"/>
      <c r="AX237" s="55"/>
      <c r="AY237" s="55"/>
      <c r="AZ237" s="55"/>
      <c r="BA237" s="55"/>
      <c r="BB237" s="165"/>
      <c r="BC237" s="55"/>
      <c r="BD237" s="55"/>
      <c r="BE237" s="55"/>
      <c r="BF237" s="165"/>
      <c r="BG237" s="55"/>
      <c r="BH237" s="10"/>
      <c r="BI237" s="55"/>
      <c r="BJ237" s="55"/>
      <c r="BK237" s="55"/>
      <c r="BL237" s="55"/>
      <c r="BT237" s="141"/>
      <c r="CN237" s="141"/>
      <c r="DG237" s="141"/>
    </row>
    <row r="238" spans="1:111" s="93" customFormat="1" x14ac:dyDescent="0.15">
      <c r="A238" s="11"/>
      <c r="B238" s="13"/>
      <c r="C238" s="12"/>
      <c r="D238" s="13"/>
      <c r="E238" s="13"/>
      <c r="F238" s="12"/>
      <c r="G238" s="55"/>
      <c r="H238" s="55"/>
      <c r="I238" s="55"/>
      <c r="J238" s="55"/>
      <c r="K238" s="55"/>
      <c r="L238" s="158"/>
      <c r="M238" s="10"/>
      <c r="N238" s="55"/>
      <c r="O238" s="55"/>
      <c r="P238" s="10"/>
      <c r="Q238" s="10"/>
      <c r="R238" s="155"/>
      <c r="S238" s="171"/>
      <c r="T238" s="161"/>
      <c r="U238" s="55"/>
      <c r="V238" s="55"/>
      <c r="W238" s="55"/>
      <c r="X238" s="155"/>
      <c r="Y238" s="171"/>
      <c r="Z238" s="165"/>
      <c r="AA238" s="10"/>
      <c r="AB238" s="55"/>
      <c r="AC238" s="55"/>
      <c r="AD238" s="55"/>
      <c r="AE238" s="55"/>
      <c r="AF238" s="55"/>
      <c r="AG238" s="167"/>
      <c r="AH238" s="55"/>
      <c r="AI238" s="55"/>
      <c r="AJ238" s="165"/>
      <c r="AK238" s="55"/>
      <c r="AL238" s="55"/>
      <c r="AM238" s="55"/>
      <c r="AN238" s="55"/>
      <c r="AO238" s="55"/>
      <c r="AP238" s="55"/>
      <c r="AQ238" s="55"/>
      <c r="AR238" s="55"/>
      <c r="AS238" s="165"/>
      <c r="AT238" s="55"/>
      <c r="AU238" s="55"/>
      <c r="AV238" s="55"/>
      <c r="AW238" s="55"/>
      <c r="AX238" s="55"/>
      <c r="AY238" s="55"/>
      <c r="AZ238" s="55"/>
      <c r="BA238" s="55"/>
      <c r="BB238" s="165"/>
      <c r="BC238" s="55"/>
      <c r="BD238" s="55"/>
      <c r="BE238" s="55"/>
      <c r="BF238" s="165"/>
      <c r="BG238" s="55"/>
      <c r="BH238" s="10"/>
      <c r="BI238" s="55"/>
      <c r="BJ238" s="55"/>
      <c r="BK238" s="55"/>
      <c r="BL238" s="55"/>
      <c r="BT238" s="141"/>
      <c r="CN238" s="141"/>
      <c r="DG238" s="141"/>
    </row>
    <row r="239" spans="1:111" s="93" customFormat="1" x14ac:dyDescent="0.15">
      <c r="A239" s="11"/>
      <c r="B239" s="13"/>
      <c r="C239" s="12"/>
      <c r="D239" s="13"/>
      <c r="E239" s="13"/>
      <c r="F239" s="12"/>
      <c r="G239" s="55"/>
      <c r="H239" s="55"/>
      <c r="I239" s="55"/>
      <c r="J239" s="55"/>
      <c r="K239" s="55"/>
      <c r="L239" s="158"/>
      <c r="M239" s="10"/>
      <c r="N239" s="55"/>
      <c r="O239" s="55"/>
      <c r="P239" s="10"/>
      <c r="Q239" s="10"/>
      <c r="R239" s="155"/>
      <c r="S239" s="171"/>
      <c r="T239" s="161"/>
      <c r="U239" s="55"/>
      <c r="V239" s="55"/>
      <c r="W239" s="55"/>
      <c r="X239" s="155"/>
      <c r="Y239" s="171"/>
      <c r="Z239" s="165"/>
      <c r="AA239" s="10"/>
      <c r="AB239" s="55"/>
      <c r="AC239" s="55"/>
      <c r="AD239" s="55"/>
      <c r="AE239" s="55"/>
      <c r="AF239" s="55"/>
      <c r="AG239" s="167"/>
      <c r="AH239" s="55"/>
      <c r="AI239" s="55"/>
      <c r="AJ239" s="165"/>
      <c r="AK239" s="55"/>
      <c r="AL239" s="55"/>
      <c r="AM239" s="55"/>
      <c r="AN239" s="55"/>
      <c r="AO239" s="55"/>
      <c r="AP239" s="55"/>
      <c r="AQ239" s="55"/>
      <c r="AR239" s="55"/>
      <c r="AS239" s="165"/>
      <c r="AT239" s="55"/>
      <c r="AU239" s="55"/>
      <c r="AV239" s="55"/>
      <c r="AW239" s="55"/>
      <c r="AX239" s="55"/>
      <c r="AY239" s="55"/>
      <c r="AZ239" s="55"/>
      <c r="BA239" s="55"/>
      <c r="BB239" s="165"/>
      <c r="BC239" s="55"/>
      <c r="BD239" s="55"/>
      <c r="BE239" s="55"/>
      <c r="BF239" s="165"/>
      <c r="BG239" s="55"/>
      <c r="BH239" s="10"/>
      <c r="BI239" s="55"/>
      <c r="BJ239" s="55"/>
      <c r="BK239" s="55"/>
      <c r="BL239" s="55"/>
      <c r="BT239" s="141"/>
      <c r="CN239" s="141"/>
      <c r="DG239" s="141"/>
    </row>
    <row r="240" spans="1:111" s="93" customFormat="1" x14ac:dyDescent="0.15">
      <c r="A240" s="11"/>
      <c r="B240" s="13"/>
      <c r="C240" s="12"/>
      <c r="D240" s="13"/>
      <c r="E240" s="13"/>
      <c r="F240" s="12"/>
      <c r="G240" s="55"/>
      <c r="H240" s="55"/>
      <c r="I240" s="55"/>
      <c r="J240" s="55"/>
      <c r="K240" s="55"/>
      <c r="L240" s="158"/>
      <c r="M240" s="10"/>
      <c r="N240" s="55"/>
      <c r="O240" s="55"/>
      <c r="P240" s="10"/>
      <c r="Q240" s="10"/>
      <c r="R240" s="155"/>
      <c r="S240" s="171"/>
      <c r="T240" s="161"/>
      <c r="U240" s="55"/>
      <c r="V240" s="55"/>
      <c r="W240" s="55"/>
      <c r="X240" s="155"/>
      <c r="Y240" s="171"/>
      <c r="Z240" s="165"/>
      <c r="AA240" s="10"/>
      <c r="AB240" s="55"/>
      <c r="AC240" s="55"/>
      <c r="AD240" s="55"/>
      <c r="AE240" s="55"/>
      <c r="AF240" s="55"/>
      <c r="AG240" s="167"/>
      <c r="AH240" s="55"/>
      <c r="AI240" s="55"/>
      <c r="AJ240" s="165"/>
      <c r="AK240" s="55"/>
      <c r="AL240" s="55"/>
      <c r="AM240" s="55"/>
      <c r="AN240" s="55"/>
      <c r="AO240" s="55"/>
      <c r="AP240" s="55"/>
      <c r="AQ240" s="55"/>
      <c r="AR240" s="55"/>
      <c r="AS240" s="165"/>
      <c r="AT240" s="55"/>
      <c r="AU240" s="55"/>
      <c r="AV240" s="55"/>
      <c r="AW240" s="55"/>
      <c r="AX240" s="55"/>
      <c r="AY240" s="55"/>
      <c r="AZ240" s="55"/>
      <c r="BA240" s="55"/>
      <c r="BB240" s="165"/>
      <c r="BC240" s="55"/>
      <c r="BD240" s="55"/>
      <c r="BE240" s="55"/>
      <c r="BF240" s="165"/>
      <c r="BG240" s="55"/>
      <c r="BH240" s="10"/>
      <c r="BI240" s="55"/>
      <c r="BJ240" s="55"/>
      <c r="BK240" s="55"/>
      <c r="BL240" s="55"/>
      <c r="BT240" s="141"/>
      <c r="CN240" s="141"/>
      <c r="DG240" s="141"/>
    </row>
    <row r="241" spans="1:111" s="93" customFormat="1" x14ac:dyDescent="0.15">
      <c r="A241" s="11"/>
      <c r="B241" s="13"/>
      <c r="C241" s="12"/>
      <c r="D241" s="13"/>
      <c r="E241" s="13"/>
      <c r="F241" s="12"/>
      <c r="G241" s="55"/>
      <c r="H241" s="55"/>
      <c r="I241" s="55"/>
      <c r="J241" s="55"/>
      <c r="K241" s="55"/>
      <c r="L241" s="158"/>
      <c r="M241" s="10"/>
      <c r="N241" s="55"/>
      <c r="O241" s="55"/>
      <c r="P241" s="10"/>
      <c r="Q241" s="10"/>
      <c r="R241" s="155"/>
      <c r="S241" s="171"/>
      <c r="T241" s="161"/>
      <c r="U241" s="55"/>
      <c r="V241" s="55"/>
      <c r="W241" s="55"/>
      <c r="X241" s="155"/>
      <c r="Y241" s="171"/>
      <c r="Z241" s="165"/>
      <c r="AA241" s="10"/>
      <c r="AB241" s="55"/>
      <c r="AC241" s="55"/>
      <c r="AD241" s="55"/>
      <c r="AE241" s="55"/>
      <c r="AF241" s="55"/>
      <c r="AG241" s="167"/>
      <c r="AH241" s="55"/>
      <c r="AI241" s="55"/>
      <c r="AJ241" s="165"/>
      <c r="AK241" s="55"/>
      <c r="AL241" s="55"/>
      <c r="AM241" s="55"/>
      <c r="AN241" s="55"/>
      <c r="AO241" s="55"/>
      <c r="AP241" s="55"/>
      <c r="AQ241" s="55"/>
      <c r="AR241" s="55"/>
      <c r="AS241" s="165"/>
      <c r="AT241" s="55"/>
      <c r="AU241" s="55"/>
      <c r="AV241" s="55"/>
      <c r="AW241" s="55"/>
      <c r="AX241" s="55"/>
      <c r="AY241" s="55"/>
      <c r="AZ241" s="55"/>
      <c r="BA241" s="55"/>
      <c r="BB241" s="165"/>
      <c r="BC241" s="55"/>
      <c r="BD241" s="55"/>
      <c r="BE241" s="55"/>
      <c r="BF241" s="165"/>
      <c r="BG241" s="55"/>
      <c r="BH241" s="10"/>
      <c r="BI241" s="55"/>
      <c r="BJ241" s="55"/>
      <c r="BK241" s="55"/>
      <c r="BL241" s="55"/>
      <c r="BT241" s="141"/>
      <c r="CN241" s="141"/>
      <c r="DG241" s="141"/>
    </row>
    <row r="242" spans="1:111" s="93" customFormat="1" x14ac:dyDescent="0.15">
      <c r="A242" s="11"/>
      <c r="B242" s="13"/>
      <c r="C242" s="12"/>
      <c r="D242" s="13"/>
      <c r="E242" s="13"/>
      <c r="F242" s="12"/>
      <c r="G242" s="55"/>
      <c r="H242" s="55"/>
      <c r="I242" s="55"/>
      <c r="J242" s="55"/>
      <c r="K242" s="55"/>
      <c r="L242" s="158"/>
      <c r="M242" s="10"/>
      <c r="N242" s="55"/>
      <c r="O242" s="55"/>
      <c r="P242" s="10"/>
      <c r="Q242" s="10"/>
      <c r="R242" s="155"/>
      <c r="S242" s="171"/>
      <c r="T242" s="161"/>
      <c r="U242" s="55"/>
      <c r="V242" s="55"/>
      <c r="W242" s="55"/>
      <c r="X242" s="155"/>
      <c r="Y242" s="171"/>
      <c r="Z242" s="165"/>
      <c r="AA242" s="10"/>
      <c r="AB242" s="55"/>
      <c r="AC242" s="55"/>
      <c r="AD242" s="55"/>
      <c r="AE242" s="55"/>
      <c r="AF242" s="55"/>
      <c r="AG242" s="167"/>
      <c r="AH242" s="55"/>
      <c r="AI242" s="55"/>
      <c r="AJ242" s="165"/>
      <c r="AK242" s="55"/>
      <c r="AL242" s="55"/>
      <c r="AM242" s="55"/>
      <c r="AN242" s="55"/>
      <c r="AO242" s="55"/>
      <c r="AP242" s="55"/>
      <c r="AQ242" s="55"/>
      <c r="AR242" s="55"/>
      <c r="AS242" s="165"/>
      <c r="AT242" s="55"/>
      <c r="AU242" s="55"/>
      <c r="AV242" s="55"/>
      <c r="AW242" s="55"/>
      <c r="AX242" s="55"/>
      <c r="AY242" s="55"/>
      <c r="AZ242" s="55"/>
      <c r="BA242" s="55"/>
      <c r="BB242" s="165"/>
      <c r="BC242" s="55"/>
      <c r="BD242" s="55"/>
      <c r="BE242" s="55"/>
      <c r="BF242" s="165"/>
      <c r="BG242" s="55"/>
      <c r="BH242" s="10"/>
      <c r="BI242" s="55"/>
      <c r="BJ242" s="55"/>
      <c r="BK242" s="55"/>
      <c r="BL242" s="55"/>
      <c r="BT242" s="141"/>
      <c r="CN242" s="141"/>
      <c r="DG242" s="141"/>
    </row>
    <row r="243" spans="1:111" s="93" customFormat="1" x14ac:dyDescent="0.15">
      <c r="A243" s="11"/>
      <c r="B243" s="13"/>
      <c r="C243" s="12"/>
      <c r="D243" s="13"/>
      <c r="E243" s="13"/>
      <c r="F243" s="12"/>
      <c r="G243" s="55"/>
      <c r="H243" s="55"/>
      <c r="I243" s="55"/>
      <c r="J243" s="55"/>
      <c r="K243" s="55"/>
      <c r="L243" s="158"/>
      <c r="M243" s="10"/>
      <c r="N243" s="55"/>
      <c r="O243" s="55"/>
      <c r="P243" s="10"/>
      <c r="Q243" s="10"/>
      <c r="R243" s="155"/>
      <c r="S243" s="171"/>
      <c r="T243" s="161"/>
      <c r="U243" s="55"/>
      <c r="V243" s="55"/>
      <c r="W243" s="55"/>
      <c r="X243" s="155"/>
      <c r="Y243" s="171"/>
      <c r="Z243" s="165"/>
      <c r="AA243" s="10"/>
      <c r="AB243" s="55"/>
      <c r="AC243" s="55"/>
      <c r="AD243" s="55"/>
      <c r="AE243" s="55"/>
      <c r="AF243" s="55"/>
      <c r="AG243" s="167"/>
      <c r="AH243" s="55"/>
      <c r="AI243" s="55"/>
      <c r="AJ243" s="165"/>
      <c r="AK243" s="55"/>
      <c r="AL243" s="55"/>
      <c r="AM243" s="55"/>
      <c r="AN243" s="55"/>
      <c r="AO243" s="55"/>
      <c r="AP243" s="55"/>
      <c r="AQ243" s="55"/>
      <c r="AR243" s="55"/>
      <c r="AS243" s="165"/>
      <c r="AT243" s="55"/>
      <c r="AU243" s="55"/>
      <c r="AV243" s="55"/>
      <c r="AW243" s="55"/>
      <c r="AX243" s="55"/>
      <c r="AY243" s="55"/>
      <c r="AZ243" s="55"/>
      <c r="BA243" s="55"/>
      <c r="BB243" s="165"/>
      <c r="BC243" s="55"/>
      <c r="BD243" s="55"/>
      <c r="BE243" s="55"/>
      <c r="BF243" s="165"/>
      <c r="BG243" s="55"/>
      <c r="BH243" s="10"/>
      <c r="BI243" s="55"/>
      <c r="BJ243" s="55"/>
      <c r="BK243" s="55"/>
      <c r="BL243" s="55"/>
      <c r="BT243" s="141"/>
      <c r="CN243" s="141"/>
      <c r="DG243" s="141"/>
    </row>
    <row r="244" spans="1:111" s="93" customFormat="1" x14ac:dyDescent="0.15">
      <c r="A244" s="11"/>
      <c r="B244" s="13"/>
      <c r="C244" s="12"/>
      <c r="D244" s="13"/>
      <c r="E244" s="13"/>
      <c r="F244" s="12"/>
      <c r="G244" s="55"/>
      <c r="H244" s="55"/>
      <c r="I244" s="55"/>
      <c r="J244" s="55"/>
      <c r="K244" s="55"/>
      <c r="L244" s="158"/>
      <c r="M244" s="10"/>
      <c r="N244" s="55"/>
      <c r="O244" s="55"/>
      <c r="P244" s="10"/>
      <c r="Q244" s="10"/>
      <c r="R244" s="155"/>
      <c r="S244" s="171"/>
      <c r="T244" s="161"/>
      <c r="U244" s="55"/>
      <c r="V244" s="55"/>
      <c r="W244" s="55"/>
      <c r="X244" s="155"/>
      <c r="Y244" s="171"/>
      <c r="Z244" s="165"/>
      <c r="AA244" s="10"/>
      <c r="AB244" s="55"/>
      <c r="AC244" s="55"/>
      <c r="AD244" s="55"/>
      <c r="AE244" s="55"/>
      <c r="AF244" s="55"/>
      <c r="AG244" s="167"/>
      <c r="AH244" s="55"/>
      <c r="AI244" s="55"/>
      <c r="AJ244" s="165"/>
      <c r="AK244" s="55"/>
      <c r="AL244" s="55"/>
      <c r="AM244" s="55"/>
      <c r="AN244" s="55"/>
      <c r="AO244" s="55"/>
      <c r="AP244" s="55"/>
      <c r="AQ244" s="55"/>
      <c r="AR244" s="55"/>
      <c r="AS244" s="165"/>
      <c r="AT244" s="55"/>
      <c r="AU244" s="55"/>
      <c r="AV244" s="55"/>
      <c r="AW244" s="55"/>
      <c r="AX244" s="55"/>
      <c r="AY244" s="55"/>
      <c r="AZ244" s="55"/>
      <c r="BA244" s="55"/>
      <c r="BB244" s="165"/>
      <c r="BC244" s="55"/>
      <c r="BD244" s="55"/>
      <c r="BE244" s="55"/>
      <c r="BF244" s="165"/>
      <c r="BG244" s="55"/>
      <c r="BH244" s="10"/>
      <c r="BI244" s="55"/>
      <c r="BJ244" s="55"/>
      <c r="BK244" s="55"/>
      <c r="BL244" s="55"/>
      <c r="BT244" s="141"/>
      <c r="CN244" s="141"/>
      <c r="DG244" s="141"/>
    </row>
    <row r="245" spans="1:111" s="93" customFormat="1" x14ac:dyDescent="0.15">
      <c r="A245" s="11"/>
      <c r="B245" s="13"/>
      <c r="C245" s="12"/>
      <c r="D245" s="13"/>
      <c r="E245" s="13"/>
      <c r="F245" s="12"/>
      <c r="G245" s="55"/>
      <c r="H245" s="55"/>
      <c r="I245" s="55"/>
      <c r="J245" s="55"/>
      <c r="K245" s="55"/>
      <c r="L245" s="158"/>
      <c r="M245" s="10"/>
      <c r="N245" s="55"/>
      <c r="O245" s="55"/>
      <c r="P245" s="10"/>
      <c r="Q245" s="10"/>
      <c r="R245" s="155"/>
      <c r="S245" s="171"/>
      <c r="T245" s="161"/>
      <c r="U245" s="55"/>
      <c r="V245" s="55"/>
      <c r="W245" s="55"/>
      <c r="X245" s="155"/>
      <c r="Y245" s="171"/>
      <c r="Z245" s="165"/>
      <c r="AA245" s="10"/>
      <c r="AB245" s="55"/>
      <c r="AC245" s="55"/>
      <c r="AD245" s="55"/>
      <c r="AE245" s="55"/>
      <c r="AF245" s="55"/>
      <c r="AG245" s="167"/>
      <c r="AH245" s="55"/>
      <c r="AI245" s="55"/>
      <c r="AJ245" s="165"/>
      <c r="AK245" s="55"/>
      <c r="AL245" s="55"/>
      <c r="AM245" s="55"/>
      <c r="AN245" s="55"/>
      <c r="AO245" s="55"/>
      <c r="AP245" s="55"/>
      <c r="AQ245" s="55"/>
      <c r="AR245" s="55"/>
      <c r="AS245" s="165"/>
      <c r="AT245" s="55"/>
      <c r="AU245" s="55"/>
      <c r="AV245" s="55"/>
      <c r="AW245" s="55"/>
      <c r="AX245" s="55"/>
      <c r="AY245" s="55"/>
      <c r="AZ245" s="55"/>
      <c r="BA245" s="55"/>
      <c r="BB245" s="165"/>
      <c r="BC245" s="55"/>
      <c r="BD245" s="55"/>
      <c r="BE245" s="55"/>
      <c r="BF245" s="165"/>
      <c r="BG245" s="55"/>
      <c r="BH245" s="10"/>
      <c r="BI245" s="55"/>
      <c r="BJ245" s="55"/>
      <c r="BK245" s="55"/>
      <c r="BL245" s="55"/>
      <c r="BT245" s="141"/>
      <c r="CN245" s="141"/>
      <c r="DG245" s="141"/>
    </row>
    <row r="246" spans="1:111" s="93" customFormat="1" x14ac:dyDescent="0.15">
      <c r="A246" s="11"/>
      <c r="B246" s="13"/>
      <c r="C246" s="12"/>
      <c r="D246" s="13"/>
      <c r="E246" s="13"/>
      <c r="F246" s="12"/>
      <c r="G246" s="55"/>
      <c r="H246" s="55"/>
      <c r="I246" s="55"/>
      <c r="J246" s="55"/>
      <c r="K246" s="55"/>
      <c r="L246" s="158"/>
      <c r="M246" s="10"/>
      <c r="N246" s="55"/>
      <c r="O246" s="55"/>
      <c r="P246" s="10"/>
      <c r="Q246" s="10"/>
      <c r="R246" s="155"/>
      <c r="S246" s="171"/>
      <c r="T246" s="161"/>
      <c r="U246" s="55"/>
      <c r="V246" s="55"/>
      <c r="W246" s="55"/>
      <c r="X246" s="155"/>
      <c r="Y246" s="171"/>
      <c r="Z246" s="165"/>
      <c r="AA246" s="10"/>
      <c r="AB246" s="55"/>
      <c r="AC246" s="55"/>
      <c r="AD246" s="55"/>
      <c r="AE246" s="55"/>
      <c r="AF246" s="55"/>
      <c r="AG246" s="167"/>
      <c r="AH246" s="55"/>
      <c r="AI246" s="55"/>
      <c r="AJ246" s="165"/>
      <c r="AK246" s="55"/>
      <c r="AL246" s="55"/>
      <c r="AM246" s="55"/>
      <c r="AN246" s="55"/>
      <c r="AO246" s="55"/>
      <c r="AP246" s="55"/>
      <c r="AQ246" s="55"/>
      <c r="AR246" s="55"/>
      <c r="AS246" s="165"/>
      <c r="AT246" s="55"/>
      <c r="AU246" s="55"/>
      <c r="AV246" s="55"/>
      <c r="AW246" s="55"/>
      <c r="AX246" s="55"/>
      <c r="AY246" s="55"/>
      <c r="AZ246" s="55"/>
      <c r="BA246" s="55"/>
      <c r="BB246" s="165"/>
      <c r="BC246" s="55"/>
      <c r="BD246" s="55"/>
      <c r="BE246" s="55"/>
      <c r="BF246" s="165"/>
      <c r="BG246" s="55"/>
      <c r="BH246" s="10"/>
      <c r="BI246" s="55"/>
      <c r="BJ246" s="55"/>
      <c r="BK246" s="55"/>
      <c r="BL246" s="55"/>
      <c r="BT246" s="141"/>
      <c r="CN246" s="141"/>
      <c r="DG246" s="141"/>
    </row>
    <row r="247" spans="1:111" s="93" customFormat="1" x14ac:dyDescent="0.15">
      <c r="A247" s="11"/>
      <c r="B247" s="13"/>
      <c r="C247" s="12"/>
      <c r="D247" s="13"/>
      <c r="E247" s="13"/>
      <c r="F247" s="12"/>
      <c r="G247" s="55"/>
      <c r="H247" s="55"/>
      <c r="I247" s="55"/>
      <c r="J247" s="55"/>
      <c r="K247" s="55"/>
      <c r="L247" s="158"/>
      <c r="M247" s="10"/>
      <c r="N247" s="55"/>
      <c r="O247" s="55"/>
      <c r="P247" s="10"/>
      <c r="Q247" s="10"/>
      <c r="R247" s="155"/>
      <c r="S247" s="171"/>
      <c r="T247" s="161"/>
      <c r="U247" s="55"/>
      <c r="V247" s="55"/>
      <c r="W247" s="55"/>
      <c r="X247" s="155"/>
      <c r="Y247" s="171"/>
      <c r="Z247" s="165"/>
      <c r="AA247" s="10"/>
      <c r="AB247" s="55"/>
      <c r="AC247" s="55"/>
      <c r="AD247" s="55"/>
      <c r="AE247" s="55"/>
      <c r="AF247" s="55"/>
      <c r="AG247" s="167"/>
      <c r="AH247" s="55"/>
      <c r="AI247" s="55"/>
      <c r="AJ247" s="165"/>
      <c r="AK247" s="55"/>
      <c r="AL247" s="55"/>
      <c r="AM247" s="55"/>
      <c r="AN247" s="55"/>
      <c r="AO247" s="55"/>
      <c r="AP247" s="55"/>
      <c r="AQ247" s="55"/>
      <c r="AR247" s="55"/>
      <c r="AS247" s="165"/>
      <c r="AT247" s="55"/>
      <c r="AU247" s="55"/>
      <c r="AV247" s="55"/>
      <c r="AW247" s="55"/>
      <c r="AX247" s="55"/>
      <c r="AY247" s="55"/>
      <c r="AZ247" s="55"/>
      <c r="BA247" s="55"/>
      <c r="BB247" s="165"/>
      <c r="BC247" s="55"/>
      <c r="BD247" s="55"/>
      <c r="BE247" s="55"/>
      <c r="BF247" s="165"/>
      <c r="BG247" s="55"/>
      <c r="BH247" s="10"/>
      <c r="BI247" s="55"/>
      <c r="BJ247" s="55"/>
      <c r="BK247" s="55"/>
      <c r="BL247" s="55"/>
      <c r="BT247" s="141"/>
      <c r="CN247" s="141"/>
      <c r="DG247" s="141"/>
    </row>
    <row r="248" spans="1:111" s="93" customFormat="1" x14ac:dyDescent="0.15">
      <c r="A248" s="11"/>
      <c r="B248" s="13"/>
      <c r="C248" s="12"/>
      <c r="D248" s="13"/>
      <c r="E248" s="13"/>
      <c r="F248" s="12"/>
      <c r="G248" s="55"/>
      <c r="H248" s="55"/>
      <c r="I248" s="55"/>
      <c r="J248" s="55"/>
      <c r="K248" s="55"/>
      <c r="L248" s="158"/>
      <c r="M248" s="10"/>
      <c r="N248" s="55"/>
      <c r="O248" s="55"/>
      <c r="P248" s="10"/>
      <c r="Q248" s="10"/>
      <c r="R248" s="155"/>
      <c r="S248" s="171"/>
      <c r="T248" s="161"/>
      <c r="U248" s="55"/>
      <c r="V248" s="55"/>
      <c r="W248" s="55"/>
      <c r="X248" s="155"/>
      <c r="Y248" s="171"/>
      <c r="Z248" s="165"/>
      <c r="AA248" s="10"/>
      <c r="AB248" s="55"/>
      <c r="AC248" s="55"/>
      <c r="AD248" s="55"/>
      <c r="AE248" s="55"/>
      <c r="AF248" s="55"/>
      <c r="AG248" s="167"/>
      <c r="AH248" s="55"/>
      <c r="AI248" s="55"/>
      <c r="AJ248" s="165"/>
      <c r="AK248" s="55"/>
      <c r="AL248" s="55"/>
      <c r="AM248" s="55"/>
      <c r="AN248" s="55"/>
      <c r="AO248" s="55"/>
      <c r="AP248" s="55"/>
      <c r="AQ248" s="55"/>
      <c r="AR248" s="55"/>
      <c r="AS248" s="165"/>
      <c r="AT248" s="55"/>
      <c r="AU248" s="55"/>
      <c r="AV248" s="55"/>
      <c r="AW248" s="55"/>
      <c r="AX248" s="55"/>
      <c r="AY248" s="55"/>
      <c r="AZ248" s="55"/>
      <c r="BA248" s="55"/>
      <c r="BB248" s="165"/>
      <c r="BC248" s="55"/>
      <c r="BD248" s="55"/>
      <c r="BE248" s="55"/>
      <c r="BF248" s="165"/>
      <c r="BG248" s="55"/>
      <c r="BH248" s="10"/>
      <c r="BI248" s="55"/>
      <c r="BJ248" s="55"/>
      <c r="BK248" s="55"/>
      <c r="BL248" s="55"/>
      <c r="BT248" s="141"/>
      <c r="CN248" s="141"/>
      <c r="DG248" s="141"/>
    </row>
    <row r="249" spans="1:111" s="93" customFormat="1" x14ac:dyDescent="0.15">
      <c r="A249" s="11"/>
      <c r="B249" s="13"/>
      <c r="C249" s="12"/>
      <c r="D249" s="13"/>
      <c r="E249" s="13"/>
      <c r="F249" s="12"/>
      <c r="G249" s="55"/>
      <c r="H249" s="55"/>
      <c r="I249" s="55"/>
      <c r="J249" s="55"/>
      <c r="K249" s="55"/>
      <c r="L249" s="158"/>
      <c r="M249" s="10"/>
      <c r="N249" s="55"/>
      <c r="O249" s="55"/>
      <c r="P249" s="10"/>
      <c r="Q249" s="10"/>
      <c r="R249" s="155"/>
      <c r="S249" s="171"/>
      <c r="T249" s="161"/>
      <c r="U249" s="55"/>
      <c r="V249" s="55"/>
      <c r="W249" s="55"/>
      <c r="X249" s="155"/>
      <c r="Y249" s="171"/>
      <c r="Z249" s="165"/>
      <c r="AA249" s="10"/>
      <c r="AB249" s="55"/>
      <c r="AC249" s="55"/>
      <c r="AD249" s="55"/>
      <c r="AE249" s="55"/>
      <c r="AF249" s="55"/>
      <c r="AG249" s="167"/>
      <c r="AH249" s="55"/>
      <c r="AI249" s="55"/>
      <c r="AJ249" s="165"/>
      <c r="AK249" s="55"/>
      <c r="AL249" s="55"/>
      <c r="AM249" s="55"/>
      <c r="AN249" s="55"/>
      <c r="AO249" s="55"/>
      <c r="AP249" s="55"/>
      <c r="AQ249" s="55"/>
      <c r="AR249" s="55"/>
      <c r="AS249" s="165"/>
      <c r="AT249" s="55"/>
      <c r="AU249" s="55"/>
      <c r="AV249" s="55"/>
      <c r="AW249" s="55"/>
      <c r="AX249" s="55"/>
      <c r="AY249" s="55"/>
      <c r="AZ249" s="55"/>
      <c r="BA249" s="55"/>
      <c r="BB249" s="165"/>
      <c r="BC249" s="55"/>
      <c r="BD249" s="55"/>
      <c r="BE249" s="55"/>
      <c r="BF249" s="165"/>
      <c r="BG249" s="55"/>
      <c r="BH249" s="10"/>
      <c r="BI249" s="55"/>
      <c r="BJ249" s="55"/>
      <c r="BK249" s="55"/>
      <c r="BL249" s="55"/>
      <c r="BT249" s="141"/>
      <c r="CN249" s="141"/>
      <c r="DG249" s="141"/>
    </row>
    <row r="250" spans="1:111" s="93" customFormat="1" x14ac:dyDescent="0.15">
      <c r="A250" s="11"/>
      <c r="B250" s="13"/>
      <c r="C250" s="12"/>
      <c r="D250" s="13"/>
      <c r="E250" s="13"/>
      <c r="F250" s="12"/>
      <c r="G250" s="55"/>
      <c r="H250" s="55"/>
      <c r="I250" s="55"/>
      <c r="J250" s="55"/>
      <c r="K250" s="55"/>
      <c r="L250" s="158"/>
      <c r="M250" s="10"/>
      <c r="N250" s="55"/>
      <c r="O250" s="55"/>
      <c r="P250" s="10"/>
      <c r="Q250" s="10"/>
      <c r="R250" s="155"/>
      <c r="S250" s="171"/>
      <c r="T250" s="161"/>
      <c r="U250" s="55"/>
      <c r="V250" s="55"/>
      <c r="W250" s="55"/>
      <c r="X250" s="155"/>
      <c r="Y250" s="171"/>
      <c r="Z250" s="165"/>
      <c r="AA250" s="10"/>
      <c r="AB250" s="55"/>
      <c r="AC250" s="55"/>
      <c r="AD250" s="55"/>
      <c r="AE250" s="55"/>
      <c r="AF250" s="55"/>
      <c r="AG250" s="167"/>
      <c r="AH250" s="55"/>
      <c r="AI250" s="55"/>
      <c r="AJ250" s="165"/>
      <c r="AK250" s="55"/>
      <c r="AL250" s="55"/>
      <c r="AM250" s="55"/>
      <c r="AN250" s="55"/>
      <c r="AO250" s="55"/>
      <c r="AP250" s="55"/>
      <c r="AQ250" s="55"/>
      <c r="AR250" s="55"/>
      <c r="AS250" s="165"/>
      <c r="AT250" s="55"/>
      <c r="AU250" s="55"/>
      <c r="AV250" s="55"/>
      <c r="AW250" s="55"/>
      <c r="AX250" s="55"/>
      <c r="AY250" s="55"/>
      <c r="AZ250" s="55"/>
      <c r="BA250" s="55"/>
      <c r="BB250" s="165"/>
      <c r="BC250" s="55"/>
      <c r="BD250" s="55"/>
      <c r="BE250" s="55"/>
      <c r="BF250" s="165"/>
      <c r="BG250" s="55"/>
      <c r="BH250" s="10"/>
      <c r="BI250" s="55"/>
      <c r="BJ250" s="55"/>
      <c r="BK250" s="55"/>
      <c r="BL250" s="55"/>
      <c r="BT250" s="141"/>
      <c r="CN250" s="141"/>
      <c r="DG250" s="141"/>
    </row>
    <row r="251" spans="1:111" s="93" customFormat="1" x14ac:dyDescent="0.15">
      <c r="A251" s="11"/>
      <c r="B251" s="13"/>
      <c r="C251" s="12"/>
      <c r="D251" s="13"/>
      <c r="E251" s="13"/>
      <c r="F251" s="12"/>
      <c r="G251" s="55"/>
      <c r="H251" s="55"/>
      <c r="I251" s="55"/>
      <c r="J251" s="55"/>
      <c r="K251" s="55"/>
      <c r="L251" s="158"/>
      <c r="M251" s="10"/>
      <c r="N251" s="55"/>
      <c r="O251" s="55"/>
      <c r="P251" s="10"/>
      <c r="Q251" s="10"/>
      <c r="R251" s="155"/>
      <c r="S251" s="171"/>
      <c r="T251" s="161"/>
      <c r="U251" s="55"/>
      <c r="V251" s="55"/>
      <c r="W251" s="55"/>
      <c r="X251" s="155"/>
      <c r="Y251" s="171"/>
      <c r="Z251" s="165"/>
      <c r="AA251" s="10"/>
      <c r="AB251" s="55"/>
      <c r="AC251" s="55"/>
      <c r="AD251" s="55"/>
      <c r="AE251" s="55"/>
      <c r="AF251" s="55"/>
      <c r="AG251" s="167"/>
      <c r="AH251" s="55"/>
      <c r="AI251" s="55"/>
      <c r="AJ251" s="165"/>
      <c r="AK251" s="55"/>
      <c r="AL251" s="55"/>
      <c r="AM251" s="55"/>
      <c r="AN251" s="55"/>
      <c r="AO251" s="55"/>
      <c r="AP251" s="55"/>
      <c r="AQ251" s="55"/>
      <c r="AR251" s="55"/>
      <c r="AS251" s="165"/>
      <c r="AT251" s="55"/>
      <c r="AU251" s="55"/>
      <c r="AV251" s="55"/>
      <c r="AW251" s="55"/>
      <c r="AX251" s="55"/>
      <c r="AY251" s="55"/>
      <c r="AZ251" s="55"/>
      <c r="BA251" s="55"/>
      <c r="BB251" s="165"/>
      <c r="BC251" s="55"/>
      <c r="BD251" s="55"/>
      <c r="BE251" s="55"/>
      <c r="BF251" s="165"/>
      <c r="BG251" s="55"/>
      <c r="BH251" s="10"/>
      <c r="BI251" s="55"/>
      <c r="BJ251" s="55"/>
      <c r="BK251" s="55"/>
      <c r="BL251" s="55"/>
      <c r="BT251" s="141"/>
      <c r="CN251" s="141"/>
      <c r="DG251" s="141"/>
    </row>
    <row r="252" spans="1:111" s="93" customFormat="1" x14ac:dyDescent="0.15">
      <c r="A252" s="11"/>
      <c r="B252" s="13"/>
      <c r="C252" s="12"/>
      <c r="D252" s="13"/>
      <c r="E252" s="13"/>
      <c r="F252" s="12"/>
      <c r="G252" s="55"/>
      <c r="H252" s="55"/>
      <c r="I252" s="55"/>
      <c r="J252" s="55"/>
      <c r="K252" s="55"/>
      <c r="L252" s="158"/>
      <c r="M252" s="10"/>
      <c r="N252" s="55"/>
      <c r="O252" s="55"/>
      <c r="P252" s="10"/>
      <c r="Q252" s="10"/>
      <c r="R252" s="155"/>
      <c r="S252" s="171"/>
      <c r="T252" s="161"/>
      <c r="U252" s="55"/>
      <c r="V252" s="55"/>
      <c r="W252" s="55"/>
      <c r="X252" s="155"/>
      <c r="Y252" s="171"/>
      <c r="Z252" s="165"/>
      <c r="AA252" s="10"/>
      <c r="AB252" s="55"/>
      <c r="AC252" s="55"/>
      <c r="AD252" s="55"/>
      <c r="AE252" s="55"/>
      <c r="AF252" s="55"/>
      <c r="AG252" s="167"/>
      <c r="AH252" s="55"/>
      <c r="AI252" s="55"/>
      <c r="AJ252" s="165"/>
      <c r="AK252" s="55"/>
      <c r="AL252" s="55"/>
      <c r="AM252" s="55"/>
      <c r="AN252" s="55"/>
      <c r="AO252" s="55"/>
      <c r="AP252" s="55"/>
      <c r="AQ252" s="55"/>
      <c r="AR252" s="55"/>
      <c r="AS252" s="165"/>
      <c r="AT252" s="55"/>
      <c r="AU252" s="55"/>
      <c r="AV252" s="55"/>
      <c r="AW252" s="55"/>
      <c r="AX252" s="55"/>
      <c r="AY252" s="55"/>
      <c r="AZ252" s="55"/>
      <c r="BA252" s="55"/>
      <c r="BB252" s="165"/>
      <c r="BC252" s="55"/>
      <c r="BD252" s="55"/>
      <c r="BE252" s="55"/>
      <c r="BF252" s="165"/>
      <c r="BG252" s="55"/>
      <c r="BH252" s="10"/>
      <c r="BI252" s="55"/>
      <c r="BJ252" s="55"/>
      <c r="BK252" s="55"/>
      <c r="BL252" s="55"/>
      <c r="BT252" s="141"/>
      <c r="CN252" s="141"/>
      <c r="DG252" s="141"/>
    </row>
    <row r="253" spans="1:111" s="93" customFormat="1" x14ac:dyDescent="0.15">
      <c r="A253" s="11"/>
      <c r="B253" s="13"/>
      <c r="C253" s="12"/>
      <c r="D253" s="13"/>
      <c r="E253" s="13"/>
      <c r="F253" s="12"/>
      <c r="G253" s="55"/>
      <c r="H253" s="55"/>
      <c r="I253" s="55"/>
      <c r="J253" s="55"/>
      <c r="K253" s="55"/>
      <c r="L253" s="158"/>
      <c r="M253" s="10"/>
      <c r="N253" s="55"/>
      <c r="O253" s="55"/>
      <c r="P253" s="10"/>
      <c r="Q253" s="10"/>
      <c r="R253" s="155"/>
      <c r="S253" s="171"/>
      <c r="T253" s="161"/>
      <c r="U253" s="55"/>
      <c r="V253" s="55"/>
      <c r="W253" s="55"/>
      <c r="X253" s="155"/>
      <c r="Y253" s="171"/>
      <c r="Z253" s="165"/>
      <c r="AA253" s="10"/>
      <c r="AB253" s="55"/>
      <c r="AC253" s="55"/>
      <c r="AD253" s="55"/>
      <c r="AE253" s="55"/>
      <c r="AF253" s="55"/>
      <c r="AG253" s="167"/>
      <c r="AH253" s="55"/>
      <c r="AI253" s="55"/>
      <c r="AJ253" s="165"/>
      <c r="AK253" s="55"/>
      <c r="AL253" s="55"/>
      <c r="AM253" s="55"/>
      <c r="AN253" s="55"/>
      <c r="AO253" s="55"/>
      <c r="AP253" s="55"/>
      <c r="AQ253" s="55"/>
      <c r="AR253" s="55"/>
      <c r="AS253" s="165"/>
      <c r="AT253" s="55"/>
      <c r="AU253" s="55"/>
      <c r="AV253" s="55"/>
      <c r="AW253" s="55"/>
      <c r="AX253" s="55"/>
      <c r="AY253" s="55"/>
      <c r="AZ253" s="55"/>
      <c r="BA253" s="55"/>
      <c r="BB253" s="165"/>
      <c r="BC253" s="55"/>
      <c r="BD253" s="55"/>
      <c r="BE253" s="55"/>
      <c r="BF253" s="165"/>
      <c r="BG253" s="55"/>
      <c r="BH253" s="10"/>
      <c r="BI253" s="55"/>
      <c r="BJ253" s="55"/>
      <c r="BK253" s="55"/>
      <c r="BL253" s="55"/>
      <c r="BT253" s="141"/>
      <c r="CN253" s="141"/>
      <c r="DG253" s="141"/>
    </row>
    <row r="254" spans="1:111" s="93" customFormat="1" x14ac:dyDescent="0.15">
      <c r="A254" s="11"/>
      <c r="B254" s="13"/>
      <c r="C254" s="12"/>
      <c r="D254" s="13"/>
      <c r="E254" s="13"/>
      <c r="F254" s="12"/>
      <c r="G254" s="55"/>
      <c r="H254" s="55"/>
      <c r="I254" s="55"/>
      <c r="J254" s="55"/>
      <c r="K254" s="55"/>
      <c r="L254" s="158"/>
      <c r="M254" s="10"/>
      <c r="N254" s="55"/>
      <c r="O254" s="55"/>
      <c r="P254" s="10"/>
      <c r="Q254" s="10"/>
      <c r="R254" s="155"/>
      <c r="S254" s="171"/>
      <c r="T254" s="161"/>
      <c r="U254" s="55"/>
      <c r="V254" s="55"/>
      <c r="W254" s="55"/>
      <c r="X254" s="155"/>
      <c r="Y254" s="171"/>
      <c r="Z254" s="165"/>
      <c r="AA254" s="10"/>
      <c r="AB254" s="55"/>
      <c r="AC254" s="55"/>
      <c r="AD254" s="55"/>
      <c r="AE254" s="55"/>
      <c r="AF254" s="55"/>
      <c r="AG254" s="167"/>
      <c r="AH254" s="55"/>
      <c r="AI254" s="55"/>
      <c r="AJ254" s="165"/>
      <c r="AK254" s="55"/>
      <c r="AL254" s="55"/>
      <c r="AM254" s="55"/>
      <c r="AN254" s="55"/>
      <c r="AO254" s="55"/>
      <c r="AP254" s="55"/>
      <c r="AQ254" s="55"/>
      <c r="AR254" s="55"/>
      <c r="AS254" s="165"/>
      <c r="AT254" s="55"/>
      <c r="AU254" s="55"/>
      <c r="AV254" s="55"/>
      <c r="AW254" s="55"/>
      <c r="AX254" s="55"/>
      <c r="AY254" s="55"/>
      <c r="AZ254" s="55"/>
      <c r="BA254" s="55"/>
      <c r="BB254" s="165"/>
      <c r="BC254" s="55"/>
      <c r="BD254" s="55"/>
      <c r="BE254" s="55"/>
      <c r="BF254" s="165"/>
      <c r="BG254" s="55"/>
      <c r="BH254" s="10"/>
      <c r="BI254" s="55"/>
      <c r="BJ254" s="55"/>
      <c r="BK254" s="55"/>
      <c r="BL254" s="55"/>
      <c r="BT254" s="141"/>
      <c r="CN254" s="141"/>
      <c r="DG254" s="141"/>
    </row>
    <row r="255" spans="1:111" s="93" customFormat="1" x14ac:dyDescent="0.15">
      <c r="A255" s="11"/>
      <c r="B255" s="13"/>
      <c r="C255" s="12"/>
      <c r="D255" s="13"/>
      <c r="E255" s="13"/>
      <c r="F255" s="12"/>
      <c r="G255" s="55"/>
      <c r="H255" s="55"/>
      <c r="I255" s="55"/>
      <c r="J255" s="55"/>
      <c r="K255" s="55"/>
      <c r="L255" s="158"/>
      <c r="M255" s="10"/>
      <c r="N255" s="55"/>
      <c r="O255" s="55"/>
      <c r="P255" s="10"/>
      <c r="Q255" s="10"/>
      <c r="R255" s="155"/>
      <c r="S255" s="171"/>
      <c r="T255" s="161"/>
      <c r="U255" s="55"/>
      <c r="V255" s="55"/>
      <c r="W255" s="55"/>
      <c r="X255" s="155"/>
      <c r="Y255" s="171"/>
      <c r="Z255" s="165"/>
      <c r="AA255" s="10"/>
      <c r="AB255" s="55"/>
      <c r="AC255" s="55"/>
      <c r="AD255" s="55"/>
      <c r="AE255" s="55"/>
      <c r="AF255" s="55"/>
      <c r="AG255" s="167"/>
      <c r="AH255" s="55"/>
      <c r="AI255" s="55"/>
      <c r="AJ255" s="165"/>
      <c r="AK255" s="55"/>
      <c r="AL255" s="55"/>
      <c r="AM255" s="55"/>
      <c r="AN255" s="55"/>
      <c r="AO255" s="55"/>
      <c r="AP255" s="55"/>
      <c r="AQ255" s="55"/>
      <c r="AR255" s="55"/>
      <c r="AS255" s="165"/>
      <c r="AT255" s="55"/>
      <c r="AU255" s="55"/>
      <c r="AV255" s="55"/>
      <c r="AW255" s="55"/>
      <c r="AX255" s="55"/>
      <c r="AY255" s="55"/>
      <c r="AZ255" s="55"/>
      <c r="BA255" s="55"/>
      <c r="BB255" s="165"/>
      <c r="BC255" s="55"/>
      <c r="BD255" s="55"/>
      <c r="BE255" s="55"/>
      <c r="BF255" s="165"/>
      <c r="BG255" s="55"/>
      <c r="BH255" s="10"/>
      <c r="BI255" s="55"/>
      <c r="BJ255" s="55"/>
      <c r="BK255" s="55"/>
      <c r="BL255" s="55"/>
      <c r="BT255" s="141"/>
      <c r="CN255" s="141"/>
      <c r="DG255" s="141"/>
    </row>
    <row r="256" spans="1:111" s="93" customFormat="1" x14ac:dyDescent="0.15">
      <c r="A256" s="11"/>
      <c r="B256" s="13"/>
      <c r="C256" s="12"/>
      <c r="D256" s="13"/>
      <c r="E256" s="13"/>
      <c r="F256" s="12"/>
      <c r="G256" s="55"/>
      <c r="H256" s="55"/>
      <c r="I256" s="55"/>
      <c r="J256" s="55"/>
      <c r="K256" s="55"/>
      <c r="L256" s="158"/>
      <c r="M256" s="10"/>
      <c r="N256" s="55"/>
      <c r="O256" s="55"/>
      <c r="P256" s="10"/>
      <c r="Q256" s="10"/>
      <c r="R256" s="155"/>
      <c r="S256" s="171"/>
      <c r="T256" s="161"/>
      <c r="U256" s="55"/>
      <c r="V256" s="55"/>
      <c r="W256" s="55"/>
      <c r="X256" s="155"/>
      <c r="Y256" s="171"/>
      <c r="Z256" s="165"/>
      <c r="AA256" s="10"/>
      <c r="AB256" s="55"/>
      <c r="AC256" s="55"/>
      <c r="AD256" s="55"/>
      <c r="AE256" s="55"/>
      <c r="AF256" s="55"/>
      <c r="AG256" s="167"/>
      <c r="AH256" s="55"/>
      <c r="AI256" s="55"/>
      <c r="AJ256" s="165"/>
      <c r="AK256" s="55"/>
      <c r="AL256" s="55"/>
      <c r="AM256" s="55"/>
      <c r="AN256" s="55"/>
      <c r="AO256" s="55"/>
      <c r="AP256" s="55"/>
      <c r="AQ256" s="55"/>
      <c r="AR256" s="55"/>
      <c r="AS256" s="165"/>
      <c r="AT256" s="55"/>
      <c r="AU256" s="55"/>
      <c r="AV256" s="55"/>
      <c r="AW256" s="55"/>
      <c r="AX256" s="55"/>
      <c r="AY256" s="55"/>
      <c r="AZ256" s="55"/>
      <c r="BA256" s="55"/>
      <c r="BB256" s="165"/>
      <c r="BC256" s="55"/>
      <c r="BD256" s="55"/>
      <c r="BE256" s="55"/>
      <c r="BF256" s="165"/>
      <c r="BG256" s="55"/>
      <c r="BH256" s="10"/>
      <c r="BI256" s="55"/>
      <c r="BJ256" s="55"/>
      <c r="BK256" s="55"/>
      <c r="BL256" s="55"/>
      <c r="BT256" s="141"/>
      <c r="CN256" s="141"/>
      <c r="DG256" s="141"/>
    </row>
    <row r="257" spans="1:111" s="93" customFormat="1" x14ac:dyDescent="0.15">
      <c r="A257" s="11"/>
      <c r="B257" s="13"/>
      <c r="C257" s="12"/>
      <c r="D257" s="13"/>
      <c r="E257" s="13"/>
      <c r="F257" s="12"/>
      <c r="G257" s="55"/>
      <c r="H257" s="55"/>
      <c r="I257" s="55"/>
      <c r="J257" s="55"/>
      <c r="K257" s="55"/>
      <c r="L257" s="158"/>
      <c r="M257" s="10"/>
      <c r="N257" s="55"/>
      <c r="O257" s="55"/>
      <c r="P257" s="10"/>
      <c r="Q257" s="10"/>
      <c r="R257" s="155"/>
      <c r="S257" s="171"/>
      <c r="T257" s="161"/>
      <c r="U257" s="55"/>
      <c r="V257" s="55"/>
      <c r="W257" s="55"/>
      <c r="X257" s="155"/>
      <c r="Y257" s="171"/>
      <c r="Z257" s="165"/>
      <c r="AA257" s="10"/>
      <c r="AB257" s="55"/>
      <c r="AC257" s="55"/>
      <c r="AD257" s="55"/>
      <c r="AE257" s="55"/>
      <c r="AF257" s="55"/>
      <c r="AG257" s="167"/>
      <c r="AH257" s="55"/>
      <c r="AI257" s="55"/>
      <c r="AJ257" s="165"/>
      <c r="AK257" s="55"/>
      <c r="AL257" s="55"/>
      <c r="AM257" s="55"/>
      <c r="AN257" s="55"/>
      <c r="AO257" s="55"/>
      <c r="AP257" s="55"/>
      <c r="AQ257" s="55"/>
      <c r="AR257" s="55"/>
      <c r="AS257" s="165"/>
      <c r="AT257" s="55"/>
      <c r="AU257" s="55"/>
      <c r="AV257" s="55"/>
      <c r="AW257" s="55"/>
      <c r="AX257" s="55"/>
      <c r="AY257" s="55"/>
      <c r="AZ257" s="55"/>
      <c r="BA257" s="55"/>
      <c r="BB257" s="165"/>
      <c r="BC257" s="55"/>
      <c r="BD257" s="55"/>
      <c r="BE257" s="55"/>
      <c r="BF257" s="165"/>
      <c r="BG257" s="55"/>
      <c r="BH257" s="10"/>
      <c r="BI257" s="55"/>
      <c r="BJ257" s="55"/>
      <c r="BK257" s="55"/>
      <c r="BL257" s="55"/>
      <c r="BT257" s="141"/>
      <c r="CN257" s="141"/>
      <c r="DG257" s="141"/>
    </row>
    <row r="258" spans="1:111" s="93" customFormat="1" x14ac:dyDescent="0.15">
      <c r="A258" s="11"/>
      <c r="B258" s="13"/>
      <c r="C258" s="12"/>
      <c r="D258" s="13"/>
      <c r="E258" s="13"/>
      <c r="F258" s="12"/>
      <c r="G258" s="55"/>
      <c r="H258" s="55"/>
      <c r="I258" s="55"/>
      <c r="J258" s="55"/>
      <c r="K258" s="55"/>
      <c r="L258" s="158"/>
      <c r="M258" s="10"/>
      <c r="N258" s="55"/>
      <c r="O258" s="55"/>
      <c r="P258" s="10"/>
      <c r="Q258" s="10"/>
      <c r="R258" s="155"/>
      <c r="S258" s="171"/>
      <c r="T258" s="161"/>
      <c r="U258" s="55"/>
      <c r="V258" s="55"/>
      <c r="W258" s="55"/>
      <c r="X258" s="155"/>
      <c r="Y258" s="171"/>
      <c r="Z258" s="165"/>
      <c r="AA258" s="10"/>
      <c r="AB258" s="55"/>
      <c r="AC258" s="55"/>
      <c r="AD258" s="55"/>
      <c r="AE258" s="55"/>
      <c r="AF258" s="55"/>
      <c r="AG258" s="167"/>
      <c r="AH258" s="55"/>
      <c r="AI258" s="55"/>
      <c r="AJ258" s="165"/>
      <c r="AK258" s="55"/>
      <c r="AL258" s="55"/>
      <c r="AM258" s="55"/>
      <c r="AN258" s="55"/>
      <c r="AO258" s="55"/>
      <c r="AP258" s="55"/>
      <c r="AQ258" s="55"/>
      <c r="AR258" s="55"/>
      <c r="AS258" s="165"/>
      <c r="AT258" s="55"/>
      <c r="AU258" s="55"/>
      <c r="AV258" s="55"/>
      <c r="AW258" s="55"/>
      <c r="AX258" s="55"/>
      <c r="AY258" s="55"/>
      <c r="AZ258" s="55"/>
      <c r="BA258" s="55"/>
      <c r="BB258" s="165"/>
      <c r="BC258" s="55"/>
      <c r="BD258" s="55"/>
      <c r="BE258" s="55"/>
      <c r="BF258" s="165"/>
      <c r="BG258" s="55"/>
      <c r="BH258" s="10"/>
      <c r="BI258" s="55"/>
      <c r="BJ258" s="55"/>
      <c r="BK258" s="55"/>
      <c r="BL258" s="55"/>
      <c r="BT258" s="141"/>
      <c r="CN258" s="141"/>
      <c r="DG258" s="141"/>
    </row>
    <row r="259" spans="1:111" s="93" customFormat="1" x14ac:dyDescent="0.15">
      <c r="A259" s="11"/>
      <c r="B259" s="13"/>
      <c r="C259" s="12"/>
      <c r="D259" s="13"/>
      <c r="E259" s="13"/>
      <c r="F259" s="12"/>
      <c r="G259" s="55"/>
      <c r="H259" s="55"/>
      <c r="I259" s="55"/>
      <c r="J259" s="55"/>
      <c r="K259" s="55"/>
      <c r="L259" s="158"/>
      <c r="M259" s="10"/>
      <c r="N259" s="55"/>
      <c r="O259" s="55"/>
      <c r="P259" s="10"/>
      <c r="Q259" s="10"/>
      <c r="R259" s="155"/>
      <c r="S259" s="171"/>
      <c r="T259" s="161"/>
      <c r="U259" s="55"/>
      <c r="V259" s="55"/>
      <c r="W259" s="55"/>
      <c r="X259" s="155"/>
      <c r="Y259" s="171"/>
      <c r="Z259" s="165"/>
      <c r="AA259" s="10"/>
      <c r="AB259" s="55"/>
      <c r="AC259" s="55"/>
      <c r="AD259" s="55"/>
      <c r="AE259" s="55"/>
      <c r="AF259" s="55"/>
      <c r="AG259" s="167"/>
      <c r="AH259" s="55"/>
      <c r="AI259" s="55"/>
      <c r="AJ259" s="165"/>
      <c r="AK259" s="55"/>
      <c r="AL259" s="55"/>
      <c r="AM259" s="55"/>
      <c r="AN259" s="55"/>
      <c r="AO259" s="55"/>
      <c r="AP259" s="55"/>
      <c r="AQ259" s="55"/>
      <c r="AR259" s="55"/>
      <c r="AS259" s="165"/>
      <c r="AT259" s="55"/>
      <c r="AU259" s="55"/>
      <c r="AV259" s="55"/>
      <c r="AW259" s="55"/>
      <c r="AX259" s="55"/>
      <c r="AY259" s="55"/>
      <c r="AZ259" s="55"/>
      <c r="BA259" s="55"/>
      <c r="BB259" s="165"/>
      <c r="BC259" s="55"/>
      <c r="BD259" s="55"/>
      <c r="BE259" s="55"/>
      <c r="BF259" s="165"/>
      <c r="BG259" s="55"/>
      <c r="BH259" s="10"/>
      <c r="BI259" s="55"/>
      <c r="BJ259" s="55"/>
      <c r="BK259" s="55"/>
      <c r="BL259" s="55"/>
      <c r="BT259" s="141"/>
      <c r="CN259" s="141"/>
      <c r="DG259" s="141"/>
    </row>
    <row r="260" spans="1:111" s="93" customFormat="1" x14ac:dyDescent="0.15">
      <c r="A260" s="11"/>
      <c r="B260" s="13"/>
      <c r="C260" s="12"/>
      <c r="D260" s="13"/>
      <c r="E260" s="13"/>
      <c r="F260" s="12"/>
      <c r="G260" s="55"/>
      <c r="H260" s="55"/>
      <c r="I260" s="55"/>
      <c r="J260" s="55"/>
      <c r="K260" s="55"/>
      <c r="L260" s="158"/>
      <c r="M260" s="10"/>
      <c r="N260" s="55"/>
      <c r="O260" s="55"/>
      <c r="P260" s="10"/>
      <c r="Q260" s="10"/>
      <c r="R260" s="155"/>
      <c r="S260" s="171"/>
      <c r="T260" s="161"/>
      <c r="U260" s="55"/>
      <c r="V260" s="55"/>
      <c r="W260" s="55"/>
      <c r="X260" s="155"/>
      <c r="Y260" s="171"/>
      <c r="Z260" s="165"/>
      <c r="AA260" s="10"/>
      <c r="AB260" s="55"/>
      <c r="AC260" s="55"/>
      <c r="AD260" s="55"/>
      <c r="AE260" s="55"/>
      <c r="AF260" s="55"/>
      <c r="AG260" s="167"/>
      <c r="AH260" s="55"/>
      <c r="AI260" s="55"/>
      <c r="AJ260" s="165"/>
      <c r="AK260" s="55"/>
      <c r="AL260" s="55"/>
      <c r="AM260" s="55"/>
      <c r="AN260" s="55"/>
      <c r="AO260" s="55"/>
      <c r="AP260" s="55"/>
      <c r="AQ260" s="55"/>
      <c r="AR260" s="55"/>
      <c r="AS260" s="165"/>
      <c r="AT260" s="55"/>
      <c r="AU260" s="55"/>
      <c r="AV260" s="55"/>
      <c r="AW260" s="55"/>
      <c r="AX260" s="55"/>
      <c r="AY260" s="55"/>
      <c r="AZ260" s="55"/>
      <c r="BA260" s="55"/>
      <c r="BB260" s="165"/>
      <c r="BC260" s="55"/>
      <c r="BD260" s="55"/>
      <c r="BE260" s="55"/>
      <c r="BF260" s="165"/>
      <c r="BG260" s="55"/>
      <c r="BH260" s="10"/>
      <c r="BI260" s="55"/>
      <c r="BJ260" s="55"/>
      <c r="BK260" s="55"/>
      <c r="BL260" s="55"/>
      <c r="BT260" s="141"/>
      <c r="CN260" s="141"/>
      <c r="DG260" s="141"/>
    </row>
    <row r="261" spans="1:111" s="93" customFormat="1" x14ac:dyDescent="0.15">
      <c r="A261" s="11"/>
      <c r="B261" s="13"/>
      <c r="C261" s="12"/>
      <c r="D261" s="13"/>
      <c r="E261" s="13"/>
      <c r="F261" s="12"/>
      <c r="G261" s="55"/>
      <c r="H261" s="55"/>
      <c r="I261" s="55"/>
      <c r="J261" s="55"/>
      <c r="K261" s="55"/>
      <c r="L261" s="158"/>
      <c r="M261" s="10"/>
      <c r="N261" s="55"/>
      <c r="O261" s="55"/>
      <c r="P261" s="10"/>
      <c r="Q261" s="10"/>
      <c r="R261" s="155"/>
      <c r="S261" s="171"/>
      <c r="T261" s="161"/>
      <c r="U261" s="55"/>
      <c r="V261" s="55"/>
      <c r="W261" s="55"/>
      <c r="X261" s="155"/>
      <c r="Y261" s="171"/>
      <c r="Z261" s="165"/>
      <c r="AA261" s="10"/>
      <c r="AB261" s="55"/>
      <c r="AC261" s="55"/>
      <c r="AD261" s="55"/>
      <c r="AE261" s="55"/>
      <c r="AF261" s="55"/>
      <c r="AG261" s="167"/>
      <c r="AH261" s="55"/>
      <c r="AI261" s="55"/>
      <c r="AJ261" s="165"/>
      <c r="AK261" s="55"/>
      <c r="AL261" s="55"/>
      <c r="AM261" s="55"/>
      <c r="AN261" s="55"/>
      <c r="AO261" s="55"/>
      <c r="AP261" s="55"/>
      <c r="AQ261" s="55"/>
      <c r="AR261" s="55"/>
      <c r="AS261" s="165"/>
      <c r="AT261" s="55"/>
      <c r="AU261" s="55"/>
      <c r="AV261" s="55"/>
      <c r="AW261" s="55"/>
      <c r="AX261" s="55"/>
      <c r="AY261" s="55"/>
      <c r="AZ261" s="55"/>
      <c r="BA261" s="55"/>
      <c r="BB261" s="165"/>
      <c r="BC261" s="55"/>
      <c r="BD261" s="55"/>
      <c r="BE261" s="55"/>
      <c r="BF261" s="165"/>
      <c r="BG261" s="55"/>
      <c r="BH261" s="10"/>
      <c r="BI261" s="55"/>
      <c r="BJ261" s="55"/>
      <c r="BK261" s="55"/>
      <c r="BL261" s="55"/>
      <c r="BT261" s="141"/>
      <c r="CN261" s="141"/>
      <c r="DG261" s="141"/>
    </row>
    <row r="262" spans="1:111" s="93" customFormat="1" x14ac:dyDescent="0.15">
      <c r="A262" s="11"/>
      <c r="B262" s="13"/>
      <c r="C262" s="12"/>
      <c r="D262" s="13"/>
      <c r="E262" s="13"/>
      <c r="F262" s="12"/>
      <c r="G262" s="55"/>
      <c r="H262" s="55"/>
      <c r="I262" s="55"/>
      <c r="J262" s="55"/>
      <c r="K262" s="55"/>
      <c r="L262" s="158"/>
      <c r="M262" s="10"/>
      <c r="N262" s="55"/>
      <c r="O262" s="55"/>
      <c r="P262" s="10"/>
      <c r="Q262" s="10"/>
      <c r="R262" s="155"/>
      <c r="S262" s="171"/>
      <c r="T262" s="161"/>
      <c r="U262" s="55"/>
      <c r="V262" s="55"/>
      <c r="W262" s="55"/>
      <c r="X262" s="155"/>
      <c r="Y262" s="171"/>
      <c r="Z262" s="165"/>
      <c r="AA262" s="10"/>
      <c r="AB262" s="55"/>
      <c r="AC262" s="55"/>
      <c r="AD262" s="55"/>
      <c r="AE262" s="55"/>
      <c r="AF262" s="55"/>
      <c r="AG262" s="167"/>
      <c r="AH262" s="55"/>
      <c r="AI262" s="55"/>
      <c r="AJ262" s="165"/>
      <c r="AK262" s="55"/>
      <c r="AL262" s="55"/>
      <c r="AM262" s="55"/>
      <c r="AN262" s="55"/>
      <c r="AO262" s="55"/>
      <c r="AP262" s="55"/>
      <c r="AQ262" s="55"/>
      <c r="AR262" s="55"/>
      <c r="AS262" s="165"/>
      <c r="AT262" s="55"/>
      <c r="AU262" s="55"/>
      <c r="AV262" s="55"/>
      <c r="AW262" s="55"/>
      <c r="AX262" s="55"/>
      <c r="AY262" s="55"/>
      <c r="AZ262" s="55"/>
      <c r="BA262" s="55"/>
      <c r="BB262" s="165"/>
      <c r="BC262" s="55"/>
      <c r="BD262" s="55"/>
      <c r="BE262" s="55"/>
      <c r="BF262" s="165"/>
      <c r="BG262" s="55"/>
      <c r="BH262" s="10"/>
      <c r="BI262" s="55"/>
      <c r="BJ262" s="55"/>
      <c r="BK262" s="55"/>
      <c r="BL262" s="55"/>
      <c r="BT262" s="141"/>
      <c r="CN262" s="141"/>
      <c r="DG262" s="141"/>
    </row>
    <row r="263" spans="1:111" s="93" customFormat="1" x14ac:dyDescent="0.15">
      <c r="A263" s="11"/>
      <c r="B263" s="13"/>
      <c r="C263" s="12"/>
      <c r="D263" s="13"/>
      <c r="E263" s="13"/>
      <c r="F263" s="12"/>
      <c r="G263" s="55"/>
      <c r="H263" s="55"/>
      <c r="I263" s="55"/>
      <c r="J263" s="55"/>
      <c r="K263" s="55"/>
      <c r="L263" s="158"/>
      <c r="M263" s="10"/>
      <c r="N263" s="55"/>
      <c r="O263" s="55"/>
      <c r="P263" s="10"/>
      <c r="Q263" s="10"/>
      <c r="R263" s="155"/>
      <c r="S263" s="171"/>
      <c r="T263" s="161"/>
      <c r="U263" s="55"/>
      <c r="V263" s="55"/>
      <c r="W263" s="55"/>
      <c r="X263" s="155"/>
      <c r="Y263" s="171"/>
      <c r="Z263" s="165"/>
      <c r="AA263" s="10"/>
      <c r="AB263" s="55"/>
      <c r="AC263" s="55"/>
      <c r="AD263" s="55"/>
      <c r="AE263" s="55"/>
      <c r="AF263" s="55"/>
      <c r="AG263" s="167"/>
      <c r="AH263" s="55"/>
      <c r="AI263" s="55"/>
      <c r="AJ263" s="165"/>
      <c r="AK263" s="55"/>
      <c r="AL263" s="55"/>
      <c r="AM263" s="55"/>
      <c r="AN263" s="55"/>
      <c r="AO263" s="55"/>
      <c r="AP263" s="55"/>
      <c r="AQ263" s="55"/>
      <c r="AR263" s="55"/>
      <c r="AS263" s="165"/>
      <c r="AT263" s="55"/>
      <c r="AU263" s="55"/>
      <c r="AV263" s="55"/>
      <c r="AW263" s="55"/>
      <c r="AX263" s="55"/>
      <c r="AY263" s="55"/>
      <c r="AZ263" s="55"/>
      <c r="BA263" s="55"/>
      <c r="BB263" s="165"/>
      <c r="BC263" s="55"/>
      <c r="BD263" s="55"/>
      <c r="BE263" s="55"/>
      <c r="BF263" s="165"/>
      <c r="BG263" s="55"/>
      <c r="BH263" s="10"/>
      <c r="BI263" s="55"/>
      <c r="BJ263" s="55"/>
      <c r="BK263" s="55"/>
      <c r="BL263" s="55"/>
      <c r="BT263" s="141"/>
      <c r="CN263" s="141"/>
      <c r="DG263" s="141"/>
    </row>
    <row r="264" spans="1:111" s="93" customFormat="1" x14ac:dyDescent="0.15">
      <c r="A264" s="11"/>
      <c r="B264" s="13"/>
      <c r="C264" s="12"/>
      <c r="D264" s="13"/>
      <c r="E264" s="13"/>
      <c r="F264" s="12"/>
      <c r="G264" s="55"/>
      <c r="H264" s="55"/>
      <c r="I264" s="55"/>
      <c r="J264" s="55"/>
      <c r="K264" s="55"/>
      <c r="L264" s="158"/>
      <c r="M264" s="10"/>
      <c r="N264" s="55"/>
      <c r="O264" s="55"/>
      <c r="P264" s="10"/>
      <c r="Q264" s="10"/>
      <c r="R264" s="155"/>
      <c r="S264" s="171"/>
      <c r="T264" s="161"/>
      <c r="U264" s="55"/>
      <c r="V264" s="55"/>
      <c r="W264" s="55"/>
      <c r="X264" s="155"/>
      <c r="Y264" s="171"/>
      <c r="Z264" s="165"/>
      <c r="AA264" s="10"/>
      <c r="AB264" s="55"/>
      <c r="AC264" s="55"/>
      <c r="AD264" s="55"/>
      <c r="AE264" s="55"/>
      <c r="AF264" s="55"/>
      <c r="AG264" s="167"/>
      <c r="AH264" s="55"/>
      <c r="AI264" s="55"/>
      <c r="AJ264" s="165"/>
      <c r="AK264" s="55"/>
      <c r="AL264" s="55"/>
      <c r="AM264" s="55"/>
      <c r="AN264" s="55"/>
      <c r="AO264" s="55"/>
      <c r="AP264" s="55"/>
      <c r="AQ264" s="55"/>
      <c r="AR264" s="55"/>
      <c r="AS264" s="165"/>
      <c r="AT264" s="55"/>
      <c r="AU264" s="55"/>
      <c r="AV264" s="55"/>
      <c r="AW264" s="55"/>
      <c r="AX264" s="55"/>
      <c r="AY264" s="55"/>
      <c r="AZ264" s="55"/>
      <c r="BA264" s="55"/>
      <c r="BB264" s="165"/>
      <c r="BC264" s="55"/>
      <c r="BD264" s="55"/>
      <c r="BE264" s="55"/>
      <c r="BF264" s="165"/>
      <c r="BG264" s="55"/>
      <c r="BH264" s="10"/>
      <c r="BI264" s="55"/>
      <c r="BJ264" s="55"/>
      <c r="BK264" s="55"/>
      <c r="BL264" s="55"/>
      <c r="BT264" s="141"/>
      <c r="CN264" s="141"/>
      <c r="DG264" s="141"/>
    </row>
    <row r="265" spans="1:111" s="93" customFormat="1" x14ac:dyDescent="0.15">
      <c r="A265" s="11"/>
      <c r="B265" s="13"/>
      <c r="C265" s="12"/>
      <c r="D265" s="13"/>
      <c r="E265" s="13"/>
      <c r="F265" s="12"/>
      <c r="G265" s="55"/>
      <c r="H265" s="55"/>
      <c r="I265" s="55"/>
      <c r="J265" s="55"/>
      <c r="K265" s="55"/>
      <c r="L265" s="158"/>
      <c r="M265" s="10"/>
      <c r="N265" s="55"/>
      <c r="O265" s="55"/>
      <c r="P265" s="10"/>
      <c r="Q265" s="10"/>
      <c r="R265" s="155"/>
      <c r="S265" s="171"/>
      <c r="T265" s="161"/>
      <c r="U265" s="55"/>
      <c r="V265" s="55"/>
      <c r="W265" s="55"/>
      <c r="X265" s="155"/>
      <c r="Y265" s="171"/>
      <c r="Z265" s="165"/>
      <c r="AA265" s="10"/>
      <c r="AB265" s="55"/>
      <c r="AC265" s="55"/>
      <c r="AD265" s="55"/>
      <c r="AE265" s="55"/>
      <c r="AF265" s="55"/>
      <c r="AG265" s="167"/>
      <c r="AH265" s="55"/>
      <c r="AI265" s="55"/>
      <c r="AJ265" s="165"/>
      <c r="AK265" s="55"/>
      <c r="AL265" s="55"/>
      <c r="AM265" s="55"/>
      <c r="AN265" s="55"/>
      <c r="AO265" s="55"/>
      <c r="AP265" s="55"/>
      <c r="AQ265" s="55"/>
      <c r="AR265" s="55"/>
      <c r="AS265" s="165"/>
      <c r="AT265" s="55"/>
      <c r="AU265" s="55"/>
      <c r="AV265" s="55"/>
      <c r="AW265" s="55"/>
      <c r="AX265" s="55"/>
      <c r="AY265" s="55"/>
      <c r="AZ265" s="55"/>
      <c r="BA265" s="55"/>
      <c r="BB265" s="165"/>
      <c r="BC265" s="55"/>
      <c r="BD265" s="55"/>
      <c r="BE265" s="55"/>
      <c r="BF265" s="165"/>
      <c r="BG265" s="55"/>
      <c r="BH265" s="10"/>
      <c r="BI265" s="55"/>
      <c r="BJ265" s="55"/>
      <c r="BK265" s="55"/>
      <c r="BL265" s="55"/>
      <c r="BT265" s="141"/>
      <c r="CN265" s="141"/>
      <c r="DG265" s="141"/>
    </row>
    <row r="266" spans="1:111" s="93" customFormat="1" x14ac:dyDescent="0.15">
      <c r="A266" s="11"/>
      <c r="B266" s="13"/>
      <c r="C266" s="12"/>
      <c r="D266" s="13"/>
      <c r="E266" s="13"/>
      <c r="F266" s="12"/>
      <c r="G266" s="55"/>
      <c r="H266" s="55"/>
      <c r="I266" s="55"/>
      <c r="J266" s="55"/>
      <c r="K266" s="55"/>
      <c r="L266" s="158"/>
      <c r="M266" s="10"/>
      <c r="N266" s="55"/>
      <c r="O266" s="55"/>
      <c r="P266" s="10"/>
      <c r="Q266" s="10"/>
      <c r="R266" s="155"/>
      <c r="S266" s="171"/>
      <c r="T266" s="161"/>
      <c r="U266" s="55"/>
      <c r="V266" s="55"/>
      <c r="W266" s="55"/>
      <c r="X266" s="155"/>
      <c r="Y266" s="171"/>
      <c r="Z266" s="165"/>
      <c r="AA266" s="10"/>
      <c r="AB266" s="55"/>
      <c r="AC266" s="55"/>
      <c r="AD266" s="55"/>
      <c r="AE266" s="55"/>
      <c r="AF266" s="55"/>
      <c r="AG266" s="167"/>
      <c r="AH266" s="55"/>
      <c r="AI266" s="55"/>
      <c r="AJ266" s="165"/>
      <c r="AK266" s="55"/>
      <c r="AL266" s="55"/>
      <c r="AM266" s="55"/>
      <c r="AN266" s="55"/>
      <c r="AO266" s="55"/>
      <c r="AP266" s="55"/>
      <c r="AQ266" s="55"/>
      <c r="AR266" s="55"/>
      <c r="AS266" s="165"/>
      <c r="AT266" s="55"/>
      <c r="AU266" s="55"/>
      <c r="AV266" s="55"/>
      <c r="AW266" s="55"/>
      <c r="AX266" s="55"/>
      <c r="AY266" s="55"/>
      <c r="AZ266" s="55"/>
      <c r="BA266" s="55"/>
      <c r="BB266" s="165"/>
      <c r="BC266" s="55"/>
      <c r="BD266" s="55"/>
      <c r="BE266" s="55"/>
      <c r="BF266" s="165"/>
      <c r="BG266" s="55"/>
      <c r="BH266" s="10"/>
      <c r="BI266" s="55"/>
      <c r="BJ266" s="55"/>
      <c r="BK266" s="55"/>
      <c r="BL266" s="55"/>
      <c r="BT266" s="141"/>
      <c r="CN266" s="141"/>
      <c r="DG266" s="141"/>
    </row>
    <row r="267" spans="1:111" s="93" customFormat="1" x14ac:dyDescent="0.15">
      <c r="A267" s="11"/>
      <c r="B267" s="13"/>
      <c r="C267" s="12"/>
      <c r="D267" s="13"/>
      <c r="E267" s="13"/>
      <c r="F267" s="12"/>
      <c r="G267" s="55"/>
      <c r="H267" s="55"/>
      <c r="I267" s="55"/>
      <c r="J267" s="55"/>
      <c r="K267" s="55"/>
      <c r="L267" s="158"/>
      <c r="M267" s="10"/>
      <c r="N267" s="55"/>
      <c r="O267" s="55"/>
      <c r="P267" s="10"/>
      <c r="Q267" s="10"/>
      <c r="R267" s="155"/>
      <c r="S267" s="171"/>
      <c r="T267" s="161"/>
      <c r="U267" s="55"/>
      <c r="V267" s="55"/>
      <c r="W267" s="55"/>
      <c r="X267" s="155"/>
      <c r="Y267" s="171"/>
      <c r="Z267" s="165"/>
      <c r="AA267" s="10"/>
      <c r="AB267" s="55"/>
      <c r="AC267" s="55"/>
      <c r="AD267" s="55"/>
      <c r="AE267" s="55"/>
      <c r="AF267" s="55"/>
      <c r="AG267" s="167"/>
      <c r="AH267" s="55"/>
      <c r="AI267" s="55"/>
      <c r="AJ267" s="165"/>
      <c r="AK267" s="55"/>
      <c r="AL267" s="55"/>
      <c r="AM267" s="55"/>
      <c r="AN267" s="55"/>
      <c r="AO267" s="55"/>
      <c r="AP267" s="55"/>
      <c r="AQ267" s="55"/>
      <c r="AR267" s="55"/>
      <c r="AS267" s="165"/>
      <c r="AT267" s="55"/>
      <c r="AU267" s="55"/>
      <c r="AV267" s="55"/>
      <c r="AW267" s="55"/>
      <c r="AX267" s="55"/>
      <c r="AY267" s="55"/>
      <c r="AZ267" s="55"/>
      <c r="BA267" s="55"/>
      <c r="BB267" s="165"/>
      <c r="BC267" s="55"/>
      <c r="BD267" s="55"/>
      <c r="BE267" s="55"/>
      <c r="BF267" s="165"/>
      <c r="BG267" s="55"/>
      <c r="BH267" s="10"/>
      <c r="BI267" s="55"/>
      <c r="BJ267" s="55"/>
      <c r="BK267" s="55"/>
      <c r="BL267" s="55"/>
      <c r="BT267" s="141"/>
      <c r="CN267" s="141"/>
      <c r="DG267" s="141"/>
    </row>
    <row r="268" spans="1:111" s="93" customFormat="1" x14ac:dyDescent="0.15">
      <c r="A268" s="11"/>
      <c r="B268" s="13"/>
      <c r="C268" s="12"/>
      <c r="D268" s="13"/>
      <c r="E268" s="13"/>
      <c r="F268" s="12"/>
      <c r="G268" s="55"/>
      <c r="H268" s="55"/>
      <c r="I268" s="55"/>
      <c r="J268" s="55"/>
      <c r="K268" s="55"/>
      <c r="L268" s="158"/>
      <c r="M268" s="10"/>
      <c r="N268" s="55"/>
      <c r="O268" s="55"/>
      <c r="P268" s="10"/>
      <c r="Q268" s="10"/>
      <c r="R268" s="155"/>
      <c r="S268" s="171"/>
      <c r="T268" s="161"/>
      <c r="U268" s="55"/>
      <c r="V268" s="55"/>
      <c r="W268" s="55"/>
      <c r="X268" s="155"/>
      <c r="Y268" s="171"/>
      <c r="Z268" s="165"/>
      <c r="AA268" s="10"/>
      <c r="AB268" s="55"/>
      <c r="AC268" s="55"/>
      <c r="AD268" s="55"/>
      <c r="AE268" s="55"/>
      <c r="AF268" s="55"/>
      <c r="AG268" s="167"/>
      <c r="AH268" s="55"/>
      <c r="AI268" s="55"/>
      <c r="AJ268" s="165"/>
      <c r="AK268" s="55"/>
      <c r="AL268" s="55"/>
      <c r="AM268" s="55"/>
      <c r="AN268" s="55"/>
      <c r="AO268" s="55"/>
      <c r="AP268" s="55"/>
      <c r="AQ268" s="55"/>
      <c r="AR268" s="55"/>
      <c r="AS268" s="165"/>
      <c r="AT268" s="55"/>
      <c r="AU268" s="55"/>
      <c r="AV268" s="55"/>
      <c r="AW268" s="55"/>
      <c r="AX268" s="55"/>
      <c r="AY268" s="55"/>
      <c r="AZ268" s="55"/>
      <c r="BA268" s="55"/>
      <c r="BB268" s="165"/>
      <c r="BC268" s="55"/>
      <c r="BD268" s="55"/>
      <c r="BE268" s="55"/>
      <c r="BF268" s="165"/>
      <c r="BG268" s="55"/>
      <c r="BH268" s="10"/>
      <c r="BI268" s="55"/>
      <c r="BJ268" s="55"/>
      <c r="BK268" s="55"/>
      <c r="BL268" s="55"/>
      <c r="BT268" s="141"/>
      <c r="CN268" s="141"/>
      <c r="DG268" s="141"/>
    </row>
    <row r="269" spans="1:111" s="93" customFormat="1" x14ac:dyDescent="0.15">
      <c r="A269" s="11"/>
      <c r="B269" s="13"/>
      <c r="C269" s="12"/>
      <c r="D269" s="13"/>
      <c r="E269" s="13"/>
      <c r="F269" s="12"/>
      <c r="G269" s="55"/>
      <c r="H269" s="55"/>
      <c r="I269" s="55"/>
      <c r="J269" s="55"/>
      <c r="K269" s="55"/>
      <c r="L269" s="158"/>
      <c r="M269" s="10"/>
      <c r="N269" s="55"/>
      <c r="O269" s="55"/>
      <c r="P269" s="10"/>
      <c r="Q269" s="10"/>
      <c r="R269" s="155"/>
      <c r="S269" s="171"/>
      <c r="T269" s="161"/>
      <c r="U269" s="55"/>
      <c r="V269" s="55"/>
      <c r="W269" s="55"/>
      <c r="X269" s="155"/>
      <c r="Y269" s="171"/>
      <c r="Z269" s="165"/>
      <c r="AA269" s="10"/>
      <c r="AB269" s="55"/>
      <c r="AC269" s="55"/>
      <c r="AD269" s="55"/>
      <c r="AE269" s="55"/>
      <c r="AF269" s="55"/>
      <c r="AG269" s="167"/>
      <c r="AH269" s="55"/>
      <c r="AI269" s="55"/>
      <c r="AJ269" s="165"/>
      <c r="AK269" s="55"/>
      <c r="AL269" s="55"/>
      <c r="AM269" s="55"/>
      <c r="AN269" s="55"/>
      <c r="AO269" s="55"/>
      <c r="AP269" s="55"/>
      <c r="AQ269" s="55"/>
      <c r="AR269" s="55"/>
      <c r="AS269" s="165"/>
      <c r="AT269" s="55"/>
      <c r="AU269" s="55"/>
      <c r="AV269" s="55"/>
      <c r="AW269" s="55"/>
      <c r="AX269" s="55"/>
      <c r="AY269" s="55"/>
      <c r="AZ269" s="55"/>
      <c r="BA269" s="55"/>
      <c r="BB269" s="165"/>
      <c r="BC269" s="55"/>
      <c r="BD269" s="55"/>
      <c r="BE269" s="55"/>
      <c r="BF269" s="165"/>
      <c r="BG269" s="55"/>
      <c r="BH269" s="10"/>
      <c r="BI269" s="55"/>
      <c r="BJ269" s="55"/>
      <c r="BK269" s="55"/>
      <c r="BL269" s="55"/>
      <c r="BT269" s="141"/>
      <c r="CN269" s="141"/>
      <c r="DG269" s="141"/>
    </row>
    <row r="270" spans="1:111" s="93" customFormat="1" x14ac:dyDescent="0.15">
      <c r="A270" s="11"/>
      <c r="B270" s="13"/>
      <c r="C270" s="12"/>
      <c r="D270" s="13"/>
      <c r="E270" s="13"/>
      <c r="F270" s="12"/>
      <c r="G270" s="55"/>
      <c r="H270" s="55"/>
      <c r="I270" s="55"/>
      <c r="J270" s="55"/>
      <c r="K270" s="55"/>
      <c r="L270" s="158"/>
      <c r="M270" s="10"/>
      <c r="N270" s="55"/>
      <c r="O270" s="55"/>
      <c r="P270" s="10"/>
      <c r="Q270" s="10"/>
      <c r="R270" s="155"/>
      <c r="S270" s="171"/>
      <c r="T270" s="161"/>
      <c r="U270" s="55"/>
      <c r="V270" s="55"/>
      <c r="W270" s="55"/>
      <c r="X270" s="155"/>
      <c r="Y270" s="171"/>
      <c r="Z270" s="165"/>
      <c r="AA270" s="10"/>
      <c r="AB270" s="55"/>
      <c r="AC270" s="55"/>
      <c r="AD270" s="55"/>
      <c r="AE270" s="55"/>
      <c r="AF270" s="55"/>
      <c r="AG270" s="167"/>
      <c r="AH270" s="55"/>
      <c r="AI270" s="55"/>
      <c r="AJ270" s="165"/>
      <c r="AK270" s="55"/>
      <c r="AL270" s="55"/>
      <c r="AM270" s="55"/>
      <c r="AN270" s="55"/>
      <c r="AO270" s="55"/>
      <c r="AP270" s="55"/>
      <c r="AQ270" s="55"/>
      <c r="AR270" s="55"/>
      <c r="AS270" s="165"/>
      <c r="AT270" s="55"/>
      <c r="AU270" s="55"/>
      <c r="AV270" s="55"/>
      <c r="AW270" s="55"/>
      <c r="AX270" s="55"/>
      <c r="AY270" s="55"/>
      <c r="AZ270" s="55"/>
      <c r="BA270" s="55"/>
      <c r="BB270" s="165"/>
      <c r="BC270" s="55"/>
      <c r="BD270" s="55"/>
      <c r="BE270" s="55"/>
      <c r="BF270" s="165"/>
      <c r="BG270" s="55"/>
      <c r="BH270" s="10"/>
      <c r="BI270" s="55"/>
      <c r="BJ270" s="55"/>
      <c r="BK270" s="55"/>
      <c r="BL270" s="55"/>
      <c r="BT270" s="141"/>
      <c r="CN270" s="141"/>
      <c r="DG270" s="141"/>
    </row>
    <row r="271" spans="1:111" s="93" customFormat="1" x14ac:dyDescent="0.15">
      <c r="A271" s="11"/>
      <c r="B271" s="13"/>
      <c r="C271" s="12"/>
      <c r="D271" s="13"/>
      <c r="E271" s="13"/>
      <c r="F271" s="12"/>
      <c r="G271" s="55"/>
      <c r="H271" s="55"/>
      <c r="I271" s="55"/>
      <c r="J271" s="55"/>
      <c r="K271" s="55"/>
      <c r="L271" s="158"/>
      <c r="M271" s="10"/>
      <c r="N271" s="55"/>
      <c r="O271" s="55"/>
      <c r="P271" s="10"/>
      <c r="Q271" s="10"/>
      <c r="R271" s="155"/>
      <c r="S271" s="171"/>
      <c r="T271" s="161"/>
      <c r="U271" s="55"/>
      <c r="V271" s="55"/>
      <c r="W271" s="55"/>
      <c r="X271" s="155"/>
      <c r="Y271" s="171"/>
      <c r="Z271" s="165"/>
      <c r="AA271" s="10"/>
      <c r="AB271" s="55"/>
      <c r="AC271" s="55"/>
      <c r="AD271" s="55"/>
      <c r="AE271" s="55"/>
      <c r="AF271" s="55"/>
      <c r="AG271" s="167"/>
      <c r="AH271" s="55"/>
      <c r="AI271" s="55"/>
      <c r="AJ271" s="165"/>
      <c r="AK271" s="55"/>
      <c r="AL271" s="55"/>
      <c r="AM271" s="55"/>
      <c r="AN271" s="55"/>
      <c r="AO271" s="55"/>
      <c r="AP271" s="55"/>
      <c r="AQ271" s="55"/>
      <c r="AR271" s="55"/>
      <c r="AS271" s="165"/>
      <c r="AT271" s="55"/>
      <c r="AU271" s="55"/>
      <c r="AV271" s="55"/>
      <c r="AW271" s="55"/>
      <c r="AX271" s="55"/>
      <c r="AY271" s="55"/>
      <c r="AZ271" s="55"/>
      <c r="BA271" s="55"/>
      <c r="BB271" s="165"/>
      <c r="BC271" s="55"/>
      <c r="BD271" s="55"/>
      <c r="BE271" s="55"/>
      <c r="BF271" s="165"/>
      <c r="BG271" s="55"/>
      <c r="BH271" s="10"/>
      <c r="BI271" s="55"/>
      <c r="BJ271" s="55"/>
      <c r="BK271" s="55"/>
      <c r="BL271" s="55"/>
      <c r="BT271" s="141"/>
      <c r="CN271" s="141"/>
      <c r="DG271" s="141"/>
    </row>
    <row r="272" spans="1:111" s="93" customFormat="1" x14ac:dyDescent="0.15">
      <c r="A272" s="11"/>
      <c r="B272" s="13"/>
      <c r="C272" s="12"/>
      <c r="D272" s="13"/>
      <c r="E272" s="13"/>
      <c r="F272" s="12"/>
      <c r="G272" s="55"/>
      <c r="H272" s="55"/>
      <c r="I272" s="55"/>
      <c r="J272" s="55"/>
      <c r="K272" s="55"/>
      <c r="L272" s="158"/>
      <c r="M272" s="10"/>
      <c r="N272" s="55"/>
      <c r="O272" s="55"/>
      <c r="P272" s="10"/>
      <c r="Q272" s="10"/>
      <c r="R272" s="155"/>
      <c r="S272" s="171"/>
      <c r="T272" s="161"/>
      <c r="U272" s="55"/>
      <c r="V272" s="55"/>
      <c r="W272" s="55"/>
      <c r="X272" s="155"/>
      <c r="Y272" s="171"/>
      <c r="Z272" s="165"/>
      <c r="AA272" s="10"/>
      <c r="AB272" s="55"/>
      <c r="AC272" s="55"/>
      <c r="AD272" s="55"/>
      <c r="AE272" s="55"/>
      <c r="AF272" s="55"/>
      <c r="AG272" s="167"/>
      <c r="AH272" s="55"/>
      <c r="AI272" s="55"/>
      <c r="AJ272" s="165"/>
      <c r="AK272" s="55"/>
      <c r="AL272" s="55"/>
      <c r="AM272" s="55"/>
      <c r="AN272" s="55"/>
      <c r="AO272" s="55"/>
      <c r="AP272" s="55"/>
      <c r="AQ272" s="55"/>
      <c r="AR272" s="55"/>
      <c r="AS272" s="165"/>
      <c r="AT272" s="55"/>
      <c r="AU272" s="55"/>
      <c r="AV272" s="55"/>
      <c r="AW272" s="55"/>
      <c r="AX272" s="55"/>
      <c r="AY272" s="55"/>
      <c r="AZ272" s="55"/>
      <c r="BA272" s="55"/>
      <c r="BB272" s="165"/>
      <c r="BC272" s="55"/>
      <c r="BD272" s="55"/>
      <c r="BE272" s="55"/>
      <c r="BF272" s="165"/>
      <c r="BG272" s="55"/>
      <c r="BH272" s="10"/>
      <c r="BI272" s="55"/>
      <c r="BJ272" s="55"/>
      <c r="BK272" s="55"/>
      <c r="BL272" s="55"/>
      <c r="BT272" s="141"/>
      <c r="CN272" s="141"/>
      <c r="DG272" s="141"/>
    </row>
    <row r="273" spans="1:111" s="93" customFormat="1" x14ac:dyDescent="0.15">
      <c r="A273" s="11"/>
      <c r="B273" s="13"/>
      <c r="C273" s="12"/>
      <c r="D273" s="13"/>
      <c r="E273" s="13"/>
      <c r="F273" s="12"/>
      <c r="G273" s="55"/>
      <c r="H273" s="55"/>
      <c r="I273" s="55"/>
      <c r="J273" s="55"/>
      <c r="K273" s="55"/>
      <c r="L273" s="158"/>
      <c r="M273" s="10"/>
      <c r="N273" s="55"/>
      <c r="O273" s="55"/>
      <c r="P273" s="10"/>
      <c r="Q273" s="10"/>
      <c r="R273" s="155"/>
      <c r="S273" s="171"/>
      <c r="T273" s="161"/>
      <c r="U273" s="55"/>
      <c r="V273" s="55"/>
      <c r="W273" s="55"/>
      <c r="X273" s="155"/>
      <c r="Y273" s="171"/>
      <c r="Z273" s="165"/>
      <c r="AA273" s="10"/>
      <c r="AB273" s="55"/>
      <c r="AC273" s="55"/>
      <c r="AD273" s="55"/>
      <c r="AE273" s="55"/>
      <c r="AF273" s="55"/>
      <c r="AG273" s="167"/>
      <c r="AH273" s="55"/>
      <c r="AI273" s="55"/>
      <c r="AJ273" s="165"/>
      <c r="AK273" s="55"/>
      <c r="AL273" s="55"/>
      <c r="AM273" s="55"/>
      <c r="AN273" s="55"/>
      <c r="AO273" s="55"/>
      <c r="AP273" s="55"/>
      <c r="AQ273" s="55"/>
      <c r="AR273" s="55"/>
      <c r="AS273" s="165"/>
      <c r="AT273" s="55"/>
      <c r="AU273" s="55"/>
      <c r="AV273" s="55"/>
      <c r="AW273" s="55"/>
      <c r="AX273" s="55"/>
      <c r="AY273" s="55"/>
      <c r="AZ273" s="55"/>
      <c r="BA273" s="55"/>
      <c r="BB273" s="165"/>
      <c r="BC273" s="55"/>
      <c r="BD273" s="55"/>
      <c r="BE273" s="55"/>
      <c r="BF273" s="165"/>
      <c r="BG273" s="55"/>
      <c r="BH273" s="10"/>
      <c r="BI273" s="55"/>
      <c r="BJ273" s="55"/>
      <c r="BK273" s="55"/>
      <c r="BL273" s="55"/>
      <c r="BT273" s="141"/>
      <c r="CN273" s="141"/>
      <c r="DG273" s="141"/>
    </row>
    <row r="274" spans="1:111" s="93" customFormat="1" x14ac:dyDescent="0.15">
      <c r="A274" s="11"/>
      <c r="B274" s="13"/>
      <c r="C274" s="12"/>
      <c r="D274" s="13"/>
      <c r="E274" s="13"/>
      <c r="F274" s="12"/>
      <c r="G274" s="55"/>
      <c r="H274" s="55"/>
      <c r="I274" s="55"/>
      <c r="J274" s="55"/>
      <c r="K274" s="55"/>
      <c r="L274" s="158"/>
      <c r="M274" s="10"/>
      <c r="N274" s="55"/>
      <c r="O274" s="55"/>
      <c r="P274" s="10"/>
      <c r="Q274" s="10"/>
      <c r="R274" s="155"/>
      <c r="S274" s="171"/>
      <c r="T274" s="161"/>
      <c r="U274" s="55"/>
      <c r="V274" s="55"/>
      <c r="W274" s="55"/>
      <c r="X274" s="155"/>
      <c r="Y274" s="171"/>
      <c r="Z274" s="165"/>
      <c r="AA274" s="10"/>
      <c r="AB274" s="55"/>
      <c r="AC274" s="55"/>
      <c r="AD274" s="55"/>
      <c r="AE274" s="55"/>
      <c r="AF274" s="55"/>
      <c r="AG274" s="167"/>
      <c r="AH274" s="55"/>
      <c r="AI274" s="55"/>
      <c r="AJ274" s="165"/>
      <c r="AK274" s="55"/>
      <c r="AL274" s="55"/>
      <c r="AM274" s="55"/>
      <c r="AN274" s="55"/>
      <c r="AO274" s="55"/>
      <c r="AP274" s="55"/>
      <c r="AQ274" s="55"/>
      <c r="AR274" s="55"/>
      <c r="AS274" s="165"/>
      <c r="AT274" s="55"/>
      <c r="AU274" s="55"/>
      <c r="AV274" s="55"/>
      <c r="AW274" s="55"/>
      <c r="AX274" s="55"/>
      <c r="AY274" s="55"/>
      <c r="AZ274" s="55"/>
      <c r="BA274" s="55"/>
      <c r="BB274" s="165"/>
      <c r="BC274" s="55"/>
      <c r="BD274" s="55"/>
      <c r="BE274" s="55"/>
      <c r="BF274" s="165"/>
      <c r="BG274" s="55"/>
      <c r="BH274" s="10"/>
      <c r="BI274" s="55"/>
      <c r="BJ274" s="55"/>
      <c r="BK274" s="55"/>
      <c r="BL274" s="55"/>
      <c r="BT274" s="141"/>
      <c r="CN274" s="141"/>
      <c r="DG274" s="141"/>
    </row>
    <row r="275" spans="1:111" s="93" customFormat="1" x14ac:dyDescent="0.15">
      <c r="A275" s="11"/>
      <c r="B275" s="13"/>
      <c r="C275" s="12"/>
      <c r="D275" s="13"/>
      <c r="E275" s="13"/>
      <c r="F275" s="12"/>
      <c r="G275" s="55"/>
      <c r="H275" s="55"/>
      <c r="I275" s="55"/>
      <c r="J275" s="55"/>
      <c r="K275" s="55"/>
      <c r="L275" s="158"/>
      <c r="M275" s="10"/>
      <c r="N275" s="55"/>
      <c r="O275" s="55"/>
      <c r="P275" s="10"/>
      <c r="Q275" s="10"/>
      <c r="R275" s="155"/>
      <c r="S275" s="171"/>
      <c r="T275" s="161"/>
      <c r="U275" s="55"/>
      <c r="V275" s="55"/>
      <c r="W275" s="55"/>
      <c r="X275" s="155"/>
      <c r="Y275" s="171"/>
      <c r="Z275" s="165"/>
      <c r="AA275" s="10"/>
      <c r="AB275" s="55"/>
      <c r="AC275" s="55"/>
      <c r="AD275" s="55"/>
      <c r="AE275" s="55"/>
      <c r="AF275" s="55"/>
      <c r="AG275" s="167"/>
      <c r="AH275" s="55"/>
      <c r="AI275" s="55"/>
      <c r="AJ275" s="165"/>
      <c r="AK275" s="55"/>
      <c r="AL275" s="55"/>
      <c r="AM275" s="55"/>
      <c r="AN275" s="55"/>
      <c r="AO275" s="55"/>
      <c r="AP275" s="55"/>
      <c r="AQ275" s="55"/>
      <c r="AR275" s="55"/>
      <c r="AS275" s="165"/>
      <c r="AT275" s="55"/>
      <c r="AU275" s="55"/>
      <c r="AV275" s="55"/>
      <c r="AW275" s="55"/>
      <c r="AX275" s="55"/>
      <c r="AY275" s="55"/>
      <c r="AZ275" s="55"/>
      <c r="BA275" s="55"/>
      <c r="BB275" s="165"/>
      <c r="BC275" s="55"/>
      <c r="BD275" s="55"/>
      <c r="BE275" s="55"/>
      <c r="BF275" s="165"/>
      <c r="BG275" s="55"/>
      <c r="BH275" s="10"/>
      <c r="BI275" s="55"/>
      <c r="BJ275" s="55"/>
      <c r="BK275" s="55"/>
      <c r="BL275" s="55"/>
      <c r="BT275" s="141"/>
      <c r="CN275" s="141"/>
      <c r="DG275" s="141"/>
    </row>
    <row r="276" spans="1:111" s="93" customFormat="1" x14ac:dyDescent="0.15">
      <c r="A276" s="11"/>
      <c r="B276" s="13"/>
      <c r="C276" s="12"/>
      <c r="D276" s="13"/>
      <c r="E276" s="13"/>
      <c r="F276" s="12"/>
      <c r="G276" s="55"/>
      <c r="H276" s="55"/>
      <c r="I276" s="55"/>
      <c r="J276" s="55"/>
      <c r="K276" s="55"/>
      <c r="L276" s="158"/>
      <c r="M276" s="10"/>
      <c r="N276" s="55"/>
      <c r="O276" s="55"/>
      <c r="P276" s="10"/>
      <c r="Q276" s="10"/>
      <c r="R276" s="155"/>
      <c r="S276" s="171"/>
      <c r="T276" s="161"/>
      <c r="U276" s="55"/>
      <c r="V276" s="55"/>
      <c r="W276" s="55"/>
      <c r="X276" s="155"/>
      <c r="Y276" s="171"/>
      <c r="Z276" s="165"/>
      <c r="AA276" s="10"/>
      <c r="AB276" s="55"/>
      <c r="AC276" s="55"/>
      <c r="AD276" s="55"/>
      <c r="AE276" s="55"/>
      <c r="AF276" s="55"/>
      <c r="AG276" s="167"/>
      <c r="AH276" s="55"/>
      <c r="AI276" s="55"/>
      <c r="AJ276" s="165"/>
      <c r="AK276" s="55"/>
      <c r="AL276" s="55"/>
      <c r="AM276" s="55"/>
      <c r="AN276" s="55"/>
      <c r="AO276" s="55"/>
      <c r="AP276" s="55"/>
      <c r="AQ276" s="55"/>
      <c r="AR276" s="55"/>
      <c r="AS276" s="165"/>
      <c r="AT276" s="55"/>
      <c r="AU276" s="55"/>
      <c r="AV276" s="55"/>
      <c r="AW276" s="55"/>
      <c r="AX276" s="55"/>
      <c r="AY276" s="55"/>
      <c r="AZ276" s="55"/>
      <c r="BA276" s="55"/>
      <c r="BB276" s="165"/>
      <c r="BC276" s="55"/>
      <c r="BD276" s="55"/>
      <c r="BE276" s="55"/>
      <c r="BF276" s="165"/>
      <c r="BG276" s="55"/>
      <c r="BH276" s="10"/>
      <c r="BI276" s="55"/>
      <c r="BJ276" s="55"/>
      <c r="BK276" s="55"/>
      <c r="BL276" s="55"/>
      <c r="BT276" s="141"/>
      <c r="CN276" s="141"/>
      <c r="DG276" s="141"/>
    </row>
    <row r="277" spans="1:111" s="93" customFormat="1" x14ac:dyDescent="0.15">
      <c r="A277" s="11"/>
      <c r="B277" s="13"/>
      <c r="C277" s="12"/>
      <c r="D277" s="13"/>
      <c r="E277" s="13"/>
      <c r="F277" s="12"/>
      <c r="G277" s="55"/>
      <c r="H277" s="55"/>
      <c r="I277" s="55"/>
      <c r="J277" s="55"/>
      <c r="K277" s="55"/>
      <c r="L277" s="158"/>
      <c r="M277" s="10"/>
      <c r="N277" s="55"/>
      <c r="O277" s="55"/>
      <c r="P277" s="10"/>
      <c r="Q277" s="10"/>
      <c r="R277" s="155"/>
      <c r="S277" s="171"/>
      <c r="T277" s="161"/>
      <c r="U277" s="55"/>
      <c r="V277" s="55"/>
      <c r="W277" s="55"/>
      <c r="X277" s="155"/>
      <c r="Y277" s="171"/>
      <c r="Z277" s="165"/>
      <c r="AA277" s="10"/>
      <c r="AB277" s="55"/>
      <c r="AC277" s="55"/>
      <c r="AD277" s="55"/>
      <c r="AE277" s="55"/>
      <c r="AF277" s="55"/>
      <c r="AG277" s="167"/>
      <c r="AH277" s="55"/>
      <c r="AI277" s="55"/>
      <c r="AJ277" s="165"/>
      <c r="AK277" s="55"/>
      <c r="AL277" s="55"/>
      <c r="AM277" s="55"/>
      <c r="AN277" s="55"/>
      <c r="AO277" s="55"/>
      <c r="AP277" s="55"/>
      <c r="AQ277" s="55"/>
      <c r="AR277" s="55"/>
      <c r="AS277" s="165"/>
      <c r="AT277" s="55"/>
      <c r="AU277" s="55"/>
      <c r="AV277" s="55"/>
      <c r="AW277" s="55"/>
      <c r="AX277" s="55"/>
      <c r="AY277" s="55"/>
      <c r="AZ277" s="55"/>
      <c r="BA277" s="55"/>
      <c r="BB277" s="165"/>
      <c r="BC277" s="55"/>
      <c r="BD277" s="55"/>
      <c r="BE277" s="55"/>
      <c r="BF277" s="165"/>
      <c r="BG277" s="55"/>
      <c r="BH277" s="10"/>
      <c r="BI277" s="55"/>
      <c r="BJ277" s="55"/>
      <c r="BK277" s="55"/>
      <c r="BL277" s="55"/>
      <c r="BT277" s="141"/>
      <c r="CN277" s="141"/>
      <c r="DG277" s="141"/>
    </row>
    <row r="278" spans="1:111" s="93" customFormat="1" x14ac:dyDescent="0.15">
      <c r="A278" s="11"/>
      <c r="B278" s="13"/>
      <c r="C278" s="12"/>
      <c r="D278" s="13"/>
      <c r="E278" s="13"/>
      <c r="F278" s="12"/>
      <c r="G278" s="55"/>
      <c r="H278" s="55"/>
      <c r="I278" s="55"/>
      <c r="J278" s="55"/>
      <c r="K278" s="55"/>
      <c r="L278" s="158"/>
      <c r="M278" s="10"/>
      <c r="N278" s="55"/>
      <c r="O278" s="55"/>
      <c r="P278" s="10"/>
      <c r="Q278" s="10"/>
      <c r="R278" s="155"/>
      <c r="S278" s="171"/>
      <c r="T278" s="161"/>
      <c r="U278" s="55"/>
      <c r="V278" s="55"/>
      <c r="W278" s="55"/>
      <c r="X278" s="155"/>
      <c r="Y278" s="171"/>
      <c r="Z278" s="165"/>
      <c r="AA278" s="10"/>
      <c r="AB278" s="55"/>
      <c r="AC278" s="55"/>
      <c r="AD278" s="55"/>
      <c r="AE278" s="55"/>
      <c r="AF278" s="55"/>
      <c r="AG278" s="167"/>
      <c r="AH278" s="55"/>
      <c r="AI278" s="55"/>
      <c r="AJ278" s="165"/>
      <c r="AK278" s="55"/>
      <c r="AL278" s="55"/>
      <c r="AM278" s="55"/>
      <c r="AN278" s="55"/>
      <c r="AO278" s="55"/>
      <c r="AP278" s="55"/>
      <c r="AQ278" s="55"/>
      <c r="AR278" s="55"/>
      <c r="AS278" s="165"/>
      <c r="AT278" s="55"/>
      <c r="AU278" s="55"/>
      <c r="AV278" s="55"/>
      <c r="AW278" s="55"/>
      <c r="AX278" s="55"/>
      <c r="AY278" s="55"/>
      <c r="AZ278" s="55"/>
      <c r="BA278" s="55"/>
      <c r="BB278" s="165"/>
      <c r="BC278" s="55"/>
      <c r="BD278" s="55"/>
      <c r="BE278" s="55"/>
      <c r="BF278" s="165"/>
      <c r="BG278" s="55"/>
      <c r="BH278" s="10"/>
      <c r="BI278" s="55"/>
      <c r="BJ278" s="55"/>
      <c r="BK278" s="55"/>
      <c r="BL278" s="55"/>
      <c r="BT278" s="141"/>
      <c r="CN278" s="141"/>
      <c r="DG278" s="141"/>
    </row>
    <row r="279" spans="1:111" s="93" customFormat="1" x14ac:dyDescent="0.15">
      <c r="A279" s="11"/>
      <c r="B279" s="13"/>
      <c r="C279" s="12"/>
      <c r="D279" s="13"/>
      <c r="E279" s="13"/>
      <c r="F279" s="12"/>
      <c r="G279" s="55"/>
      <c r="H279" s="55"/>
      <c r="I279" s="55"/>
      <c r="J279" s="55"/>
      <c r="K279" s="55"/>
      <c r="L279" s="158"/>
      <c r="M279" s="10"/>
      <c r="N279" s="55"/>
      <c r="O279" s="55"/>
      <c r="P279" s="10"/>
      <c r="Q279" s="10"/>
      <c r="R279" s="155"/>
      <c r="S279" s="171"/>
      <c r="T279" s="161"/>
      <c r="U279" s="55"/>
      <c r="V279" s="55"/>
      <c r="W279" s="55"/>
      <c r="X279" s="155"/>
      <c r="Y279" s="171"/>
      <c r="Z279" s="165"/>
      <c r="AA279" s="10"/>
      <c r="AB279" s="55"/>
      <c r="AC279" s="55"/>
      <c r="AD279" s="55"/>
      <c r="AE279" s="55"/>
      <c r="AF279" s="55"/>
      <c r="AG279" s="167"/>
      <c r="AH279" s="55"/>
      <c r="AI279" s="55"/>
      <c r="AJ279" s="165"/>
      <c r="AK279" s="55"/>
      <c r="AL279" s="55"/>
      <c r="AM279" s="55"/>
      <c r="AN279" s="55"/>
      <c r="AO279" s="55"/>
      <c r="AP279" s="55"/>
      <c r="AQ279" s="55"/>
      <c r="AR279" s="55"/>
      <c r="AS279" s="165"/>
      <c r="AT279" s="55"/>
      <c r="AU279" s="55"/>
      <c r="AV279" s="55"/>
      <c r="AW279" s="55"/>
      <c r="AX279" s="55"/>
      <c r="AY279" s="55"/>
      <c r="AZ279" s="55"/>
      <c r="BA279" s="55"/>
      <c r="BB279" s="165"/>
      <c r="BC279" s="55"/>
      <c r="BD279" s="55"/>
      <c r="BE279" s="55"/>
      <c r="BF279" s="165"/>
      <c r="BG279" s="55"/>
      <c r="BH279" s="10"/>
      <c r="BI279" s="55"/>
      <c r="BJ279" s="55"/>
      <c r="BK279" s="55"/>
      <c r="BL279" s="55"/>
      <c r="BT279" s="141"/>
      <c r="CN279" s="141"/>
      <c r="DG279" s="141"/>
    </row>
    <row r="280" spans="1:111" s="93" customFormat="1" x14ac:dyDescent="0.15">
      <c r="A280" s="11"/>
      <c r="B280" s="13"/>
      <c r="C280" s="12"/>
      <c r="D280" s="13"/>
      <c r="E280" s="13"/>
      <c r="F280" s="12"/>
      <c r="G280" s="55"/>
      <c r="H280" s="55"/>
      <c r="I280" s="55"/>
      <c r="J280" s="55"/>
      <c r="K280" s="55"/>
      <c r="L280" s="158"/>
      <c r="M280" s="10"/>
      <c r="N280" s="55"/>
      <c r="O280" s="55"/>
      <c r="P280" s="10"/>
      <c r="Q280" s="10"/>
      <c r="R280" s="155"/>
      <c r="S280" s="171"/>
      <c r="T280" s="161"/>
      <c r="U280" s="55"/>
      <c r="V280" s="55"/>
      <c r="W280" s="55"/>
      <c r="X280" s="155"/>
      <c r="Y280" s="171"/>
      <c r="Z280" s="165"/>
      <c r="AA280" s="10"/>
      <c r="AB280" s="55"/>
      <c r="AC280" s="55"/>
      <c r="AD280" s="55"/>
      <c r="AE280" s="55"/>
      <c r="AF280" s="55"/>
      <c r="AG280" s="167"/>
      <c r="AH280" s="55"/>
      <c r="AI280" s="55"/>
      <c r="AJ280" s="165"/>
      <c r="AK280" s="55"/>
      <c r="AL280" s="55"/>
      <c r="AM280" s="55"/>
      <c r="AN280" s="55"/>
      <c r="AO280" s="55"/>
      <c r="AP280" s="55"/>
      <c r="AQ280" s="55"/>
      <c r="AR280" s="55"/>
      <c r="AS280" s="165"/>
      <c r="AT280" s="55"/>
      <c r="AU280" s="55"/>
      <c r="AV280" s="55"/>
      <c r="AW280" s="55"/>
      <c r="AX280" s="55"/>
      <c r="AY280" s="55"/>
      <c r="AZ280" s="55"/>
      <c r="BA280" s="55"/>
      <c r="BB280" s="165"/>
      <c r="BC280" s="55"/>
      <c r="BD280" s="55"/>
      <c r="BE280" s="55"/>
      <c r="BF280" s="165"/>
      <c r="BG280" s="55"/>
      <c r="BH280" s="10"/>
      <c r="BI280" s="55"/>
      <c r="BJ280" s="55"/>
      <c r="BK280" s="55"/>
      <c r="BL280" s="55"/>
      <c r="BT280" s="141"/>
      <c r="CN280" s="141"/>
      <c r="DG280" s="141"/>
    </row>
    <row r="281" spans="1:111" s="93" customFormat="1" x14ac:dyDescent="0.15">
      <c r="A281" s="11"/>
      <c r="B281" s="13"/>
      <c r="C281" s="12"/>
      <c r="D281" s="13"/>
      <c r="E281" s="13"/>
      <c r="F281" s="12"/>
      <c r="G281" s="55"/>
      <c r="H281" s="55"/>
      <c r="I281" s="55"/>
      <c r="J281" s="55"/>
      <c r="K281" s="55"/>
      <c r="L281" s="158"/>
      <c r="M281" s="10"/>
      <c r="N281" s="55"/>
      <c r="O281" s="55"/>
      <c r="P281" s="10"/>
      <c r="Q281" s="10"/>
      <c r="R281" s="155"/>
      <c r="S281" s="171"/>
      <c r="T281" s="161"/>
      <c r="U281" s="55"/>
      <c r="V281" s="55"/>
      <c r="W281" s="55"/>
      <c r="X281" s="155"/>
      <c r="Y281" s="171"/>
      <c r="Z281" s="165"/>
      <c r="AA281" s="10"/>
      <c r="AB281" s="55"/>
      <c r="AC281" s="55"/>
      <c r="AD281" s="55"/>
      <c r="AE281" s="55"/>
      <c r="AF281" s="55"/>
      <c r="AG281" s="167"/>
      <c r="AH281" s="55"/>
      <c r="AI281" s="55"/>
      <c r="AJ281" s="165"/>
      <c r="AK281" s="55"/>
      <c r="AL281" s="55"/>
      <c r="AM281" s="55"/>
      <c r="AN281" s="55"/>
      <c r="AO281" s="55"/>
      <c r="AP281" s="55"/>
      <c r="AQ281" s="55"/>
      <c r="AR281" s="55"/>
      <c r="AS281" s="165"/>
      <c r="AT281" s="55"/>
      <c r="AU281" s="55"/>
      <c r="AV281" s="55"/>
      <c r="AW281" s="55"/>
      <c r="AX281" s="55"/>
      <c r="AY281" s="55"/>
      <c r="AZ281" s="55"/>
      <c r="BA281" s="55"/>
      <c r="BB281" s="165"/>
      <c r="BC281" s="55"/>
      <c r="BD281" s="55"/>
      <c r="BE281" s="55"/>
      <c r="BF281" s="165"/>
      <c r="BG281" s="55"/>
      <c r="BH281" s="10"/>
      <c r="BI281" s="55"/>
      <c r="BJ281" s="55"/>
      <c r="BK281" s="55"/>
      <c r="BL281" s="55"/>
      <c r="BT281" s="141"/>
      <c r="CN281" s="141"/>
      <c r="DG281" s="141"/>
    </row>
    <row r="282" spans="1:111" s="93" customFormat="1" x14ac:dyDescent="0.15">
      <c r="A282" s="11"/>
      <c r="B282" s="13"/>
      <c r="C282" s="12"/>
      <c r="D282" s="13"/>
      <c r="E282" s="13"/>
      <c r="F282" s="12"/>
      <c r="G282" s="55"/>
      <c r="H282" s="55"/>
      <c r="I282" s="55"/>
      <c r="J282" s="55"/>
      <c r="K282" s="55"/>
      <c r="L282" s="158"/>
      <c r="M282" s="10"/>
      <c r="N282" s="55"/>
      <c r="O282" s="55"/>
      <c r="P282" s="10"/>
      <c r="Q282" s="10"/>
      <c r="R282" s="155"/>
      <c r="S282" s="171"/>
      <c r="T282" s="161"/>
      <c r="U282" s="55"/>
      <c r="V282" s="55"/>
      <c r="W282" s="55"/>
      <c r="X282" s="155"/>
      <c r="Y282" s="171"/>
      <c r="Z282" s="165"/>
      <c r="AA282" s="10"/>
      <c r="AB282" s="55"/>
      <c r="AC282" s="55"/>
      <c r="AD282" s="55"/>
      <c r="AE282" s="55"/>
      <c r="AF282" s="55"/>
      <c r="AG282" s="167"/>
      <c r="AH282" s="55"/>
      <c r="AI282" s="55"/>
      <c r="AJ282" s="165"/>
      <c r="AK282" s="55"/>
      <c r="AL282" s="55"/>
      <c r="AM282" s="55"/>
      <c r="AN282" s="55"/>
      <c r="AO282" s="55"/>
      <c r="AP282" s="55"/>
      <c r="AQ282" s="55"/>
      <c r="AR282" s="55"/>
      <c r="AS282" s="165"/>
      <c r="AT282" s="55"/>
      <c r="AU282" s="55"/>
      <c r="AV282" s="55"/>
      <c r="AW282" s="55"/>
      <c r="AX282" s="55"/>
      <c r="AY282" s="55"/>
      <c r="AZ282" s="55"/>
      <c r="BA282" s="55"/>
      <c r="BB282" s="165"/>
      <c r="BC282" s="55"/>
      <c r="BD282" s="55"/>
      <c r="BE282" s="55"/>
      <c r="BF282" s="165"/>
      <c r="BG282" s="55"/>
      <c r="BH282" s="10"/>
      <c r="BI282" s="55"/>
      <c r="BJ282" s="55"/>
      <c r="BK282" s="55"/>
      <c r="BL282" s="55"/>
      <c r="BT282" s="141"/>
      <c r="CN282" s="141"/>
      <c r="DG282" s="141"/>
    </row>
    <row r="283" spans="1:111" s="93" customFormat="1" x14ac:dyDescent="0.15">
      <c r="A283" s="11"/>
      <c r="B283" s="13"/>
      <c r="C283" s="12"/>
      <c r="D283" s="13"/>
      <c r="E283" s="13"/>
      <c r="F283" s="12"/>
      <c r="G283" s="55"/>
      <c r="H283" s="55"/>
      <c r="I283" s="55"/>
      <c r="J283" s="55"/>
      <c r="K283" s="55"/>
      <c r="L283" s="158"/>
      <c r="M283" s="10"/>
      <c r="N283" s="55"/>
      <c r="O283" s="55"/>
      <c r="P283" s="10"/>
      <c r="Q283" s="10"/>
      <c r="R283" s="155"/>
      <c r="S283" s="171"/>
      <c r="T283" s="161"/>
      <c r="U283" s="55"/>
      <c r="V283" s="55"/>
      <c r="W283" s="55"/>
      <c r="X283" s="155"/>
      <c r="Y283" s="171"/>
      <c r="Z283" s="165"/>
      <c r="AA283" s="10"/>
      <c r="AB283" s="55"/>
      <c r="AC283" s="55"/>
      <c r="AD283" s="55"/>
      <c r="AE283" s="55"/>
      <c r="AF283" s="55"/>
      <c r="AG283" s="167"/>
      <c r="AH283" s="55"/>
      <c r="AI283" s="55"/>
      <c r="AJ283" s="165"/>
      <c r="AK283" s="55"/>
      <c r="AL283" s="55"/>
      <c r="AM283" s="55"/>
      <c r="AN283" s="55"/>
      <c r="AO283" s="55"/>
      <c r="AP283" s="55"/>
      <c r="AQ283" s="55"/>
      <c r="AR283" s="55"/>
      <c r="AS283" s="165"/>
      <c r="AT283" s="55"/>
      <c r="AU283" s="55"/>
      <c r="AV283" s="55"/>
      <c r="AW283" s="55"/>
      <c r="AX283" s="55"/>
      <c r="AY283" s="55"/>
      <c r="AZ283" s="55"/>
      <c r="BA283" s="55"/>
      <c r="BB283" s="165"/>
      <c r="BC283" s="55"/>
      <c r="BD283" s="55"/>
      <c r="BE283" s="55"/>
      <c r="BF283" s="165"/>
      <c r="BG283" s="55"/>
      <c r="BH283" s="10"/>
      <c r="BI283" s="55"/>
      <c r="BJ283" s="55"/>
      <c r="BK283" s="55"/>
      <c r="BL283" s="55"/>
      <c r="BT283" s="141"/>
      <c r="CN283" s="141"/>
      <c r="DG283" s="141"/>
    </row>
    <row r="284" spans="1:111" s="93" customFormat="1" x14ac:dyDescent="0.15">
      <c r="A284" s="11"/>
      <c r="B284" s="13"/>
      <c r="C284" s="12"/>
      <c r="D284" s="13"/>
      <c r="E284" s="13"/>
      <c r="F284" s="12"/>
      <c r="G284" s="55"/>
      <c r="H284" s="55"/>
      <c r="I284" s="55"/>
      <c r="J284" s="55"/>
      <c r="K284" s="55"/>
      <c r="L284" s="158"/>
      <c r="M284" s="10"/>
      <c r="N284" s="55"/>
      <c r="O284" s="55"/>
      <c r="P284" s="10"/>
      <c r="Q284" s="10"/>
      <c r="R284" s="155"/>
      <c r="S284" s="171"/>
      <c r="T284" s="161"/>
      <c r="U284" s="55"/>
      <c r="V284" s="55"/>
      <c r="W284" s="55"/>
      <c r="X284" s="155"/>
      <c r="Y284" s="171"/>
      <c r="Z284" s="165"/>
      <c r="AA284" s="10"/>
      <c r="AB284" s="55"/>
      <c r="AC284" s="55"/>
      <c r="AD284" s="55"/>
      <c r="AE284" s="55"/>
      <c r="AF284" s="55"/>
      <c r="AG284" s="167"/>
      <c r="AH284" s="55"/>
      <c r="AI284" s="55"/>
      <c r="AJ284" s="165"/>
      <c r="AK284" s="55"/>
      <c r="AL284" s="55"/>
      <c r="AM284" s="55"/>
      <c r="AN284" s="55"/>
      <c r="AO284" s="55"/>
      <c r="AP284" s="55"/>
      <c r="AQ284" s="55"/>
      <c r="AR284" s="55"/>
      <c r="AS284" s="165"/>
      <c r="AT284" s="55"/>
      <c r="AU284" s="55"/>
      <c r="AV284" s="55"/>
      <c r="AW284" s="55"/>
      <c r="AX284" s="55"/>
      <c r="AY284" s="55"/>
      <c r="AZ284" s="55"/>
      <c r="BA284" s="55"/>
      <c r="BB284" s="165"/>
      <c r="BC284" s="55"/>
      <c r="BD284" s="55"/>
      <c r="BE284" s="55"/>
      <c r="BF284" s="165"/>
      <c r="BG284" s="55"/>
      <c r="BH284" s="10"/>
      <c r="BI284" s="55"/>
      <c r="BJ284" s="55"/>
      <c r="BK284" s="55"/>
      <c r="BL284" s="55"/>
      <c r="BT284" s="141"/>
      <c r="CN284" s="141"/>
      <c r="DG284" s="141"/>
    </row>
    <row r="285" spans="1:111" s="93" customFormat="1" x14ac:dyDescent="0.15">
      <c r="A285" s="11"/>
      <c r="B285" s="13"/>
      <c r="C285" s="12"/>
      <c r="D285" s="13"/>
      <c r="E285" s="13"/>
      <c r="F285" s="12"/>
      <c r="G285" s="55"/>
      <c r="H285" s="55"/>
      <c r="I285" s="55"/>
      <c r="J285" s="55"/>
      <c r="K285" s="55"/>
      <c r="L285" s="158"/>
      <c r="M285" s="10"/>
      <c r="N285" s="55"/>
      <c r="O285" s="55"/>
      <c r="P285" s="10"/>
      <c r="Q285" s="10"/>
      <c r="R285" s="155"/>
      <c r="S285" s="171"/>
      <c r="T285" s="161"/>
      <c r="U285" s="55"/>
      <c r="V285" s="55"/>
      <c r="W285" s="55"/>
      <c r="X285" s="155"/>
      <c r="Y285" s="171"/>
      <c r="Z285" s="165"/>
      <c r="AA285" s="10"/>
      <c r="AB285" s="55"/>
      <c r="AC285" s="55"/>
      <c r="AD285" s="55"/>
      <c r="AE285" s="55"/>
      <c r="AF285" s="55"/>
      <c r="AG285" s="167"/>
      <c r="AH285" s="55"/>
      <c r="AI285" s="55"/>
      <c r="AJ285" s="165"/>
      <c r="AK285" s="55"/>
      <c r="AL285" s="55"/>
      <c r="AM285" s="55"/>
      <c r="AN285" s="55"/>
      <c r="AO285" s="55"/>
      <c r="AP285" s="55"/>
      <c r="AQ285" s="55"/>
      <c r="AR285" s="55"/>
      <c r="AS285" s="165"/>
      <c r="AT285" s="55"/>
      <c r="AU285" s="55"/>
      <c r="AV285" s="55"/>
      <c r="AW285" s="55"/>
      <c r="AX285" s="55"/>
      <c r="AY285" s="55"/>
      <c r="AZ285" s="55"/>
      <c r="BA285" s="55"/>
      <c r="BB285" s="165"/>
      <c r="BC285" s="55"/>
      <c r="BD285" s="55"/>
      <c r="BE285" s="55"/>
      <c r="BF285" s="165"/>
      <c r="BG285" s="55"/>
      <c r="BH285" s="10"/>
      <c r="BI285" s="55"/>
      <c r="BJ285" s="55"/>
      <c r="BK285" s="55"/>
      <c r="BL285" s="55"/>
      <c r="BT285" s="141"/>
      <c r="CN285" s="141"/>
      <c r="DG285" s="141"/>
    </row>
    <row r="286" spans="1:111" s="93" customFormat="1" x14ac:dyDescent="0.15">
      <c r="A286" s="11"/>
      <c r="B286" s="13"/>
      <c r="C286" s="12"/>
      <c r="D286" s="13"/>
      <c r="E286" s="13"/>
      <c r="F286" s="12"/>
      <c r="G286" s="55"/>
      <c r="H286" s="55"/>
      <c r="I286" s="55"/>
      <c r="J286" s="55"/>
      <c r="K286" s="55"/>
      <c r="L286" s="158"/>
      <c r="M286" s="10"/>
      <c r="N286" s="55"/>
      <c r="O286" s="55"/>
      <c r="P286" s="10"/>
      <c r="Q286" s="10"/>
      <c r="R286" s="155"/>
      <c r="S286" s="171"/>
      <c r="T286" s="161"/>
      <c r="U286" s="55"/>
      <c r="V286" s="55"/>
      <c r="W286" s="55"/>
      <c r="X286" s="155"/>
      <c r="Y286" s="171"/>
      <c r="Z286" s="165"/>
      <c r="AA286" s="10"/>
      <c r="AB286" s="55"/>
      <c r="AC286" s="55"/>
      <c r="AD286" s="55"/>
      <c r="AE286" s="55"/>
      <c r="AF286" s="55"/>
      <c r="AG286" s="167"/>
      <c r="AH286" s="55"/>
      <c r="AI286" s="55"/>
      <c r="AJ286" s="165"/>
      <c r="AK286" s="55"/>
      <c r="AL286" s="55"/>
      <c r="AM286" s="55"/>
      <c r="AN286" s="55"/>
      <c r="AO286" s="55"/>
      <c r="AP286" s="55"/>
      <c r="AQ286" s="55"/>
      <c r="AR286" s="55"/>
      <c r="AS286" s="165"/>
      <c r="AT286" s="55"/>
      <c r="AU286" s="55"/>
      <c r="AV286" s="55"/>
      <c r="AW286" s="55"/>
      <c r="AX286" s="55"/>
      <c r="AY286" s="55"/>
      <c r="AZ286" s="55"/>
      <c r="BA286" s="55"/>
      <c r="BB286" s="165"/>
      <c r="BC286" s="55"/>
      <c r="BD286" s="55"/>
      <c r="BE286" s="55"/>
      <c r="BF286" s="165"/>
      <c r="BG286" s="55"/>
      <c r="BH286" s="10"/>
      <c r="BI286" s="55"/>
      <c r="BJ286" s="55"/>
      <c r="BK286" s="55"/>
      <c r="BL286" s="55"/>
      <c r="BT286" s="141"/>
      <c r="CN286" s="141"/>
      <c r="DG286" s="141"/>
    </row>
    <row r="287" spans="1:111" s="93" customFormat="1" x14ac:dyDescent="0.15">
      <c r="A287" s="11"/>
      <c r="B287" s="13"/>
      <c r="C287" s="12"/>
      <c r="D287" s="13"/>
      <c r="E287" s="13"/>
      <c r="F287" s="12"/>
      <c r="G287" s="55"/>
      <c r="H287" s="55"/>
      <c r="I287" s="55"/>
      <c r="J287" s="55"/>
      <c r="K287" s="55"/>
      <c r="L287" s="158"/>
      <c r="M287" s="10"/>
      <c r="N287" s="55"/>
      <c r="O287" s="55"/>
      <c r="P287" s="10"/>
      <c r="Q287" s="10"/>
      <c r="R287" s="155"/>
      <c r="S287" s="171"/>
      <c r="T287" s="161"/>
      <c r="U287" s="55"/>
      <c r="V287" s="55"/>
      <c r="W287" s="55"/>
      <c r="X287" s="155"/>
      <c r="Y287" s="171"/>
      <c r="Z287" s="165"/>
      <c r="AA287" s="10"/>
      <c r="AB287" s="55"/>
      <c r="AC287" s="55"/>
      <c r="AD287" s="55"/>
      <c r="AE287" s="55"/>
      <c r="AF287" s="55"/>
      <c r="AG287" s="167"/>
      <c r="AH287" s="55"/>
      <c r="AI287" s="55"/>
      <c r="AJ287" s="165"/>
      <c r="AK287" s="55"/>
      <c r="AL287" s="55"/>
      <c r="AM287" s="55"/>
      <c r="AN287" s="55"/>
      <c r="AO287" s="55"/>
      <c r="AP287" s="55"/>
      <c r="AQ287" s="55"/>
      <c r="AR287" s="55"/>
      <c r="AS287" s="165"/>
      <c r="AT287" s="55"/>
      <c r="AU287" s="55"/>
      <c r="AV287" s="55"/>
      <c r="AW287" s="55"/>
      <c r="AX287" s="55"/>
      <c r="AY287" s="55"/>
      <c r="AZ287" s="55"/>
      <c r="BA287" s="55"/>
      <c r="BB287" s="165"/>
      <c r="BC287" s="55"/>
      <c r="BD287" s="55"/>
      <c r="BE287" s="55"/>
      <c r="BF287" s="165"/>
      <c r="BG287" s="55"/>
      <c r="BH287" s="10"/>
      <c r="BI287" s="55"/>
      <c r="BJ287" s="55"/>
      <c r="BK287" s="55"/>
      <c r="BL287" s="55"/>
      <c r="BT287" s="141"/>
      <c r="CN287" s="141"/>
      <c r="DG287" s="141"/>
    </row>
    <row r="288" spans="1:111" s="93" customFormat="1" x14ac:dyDescent="0.15">
      <c r="A288" s="11"/>
      <c r="B288" s="13"/>
      <c r="C288" s="12"/>
      <c r="D288" s="13"/>
      <c r="E288" s="13"/>
      <c r="F288" s="12"/>
      <c r="G288" s="55"/>
      <c r="H288" s="55"/>
      <c r="I288" s="55"/>
      <c r="J288" s="55"/>
      <c r="K288" s="55"/>
      <c r="L288" s="158"/>
      <c r="M288" s="10"/>
      <c r="N288" s="55"/>
      <c r="O288" s="55"/>
      <c r="P288" s="10"/>
      <c r="Q288" s="10"/>
      <c r="R288" s="155"/>
      <c r="S288" s="171"/>
      <c r="T288" s="161"/>
      <c r="U288" s="55"/>
      <c r="V288" s="55"/>
      <c r="W288" s="55"/>
      <c r="X288" s="155"/>
      <c r="Y288" s="171"/>
      <c r="Z288" s="165"/>
      <c r="AA288" s="10"/>
      <c r="AB288" s="55"/>
      <c r="AC288" s="55"/>
      <c r="AD288" s="55"/>
      <c r="AE288" s="55"/>
      <c r="AF288" s="55"/>
      <c r="AG288" s="167"/>
      <c r="AH288" s="55"/>
      <c r="AI288" s="55"/>
      <c r="AJ288" s="165"/>
      <c r="AK288" s="55"/>
      <c r="AL288" s="55"/>
      <c r="AM288" s="55"/>
      <c r="AN288" s="55"/>
      <c r="AO288" s="55"/>
      <c r="AP288" s="55"/>
      <c r="AQ288" s="55"/>
      <c r="AR288" s="55"/>
      <c r="AS288" s="165"/>
      <c r="AT288" s="55"/>
      <c r="AU288" s="55"/>
      <c r="AV288" s="55"/>
      <c r="AW288" s="55"/>
      <c r="AX288" s="55"/>
      <c r="AY288" s="55"/>
      <c r="AZ288" s="55"/>
      <c r="BA288" s="55"/>
      <c r="BB288" s="165"/>
      <c r="BC288" s="55"/>
      <c r="BD288" s="55"/>
      <c r="BE288" s="55"/>
      <c r="BF288" s="165"/>
      <c r="BG288" s="55"/>
      <c r="BH288" s="10"/>
      <c r="BI288" s="55"/>
      <c r="BJ288" s="55"/>
      <c r="BK288" s="55"/>
      <c r="BL288" s="55"/>
      <c r="BT288" s="141"/>
      <c r="CN288" s="141"/>
      <c r="DG288" s="141"/>
    </row>
    <row r="289" spans="1:111" s="93" customFormat="1" x14ac:dyDescent="0.15">
      <c r="A289" s="11"/>
      <c r="B289" s="13"/>
      <c r="C289" s="12"/>
      <c r="D289" s="13"/>
      <c r="E289" s="13"/>
      <c r="F289" s="12"/>
      <c r="G289" s="55"/>
      <c r="H289" s="55"/>
      <c r="I289" s="55"/>
      <c r="J289" s="55"/>
      <c r="K289" s="55"/>
      <c r="L289" s="158"/>
      <c r="M289" s="10"/>
      <c r="N289" s="55"/>
      <c r="O289" s="55"/>
      <c r="P289" s="10"/>
      <c r="Q289" s="10"/>
      <c r="R289" s="155"/>
      <c r="S289" s="171"/>
      <c r="T289" s="161"/>
      <c r="U289" s="55"/>
      <c r="V289" s="55"/>
      <c r="W289" s="55"/>
      <c r="X289" s="155"/>
      <c r="Y289" s="171"/>
      <c r="Z289" s="165"/>
      <c r="AA289" s="10"/>
      <c r="AB289" s="55"/>
      <c r="AC289" s="55"/>
      <c r="AD289" s="55"/>
      <c r="AE289" s="55"/>
      <c r="AF289" s="55"/>
      <c r="AG289" s="167"/>
      <c r="AH289" s="55"/>
      <c r="AI289" s="55"/>
      <c r="AJ289" s="165"/>
      <c r="AK289" s="55"/>
      <c r="AL289" s="55"/>
      <c r="AM289" s="55"/>
      <c r="AN289" s="55"/>
      <c r="AO289" s="55"/>
      <c r="AP289" s="55"/>
      <c r="AQ289" s="55"/>
      <c r="AR289" s="55"/>
      <c r="AS289" s="165"/>
      <c r="AT289" s="55"/>
      <c r="AU289" s="55"/>
      <c r="AV289" s="55"/>
      <c r="AW289" s="55"/>
      <c r="AX289" s="55"/>
      <c r="AY289" s="55"/>
      <c r="AZ289" s="55"/>
      <c r="BA289" s="55"/>
      <c r="BB289" s="165"/>
      <c r="BC289" s="55"/>
      <c r="BD289" s="55"/>
      <c r="BE289" s="55"/>
      <c r="BF289" s="165"/>
      <c r="BG289" s="55"/>
      <c r="BH289" s="10"/>
      <c r="BI289" s="55"/>
      <c r="BJ289" s="55"/>
      <c r="BK289" s="55"/>
      <c r="BL289" s="55"/>
      <c r="BT289" s="141"/>
      <c r="CN289" s="141"/>
      <c r="DG289" s="141"/>
    </row>
    <row r="290" spans="1:111" s="93" customFormat="1" x14ac:dyDescent="0.15">
      <c r="A290" s="11"/>
      <c r="B290" s="13"/>
      <c r="C290" s="12"/>
      <c r="D290" s="13"/>
      <c r="E290" s="13"/>
      <c r="F290" s="12"/>
      <c r="G290" s="55"/>
      <c r="H290" s="55"/>
      <c r="I290" s="55"/>
      <c r="J290" s="55"/>
      <c r="K290" s="55"/>
      <c r="L290" s="158"/>
      <c r="M290" s="10"/>
      <c r="N290" s="55"/>
      <c r="O290" s="55"/>
      <c r="P290" s="10"/>
      <c r="Q290" s="10"/>
      <c r="R290" s="155"/>
      <c r="S290" s="171"/>
      <c r="T290" s="161"/>
      <c r="U290" s="55"/>
      <c r="V290" s="55"/>
      <c r="W290" s="55"/>
      <c r="X290" s="155"/>
      <c r="Y290" s="171"/>
      <c r="Z290" s="165"/>
      <c r="AA290" s="10"/>
      <c r="AB290" s="55"/>
      <c r="AC290" s="55"/>
      <c r="AD290" s="55"/>
      <c r="AE290" s="55"/>
      <c r="AF290" s="55"/>
      <c r="AG290" s="167"/>
      <c r="AH290" s="55"/>
      <c r="AI290" s="55"/>
      <c r="AJ290" s="165"/>
      <c r="AK290" s="55"/>
      <c r="AL290" s="55"/>
      <c r="AM290" s="55"/>
      <c r="AN290" s="55"/>
      <c r="AO290" s="55"/>
      <c r="AP290" s="55"/>
      <c r="AQ290" s="55"/>
      <c r="AR290" s="55"/>
      <c r="AS290" s="165"/>
      <c r="AT290" s="55"/>
      <c r="AU290" s="55"/>
      <c r="AV290" s="55"/>
      <c r="AW290" s="55"/>
      <c r="AX290" s="55"/>
      <c r="AY290" s="55"/>
      <c r="AZ290" s="55"/>
      <c r="BA290" s="55"/>
      <c r="BB290" s="165"/>
      <c r="BC290" s="55"/>
      <c r="BD290" s="55"/>
      <c r="BE290" s="55"/>
      <c r="BF290" s="165"/>
      <c r="BG290" s="55"/>
      <c r="BH290" s="10"/>
      <c r="BI290" s="55"/>
      <c r="BJ290" s="55"/>
      <c r="BK290" s="55"/>
      <c r="BL290" s="55"/>
      <c r="BT290" s="141"/>
      <c r="CN290" s="141"/>
      <c r="DG290" s="141"/>
    </row>
    <row r="291" spans="1:111" s="93" customFormat="1" x14ac:dyDescent="0.15">
      <c r="A291" s="11"/>
      <c r="B291" s="13"/>
      <c r="C291" s="12"/>
      <c r="D291" s="13"/>
      <c r="E291" s="13"/>
      <c r="F291" s="12"/>
      <c r="G291" s="55"/>
      <c r="H291" s="55"/>
      <c r="I291" s="55"/>
      <c r="J291" s="55"/>
      <c r="K291" s="55"/>
      <c r="L291" s="158"/>
      <c r="M291" s="10"/>
      <c r="N291" s="55"/>
      <c r="O291" s="55"/>
      <c r="P291" s="10"/>
      <c r="Q291" s="10"/>
      <c r="R291" s="155"/>
      <c r="S291" s="171"/>
      <c r="T291" s="161"/>
      <c r="U291" s="55"/>
      <c r="V291" s="55"/>
      <c r="W291" s="55"/>
      <c r="X291" s="155"/>
      <c r="Y291" s="171"/>
      <c r="Z291" s="165"/>
      <c r="AA291" s="10"/>
      <c r="AB291" s="55"/>
      <c r="AC291" s="55"/>
      <c r="AD291" s="55"/>
      <c r="AE291" s="55"/>
      <c r="AF291" s="55"/>
      <c r="AG291" s="167"/>
      <c r="AH291" s="55"/>
      <c r="AI291" s="55"/>
      <c r="AJ291" s="165"/>
      <c r="AK291" s="55"/>
      <c r="AL291" s="55"/>
      <c r="AM291" s="55"/>
      <c r="AN291" s="55"/>
      <c r="AO291" s="55"/>
      <c r="AP291" s="55"/>
      <c r="AQ291" s="55"/>
      <c r="AR291" s="55"/>
      <c r="AS291" s="165"/>
      <c r="AT291" s="55"/>
      <c r="AU291" s="55"/>
      <c r="AV291" s="55"/>
      <c r="AW291" s="55"/>
      <c r="AX291" s="55"/>
      <c r="AY291" s="55"/>
      <c r="AZ291" s="55"/>
      <c r="BA291" s="55"/>
      <c r="BB291" s="165"/>
      <c r="BC291" s="55"/>
      <c r="BD291" s="55"/>
      <c r="BE291" s="55"/>
      <c r="BF291" s="165"/>
      <c r="BG291" s="55"/>
      <c r="BH291" s="10"/>
      <c r="BI291" s="55"/>
      <c r="BJ291" s="55"/>
      <c r="BK291" s="55"/>
      <c r="BL291" s="55"/>
      <c r="BT291" s="141"/>
      <c r="CN291" s="141"/>
      <c r="DG291" s="141"/>
    </row>
    <row r="292" spans="1:111" s="93" customFormat="1" x14ac:dyDescent="0.15">
      <c r="A292" s="11"/>
      <c r="B292" s="13"/>
      <c r="C292" s="12"/>
      <c r="D292" s="13"/>
      <c r="E292" s="13"/>
      <c r="F292" s="12"/>
      <c r="G292" s="55"/>
      <c r="H292" s="55"/>
      <c r="I292" s="55"/>
      <c r="J292" s="55"/>
      <c r="K292" s="55"/>
      <c r="L292" s="158"/>
      <c r="M292" s="10"/>
      <c r="N292" s="55"/>
      <c r="O292" s="55"/>
      <c r="P292" s="10"/>
      <c r="Q292" s="10"/>
      <c r="R292" s="155"/>
      <c r="S292" s="171"/>
      <c r="T292" s="161"/>
      <c r="U292" s="55"/>
      <c r="V292" s="55"/>
      <c r="W292" s="55"/>
      <c r="X292" s="155"/>
      <c r="Y292" s="171"/>
      <c r="Z292" s="165"/>
      <c r="AA292" s="10"/>
      <c r="AB292" s="55"/>
      <c r="AC292" s="55"/>
      <c r="AD292" s="55"/>
      <c r="AE292" s="55"/>
      <c r="AF292" s="55"/>
      <c r="AG292" s="167"/>
      <c r="AH292" s="55"/>
      <c r="AI292" s="55"/>
      <c r="AJ292" s="165"/>
      <c r="AK292" s="55"/>
      <c r="AL292" s="55"/>
      <c r="AM292" s="55"/>
      <c r="AN292" s="55"/>
      <c r="AO292" s="55"/>
      <c r="AP292" s="55"/>
      <c r="AQ292" s="55"/>
      <c r="AR292" s="55"/>
      <c r="AS292" s="165"/>
      <c r="AT292" s="55"/>
      <c r="AU292" s="55"/>
      <c r="AV292" s="55"/>
      <c r="AW292" s="55"/>
      <c r="AX292" s="55"/>
      <c r="AY292" s="55"/>
      <c r="AZ292" s="55"/>
      <c r="BA292" s="55"/>
      <c r="BB292" s="165"/>
      <c r="BC292" s="55"/>
      <c r="BD292" s="55"/>
      <c r="BE292" s="55"/>
      <c r="BF292" s="165"/>
      <c r="BG292" s="55"/>
      <c r="BH292" s="10"/>
      <c r="BI292" s="55"/>
      <c r="BJ292" s="55"/>
      <c r="BK292" s="55"/>
      <c r="BL292" s="55"/>
      <c r="BT292" s="141"/>
      <c r="CN292" s="141"/>
      <c r="DG292" s="141"/>
    </row>
    <row r="293" spans="1:111" s="93" customFormat="1" x14ac:dyDescent="0.15">
      <c r="A293" s="11"/>
      <c r="B293" s="13"/>
      <c r="C293" s="12"/>
      <c r="D293" s="13"/>
      <c r="E293" s="13"/>
      <c r="F293" s="12"/>
      <c r="G293" s="55"/>
      <c r="H293" s="55"/>
      <c r="I293" s="55"/>
      <c r="J293" s="55"/>
      <c r="K293" s="55"/>
      <c r="L293" s="158"/>
      <c r="M293" s="10"/>
      <c r="N293" s="55"/>
      <c r="O293" s="55"/>
      <c r="P293" s="10"/>
      <c r="Q293" s="10"/>
      <c r="R293" s="155"/>
      <c r="S293" s="171"/>
      <c r="T293" s="161"/>
      <c r="U293" s="55"/>
      <c r="V293" s="55"/>
      <c r="W293" s="55"/>
      <c r="X293" s="155"/>
      <c r="Y293" s="171"/>
      <c r="Z293" s="165"/>
      <c r="AA293" s="10"/>
      <c r="AB293" s="55"/>
      <c r="AC293" s="55"/>
      <c r="AD293" s="55"/>
      <c r="AE293" s="55"/>
      <c r="AF293" s="55"/>
      <c r="AG293" s="167"/>
      <c r="AH293" s="55"/>
      <c r="AI293" s="55"/>
      <c r="AJ293" s="165"/>
      <c r="AK293" s="55"/>
      <c r="AL293" s="55"/>
      <c r="AM293" s="55"/>
      <c r="AN293" s="55"/>
      <c r="AO293" s="55"/>
      <c r="AP293" s="55"/>
      <c r="AQ293" s="55"/>
      <c r="AR293" s="55"/>
      <c r="AS293" s="165"/>
      <c r="AT293" s="55"/>
      <c r="AU293" s="55"/>
      <c r="AV293" s="55"/>
      <c r="AW293" s="55"/>
      <c r="AX293" s="55"/>
      <c r="AY293" s="55"/>
      <c r="AZ293" s="55"/>
      <c r="BA293" s="55"/>
      <c r="BB293" s="165"/>
      <c r="BC293" s="55"/>
      <c r="BD293" s="55"/>
      <c r="BE293" s="55"/>
      <c r="BF293" s="165"/>
      <c r="BG293" s="55"/>
      <c r="BH293" s="10"/>
      <c r="BI293" s="55"/>
      <c r="BJ293" s="55"/>
      <c r="BK293" s="55"/>
      <c r="BL293" s="55"/>
      <c r="BT293" s="141"/>
      <c r="CN293" s="141"/>
      <c r="DG293" s="141"/>
    </row>
    <row r="294" spans="1:111" s="93" customFormat="1" x14ac:dyDescent="0.15">
      <c r="A294" s="11"/>
      <c r="B294" s="13"/>
      <c r="C294" s="12"/>
      <c r="D294" s="13"/>
      <c r="E294" s="13"/>
      <c r="F294" s="12"/>
      <c r="G294" s="55"/>
      <c r="H294" s="55"/>
      <c r="I294" s="55"/>
      <c r="J294" s="55"/>
      <c r="K294" s="55"/>
      <c r="L294" s="158"/>
      <c r="M294" s="10"/>
      <c r="N294" s="55"/>
      <c r="O294" s="55"/>
      <c r="P294" s="10"/>
      <c r="Q294" s="10"/>
      <c r="R294" s="155"/>
      <c r="S294" s="171"/>
      <c r="T294" s="161"/>
      <c r="U294" s="55"/>
      <c r="V294" s="55"/>
      <c r="W294" s="55"/>
      <c r="X294" s="155"/>
      <c r="Y294" s="171"/>
      <c r="Z294" s="165"/>
      <c r="AA294" s="10"/>
      <c r="AB294" s="55"/>
      <c r="AC294" s="55"/>
      <c r="AD294" s="55"/>
      <c r="AE294" s="55"/>
      <c r="AF294" s="55"/>
      <c r="AG294" s="167"/>
      <c r="AH294" s="55"/>
      <c r="AI294" s="55"/>
      <c r="AJ294" s="165"/>
      <c r="AK294" s="55"/>
      <c r="AL294" s="55"/>
      <c r="AM294" s="55"/>
      <c r="AN294" s="55"/>
      <c r="AO294" s="55"/>
      <c r="AP294" s="55"/>
      <c r="AQ294" s="55"/>
      <c r="AR294" s="55"/>
      <c r="AS294" s="165"/>
      <c r="AT294" s="55"/>
      <c r="AU294" s="55"/>
      <c r="AV294" s="55"/>
      <c r="AW294" s="55"/>
      <c r="AX294" s="55"/>
      <c r="AY294" s="55"/>
      <c r="AZ294" s="55"/>
      <c r="BA294" s="55"/>
      <c r="BB294" s="165"/>
      <c r="BC294" s="55"/>
      <c r="BD294" s="55"/>
      <c r="BE294" s="55"/>
      <c r="BF294" s="165"/>
      <c r="BG294" s="55"/>
      <c r="BH294" s="10"/>
      <c r="BI294" s="55"/>
      <c r="BJ294" s="55"/>
      <c r="BK294" s="55"/>
      <c r="BL294" s="55"/>
      <c r="BT294" s="141"/>
      <c r="CN294" s="141"/>
      <c r="DG294" s="141"/>
    </row>
    <row r="295" spans="1:111" s="93" customFormat="1" x14ac:dyDescent="0.15">
      <c r="A295" s="11"/>
      <c r="B295" s="13"/>
      <c r="C295" s="12"/>
      <c r="D295" s="13"/>
      <c r="E295" s="13"/>
      <c r="F295" s="12"/>
      <c r="G295" s="55"/>
      <c r="H295" s="55"/>
      <c r="I295" s="55"/>
      <c r="J295" s="55"/>
      <c r="K295" s="55"/>
      <c r="L295" s="158"/>
      <c r="M295" s="10"/>
      <c r="N295" s="55"/>
      <c r="O295" s="55"/>
      <c r="P295" s="10"/>
      <c r="Q295" s="10"/>
      <c r="R295" s="155"/>
      <c r="S295" s="171"/>
      <c r="T295" s="161"/>
      <c r="U295" s="55"/>
      <c r="V295" s="55"/>
      <c r="W295" s="55"/>
      <c r="X295" s="155"/>
      <c r="Y295" s="171"/>
      <c r="Z295" s="165"/>
      <c r="AA295" s="10"/>
      <c r="AB295" s="55"/>
      <c r="AC295" s="55"/>
      <c r="AD295" s="55"/>
      <c r="AE295" s="55"/>
      <c r="AF295" s="55"/>
      <c r="AG295" s="167"/>
      <c r="AH295" s="55"/>
      <c r="AI295" s="55"/>
      <c r="AJ295" s="165"/>
      <c r="AK295" s="55"/>
      <c r="AL295" s="55"/>
      <c r="AM295" s="55"/>
      <c r="AN295" s="55"/>
      <c r="AO295" s="55"/>
      <c r="AP295" s="55"/>
      <c r="AQ295" s="55"/>
      <c r="AR295" s="55"/>
      <c r="AS295" s="165"/>
      <c r="AT295" s="55"/>
      <c r="AU295" s="55"/>
      <c r="AV295" s="55"/>
      <c r="AW295" s="55"/>
      <c r="AX295" s="55"/>
      <c r="AY295" s="55"/>
      <c r="AZ295" s="55"/>
      <c r="BA295" s="55"/>
      <c r="BB295" s="165"/>
      <c r="BC295" s="55"/>
      <c r="BD295" s="55"/>
      <c r="BE295" s="55"/>
      <c r="BF295" s="165"/>
      <c r="BG295" s="55"/>
      <c r="BH295" s="10"/>
      <c r="BI295" s="55"/>
      <c r="BJ295" s="55"/>
      <c r="BK295" s="55"/>
      <c r="BL295" s="55"/>
      <c r="BT295" s="141"/>
      <c r="CN295" s="141"/>
      <c r="DG295" s="141"/>
    </row>
    <row r="296" spans="1:111" s="93" customFormat="1" x14ac:dyDescent="0.15">
      <c r="A296" s="11"/>
      <c r="B296" s="13"/>
      <c r="C296" s="12"/>
      <c r="D296" s="13"/>
      <c r="E296" s="13"/>
      <c r="F296" s="12"/>
      <c r="G296" s="55"/>
      <c r="H296" s="55"/>
      <c r="I296" s="55"/>
      <c r="J296" s="55"/>
      <c r="K296" s="55"/>
      <c r="L296" s="158"/>
      <c r="M296" s="10"/>
      <c r="N296" s="55"/>
      <c r="O296" s="55"/>
      <c r="P296" s="10"/>
      <c r="Q296" s="10"/>
      <c r="R296" s="155"/>
      <c r="S296" s="171"/>
      <c r="T296" s="161"/>
      <c r="U296" s="55"/>
      <c r="V296" s="55"/>
      <c r="W296" s="55"/>
      <c r="X296" s="155"/>
      <c r="Y296" s="171"/>
      <c r="Z296" s="165"/>
      <c r="AA296" s="10"/>
      <c r="AB296" s="55"/>
      <c r="AC296" s="55"/>
      <c r="AD296" s="55"/>
      <c r="AE296" s="55"/>
      <c r="AF296" s="55"/>
      <c r="AG296" s="167"/>
      <c r="AH296" s="55"/>
      <c r="AI296" s="55"/>
      <c r="AJ296" s="165"/>
      <c r="AK296" s="55"/>
      <c r="AL296" s="55"/>
      <c r="AM296" s="55"/>
      <c r="AN296" s="55"/>
      <c r="AO296" s="55"/>
      <c r="AP296" s="55"/>
      <c r="AQ296" s="55"/>
      <c r="AR296" s="55"/>
      <c r="AS296" s="165"/>
      <c r="AT296" s="55"/>
      <c r="AU296" s="55"/>
      <c r="AV296" s="55"/>
      <c r="AW296" s="55"/>
      <c r="AX296" s="55"/>
      <c r="AY296" s="55"/>
      <c r="AZ296" s="55"/>
      <c r="BA296" s="55"/>
      <c r="BB296" s="165"/>
      <c r="BC296" s="55"/>
      <c r="BD296" s="55"/>
      <c r="BE296" s="55"/>
      <c r="BF296" s="165"/>
      <c r="BG296" s="55"/>
      <c r="BH296" s="10"/>
      <c r="BI296" s="55"/>
      <c r="BJ296" s="55"/>
      <c r="BK296" s="55"/>
      <c r="BL296" s="55"/>
      <c r="BT296" s="141"/>
      <c r="CN296" s="141"/>
      <c r="DG296" s="141"/>
    </row>
    <row r="297" spans="1:111" s="93" customFormat="1" x14ac:dyDescent="0.15">
      <c r="A297" s="11"/>
      <c r="B297" s="13"/>
      <c r="C297" s="12"/>
      <c r="D297" s="13"/>
      <c r="E297" s="13"/>
      <c r="F297" s="12"/>
      <c r="G297" s="55"/>
      <c r="H297" s="55"/>
      <c r="I297" s="55"/>
      <c r="J297" s="55"/>
      <c r="K297" s="55"/>
      <c r="L297" s="158"/>
      <c r="M297" s="10"/>
      <c r="N297" s="55"/>
      <c r="O297" s="55"/>
      <c r="P297" s="10"/>
      <c r="Q297" s="10"/>
      <c r="R297" s="155"/>
      <c r="S297" s="171"/>
      <c r="T297" s="161"/>
      <c r="U297" s="55"/>
      <c r="V297" s="55"/>
      <c r="W297" s="55"/>
      <c r="X297" s="155"/>
      <c r="Y297" s="171"/>
      <c r="Z297" s="165"/>
      <c r="AA297" s="10"/>
      <c r="AB297" s="55"/>
      <c r="AC297" s="55"/>
      <c r="AD297" s="55"/>
      <c r="AE297" s="55"/>
      <c r="AF297" s="55"/>
      <c r="AG297" s="167"/>
      <c r="AH297" s="55"/>
      <c r="AI297" s="55"/>
      <c r="AJ297" s="165"/>
      <c r="AK297" s="55"/>
      <c r="AL297" s="55"/>
      <c r="AM297" s="55"/>
      <c r="AN297" s="55"/>
      <c r="AO297" s="55"/>
      <c r="AP297" s="55"/>
      <c r="AQ297" s="55"/>
      <c r="AR297" s="55"/>
      <c r="AS297" s="165"/>
      <c r="AT297" s="55"/>
      <c r="AU297" s="55"/>
      <c r="AV297" s="55"/>
      <c r="AW297" s="55"/>
      <c r="AX297" s="55"/>
      <c r="AY297" s="55"/>
      <c r="AZ297" s="55"/>
      <c r="BA297" s="55"/>
      <c r="BB297" s="165"/>
      <c r="BC297" s="55"/>
      <c r="BD297" s="55"/>
      <c r="BE297" s="55"/>
      <c r="BF297" s="165"/>
      <c r="BG297" s="55"/>
      <c r="BH297" s="10"/>
      <c r="BI297" s="55"/>
      <c r="BJ297" s="55"/>
      <c r="BK297" s="55"/>
      <c r="BL297" s="55"/>
      <c r="BT297" s="141"/>
      <c r="CN297" s="141"/>
      <c r="DG297" s="141"/>
    </row>
    <row r="298" spans="1:111" s="93" customFormat="1" x14ac:dyDescent="0.15">
      <c r="A298" s="11"/>
      <c r="B298" s="13"/>
      <c r="C298" s="12"/>
      <c r="D298" s="13"/>
      <c r="E298" s="13"/>
      <c r="F298" s="12"/>
      <c r="G298" s="55"/>
      <c r="H298" s="55"/>
      <c r="I298" s="55"/>
      <c r="J298" s="55"/>
      <c r="K298" s="55"/>
      <c r="L298" s="158"/>
      <c r="M298" s="10"/>
      <c r="N298" s="55"/>
      <c r="O298" s="55"/>
      <c r="P298" s="10"/>
      <c r="Q298" s="10"/>
      <c r="R298" s="155"/>
      <c r="S298" s="171"/>
      <c r="T298" s="161"/>
      <c r="U298" s="55"/>
      <c r="V298" s="55"/>
      <c r="W298" s="55"/>
      <c r="X298" s="155"/>
      <c r="Y298" s="171"/>
      <c r="Z298" s="165"/>
      <c r="AA298" s="10"/>
      <c r="AB298" s="55"/>
      <c r="AC298" s="55"/>
      <c r="AD298" s="55"/>
      <c r="AE298" s="55"/>
      <c r="AF298" s="55"/>
      <c r="AG298" s="167"/>
      <c r="AH298" s="55"/>
      <c r="AI298" s="55"/>
      <c r="AJ298" s="165"/>
      <c r="AK298" s="55"/>
      <c r="AL298" s="55"/>
      <c r="AM298" s="55"/>
      <c r="AN298" s="55"/>
      <c r="AO298" s="55"/>
      <c r="AP298" s="55"/>
      <c r="AQ298" s="55"/>
      <c r="AR298" s="55"/>
      <c r="AS298" s="165"/>
      <c r="AT298" s="55"/>
      <c r="AU298" s="55"/>
      <c r="AV298" s="55"/>
      <c r="AW298" s="55"/>
      <c r="AX298" s="55"/>
      <c r="AY298" s="55"/>
      <c r="AZ298" s="55"/>
      <c r="BA298" s="55"/>
      <c r="BB298" s="165"/>
      <c r="BC298" s="55"/>
      <c r="BD298" s="55"/>
      <c r="BE298" s="55"/>
      <c r="BF298" s="165"/>
      <c r="BG298" s="55"/>
      <c r="BH298" s="10"/>
      <c r="BI298" s="55"/>
      <c r="BJ298" s="55"/>
      <c r="BK298" s="55"/>
      <c r="BL298" s="55"/>
      <c r="BT298" s="141"/>
      <c r="CN298" s="141"/>
      <c r="DG298" s="141"/>
    </row>
    <row r="299" spans="1:111" s="93" customFormat="1" x14ac:dyDescent="0.15">
      <c r="A299" s="11"/>
      <c r="B299" s="13"/>
      <c r="C299" s="12"/>
      <c r="D299" s="13"/>
      <c r="E299" s="13"/>
      <c r="F299" s="12"/>
      <c r="G299" s="55"/>
      <c r="H299" s="55"/>
      <c r="I299" s="55"/>
      <c r="J299" s="55"/>
      <c r="K299" s="55"/>
      <c r="L299" s="158"/>
      <c r="M299" s="10"/>
      <c r="N299" s="55"/>
      <c r="O299" s="55"/>
      <c r="P299" s="10"/>
      <c r="Q299" s="10"/>
      <c r="R299" s="155"/>
      <c r="S299" s="171"/>
      <c r="T299" s="161"/>
      <c r="U299" s="55"/>
      <c r="V299" s="55"/>
      <c r="W299" s="55"/>
      <c r="X299" s="155"/>
      <c r="Y299" s="171"/>
      <c r="Z299" s="165"/>
      <c r="AA299" s="10"/>
      <c r="AB299" s="55"/>
      <c r="AC299" s="55"/>
      <c r="AD299" s="55"/>
      <c r="AE299" s="55"/>
      <c r="AF299" s="55"/>
      <c r="AG299" s="167"/>
      <c r="AH299" s="55"/>
      <c r="AI299" s="55"/>
      <c r="AJ299" s="165"/>
      <c r="AK299" s="55"/>
      <c r="AL299" s="55"/>
      <c r="AM299" s="55"/>
      <c r="AN299" s="55"/>
      <c r="AO299" s="55"/>
      <c r="AP299" s="55"/>
      <c r="AQ299" s="55"/>
      <c r="AR299" s="55"/>
      <c r="AS299" s="165"/>
      <c r="AT299" s="55"/>
      <c r="AU299" s="55"/>
      <c r="AV299" s="55"/>
      <c r="AW299" s="55"/>
      <c r="AX299" s="55"/>
      <c r="AY299" s="55"/>
      <c r="AZ299" s="55"/>
      <c r="BA299" s="55"/>
      <c r="BB299" s="165"/>
      <c r="BC299" s="55"/>
      <c r="BD299" s="55"/>
      <c r="BE299" s="55"/>
      <c r="BF299" s="165"/>
      <c r="BG299" s="55"/>
      <c r="BH299" s="10"/>
      <c r="BI299" s="55"/>
      <c r="BJ299" s="55"/>
      <c r="BK299" s="55"/>
      <c r="BL299" s="55"/>
      <c r="BT299" s="141"/>
      <c r="CN299" s="141"/>
      <c r="DG299" s="141"/>
    </row>
    <row r="300" spans="1:111" s="93" customFormat="1" x14ac:dyDescent="0.15">
      <c r="A300" s="11"/>
      <c r="B300" s="13"/>
      <c r="C300" s="12"/>
      <c r="D300" s="13"/>
      <c r="E300" s="13"/>
      <c r="F300" s="12"/>
      <c r="G300" s="55"/>
      <c r="H300" s="55"/>
      <c r="I300" s="55"/>
      <c r="J300" s="55"/>
      <c r="K300" s="55"/>
      <c r="L300" s="158"/>
      <c r="M300" s="10"/>
      <c r="N300" s="55"/>
      <c r="O300" s="55"/>
      <c r="P300" s="10"/>
      <c r="Q300" s="10"/>
      <c r="R300" s="155"/>
      <c r="S300" s="171"/>
      <c r="T300" s="161"/>
      <c r="U300" s="55"/>
      <c r="V300" s="55"/>
      <c r="W300" s="55"/>
      <c r="X300" s="155"/>
      <c r="Y300" s="171"/>
      <c r="Z300" s="165"/>
      <c r="AA300" s="10"/>
      <c r="AB300" s="55"/>
      <c r="AC300" s="55"/>
      <c r="AD300" s="55"/>
      <c r="AE300" s="55"/>
      <c r="AF300" s="55"/>
      <c r="AG300" s="167"/>
      <c r="AH300" s="55"/>
      <c r="AI300" s="55"/>
      <c r="AJ300" s="165"/>
      <c r="AK300" s="55"/>
      <c r="AL300" s="55"/>
      <c r="AM300" s="55"/>
      <c r="AN300" s="55"/>
      <c r="AO300" s="55"/>
      <c r="AP300" s="55"/>
      <c r="AQ300" s="55"/>
      <c r="AR300" s="55"/>
      <c r="AS300" s="165"/>
      <c r="AT300" s="55"/>
      <c r="AU300" s="55"/>
      <c r="AV300" s="55"/>
      <c r="AW300" s="55"/>
      <c r="AX300" s="55"/>
      <c r="AY300" s="55"/>
      <c r="AZ300" s="55"/>
      <c r="BA300" s="55"/>
      <c r="BB300" s="165"/>
      <c r="BC300" s="55"/>
      <c r="BD300" s="55"/>
      <c r="BE300" s="55"/>
      <c r="BF300" s="165"/>
      <c r="BG300" s="55"/>
      <c r="BH300" s="10"/>
      <c r="BI300" s="55"/>
      <c r="BJ300" s="55"/>
      <c r="BK300" s="55"/>
      <c r="BL300" s="55"/>
      <c r="BT300" s="141"/>
      <c r="CN300" s="141"/>
      <c r="DG300" s="141"/>
    </row>
    <row r="301" spans="1:111" s="93" customFormat="1" x14ac:dyDescent="0.15">
      <c r="A301" s="11"/>
      <c r="B301" s="13"/>
      <c r="C301" s="12"/>
      <c r="D301" s="13"/>
      <c r="E301" s="13"/>
      <c r="F301" s="12"/>
      <c r="G301" s="55"/>
      <c r="H301" s="55"/>
      <c r="I301" s="55"/>
      <c r="J301" s="55"/>
      <c r="K301" s="55"/>
      <c r="L301" s="158"/>
      <c r="M301" s="10"/>
      <c r="N301" s="55"/>
      <c r="O301" s="55"/>
      <c r="P301" s="10"/>
      <c r="Q301" s="10"/>
      <c r="R301" s="155"/>
      <c r="S301" s="171"/>
      <c r="T301" s="161"/>
      <c r="U301" s="55"/>
      <c r="V301" s="55"/>
      <c r="W301" s="55"/>
      <c r="X301" s="155"/>
      <c r="Y301" s="171"/>
      <c r="Z301" s="165"/>
      <c r="AA301" s="10"/>
      <c r="AB301" s="55"/>
      <c r="AC301" s="55"/>
      <c r="AD301" s="55"/>
      <c r="AE301" s="55"/>
      <c r="AF301" s="55"/>
      <c r="AG301" s="167"/>
      <c r="AH301" s="55"/>
      <c r="AI301" s="55"/>
      <c r="AJ301" s="165"/>
      <c r="AK301" s="55"/>
      <c r="AL301" s="55"/>
      <c r="AM301" s="55"/>
      <c r="AN301" s="55"/>
      <c r="AO301" s="55"/>
      <c r="AP301" s="55"/>
      <c r="AQ301" s="55"/>
      <c r="AR301" s="55"/>
      <c r="AS301" s="165"/>
      <c r="AT301" s="55"/>
      <c r="AU301" s="55"/>
      <c r="AV301" s="55"/>
      <c r="AW301" s="55"/>
      <c r="AX301" s="55"/>
      <c r="AY301" s="55"/>
      <c r="AZ301" s="55"/>
      <c r="BA301" s="55"/>
      <c r="BB301" s="165"/>
      <c r="BC301" s="55"/>
      <c r="BD301" s="55"/>
      <c r="BE301" s="55"/>
      <c r="BF301" s="165"/>
      <c r="BG301" s="55"/>
      <c r="BH301" s="10"/>
      <c r="BI301" s="55"/>
      <c r="BJ301" s="55"/>
      <c r="BK301" s="55"/>
      <c r="BL301" s="55"/>
      <c r="BT301" s="141"/>
      <c r="CN301" s="141"/>
      <c r="DG301" s="141"/>
    </row>
    <row r="302" spans="1:111" s="93" customFormat="1" x14ac:dyDescent="0.15">
      <c r="A302" s="11"/>
      <c r="B302" s="13"/>
      <c r="C302" s="12"/>
      <c r="D302" s="13"/>
      <c r="E302" s="13"/>
      <c r="F302" s="12"/>
      <c r="G302" s="55"/>
      <c r="H302" s="55"/>
      <c r="I302" s="55"/>
      <c r="J302" s="55"/>
      <c r="K302" s="55"/>
      <c r="L302" s="158"/>
      <c r="M302" s="10"/>
      <c r="N302" s="55"/>
      <c r="O302" s="55"/>
      <c r="P302" s="10"/>
      <c r="Q302" s="10"/>
      <c r="R302" s="155"/>
      <c r="S302" s="171"/>
      <c r="T302" s="161"/>
      <c r="U302" s="55"/>
      <c r="V302" s="55"/>
      <c r="W302" s="55"/>
      <c r="X302" s="155"/>
      <c r="Y302" s="171"/>
      <c r="Z302" s="165"/>
      <c r="AA302" s="10"/>
      <c r="AB302" s="55"/>
      <c r="AC302" s="55"/>
      <c r="AD302" s="55"/>
      <c r="AE302" s="55"/>
      <c r="AF302" s="55"/>
      <c r="AG302" s="167"/>
      <c r="AH302" s="55"/>
      <c r="AI302" s="55"/>
      <c r="AJ302" s="165"/>
      <c r="AK302" s="55"/>
      <c r="AL302" s="55"/>
      <c r="AM302" s="55"/>
      <c r="AN302" s="55"/>
      <c r="AO302" s="55"/>
      <c r="AP302" s="55"/>
      <c r="AQ302" s="55"/>
      <c r="AR302" s="55"/>
      <c r="AS302" s="165"/>
      <c r="AT302" s="55"/>
      <c r="AU302" s="55"/>
      <c r="AV302" s="55"/>
      <c r="AW302" s="55"/>
      <c r="AX302" s="55"/>
      <c r="AY302" s="55"/>
      <c r="AZ302" s="55"/>
      <c r="BA302" s="55"/>
      <c r="BB302" s="165"/>
      <c r="BC302" s="55"/>
      <c r="BD302" s="55"/>
      <c r="BE302" s="55"/>
      <c r="BF302" s="165"/>
      <c r="BG302" s="55"/>
      <c r="BH302" s="10"/>
      <c r="BI302" s="55"/>
      <c r="BJ302" s="55"/>
      <c r="BK302" s="55"/>
      <c r="BL302" s="55"/>
      <c r="BT302" s="141"/>
      <c r="CN302" s="141"/>
      <c r="DG302" s="141"/>
    </row>
    <row r="303" spans="1:111" s="93" customFormat="1" x14ac:dyDescent="0.15">
      <c r="A303" s="11"/>
      <c r="B303" s="13"/>
      <c r="C303" s="12"/>
      <c r="D303" s="13"/>
      <c r="E303" s="13"/>
      <c r="F303" s="12"/>
      <c r="G303" s="55"/>
      <c r="H303" s="55"/>
      <c r="I303" s="55"/>
      <c r="J303" s="55"/>
      <c r="K303" s="55"/>
      <c r="L303" s="158"/>
      <c r="M303" s="10"/>
      <c r="N303" s="55"/>
      <c r="O303" s="55"/>
      <c r="P303" s="10"/>
      <c r="Q303" s="10"/>
      <c r="R303" s="155"/>
      <c r="S303" s="171"/>
      <c r="T303" s="161"/>
      <c r="U303" s="55"/>
      <c r="V303" s="55"/>
      <c r="W303" s="55"/>
      <c r="X303" s="155"/>
      <c r="Y303" s="171"/>
      <c r="Z303" s="165"/>
      <c r="AA303" s="10"/>
      <c r="AB303" s="55"/>
      <c r="AC303" s="55"/>
      <c r="AD303" s="55"/>
      <c r="AE303" s="55"/>
      <c r="AF303" s="55"/>
      <c r="AG303" s="167"/>
      <c r="AH303" s="55"/>
      <c r="AI303" s="55"/>
      <c r="AJ303" s="165"/>
      <c r="AK303" s="55"/>
      <c r="AL303" s="55"/>
      <c r="AM303" s="55"/>
      <c r="AN303" s="55"/>
      <c r="AO303" s="55"/>
      <c r="AP303" s="55"/>
      <c r="AQ303" s="55"/>
      <c r="AR303" s="55"/>
      <c r="AS303" s="165"/>
      <c r="AT303" s="55"/>
      <c r="AU303" s="55"/>
      <c r="AV303" s="55"/>
      <c r="AW303" s="55"/>
      <c r="AX303" s="55"/>
      <c r="AY303" s="55"/>
      <c r="AZ303" s="55"/>
      <c r="BA303" s="55"/>
      <c r="BB303" s="165"/>
      <c r="BC303" s="55"/>
      <c r="BD303" s="55"/>
      <c r="BE303" s="55"/>
      <c r="BF303" s="165"/>
      <c r="BG303" s="55"/>
      <c r="BH303" s="10"/>
      <c r="BI303" s="55"/>
      <c r="BJ303" s="55"/>
      <c r="BK303" s="55"/>
      <c r="BL303" s="55"/>
      <c r="BT303" s="141"/>
      <c r="CN303" s="141"/>
      <c r="DG303" s="141"/>
    </row>
    <row r="304" spans="1:111" s="93" customFormat="1" x14ac:dyDescent="0.15">
      <c r="A304" s="11"/>
      <c r="B304" s="13"/>
      <c r="C304" s="12"/>
      <c r="D304" s="13"/>
      <c r="E304" s="13"/>
      <c r="F304" s="12"/>
      <c r="G304" s="55"/>
      <c r="H304" s="55"/>
      <c r="I304" s="55"/>
      <c r="J304" s="55"/>
      <c r="K304" s="55"/>
      <c r="L304" s="158"/>
      <c r="M304" s="10"/>
      <c r="N304" s="55"/>
      <c r="O304" s="55"/>
      <c r="P304" s="10"/>
      <c r="Q304" s="10"/>
      <c r="R304" s="155"/>
      <c r="S304" s="171"/>
      <c r="T304" s="161"/>
      <c r="U304" s="55"/>
      <c r="V304" s="55"/>
      <c r="W304" s="55"/>
      <c r="X304" s="155"/>
      <c r="Y304" s="171"/>
      <c r="Z304" s="165"/>
      <c r="AA304" s="10"/>
      <c r="AB304" s="55"/>
      <c r="AC304" s="55"/>
      <c r="AD304" s="55"/>
      <c r="AE304" s="55"/>
      <c r="AF304" s="55"/>
      <c r="AG304" s="167"/>
      <c r="AH304" s="55"/>
      <c r="AI304" s="55"/>
      <c r="AJ304" s="165"/>
      <c r="AK304" s="55"/>
      <c r="AL304" s="55"/>
      <c r="AM304" s="55"/>
      <c r="AN304" s="55"/>
      <c r="AO304" s="55"/>
      <c r="AP304" s="55"/>
      <c r="AQ304" s="55"/>
      <c r="AR304" s="55"/>
      <c r="AS304" s="165"/>
      <c r="AT304" s="55"/>
      <c r="AU304" s="55"/>
      <c r="AV304" s="55"/>
      <c r="AW304" s="55"/>
      <c r="AX304" s="55"/>
      <c r="AY304" s="55"/>
      <c r="AZ304" s="55"/>
      <c r="BA304" s="55"/>
      <c r="BB304" s="165"/>
      <c r="BC304" s="55"/>
      <c r="BD304" s="55"/>
      <c r="BE304" s="55"/>
      <c r="BF304" s="165"/>
      <c r="BG304" s="55"/>
      <c r="BH304" s="10"/>
      <c r="BI304" s="55"/>
      <c r="BJ304" s="55"/>
      <c r="BK304" s="55"/>
      <c r="BL304" s="55"/>
      <c r="BT304" s="141"/>
      <c r="CN304" s="141"/>
      <c r="DG304" s="141"/>
    </row>
    <row r="305" spans="1:111" s="93" customFormat="1" x14ac:dyDescent="0.15">
      <c r="A305" s="11"/>
      <c r="B305" s="13"/>
      <c r="C305" s="12"/>
      <c r="D305" s="13"/>
      <c r="E305" s="13"/>
      <c r="F305" s="12"/>
      <c r="G305" s="55"/>
      <c r="H305" s="55"/>
      <c r="I305" s="55"/>
      <c r="J305" s="55"/>
      <c r="K305" s="55"/>
      <c r="L305" s="158"/>
      <c r="M305" s="10"/>
      <c r="N305" s="55"/>
      <c r="O305" s="55"/>
      <c r="P305" s="10"/>
      <c r="Q305" s="10"/>
      <c r="R305" s="155"/>
      <c r="S305" s="171"/>
      <c r="T305" s="161"/>
      <c r="U305" s="55"/>
      <c r="V305" s="55"/>
      <c r="W305" s="55"/>
      <c r="X305" s="155"/>
      <c r="Y305" s="171"/>
      <c r="Z305" s="165"/>
      <c r="AA305" s="10"/>
      <c r="AB305" s="55"/>
      <c r="AC305" s="55"/>
      <c r="AD305" s="55"/>
      <c r="AE305" s="55"/>
      <c r="AF305" s="55"/>
      <c r="AG305" s="167"/>
      <c r="AH305" s="55"/>
      <c r="AI305" s="55"/>
      <c r="AJ305" s="165"/>
      <c r="AK305" s="55"/>
      <c r="AL305" s="55"/>
      <c r="AM305" s="55"/>
      <c r="AN305" s="55"/>
      <c r="AO305" s="55"/>
      <c r="AP305" s="55"/>
      <c r="AQ305" s="55"/>
      <c r="AR305" s="55"/>
      <c r="AS305" s="165"/>
      <c r="AT305" s="55"/>
      <c r="AU305" s="55"/>
      <c r="AV305" s="55"/>
      <c r="AW305" s="55"/>
      <c r="AX305" s="55"/>
      <c r="AY305" s="55"/>
      <c r="AZ305" s="55"/>
      <c r="BA305" s="55"/>
      <c r="BB305" s="165"/>
      <c r="BC305" s="55"/>
      <c r="BD305" s="55"/>
      <c r="BE305" s="55"/>
      <c r="BF305" s="165"/>
      <c r="BG305" s="55"/>
      <c r="BH305" s="10"/>
      <c r="BI305" s="55"/>
      <c r="BJ305" s="55"/>
      <c r="BK305" s="55"/>
      <c r="BL305" s="55"/>
      <c r="BT305" s="141"/>
      <c r="CN305" s="141"/>
      <c r="DG305" s="141"/>
    </row>
    <row r="306" spans="1:111" s="93" customFormat="1" x14ac:dyDescent="0.15">
      <c r="A306" s="11"/>
      <c r="B306" s="13"/>
      <c r="C306" s="12"/>
      <c r="D306" s="13"/>
      <c r="E306" s="13"/>
      <c r="F306" s="12"/>
      <c r="G306" s="55"/>
      <c r="H306" s="55"/>
      <c r="I306" s="55"/>
      <c r="J306" s="55"/>
      <c r="K306" s="55"/>
      <c r="L306" s="158"/>
      <c r="M306" s="10"/>
      <c r="N306" s="55"/>
      <c r="O306" s="55"/>
      <c r="P306" s="10"/>
      <c r="Q306" s="10"/>
      <c r="R306" s="155"/>
      <c r="S306" s="171"/>
      <c r="T306" s="161"/>
      <c r="U306" s="55"/>
      <c r="V306" s="55"/>
      <c r="W306" s="55"/>
      <c r="X306" s="155"/>
      <c r="Y306" s="171"/>
      <c r="Z306" s="165"/>
      <c r="AA306" s="10"/>
      <c r="AB306" s="55"/>
      <c r="AC306" s="55"/>
      <c r="AD306" s="55"/>
      <c r="AE306" s="55"/>
      <c r="AF306" s="55"/>
      <c r="AG306" s="167"/>
      <c r="AH306" s="55"/>
      <c r="AI306" s="55"/>
      <c r="AJ306" s="165"/>
      <c r="AK306" s="55"/>
      <c r="AL306" s="55"/>
      <c r="AM306" s="55"/>
      <c r="AN306" s="55"/>
      <c r="AO306" s="55"/>
      <c r="AP306" s="55"/>
      <c r="AQ306" s="55"/>
      <c r="AR306" s="55"/>
      <c r="AS306" s="165"/>
      <c r="AT306" s="55"/>
      <c r="AU306" s="55"/>
      <c r="AV306" s="55"/>
      <c r="AW306" s="55"/>
      <c r="AX306" s="55"/>
      <c r="AY306" s="55"/>
      <c r="AZ306" s="55"/>
      <c r="BA306" s="55"/>
      <c r="BB306" s="165"/>
      <c r="BC306" s="55"/>
      <c r="BD306" s="55"/>
      <c r="BE306" s="55"/>
      <c r="BF306" s="165"/>
      <c r="BG306" s="55"/>
      <c r="BH306" s="10"/>
      <c r="BI306" s="55"/>
      <c r="BJ306" s="55"/>
      <c r="BK306" s="55"/>
      <c r="BL306" s="55"/>
      <c r="BT306" s="141"/>
      <c r="CN306" s="141"/>
      <c r="DG306" s="141"/>
    </row>
    <row r="307" spans="1:111" s="93" customFormat="1" x14ac:dyDescent="0.15">
      <c r="A307" s="11"/>
      <c r="B307" s="13"/>
      <c r="C307" s="12"/>
      <c r="D307" s="13"/>
      <c r="E307" s="13"/>
      <c r="F307" s="12"/>
      <c r="G307" s="55"/>
      <c r="H307" s="55"/>
      <c r="I307" s="55"/>
      <c r="J307" s="55"/>
      <c r="K307" s="55"/>
      <c r="L307" s="158"/>
      <c r="M307" s="10"/>
      <c r="N307" s="55"/>
      <c r="O307" s="55"/>
      <c r="P307" s="10"/>
      <c r="Q307" s="10"/>
      <c r="R307" s="155"/>
      <c r="S307" s="171"/>
      <c r="T307" s="161"/>
      <c r="U307" s="55"/>
      <c r="V307" s="55"/>
      <c r="W307" s="55"/>
      <c r="X307" s="155"/>
      <c r="Y307" s="171"/>
      <c r="Z307" s="165"/>
      <c r="AA307" s="10"/>
      <c r="AB307" s="55"/>
      <c r="AC307" s="55"/>
      <c r="AD307" s="55"/>
      <c r="AE307" s="55"/>
      <c r="AF307" s="55"/>
      <c r="AG307" s="167"/>
      <c r="AH307" s="55"/>
      <c r="AI307" s="55"/>
      <c r="AJ307" s="165"/>
      <c r="AK307" s="55"/>
      <c r="AL307" s="55"/>
      <c r="AM307" s="55"/>
      <c r="AN307" s="55"/>
      <c r="AO307" s="55"/>
      <c r="AP307" s="55"/>
      <c r="AQ307" s="55"/>
      <c r="AR307" s="55"/>
      <c r="AS307" s="165"/>
      <c r="AT307" s="55"/>
      <c r="AU307" s="55"/>
      <c r="AV307" s="55"/>
      <c r="AW307" s="55"/>
      <c r="AX307" s="55"/>
      <c r="AY307" s="55"/>
      <c r="AZ307" s="55"/>
      <c r="BA307" s="55"/>
      <c r="BB307" s="165"/>
      <c r="BC307" s="55"/>
      <c r="BD307" s="55"/>
      <c r="BE307" s="55"/>
      <c r="BF307" s="165"/>
      <c r="BG307" s="55"/>
      <c r="BH307" s="10"/>
      <c r="BI307" s="55"/>
      <c r="BJ307" s="55"/>
      <c r="BK307" s="55"/>
      <c r="BL307" s="55"/>
      <c r="BT307" s="141"/>
      <c r="CN307" s="141"/>
      <c r="DG307" s="141"/>
    </row>
    <row r="308" spans="1:111" s="93" customFormat="1" x14ac:dyDescent="0.15">
      <c r="A308" s="11"/>
      <c r="B308" s="13"/>
      <c r="C308" s="12"/>
      <c r="D308" s="13"/>
      <c r="E308" s="13"/>
      <c r="F308" s="12"/>
      <c r="G308" s="55"/>
      <c r="H308" s="55"/>
      <c r="I308" s="55"/>
      <c r="J308" s="55"/>
      <c r="K308" s="55"/>
      <c r="L308" s="158"/>
      <c r="M308" s="10"/>
      <c r="N308" s="55"/>
      <c r="O308" s="55"/>
      <c r="P308" s="10"/>
      <c r="Q308" s="10"/>
      <c r="R308" s="155"/>
      <c r="S308" s="171"/>
      <c r="T308" s="161"/>
      <c r="U308" s="55"/>
      <c r="V308" s="55"/>
      <c r="W308" s="55"/>
      <c r="X308" s="155"/>
      <c r="Y308" s="171"/>
      <c r="Z308" s="165"/>
      <c r="AA308" s="10"/>
      <c r="AB308" s="55"/>
      <c r="AC308" s="55"/>
      <c r="AD308" s="55"/>
      <c r="AE308" s="55"/>
      <c r="AF308" s="55"/>
      <c r="AG308" s="167"/>
      <c r="AH308" s="55"/>
      <c r="AI308" s="55"/>
      <c r="AJ308" s="165"/>
      <c r="AK308" s="55"/>
      <c r="AL308" s="55"/>
      <c r="AM308" s="55"/>
      <c r="AN308" s="55"/>
      <c r="AO308" s="55"/>
      <c r="AP308" s="55"/>
      <c r="AQ308" s="55"/>
      <c r="AR308" s="55"/>
      <c r="AS308" s="165"/>
      <c r="AT308" s="55"/>
      <c r="AU308" s="55"/>
      <c r="AV308" s="55"/>
      <c r="AW308" s="55"/>
      <c r="AX308" s="55"/>
      <c r="AY308" s="55"/>
      <c r="AZ308" s="55"/>
      <c r="BA308" s="55"/>
      <c r="BB308" s="165"/>
      <c r="BC308" s="55"/>
      <c r="BD308" s="55"/>
      <c r="BE308" s="55"/>
      <c r="BF308" s="165"/>
      <c r="BG308" s="55"/>
      <c r="BH308" s="10"/>
      <c r="BI308" s="55"/>
      <c r="BJ308" s="55"/>
      <c r="BK308" s="55"/>
      <c r="BL308" s="55"/>
      <c r="BT308" s="141"/>
      <c r="CN308" s="141"/>
      <c r="DG308" s="141"/>
    </row>
    <row r="309" spans="1:111" s="93" customFormat="1" x14ac:dyDescent="0.15">
      <c r="A309" s="11"/>
      <c r="B309" s="13"/>
      <c r="C309" s="12"/>
      <c r="D309" s="13"/>
      <c r="E309" s="13"/>
      <c r="F309" s="12"/>
      <c r="G309" s="55"/>
      <c r="H309" s="55"/>
      <c r="I309" s="55"/>
      <c r="J309" s="55"/>
      <c r="K309" s="55"/>
      <c r="L309" s="158"/>
      <c r="M309" s="10"/>
      <c r="N309" s="55"/>
      <c r="O309" s="55"/>
      <c r="P309" s="10"/>
      <c r="Q309" s="10"/>
      <c r="R309" s="155"/>
      <c r="S309" s="171"/>
      <c r="T309" s="161"/>
      <c r="U309" s="55"/>
      <c r="V309" s="55"/>
      <c r="W309" s="55"/>
      <c r="X309" s="155"/>
      <c r="Y309" s="171"/>
      <c r="Z309" s="165"/>
      <c r="AA309" s="10"/>
      <c r="AB309" s="55"/>
      <c r="AC309" s="55"/>
      <c r="AD309" s="55"/>
      <c r="AE309" s="55"/>
      <c r="AF309" s="55"/>
      <c r="AG309" s="167"/>
      <c r="AH309" s="55"/>
      <c r="AI309" s="55"/>
      <c r="AJ309" s="165"/>
      <c r="AK309" s="55"/>
      <c r="AL309" s="55"/>
      <c r="AM309" s="55"/>
      <c r="AN309" s="55"/>
      <c r="AO309" s="55"/>
      <c r="AP309" s="55"/>
      <c r="AQ309" s="55"/>
      <c r="AR309" s="55"/>
      <c r="AS309" s="165"/>
      <c r="AT309" s="55"/>
      <c r="AU309" s="55"/>
      <c r="AV309" s="55"/>
      <c r="AW309" s="55"/>
      <c r="AX309" s="55"/>
      <c r="AY309" s="55"/>
      <c r="AZ309" s="55"/>
      <c r="BA309" s="55"/>
      <c r="BB309" s="165"/>
      <c r="BC309" s="55"/>
      <c r="BD309" s="55"/>
      <c r="BE309" s="55"/>
      <c r="BF309" s="165"/>
      <c r="BG309" s="55"/>
      <c r="BH309" s="10"/>
      <c r="BI309" s="55"/>
      <c r="BJ309" s="55"/>
      <c r="BK309" s="55"/>
      <c r="BL309" s="55"/>
      <c r="BT309" s="141"/>
      <c r="CN309" s="141"/>
      <c r="DG309" s="141"/>
    </row>
    <row r="310" spans="1:111" s="93" customFormat="1" x14ac:dyDescent="0.15">
      <c r="A310" s="11"/>
      <c r="B310" s="13"/>
      <c r="C310" s="12"/>
      <c r="D310" s="13"/>
      <c r="E310" s="13"/>
      <c r="F310" s="12"/>
      <c r="G310" s="55"/>
      <c r="H310" s="55"/>
      <c r="I310" s="55"/>
      <c r="J310" s="55"/>
      <c r="K310" s="55"/>
      <c r="L310" s="158"/>
      <c r="M310" s="10"/>
      <c r="N310" s="55"/>
      <c r="O310" s="55"/>
      <c r="P310" s="10"/>
      <c r="Q310" s="10"/>
      <c r="R310" s="155"/>
      <c r="S310" s="171"/>
      <c r="T310" s="161"/>
      <c r="U310" s="55"/>
      <c r="V310" s="55"/>
      <c r="W310" s="55"/>
      <c r="X310" s="155"/>
      <c r="Y310" s="171"/>
      <c r="Z310" s="165"/>
      <c r="AA310" s="10"/>
      <c r="AB310" s="55"/>
      <c r="AC310" s="55"/>
      <c r="AD310" s="55"/>
      <c r="AE310" s="55"/>
      <c r="AF310" s="55"/>
      <c r="AG310" s="167"/>
      <c r="AH310" s="55"/>
      <c r="AI310" s="55"/>
      <c r="AJ310" s="165"/>
      <c r="AK310" s="55"/>
      <c r="AL310" s="55"/>
      <c r="AM310" s="55"/>
      <c r="AN310" s="55"/>
      <c r="AO310" s="55"/>
      <c r="AP310" s="55"/>
      <c r="AQ310" s="55"/>
      <c r="AR310" s="55"/>
      <c r="AS310" s="165"/>
      <c r="AT310" s="55"/>
      <c r="AU310" s="55"/>
      <c r="AV310" s="55"/>
      <c r="AW310" s="55"/>
      <c r="AX310" s="55"/>
      <c r="AY310" s="55"/>
      <c r="AZ310" s="55"/>
      <c r="BA310" s="55"/>
      <c r="BB310" s="165"/>
      <c r="BC310" s="55"/>
      <c r="BD310" s="55"/>
      <c r="BE310" s="55"/>
      <c r="BF310" s="165"/>
      <c r="BG310" s="55"/>
      <c r="BH310" s="10"/>
      <c r="BI310" s="55"/>
      <c r="BJ310" s="55"/>
      <c r="BK310" s="55"/>
      <c r="BL310" s="55"/>
      <c r="BT310" s="141"/>
      <c r="CN310" s="141"/>
      <c r="DG310" s="141"/>
    </row>
    <row r="311" spans="1:111" s="93" customFormat="1" x14ac:dyDescent="0.15">
      <c r="A311" s="11"/>
      <c r="B311" s="13"/>
      <c r="C311" s="12"/>
      <c r="D311" s="13"/>
      <c r="E311" s="13"/>
      <c r="F311" s="12"/>
      <c r="G311" s="55"/>
      <c r="H311" s="55"/>
      <c r="I311" s="55"/>
      <c r="J311" s="55"/>
      <c r="K311" s="55"/>
      <c r="L311" s="158"/>
      <c r="M311" s="10"/>
      <c r="N311" s="55"/>
      <c r="O311" s="55"/>
      <c r="P311" s="10"/>
      <c r="Q311" s="10"/>
      <c r="R311" s="155"/>
      <c r="S311" s="171"/>
      <c r="T311" s="161"/>
      <c r="U311" s="55"/>
      <c r="V311" s="55"/>
      <c r="W311" s="55"/>
      <c r="X311" s="155"/>
      <c r="Y311" s="171"/>
      <c r="Z311" s="165"/>
      <c r="AA311" s="10"/>
      <c r="AB311" s="55"/>
      <c r="AC311" s="55"/>
      <c r="AD311" s="55"/>
      <c r="AE311" s="55"/>
      <c r="AF311" s="55"/>
      <c r="AG311" s="167"/>
      <c r="AH311" s="55"/>
      <c r="AI311" s="55"/>
      <c r="AJ311" s="165"/>
      <c r="AK311" s="55"/>
      <c r="AL311" s="55"/>
      <c r="AM311" s="55"/>
      <c r="AN311" s="55"/>
      <c r="AO311" s="55"/>
      <c r="AP311" s="55"/>
      <c r="AQ311" s="55"/>
      <c r="AR311" s="55"/>
      <c r="AS311" s="165"/>
      <c r="AT311" s="55"/>
      <c r="AU311" s="55"/>
      <c r="AV311" s="55"/>
      <c r="AW311" s="55"/>
      <c r="AX311" s="55"/>
      <c r="AY311" s="55"/>
      <c r="AZ311" s="55"/>
      <c r="BA311" s="55"/>
      <c r="BB311" s="165"/>
      <c r="BC311" s="55"/>
      <c r="BD311" s="55"/>
      <c r="BE311" s="55"/>
      <c r="BF311" s="165"/>
      <c r="BG311" s="55"/>
      <c r="BH311" s="10"/>
      <c r="BI311" s="55"/>
      <c r="BJ311" s="55"/>
      <c r="BK311" s="55"/>
      <c r="BL311" s="55"/>
      <c r="BT311" s="141"/>
      <c r="CN311" s="141"/>
      <c r="DG311" s="141"/>
    </row>
    <row r="312" spans="1:111" s="93" customFormat="1" x14ac:dyDescent="0.15">
      <c r="A312" s="11"/>
      <c r="B312" s="13"/>
      <c r="C312" s="12"/>
      <c r="D312" s="13"/>
      <c r="E312" s="13"/>
      <c r="F312" s="12"/>
      <c r="G312" s="55"/>
      <c r="H312" s="55"/>
      <c r="I312" s="55"/>
      <c r="J312" s="55"/>
      <c r="K312" s="55"/>
      <c r="L312" s="158"/>
      <c r="M312" s="10"/>
      <c r="N312" s="55"/>
      <c r="O312" s="55"/>
      <c r="P312" s="10"/>
      <c r="Q312" s="10"/>
      <c r="R312" s="155"/>
      <c r="S312" s="171"/>
      <c r="T312" s="161"/>
      <c r="U312" s="55"/>
      <c r="V312" s="55"/>
      <c r="W312" s="55"/>
      <c r="X312" s="155"/>
      <c r="Y312" s="171"/>
      <c r="Z312" s="165"/>
      <c r="AA312" s="10"/>
      <c r="AB312" s="55"/>
      <c r="AC312" s="55"/>
      <c r="AD312" s="55"/>
      <c r="AE312" s="55"/>
      <c r="AF312" s="55"/>
      <c r="AG312" s="167"/>
      <c r="AH312" s="55"/>
      <c r="AI312" s="55"/>
      <c r="AJ312" s="165"/>
      <c r="AK312" s="55"/>
      <c r="AL312" s="55"/>
      <c r="AM312" s="55"/>
      <c r="AN312" s="55"/>
      <c r="AO312" s="55"/>
      <c r="AP312" s="55"/>
      <c r="AQ312" s="55"/>
      <c r="AR312" s="55"/>
      <c r="AS312" s="165"/>
      <c r="AT312" s="55"/>
      <c r="AU312" s="55"/>
      <c r="AV312" s="55"/>
      <c r="AW312" s="55"/>
      <c r="AX312" s="55"/>
      <c r="AY312" s="55"/>
      <c r="AZ312" s="55"/>
      <c r="BA312" s="55"/>
      <c r="BB312" s="165"/>
      <c r="BC312" s="55"/>
      <c r="BD312" s="55"/>
      <c r="BE312" s="55"/>
      <c r="BF312" s="165"/>
      <c r="BG312" s="55"/>
      <c r="BH312" s="10"/>
      <c r="BI312" s="55"/>
      <c r="BJ312" s="55"/>
      <c r="BK312" s="55"/>
      <c r="BL312" s="55"/>
      <c r="BT312" s="141"/>
      <c r="CN312" s="141"/>
      <c r="DG312" s="141"/>
    </row>
    <row r="313" spans="1:111" s="93" customFormat="1" x14ac:dyDescent="0.15">
      <c r="A313" s="11"/>
      <c r="B313" s="13"/>
      <c r="C313" s="12"/>
      <c r="D313" s="13"/>
      <c r="E313" s="13"/>
      <c r="F313" s="12"/>
      <c r="G313" s="55"/>
      <c r="H313" s="55"/>
      <c r="I313" s="55"/>
      <c r="J313" s="55"/>
      <c r="K313" s="55"/>
      <c r="L313" s="158"/>
      <c r="M313" s="10"/>
      <c r="N313" s="55"/>
      <c r="O313" s="55"/>
      <c r="P313" s="10"/>
      <c r="Q313" s="10"/>
      <c r="R313" s="155"/>
      <c r="S313" s="171"/>
      <c r="T313" s="161"/>
      <c r="U313" s="55"/>
      <c r="V313" s="55"/>
      <c r="W313" s="55"/>
      <c r="X313" s="155"/>
      <c r="Y313" s="171"/>
      <c r="Z313" s="165"/>
      <c r="AA313" s="10"/>
      <c r="AB313" s="55"/>
      <c r="AC313" s="55"/>
      <c r="AD313" s="55"/>
      <c r="AE313" s="55"/>
      <c r="AF313" s="55"/>
      <c r="AG313" s="167"/>
      <c r="AH313" s="55"/>
      <c r="AI313" s="55"/>
      <c r="AJ313" s="165"/>
      <c r="AK313" s="55"/>
      <c r="AL313" s="55"/>
      <c r="AM313" s="55"/>
      <c r="AN313" s="55"/>
      <c r="AO313" s="55"/>
      <c r="AP313" s="55"/>
      <c r="AQ313" s="55"/>
      <c r="AR313" s="55"/>
      <c r="AS313" s="165"/>
      <c r="AT313" s="55"/>
      <c r="AU313" s="55"/>
      <c r="AV313" s="55"/>
      <c r="AW313" s="55"/>
      <c r="AX313" s="55"/>
      <c r="AY313" s="55"/>
      <c r="AZ313" s="55"/>
      <c r="BA313" s="55"/>
      <c r="BB313" s="165"/>
      <c r="BC313" s="55"/>
      <c r="BD313" s="55"/>
      <c r="BE313" s="55"/>
      <c r="BF313" s="165"/>
      <c r="BG313" s="55"/>
      <c r="BH313" s="10"/>
      <c r="BI313" s="55"/>
      <c r="BJ313" s="55"/>
      <c r="BK313" s="55"/>
      <c r="BL313" s="55"/>
      <c r="BT313" s="141"/>
      <c r="CN313" s="141"/>
      <c r="DG313" s="141"/>
    </row>
    <row r="314" spans="1:111" s="93" customFormat="1" x14ac:dyDescent="0.15">
      <c r="A314" s="11"/>
      <c r="B314" s="13"/>
      <c r="C314" s="12"/>
      <c r="D314" s="13"/>
      <c r="E314" s="13"/>
      <c r="F314" s="12"/>
      <c r="G314" s="55"/>
      <c r="H314" s="55"/>
      <c r="I314" s="55"/>
      <c r="J314" s="55"/>
      <c r="K314" s="55"/>
      <c r="L314" s="158"/>
      <c r="M314" s="10"/>
      <c r="N314" s="55"/>
      <c r="O314" s="55"/>
      <c r="P314" s="10"/>
      <c r="Q314" s="10"/>
      <c r="R314" s="155"/>
      <c r="S314" s="171"/>
      <c r="T314" s="161"/>
      <c r="U314" s="55"/>
      <c r="V314" s="55"/>
      <c r="W314" s="55"/>
      <c r="X314" s="155"/>
      <c r="Y314" s="171"/>
      <c r="Z314" s="165"/>
      <c r="AA314" s="10"/>
      <c r="AB314" s="55"/>
      <c r="AC314" s="55"/>
      <c r="AD314" s="55"/>
      <c r="AE314" s="55"/>
      <c r="AF314" s="55"/>
      <c r="AG314" s="167"/>
      <c r="AH314" s="55"/>
      <c r="AI314" s="55"/>
      <c r="AJ314" s="165"/>
      <c r="AK314" s="55"/>
      <c r="AL314" s="55"/>
      <c r="AM314" s="55"/>
      <c r="AN314" s="55"/>
      <c r="AO314" s="55"/>
      <c r="AP314" s="55"/>
      <c r="AQ314" s="55"/>
      <c r="AR314" s="55"/>
      <c r="AS314" s="165"/>
      <c r="AT314" s="55"/>
      <c r="AU314" s="55"/>
      <c r="AV314" s="55"/>
      <c r="AW314" s="55"/>
      <c r="AX314" s="55"/>
      <c r="AY314" s="55"/>
      <c r="AZ314" s="55"/>
      <c r="BA314" s="55"/>
      <c r="BB314" s="165"/>
      <c r="BC314" s="55"/>
      <c r="BD314" s="55"/>
      <c r="BE314" s="55"/>
      <c r="BF314" s="165"/>
      <c r="BG314" s="55"/>
      <c r="BH314" s="10"/>
      <c r="BI314" s="55"/>
      <c r="BJ314" s="55"/>
      <c r="BK314" s="55"/>
      <c r="BL314" s="55"/>
      <c r="BT314" s="141"/>
      <c r="CN314" s="141"/>
      <c r="DG314" s="141"/>
    </row>
    <row r="315" spans="1:111" s="93" customFormat="1" x14ac:dyDescent="0.15">
      <c r="A315" s="11"/>
      <c r="B315" s="13"/>
      <c r="C315" s="12"/>
      <c r="D315" s="13"/>
      <c r="E315" s="13"/>
      <c r="F315" s="12"/>
      <c r="G315" s="55"/>
      <c r="H315" s="55"/>
      <c r="I315" s="55"/>
      <c r="J315" s="55"/>
      <c r="K315" s="55"/>
      <c r="L315" s="158"/>
      <c r="M315" s="10"/>
      <c r="N315" s="55"/>
      <c r="O315" s="55"/>
      <c r="P315" s="10"/>
      <c r="Q315" s="10"/>
      <c r="R315" s="155"/>
      <c r="S315" s="171"/>
      <c r="T315" s="161"/>
      <c r="U315" s="55"/>
      <c r="V315" s="55"/>
      <c r="W315" s="55"/>
      <c r="X315" s="155"/>
      <c r="Y315" s="171"/>
      <c r="Z315" s="165"/>
      <c r="AA315" s="10"/>
      <c r="AB315" s="55"/>
      <c r="AC315" s="55"/>
      <c r="AD315" s="55"/>
      <c r="AE315" s="55"/>
      <c r="AF315" s="55"/>
      <c r="AG315" s="167"/>
      <c r="AH315" s="55"/>
      <c r="AI315" s="55"/>
      <c r="AJ315" s="165"/>
      <c r="AK315" s="55"/>
      <c r="AL315" s="55"/>
      <c r="AM315" s="55"/>
      <c r="AN315" s="55"/>
      <c r="AO315" s="55"/>
      <c r="AP315" s="55"/>
      <c r="AQ315" s="55"/>
      <c r="AR315" s="55"/>
      <c r="AS315" s="165"/>
      <c r="AT315" s="55"/>
      <c r="AU315" s="55"/>
      <c r="AV315" s="55"/>
      <c r="AW315" s="55"/>
      <c r="AX315" s="55"/>
      <c r="AY315" s="55"/>
      <c r="AZ315" s="55"/>
      <c r="BA315" s="55"/>
      <c r="BB315" s="165"/>
      <c r="BC315" s="55"/>
      <c r="BD315" s="55"/>
      <c r="BE315" s="55"/>
      <c r="BF315" s="165"/>
      <c r="BG315" s="55"/>
      <c r="BH315" s="10"/>
      <c r="BI315" s="55"/>
      <c r="BJ315" s="55"/>
      <c r="BK315" s="55"/>
      <c r="BL315" s="55"/>
      <c r="BT315" s="141"/>
      <c r="CN315" s="141"/>
      <c r="DG315" s="141"/>
    </row>
    <row r="316" spans="1:111" s="93" customFormat="1" x14ac:dyDescent="0.15">
      <c r="A316" s="11"/>
      <c r="B316" s="13"/>
      <c r="C316" s="12"/>
      <c r="D316" s="13"/>
      <c r="E316" s="13"/>
      <c r="F316" s="12"/>
      <c r="G316" s="55"/>
      <c r="H316" s="55"/>
      <c r="I316" s="55"/>
      <c r="J316" s="55"/>
      <c r="K316" s="55"/>
      <c r="L316" s="158"/>
      <c r="M316" s="10"/>
      <c r="N316" s="55"/>
      <c r="O316" s="55"/>
      <c r="P316" s="10"/>
      <c r="Q316" s="10"/>
      <c r="R316" s="155"/>
      <c r="S316" s="171"/>
      <c r="T316" s="161"/>
      <c r="U316" s="55"/>
      <c r="V316" s="55"/>
      <c r="W316" s="55"/>
      <c r="X316" s="155"/>
      <c r="Y316" s="171"/>
      <c r="Z316" s="165"/>
      <c r="AA316" s="10"/>
      <c r="AB316" s="55"/>
      <c r="AC316" s="55"/>
      <c r="AD316" s="55"/>
      <c r="AE316" s="55"/>
      <c r="AF316" s="55"/>
      <c r="AG316" s="167"/>
      <c r="AH316" s="55"/>
      <c r="AI316" s="55"/>
      <c r="AJ316" s="165"/>
      <c r="AK316" s="55"/>
      <c r="AL316" s="55"/>
      <c r="AM316" s="55"/>
      <c r="AN316" s="55"/>
      <c r="AO316" s="55"/>
      <c r="AP316" s="55"/>
      <c r="AQ316" s="55"/>
      <c r="AR316" s="55"/>
      <c r="AS316" s="165"/>
      <c r="AT316" s="55"/>
      <c r="AU316" s="55"/>
      <c r="AV316" s="55"/>
      <c r="AW316" s="55"/>
      <c r="AX316" s="55"/>
      <c r="AY316" s="55"/>
      <c r="AZ316" s="55"/>
      <c r="BA316" s="55"/>
      <c r="BB316" s="165"/>
      <c r="BC316" s="55"/>
      <c r="BD316" s="55"/>
      <c r="BE316" s="55"/>
      <c r="BF316" s="165"/>
      <c r="BG316" s="55"/>
      <c r="BH316" s="10"/>
      <c r="BI316" s="55"/>
      <c r="BJ316" s="55"/>
      <c r="BK316" s="55"/>
      <c r="BL316" s="55"/>
      <c r="BT316" s="141"/>
      <c r="CN316" s="141"/>
      <c r="DG316" s="141"/>
    </row>
    <row r="317" spans="1:111" s="93" customFormat="1" x14ac:dyDescent="0.15">
      <c r="A317" s="11"/>
      <c r="B317" s="13"/>
      <c r="C317" s="12"/>
      <c r="D317" s="13"/>
      <c r="E317" s="13"/>
      <c r="F317" s="12"/>
      <c r="G317" s="55"/>
      <c r="H317" s="55"/>
      <c r="I317" s="55"/>
      <c r="J317" s="55"/>
      <c r="K317" s="55"/>
      <c r="L317" s="158"/>
      <c r="M317" s="10"/>
      <c r="N317" s="55"/>
      <c r="O317" s="55"/>
      <c r="P317" s="10"/>
      <c r="Q317" s="10"/>
      <c r="R317" s="155"/>
      <c r="S317" s="171"/>
      <c r="T317" s="161"/>
      <c r="U317" s="55"/>
      <c r="V317" s="55"/>
      <c r="W317" s="55"/>
      <c r="X317" s="155"/>
      <c r="Y317" s="171"/>
      <c r="Z317" s="165"/>
      <c r="AA317" s="10"/>
      <c r="AB317" s="55"/>
      <c r="AC317" s="55"/>
      <c r="AD317" s="55"/>
      <c r="AE317" s="55"/>
      <c r="AF317" s="55"/>
      <c r="AG317" s="167"/>
      <c r="AH317" s="55"/>
      <c r="AI317" s="55"/>
      <c r="AJ317" s="165"/>
      <c r="AK317" s="55"/>
      <c r="AL317" s="55"/>
      <c r="AM317" s="55"/>
      <c r="AN317" s="55"/>
      <c r="AO317" s="55"/>
      <c r="AP317" s="55"/>
      <c r="AQ317" s="55"/>
      <c r="AR317" s="55"/>
      <c r="AS317" s="165"/>
      <c r="AT317" s="55"/>
      <c r="AU317" s="55"/>
      <c r="AV317" s="55"/>
      <c r="AW317" s="55"/>
      <c r="AX317" s="55"/>
      <c r="AY317" s="55"/>
      <c r="AZ317" s="55"/>
      <c r="BA317" s="55"/>
      <c r="BB317" s="165"/>
      <c r="BC317" s="55"/>
      <c r="BD317" s="55"/>
      <c r="BE317" s="55"/>
      <c r="BF317" s="165"/>
      <c r="BG317" s="55"/>
      <c r="BH317" s="10"/>
      <c r="BI317" s="55"/>
      <c r="BJ317" s="55"/>
      <c r="BK317" s="55"/>
      <c r="BL317" s="55"/>
      <c r="BT317" s="141"/>
      <c r="CN317" s="141"/>
      <c r="DG317" s="141"/>
    </row>
    <row r="318" spans="1:111" s="93" customFormat="1" x14ac:dyDescent="0.15">
      <c r="A318" s="11"/>
      <c r="B318" s="13"/>
      <c r="C318" s="12"/>
      <c r="D318" s="13"/>
      <c r="E318" s="13"/>
      <c r="F318" s="12"/>
      <c r="G318" s="55"/>
      <c r="H318" s="55"/>
      <c r="I318" s="55"/>
      <c r="J318" s="55"/>
      <c r="K318" s="55"/>
      <c r="L318" s="158"/>
      <c r="M318" s="10"/>
      <c r="N318" s="55"/>
      <c r="O318" s="55"/>
      <c r="P318" s="10"/>
      <c r="Q318" s="10"/>
      <c r="R318" s="155"/>
      <c r="S318" s="171"/>
      <c r="T318" s="161"/>
      <c r="U318" s="55"/>
      <c r="V318" s="55"/>
      <c r="W318" s="55"/>
      <c r="X318" s="155"/>
      <c r="Y318" s="171"/>
      <c r="Z318" s="165"/>
      <c r="AA318" s="10"/>
      <c r="AB318" s="55"/>
      <c r="AC318" s="55"/>
      <c r="AD318" s="55"/>
      <c r="AE318" s="55"/>
      <c r="AF318" s="55"/>
      <c r="AG318" s="167"/>
      <c r="AH318" s="55"/>
      <c r="AI318" s="55"/>
      <c r="AJ318" s="165"/>
      <c r="AK318" s="55"/>
      <c r="AL318" s="55"/>
      <c r="AM318" s="55"/>
      <c r="AN318" s="55"/>
      <c r="AO318" s="55"/>
      <c r="AP318" s="55"/>
      <c r="AQ318" s="55"/>
      <c r="AR318" s="55"/>
      <c r="AS318" s="165"/>
      <c r="AT318" s="55"/>
      <c r="AU318" s="55"/>
      <c r="AV318" s="55"/>
      <c r="AW318" s="55"/>
      <c r="AX318" s="55"/>
      <c r="AY318" s="55"/>
      <c r="AZ318" s="55"/>
      <c r="BA318" s="55"/>
      <c r="BB318" s="165"/>
      <c r="BC318" s="55"/>
      <c r="BD318" s="55"/>
      <c r="BE318" s="55"/>
      <c r="BF318" s="165"/>
      <c r="BG318" s="55"/>
      <c r="BH318" s="10"/>
      <c r="BI318" s="55"/>
      <c r="BJ318" s="55"/>
      <c r="BK318" s="55"/>
      <c r="BL318" s="55"/>
      <c r="BT318" s="141"/>
      <c r="CN318" s="141"/>
      <c r="DG318" s="141"/>
    </row>
    <row r="319" spans="1:111" s="93" customFormat="1" x14ac:dyDescent="0.15">
      <c r="A319" s="11"/>
      <c r="B319" s="13"/>
      <c r="C319" s="12"/>
      <c r="D319" s="13"/>
      <c r="E319" s="13"/>
      <c r="F319" s="12"/>
      <c r="G319" s="55"/>
      <c r="H319" s="55"/>
      <c r="I319" s="55"/>
      <c r="J319" s="55"/>
      <c r="K319" s="55"/>
      <c r="L319" s="158"/>
      <c r="M319" s="10"/>
      <c r="N319" s="55"/>
      <c r="O319" s="55"/>
      <c r="P319" s="10"/>
      <c r="Q319" s="10"/>
      <c r="R319" s="155"/>
      <c r="S319" s="171"/>
      <c r="T319" s="161"/>
      <c r="U319" s="55"/>
      <c r="V319" s="55"/>
      <c r="W319" s="55"/>
      <c r="X319" s="155"/>
      <c r="Y319" s="171"/>
      <c r="Z319" s="165"/>
      <c r="AA319" s="10"/>
      <c r="AB319" s="55"/>
      <c r="AC319" s="55"/>
      <c r="AD319" s="55"/>
      <c r="AE319" s="55"/>
      <c r="AF319" s="55"/>
      <c r="AG319" s="167"/>
      <c r="AH319" s="55"/>
      <c r="AI319" s="55"/>
      <c r="AJ319" s="165"/>
      <c r="AK319" s="55"/>
      <c r="AL319" s="55"/>
      <c r="AM319" s="55"/>
      <c r="AN319" s="55"/>
      <c r="AO319" s="55"/>
      <c r="AP319" s="55"/>
      <c r="AQ319" s="55"/>
      <c r="AR319" s="55"/>
      <c r="AS319" s="165"/>
      <c r="AT319" s="55"/>
      <c r="AU319" s="55"/>
      <c r="AV319" s="55"/>
      <c r="AW319" s="55"/>
      <c r="AX319" s="55"/>
      <c r="AY319" s="55"/>
      <c r="AZ319" s="55"/>
      <c r="BA319" s="55"/>
      <c r="BB319" s="165"/>
      <c r="BC319" s="55"/>
      <c r="BD319" s="55"/>
      <c r="BE319" s="55"/>
      <c r="BF319" s="165"/>
      <c r="BG319" s="55"/>
      <c r="BH319" s="10"/>
      <c r="BI319" s="55"/>
      <c r="BJ319" s="55"/>
      <c r="BK319" s="55"/>
      <c r="BL319" s="55"/>
      <c r="BT319" s="141"/>
      <c r="CN319" s="141"/>
      <c r="DG319" s="141"/>
    </row>
    <row r="320" spans="1:111" s="93" customFormat="1" x14ac:dyDescent="0.15">
      <c r="A320" s="11"/>
      <c r="B320" s="13"/>
      <c r="C320" s="12"/>
      <c r="D320" s="13"/>
      <c r="E320" s="13"/>
      <c r="F320" s="12"/>
      <c r="G320" s="55"/>
      <c r="H320" s="55"/>
      <c r="I320" s="55"/>
      <c r="J320" s="55"/>
      <c r="K320" s="55"/>
      <c r="L320" s="158"/>
      <c r="M320" s="10"/>
      <c r="N320" s="55"/>
      <c r="O320" s="55"/>
      <c r="P320" s="10"/>
      <c r="Q320" s="10"/>
      <c r="R320" s="155"/>
      <c r="S320" s="171"/>
      <c r="T320" s="161"/>
      <c r="U320" s="55"/>
      <c r="V320" s="55"/>
      <c r="W320" s="55"/>
      <c r="X320" s="155"/>
      <c r="Y320" s="171"/>
      <c r="Z320" s="165"/>
      <c r="AA320" s="10"/>
      <c r="AB320" s="55"/>
      <c r="AC320" s="55"/>
      <c r="AD320" s="55"/>
      <c r="AE320" s="55"/>
      <c r="AF320" s="55"/>
      <c r="AG320" s="167"/>
      <c r="AH320" s="55"/>
      <c r="AI320" s="55"/>
      <c r="AJ320" s="165"/>
      <c r="AK320" s="55"/>
      <c r="AL320" s="55"/>
      <c r="AM320" s="55"/>
      <c r="AN320" s="55"/>
      <c r="AO320" s="55"/>
      <c r="AP320" s="55"/>
      <c r="AQ320" s="55"/>
      <c r="AR320" s="55"/>
      <c r="AS320" s="165"/>
      <c r="AT320" s="55"/>
      <c r="AU320" s="55"/>
      <c r="AV320" s="55"/>
      <c r="AW320" s="55"/>
      <c r="AX320" s="55"/>
      <c r="AY320" s="55"/>
      <c r="AZ320" s="55"/>
      <c r="BA320" s="55"/>
      <c r="BB320" s="165"/>
      <c r="BC320" s="55"/>
      <c r="BD320" s="55"/>
      <c r="BE320" s="55"/>
      <c r="BF320" s="165"/>
      <c r="BG320" s="55"/>
      <c r="BH320" s="10"/>
      <c r="BI320" s="55"/>
      <c r="BJ320" s="55"/>
      <c r="BK320" s="55"/>
      <c r="BL320" s="55"/>
      <c r="BT320" s="141"/>
      <c r="CN320" s="141"/>
      <c r="DG320" s="141"/>
    </row>
    <row r="321" spans="1:111" s="93" customFormat="1" x14ac:dyDescent="0.15">
      <c r="A321" s="11"/>
      <c r="B321" s="13"/>
      <c r="C321" s="12"/>
      <c r="D321" s="13"/>
      <c r="E321" s="13"/>
      <c r="F321" s="12"/>
      <c r="G321" s="55"/>
      <c r="H321" s="55"/>
      <c r="I321" s="55"/>
      <c r="J321" s="55"/>
      <c r="K321" s="55"/>
      <c r="L321" s="158"/>
      <c r="M321" s="10"/>
      <c r="N321" s="55"/>
      <c r="O321" s="55"/>
      <c r="P321" s="10"/>
      <c r="Q321" s="10"/>
      <c r="R321" s="155"/>
      <c r="S321" s="171"/>
      <c r="T321" s="161"/>
      <c r="U321" s="55"/>
      <c r="V321" s="55"/>
      <c r="W321" s="55"/>
      <c r="X321" s="155"/>
      <c r="Y321" s="171"/>
      <c r="Z321" s="165"/>
      <c r="AA321" s="10"/>
      <c r="AB321" s="55"/>
      <c r="AC321" s="55"/>
      <c r="AD321" s="55"/>
      <c r="AE321" s="55"/>
      <c r="AF321" s="55"/>
      <c r="AG321" s="167"/>
      <c r="AH321" s="55"/>
      <c r="AI321" s="55"/>
      <c r="AJ321" s="165"/>
      <c r="AK321" s="55"/>
      <c r="AL321" s="55"/>
      <c r="AM321" s="55"/>
      <c r="AN321" s="55"/>
      <c r="AO321" s="55"/>
      <c r="AP321" s="55"/>
      <c r="AQ321" s="55"/>
      <c r="AR321" s="55"/>
      <c r="AS321" s="165"/>
      <c r="AT321" s="55"/>
      <c r="AU321" s="55"/>
      <c r="AV321" s="55"/>
      <c r="AW321" s="55"/>
      <c r="AX321" s="55"/>
      <c r="AY321" s="55"/>
      <c r="AZ321" s="55"/>
      <c r="BA321" s="55"/>
      <c r="BB321" s="165"/>
      <c r="BC321" s="55"/>
      <c r="BD321" s="55"/>
      <c r="BE321" s="55"/>
      <c r="BF321" s="165"/>
      <c r="BG321" s="55"/>
      <c r="BH321" s="10"/>
      <c r="BI321" s="55"/>
      <c r="BJ321" s="55"/>
      <c r="BK321" s="55"/>
      <c r="BL321" s="55"/>
      <c r="BT321" s="141"/>
      <c r="CN321" s="141"/>
      <c r="DG321" s="141"/>
    </row>
    <row r="322" spans="1:111" s="93" customFormat="1" x14ac:dyDescent="0.15">
      <c r="A322" s="11"/>
      <c r="B322" s="13"/>
      <c r="C322" s="12"/>
      <c r="D322" s="13"/>
      <c r="E322" s="13"/>
      <c r="F322" s="12"/>
      <c r="G322" s="55"/>
      <c r="H322" s="55"/>
      <c r="I322" s="55"/>
      <c r="J322" s="55"/>
      <c r="K322" s="55"/>
      <c r="L322" s="158"/>
      <c r="M322" s="10"/>
      <c r="N322" s="55"/>
      <c r="O322" s="55"/>
      <c r="P322" s="10"/>
      <c r="Q322" s="10"/>
      <c r="R322" s="155"/>
      <c r="S322" s="171"/>
      <c r="T322" s="161"/>
      <c r="U322" s="55"/>
      <c r="V322" s="55"/>
      <c r="W322" s="55"/>
      <c r="X322" s="155"/>
      <c r="Y322" s="171"/>
      <c r="Z322" s="165"/>
      <c r="AA322" s="10"/>
      <c r="AB322" s="55"/>
      <c r="AC322" s="55"/>
      <c r="AD322" s="55"/>
      <c r="AE322" s="55"/>
      <c r="AF322" s="55"/>
      <c r="AG322" s="167"/>
      <c r="AH322" s="55"/>
      <c r="AI322" s="55"/>
      <c r="AJ322" s="165"/>
      <c r="AK322" s="55"/>
      <c r="AL322" s="55"/>
      <c r="AM322" s="55"/>
      <c r="AN322" s="55"/>
      <c r="AO322" s="55"/>
      <c r="AP322" s="55"/>
      <c r="AQ322" s="55"/>
      <c r="AR322" s="55"/>
      <c r="AS322" s="165"/>
      <c r="AT322" s="55"/>
      <c r="AU322" s="55"/>
      <c r="AV322" s="55"/>
      <c r="AW322" s="55"/>
      <c r="AX322" s="55"/>
      <c r="AY322" s="55"/>
      <c r="AZ322" s="55"/>
      <c r="BA322" s="55"/>
      <c r="BB322" s="165"/>
      <c r="BC322" s="55"/>
      <c r="BD322" s="55"/>
      <c r="BE322" s="55"/>
      <c r="BF322" s="165"/>
      <c r="BG322" s="55"/>
      <c r="BH322" s="10"/>
      <c r="BI322" s="55"/>
      <c r="BJ322" s="55"/>
      <c r="BK322" s="55"/>
      <c r="BL322" s="55"/>
      <c r="BT322" s="141"/>
      <c r="CN322" s="141"/>
      <c r="DG322" s="141"/>
    </row>
    <row r="323" spans="1:111" s="93" customFormat="1" x14ac:dyDescent="0.15">
      <c r="A323" s="11"/>
      <c r="B323" s="13"/>
      <c r="C323" s="12"/>
      <c r="D323" s="13"/>
      <c r="E323" s="13"/>
      <c r="F323" s="12"/>
      <c r="G323" s="55"/>
      <c r="H323" s="55"/>
      <c r="I323" s="55"/>
      <c r="J323" s="55"/>
      <c r="K323" s="55"/>
      <c r="L323" s="158"/>
      <c r="M323" s="10"/>
      <c r="N323" s="55"/>
      <c r="O323" s="55"/>
      <c r="P323" s="10"/>
      <c r="Q323" s="10"/>
      <c r="R323" s="155"/>
      <c r="S323" s="171"/>
      <c r="T323" s="161"/>
      <c r="U323" s="55"/>
      <c r="V323" s="55"/>
      <c r="W323" s="55"/>
      <c r="X323" s="155"/>
      <c r="Y323" s="171"/>
      <c r="Z323" s="165"/>
      <c r="AA323" s="10"/>
      <c r="AB323" s="55"/>
      <c r="AC323" s="55"/>
      <c r="AD323" s="55"/>
      <c r="AE323" s="55"/>
      <c r="AF323" s="55"/>
      <c r="AG323" s="167"/>
      <c r="AH323" s="55"/>
      <c r="AI323" s="55"/>
      <c r="AJ323" s="165"/>
      <c r="AK323" s="55"/>
      <c r="AL323" s="55"/>
      <c r="AM323" s="55"/>
      <c r="AN323" s="55"/>
      <c r="AO323" s="55"/>
      <c r="AP323" s="55"/>
      <c r="AQ323" s="55"/>
      <c r="AR323" s="55"/>
      <c r="AS323" s="165"/>
      <c r="AT323" s="55"/>
      <c r="AU323" s="55"/>
      <c r="AV323" s="55"/>
      <c r="AW323" s="55"/>
      <c r="AX323" s="55"/>
      <c r="AY323" s="55"/>
      <c r="AZ323" s="55"/>
      <c r="BA323" s="55"/>
      <c r="BB323" s="165"/>
      <c r="BC323" s="55"/>
      <c r="BD323" s="55"/>
      <c r="BE323" s="55"/>
      <c r="BF323" s="165"/>
      <c r="BG323" s="55"/>
      <c r="BH323" s="10"/>
      <c r="BI323" s="55"/>
      <c r="BJ323" s="55"/>
      <c r="BK323" s="55"/>
      <c r="BL323" s="55"/>
      <c r="BT323" s="141"/>
      <c r="CN323" s="141"/>
      <c r="DG323" s="141"/>
    </row>
    <row r="324" spans="1:111" s="93" customFormat="1" x14ac:dyDescent="0.15">
      <c r="A324" s="11"/>
      <c r="B324" s="13"/>
      <c r="C324" s="12"/>
      <c r="D324" s="13"/>
      <c r="E324" s="13"/>
      <c r="F324" s="12"/>
      <c r="G324" s="55"/>
      <c r="H324" s="55"/>
      <c r="I324" s="55"/>
      <c r="J324" s="55"/>
      <c r="K324" s="55"/>
      <c r="L324" s="158"/>
      <c r="M324" s="10"/>
      <c r="N324" s="55"/>
      <c r="O324" s="55"/>
      <c r="P324" s="10"/>
      <c r="Q324" s="10"/>
      <c r="R324" s="155"/>
      <c r="S324" s="171"/>
      <c r="T324" s="161"/>
      <c r="U324" s="55"/>
      <c r="V324" s="55"/>
      <c r="W324" s="55"/>
      <c r="X324" s="155"/>
      <c r="Y324" s="171"/>
      <c r="Z324" s="165"/>
      <c r="AA324" s="10"/>
      <c r="AB324" s="55"/>
      <c r="AC324" s="55"/>
      <c r="AD324" s="55"/>
      <c r="AE324" s="55"/>
      <c r="AF324" s="55"/>
      <c r="AG324" s="167"/>
      <c r="AH324" s="55"/>
      <c r="AI324" s="55"/>
      <c r="AJ324" s="165"/>
      <c r="AK324" s="55"/>
      <c r="AL324" s="55"/>
      <c r="AM324" s="55"/>
      <c r="AN324" s="55"/>
      <c r="AO324" s="55"/>
      <c r="AP324" s="55"/>
      <c r="AQ324" s="55"/>
      <c r="AR324" s="55"/>
      <c r="AS324" s="165"/>
      <c r="AT324" s="55"/>
      <c r="AU324" s="55"/>
      <c r="AV324" s="55"/>
      <c r="AW324" s="55"/>
      <c r="AX324" s="55"/>
      <c r="AY324" s="55"/>
      <c r="AZ324" s="55"/>
      <c r="BA324" s="55"/>
      <c r="BB324" s="165"/>
      <c r="BC324" s="55"/>
      <c r="BD324" s="55"/>
      <c r="BE324" s="55"/>
      <c r="BF324" s="165"/>
      <c r="BG324" s="55"/>
      <c r="BH324" s="10"/>
      <c r="BI324" s="55"/>
      <c r="BJ324" s="55"/>
      <c r="BK324" s="55"/>
      <c r="BL324" s="55"/>
      <c r="BT324" s="141"/>
      <c r="CN324" s="141"/>
      <c r="DG324" s="141"/>
    </row>
    <row r="325" spans="1:111" s="93" customFormat="1" x14ac:dyDescent="0.15">
      <c r="A325" s="11"/>
      <c r="B325" s="13"/>
      <c r="C325" s="12"/>
      <c r="D325" s="13"/>
      <c r="E325" s="13"/>
      <c r="F325" s="12"/>
      <c r="G325" s="55"/>
      <c r="H325" s="55"/>
      <c r="I325" s="55"/>
      <c r="J325" s="55"/>
      <c r="K325" s="55"/>
      <c r="L325" s="158"/>
      <c r="M325" s="10"/>
      <c r="N325" s="55"/>
      <c r="O325" s="55"/>
      <c r="P325" s="10"/>
      <c r="Q325" s="10"/>
      <c r="R325" s="155"/>
      <c r="S325" s="171"/>
      <c r="T325" s="161"/>
      <c r="U325" s="55"/>
      <c r="V325" s="55"/>
      <c r="W325" s="55"/>
      <c r="X325" s="155"/>
      <c r="Y325" s="171"/>
      <c r="Z325" s="165"/>
      <c r="AA325" s="10"/>
      <c r="AB325" s="55"/>
      <c r="AC325" s="55"/>
      <c r="AD325" s="55"/>
      <c r="AE325" s="55"/>
      <c r="AF325" s="55"/>
      <c r="AG325" s="167"/>
      <c r="AH325" s="55"/>
      <c r="AI325" s="55"/>
      <c r="AJ325" s="165"/>
      <c r="AK325" s="55"/>
      <c r="AL325" s="55"/>
      <c r="AM325" s="55"/>
      <c r="AN325" s="55"/>
      <c r="AO325" s="55"/>
      <c r="AP325" s="55"/>
      <c r="AQ325" s="55"/>
      <c r="AR325" s="55"/>
      <c r="AS325" s="165"/>
      <c r="AT325" s="55"/>
      <c r="AU325" s="55"/>
      <c r="AV325" s="55"/>
      <c r="AW325" s="55"/>
      <c r="AX325" s="55"/>
      <c r="AY325" s="55"/>
      <c r="AZ325" s="55"/>
      <c r="BA325" s="55"/>
      <c r="BB325" s="165"/>
      <c r="BC325" s="55"/>
      <c r="BD325" s="55"/>
      <c r="BE325" s="55"/>
      <c r="BF325" s="165"/>
      <c r="BG325" s="55"/>
      <c r="BH325" s="10"/>
      <c r="BI325" s="55"/>
      <c r="BJ325" s="55"/>
      <c r="BK325" s="55"/>
      <c r="BL325" s="55"/>
      <c r="BT325" s="141"/>
      <c r="CN325" s="141"/>
      <c r="DG325" s="141"/>
    </row>
    <row r="326" spans="1:111" s="93" customFormat="1" x14ac:dyDescent="0.15">
      <c r="A326" s="11"/>
      <c r="B326" s="13"/>
      <c r="C326" s="12"/>
      <c r="D326" s="13"/>
      <c r="E326" s="13"/>
      <c r="F326" s="12"/>
      <c r="G326" s="55"/>
      <c r="H326" s="55"/>
      <c r="I326" s="55"/>
      <c r="J326" s="55"/>
      <c r="K326" s="55"/>
      <c r="L326" s="158"/>
      <c r="M326" s="10"/>
      <c r="N326" s="55"/>
      <c r="O326" s="55"/>
      <c r="P326" s="10"/>
      <c r="Q326" s="10"/>
      <c r="R326" s="155"/>
      <c r="S326" s="171"/>
      <c r="T326" s="161"/>
      <c r="U326" s="55"/>
      <c r="V326" s="55"/>
      <c r="W326" s="55"/>
      <c r="X326" s="155"/>
      <c r="Y326" s="171"/>
      <c r="Z326" s="165"/>
      <c r="AA326" s="10"/>
      <c r="AB326" s="55"/>
      <c r="AC326" s="55"/>
      <c r="AD326" s="55"/>
      <c r="AE326" s="55"/>
      <c r="AF326" s="55"/>
      <c r="AG326" s="167"/>
      <c r="AH326" s="55"/>
      <c r="AI326" s="55"/>
      <c r="AJ326" s="165"/>
      <c r="AK326" s="55"/>
      <c r="AL326" s="55"/>
      <c r="AM326" s="55"/>
      <c r="AN326" s="55"/>
      <c r="AO326" s="55"/>
      <c r="AP326" s="55"/>
      <c r="AQ326" s="55"/>
      <c r="AR326" s="55"/>
      <c r="AS326" s="165"/>
      <c r="AT326" s="55"/>
      <c r="AU326" s="55"/>
      <c r="AV326" s="55"/>
      <c r="AW326" s="55"/>
      <c r="AX326" s="55"/>
      <c r="AY326" s="55"/>
      <c r="AZ326" s="55"/>
      <c r="BA326" s="55"/>
      <c r="BB326" s="165"/>
      <c r="BC326" s="55"/>
      <c r="BD326" s="55"/>
      <c r="BE326" s="55"/>
      <c r="BF326" s="165"/>
      <c r="BG326" s="55"/>
      <c r="BH326" s="10"/>
      <c r="BI326" s="55"/>
      <c r="BJ326" s="55"/>
      <c r="BK326" s="55"/>
      <c r="BL326" s="55"/>
      <c r="BT326" s="141"/>
      <c r="CN326" s="141"/>
      <c r="DG326" s="141"/>
    </row>
    <row r="327" spans="1:111" s="93" customFormat="1" x14ac:dyDescent="0.15">
      <c r="A327" s="11"/>
      <c r="B327" s="13"/>
      <c r="C327" s="12"/>
      <c r="D327" s="13"/>
      <c r="E327" s="13"/>
      <c r="F327" s="12"/>
      <c r="G327" s="55"/>
      <c r="H327" s="55"/>
      <c r="I327" s="55"/>
      <c r="J327" s="55"/>
      <c r="K327" s="55"/>
      <c r="L327" s="158"/>
      <c r="M327" s="10"/>
      <c r="N327" s="55"/>
      <c r="O327" s="55"/>
      <c r="P327" s="10"/>
      <c r="Q327" s="10"/>
      <c r="R327" s="155"/>
      <c r="S327" s="171"/>
      <c r="T327" s="161"/>
      <c r="U327" s="55"/>
      <c r="V327" s="55"/>
      <c r="W327" s="55"/>
      <c r="X327" s="155"/>
      <c r="Y327" s="171"/>
      <c r="Z327" s="165"/>
      <c r="AA327" s="10"/>
      <c r="AB327" s="55"/>
      <c r="AC327" s="55"/>
      <c r="AD327" s="55"/>
      <c r="AE327" s="55"/>
      <c r="AF327" s="55"/>
      <c r="AG327" s="167"/>
      <c r="AH327" s="55"/>
      <c r="AI327" s="55"/>
      <c r="AJ327" s="165"/>
      <c r="AK327" s="55"/>
      <c r="AL327" s="55"/>
      <c r="AM327" s="55"/>
      <c r="AN327" s="55"/>
      <c r="AO327" s="55"/>
      <c r="AP327" s="55"/>
      <c r="AQ327" s="55"/>
      <c r="AR327" s="55"/>
      <c r="AS327" s="165"/>
      <c r="AT327" s="55"/>
      <c r="AU327" s="55"/>
      <c r="AV327" s="55"/>
      <c r="AW327" s="55"/>
      <c r="AX327" s="55"/>
      <c r="AY327" s="55"/>
      <c r="AZ327" s="55"/>
      <c r="BA327" s="55"/>
      <c r="BB327" s="165"/>
      <c r="BC327" s="55"/>
      <c r="BD327" s="55"/>
      <c r="BE327" s="55"/>
      <c r="BF327" s="165"/>
      <c r="BG327" s="55"/>
      <c r="BH327" s="10"/>
      <c r="BI327" s="55"/>
      <c r="BJ327" s="55"/>
      <c r="BK327" s="55"/>
      <c r="BL327" s="55"/>
      <c r="BT327" s="141"/>
      <c r="CN327" s="141"/>
      <c r="DG327" s="141"/>
    </row>
    <row r="328" spans="1:111" s="93" customFormat="1" x14ac:dyDescent="0.15">
      <c r="A328" s="11"/>
      <c r="B328" s="13"/>
      <c r="C328" s="12"/>
      <c r="D328" s="13"/>
      <c r="E328" s="13"/>
      <c r="F328" s="12"/>
      <c r="G328" s="55"/>
      <c r="H328" s="55"/>
      <c r="I328" s="55"/>
      <c r="J328" s="55"/>
      <c r="K328" s="55"/>
      <c r="L328" s="158"/>
      <c r="M328" s="10"/>
      <c r="N328" s="55"/>
      <c r="O328" s="55"/>
      <c r="P328" s="10"/>
      <c r="Q328" s="10"/>
      <c r="R328" s="155"/>
      <c r="S328" s="171"/>
      <c r="T328" s="161"/>
      <c r="U328" s="55"/>
      <c r="V328" s="55"/>
      <c r="W328" s="55"/>
      <c r="X328" s="155"/>
      <c r="Y328" s="171"/>
      <c r="Z328" s="165"/>
      <c r="AA328" s="10"/>
      <c r="AB328" s="55"/>
      <c r="AC328" s="55"/>
      <c r="AD328" s="55"/>
      <c r="AE328" s="55"/>
      <c r="AF328" s="55"/>
      <c r="AG328" s="167"/>
      <c r="AH328" s="55"/>
      <c r="AI328" s="55"/>
      <c r="AJ328" s="165"/>
      <c r="AK328" s="55"/>
      <c r="AL328" s="55"/>
      <c r="AM328" s="55"/>
      <c r="AN328" s="55"/>
      <c r="AO328" s="55"/>
      <c r="AP328" s="55"/>
      <c r="AQ328" s="55"/>
      <c r="AR328" s="55"/>
      <c r="AS328" s="165"/>
      <c r="AT328" s="55"/>
      <c r="AU328" s="55"/>
      <c r="AV328" s="55"/>
      <c r="AW328" s="55"/>
      <c r="AX328" s="55"/>
      <c r="AY328" s="55"/>
      <c r="AZ328" s="55"/>
      <c r="BA328" s="55"/>
      <c r="BB328" s="165"/>
      <c r="BC328" s="55"/>
      <c r="BD328" s="55"/>
      <c r="BE328" s="55"/>
      <c r="BF328" s="165"/>
      <c r="BG328" s="55"/>
      <c r="BH328" s="10"/>
      <c r="BI328" s="55"/>
      <c r="BJ328" s="55"/>
      <c r="BK328" s="55"/>
      <c r="BL328" s="55"/>
      <c r="BT328" s="141"/>
      <c r="CN328" s="141"/>
      <c r="DG328" s="141"/>
    </row>
    <row r="329" spans="1:111" s="93" customFormat="1" x14ac:dyDescent="0.15">
      <c r="A329" s="11"/>
      <c r="B329" s="13"/>
      <c r="C329" s="12"/>
      <c r="D329" s="13"/>
      <c r="E329" s="13"/>
      <c r="F329" s="12"/>
      <c r="G329" s="55"/>
      <c r="H329" s="55"/>
      <c r="I329" s="55"/>
      <c r="J329" s="55"/>
      <c r="K329" s="55"/>
      <c r="L329" s="158"/>
      <c r="M329" s="10"/>
      <c r="N329" s="55"/>
      <c r="O329" s="55"/>
      <c r="P329" s="10"/>
      <c r="Q329" s="10"/>
      <c r="R329" s="155"/>
      <c r="S329" s="171"/>
      <c r="T329" s="161"/>
      <c r="U329" s="55"/>
      <c r="V329" s="55"/>
      <c r="W329" s="55"/>
      <c r="X329" s="155"/>
      <c r="Y329" s="171"/>
      <c r="Z329" s="165"/>
      <c r="AA329" s="10"/>
      <c r="AB329" s="55"/>
      <c r="AC329" s="55"/>
      <c r="AD329" s="55"/>
      <c r="AE329" s="55"/>
      <c r="AF329" s="55"/>
      <c r="AG329" s="167"/>
      <c r="AH329" s="55"/>
      <c r="AI329" s="55"/>
      <c r="AJ329" s="165"/>
      <c r="AK329" s="55"/>
      <c r="AL329" s="55"/>
      <c r="AM329" s="55"/>
      <c r="AN329" s="55"/>
      <c r="AO329" s="55"/>
      <c r="AP329" s="55"/>
      <c r="AQ329" s="55"/>
      <c r="AR329" s="55"/>
      <c r="AS329" s="165"/>
      <c r="AT329" s="55"/>
      <c r="AU329" s="55"/>
      <c r="AV329" s="55"/>
      <c r="AW329" s="55"/>
      <c r="AX329" s="55"/>
      <c r="AY329" s="55"/>
      <c r="AZ329" s="55"/>
      <c r="BA329" s="55"/>
      <c r="BB329" s="165"/>
      <c r="BC329" s="55"/>
      <c r="BD329" s="55"/>
      <c r="BE329" s="55"/>
      <c r="BF329" s="165"/>
      <c r="BG329" s="55"/>
      <c r="BH329" s="10"/>
      <c r="BI329" s="55"/>
      <c r="BJ329" s="55"/>
      <c r="BK329" s="55"/>
      <c r="BL329" s="55"/>
      <c r="BT329" s="141"/>
      <c r="CN329" s="141"/>
      <c r="DG329" s="141"/>
    </row>
    <row r="330" spans="1:111" s="93" customFormat="1" x14ac:dyDescent="0.15">
      <c r="A330" s="11"/>
      <c r="B330" s="13"/>
      <c r="C330" s="12"/>
      <c r="D330" s="13"/>
      <c r="E330" s="13"/>
      <c r="F330" s="12"/>
      <c r="G330" s="55"/>
      <c r="H330" s="55"/>
      <c r="I330" s="55"/>
      <c r="J330" s="55"/>
      <c r="K330" s="55"/>
      <c r="L330" s="158"/>
      <c r="M330" s="10"/>
      <c r="N330" s="55"/>
      <c r="O330" s="55"/>
      <c r="P330" s="10"/>
      <c r="Q330" s="10"/>
      <c r="R330" s="155"/>
      <c r="S330" s="171"/>
      <c r="T330" s="161"/>
      <c r="U330" s="55"/>
      <c r="V330" s="55"/>
      <c r="W330" s="55"/>
      <c r="X330" s="155"/>
      <c r="Y330" s="171"/>
      <c r="Z330" s="165"/>
      <c r="AA330" s="10"/>
      <c r="AB330" s="55"/>
      <c r="AC330" s="55"/>
      <c r="AD330" s="55"/>
      <c r="AE330" s="55"/>
      <c r="AF330" s="55"/>
      <c r="AG330" s="167"/>
      <c r="AH330" s="55"/>
      <c r="AI330" s="55"/>
      <c r="AJ330" s="165"/>
      <c r="AK330" s="55"/>
      <c r="AL330" s="55"/>
      <c r="AM330" s="55"/>
      <c r="AN330" s="55"/>
      <c r="AO330" s="55"/>
      <c r="AP330" s="55"/>
      <c r="AQ330" s="55"/>
      <c r="AR330" s="55"/>
      <c r="AS330" s="165"/>
      <c r="AT330" s="55"/>
      <c r="AU330" s="55"/>
      <c r="AV330" s="55"/>
      <c r="AW330" s="55"/>
      <c r="AX330" s="55"/>
      <c r="AY330" s="55"/>
      <c r="AZ330" s="55"/>
      <c r="BA330" s="55"/>
      <c r="BB330" s="165"/>
      <c r="BC330" s="55"/>
      <c r="BD330" s="55"/>
      <c r="BE330" s="55"/>
      <c r="BF330" s="165"/>
      <c r="BG330" s="55"/>
      <c r="BH330" s="10"/>
      <c r="BI330" s="55"/>
      <c r="BJ330" s="55"/>
      <c r="BK330" s="55"/>
      <c r="BL330" s="55"/>
      <c r="BT330" s="141"/>
      <c r="CN330" s="141"/>
      <c r="DG330" s="141"/>
    </row>
    <row r="331" spans="1:111" s="93" customFormat="1" x14ac:dyDescent="0.15">
      <c r="A331" s="11"/>
      <c r="B331" s="13"/>
      <c r="C331" s="12"/>
      <c r="D331" s="13"/>
      <c r="E331" s="13"/>
      <c r="F331" s="12"/>
      <c r="G331" s="55"/>
      <c r="H331" s="55"/>
      <c r="I331" s="55"/>
      <c r="J331" s="55"/>
      <c r="K331" s="55"/>
      <c r="L331" s="158"/>
      <c r="M331" s="10"/>
      <c r="N331" s="55"/>
      <c r="O331" s="55"/>
      <c r="P331" s="10"/>
      <c r="Q331" s="10"/>
      <c r="R331" s="155"/>
      <c r="S331" s="171"/>
      <c r="T331" s="161"/>
      <c r="U331" s="55"/>
      <c r="V331" s="55"/>
      <c r="W331" s="55"/>
      <c r="X331" s="155"/>
      <c r="Y331" s="171"/>
      <c r="Z331" s="165"/>
      <c r="AA331" s="10"/>
      <c r="AB331" s="55"/>
      <c r="AC331" s="55"/>
      <c r="AD331" s="55"/>
      <c r="AE331" s="55"/>
      <c r="AF331" s="55"/>
      <c r="AG331" s="167"/>
      <c r="AH331" s="55"/>
      <c r="AI331" s="55"/>
      <c r="AJ331" s="165"/>
      <c r="AK331" s="55"/>
      <c r="AL331" s="55"/>
      <c r="AM331" s="55"/>
      <c r="AN331" s="55"/>
      <c r="AO331" s="55"/>
      <c r="AP331" s="55"/>
      <c r="AQ331" s="55"/>
      <c r="AR331" s="55"/>
      <c r="AS331" s="165"/>
      <c r="AT331" s="55"/>
      <c r="AU331" s="55"/>
      <c r="AV331" s="55"/>
      <c r="AW331" s="55"/>
      <c r="AX331" s="55"/>
      <c r="AY331" s="55"/>
      <c r="AZ331" s="55"/>
      <c r="BA331" s="55"/>
      <c r="BB331" s="165"/>
      <c r="BC331" s="55"/>
      <c r="BD331" s="55"/>
      <c r="BE331" s="55"/>
      <c r="BF331" s="165"/>
      <c r="BG331" s="55"/>
      <c r="BH331" s="10"/>
      <c r="BI331" s="55"/>
      <c r="BJ331" s="55"/>
      <c r="BK331" s="55"/>
      <c r="BL331" s="55"/>
      <c r="BT331" s="141"/>
      <c r="CN331" s="141"/>
      <c r="DG331" s="141"/>
    </row>
    <row r="332" spans="1:111" s="93" customFormat="1" x14ac:dyDescent="0.15">
      <c r="A332" s="11"/>
      <c r="B332" s="13"/>
      <c r="C332" s="12"/>
      <c r="D332" s="13"/>
      <c r="E332" s="13"/>
      <c r="F332" s="12"/>
      <c r="G332" s="55"/>
      <c r="H332" s="55"/>
      <c r="I332" s="55"/>
      <c r="J332" s="55"/>
      <c r="K332" s="55"/>
      <c r="L332" s="158"/>
      <c r="M332" s="10"/>
      <c r="N332" s="55"/>
      <c r="O332" s="55"/>
      <c r="P332" s="10"/>
      <c r="Q332" s="10"/>
      <c r="R332" s="155"/>
      <c r="S332" s="171"/>
      <c r="T332" s="161"/>
      <c r="U332" s="55"/>
      <c r="V332" s="55"/>
      <c r="W332" s="55"/>
      <c r="X332" s="155"/>
      <c r="Y332" s="171"/>
      <c r="Z332" s="165"/>
      <c r="AA332" s="10"/>
      <c r="AB332" s="55"/>
      <c r="AC332" s="55"/>
      <c r="AD332" s="55"/>
      <c r="AE332" s="55"/>
      <c r="AF332" s="55"/>
      <c r="AG332" s="167"/>
      <c r="AH332" s="55"/>
      <c r="AI332" s="55"/>
      <c r="AJ332" s="165"/>
      <c r="AK332" s="55"/>
      <c r="AL332" s="55"/>
      <c r="AM332" s="55"/>
      <c r="AN332" s="55"/>
      <c r="AO332" s="55"/>
      <c r="AP332" s="55"/>
      <c r="AQ332" s="55"/>
      <c r="AR332" s="55"/>
      <c r="AS332" s="165"/>
      <c r="AT332" s="55"/>
      <c r="AU332" s="55"/>
      <c r="AV332" s="55"/>
      <c r="AW332" s="55"/>
      <c r="AX332" s="55"/>
      <c r="AY332" s="55"/>
      <c r="AZ332" s="55"/>
      <c r="BA332" s="55"/>
      <c r="BB332" s="165"/>
      <c r="BC332" s="55"/>
      <c r="BD332" s="55"/>
      <c r="BE332" s="55"/>
      <c r="BF332" s="165"/>
      <c r="BG332" s="55"/>
      <c r="BH332" s="10"/>
      <c r="BI332" s="55"/>
      <c r="BJ332" s="55"/>
      <c r="BK332" s="55"/>
      <c r="BL332" s="55"/>
      <c r="BT332" s="141"/>
      <c r="CN332" s="141"/>
      <c r="DG332" s="141"/>
    </row>
    <row r="333" spans="1:111" s="93" customFormat="1" x14ac:dyDescent="0.15">
      <c r="A333" s="11"/>
      <c r="B333" s="13"/>
      <c r="C333" s="12"/>
      <c r="D333" s="13"/>
      <c r="E333" s="13"/>
      <c r="F333" s="12"/>
      <c r="G333" s="55"/>
      <c r="H333" s="55"/>
      <c r="I333" s="55"/>
      <c r="J333" s="55"/>
      <c r="K333" s="55"/>
      <c r="L333" s="158"/>
      <c r="M333" s="10"/>
      <c r="N333" s="55"/>
      <c r="O333" s="55"/>
      <c r="P333" s="10"/>
      <c r="Q333" s="10"/>
      <c r="R333" s="155"/>
      <c r="S333" s="171"/>
      <c r="T333" s="161"/>
      <c r="U333" s="55"/>
      <c r="V333" s="55"/>
      <c r="W333" s="55"/>
      <c r="X333" s="155"/>
      <c r="Y333" s="171"/>
      <c r="Z333" s="165"/>
      <c r="AA333" s="10"/>
      <c r="AB333" s="55"/>
      <c r="AC333" s="55"/>
      <c r="AD333" s="55"/>
      <c r="AE333" s="55"/>
      <c r="AF333" s="55"/>
      <c r="AG333" s="167"/>
      <c r="AH333" s="55"/>
      <c r="AI333" s="55"/>
      <c r="AJ333" s="165"/>
      <c r="AK333" s="55"/>
      <c r="AL333" s="55"/>
      <c r="AM333" s="55"/>
      <c r="AN333" s="55"/>
      <c r="AO333" s="55"/>
      <c r="AP333" s="55"/>
      <c r="AQ333" s="55"/>
      <c r="AR333" s="55"/>
      <c r="AS333" s="165"/>
      <c r="AT333" s="55"/>
      <c r="AU333" s="55"/>
      <c r="AV333" s="55"/>
      <c r="AW333" s="55"/>
      <c r="AX333" s="55"/>
      <c r="AY333" s="55"/>
      <c r="AZ333" s="55"/>
      <c r="BA333" s="55"/>
      <c r="BB333" s="165"/>
      <c r="BC333" s="55"/>
      <c r="BD333" s="55"/>
      <c r="BE333" s="55"/>
      <c r="BF333" s="165"/>
      <c r="BG333" s="55"/>
      <c r="BH333" s="10"/>
      <c r="BI333" s="55"/>
      <c r="BJ333" s="55"/>
      <c r="BK333" s="55"/>
      <c r="BL333" s="55"/>
      <c r="BT333" s="141"/>
      <c r="CN333" s="141"/>
      <c r="DG333" s="141"/>
    </row>
    <row r="334" spans="1:111" s="93" customFormat="1" x14ac:dyDescent="0.15">
      <c r="A334" s="11"/>
      <c r="B334" s="13"/>
      <c r="C334" s="12"/>
      <c r="D334" s="13"/>
      <c r="E334" s="13"/>
      <c r="F334" s="12"/>
      <c r="G334" s="55"/>
      <c r="H334" s="55"/>
      <c r="I334" s="55"/>
      <c r="J334" s="55"/>
      <c r="K334" s="55"/>
      <c r="L334" s="158"/>
      <c r="M334" s="10"/>
      <c r="N334" s="55"/>
      <c r="O334" s="55"/>
      <c r="P334" s="10"/>
      <c r="Q334" s="10"/>
      <c r="R334" s="155"/>
      <c r="S334" s="171"/>
      <c r="T334" s="161"/>
      <c r="U334" s="55"/>
      <c r="V334" s="55"/>
      <c r="W334" s="55"/>
      <c r="X334" s="155"/>
      <c r="Y334" s="171"/>
      <c r="Z334" s="165"/>
      <c r="AA334" s="10"/>
      <c r="AB334" s="55"/>
      <c r="AC334" s="55"/>
      <c r="AD334" s="55"/>
      <c r="AE334" s="55"/>
      <c r="AF334" s="55"/>
      <c r="AG334" s="167"/>
      <c r="AH334" s="55"/>
      <c r="AI334" s="55"/>
      <c r="AJ334" s="165"/>
      <c r="AK334" s="55"/>
      <c r="AL334" s="55"/>
      <c r="AM334" s="55"/>
      <c r="AN334" s="55"/>
      <c r="AO334" s="55"/>
      <c r="AP334" s="55"/>
      <c r="AQ334" s="55"/>
      <c r="AR334" s="55"/>
      <c r="AS334" s="165"/>
      <c r="AT334" s="55"/>
      <c r="AU334" s="55"/>
      <c r="AV334" s="55"/>
      <c r="AW334" s="55"/>
      <c r="AX334" s="55"/>
      <c r="AY334" s="55"/>
      <c r="AZ334" s="55"/>
      <c r="BA334" s="55"/>
      <c r="BB334" s="165"/>
      <c r="BC334" s="55"/>
      <c r="BD334" s="55"/>
      <c r="BE334" s="55"/>
      <c r="BF334" s="165"/>
      <c r="BG334" s="55"/>
      <c r="BH334" s="10"/>
      <c r="BI334" s="55"/>
      <c r="BJ334" s="55"/>
      <c r="BK334" s="55"/>
      <c r="BL334" s="55"/>
      <c r="BT334" s="141"/>
      <c r="CN334" s="141"/>
      <c r="DG334" s="141"/>
    </row>
    <row r="335" spans="1:111" s="93" customFormat="1" x14ac:dyDescent="0.15">
      <c r="A335" s="11"/>
      <c r="B335" s="13"/>
      <c r="C335" s="12"/>
      <c r="D335" s="13"/>
      <c r="E335" s="13"/>
      <c r="F335" s="12"/>
      <c r="G335" s="55"/>
      <c r="H335" s="55"/>
      <c r="I335" s="55"/>
      <c r="J335" s="55"/>
      <c r="K335" s="55"/>
      <c r="L335" s="158"/>
      <c r="M335" s="10"/>
      <c r="N335" s="55"/>
      <c r="O335" s="55"/>
      <c r="P335" s="10"/>
      <c r="Q335" s="10"/>
      <c r="R335" s="155"/>
      <c r="S335" s="171"/>
      <c r="T335" s="161"/>
      <c r="U335" s="55"/>
      <c r="V335" s="55"/>
      <c r="W335" s="55"/>
      <c r="X335" s="155"/>
      <c r="Y335" s="171"/>
      <c r="Z335" s="165"/>
      <c r="AA335" s="10"/>
      <c r="AB335" s="55"/>
      <c r="AC335" s="55"/>
      <c r="AD335" s="55"/>
      <c r="AE335" s="55"/>
      <c r="AF335" s="55"/>
      <c r="AG335" s="167"/>
      <c r="AH335" s="55"/>
      <c r="AI335" s="55"/>
      <c r="AJ335" s="165"/>
      <c r="AK335" s="55"/>
      <c r="AL335" s="55"/>
      <c r="AM335" s="55"/>
      <c r="AN335" s="55"/>
      <c r="AO335" s="55"/>
      <c r="AP335" s="55"/>
      <c r="AQ335" s="55"/>
      <c r="AR335" s="55"/>
      <c r="AS335" s="165"/>
      <c r="AT335" s="55"/>
      <c r="AU335" s="55"/>
      <c r="AV335" s="55"/>
      <c r="AW335" s="55"/>
      <c r="AX335" s="55"/>
      <c r="AY335" s="55"/>
      <c r="AZ335" s="55"/>
      <c r="BA335" s="55"/>
      <c r="BB335" s="165"/>
      <c r="BC335" s="55"/>
      <c r="BD335" s="55"/>
      <c r="BE335" s="55"/>
      <c r="BF335" s="165"/>
      <c r="BG335" s="55"/>
      <c r="BH335" s="10"/>
      <c r="BI335" s="55"/>
      <c r="BJ335" s="55"/>
      <c r="BK335" s="55"/>
      <c r="BL335" s="55"/>
      <c r="BT335" s="141"/>
      <c r="CN335" s="141"/>
      <c r="DG335" s="141"/>
    </row>
    <row r="336" spans="1:111" s="93" customFormat="1" x14ac:dyDescent="0.15">
      <c r="A336" s="11"/>
      <c r="B336" s="13"/>
      <c r="C336" s="12"/>
      <c r="D336" s="13"/>
      <c r="E336" s="13"/>
      <c r="F336" s="12"/>
      <c r="G336" s="55"/>
      <c r="H336" s="55"/>
      <c r="I336" s="55"/>
      <c r="J336" s="55"/>
      <c r="K336" s="55"/>
      <c r="L336" s="158"/>
      <c r="M336" s="10"/>
      <c r="N336" s="55"/>
      <c r="O336" s="55"/>
      <c r="P336" s="10"/>
      <c r="Q336" s="10"/>
      <c r="R336" s="155"/>
      <c r="S336" s="171"/>
      <c r="T336" s="161"/>
      <c r="U336" s="55"/>
      <c r="V336" s="55"/>
      <c r="W336" s="55"/>
      <c r="X336" s="155"/>
      <c r="Y336" s="171"/>
      <c r="Z336" s="165"/>
      <c r="AA336" s="10"/>
      <c r="AB336" s="55"/>
      <c r="AC336" s="55"/>
      <c r="AD336" s="55"/>
      <c r="AE336" s="55"/>
      <c r="AF336" s="55"/>
      <c r="AG336" s="167"/>
      <c r="AH336" s="55"/>
      <c r="AI336" s="55"/>
      <c r="AJ336" s="165"/>
      <c r="AK336" s="55"/>
      <c r="AL336" s="55"/>
      <c r="AM336" s="55"/>
      <c r="AN336" s="55"/>
      <c r="AO336" s="55"/>
      <c r="AP336" s="55"/>
      <c r="AQ336" s="55"/>
      <c r="AR336" s="55"/>
      <c r="AS336" s="165"/>
      <c r="AT336" s="55"/>
      <c r="AU336" s="55"/>
      <c r="AV336" s="55"/>
      <c r="AW336" s="55"/>
      <c r="AX336" s="55"/>
      <c r="AY336" s="55"/>
      <c r="AZ336" s="55"/>
      <c r="BA336" s="55"/>
      <c r="BB336" s="165"/>
      <c r="BC336" s="55"/>
      <c r="BD336" s="55"/>
      <c r="BE336" s="55"/>
      <c r="BF336" s="165"/>
      <c r="BG336" s="55"/>
      <c r="BH336" s="10"/>
      <c r="BI336" s="55"/>
      <c r="BJ336" s="55"/>
      <c r="BK336" s="55"/>
      <c r="BL336" s="55"/>
      <c r="BT336" s="141"/>
      <c r="CN336" s="141"/>
      <c r="DG336" s="141"/>
    </row>
    <row r="337" spans="1:111" s="93" customFormat="1" x14ac:dyDescent="0.15">
      <c r="A337" s="11"/>
      <c r="B337" s="13"/>
      <c r="C337" s="12"/>
      <c r="D337" s="13"/>
      <c r="E337" s="13"/>
      <c r="F337" s="12"/>
      <c r="G337" s="55"/>
      <c r="H337" s="55"/>
      <c r="I337" s="55"/>
      <c r="J337" s="55"/>
      <c r="K337" s="55"/>
      <c r="L337" s="158"/>
      <c r="M337" s="10"/>
      <c r="N337" s="55"/>
      <c r="O337" s="55"/>
      <c r="P337" s="10"/>
      <c r="Q337" s="10"/>
      <c r="R337" s="155"/>
      <c r="S337" s="171"/>
      <c r="T337" s="161"/>
      <c r="U337" s="55"/>
      <c r="V337" s="55"/>
      <c r="W337" s="55"/>
      <c r="X337" s="155"/>
      <c r="Y337" s="171"/>
      <c r="Z337" s="165"/>
      <c r="AA337" s="10"/>
      <c r="AB337" s="55"/>
      <c r="AC337" s="55"/>
      <c r="AD337" s="55"/>
      <c r="AE337" s="55"/>
      <c r="AF337" s="55"/>
      <c r="AG337" s="167"/>
      <c r="AH337" s="55"/>
      <c r="AI337" s="55"/>
      <c r="AJ337" s="165"/>
      <c r="AK337" s="55"/>
      <c r="AL337" s="55"/>
      <c r="AM337" s="55"/>
      <c r="AN337" s="55"/>
      <c r="AO337" s="55"/>
      <c r="AP337" s="55"/>
      <c r="AQ337" s="55"/>
      <c r="AR337" s="55"/>
      <c r="AS337" s="165"/>
      <c r="AT337" s="55"/>
      <c r="AU337" s="55"/>
      <c r="AV337" s="55"/>
      <c r="AW337" s="55"/>
      <c r="AX337" s="55"/>
      <c r="AY337" s="55"/>
      <c r="AZ337" s="55"/>
      <c r="BA337" s="55"/>
      <c r="BB337" s="165"/>
      <c r="BC337" s="55"/>
      <c r="BD337" s="55"/>
      <c r="BE337" s="55"/>
      <c r="BF337" s="165"/>
      <c r="BG337" s="55"/>
      <c r="BH337" s="10"/>
      <c r="BI337" s="55"/>
      <c r="BJ337" s="55"/>
      <c r="BK337" s="55"/>
      <c r="BL337" s="55"/>
      <c r="BT337" s="141"/>
      <c r="CN337" s="141"/>
      <c r="DG337" s="141"/>
    </row>
    <row r="338" spans="1:111" s="93" customFormat="1" x14ac:dyDescent="0.15">
      <c r="A338" s="11"/>
      <c r="B338" s="13"/>
      <c r="C338" s="12"/>
      <c r="D338" s="13"/>
      <c r="E338" s="13"/>
      <c r="F338" s="12"/>
      <c r="G338" s="55"/>
      <c r="H338" s="55"/>
      <c r="I338" s="55"/>
      <c r="J338" s="55"/>
      <c r="K338" s="55"/>
      <c r="L338" s="158"/>
      <c r="M338" s="10"/>
      <c r="N338" s="55"/>
      <c r="O338" s="55"/>
      <c r="P338" s="10"/>
      <c r="Q338" s="10"/>
      <c r="R338" s="155"/>
      <c r="S338" s="171"/>
      <c r="T338" s="161"/>
      <c r="U338" s="55"/>
      <c r="V338" s="55"/>
      <c r="W338" s="55"/>
      <c r="X338" s="155"/>
      <c r="Y338" s="171"/>
      <c r="Z338" s="165"/>
      <c r="AA338" s="10"/>
      <c r="AB338" s="55"/>
      <c r="AC338" s="55"/>
      <c r="AD338" s="55"/>
      <c r="AE338" s="55"/>
      <c r="AF338" s="55"/>
      <c r="AG338" s="167"/>
      <c r="AH338" s="55"/>
      <c r="AI338" s="55"/>
      <c r="AJ338" s="165"/>
      <c r="AK338" s="55"/>
      <c r="AL338" s="55"/>
      <c r="AM338" s="55"/>
      <c r="AN338" s="55"/>
      <c r="AO338" s="55"/>
      <c r="AP338" s="55"/>
      <c r="AQ338" s="55"/>
      <c r="AR338" s="55"/>
      <c r="AS338" s="165"/>
      <c r="AT338" s="55"/>
      <c r="AU338" s="55"/>
      <c r="AV338" s="55"/>
      <c r="AW338" s="55"/>
      <c r="AX338" s="55"/>
      <c r="AY338" s="55"/>
      <c r="AZ338" s="55"/>
      <c r="BA338" s="55"/>
      <c r="BB338" s="165"/>
      <c r="BC338" s="55"/>
      <c r="BD338" s="55"/>
      <c r="BE338" s="55"/>
      <c r="BF338" s="165"/>
      <c r="BG338" s="55"/>
      <c r="BH338" s="10"/>
      <c r="BI338" s="55"/>
      <c r="BJ338" s="55"/>
      <c r="BK338" s="55"/>
      <c r="BL338" s="55"/>
      <c r="BT338" s="141"/>
      <c r="CN338" s="141"/>
      <c r="DG338" s="141"/>
    </row>
    <row r="339" spans="1:111" s="93" customFormat="1" x14ac:dyDescent="0.15">
      <c r="A339" s="11"/>
      <c r="B339" s="13"/>
      <c r="C339" s="12"/>
      <c r="D339" s="13"/>
      <c r="E339" s="13"/>
      <c r="F339" s="12"/>
      <c r="G339" s="55"/>
      <c r="H339" s="55"/>
      <c r="I339" s="55"/>
      <c r="J339" s="55"/>
      <c r="K339" s="55"/>
      <c r="L339" s="158"/>
      <c r="M339" s="10"/>
      <c r="N339" s="55"/>
      <c r="O339" s="55"/>
      <c r="P339" s="10"/>
      <c r="Q339" s="10"/>
      <c r="R339" s="155"/>
      <c r="S339" s="171"/>
      <c r="T339" s="161"/>
      <c r="U339" s="55"/>
      <c r="V339" s="55"/>
      <c r="W339" s="55"/>
      <c r="X339" s="155"/>
      <c r="Y339" s="171"/>
      <c r="Z339" s="165"/>
      <c r="AA339" s="10"/>
      <c r="AB339" s="55"/>
      <c r="AC339" s="55"/>
      <c r="AD339" s="55"/>
      <c r="AE339" s="55"/>
      <c r="AF339" s="55"/>
      <c r="AG339" s="167"/>
      <c r="AH339" s="55"/>
      <c r="AI339" s="55"/>
      <c r="AJ339" s="165"/>
      <c r="AK339" s="55"/>
      <c r="AL339" s="55"/>
      <c r="AM339" s="55"/>
      <c r="AN339" s="55"/>
      <c r="AO339" s="55"/>
      <c r="AP339" s="55"/>
      <c r="AQ339" s="55"/>
      <c r="AR339" s="55"/>
      <c r="AS339" s="165"/>
      <c r="AT339" s="55"/>
      <c r="AU339" s="55"/>
      <c r="AV339" s="55"/>
      <c r="AW339" s="55"/>
      <c r="AX339" s="55"/>
      <c r="AY339" s="55"/>
      <c r="AZ339" s="55"/>
      <c r="BA339" s="55"/>
      <c r="BB339" s="165"/>
      <c r="BC339" s="55"/>
      <c r="BD339" s="55"/>
      <c r="BE339" s="55"/>
      <c r="BF339" s="165"/>
      <c r="BG339" s="55"/>
      <c r="BH339" s="10"/>
      <c r="BI339" s="55"/>
      <c r="BJ339" s="55"/>
      <c r="BK339" s="55"/>
      <c r="BL339" s="55"/>
      <c r="BT339" s="141"/>
      <c r="CN339" s="141"/>
      <c r="DG339" s="141"/>
    </row>
    <row r="340" spans="1:111" s="93" customFormat="1" x14ac:dyDescent="0.15">
      <c r="A340" s="11"/>
      <c r="B340" s="13"/>
      <c r="C340" s="12"/>
      <c r="D340" s="13"/>
      <c r="E340" s="13"/>
      <c r="F340" s="12"/>
      <c r="G340" s="55"/>
      <c r="H340" s="55"/>
      <c r="I340" s="55"/>
      <c r="J340" s="55"/>
      <c r="K340" s="55"/>
      <c r="L340" s="158"/>
      <c r="M340" s="10"/>
      <c r="N340" s="55"/>
      <c r="O340" s="55"/>
      <c r="P340" s="10"/>
      <c r="Q340" s="10"/>
      <c r="R340" s="155"/>
      <c r="S340" s="171"/>
      <c r="T340" s="161"/>
      <c r="U340" s="55"/>
      <c r="V340" s="55"/>
      <c r="W340" s="55"/>
      <c r="X340" s="155"/>
      <c r="Y340" s="171"/>
      <c r="Z340" s="165"/>
      <c r="AA340" s="10"/>
      <c r="AB340" s="55"/>
      <c r="AC340" s="55"/>
      <c r="AD340" s="55"/>
      <c r="AE340" s="55"/>
      <c r="AF340" s="55"/>
      <c r="AG340" s="167"/>
      <c r="AH340" s="55"/>
      <c r="AI340" s="55"/>
      <c r="AJ340" s="165"/>
      <c r="AK340" s="55"/>
      <c r="AL340" s="55"/>
      <c r="AM340" s="55"/>
      <c r="AN340" s="55"/>
      <c r="AO340" s="55"/>
      <c r="AP340" s="55"/>
      <c r="AQ340" s="55"/>
      <c r="AR340" s="55"/>
      <c r="AS340" s="165"/>
      <c r="AT340" s="55"/>
      <c r="AU340" s="55"/>
      <c r="AV340" s="55"/>
      <c r="AW340" s="55"/>
      <c r="AX340" s="55"/>
      <c r="AY340" s="55"/>
      <c r="AZ340" s="55"/>
      <c r="BA340" s="55"/>
      <c r="BB340" s="165"/>
      <c r="BC340" s="55"/>
      <c r="BD340" s="55"/>
      <c r="BE340" s="55"/>
      <c r="BF340" s="165"/>
      <c r="BG340" s="55"/>
      <c r="BH340" s="10"/>
      <c r="BI340" s="55"/>
      <c r="BJ340" s="55"/>
      <c r="BK340" s="55"/>
      <c r="BL340" s="55"/>
      <c r="BT340" s="141"/>
      <c r="CN340" s="141"/>
      <c r="DG340" s="141"/>
    </row>
    <row r="341" spans="1:111" s="93" customFormat="1" x14ac:dyDescent="0.15">
      <c r="A341" s="11"/>
      <c r="B341" s="13"/>
      <c r="C341" s="12"/>
      <c r="D341" s="13"/>
      <c r="E341" s="13"/>
      <c r="F341" s="12"/>
      <c r="G341" s="55"/>
      <c r="H341" s="55"/>
      <c r="I341" s="55"/>
      <c r="J341" s="55"/>
      <c r="K341" s="55"/>
      <c r="L341" s="158"/>
      <c r="M341" s="10"/>
      <c r="N341" s="55"/>
      <c r="O341" s="55"/>
      <c r="P341" s="10"/>
      <c r="Q341" s="10"/>
      <c r="R341" s="155"/>
      <c r="S341" s="171"/>
      <c r="T341" s="161"/>
      <c r="U341" s="55"/>
      <c r="V341" s="55"/>
      <c r="W341" s="55"/>
      <c r="X341" s="155"/>
      <c r="Y341" s="171"/>
      <c r="Z341" s="165"/>
      <c r="AA341" s="10"/>
      <c r="AB341" s="55"/>
      <c r="AC341" s="55"/>
      <c r="AD341" s="55"/>
      <c r="AE341" s="55"/>
      <c r="AF341" s="55"/>
      <c r="AG341" s="167"/>
      <c r="AH341" s="55"/>
      <c r="AI341" s="55"/>
      <c r="AJ341" s="165"/>
      <c r="AK341" s="55"/>
      <c r="AL341" s="55"/>
      <c r="AM341" s="55"/>
      <c r="AN341" s="55"/>
      <c r="AO341" s="55"/>
      <c r="AP341" s="55"/>
      <c r="AQ341" s="55"/>
      <c r="AR341" s="55"/>
      <c r="AS341" s="165"/>
      <c r="AT341" s="55"/>
      <c r="AU341" s="55"/>
      <c r="AV341" s="55"/>
      <c r="AW341" s="55"/>
      <c r="AX341" s="55"/>
      <c r="AY341" s="55"/>
      <c r="AZ341" s="55"/>
      <c r="BA341" s="55"/>
      <c r="BB341" s="165"/>
      <c r="BC341" s="55"/>
      <c r="BD341" s="55"/>
      <c r="BE341" s="55"/>
      <c r="BF341" s="165"/>
      <c r="BG341" s="55"/>
      <c r="BH341" s="10"/>
      <c r="BI341" s="55"/>
      <c r="BJ341" s="55"/>
      <c r="BK341" s="55"/>
      <c r="BL341" s="55"/>
      <c r="BT341" s="141"/>
      <c r="CN341" s="141"/>
      <c r="DG341" s="141"/>
    </row>
    <row r="342" spans="1:111" s="93" customFormat="1" x14ac:dyDescent="0.15">
      <c r="A342" s="11"/>
      <c r="B342" s="13"/>
      <c r="C342" s="12"/>
      <c r="D342" s="13"/>
      <c r="E342" s="13"/>
      <c r="F342" s="12"/>
      <c r="G342" s="55"/>
      <c r="H342" s="55"/>
      <c r="I342" s="55"/>
      <c r="J342" s="55"/>
      <c r="K342" s="55"/>
      <c r="L342" s="158"/>
      <c r="M342" s="10"/>
      <c r="N342" s="55"/>
      <c r="O342" s="55"/>
      <c r="P342" s="10"/>
      <c r="Q342" s="10"/>
      <c r="R342" s="155"/>
      <c r="S342" s="171"/>
      <c r="T342" s="161"/>
      <c r="U342" s="55"/>
      <c r="V342" s="55"/>
      <c r="W342" s="55"/>
      <c r="X342" s="155"/>
      <c r="Y342" s="171"/>
      <c r="Z342" s="165"/>
      <c r="AA342" s="10"/>
      <c r="AB342" s="55"/>
      <c r="AC342" s="55"/>
      <c r="AD342" s="55"/>
      <c r="AE342" s="55"/>
      <c r="AF342" s="55"/>
      <c r="AG342" s="167"/>
      <c r="AH342" s="55"/>
      <c r="AI342" s="55"/>
      <c r="AJ342" s="165"/>
      <c r="AK342" s="55"/>
      <c r="AL342" s="55"/>
      <c r="AM342" s="55"/>
      <c r="AN342" s="55"/>
      <c r="AO342" s="55"/>
      <c r="AP342" s="55"/>
      <c r="AQ342" s="55"/>
      <c r="AR342" s="55"/>
      <c r="AS342" s="165"/>
      <c r="AT342" s="55"/>
      <c r="AU342" s="55"/>
      <c r="AV342" s="55"/>
      <c r="AW342" s="55"/>
      <c r="AX342" s="55"/>
      <c r="AY342" s="55"/>
      <c r="AZ342" s="55"/>
      <c r="BA342" s="55"/>
      <c r="BB342" s="165"/>
      <c r="BC342" s="55"/>
      <c r="BD342" s="55"/>
      <c r="BE342" s="55"/>
      <c r="BF342" s="165"/>
      <c r="BG342" s="55"/>
      <c r="BH342" s="10"/>
      <c r="BI342" s="55"/>
      <c r="BJ342" s="55"/>
      <c r="BK342" s="55"/>
      <c r="BL342" s="55"/>
      <c r="BT342" s="141"/>
      <c r="CN342" s="141"/>
      <c r="DG342" s="141"/>
    </row>
    <row r="343" spans="1:111" s="93" customFormat="1" x14ac:dyDescent="0.15">
      <c r="A343" s="11"/>
      <c r="B343" s="13"/>
      <c r="C343" s="12"/>
      <c r="D343" s="13"/>
      <c r="E343" s="13"/>
      <c r="F343" s="12"/>
      <c r="G343" s="55"/>
      <c r="H343" s="55"/>
      <c r="I343" s="55"/>
      <c r="J343" s="55"/>
      <c r="K343" s="55"/>
      <c r="L343" s="158"/>
      <c r="M343" s="10"/>
      <c r="N343" s="55"/>
      <c r="O343" s="55"/>
      <c r="P343" s="10"/>
      <c r="Q343" s="10"/>
      <c r="R343" s="155"/>
      <c r="S343" s="171"/>
      <c r="T343" s="161"/>
      <c r="U343" s="55"/>
      <c r="V343" s="55"/>
      <c r="W343" s="55"/>
      <c r="X343" s="155"/>
      <c r="Y343" s="171"/>
      <c r="Z343" s="165"/>
      <c r="AA343" s="10"/>
      <c r="AB343" s="55"/>
      <c r="AC343" s="55"/>
      <c r="AD343" s="55"/>
      <c r="AE343" s="55"/>
      <c r="AF343" s="55"/>
      <c r="AG343" s="167"/>
      <c r="AH343" s="55"/>
      <c r="AI343" s="55"/>
      <c r="AJ343" s="165"/>
      <c r="AK343" s="55"/>
      <c r="AL343" s="55"/>
      <c r="AM343" s="55"/>
      <c r="AN343" s="55"/>
      <c r="AO343" s="55"/>
      <c r="AP343" s="55"/>
      <c r="AQ343" s="55"/>
      <c r="AR343" s="55"/>
      <c r="AS343" s="165"/>
      <c r="AT343" s="55"/>
      <c r="AU343" s="55"/>
      <c r="AV343" s="55"/>
      <c r="AW343" s="55"/>
      <c r="AX343" s="55"/>
      <c r="AY343" s="55"/>
      <c r="AZ343" s="55"/>
      <c r="BA343" s="55"/>
      <c r="BB343" s="165"/>
      <c r="BC343" s="55"/>
      <c r="BD343" s="55"/>
      <c r="BE343" s="55"/>
      <c r="BF343" s="165"/>
      <c r="BG343" s="55"/>
      <c r="BH343" s="10"/>
      <c r="BI343" s="55"/>
      <c r="BJ343" s="55"/>
      <c r="BK343" s="55"/>
      <c r="BL343" s="55"/>
      <c r="BT343" s="141"/>
      <c r="CN343" s="141"/>
      <c r="DG343" s="141"/>
    </row>
    <row r="344" spans="1:111" s="93" customFormat="1" x14ac:dyDescent="0.15">
      <c r="A344" s="11"/>
      <c r="B344" s="13"/>
      <c r="C344" s="12"/>
      <c r="D344" s="13"/>
      <c r="E344" s="13"/>
      <c r="F344" s="12"/>
      <c r="G344" s="55"/>
      <c r="H344" s="55"/>
      <c r="I344" s="55"/>
      <c r="J344" s="55"/>
      <c r="K344" s="55"/>
      <c r="L344" s="158"/>
      <c r="M344" s="10"/>
      <c r="N344" s="55"/>
      <c r="O344" s="55"/>
      <c r="P344" s="10"/>
      <c r="Q344" s="10"/>
      <c r="R344" s="155"/>
      <c r="S344" s="171"/>
      <c r="T344" s="161"/>
      <c r="U344" s="55"/>
      <c r="V344" s="55"/>
      <c r="W344" s="55"/>
      <c r="X344" s="155"/>
      <c r="Y344" s="171"/>
      <c r="Z344" s="165"/>
      <c r="AA344" s="10"/>
      <c r="AB344" s="55"/>
      <c r="AC344" s="55"/>
      <c r="AD344" s="55"/>
      <c r="AE344" s="55"/>
      <c r="AF344" s="55"/>
      <c r="AG344" s="167"/>
      <c r="AH344" s="55"/>
      <c r="AI344" s="55"/>
      <c r="AJ344" s="165"/>
      <c r="AK344" s="55"/>
      <c r="AL344" s="55"/>
      <c r="AM344" s="55"/>
      <c r="AN344" s="55"/>
      <c r="AO344" s="55"/>
      <c r="AP344" s="55"/>
      <c r="AQ344" s="55"/>
      <c r="AR344" s="55"/>
      <c r="AS344" s="165"/>
      <c r="AT344" s="55"/>
      <c r="AU344" s="55"/>
      <c r="AV344" s="55"/>
      <c r="AW344" s="55"/>
      <c r="AX344" s="55"/>
      <c r="AY344" s="55"/>
      <c r="AZ344" s="55"/>
      <c r="BA344" s="55"/>
      <c r="BB344" s="165"/>
      <c r="BC344" s="55"/>
      <c r="BD344" s="55"/>
      <c r="BE344" s="55"/>
      <c r="BF344" s="165"/>
      <c r="BG344" s="55"/>
      <c r="BH344" s="10"/>
      <c r="BI344" s="55"/>
      <c r="BJ344" s="55"/>
      <c r="BK344" s="55"/>
      <c r="BL344" s="55"/>
      <c r="BT344" s="141"/>
      <c r="CN344" s="141"/>
      <c r="DG344" s="141"/>
    </row>
    <row r="345" spans="1:111" s="93" customFormat="1" x14ac:dyDescent="0.15">
      <c r="A345" s="11"/>
      <c r="B345" s="13"/>
      <c r="C345" s="12"/>
      <c r="D345" s="13"/>
      <c r="E345" s="13"/>
      <c r="F345" s="12"/>
      <c r="G345" s="55"/>
      <c r="H345" s="55"/>
      <c r="I345" s="55"/>
      <c r="J345" s="55"/>
      <c r="K345" s="55"/>
      <c r="L345" s="158"/>
      <c r="M345" s="10"/>
      <c r="N345" s="55"/>
      <c r="O345" s="55"/>
      <c r="P345" s="10"/>
      <c r="Q345" s="10"/>
      <c r="R345" s="155"/>
      <c r="S345" s="171"/>
      <c r="T345" s="161"/>
      <c r="U345" s="55"/>
      <c r="V345" s="55"/>
      <c r="W345" s="55"/>
      <c r="X345" s="155"/>
      <c r="Y345" s="171"/>
      <c r="Z345" s="165"/>
      <c r="AA345" s="10"/>
      <c r="AB345" s="55"/>
      <c r="AC345" s="55"/>
      <c r="AD345" s="55"/>
      <c r="AE345" s="55"/>
      <c r="AF345" s="55"/>
      <c r="AG345" s="167"/>
      <c r="AH345" s="55"/>
      <c r="AI345" s="55"/>
      <c r="AJ345" s="165"/>
      <c r="AK345" s="55"/>
      <c r="AL345" s="55"/>
      <c r="AM345" s="55"/>
      <c r="AN345" s="55"/>
      <c r="AO345" s="55"/>
      <c r="AP345" s="55"/>
      <c r="AQ345" s="55"/>
      <c r="AR345" s="55"/>
      <c r="AS345" s="165"/>
      <c r="AT345" s="55"/>
      <c r="AU345" s="55"/>
      <c r="AV345" s="55"/>
      <c r="AW345" s="55"/>
      <c r="AX345" s="55"/>
      <c r="AY345" s="55"/>
      <c r="AZ345" s="55"/>
      <c r="BA345" s="55"/>
      <c r="BB345" s="165"/>
      <c r="BC345" s="55"/>
      <c r="BD345" s="55"/>
      <c r="BE345" s="55"/>
      <c r="BF345" s="165"/>
      <c r="BG345" s="55"/>
      <c r="BH345" s="10"/>
      <c r="BI345" s="55"/>
      <c r="BJ345" s="55"/>
      <c r="BK345" s="55"/>
      <c r="BL345" s="55"/>
      <c r="BT345" s="141"/>
      <c r="CN345" s="141"/>
      <c r="DG345" s="141"/>
    </row>
    <row r="346" spans="1:111" s="93" customFormat="1" x14ac:dyDescent="0.15">
      <c r="A346" s="11"/>
      <c r="B346" s="13"/>
      <c r="C346" s="12"/>
      <c r="D346" s="13"/>
      <c r="E346" s="13"/>
      <c r="F346" s="12"/>
      <c r="G346" s="55"/>
      <c r="H346" s="55"/>
      <c r="I346" s="55"/>
      <c r="J346" s="55"/>
      <c r="K346" s="55"/>
      <c r="L346" s="158"/>
      <c r="M346" s="10"/>
      <c r="N346" s="55"/>
      <c r="O346" s="55"/>
      <c r="P346" s="10"/>
      <c r="Q346" s="10"/>
      <c r="R346" s="155"/>
      <c r="S346" s="171"/>
      <c r="T346" s="161"/>
      <c r="U346" s="55"/>
      <c r="V346" s="55"/>
      <c r="W346" s="55"/>
      <c r="X346" s="155"/>
      <c r="Y346" s="171"/>
      <c r="Z346" s="165"/>
      <c r="AA346" s="10"/>
      <c r="AB346" s="55"/>
      <c r="AC346" s="55"/>
      <c r="AD346" s="55"/>
      <c r="AE346" s="55"/>
      <c r="AF346" s="55"/>
      <c r="AG346" s="167"/>
      <c r="AH346" s="55"/>
      <c r="AI346" s="55"/>
      <c r="AJ346" s="165"/>
      <c r="AK346" s="55"/>
      <c r="AL346" s="55"/>
      <c r="AM346" s="55"/>
      <c r="AN346" s="55"/>
      <c r="AO346" s="55"/>
      <c r="AP346" s="55"/>
      <c r="AQ346" s="55"/>
      <c r="AR346" s="55"/>
      <c r="AS346" s="165"/>
      <c r="AT346" s="55"/>
      <c r="AU346" s="55"/>
      <c r="AV346" s="55"/>
      <c r="AW346" s="55"/>
      <c r="AX346" s="55"/>
      <c r="AY346" s="55"/>
      <c r="AZ346" s="55"/>
      <c r="BA346" s="55"/>
      <c r="BB346" s="165"/>
      <c r="BC346" s="55"/>
      <c r="BD346" s="55"/>
      <c r="BE346" s="55"/>
      <c r="BF346" s="165"/>
      <c r="BG346" s="55"/>
      <c r="BH346" s="10"/>
      <c r="BI346" s="55"/>
      <c r="BJ346" s="55"/>
      <c r="BK346" s="55"/>
      <c r="BL346" s="55"/>
      <c r="BT346" s="141"/>
      <c r="CN346" s="141"/>
      <c r="DG346" s="141"/>
    </row>
    <row r="347" spans="1:111" s="93" customFormat="1" x14ac:dyDescent="0.15">
      <c r="A347" s="11"/>
      <c r="B347" s="13"/>
      <c r="C347" s="12"/>
      <c r="D347" s="13"/>
      <c r="E347" s="13"/>
      <c r="F347" s="12"/>
      <c r="G347" s="55"/>
      <c r="H347" s="55"/>
      <c r="I347" s="55"/>
      <c r="J347" s="55"/>
      <c r="K347" s="55"/>
      <c r="L347" s="158"/>
      <c r="M347" s="10"/>
      <c r="N347" s="55"/>
      <c r="O347" s="55"/>
      <c r="P347" s="10"/>
      <c r="Q347" s="10"/>
      <c r="R347" s="155"/>
      <c r="S347" s="171"/>
      <c r="T347" s="161"/>
      <c r="U347" s="55"/>
      <c r="V347" s="55"/>
      <c r="W347" s="55"/>
      <c r="X347" s="155"/>
      <c r="Y347" s="171"/>
      <c r="Z347" s="165"/>
      <c r="AA347" s="10"/>
      <c r="AB347" s="55"/>
      <c r="AC347" s="55"/>
      <c r="AD347" s="55"/>
      <c r="AE347" s="55"/>
      <c r="AF347" s="55"/>
      <c r="AG347" s="167"/>
      <c r="AH347" s="55"/>
      <c r="AI347" s="55"/>
      <c r="AJ347" s="165"/>
      <c r="AK347" s="55"/>
      <c r="AL347" s="55"/>
      <c r="AM347" s="55"/>
      <c r="AN347" s="55"/>
      <c r="AO347" s="55"/>
      <c r="AP347" s="55"/>
      <c r="AQ347" s="55"/>
      <c r="AR347" s="55"/>
      <c r="AS347" s="165"/>
      <c r="AT347" s="55"/>
      <c r="AU347" s="55"/>
      <c r="AV347" s="55"/>
      <c r="AW347" s="55"/>
      <c r="AX347" s="55"/>
      <c r="AY347" s="55"/>
      <c r="AZ347" s="55"/>
      <c r="BA347" s="55"/>
      <c r="BB347" s="165"/>
      <c r="BC347" s="55"/>
      <c r="BD347" s="55"/>
      <c r="BE347" s="55"/>
      <c r="BF347" s="165"/>
      <c r="BG347" s="55"/>
      <c r="BH347" s="10"/>
      <c r="BI347" s="55"/>
      <c r="BJ347" s="55"/>
      <c r="BK347" s="55"/>
      <c r="BL347" s="55"/>
      <c r="BT347" s="141"/>
      <c r="CN347" s="141"/>
      <c r="DG347" s="141"/>
    </row>
    <row r="348" spans="1:111" s="93" customFormat="1" x14ac:dyDescent="0.15">
      <c r="A348" s="11"/>
      <c r="B348" s="13"/>
      <c r="C348" s="12"/>
      <c r="D348" s="13"/>
      <c r="E348" s="13"/>
      <c r="F348" s="12"/>
      <c r="G348" s="55"/>
      <c r="H348" s="55"/>
      <c r="I348" s="55"/>
      <c r="J348" s="55"/>
      <c r="K348" s="55"/>
      <c r="L348" s="158"/>
      <c r="M348" s="10"/>
      <c r="N348" s="55"/>
      <c r="O348" s="55"/>
      <c r="P348" s="10"/>
      <c r="Q348" s="10"/>
      <c r="R348" s="155"/>
      <c r="S348" s="171"/>
      <c r="T348" s="161"/>
      <c r="U348" s="55"/>
      <c r="V348" s="55"/>
      <c r="W348" s="55"/>
      <c r="X348" s="155"/>
      <c r="Y348" s="171"/>
      <c r="Z348" s="165"/>
      <c r="AA348" s="10"/>
      <c r="AB348" s="55"/>
      <c r="AC348" s="55"/>
      <c r="AD348" s="55"/>
      <c r="AE348" s="55"/>
      <c r="AF348" s="55"/>
      <c r="AG348" s="167"/>
      <c r="AH348" s="55"/>
      <c r="AI348" s="55"/>
      <c r="AJ348" s="165"/>
      <c r="AK348" s="55"/>
      <c r="AL348" s="55"/>
      <c r="AM348" s="55"/>
      <c r="AN348" s="55"/>
      <c r="AO348" s="55"/>
      <c r="AP348" s="55"/>
      <c r="AQ348" s="55"/>
      <c r="AR348" s="55"/>
      <c r="AS348" s="165"/>
      <c r="AT348" s="55"/>
      <c r="AU348" s="55"/>
      <c r="AV348" s="55"/>
      <c r="AW348" s="55"/>
      <c r="AX348" s="55"/>
      <c r="AY348" s="55"/>
      <c r="AZ348" s="55"/>
      <c r="BA348" s="55"/>
      <c r="BB348" s="165"/>
      <c r="BC348" s="55"/>
      <c r="BD348" s="55"/>
      <c r="BE348" s="55"/>
      <c r="BF348" s="165"/>
      <c r="BG348" s="55"/>
      <c r="BH348" s="10"/>
      <c r="BI348" s="55"/>
      <c r="BJ348" s="55"/>
      <c r="BK348" s="55"/>
      <c r="BL348" s="55"/>
      <c r="BT348" s="141"/>
      <c r="CN348" s="141"/>
      <c r="DG348" s="141"/>
    </row>
    <row r="349" spans="1:111" s="93" customFormat="1" x14ac:dyDescent="0.15">
      <c r="A349" s="11"/>
      <c r="B349" s="13"/>
      <c r="C349" s="12"/>
      <c r="D349" s="13"/>
      <c r="E349" s="13"/>
      <c r="F349" s="12"/>
      <c r="G349" s="55"/>
      <c r="H349" s="55"/>
      <c r="I349" s="55"/>
      <c r="J349" s="55"/>
      <c r="K349" s="55"/>
      <c r="L349" s="158"/>
      <c r="M349" s="10"/>
      <c r="N349" s="55"/>
      <c r="O349" s="55"/>
      <c r="P349" s="10"/>
      <c r="Q349" s="10"/>
      <c r="R349" s="155"/>
      <c r="S349" s="171"/>
      <c r="T349" s="161"/>
      <c r="U349" s="55"/>
      <c r="V349" s="55"/>
      <c r="W349" s="55"/>
      <c r="X349" s="155"/>
      <c r="Y349" s="171"/>
      <c r="Z349" s="165"/>
      <c r="AA349" s="10"/>
      <c r="AB349" s="55"/>
      <c r="AC349" s="55"/>
      <c r="AD349" s="55"/>
      <c r="AE349" s="55"/>
      <c r="AF349" s="55"/>
      <c r="AG349" s="167"/>
      <c r="AH349" s="55"/>
      <c r="AI349" s="55"/>
      <c r="AJ349" s="165"/>
      <c r="AK349" s="55"/>
      <c r="AL349" s="55"/>
      <c r="AM349" s="55"/>
      <c r="AN349" s="55"/>
      <c r="AO349" s="55"/>
      <c r="AP349" s="55"/>
      <c r="AQ349" s="55"/>
      <c r="AR349" s="55"/>
      <c r="AS349" s="165"/>
      <c r="AT349" s="55"/>
      <c r="AU349" s="55"/>
      <c r="AV349" s="55"/>
      <c r="AW349" s="55"/>
      <c r="AX349" s="55"/>
      <c r="AY349" s="55"/>
      <c r="AZ349" s="55"/>
      <c r="BA349" s="55"/>
      <c r="BB349" s="165"/>
      <c r="BC349" s="55"/>
      <c r="BD349" s="55"/>
      <c r="BE349" s="55"/>
      <c r="BF349" s="165"/>
      <c r="BG349" s="55"/>
      <c r="BH349" s="10"/>
      <c r="BI349" s="55"/>
      <c r="BJ349" s="55"/>
      <c r="BK349" s="55"/>
      <c r="BL349" s="55"/>
      <c r="BT349" s="141"/>
      <c r="CN349" s="141"/>
      <c r="DG349" s="141"/>
    </row>
    <row r="350" spans="1:111" s="93" customFormat="1" x14ac:dyDescent="0.15">
      <c r="A350" s="11"/>
      <c r="B350" s="13"/>
      <c r="C350" s="12"/>
      <c r="D350" s="13"/>
      <c r="E350" s="13"/>
      <c r="F350" s="12"/>
      <c r="G350" s="55"/>
      <c r="H350" s="55"/>
      <c r="I350" s="55"/>
      <c r="J350" s="55"/>
      <c r="K350" s="55"/>
      <c r="L350" s="158"/>
      <c r="M350" s="10"/>
      <c r="N350" s="55"/>
      <c r="O350" s="55"/>
      <c r="P350" s="10"/>
      <c r="Q350" s="10"/>
      <c r="R350" s="155"/>
      <c r="S350" s="171"/>
      <c r="T350" s="161"/>
      <c r="U350" s="55"/>
      <c r="V350" s="55"/>
      <c r="W350" s="55"/>
      <c r="X350" s="155"/>
      <c r="Y350" s="171"/>
      <c r="Z350" s="165"/>
      <c r="AA350" s="10"/>
      <c r="AB350" s="55"/>
      <c r="AC350" s="55"/>
      <c r="AD350" s="55"/>
      <c r="AE350" s="55"/>
      <c r="AF350" s="55"/>
      <c r="AG350" s="167"/>
      <c r="AH350" s="55"/>
      <c r="AI350" s="55"/>
      <c r="AJ350" s="165"/>
      <c r="AK350" s="55"/>
      <c r="AL350" s="55"/>
      <c r="AM350" s="55"/>
      <c r="AN350" s="55"/>
      <c r="AO350" s="55"/>
      <c r="AP350" s="55"/>
      <c r="AQ350" s="55"/>
      <c r="AR350" s="55"/>
      <c r="AS350" s="165"/>
      <c r="AT350" s="55"/>
      <c r="AU350" s="55"/>
      <c r="AV350" s="55"/>
      <c r="AW350" s="55"/>
      <c r="AX350" s="55"/>
      <c r="AY350" s="55"/>
      <c r="AZ350" s="55"/>
      <c r="BA350" s="55"/>
      <c r="BB350" s="165"/>
      <c r="BC350" s="55"/>
      <c r="BD350" s="55"/>
      <c r="BE350" s="55"/>
      <c r="BF350" s="165"/>
      <c r="BG350" s="55"/>
      <c r="BH350" s="10"/>
      <c r="BI350" s="55"/>
      <c r="BJ350" s="55"/>
      <c r="BK350" s="55"/>
      <c r="BL350" s="55"/>
      <c r="BT350" s="141"/>
      <c r="CN350" s="141"/>
      <c r="DG350" s="141"/>
    </row>
    <row r="351" spans="1:111" s="93" customFormat="1" x14ac:dyDescent="0.15">
      <c r="A351" s="11"/>
      <c r="B351" s="13"/>
      <c r="C351" s="12"/>
      <c r="D351" s="13"/>
      <c r="E351" s="13"/>
      <c r="F351" s="12"/>
      <c r="G351" s="55"/>
      <c r="H351" s="55"/>
      <c r="I351" s="55"/>
      <c r="J351" s="55"/>
      <c r="K351" s="55"/>
      <c r="L351" s="158"/>
      <c r="M351" s="10"/>
      <c r="N351" s="55"/>
      <c r="O351" s="55"/>
      <c r="P351" s="10"/>
      <c r="Q351" s="10"/>
      <c r="R351" s="155"/>
      <c r="S351" s="171"/>
      <c r="T351" s="161"/>
      <c r="U351" s="55"/>
      <c r="V351" s="55"/>
      <c r="W351" s="55"/>
      <c r="X351" s="155"/>
      <c r="Y351" s="171"/>
      <c r="Z351" s="165"/>
      <c r="AA351" s="10"/>
      <c r="AB351" s="55"/>
      <c r="AC351" s="55"/>
      <c r="AD351" s="55"/>
      <c r="AE351" s="55"/>
      <c r="AF351" s="55"/>
      <c r="AG351" s="167"/>
      <c r="AH351" s="55"/>
      <c r="AI351" s="55"/>
      <c r="AJ351" s="165"/>
      <c r="AK351" s="55"/>
      <c r="AL351" s="55"/>
      <c r="AM351" s="55"/>
      <c r="AN351" s="55"/>
      <c r="AO351" s="55"/>
      <c r="AP351" s="55"/>
      <c r="AQ351" s="55"/>
      <c r="AR351" s="55"/>
      <c r="AS351" s="165"/>
      <c r="AT351" s="55"/>
      <c r="AU351" s="55"/>
      <c r="AV351" s="55"/>
      <c r="AW351" s="55"/>
      <c r="AX351" s="55"/>
      <c r="AY351" s="55"/>
      <c r="AZ351" s="55"/>
      <c r="BA351" s="55"/>
      <c r="BB351" s="165"/>
      <c r="BC351" s="55"/>
      <c r="BD351" s="55"/>
      <c r="BE351" s="55"/>
      <c r="BF351" s="165"/>
      <c r="BG351" s="55"/>
      <c r="BH351" s="10"/>
      <c r="BI351" s="55"/>
      <c r="BJ351" s="55"/>
      <c r="BK351" s="55"/>
      <c r="BL351" s="55"/>
      <c r="BT351" s="141"/>
      <c r="CN351" s="141"/>
      <c r="DG351" s="141"/>
    </row>
    <row r="352" spans="1:111" s="93" customFormat="1" x14ac:dyDescent="0.15">
      <c r="A352" s="11"/>
      <c r="B352" s="13"/>
      <c r="C352" s="12"/>
      <c r="D352" s="13"/>
      <c r="E352" s="13"/>
      <c r="F352" s="12"/>
      <c r="G352" s="55"/>
      <c r="H352" s="55"/>
      <c r="I352" s="55"/>
      <c r="J352" s="55"/>
      <c r="K352" s="55"/>
      <c r="L352" s="158"/>
      <c r="M352" s="10"/>
      <c r="N352" s="55"/>
      <c r="O352" s="55"/>
      <c r="P352" s="10"/>
      <c r="Q352" s="10"/>
      <c r="R352" s="155"/>
      <c r="S352" s="171"/>
      <c r="T352" s="161"/>
      <c r="U352" s="55"/>
      <c r="V352" s="55"/>
      <c r="W352" s="55"/>
      <c r="X352" s="155"/>
      <c r="Y352" s="171"/>
      <c r="Z352" s="165"/>
      <c r="AA352" s="10"/>
      <c r="AB352" s="55"/>
      <c r="AC352" s="55"/>
      <c r="AD352" s="55"/>
      <c r="AE352" s="55"/>
      <c r="AF352" s="55"/>
      <c r="AG352" s="167"/>
      <c r="AH352" s="55"/>
      <c r="AI352" s="55"/>
      <c r="AJ352" s="165"/>
      <c r="AK352" s="55"/>
      <c r="AL352" s="55"/>
      <c r="AM352" s="55"/>
      <c r="AN352" s="55"/>
      <c r="AO352" s="55"/>
      <c r="AP352" s="55"/>
      <c r="AQ352" s="55"/>
      <c r="AR352" s="55"/>
      <c r="AS352" s="165"/>
      <c r="AT352" s="55"/>
      <c r="AU352" s="55"/>
      <c r="AV352" s="55"/>
      <c r="AW352" s="55"/>
      <c r="AX352" s="55"/>
      <c r="AY352" s="55"/>
      <c r="AZ352" s="55"/>
      <c r="BA352" s="55"/>
      <c r="BB352" s="165"/>
      <c r="BC352" s="55"/>
      <c r="BD352" s="55"/>
      <c r="BE352" s="55"/>
      <c r="BF352" s="165"/>
      <c r="BG352" s="55"/>
      <c r="BH352" s="10"/>
      <c r="BI352" s="55"/>
      <c r="BJ352" s="55"/>
      <c r="BK352" s="55"/>
      <c r="BL352" s="55"/>
      <c r="BT352" s="141"/>
      <c r="CN352" s="141"/>
      <c r="DG352" s="141"/>
    </row>
    <row r="353" spans="1:111" s="93" customFormat="1" x14ac:dyDescent="0.15">
      <c r="A353" s="11"/>
      <c r="B353" s="13"/>
      <c r="C353" s="12"/>
      <c r="D353" s="13"/>
      <c r="E353" s="13"/>
      <c r="F353" s="12"/>
      <c r="G353" s="55"/>
      <c r="H353" s="55"/>
      <c r="I353" s="55"/>
      <c r="J353" s="55"/>
      <c r="K353" s="55"/>
      <c r="L353" s="158"/>
      <c r="M353" s="10"/>
      <c r="N353" s="55"/>
      <c r="O353" s="55"/>
      <c r="P353" s="10"/>
      <c r="Q353" s="10"/>
      <c r="R353" s="155"/>
      <c r="S353" s="171"/>
      <c r="T353" s="161"/>
      <c r="U353" s="55"/>
      <c r="V353" s="55"/>
      <c r="W353" s="55"/>
      <c r="X353" s="155"/>
      <c r="Y353" s="171"/>
      <c r="Z353" s="165"/>
      <c r="AA353" s="10"/>
      <c r="AB353" s="55"/>
      <c r="AC353" s="55"/>
      <c r="AD353" s="55"/>
      <c r="AE353" s="55"/>
      <c r="AF353" s="55"/>
      <c r="AG353" s="167"/>
      <c r="AH353" s="55"/>
      <c r="AI353" s="55"/>
      <c r="AJ353" s="165"/>
      <c r="AK353" s="55"/>
      <c r="AL353" s="55"/>
      <c r="AM353" s="55"/>
      <c r="AN353" s="55"/>
      <c r="AO353" s="55"/>
      <c r="AP353" s="55"/>
      <c r="AQ353" s="55"/>
      <c r="AR353" s="55"/>
      <c r="AS353" s="165"/>
      <c r="AT353" s="55"/>
      <c r="AU353" s="55"/>
      <c r="AV353" s="55"/>
      <c r="AW353" s="55"/>
      <c r="AX353" s="55"/>
      <c r="AY353" s="55"/>
      <c r="AZ353" s="55"/>
      <c r="BA353" s="55"/>
      <c r="BB353" s="165"/>
      <c r="BC353" s="55"/>
      <c r="BD353" s="55"/>
      <c r="BE353" s="55"/>
      <c r="BF353" s="165"/>
      <c r="BG353" s="55"/>
      <c r="BH353" s="10"/>
      <c r="BI353" s="55"/>
      <c r="BJ353" s="55"/>
      <c r="BK353" s="55"/>
      <c r="BL353" s="55"/>
      <c r="BT353" s="141"/>
      <c r="CN353" s="141"/>
      <c r="DG353" s="141"/>
    </row>
    <row r="354" spans="1:111" s="93" customFormat="1" x14ac:dyDescent="0.15">
      <c r="A354" s="11"/>
      <c r="B354" s="13"/>
      <c r="C354" s="12"/>
      <c r="D354" s="13"/>
      <c r="E354" s="13"/>
      <c r="F354" s="12"/>
      <c r="G354" s="55"/>
      <c r="H354" s="55"/>
      <c r="I354" s="55"/>
      <c r="J354" s="55"/>
      <c r="K354" s="55"/>
      <c r="L354" s="158"/>
      <c r="M354" s="10"/>
      <c r="N354" s="55"/>
      <c r="O354" s="55"/>
      <c r="P354" s="10"/>
      <c r="Q354" s="10"/>
      <c r="R354" s="155"/>
      <c r="S354" s="171"/>
      <c r="T354" s="161"/>
      <c r="U354" s="55"/>
      <c r="V354" s="55"/>
      <c r="W354" s="55"/>
      <c r="X354" s="155"/>
      <c r="Y354" s="171"/>
      <c r="Z354" s="165"/>
      <c r="AA354" s="10"/>
      <c r="AB354" s="55"/>
      <c r="AC354" s="55"/>
      <c r="AD354" s="55"/>
      <c r="AE354" s="55"/>
      <c r="AF354" s="55"/>
      <c r="AG354" s="167"/>
      <c r="AH354" s="55"/>
      <c r="AI354" s="55"/>
      <c r="AJ354" s="165"/>
      <c r="AK354" s="55"/>
      <c r="AL354" s="55"/>
      <c r="AM354" s="55"/>
      <c r="AN354" s="55"/>
      <c r="AO354" s="55"/>
      <c r="AP354" s="55"/>
      <c r="AQ354" s="55"/>
      <c r="AR354" s="55"/>
      <c r="AS354" s="165"/>
      <c r="AT354" s="55"/>
      <c r="AU354" s="55"/>
      <c r="AV354" s="55"/>
      <c r="AW354" s="55"/>
      <c r="AX354" s="55"/>
      <c r="AY354" s="55"/>
      <c r="AZ354" s="55"/>
      <c r="BA354" s="55"/>
      <c r="BB354" s="165"/>
      <c r="BC354" s="55"/>
      <c r="BD354" s="55"/>
      <c r="BE354" s="55"/>
      <c r="BF354" s="165"/>
      <c r="BG354" s="55"/>
      <c r="BH354" s="10"/>
      <c r="BI354" s="55"/>
      <c r="BJ354" s="55"/>
      <c r="BK354" s="55"/>
      <c r="BL354" s="55"/>
      <c r="BT354" s="141"/>
      <c r="CN354" s="141"/>
      <c r="DG354" s="141"/>
    </row>
    <row r="355" spans="1:111" s="93" customFormat="1" x14ac:dyDescent="0.15">
      <c r="A355" s="11"/>
      <c r="B355" s="13"/>
      <c r="C355" s="12"/>
      <c r="D355" s="13"/>
      <c r="E355" s="13"/>
      <c r="F355" s="12"/>
      <c r="G355" s="55"/>
      <c r="H355" s="55"/>
      <c r="I355" s="55"/>
      <c r="J355" s="55"/>
      <c r="K355" s="55"/>
      <c r="L355" s="158"/>
      <c r="M355" s="10"/>
      <c r="N355" s="55"/>
      <c r="O355" s="55"/>
      <c r="P355" s="10"/>
      <c r="Q355" s="10"/>
      <c r="R355" s="155"/>
      <c r="S355" s="171"/>
      <c r="T355" s="161"/>
      <c r="U355" s="55"/>
      <c r="V355" s="55"/>
      <c r="W355" s="55"/>
      <c r="X355" s="155"/>
      <c r="Y355" s="171"/>
      <c r="Z355" s="165"/>
      <c r="AA355" s="10"/>
      <c r="AB355" s="55"/>
      <c r="AC355" s="55"/>
      <c r="AD355" s="55"/>
      <c r="AE355" s="55"/>
      <c r="AF355" s="55"/>
      <c r="AG355" s="167"/>
      <c r="AH355" s="55"/>
      <c r="AI355" s="55"/>
      <c r="AJ355" s="165"/>
      <c r="AK355" s="55"/>
      <c r="AL355" s="55"/>
      <c r="AM355" s="55"/>
      <c r="AN355" s="55"/>
      <c r="AO355" s="55"/>
      <c r="AP355" s="55"/>
      <c r="AQ355" s="55"/>
      <c r="AR355" s="55"/>
      <c r="AS355" s="165"/>
      <c r="AT355" s="55"/>
      <c r="AU355" s="55"/>
      <c r="AV355" s="55"/>
      <c r="AW355" s="55"/>
      <c r="AX355" s="55"/>
      <c r="AY355" s="55"/>
      <c r="AZ355" s="55"/>
      <c r="BA355" s="55"/>
      <c r="BB355" s="165"/>
      <c r="BC355" s="55"/>
      <c r="BD355" s="55"/>
      <c r="BE355" s="55"/>
      <c r="BF355" s="165"/>
      <c r="BG355" s="55"/>
      <c r="BH355" s="10"/>
      <c r="BI355" s="55"/>
      <c r="BJ355" s="55"/>
      <c r="BK355" s="55"/>
      <c r="BL355" s="55"/>
      <c r="BT355" s="141"/>
      <c r="CN355" s="141"/>
      <c r="DG355" s="141"/>
    </row>
    <row r="356" spans="1:111" s="93" customFormat="1" x14ac:dyDescent="0.15">
      <c r="A356" s="11"/>
      <c r="B356" s="13"/>
      <c r="C356" s="12"/>
      <c r="D356" s="13"/>
      <c r="E356" s="13"/>
      <c r="F356" s="12"/>
      <c r="G356" s="55"/>
      <c r="H356" s="55"/>
      <c r="I356" s="55"/>
      <c r="J356" s="55"/>
      <c r="K356" s="55"/>
      <c r="L356" s="158"/>
      <c r="M356" s="10"/>
      <c r="N356" s="55"/>
      <c r="O356" s="55"/>
      <c r="P356" s="10"/>
      <c r="Q356" s="10"/>
      <c r="R356" s="155"/>
      <c r="S356" s="171"/>
      <c r="T356" s="161"/>
      <c r="U356" s="55"/>
      <c r="V356" s="55"/>
      <c r="W356" s="55"/>
      <c r="X356" s="155"/>
      <c r="Y356" s="171"/>
      <c r="Z356" s="165"/>
      <c r="AA356" s="10"/>
      <c r="AB356" s="55"/>
      <c r="AC356" s="55"/>
      <c r="AD356" s="55"/>
      <c r="AE356" s="55"/>
      <c r="AF356" s="55"/>
      <c r="AG356" s="167"/>
      <c r="AH356" s="55"/>
      <c r="AI356" s="55"/>
      <c r="AJ356" s="165"/>
      <c r="AK356" s="55"/>
      <c r="AL356" s="55"/>
      <c r="AM356" s="55"/>
      <c r="AN356" s="55"/>
      <c r="AO356" s="55"/>
      <c r="AP356" s="55"/>
      <c r="AQ356" s="55"/>
      <c r="AR356" s="55"/>
      <c r="AS356" s="165"/>
      <c r="AT356" s="55"/>
      <c r="AU356" s="55"/>
      <c r="AV356" s="55"/>
      <c r="AW356" s="55"/>
      <c r="AX356" s="55"/>
      <c r="AY356" s="55"/>
      <c r="AZ356" s="55"/>
      <c r="BA356" s="55"/>
      <c r="BB356" s="165"/>
      <c r="BC356" s="55"/>
      <c r="BD356" s="55"/>
      <c r="BE356" s="55"/>
      <c r="BF356" s="165"/>
      <c r="BG356" s="55"/>
      <c r="BH356" s="10"/>
      <c r="BI356" s="55"/>
      <c r="BJ356" s="55"/>
      <c r="BK356" s="55"/>
      <c r="BL356" s="55"/>
      <c r="BT356" s="141"/>
      <c r="CN356" s="141"/>
      <c r="DG356" s="141"/>
    </row>
    <row r="357" spans="1:111" s="93" customFormat="1" x14ac:dyDescent="0.15">
      <c r="A357" s="11"/>
      <c r="B357" s="13"/>
      <c r="C357" s="12"/>
      <c r="D357" s="13"/>
      <c r="E357" s="13"/>
      <c r="F357" s="12"/>
      <c r="G357" s="55"/>
      <c r="H357" s="55"/>
      <c r="I357" s="55"/>
      <c r="J357" s="55"/>
      <c r="K357" s="55"/>
      <c r="L357" s="158"/>
      <c r="M357" s="10"/>
      <c r="N357" s="55"/>
      <c r="O357" s="55"/>
      <c r="P357" s="10"/>
      <c r="Q357" s="10"/>
      <c r="R357" s="155"/>
      <c r="S357" s="171"/>
      <c r="T357" s="161"/>
      <c r="U357" s="55"/>
      <c r="V357" s="55"/>
      <c r="W357" s="55"/>
      <c r="X357" s="155"/>
      <c r="Y357" s="171"/>
      <c r="Z357" s="165"/>
      <c r="AA357" s="10"/>
      <c r="AB357" s="55"/>
      <c r="AC357" s="55"/>
      <c r="AD357" s="55"/>
      <c r="AE357" s="55"/>
      <c r="AF357" s="55"/>
      <c r="AG357" s="167"/>
      <c r="AH357" s="55"/>
      <c r="AI357" s="55"/>
      <c r="AJ357" s="165"/>
      <c r="AK357" s="55"/>
      <c r="AL357" s="55"/>
      <c r="AM357" s="55"/>
      <c r="AN357" s="55"/>
      <c r="AO357" s="55"/>
      <c r="AP357" s="55"/>
      <c r="AQ357" s="55"/>
      <c r="AR357" s="55"/>
      <c r="AS357" s="165"/>
      <c r="AT357" s="55"/>
      <c r="AU357" s="55"/>
      <c r="AV357" s="55"/>
      <c r="AW357" s="55"/>
      <c r="AX357" s="55"/>
      <c r="AY357" s="55"/>
      <c r="AZ357" s="55"/>
      <c r="BA357" s="55"/>
      <c r="BB357" s="165"/>
      <c r="BC357" s="55"/>
      <c r="BD357" s="55"/>
      <c r="BE357" s="55"/>
      <c r="BF357" s="165"/>
      <c r="BG357" s="55"/>
      <c r="BH357" s="10"/>
      <c r="BI357" s="55"/>
      <c r="BJ357" s="55"/>
      <c r="BK357" s="55"/>
      <c r="BL357" s="55"/>
      <c r="BT357" s="141"/>
      <c r="CN357" s="141"/>
      <c r="DG357" s="141"/>
    </row>
    <row r="358" spans="1:111" s="93" customFormat="1" x14ac:dyDescent="0.15">
      <c r="A358" s="11"/>
      <c r="B358" s="13"/>
      <c r="C358" s="12"/>
      <c r="D358" s="13"/>
      <c r="E358" s="13"/>
      <c r="F358" s="12"/>
      <c r="G358" s="55"/>
      <c r="H358" s="55"/>
      <c r="I358" s="55"/>
      <c r="J358" s="55"/>
      <c r="K358" s="55"/>
      <c r="L358" s="158"/>
      <c r="M358" s="10"/>
      <c r="N358" s="55"/>
      <c r="O358" s="55"/>
      <c r="P358" s="10"/>
      <c r="Q358" s="10"/>
      <c r="R358" s="155"/>
      <c r="S358" s="171"/>
      <c r="T358" s="161"/>
      <c r="U358" s="55"/>
      <c r="V358" s="55"/>
      <c r="W358" s="55"/>
      <c r="X358" s="155"/>
      <c r="Y358" s="171"/>
      <c r="Z358" s="165"/>
      <c r="AA358" s="10"/>
      <c r="AB358" s="55"/>
      <c r="AC358" s="55"/>
      <c r="AD358" s="55"/>
      <c r="AE358" s="55"/>
      <c r="AF358" s="55"/>
      <c r="AG358" s="167"/>
      <c r="AH358" s="55"/>
      <c r="AI358" s="55"/>
      <c r="AJ358" s="165"/>
      <c r="AK358" s="55"/>
      <c r="AL358" s="55"/>
      <c r="AM358" s="55"/>
      <c r="AN358" s="55"/>
      <c r="AO358" s="55"/>
      <c r="AP358" s="55"/>
      <c r="AQ358" s="55"/>
      <c r="AR358" s="55"/>
      <c r="AS358" s="165"/>
      <c r="AT358" s="55"/>
      <c r="AU358" s="55"/>
      <c r="AV358" s="55"/>
      <c r="AW358" s="55"/>
      <c r="AX358" s="55"/>
      <c r="AY358" s="55"/>
      <c r="AZ358" s="55"/>
      <c r="BA358" s="55"/>
      <c r="BB358" s="165"/>
      <c r="BC358" s="55"/>
      <c r="BD358" s="55"/>
      <c r="BE358" s="55"/>
      <c r="BF358" s="165"/>
      <c r="BG358" s="55"/>
      <c r="BH358" s="10"/>
      <c r="BI358" s="55"/>
      <c r="BJ358" s="55"/>
      <c r="BK358" s="55"/>
      <c r="BL358" s="55"/>
      <c r="BT358" s="141"/>
      <c r="CN358" s="141"/>
      <c r="DG358" s="141"/>
    </row>
    <row r="359" spans="1:111" s="93" customFormat="1" x14ac:dyDescent="0.15">
      <c r="A359" s="11"/>
      <c r="B359" s="13"/>
      <c r="C359" s="12"/>
      <c r="D359" s="13"/>
      <c r="E359" s="13"/>
      <c r="F359" s="12"/>
      <c r="G359" s="55"/>
      <c r="H359" s="55"/>
      <c r="I359" s="55"/>
      <c r="J359" s="55"/>
      <c r="K359" s="55"/>
      <c r="L359" s="158"/>
      <c r="M359" s="10"/>
      <c r="N359" s="55"/>
      <c r="O359" s="55"/>
      <c r="P359" s="10"/>
      <c r="Q359" s="10"/>
      <c r="R359" s="155"/>
      <c r="S359" s="171"/>
      <c r="T359" s="161"/>
      <c r="U359" s="55"/>
      <c r="V359" s="55"/>
      <c r="W359" s="55"/>
      <c r="X359" s="155"/>
      <c r="Y359" s="171"/>
      <c r="Z359" s="165"/>
      <c r="AA359" s="10"/>
      <c r="AB359" s="55"/>
      <c r="AC359" s="55"/>
      <c r="AD359" s="55"/>
      <c r="AE359" s="55"/>
      <c r="AF359" s="55"/>
      <c r="AG359" s="167"/>
      <c r="AH359" s="55"/>
      <c r="AI359" s="55"/>
      <c r="AJ359" s="165"/>
      <c r="AK359" s="55"/>
      <c r="AL359" s="55"/>
      <c r="AM359" s="55"/>
      <c r="AN359" s="55"/>
      <c r="AO359" s="55"/>
      <c r="AP359" s="55"/>
      <c r="AQ359" s="55"/>
      <c r="AR359" s="55"/>
      <c r="AS359" s="165"/>
      <c r="AT359" s="55"/>
      <c r="AU359" s="55"/>
      <c r="AV359" s="55"/>
      <c r="AW359" s="55"/>
      <c r="AX359" s="55"/>
      <c r="AY359" s="55"/>
      <c r="AZ359" s="55"/>
      <c r="BA359" s="55"/>
      <c r="BB359" s="165"/>
      <c r="BC359" s="55"/>
      <c r="BD359" s="55"/>
      <c r="BE359" s="55"/>
      <c r="BF359" s="165"/>
      <c r="BG359" s="55"/>
      <c r="BH359" s="10"/>
      <c r="BI359" s="55"/>
      <c r="BJ359" s="55"/>
      <c r="BK359" s="55"/>
      <c r="BL359" s="55"/>
      <c r="BT359" s="141"/>
      <c r="CN359" s="141"/>
      <c r="DG359" s="141"/>
    </row>
    <row r="360" spans="1:111" s="93" customFormat="1" x14ac:dyDescent="0.15">
      <c r="A360" s="11"/>
      <c r="B360" s="13"/>
      <c r="C360" s="12"/>
      <c r="D360" s="13"/>
      <c r="E360" s="13"/>
      <c r="F360" s="12"/>
      <c r="G360" s="55"/>
      <c r="H360" s="55"/>
      <c r="I360" s="55"/>
      <c r="J360" s="55"/>
      <c r="K360" s="55"/>
      <c r="L360" s="158"/>
      <c r="M360" s="10"/>
      <c r="N360" s="55"/>
      <c r="O360" s="55"/>
      <c r="P360" s="10"/>
      <c r="Q360" s="10"/>
      <c r="R360" s="155"/>
      <c r="S360" s="171"/>
      <c r="T360" s="161"/>
      <c r="U360" s="55"/>
      <c r="V360" s="55"/>
      <c r="W360" s="55"/>
      <c r="X360" s="155"/>
      <c r="Y360" s="171"/>
      <c r="Z360" s="165"/>
      <c r="AA360" s="10"/>
      <c r="AB360" s="55"/>
      <c r="AC360" s="55"/>
      <c r="AD360" s="55"/>
      <c r="AE360" s="55"/>
      <c r="AF360" s="55"/>
      <c r="AG360" s="167"/>
      <c r="AH360" s="55"/>
      <c r="AI360" s="55"/>
      <c r="AJ360" s="165"/>
      <c r="AK360" s="55"/>
      <c r="AL360" s="55"/>
      <c r="AM360" s="55"/>
      <c r="AN360" s="55"/>
      <c r="AO360" s="55"/>
      <c r="AP360" s="55"/>
      <c r="AQ360" s="55"/>
      <c r="AR360" s="55"/>
      <c r="AS360" s="165"/>
      <c r="AT360" s="55"/>
      <c r="AU360" s="55"/>
      <c r="AV360" s="55"/>
      <c r="AW360" s="55"/>
      <c r="AX360" s="55"/>
      <c r="AY360" s="55"/>
      <c r="AZ360" s="55"/>
      <c r="BA360" s="55"/>
      <c r="BB360" s="165"/>
      <c r="BC360" s="55"/>
      <c r="BD360" s="55"/>
      <c r="BE360" s="55"/>
      <c r="BF360" s="165"/>
      <c r="BG360" s="55"/>
      <c r="BH360" s="10"/>
      <c r="BI360" s="55"/>
      <c r="BJ360" s="55"/>
      <c r="BK360" s="55"/>
      <c r="BL360" s="55"/>
      <c r="BT360" s="141"/>
      <c r="CN360" s="141"/>
      <c r="DG360" s="141"/>
    </row>
    <row r="361" spans="1:111" s="93" customFormat="1" x14ac:dyDescent="0.15">
      <c r="A361" s="11"/>
      <c r="B361" s="13"/>
      <c r="C361" s="12"/>
      <c r="D361" s="13"/>
      <c r="E361" s="13"/>
      <c r="F361" s="12"/>
      <c r="G361" s="55"/>
      <c r="H361" s="55"/>
      <c r="I361" s="55"/>
      <c r="J361" s="55"/>
      <c r="K361" s="55"/>
      <c r="L361" s="158"/>
      <c r="M361" s="10"/>
      <c r="N361" s="55"/>
      <c r="O361" s="55"/>
      <c r="P361" s="10"/>
      <c r="Q361" s="10"/>
      <c r="R361" s="155"/>
      <c r="S361" s="171"/>
      <c r="T361" s="161"/>
      <c r="U361" s="55"/>
      <c r="V361" s="55"/>
      <c r="W361" s="55"/>
      <c r="X361" s="155"/>
      <c r="Y361" s="171"/>
      <c r="Z361" s="165"/>
      <c r="AA361" s="10"/>
      <c r="AB361" s="55"/>
      <c r="AC361" s="55"/>
      <c r="AD361" s="55"/>
      <c r="AE361" s="55"/>
      <c r="AF361" s="55"/>
      <c r="AG361" s="167"/>
      <c r="AH361" s="55"/>
      <c r="AI361" s="55"/>
      <c r="AJ361" s="165"/>
      <c r="AK361" s="55"/>
      <c r="AL361" s="55"/>
      <c r="AM361" s="55"/>
      <c r="AN361" s="55"/>
      <c r="AO361" s="55"/>
      <c r="AP361" s="55"/>
      <c r="AQ361" s="55"/>
      <c r="AR361" s="55"/>
      <c r="AS361" s="165"/>
      <c r="AT361" s="55"/>
      <c r="AU361" s="55"/>
      <c r="AV361" s="55"/>
      <c r="AW361" s="55"/>
      <c r="AX361" s="55"/>
      <c r="AY361" s="55"/>
      <c r="AZ361" s="55"/>
      <c r="BA361" s="55"/>
      <c r="BB361" s="165"/>
      <c r="BC361" s="55"/>
      <c r="BD361" s="55"/>
      <c r="BE361" s="55"/>
      <c r="BF361" s="165"/>
      <c r="BG361" s="55"/>
      <c r="BH361" s="10"/>
      <c r="BI361" s="55"/>
      <c r="BJ361" s="55"/>
      <c r="BK361" s="55"/>
      <c r="BL361" s="55"/>
      <c r="BT361" s="141"/>
      <c r="CN361" s="141"/>
      <c r="DG361" s="141"/>
    </row>
    <row r="362" spans="1:111" s="93" customFormat="1" x14ac:dyDescent="0.15">
      <c r="A362" s="11"/>
      <c r="B362" s="13"/>
      <c r="C362" s="12"/>
      <c r="D362" s="13"/>
      <c r="E362" s="13"/>
      <c r="F362" s="12"/>
      <c r="G362" s="55"/>
      <c r="H362" s="55"/>
      <c r="I362" s="55"/>
      <c r="J362" s="55"/>
      <c r="K362" s="55"/>
      <c r="L362" s="158"/>
      <c r="M362" s="10"/>
      <c r="N362" s="55"/>
      <c r="O362" s="55"/>
      <c r="P362" s="10"/>
      <c r="Q362" s="10"/>
      <c r="R362" s="155"/>
      <c r="S362" s="171"/>
      <c r="T362" s="161"/>
      <c r="U362" s="55"/>
      <c r="V362" s="55"/>
      <c r="W362" s="55"/>
      <c r="X362" s="155"/>
      <c r="Y362" s="171"/>
      <c r="Z362" s="165"/>
      <c r="AA362" s="10"/>
      <c r="AB362" s="55"/>
      <c r="AC362" s="55"/>
      <c r="AD362" s="55"/>
      <c r="AE362" s="55"/>
      <c r="AF362" s="55"/>
      <c r="AG362" s="167"/>
      <c r="AH362" s="55"/>
      <c r="AI362" s="55"/>
      <c r="AJ362" s="165"/>
      <c r="AK362" s="55"/>
      <c r="AL362" s="55"/>
      <c r="AM362" s="55"/>
      <c r="AN362" s="55"/>
      <c r="AO362" s="55"/>
      <c r="AP362" s="55"/>
      <c r="AQ362" s="55"/>
      <c r="AR362" s="55"/>
      <c r="AS362" s="165"/>
      <c r="AT362" s="55"/>
      <c r="AU362" s="55"/>
      <c r="AV362" s="55"/>
      <c r="AW362" s="55"/>
      <c r="AX362" s="55"/>
      <c r="AY362" s="55"/>
      <c r="AZ362" s="55"/>
      <c r="BA362" s="55"/>
      <c r="BB362" s="165"/>
      <c r="BC362" s="55"/>
      <c r="BD362" s="55"/>
      <c r="BE362" s="55"/>
      <c r="BF362" s="165"/>
      <c r="BG362" s="55"/>
      <c r="BH362" s="10"/>
      <c r="BI362" s="55"/>
      <c r="BJ362" s="55"/>
      <c r="BK362" s="55"/>
      <c r="BL362" s="55"/>
      <c r="BT362" s="141"/>
      <c r="CN362" s="141"/>
      <c r="DG362" s="141"/>
    </row>
    <row r="363" spans="1:111" s="93" customFormat="1" x14ac:dyDescent="0.15">
      <c r="A363" s="11"/>
      <c r="B363" s="13"/>
      <c r="C363" s="12"/>
      <c r="D363" s="13"/>
      <c r="E363" s="13"/>
      <c r="F363" s="12"/>
      <c r="G363" s="55"/>
      <c r="H363" s="55"/>
      <c r="I363" s="55"/>
      <c r="J363" s="55"/>
      <c r="K363" s="55"/>
      <c r="L363" s="158"/>
      <c r="M363" s="10"/>
      <c r="N363" s="55"/>
      <c r="O363" s="55"/>
      <c r="P363" s="10"/>
      <c r="Q363" s="10"/>
      <c r="R363" s="155"/>
      <c r="S363" s="171"/>
      <c r="T363" s="161"/>
      <c r="U363" s="55"/>
      <c r="V363" s="55"/>
      <c r="W363" s="55"/>
      <c r="X363" s="155"/>
      <c r="Y363" s="171"/>
      <c r="Z363" s="165"/>
      <c r="AA363" s="10"/>
      <c r="AB363" s="55"/>
      <c r="AC363" s="55"/>
      <c r="AD363" s="55"/>
      <c r="AE363" s="55"/>
      <c r="AF363" s="55"/>
      <c r="AG363" s="167"/>
      <c r="AH363" s="55"/>
      <c r="AI363" s="55"/>
      <c r="AJ363" s="165"/>
      <c r="AK363" s="55"/>
      <c r="AL363" s="55"/>
      <c r="AM363" s="55"/>
      <c r="AN363" s="55"/>
      <c r="AO363" s="55"/>
      <c r="AP363" s="55"/>
      <c r="AQ363" s="55"/>
      <c r="AR363" s="55"/>
      <c r="AS363" s="165"/>
      <c r="AT363" s="55"/>
      <c r="AU363" s="55"/>
      <c r="AV363" s="55"/>
      <c r="AW363" s="55"/>
      <c r="AX363" s="55"/>
      <c r="AY363" s="55"/>
      <c r="AZ363" s="55"/>
      <c r="BA363" s="55"/>
      <c r="BB363" s="165"/>
      <c r="BC363" s="55"/>
      <c r="BD363" s="55"/>
      <c r="BE363" s="55"/>
      <c r="BF363" s="165"/>
      <c r="BG363" s="55"/>
      <c r="BH363" s="10"/>
      <c r="BI363" s="55"/>
      <c r="BJ363" s="55"/>
      <c r="BK363" s="55"/>
      <c r="BL363" s="55"/>
      <c r="BT363" s="141"/>
      <c r="CN363" s="141"/>
      <c r="DG363" s="141"/>
    </row>
    <row r="364" spans="1:111" s="93" customFormat="1" x14ac:dyDescent="0.15">
      <c r="A364" s="11"/>
      <c r="B364" s="13"/>
      <c r="C364" s="12"/>
      <c r="D364" s="13"/>
      <c r="E364" s="13"/>
      <c r="F364" s="12"/>
      <c r="G364" s="55"/>
      <c r="H364" s="55"/>
      <c r="I364" s="55"/>
      <c r="J364" s="55"/>
      <c r="K364" s="55"/>
      <c r="L364" s="158"/>
      <c r="M364" s="10"/>
      <c r="N364" s="55"/>
      <c r="O364" s="55"/>
      <c r="P364" s="10"/>
      <c r="Q364" s="10"/>
      <c r="R364" s="155"/>
      <c r="S364" s="171"/>
      <c r="T364" s="161"/>
      <c r="U364" s="55"/>
      <c r="V364" s="55"/>
      <c r="W364" s="55"/>
      <c r="X364" s="155"/>
      <c r="Y364" s="171"/>
      <c r="Z364" s="165"/>
      <c r="AA364" s="10"/>
      <c r="AB364" s="55"/>
      <c r="AC364" s="55"/>
      <c r="AD364" s="55"/>
      <c r="AE364" s="55"/>
      <c r="AF364" s="55"/>
      <c r="AG364" s="167"/>
      <c r="AH364" s="55"/>
      <c r="AI364" s="55"/>
      <c r="AJ364" s="165"/>
      <c r="AK364" s="55"/>
      <c r="AL364" s="55"/>
      <c r="AM364" s="55"/>
      <c r="AN364" s="55"/>
      <c r="AO364" s="55"/>
      <c r="AP364" s="55"/>
      <c r="AQ364" s="55"/>
      <c r="AR364" s="55"/>
      <c r="AS364" s="165"/>
      <c r="AT364" s="55"/>
      <c r="AU364" s="55"/>
      <c r="AV364" s="55"/>
      <c r="AW364" s="55"/>
      <c r="AX364" s="55"/>
      <c r="AY364" s="55"/>
      <c r="AZ364" s="55"/>
      <c r="BA364" s="55"/>
      <c r="BB364" s="165"/>
      <c r="BC364" s="55"/>
      <c r="BD364" s="55"/>
      <c r="BE364" s="55"/>
      <c r="BF364" s="165"/>
      <c r="BG364" s="55"/>
      <c r="BH364" s="10"/>
      <c r="BI364" s="55"/>
      <c r="BJ364" s="55"/>
      <c r="BK364" s="55"/>
      <c r="BL364" s="55"/>
      <c r="BT364" s="141"/>
      <c r="CN364" s="141"/>
      <c r="DG364" s="141"/>
    </row>
    <row r="365" spans="1:111" s="93" customFormat="1" x14ac:dyDescent="0.15">
      <c r="A365" s="11"/>
      <c r="B365" s="13"/>
      <c r="C365" s="12"/>
      <c r="D365" s="13"/>
      <c r="E365" s="13"/>
      <c r="F365" s="12"/>
      <c r="G365" s="55"/>
      <c r="H365" s="55"/>
      <c r="I365" s="55"/>
      <c r="J365" s="55"/>
      <c r="K365" s="55"/>
      <c r="L365" s="158"/>
      <c r="M365" s="10"/>
      <c r="N365" s="55"/>
      <c r="O365" s="55"/>
      <c r="P365" s="10"/>
      <c r="Q365" s="10"/>
      <c r="R365" s="155"/>
      <c r="S365" s="171"/>
      <c r="T365" s="161"/>
      <c r="U365" s="55"/>
      <c r="V365" s="55"/>
      <c r="W365" s="55"/>
      <c r="X365" s="155"/>
      <c r="Y365" s="171"/>
      <c r="Z365" s="165"/>
      <c r="AA365" s="10"/>
      <c r="AB365" s="55"/>
      <c r="AC365" s="55"/>
      <c r="AD365" s="55"/>
      <c r="AE365" s="55"/>
      <c r="AF365" s="55"/>
      <c r="AG365" s="167"/>
      <c r="AH365" s="55"/>
      <c r="AI365" s="55"/>
      <c r="AJ365" s="165"/>
      <c r="AK365" s="55"/>
      <c r="AL365" s="55"/>
      <c r="AM365" s="55"/>
      <c r="AN365" s="55"/>
      <c r="AO365" s="55"/>
      <c r="AP365" s="55"/>
      <c r="AQ365" s="55"/>
      <c r="AR365" s="55"/>
      <c r="AS365" s="165"/>
      <c r="AT365" s="55"/>
      <c r="AU365" s="55"/>
      <c r="AV365" s="55"/>
      <c r="AW365" s="55"/>
      <c r="AX365" s="55"/>
      <c r="AY365" s="55"/>
      <c r="AZ365" s="55"/>
      <c r="BA365" s="55"/>
      <c r="BB365" s="165"/>
      <c r="BC365" s="55"/>
      <c r="BD365" s="55"/>
      <c r="BE365" s="55"/>
      <c r="BF365" s="165"/>
      <c r="BG365" s="55"/>
      <c r="BH365" s="10"/>
      <c r="BI365" s="55"/>
      <c r="BJ365" s="55"/>
      <c r="BK365" s="55"/>
      <c r="BL365" s="55"/>
      <c r="BT365" s="141"/>
      <c r="CN365" s="141"/>
      <c r="DG365" s="141"/>
    </row>
    <row r="366" spans="1:111" s="93" customFormat="1" x14ac:dyDescent="0.15">
      <c r="A366" s="11"/>
      <c r="B366" s="13"/>
      <c r="C366" s="12"/>
      <c r="D366" s="13"/>
      <c r="E366" s="13"/>
      <c r="F366" s="12"/>
      <c r="G366" s="55"/>
      <c r="H366" s="55"/>
      <c r="I366" s="55"/>
      <c r="J366" s="55"/>
      <c r="K366" s="55"/>
      <c r="L366" s="158"/>
      <c r="M366" s="10"/>
      <c r="N366" s="55"/>
      <c r="O366" s="55"/>
      <c r="P366" s="10"/>
      <c r="Q366" s="10"/>
      <c r="R366" s="155"/>
      <c r="S366" s="171"/>
      <c r="T366" s="161"/>
      <c r="U366" s="55"/>
      <c r="V366" s="55"/>
      <c r="W366" s="55"/>
      <c r="X366" s="155"/>
      <c r="Y366" s="171"/>
      <c r="Z366" s="165"/>
      <c r="AA366" s="10"/>
      <c r="AB366" s="55"/>
      <c r="AC366" s="55"/>
      <c r="AD366" s="55"/>
      <c r="AE366" s="55"/>
      <c r="AF366" s="55"/>
      <c r="AG366" s="167"/>
      <c r="AH366" s="55"/>
      <c r="AI366" s="55"/>
      <c r="AJ366" s="165"/>
      <c r="AK366" s="55"/>
      <c r="AL366" s="55"/>
      <c r="AM366" s="55"/>
      <c r="AN366" s="55"/>
      <c r="AO366" s="55"/>
      <c r="AP366" s="55"/>
      <c r="AQ366" s="55"/>
      <c r="AR366" s="55"/>
      <c r="AS366" s="165"/>
      <c r="AT366" s="55"/>
      <c r="AU366" s="55"/>
      <c r="AV366" s="55"/>
      <c r="AW366" s="55"/>
      <c r="AX366" s="55"/>
      <c r="AY366" s="55"/>
      <c r="AZ366" s="55"/>
      <c r="BA366" s="55"/>
      <c r="BB366" s="165"/>
      <c r="BC366" s="55"/>
      <c r="BD366" s="55"/>
      <c r="BE366" s="55"/>
      <c r="BF366" s="165"/>
      <c r="BG366" s="55"/>
      <c r="BH366" s="10"/>
      <c r="BI366" s="55"/>
      <c r="BJ366" s="55"/>
      <c r="BK366" s="55"/>
      <c r="BL366" s="55"/>
      <c r="BT366" s="141"/>
      <c r="CN366" s="141"/>
      <c r="DG366" s="141"/>
    </row>
    <row r="367" spans="1:111" s="93" customFormat="1" x14ac:dyDescent="0.15">
      <c r="A367" s="11"/>
      <c r="B367" s="13"/>
      <c r="C367" s="12"/>
      <c r="D367" s="13"/>
      <c r="E367" s="13"/>
      <c r="F367" s="12"/>
      <c r="G367" s="55"/>
      <c r="H367" s="55"/>
      <c r="I367" s="55"/>
      <c r="J367" s="55"/>
      <c r="K367" s="55"/>
      <c r="L367" s="158"/>
      <c r="M367" s="10"/>
      <c r="N367" s="55"/>
      <c r="O367" s="55"/>
      <c r="P367" s="10"/>
      <c r="Q367" s="10"/>
      <c r="R367" s="155"/>
      <c r="S367" s="171"/>
      <c r="T367" s="161"/>
      <c r="U367" s="55"/>
      <c r="V367" s="55"/>
      <c r="W367" s="55"/>
      <c r="X367" s="155"/>
      <c r="Y367" s="171"/>
      <c r="Z367" s="165"/>
      <c r="AA367" s="10"/>
      <c r="AB367" s="55"/>
      <c r="AC367" s="55"/>
      <c r="AD367" s="55"/>
      <c r="AE367" s="55"/>
      <c r="AF367" s="55"/>
      <c r="AG367" s="167"/>
      <c r="AH367" s="55"/>
      <c r="AI367" s="55"/>
      <c r="AJ367" s="165"/>
      <c r="AK367" s="55"/>
      <c r="AL367" s="55"/>
      <c r="AM367" s="55"/>
      <c r="AN367" s="55"/>
      <c r="AO367" s="55"/>
      <c r="AP367" s="55"/>
      <c r="AQ367" s="55"/>
      <c r="AR367" s="55"/>
      <c r="AS367" s="165"/>
      <c r="AT367" s="55"/>
      <c r="AU367" s="55"/>
      <c r="AV367" s="55"/>
      <c r="AW367" s="55"/>
      <c r="AX367" s="55"/>
      <c r="AY367" s="55"/>
      <c r="AZ367" s="55"/>
      <c r="BA367" s="55"/>
      <c r="BB367" s="165"/>
      <c r="BC367" s="55"/>
      <c r="BD367" s="55"/>
      <c r="BE367" s="55"/>
      <c r="BF367" s="165"/>
      <c r="BG367" s="55"/>
      <c r="BH367" s="10"/>
      <c r="BI367" s="55"/>
      <c r="BJ367" s="55"/>
      <c r="BK367" s="55"/>
      <c r="BL367" s="55"/>
      <c r="BT367" s="141"/>
      <c r="CN367" s="141"/>
      <c r="DG367" s="141"/>
    </row>
    <row r="368" spans="1:111" s="93" customFormat="1" x14ac:dyDescent="0.15">
      <c r="A368" s="11"/>
      <c r="B368" s="13"/>
      <c r="C368" s="12"/>
      <c r="D368" s="13"/>
      <c r="E368" s="13"/>
      <c r="F368" s="12"/>
      <c r="G368" s="55"/>
      <c r="H368" s="55"/>
      <c r="I368" s="55"/>
      <c r="J368" s="55"/>
      <c r="K368" s="55"/>
      <c r="L368" s="158"/>
      <c r="M368" s="10"/>
      <c r="N368" s="55"/>
      <c r="O368" s="55"/>
      <c r="P368" s="10"/>
      <c r="Q368" s="10"/>
      <c r="R368" s="155"/>
      <c r="S368" s="171"/>
      <c r="T368" s="161"/>
      <c r="U368" s="55"/>
      <c r="V368" s="55"/>
      <c r="W368" s="55"/>
      <c r="X368" s="155"/>
      <c r="Y368" s="171"/>
      <c r="Z368" s="165"/>
      <c r="AA368" s="10"/>
      <c r="AB368" s="55"/>
      <c r="AC368" s="55"/>
      <c r="AD368" s="55"/>
      <c r="AE368" s="55"/>
      <c r="AF368" s="55"/>
      <c r="AG368" s="167"/>
      <c r="AH368" s="55"/>
      <c r="AI368" s="55"/>
      <c r="AJ368" s="165"/>
      <c r="AK368" s="55"/>
      <c r="AL368" s="55"/>
      <c r="AM368" s="55"/>
      <c r="AN368" s="55"/>
      <c r="AO368" s="55"/>
      <c r="AP368" s="55"/>
      <c r="AQ368" s="55"/>
      <c r="AR368" s="55"/>
      <c r="AS368" s="165"/>
      <c r="AT368" s="55"/>
      <c r="AU368" s="55"/>
      <c r="AV368" s="55"/>
      <c r="AW368" s="55"/>
      <c r="AX368" s="55"/>
      <c r="AY368" s="55"/>
      <c r="AZ368" s="55"/>
      <c r="BA368" s="55"/>
      <c r="BB368" s="165"/>
      <c r="BC368" s="55"/>
      <c r="BD368" s="55"/>
      <c r="BE368" s="55"/>
      <c r="BF368" s="165"/>
      <c r="BG368" s="55"/>
      <c r="BH368" s="10"/>
      <c r="BI368" s="55"/>
      <c r="BJ368" s="55"/>
      <c r="BK368" s="55"/>
      <c r="BL368" s="55"/>
      <c r="BT368" s="141"/>
      <c r="CN368" s="141"/>
      <c r="DG368" s="141"/>
    </row>
    <row r="369" spans="1:111" s="93" customFormat="1" x14ac:dyDescent="0.15">
      <c r="A369" s="11"/>
      <c r="B369" s="13"/>
      <c r="C369" s="12"/>
      <c r="D369" s="13"/>
      <c r="E369" s="13"/>
      <c r="F369" s="12"/>
      <c r="G369" s="55"/>
      <c r="H369" s="55"/>
      <c r="I369" s="55"/>
      <c r="J369" s="55"/>
      <c r="K369" s="55"/>
      <c r="L369" s="158"/>
      <c r="M369" s="10"/>
      <c r="N369" s="55"/>
      <c r="O369" s="55"/>
      <c r="P369" s="10"/>
      <c r="Q369" s="10"/>
      <c r="R369" s="155"/>
      <c r="S369" s="171"/>
      <c r="T369" s="161"/>
      <c r="U369" s="55"/>
      <c r="V369" s="55"/>
      <c r="W369" s="55"/>
      <c r="X369" s="155"/>
      <c r="Y369" s="171"/>
      <c r="Z369" s="165"/>
      <c r="AA369" s="10"/>
      <c r="AB369" s="55"/>
      <c r="AC369" s="55"/>
      <c r="AD369" s="55"/>
      <c r="AE369" s="55"/>
      <c r="AF369" s="55"/>
      <c r="AG369" s="167"/>
      <c r="AH369" s="55"/>
      <c r="AI369" s="55"/>
      <c r="AJ369" s="165"/>
      <c r="AK369" s="55"/>
      <c r="AL369" s="55"/>
      <c r="AM369" s="55"/>
      <c r="AN369" s="55"/>
      <c r="AO369" s="55"/>
      <c r="AP369" s="55"/>
      <c r="AQ369" s="55"/>
      <c r="AR369" s="55"/>
      <c r="AS369" s="165"/>
      <c r="AT369" s="55"/>
      <c r="AU369" s="55"/>
      <c r="AV369" s="55"/>
      <c r="AW369" s="55"/>
      <c r="AX369" s="55"/>
      <c r="AY369" s="55"/>
      <c r="AZ369" s="55"/>
      <c r="BA369" s="55"/>
      <c r="BB369" s="165"/>
      <c r="BC369" s="55"/>
      <c r="BD369" s="55"/>
      <c r="BE369" s="55"/>
      <c r="BF369" s="165"/>
      <c r="BG369" s="55"/>
      <c r="BH369" s="10"/>
      <c r="BI369" s="55"/>
      <c r="BJ369" s="55"/>
      <c r="BK369" s="55"/>
      <c r="BL369" s="55"/>
      <c r="BT369" s="141"/>
      <c r="CN369" s="141"/>
      <c r="DG369" s="141"/>
    </row>
    <row r="370" spans="1:111" s="93" customFormat="1" x14ac:dyDescent="0.15">
      <c r="A370" s="11"/>
      <c r="B370" s="13"/>
      <c r="C370" s="12"/>
      <c r="D370" s="13"/>
      <c r="E370" s="13"/>
      <c r="F370" s="12"/>
      <c r="G370" s="55"/>
      <c r="H370" s="55"/>
      <c r="I370" s="55"/>
      <c r="J370" s="55"/>
      <c r="K370" s="55"/>
      <c r="L370" s="158"/>
      <c r="M370" s="10"/>
      <c r="N370" s="55"/>
      <c r="O370" s="55"/>
      <c r="P370" s="10"/>
      <c r="Q370" s="10"/>
      <c r="R370" s="155"/>
      <c r="S370" s="171"/>
      <c r="T370" s="161"/>
      <c r="U370" s="55"/>
      <c r="V370" s="55"/>
      <c r="W370" s="55"/>
      <c r="X370" s="155"/>
      <c r="Y370" s="171"/>
      <c r="Z370" s="165"/>
      <c r="AA370" s="10"/>
      <c r="AB370" s="55"/>
      <c r="AC370" s="55"/>
      <c r="AD370" s="55"/>
      <c r="AE370" s="55"/>
      <c r="AF370" s="55"/>
      <c r="AG370" s="167"/>
      <c r="AH370" s="55"/>
      <c r="AI370" s="55"/>
      <c r="AJ370" s="165"/>
      <c r="AK370" s="55"/>
      <c r="AL370" s="55"/>
      <c r="AM370" s="55"/>
      <c r="AN370" s="55"/>
      <c r="AO370" s="55"/>
      <c r="AP370" s="55"/>
      <c r="AQ370" s="55"/>
      <c r="AR370" s="55"/>
      <c r="AS370" s="165"/>
      <c r="AT370" s="55"/>
      <c r="AU370" s="55"/>
      <c r="AV370" s="55"/>
      <c r="AW370" s="55"/>
      <c r="AX370" s="55"/>
      <c r="AY370" s="55"/>
      <c r="AZ370" s="55"/>
      <c r="BA370" s="55"/>
      <c r="BB370" s="165"/>
      <c r="BC370" s="55"/>
      <c r="BD370" s="55"/>
      <c r="BE370" s="55"/>
      <c r="BF370" s="165"/>
      <c r="BG370" s="55"/>
      <c r="BH370" s="10"/>
      <c r="BI370" s="55"/>
      <c r="BJ370" s="55"/>
      <c r="BK370" s="55"/>
      <c r="BL370" s="55"/>
      <c r="BT370" s="141"/>
      <c r="CN370" s="141"/>
      <c r="DG370" s="141"/>
    </row>
    <row r="371" spans="1:111" s="93" customFormat="1" x14ac:dyDescent="0.15">
      <c r="A371" s="11"/>
      <c r="B371" s="13"/>
      <c r="C371" s="12"/>
      <c r="D371" s="13"/>
      <c r="E371" s="13"/>
      <c r="F371" s="12"/>
      <c r="G371" s="55"/>
      <c r="H371" s="55"/>
      <c r="I371" s="55"/>
      <c r="J371" s="55"/>
      <c r="K371" s="55"/>
      <c r="L371" s="158"/>
      <c r="M371" s="10"/>
      <c r="N371" s="55"/>
      <c r="O371" s="55"/>
      <c r="P371" s="10"/>
      <c r="Q371" s="10"/>
      <c r="R371" s="155"/>
      <c r="S371" s="171"/>
      <c r="T371" s="161"/>
      <c r="U371" s="55"/>
      <c r="V371" s="55"/>
      <c r="W371" s="55"/>
      <c r="X371" s="155"/>
      <c r="Y371" s="171"/>
      <c r="Z371" s="165"/>
      <c r="AA371" s="10"/>
      <c r="AB371" s="55"/>
      <c r="AC371" s="55"/>
      <c r="AD371" s="55"/>
      <c r="AE371" s="55"/>
      <c r="AF371" s="55"/>
      <c r="AG371" s="167"/>
      <c r="AH371" s="55"/>
      <c r="AI371" s="55"/>
      <c r="AJ371" s="165"/>
      <c r="AK371" s="55"/>
      <c r="AL371" s="55"/>
      <c r="AM371" s="55"/>
      <c r="AN371" s="55"/>
      <c r="AO371" s="55"/>
      <c r="AP371" s="55"/>
      <c r="AQ371" s="55"/>
      <c r="AR371" s="55"/>
      <c r="AS371" s="165"/>
      <c r="AT371" s="55"/>
      <c r="AU371" s="55"/>
      <c r="AV371" s="55"/>
      <c r="AW371" s="55"/>
      <c r="AX371" s="55"/>
      <c r="AY371" s="55"/>
      <c r="AZ371" s="55"/>
      <c r="BA371" s="55"/>
      <c r="BB371" s="165"/>
      <c r="BC371" s="55"/>
      <c r="BD371" s="55"/>
      <c r="BE371" s="55"/>
      <c r="BF371" s="165"/>
      <c r="BG371" s="55"/>
      <c r="BH371" s="10"/>
      <c r="BI371" s="55"/>
      <c r="BJ371" s="55"/>
      <c r="BK371" s="55"/>
      <c r="BL371" s="55"/>
      <c r="BT371" s="141"/>
      <c r="CN371" s="141"/>
      <c r="DG371" s="141"/>
    </row>
    <row r="372" spans="1:111" s="93" customFormat="1" x14ac:dyDescent="0.15">
      <c r="A372" s="11"/>
      <c r="B372" s="13"/>
      <c r="C372" s="12"/>
      <c r="D372" s="13"/>
      <c r="E372" s="13"/>
      <c r="F372" s="12"/>
      <c r="G372" s="55"/>
      <c r="H372" s="55"/>
      <c r="I372" s="55"/>
      <c r="J372" s="55"/>
      <c r="K372" s="55"/>
      <c r="L372" s="158"/>
      <c r="M372" s="10"/>
      <c r="N372" s="55"/>
      <c r="O372" s="55"/>
      <c r="P372" s="10"/>
      <c r="Q372" s="10"/>
      <c r="R372" s="155"/>
      <c r="S372" s="171"/>
      <c r="T372" s="161"/>
      <c r="U372" s="55"/>
      <c r="V372" s="55"/>
      <c r="W372" s="55"/>
      <c r="X372" s="155"/>
      <c r="Y372" s="171"/>
      <c r="Z372" s="165"/>
      <c r="AA372" s="10"/>
      <c r="AB372" s="55"/>
      <c r="AC372" s="55"/>
      <c r="AD372" s="55"/>
      <c r="AE372" s="55"/>
      <c r="AF372" s="55"/>
      <c r="AG372" s="167"/>
      <c r="AH372" s="55"/>
      <c r="AI372" s="55"/>
      <c r="AJ372" s="165"/>
      <c r="AK372" s="55"/>
      <c r="AL372" s="55"/>
      <c r="AM372" s="55"/>
      <c r="AN372" s="55"/>
      <c r="AO372" s="55"/>
      <c r="AP372" s="55"/>
      <c r="AQ372" s="55"/>
      <c r="AR372" s="55"/>
      <c r="AS372" s="165"/>
      <c r="AT372" s="55"/>
      <c r="AU372" s="55"/>
      <c r="AV372" s="55"/>
      <c r="AW372" s="55"/>
      <c r="AX372" s="55"/>
      <c r="AY372" s="55"/>
      <c r="AZ372" s="55"/>
      <c r="BA372" s="55"/>
      <c r="BB372" s="165"/>
      <c r="BC372" s="55"/>
      <c r="BD372" s="55"/>
      <c r="BE372" s="55"/>
      <c r="BF372" s="165"/>
      <c r="BG372" s="55"/>
      <c r="BH372" s="10"/>
      <c r="BI372" s="55"/>
      <c r="BJ372" s="55"/>
      <c r="BK372" s="55"/>
      <c r="BL372" s="55"/>
      <c r="BT372" s="141"/>
      <c r="CN372" s="141"/>
      <c r="DG372" s="141"/>
    </row>
    <row r="373" spans="1:111" s="93" customFormat="1" x14ac:dyDescent="0.15">
      <c r="A373" s="11"/>
      <c r="B373" s="13"/>
      <c r="C373" s="12"/>
      <c r="D373" s="13"/>
      <c r="E373" s="13"/>
      <c r="F373" s="12"/>
      <c r="G373" s="55"/>
      <c r="H373" s="55"/>
      <c r="I373" s="55"/>
      <c r="J373" s="55"/>
      <c r="K373" s="55"/>
      <c r="L373" s="158"/>
      <c r="M373" s="10"/>
      <c r="N373" s="55"/>
      <c r="O373" s="55"/>
      <c r="P373" s="10"/>
      <c r="Q373" s="10"/>
      <c r="R373" s="155"/>
      <c r="S373" s="171"/>
      <c r="T373" s="161"/>
      <c r="U373" s="55"/>
      <c r="V373" s="55"/>
      <c r="W373" s="55"/>
      <c r="X373" s="155"/>
      <c r="Y373" s="171"/>
      <c r="Z373" s="165"/>
      <c r="AA373" s="10"/>
      <c r="AB373" s="55"/>
      <c r="AC373" s="55"/>
      <c r="AD373" s="55"/>
      <c r="AE373" s="55"/>
      <c r="AF373" s="55"/>
      <c r="AG373" s="167"/>
      <c r="AH373" s="55"/>
      <c r="AI373" s="55"/>
      <c r="AJ373" s="165"/>
      <c r="AK373" s="55"/>
      <c r="AL373" s="55"/>
      <c r="AM373" s="55"/>
      <c r="AN373" s="55"/>
      <c r="AO373" s="55"/>
      <c r="AP373" s="55"/>
      <c r="AQ373" s="55"/>
      <c r="AR373" s="55"/>
      <c r="AS373" s="165"/>
      <c r="AT373" s="55"/>
      <c r="AU373" s="55"/>
      <c r="AV373" s="55"/>
      <c r="AW373" s="55"/>
      <c r="AX373" s="55"/>
      <c r="AY373" s="55"/>
      <c r="AZ373" s="55"/>
      <c r="BA373" s="55"/>
      <c r="BB373" s="165"/>
      <c r="BC373" s="55"/>
      <c r="BD373" s="55"/>
      <c r="BE373" s="55"/>
      <c r="BF373" s="165"/>
      <c r="BG373" s="55"/>
      <c r="BH373" s="10"/>
      <c r="BI373" s="55"/>
      <c r="BJ373" s="55"/>
      <c r="BK373" s="55"/>
      <c r="BL373" s="55"/>
      <c r="BT373" s="141"/>
      <c r="CN373" s="141"/>
      <c r="DG373" s="141"/>
    </row>
    <row r="374" spans="1:111" s="93" customFormat="1" x14ac:dyDescent="0.15">
      <c r="A374" s="11"/>
      <c r="B374" s="13"/>
      <c r="C374" s="12"/>
      <c r="D374" s="13"/>
      <c r="E374" s="13"/>
      <c r="F374" s="12"/>
      <c r="G374" s="55"/>
      <c r="H374" s="55"/>
      <c r="I374" s="55"/>
      <c r="J374" s="55"/>
      <c r="K374" s="55"/>
      <c r="L374" s="158"/>
      <c r="M374" s="10"/>
      <c r="N374" s="55"/>
      <c r="O374" s="55"/>
      <c r="P374" s="10"/>
      <c r="Q374" s="10"/>
      <c r="R374" s="155"/>
      <c r="S374" s="171"/>
      <c r="T374" s="161"/>
      <c r="U374" s="55"/>
      <c r="V374" s="55"/>
      <c r="W374" s="55"/>
      <c r="X374" s="155"/>
      <c r="Y374" s="171"/>
      <c r="Z374" s="165"/>
      <c r="AA374" s="10"/>
      <c r="AB374" s="55"/>
      <c r="AC374" s="55"/>
      <c r="AD374" s="55"/>
      <c r="AE374" s="55"/>
      <c r="AF374" s="55"/>
      <c r="AG374" s="167"/>
      <c r="AH374" s="55"/>
      <c r="AI374" s="55"/>
      <c r="AJ374" s="165"/>
      <c r="AK374" s="55"/>
      <c r="AL374" s="55"/>
      <c r="AM374" s="55"/>
      <c r="AN374" s="55"/>
      <c r="AO374" s="55"/>
      <c r="AP374" s="55"/>
      <c r="AQ374" s="55"/>
      <c r="AR374" s="55"/>
      <c r="AS374" s="165"/>
      <c r="AT374" s="55"/>
      <c r="AU374" s="55"/>
      <c r="AV374" s="55"/>
      <c r="AW374" s="55"/>
      <c r="AX374" s="55"/>
      <c r="AY374" s="55"/>
      <c r="AZ374" s="55"/>
      <c r="BA374" s="55"/>
      <c r="BB374" s="165"/>
      <c r="BC374" s="55"/>
      <c r="BD374" s="55"/>
      <c r="BE374" s="55"/>
      <c r="BF374" s="165"/>
      <c r="BG374" s="55"/>
      <c r="BH374" s="10"/>
      <c r="BI374" s="55"/>
      <c r="BJ374" s="55"/>
      <c r="BK374" s="55"/>
      <c r="BL374" s="55"/>
      <c r="BT374" s="141"/>
      <c r="CN374" s="141"/>
      <c r="DG374" s="141"/>
    </row>
    <row r="375" spans="1:111" s="93" customFormat="1" x14ac:dyDescent="0.15">
      <c r="A375" s="11"/>
      <c r="B375" s="13"/>
      <c r="C375" s="12"/>
      <c r="D375" s="13"/>
      <c r="E375" s="13"/>
      <c r="F375" s="12"/>
      <c r="G375" s="55"/>
      <c r="H375" s="55"/>
      <c r="I375" s="55"/>
      <c r="J375" s="55"/>
      <c r="K375" s="55"/>
      <c r="L375" s="158"/>
      <c r="M375" s="10"/>
      <c r="N375" s="55"/>
      <c r="O375" s="55"/>
      <c r="P375" s="10"/>
      <c r="Q375" s="10"/>
      <c r="R375" s="155"/>
      <c r="S375" s="171"/>
      <c r="T375" s="161"/>
      <c r="U375" s="55"/>
      <c r="V375" s="55"/>
      <c r="W375" s="55"/>
      <c r="X375" s="155"/>
      <c r="Y375" s="171"/>
      <c r="Z375" s="165"/>
      <c r="AA375" s="10"/>
      <c r="AB375" s="55"/>
      <c r="AC375" s="55"/>
      <c r="AD375" s="55"/>
      <c r="AE375" s="55"/>
      <c r="AF375" s="55"/>
      <c r="AG375" s="167"/>
      <c r="AH375" s="55"/>
      <c r="AI375" s="55"/>
      <c r="AJ375" s="165"/>
      <c r="AK375" s="55"/>
      <c r="AL375" s="55"/>
      <c r="AM375" s="55"/>
      <c r="AN375" s="55"/>
      <c r="AO375" s="55"/>
      <c r="AP375" s="55"/>
      <c r="AQ375" s="55"/>
      <c r="AR375" s="55"/>
      <c r="AS375" s="165"/>
      <c r="AT375" s="55"/>
      <c r="AU375" s="55"/>
      <c r="AV375" s="55"/>
      <c r="AW375" s="55"/>
      <c r="AX375" s="55"/>
      <c r="AY375" s="55"/>
      <c r="AZ375" s="55"/>
      <c r="BA375" s="55"/>
      <c r="BB375" s="165"/>
      <c r="BC375" s="55"/>
      <c r="BD375" s="55"/>
      <c r="BE375" s="55"/>
      <c r="BF375" s="165"/>
      <c r="BG375" s="55"/>
      <c r="BH375" s="10"/>
      <c r="BI375" s="55"/>
      <c r="BJ375" s="55"/>
      <c r="BK375" s="55"/>
      <c r="BL375" s="55"/>
      <c r="BT375" s="141"/>
      <c r="CN375" s="141"/>
      <c r="DG375" s="141"/>
    </row>
    <row r="376" spans="1:111" s="93" customFormat="1" x14ac:dyDescent="0.15">
      <c r="A376" s="11"/>
      <c r="B376" s="13"/>
      <c r="C376" s="12"/>
      <c r="D376" s="13"/>
      <c r="E376" s="13"/>
      <c r="F376" s="12"/>
      <c r="G376" s="55"/>
      <c r="H376" s="55"/>
      <c r="I376" s="55"/>
      <c r="J376" s="55"/>
      <c r="K376" s="55"/>
      <c r="L376" s="158"/>
      <c r="M376" s="10"/>
      <c r="N376" s="55"/>
      <c r="O376" s="55"/>
      <c r="P376" s="10"/>
      <c r="Q376" s="10"/>
      <c r="R376" s="155"/>
      <c r="S376" s="171"/>
      <c r="T376" s="161"/>
      <c r="U376" s="55"/>
      <c r="V376" s="55"/>
      <c r="W376" s="55"/>
      <c r="X376" s="155"/>
      <c r="Y376" s="171"/>
      <c r="Z376" s="165"/>
      <c r="AA376" s="10"/>
      <c r="AB376" s="55"/>
      <c r="AC376" s="55"/>
      <c r="AD376" s="55"/>
      <c r="AE376" s="55"/>
      <c r="AF376" s="55"/>
      <c r="AG376" s="167"/>
      <c r="AH376" s="55"/>
      <c r="AI376" s="55"/>
      <c r="AJ376" s="165"/>
      <c r="AK376" s="55"/>
      <c r="AL376" s="55"/>
      <c r="AM376" s="55"/>
      <c r="AN376" s="55"/>
      <c r="AO376" s="55"/>
      <c r="AP376" s="55"/>
      <c r="AQ376" s="55"/>
      <c r="AR376" s="55"/>
      <c r="AS376" s="165"/>
      <c r="AT376" s="55"/>
      <c r="AU376" s="55"/>
      <c r="AV376" s="55"/>
      <c r="AW376" s="55"/>
      <c r="AX376" s="55"/>
      <c r="AY376" s="55"/>
      <c r="AZ376" s="55"/>
      <c r="BA376" s="55"/>
      <c r="BB376" s="165"/>
      <c r="BC376" s="55"/>
      <c r="BD376" s="55"/>
      <c r="BE376" s="55"/>
      <c r="BF376" s="165"/>
      <c r="BG376" s="55"/>
      <c r="BH376" s="10"/>
      <c r="BI376" s="55"/>
      <c r="BJ376" s="55"/>
      <c r="BK376" s="55"/>
      <c r="BL376" s="55"/>
      <c r="BT376" s="141"/>
      <c r="CN376" s="141"/>
      <c r="DG376" s="141"/>
    </row>
    <row r="377" spans="1:111" s="93" customFormat="1" x14ac:dyDescent="0.15">
      <c r="A377" s="11"/>
      <c r="B377" s="13"/>
      <c r="C377" s="12"/>
      <c r="D377" s="13"/>
      <c r="E377" s="13"/>
      <c r="F377" s="12"/>
      <c r="G377" s="55"/>
      <c r="H377" s="55"/>
      <c r="I377" s="55"/>
      <c r="J377" s="55"/>
      <c r="K377" s="55"/>
      <c r="L377" s="158"/>
      <c r="M377" s="10"/>
      <c r="N377" s="55"/>
      <c r="O377" s="55"/>
      <c r="P377" s="10"/>
      <c r="Q377" s="10"/>
      <c r="R377" s="155"/>
      <c r="S377" s="171"/>
      <c r="T377" s="161"/>
      <c r="U377" s="55"/>
      <c r="V377" s="55"/>
      <c r="W377" s="55"/>
      <c r="X377" s="155"/>
      <c r="Y377" s="171"/>
      <c r="Z377" s="165"/>
      <c r="AA377" s="10"/>
      <c r="AB377" s="55"/>
      <c r="AC377" s="55"/>
      <c r="AD377" s="55"/>
      <c r="AE377" s="55"/>
      <c r="AF377" s="55"/>
      <c r="AG377" s="167"/>
      <c r="AH377" s="55"/>
      <c r="AI377" s="55"/>
      <c r="AJ377" s="165"/>
      <c r="AK377" s="55"/>
      <c r="AL377" s="55"/>
      <c r="AM377" s="55"/>
      <c r="AN377" s="55"/>
      <c r="AO377" s="55"/>
      <c r="AP377" s="55"/>
      <c r="AQ377" s="55"/>
      <c r="AR377" s="55"/>
      <c r="AS377" s="165"/>
      <c r="AT377" s="55"/>
      <c r="AU377" s="55"/>
      <c r="AV377" s="55"/>
      <c r="AW377" s="55"/>
      <c r="AX377" s="55"/>
      <c r="AY377" s="55"/>
      <c r="AZ377" s="55"/>
      <c r="BA377" s="55"/>
      <c r="BB377" s="165"/>
      <c r="BC377" s="55"/>
      <c r="BD377" s="55"/>
      <c r="BE377" s="55"/>
      <c r="BF377" s="165"/>
      <c r="BG377" s="55"/>
      <c r="BH377" s="10"/>
      <c r="BI377" s="55"/>
      <c r="BJ377" s="55"/>
      <c r="BK377" s="55"/>
      <c r="BL377" s="55"/>
      <c r="BT377" s="141"/>
      <c r="CN377" s="141"/>
      <c r="DG377" s="141"/>
    </row>
    <row r="378" spans="1:111" s="93" customFormat="1" x14ac:dyDescent="0.15">
      <c r="A378" s="11"/>
      <c r="B378" s="13"/>
      <c r="C378" s="12"/>
      <c r="D378" s="13"/>
      <c r="E378" s="13"/>
      <c r="F378" s="12"/>
      <c r="G378" s="55"/>
      <c r="H378" s="55"/>
      <c r="I378" s="55"/>
      <c r="J378" s="55"/>
      <c r="K378" s="55"/>
      <c r="L378" s="158"/>
      <c r="M378" s="10"/>
      <c r="N378" s="55"/>
      <c r="O378" s="55"/>
      <c r="P378" s="10"/>
      <c r="Q378" s="10"/>
      <c r="R378" s="155"/>
      <c r="S378" s="171"/>
      <c r="T378" s="161"/>
      <c r="U378" s="55"/>
      <c r="V378" s="55"/>
      <c r="W378" s="55"/>
      <c r="X378" s="155"/>
      <c r="Y378" s="171"/>
      <c r="Z378" s="165"/>
      <c r="AA378" s="10"/>
      <c r="AB378" s="55"/>
      <c r="AC378" s="55"/>
      <c r="AD378" s="55"/>
      <c r="AE378" s="55"/>
      <c r="AF378" s="55"/>
      <c r="AG378" s="167"/>
      <c r="AH378" s="55"/>
      <c r="AI378" s="55"/>
      <c r="AJ378" s="165"/>
      <c r="AK378" s="55"/>
      <c r="AL378" s="55"/>
      <c r="AM378" s="55"/>
      <c r="AN378" s="55"/>
      <c r="AO378" s="55"/>
      <c r="AP378" s="55"/>
      <c r="AQ378" s="55"/>
      <c r="AR378" s="55"/>
      <c r="AS378" s="165"/>
      <c r="AT378" s="55"/>
      <c r="AU378" s="55"/>
      <c r="AV378" s="55"/>
      <c r="AW378" s="55"/>
      <c r="AX378" s="55"/>
      <c r="AY378" s="55"/>
      <c r="AZ378" s="55"/>
      <c r="BA378" s="55"/>
      <c r="BB378" s="165"/>
      <c r="BC378" s="55"/>
      <c r="BD378" s="55"/>
      <c r="BE378" s="55"/>
      <c r="BF378" s="165"/>
      <c r="BG378" s="55"/>
      <c r="BH378" s="10"/>
      <c r="BI378" s="55"/>
      <c r="BJ378" s="55"/>
      <c r="BK378" s="55"/>
      <c r="BL378" s="55"/>
      <c r="BT378" s="141"/>
      <c r="CN378" s="141"/>
      <c r="DG378" s="141"/>
    </row>
    <row r="379" spans="1:111" s="93" customFormat="1" x14ac:dyDescent="0.15">
      <c r="A379" s="11"/>
      <c r="B379" s="13"/>
      <c r="C379" s="12"/>
      <c r="D379" s="13"/>
      <c r="E379" s="13"/>
      <c r="F379" s="12"/>
      <c r="G379" s="55"/>
      <c r="H379" s="55"/>
      <c r="I379" s="55"/>
      <c r="J379" s="55"/>
      <c r="K379" s="55"/>
      <c r="L379" s="158"/>
      <c r="M379" s="10"/>
      <c r="N379" s="55"/>
      <c r="O379" s="55"/>
      <c r="P379" s="10"/>
      <c r="Q379" s="10"/>
      <c r="R379" s="155"/>
      <c r="S379" s="171"/>
      <c r="T379" s="161"/>
      <c r="U379" s="55"/>
      <c r="V379" s="55"/>
      <c r="W379" s="55"/>
      <c r="X379" s="155"/>
      <c r="Y379" s="171"/>
      <c r="Z379" s="165"/>
      <c r="AA379" s="10"/>
      <c r="AB379" s="55"/>
      <c r="AC379" s="55"/>
      <c r="AD379" s="55"/>
      <c r="AE379" s="55"/>
      <c r="AF379" s="55"/>
      <c r="AG379" s="167"/>
      <c r="AH379" s="55"/>
      <c r="AI379" s="55"/>
      <c r="AJ379" s="165"/>
      <c r="AK379" s="55"/>
      <c r="AL379" s="55"/>
      <c r="AM379" s="55"/>
      <c r="AN379" s="55"/>
      <c r="AO379" s="55"/>
      <c r="AP379" s="55"/>
      <c r="AQ379" s="55"/>
      <c r="AR379" s="55"/>
      <c r="AS379" s="165"/>
      <c r="AT379" s="55"/>
      <c r="AU379" s="55"/>
      <c r="AV379" s="55"/>
      <c r="AW379" s="55"/>
      <c r="AX379" s="55"/>
      <c r="AY379" s="55"/>
      <c r="AZ379" s="55"/>
      <c r="BA379" s="55"/>
      <c r="BB379" s="165"/>
      <c r="BC379" s="55"/>
      <c r="BD379" s="55"/>
      <c r="BE379" s="55"/>
      <c r="BF379" s="165"/>
      <c r="BG379" s="55"/>
      <c r="BH379" s="10"/>
      <c r="BI379" s="55"/>
      <c r="BJ379" s="55"/>
      <c r="BK379" s="55"/>
      <c r="BL379" s="55"/>
      <c r="BT379" s="141"/>
      <c r="CN379" s="141"/>
      <c r="DG379" s="141"/>
    </row>
    <row r="380" spans="1:111" s="93" customFormat="1" x14ac:dyDescent="0.15">
      <c r="A380" s="11"/>
      <c r="B380" s="13"/>
      <c r="C380" s="12"/>
      <c r="D380" s="13"/>
      <c r="E380" s="13"/>
      <c r="F380" s="12"/>
      <c r="G380" s="55"/>
      <c r="H380" s="55"/>
      <c r="I380" s="55"/>
      <c r="J380" s="55"/>
      <c r="K380" s="55"/>
      <c r="L380" s="158"/>
      <c r="M380" s="10"/>
      <c r="N380" s="55"/>
      <c r="O380" s="55"/>
      <c r="P380" s="10"/>
      <c r="Q380" s="10"/>
      <c r="R380" s="155"/>
      <c r="S380" s="171"/>
      <c r="T380" s="161"/>
      <c r="U380" s="55"/>
      <c r="V380" s="55"/>
      <c r="W380" s="55"/>
      <c r="X380" s="155"/>
      <c r="Y380" s="171"/>
      <c r="Z380" s="165"/>
      <c r="AA380" s="10"/>
      <c r="AB380" s="55"/>
      <c r="AC380" s="55"/>
      <c r="AD380" s="55"/>
      <c r="AE380" s="55"/>
      <c r="AF380" s="55"/>
      <c r="AG380" s="167"/>
      <c r="AH380" s="55"/>
      <c r="AI380" s="55"/>
      <c r="AJ380" s="165"/>
      <c r="AK380" s="55"/>
      <c r="AL380" s="55"/>
      <c r="AM380" s="55"/>
      <c r="AN380" s="55"/>
      <c r="AO380" s="55"/>
      <c r="AP380" s="55"/>
      <c r="AQ380" s="55"/>
      <c r="AR380" s="55"/>
      <c r="AS380" s="165"/>
      <c r="AT380" s="55"/>
      <c r="AU380" s="55"/>
      <c r="AV380" s="55"/>
      <c r="AW380" s="55"/>
      <c r="AX380" s="55"/>
      <c r="AY380" s="55"/>
      <c r="AZ380" s="55"/>
      <c r="BA380" s="55"/>
      <c r="BB380" s="165"/>
      <c r="BC380" s="55"/>
      <c r="BD380" s="55"/>
      <c r="BE380" s="55"/>
      <c r="BF380" s="165"/>
      <c r="BG380" s="55"/>
      <c r="BH380" s="10"/>
      <c r="BI380" s="55"/>
      <c r="BJ380" s="55"/>
      <c r="BK380" s="55"/>
      <c r="BL380" s="55"/>
      <c r="BT380" s="141"/>
      <c r="CN380" s="141"/>
      <c r="DG380" s="141"/>
    </row>
    <row r="381" spans="1:111" s="93" customFormat="1" x14ac:dyDescent="0.15">
      <c r="A381" s="11"/>
      <c r="B381" s="13"/>
      <c r="C381" s="12"/>
      <c r="D381" s="13"/>
      <c r="E381" s="13"/>
      <c r="F381" s="12"/>
      <c r="G381" s="55"/>
      <c r="H381" s="55"/>
      <c r="I381" s="55"/>
      <c r="J381" s="55"/>
      <c r="K381" s="55"/>
      <c r="L381" s="158"/>
      <c r="M381" s="10"/>
      <c r="N381" s="55"/>
      <c r="O381" s="55"/>
      <c r="P381" s="10"/>
      <c r="Q381" s="10"/>
      <c r="R381" s="155"/>
      <c r="S381" s="171"/>
      <c r="T381" s="161"/>
      <c r="U381" s="55"/>
      <c r="V381" s="55"/>
      <c r="W381" s="55"/>
      <c r="X381" s="155"/>
      <c r="Y381" s="171"/>
      <c r="Z381" s="165"/>
      <c r="AA381" s="10"/>
      <c r="AB381" s="55"/>
      <c r="AC381" s="55"/>
      <c r="AD381" s="55"/>
      <c r="AE381" s="55"/>
      <c r="AF381" s="55"/>
      <c r="AG381" s="167"/>
      <c r="AH381" s="55"/>
      <c r="AI381" s="55"/>
      <c r="AJ381" s="165"/>
      <c r="AK381" s="55"/>
      <c r="AL381" s="55"/>
      <c r="AM381" s="55"/>
      <c r="AN381" s="55"/>
      <c r="AO381" s="55"/>
      <c r="AP381" s="55"/>
      <c r="AQ381" s="55"/>
      <c r="AR381" s="55"/>
      <c r="AS381" s="165"/>
      <c r="AT381" s="55"/>
      <c r="AU381" s="55"/>
      <c r="AV381" s="55"/>
      <c r="AW381" s="55"/>
      <c r="AX381" s="55"/>
      <c r="AY381" s="55"/>
      <c r="AZ381" s="55"/>
      <c r="BA381" s="55"/>
      <c r="BB381" s="165"/>
      <c r="BC381" s="55"/>
      <c r="BD381" s="55"/>
      <c r="BE381" s="55"/>
      <c r="BF381" s="165"/>
      <c r="BG381" s="55"/>
      <c r="BH381" s="10"/>
      <c r="BI381" s="55"/>
      <c r="BJ381" s="55"/>
      <c r="BK381" s="55"/>
      <c r="BL381" s="55"/>
      <c r="BT381" s="141"/>
      <c r="CN381" s="141"/>
      <c r="DG381" s="141"/>
    </row>
    <row r="382" spans="1:111" s="93" customFormat="1" x14ac:dyDescent="0.15">
      <c r="A382" s="11"/>
      <c r="B382" s="13"/>
      <c r="C382" s="12"/>
      <c r="D382" s="13"/>
      <c r="E382" s="13"/>
      <c r="F382" s="12"/>
      <c r="G382" s="55"/>
      <c r="H382" s="55"/>
      <c r="I382" s="55"/>
      <c r="J382" s="55"/>
      <c r="K382" s="55"/>
      <c r="L382" s="158"/>
      <c r="M382" s="10"/>
      <c r="N382" s="55"/>
      <c r="O382" s="55"/>
      <c r="P382" s="10"/>
      <c r="Q382" s="10"/>
      <c r="R382" s="155"/>
      <c r="S382" s="171"/>
      <c r="T382" s="161"/>
      <c r="U382" s="55"/>
      <c r="V382" s="55"/>
      <c r="W382" s="55"/>
      <c r="X382" s="155"/>
      <c r="Y382" s="171"/>
      <c r="Z382" s="165"/>
      <c r="AA382" s="10"/>
      <c r="AB382" s="55"/>
      <c r="AC382" s="55"/>
      <c r="AD382" s="55"/>
      <c r="AE382" s="55"/>
      <c r="AF382" s="55"/>
      <c r="AG382" s="167"/>
      <c r="AH382" s="55"/>
      <c r="AI382" s="55"/>
      <c r="AJ382" s="165"/>
      <c r="AK382" s="55"/>
      <c r="AL382" s="55"/>
      <c r="AM382" s="55"/>
      <c r="AN382" s="55"/>
      <c r="AO382" s="55"/>
      <c r="AP382" s="55"/>
      <c r="AQ382" s="55"/>
      <c r="AR382" s="55"/>
      <c r="AS382" s="165"/>
      <c r="AT382" s="55"/>
      <c r="AU382" s="55"/>
      <c r="AV382" s="55"/>
      <c r="AW382" s="55"/>
      <c r="AX382" s="55"/>
      <c r="AY382" s="55"/>
      <c r="AZ382" s="55"/>
      <c r="BA382" s="55"/>
      <c r="BB382" s="165"/>
      <c r="BC382" s="55"/>
      <c r="BD382" s="55"/>
      <c r="BE382" s="55"/>
      <c r="BF382" s="165"/>
      <c r="BG382" s="55"/>
      <c r="BH382" s="10"/>
      <c r="BI382" s="55"/>
      <c r="BJ382" s="55"/>
      <c r="BK382" s="55"/>
      <c r="BL382" s="55"/>
      <c r="BT382" s="141"/>
      <c r="CN382" s="141"/>
      <c r="DG382" s="141"/>
    </row>
    <row r="383" spans="1:111" s="93" customFormat="1" x14ac:dyDescent="0.15">
      <c r="A383" s="11"/>
      <c r="B383" s="13"/>
      <c r="C383" s="12"/>
      <c r="D383" s="13"/>
      <c r="E383" s="13"/>
      <c r="F383" s="12"/>
      <c r="G383" s="55"/>
      <c r="H383" s="55"/>
      <c r="I383" s="55"/>
      <c r="J383" s="55"/>
      <c r="K383" s="55"/>
      <c r="L383" s="158"/>
      <c r="M383" s="10"/>
      <c r="N383" s="55"/>
      <c r="O383" s="55"/>
      <c r="P383" s="10"/>
      <c r="Q383" s="10"/>
      <c r="R383" s="155"/>
      <c r="S383" s="171"/>
      <c r="T383" s="161"/>
      <c r="U383" s="55"/>
      <c r="V383" s="55"/>
      <c r="W383" s="55"/>
      <c r="X383" s="155"/>
      <c r="Y383" s="171"/>
      <c r="Z383" s="165"/>
      <c r="AA383" s="10"/>
      <c r="AB383" s="55"/>
      <c r="AC383" s="55"/>
      <c r="AD383" s="55"/>
      <c r="AE383" s="55"/>
      <c r="AF383" s="55"/>
      <c r="AG383" s="167"/>
      <c r="AH383" s="55"/>
      <c r="AI383" s="55"/>
      <c r="AJ383" s="165"/>
      <c r="AK383" s="55"/>
      <c r="AL383" s="55"/>
      <c r="AM383" s="55"/>
      <c r="AN383" s="55"/>
      <c r="AO383" s="55"/>
      <c r="AP383" s="55"/>
      <c r="AQ383" s="55"/>
      <c r="AR383" s="55"/>
      <c r="AS383" s="165"/>
      <c r="AT383" s="55"/>
      <c r="AU383" s="55"/>
      <c r="AV383" s="55"/>
      <c r="AW383" s="55"/>
      <c r="AX383" s="55"/>
      <c r="AY383" s="55"/>
      <c r="AZ383" s="55"/>
      <c r="BA383" s="55"/>
      <c r="BB383" s="165"/>
      <c r="BC383" s="55"/>
      <c r="BD383" s="55"/>
      <c r="BE383" s="55"/>
      <c r="BF383" s="165"/>
      <c r="BG383" s="55"/>
      <c r="BH383" s="10"/>
      <c r="BI383" s="55"/>
      <c r="BJ383" s="55"/>
      <c r="BK383" s="55"/>
      <c r="BL383" s="55"/>
      <c r="BT383" s="141"/>
      <c r="CN383" s="141"/>
      <c r="DG383" s="141"/>
    </row>
    <row r="384" spans="1:111" s="93" customFormat="1" x14ac:dyDescent="0.15">
      <c r="A384" s="11"/>
      <c r="B384" s="13"/>
      <c r="C384" s="12"/>
      <c r="D384" s="13"/>
      <c r="E384" s="13"/>
      <c r="F384" s="12"/>
      <c r="G384" s="55"/>
      <c r="H384" s="55"/>
      <c r="I384" s="55"/>
      <c r="J384" s="55"/>
      <c r="K384" s="55"/>
      <c r="L384" s="158"/>
      <c r="M384" s="10"/>
      <c r="N384" s="55"/>
      <c r="O384" s="55"/>
      <c r="P384" s="10"/>
      <c r="Q384" s="10"/>
      <c r="R384" s="155"/>
      <c r="S384" s="171"/>
      <c r="T384" s="161"/>
      <c r="U384" s="55"/>
      <c r="V384" s="55"/>
      <c r="W384" s="55"/>
      <c r="X384" s="155"/>
      <c r="Y384" s="171"/>
      <c r="Z384" s="165"/>
      <c r="AA384" s="10"/>
      <c r="AB384" s="55"/>
      <c r="AC384" s="55"/>
      <c r="AD384" s="55"/>
      <c r="AE384" s="55"/>
      <c r="AF384" s="55"/>
      <c r="AG384" s="167"/>
      <c r="AH384" s="55"/>
      <c r="AI384" s="55"/>
      <c r="AJ384" s="165"/>
      <c r="AK384" s="55"/>
      <c r="AL384" s="55"/>
      <c r="AM384" s="55"/>
      <c r="AN384" s="55"/>
      <c r="AO384" s="55"/>
      <c r="AP384" s="55"/>
      <c r="AQ384" s="55"/>
      <c r="AR384" s="55"/>
      <c r="AS384" s="165"/>
      <c r="AT384" s="55"/>
      <c r="AU384" s="55"/>
      <c r="AV384" s="55"/>
      <c r="AW384" s="55"/>
      <c r="AX384" s="55"/>
      <c r="AY384" s="55"/>
      <c r="AZ384" s="55"/>
      <c r="BA384" s="55"/>
      <c r="BB384" s="165"/>
      <c r="BC384" s="55"/>
      <c r="BD384" s="55"/>
      <c r="BE384" s="55"/>
      <c r="BF384" s="165"/>
      <c r="BG384" s="55"/>
      <c r="BH384" s="10"/>
      <c r="BI384" s="55"/>
      <c r="BJ384" s="55"/>
      <c r="BK384" s="55"/>
      <c r="BL384" s="55"/>
      <c r="BT384" s="141"/>
      <c r="CN384" s="141"/>
      <c r="DG384" s="141"/>
    </row>
    <row r="385" spans="1:111" s="93" customFormat="1" x14ac:dyDescent="0.15">
      <c r="A385" s="11"/>
      <c r="B385" s="13"/>
      <c r="C385" s="12"/>
      <c r="D385" s="13"/>
      <c r="E385" s="13"/>
      <c r="F385" s="12"/>
      <c r="G385" s="55"/>
      <c r="H385" s="55"/>
      <c r="I385" s="55"/>
      <c r="J385" s="55"/>
      <c r="K385" s="55"/>
      <c r="L385" s="158"/>
      <c r="M385" s="10"/>
      <c r="N385" s="55"/>
      <c r="O385" s="55"/>
      <c r="P385" s="10"/>
      <c r="Q385" s="10"/>
      <c r="R385" s="155"/>
      <c r="S385" s="171"/>
      <c r="T385" s="161"/>
      <c r="U385" s="55"/>
      <c r="V385" s="55"/>
      <c r="W385" s="55"/>
      <c r="X385" s="155"/>
      <c r="Y385" s="171"/>
      <c r="Z385" s="165"/>
      <c r="AA385" s="10"/>
      <c r="AB385" s="55"/>
      <c r="AC385" s="55"/>
      <c r="AD385" s="55"/>
      <c r="AE385" s="55"/>
      <c r="AF385" s="55"/>
      <c r="AG385" s="167"/>
      <c r="AH385" s="55"/>
      <c r="AI385" s="55"/>
      <c r="AJ385" s="165"/>
      <c r="AK385" s="55"/>
      <c r="AL385" s="55"/>
      <c r="AM385" s="55"/>
      <c r="AN385" s="55"/>
      <c r="AO385" s="55"/>
      <c r="AP385" s="55"/>
      <c r="AQ385" s="55"/>
      <c r="AR385" s="55"/>
      <c r="AS385" s="165"/>
      <c r="AT385" s="55"/>
      <c r="AU385" s="55"/>
      <c r="AV385" s="55"/>
      <c r="AW385" s="55"/>
      <c r="AX385" s="55"/>
      <c r="AY385" s="55"/>
      <c r="AZ385" s="55"/>
      <c r="BA385" s="55"/>
      <c r="BB385" s="165"/>
      <c r="BC385" s="55"/>
      <c r="BD385" s="55"/>
      <c r="BE385" s="55"/>
      <c r="BF385" s="165"/>
      <c r="BG385" s="55"/>
      <c r="BH385" s="10"/>
      <c r="BI385" s="55"/>
      <c r="BJ385" s="55"/>
      <c r="BK385" s="55"/>
      <c r="BL385" s="55"/>
      <c r="BT385" s="141"/>
      <c r="CN385" s="141"/>
      <c r="DG385" s="141"/>
    </row>
    <row r="386" spans="1:111" s="93" customFormat="1" x14ac:dyDescent="0.15">
      <c r="A386" s="11"/>
      <c r="B386" s="13"/>
      <c r="C386" s="12"/>
      <c r="D386" s="13"/>
      <c r="E386" s="13"/>
      <c r="F386" s="12"/>
      <c r="G386" s="55"/>
      <c r="H386" s="55"/>
      <c r="I386" s="55"/>
      <c r="J386" s="55"/>
      <c r="K386" s="55"/>
      <c r="L386" s="158"/>
      <c r="M386" s="10"/>
      <c r="N386" s="55"/>
      <c r="O386" s="55"/>
      <c r="P386" s="10"/>
      <c r="Q386" s="10"/>
      <c r="R386" s="155"/>
      <c r="S386" s="171"/>
      <c r="T386" s="161"/>
      <c r="U386" s="55"/>
      <c r="V386" s="55"/>
      <c r="W386" s="55"/>
      <c r="X386" s="155"/>
      <c r="Y386" s="171"/>
      <c r="Z386" s="165"/>
      <c r="AA386" s="10"/>
      <c r="AB386" s="55"/>
      <c r="AC386" s="55"/>
      <c r="AD386" s="55"/>
      <c r="AE386" s="55"/>
      <c r="AF386" s="55"/>
      <c r="AG386" s="167"/>
      <c r="AH386" s="55"/>
      <c r="AI386" s="55"/>
      <c r="AJ386" s="165"/>
      <c r="AK386" s="55"/>
      <c r="AL386" s="55"/>
      <c r="AM386" s="55"/>
      <c r="AN386" s="55"/>
      <c r="AO386" s="55"/>
      <c r="AP386" s="55"/>
      <c r="AQ386" s="55"/>
      <c r="AR386" s="55"/>
      <c r="AS386" s="165"/>
      <c r="AT386" s="55"/>
      <c r="AU386" s="55"/>
      <c r="AV386" s="55"/>
      <c r="AW386" s="55"/>
      <c r="AX386" s="55"/>
      <c r="AY386" s="55"/>
      <c r="AZ386" s="55"/>
      <c r="BA386" s="55"/>
      <c r="BB386" s="165"/>
      <c r="BC386" s="55"/>
      <c r="BD386" s="55"/>
      <c r="BE386" s="55"/>
      <c r="BF386" s="165"/>
      <c r="BG386" s="55"/>
      <c r="BH386" s="10"/>
      <c r="BI386" s="55"/>
      <c r="BJ386" s="55"/>
      <c r="BK386" s="55"/>
      <c r="BL386" s="55"/>
      <c r="BT386" s="141"/>
      <c r="CN386" s="141"/>
      <c r="DG386" s="141"/>
    </row>
    <row r="387" spans="1:111" s="93" customFormat="1" x14ac:dyDescent="0.15">
      <c r="A387" s="11"/>
      <c r="B387" s="13"/>
      <c r="C387" s="12"/>
      <c r="D387" s="13"/>
      <c r="E387" s="13"/>
      <c r="F387" s="12"/>
      <c r="G387" s="55"/>
      <c r="H387" s="55"/>
      <c r="I387" s="55"/>
      <c r="J387" s="55"/>
      <c r="K387" s="55"/>
      <c r="L387" s="158"/>
      <c r="M387" s="10"/>
      <c r="N387" s="55"/>
      <c r="O387" s="55"/>
      <c r="P387" s="10"/>
      <c r="Q387" s="10"/>
      <c r="R387" s="155"/>
      <c r="S387" s="171"/>
      <c r="T387" s="161"/>
      <c r="U387" s="55"/>
      <c r="V387" s="55"/>
      <c r="W387" s="55"/>
      <c r="X387" s="155"/>
      <c r="Y387" s="171"/>
      <c r="Z387" s="165"/>
      <c r="AA387" s="10"/>
      <c r="AB387" s="55"/>
      <c r="AC387" s="55"/>
      <c r="AD387" s="55"/>
      <c r="AE387" s="55"/>
      <c r="AF387" s="55"/>
      <c r="AG387" s="167"/>
      <c r="AH387" s="55"/>
      <c r="AI387" s="55"/>
      <c r="AJ387" s="165"/>
      <c r="AK387" s="55"/>
      <c r="AL387" s="55"/>
      <c r="AM387" s="55"/>
      <c r="AN387" s="55"/>
      <c r="AO387" s="55"/>
      <c r="AP387" s="55"/>
      <c r="AQ387" s="55"/>
      <c r="AR387" s="55"/>
      <c r="AS387" s="165"/>
      <c r="AT387" s="55"/>
      <c r="AU387" s="55"/>
      <c r="AV387" s="55"/>
      <c r="AW387" s="55"/>
      <c r="AX387" s="55"/>
      <c r="AY387" s="55"/>
      <c r="AZ387" s="55"/>
      <c r="BA387" s="55"/>
      <c r="BB387" s="165"/>
      <c r="BC387" s="55"/>
      <c r="BD387" s="55"/>
      <c r="BE387" s="55"/>
      <c r="BF387" s="165"/>
      <c r="BG387" s="55"/>
      <c r="BH387" s="10"/>
      <c r="BI387" s="55"/>
      <c r="BJ387" s="55"/>
      <c r="BK387" s="55"/>
      <c r="BL387" s="55"/>
      <c r="BT387" s="141"/>
      <c r="CN387" s="141"/>
      <c r="DG387" s="141"/>
    </row>
    <row r="388" spans="1:111" s="93" customFormat="1" x14ac:dyDescent="0.15">
      <c r="A388" s="11"/>
      <c r="B388" s="13"/>
      <c r="C388" s="12"/>
      <c r="D388" s="13"/>
      <c r="E388" s="13"/>
      <c r="F388" s="12"/>
      <c r="G388" s="55"/>
      <c r="H388" s="55"/>
      <c r="I388" s="55"/>
      <c r="J388" s="55"/>
      <c r="K388" s="55"/>
      <c r="L388" s="158"/>
      <c r="M388" s="10"/>
      <c r="N388" s="55"/>
      <c r="O388" s="55"/>
      <c r="P388" s="10"/>
      <c r="Q388" s="10"/>
      <c r="R388" s="155"/>
      <c r="S388" s="171"/>
      <c r="T388" s="161"/>
      <c r="U388" s="55"/>
      <c r="V388" s="55"/>
      <c r="W388" s="55"/>
      <c r="X388" s="155"/>
      <c r="Y388" s="171"/>
      <c r="Z388" s="165"/>
      <c r="AA388" s="10"/>
      <c r="AB388" s="55"/>
      <c r="AC388" s="55"/>
      <c r="AD388" s="55"/>
      <c r="AE388" s="55"/>
      <c r="AF388" s="55"/>
      <c r="AG388" s="167"/>
      <c r="AH388" s="55"/>
      <c r="AI388" s="55"/>
      <c r="AJ388" s="165"/>
      <c r="AK388" s="55"/>
      <c r="AL388" s="55"/>
      <c r="AM388" s="55"/>
      <c r="AN388" s="55"/>
      <c r="AO388" s="55"/>
      <c r="AP388" s="55"/>
      <c r="AQ388" s="55"/>
      <c r="AR388" s="55"/>
      <c r="AS388" s="165"/>
      <c r="AT388" s="55"/>
      <c r="AU388" s="55"/>
      <c r="AV388" s="55"/>
      <c r="AW388" s="55"/>
      <c r="AX388" s="55"/>
      <c r="AY388" s="55"/>
      <c r="AZ388" s="55"/>
      <c r="BA388" s="55"/>
      <c r="BB388" s="165"/>
      <c r="BC388" s="55"/>
      <c r="BD388" s="55"/>
      <c r="BE388" s="55"/>
      <c r="BF388" s="165"/>
      <c r="BG388" s="55"/>
      <c r="BH388" s="10"/>
      <c r="BI388" s="55"/>
      <c r="BJ388" s="55"/>
      <c r="BK388" s="55"/>
      <c r="BL388" s="55"/>
      <c r="BT388" s="141"/>
      <c r="CN388" s="141"/>
      <c r="DG388" s="141"/>
    </row>
    <row r="389" spans="1:111" s="93" customFormat="1" x14ac:dyDescent="0.15">
      <c r="A389" s="11"/>
      <c r="B389" s="13"/>
      <c r="C389" s="12"/>
      <c r="D389" s="13"/>
      <c r="E389" s="13"/>
      <c r="F389" s="12"/>
      <c r="G389" s="55"/>
      <c r="H389" s="55"/>
      <c r="I389" s="55"/>
      <c r="J389" s="55"/>
      <c r="K389" s="55"/>
      <c r="L389" s="158"/>
      <c r="M389" s="10"/>
      <c r="N389" s="55"/>
      <c r="O389" s="55"/>
      <c r="P389" s="10"/>
      <c r="Q389" s="10"/>
      <c r="R389" s="155"/>
      <c r="S389" s="171"/>
      <c r="T389" s="161"/>
      <c r="U389" s="55"/>
      <c r="V389" s="55"/>
      <c r="W389" s="55"/>
      <c r="X389" s="155"/>
      <c r="Y389" s="171"/>
      <c r="Z389" s="165"/>
      <c r="AA389" s="10"/>
      <c r="AB389" s="55"/>
      <c r="AC389" s="55"/>
      <c r="AD389" s="55"/>
      <c r="AE389" s="55"/>
      <c r="AF389" s="55"/>
      <c r="AG389" s="167"/>
      <c r="AH389" s="55"/>
      <c r="AI389" s="55"/>
      <c r="AJ389" s="165"/>
      <c r="AK389" s="55"/>
      <c r="AL389" s="55"/>
      <c r="AM389" s="55"/>
      <c r="AN389" s="55"/>
      <c r="AO389" s="55"/>
      <c r="AP389" s="55"/>
      <c r="AQ389" s="55"/>
      <c r="AR389" s="55"/>
      <c r="AS389" s="165"/>
      <c r="AT389" s="55"/>
      <c r="AU389" s="55"/>
      <c r="AV389" s="55"/>
      <c r="AW389" s="55"/>
      <c r="AX389" s="55"/>
      <c r="AY389" s="55"/>
      <c r="AZ389" s="55"/>
      <c r="BA389" s="55"/>
      <c r="BB389" s="165"/>
      <c r="BC389" s="55"/>
      <c r="BD389" s="55"/>
      <c r="BE389" s="55"/>
      <c r="BF389" s="165"/>
      <c r="BG389" s="55"/>
      <c r="BH389" s="10"/>
      <c r="BI389" s="55"/>
      <c r="BJ389" s="55"/>
      <c r="BK389" s="55"/>
      <c r="BL389" s="55"/>
      <c r="BT389" s="141"/>
      <c r="CN389" s="141"/>
      <c r="DG389" s="141"/>
    </row>
    <row r="390" spans="1:111" s="93" customFormat="1" x14ac:dyDescent="0.15">
      <c r="A390" s="11"/>
      <c r="B390" s="13"/>
      <c r="C390" s="12"/>
      <c r="D390" s="13"/>
      <c r="E390" s="13"/>
      <c r="F390" s="12"/>
      <c r="G390" s="55"/>
      <c r="H390" s="55"/>
      <c r="I390" s="55"/>
      <c r="J390" s="55"/>
      <c r="K390" s="55"/>
      <c r="L390" s="158"/>
      <c r="M390" s="10"/>
      <c r="N390" s="55"/>
      <c r="O390" s="55"/>
      <c r="P390" s="10"/>
      <c r="Q390" s="10"/>
      <c r="R390" s="155"/>
      <c r="S390" s="171"/>
      <c r="T390" s="161"/>
      <c r="U390" s="55"/>
      <c r="V390" s="55"/>
      <c r="W390" s="55"/>
      <c r="X390" s="155"/>
      <c r="Y390" s="171"/>
      <c r="Z390" s="165"/>
      <c r="AA390" s="10"/>
      <c r="AB390" s="55"/>
      <c r="AC390" s="55"/>
      <c r="AD390" s="55"/>
      <c r="AE390" s="55"/>
      <c r="AF390" s="55"/>
      <c r="AG390" s="167"/>
      <c r="AH390" s="55"/>
      <c r="AI390" s="55"/>
      <c r="AJ390" s="165"/>
      <c r="AK390" s="55"/>
      <c r="AL390" s="55"/>
      <c r="AM390" s="55"/>
      <c r="AN390" s="55"/>
      <c r="AO390" s="55"/>
      <c r="AP390" s="55"/>
      <c r="AQ390" s="55"/>
      <c r="AR390" s="55"/>
      <c r="AS390" s="165"/>
      <c r="AT390" s="55"/>
      <c r="AU390" s="55"/>
      <c r="AV390" s="55"/>
      <c r="AW390" s="55"/>
      <c r="AX390" s="55"/>
      <c r="AY390" s="55"/>
      <c r="AZ390" s="55"/>
      <c r="BA390" s="55"/>
      <c r="BB390" s="165"/>
      <c r="BC390" s="55"/>
      <c r="BD390" s="55"/>
      <c r="BE390" s="55"/>
      <c r="BF390" s="165"/>
      <c r="BG390" s="55"/>
      <c r="BH390" s="10"/>
      <c r="BI390" s="55"/>
      <c r="BJ390" s="55"/>
      <c r="BK390" s="55"/>
      <c r="BL390" s="55"/>
      <c r="BT390" s="141"/>
      <c r="CN390" s="141"/>
      <c r="DG390" s="141"/>
    </row>
    <row r="391" spans="1:111" s="93" customFormat="1" x14ac:dyDescent="0.15">
      <c r="A391" s="11"/>
      <c r="B391" s="13"/>
      <c r="C391" s="12"/>
      <c r="D391" s="13"/>
      <c r="E391" s="13"/>
      <c r="F391" s="12"/>
      <c r="G391" s="55"/>
      <c r="H391" s="55"/>
      <c r="I391" s="55"/>
      <c r="J391" s="55"/>
      <c r="K391" s="55"/>
      <c r="L391" s="158"/>
      <c r="M391" s="10"/>
      <c r="N391" s="55"/>
      <c r="O391" s="55"/>
      <c r="P391" s="10"/>
      <c r="Q391" s="10"/>
      <c r="R391" s="155"/>
      <c r="S391" s="171"/>
      <c r="T391" s="161"/>
      <c r="U391" s="55"/>
      <c r="V391" s="55"/>
      <c r="W391" s="55"/>
      <c r="X391" s="155"/>
      <c r="Y391" s="171"/>
      <c r="Z391" s="165"/>
      <c r="AA391" s="10"/>
      <c r="AB391" s="55"/>
      <c r="AC391" s="55"/>
      <c r="AD391" s="55"/>
      <c r="AE391" s="55"/>
      <c r="AF391" s="55"/>
      <c r="AG391" s="167"/>
      <c r="AH391" s="55"/>
      <c r="AI391" s="55"/>
      <c r="AJ391" s="165"/>
      <c r="AK391" s="55"/>
      <c r="AL391" s="55"/>
      <c r="AM391" s="55"/>
      <c r="AN391" s="55"/>
      <c r="AO391" s="55"/>
      <c r="AP391" s="55"/>
      <c r="AQ391" s="55"/>
      <c r="AR391" s="55"/>
      <c r="AS391" s="165"/>
      <c r="AT391" s="55"/>
      <c r="AU391" s="55"/>
      <c r="AV391" s="55"/>
      <c r="AW391" s="55"/>
      <c r="AX391" s="55"/>
      <c r="AY391" s="55"/>
      <c r="AZ391" s="55"/>
      <c r="BA391" s="55"/>
      <c r="BB391" s="165"/>
      <c r="BC391" s="55"/>
      <c r="BD391" s="55"/>
      <c r="BE391" s="55"/>
      <c r="BF391" s="165"/>
      <c r="BG391" s="55"/>
      <c r="BH391" s="10"/>
      <c r="BI391" s="55"/>
      <c r="BJ391" s="55"/>
      <c r="BK391" s="55"/>
      <c r="BL391" s="55"/>
      <c r="BT391" s="141"/>
      <c r="CN391" s="141"/>
      <c r="DG391" s="141"/>
    </row>
    <row r="392" spans="1:111" s="93" customFormat="1" x14ac:dyDescent="0.15">
      <c r="A392" s="11"/>
      <c r="B392" s="13"/>
      <c r="C392" s="12"/>
      <c r="D392" s="13"/>
      <c r="E392" s="13"/>
      <c r="F392" s="12"/>
      <c r="G392" s="55"/>
      <c r="H392" s="55"/>
      <c r="I392" s="55"/>
      <c r="J392" s="55"/>
      <c r="K392" s="55"/>
      <c r="L392" s="158"/>
      <c r="M392" s="10"/>
      <c r="N392" s="55"/>
      <c r="O392" s="55"/>
      <c r="P392" s="10"/>
      <c r="Q392" s="10"/>
      <c r="R392" s="155"/>
      <c r="S392" s="171"/>
      <c r="T392" s="161"/>
      <c r="U392" s="55"/>
      <c r="V392" s="55"/>
      <c r="W392" s="55"/>
      <c r="X392" s="155"/>
      <c r="Y392" s="171"/>
      <c r="Z392" s="165"/>
      <c r="AA392" s="10"/>
      <c r="AB392" s="55"/>
      <c r="AC392" s="55"/>
      <c r="AD392" s="55"/>
      <c r="AE392" s="55"/>
      <c r="AF392" s="55"/>
      <c r="AG392" s="167"/>
      <c r="AH392" s="55"/>
      <c r="AI392" s="55"/>
      <c r="AJ392" s="165"/>
      <c r="AK392" s="55"/>
      <c r="AL392" s="55"/>
      <c r="AM392" s="55"/>
      <c r="AN392" s="55"/>
      <c r="AO392" s="55"/>
      <c r="AP392" s="55"/>
      <c r="AQ392" s="55"/>
      <c r="AR392" s="55"/>
      <c r="AS392" s="165"/>
      <c r="AT392" s="55"/>
      <c r="AU392" s="55"/>
      <c r="AV392" s="55"/>
      <c r="AW392" s="55"/>
      <c r="AX392" s="55"/>
      <c r="AY392" s="55"/>
      <c r="AZ392" s="55"/>
      <c r="BA392" s="55"/>
      <c r="BB392" s="165"/>
      <c r="BC392" s="55"/>
      <c r="BD392" s="55"/>
      <c r="BE392" s="55"/>
      <c r="BF392" s="165"/>
      <c r="BG392" s="55"/>
      <c r="BH392" s="10"/>
      <c r="BI392" s="55"/>
      <c r="BJ392" s="55"/>
      <c r="BK392" s="55"/>
      <c r="BL392" s="55"/>
      <c r="BT392" s="141"/>
      <c r="CN392" s="141"/>
      <c r="DG392" s="141"/>
    </row>
    <row r="393" spans="1:111" s="93" customFormat="1" x14ac:dyDescent="0.15">
      <c r="A393" s="11"/>
      <c r="B393" s="13"/>
      <c r="C393" s="12"/>
      <c r="D393" s="13"/>
      <c r="E393" s="13"/>
      <c r="F393" s="12"/>
      <c r="G393" s="55"/>
      <c r="H393" s="55"/>
      <c r="I393" s="55"/>
      <c r="J393" s="55"/>
      <c r="K393" s="55"/>
      <c r="L393" s="158"/>
      <c r="M393" s="10"/>
      <c r="N393" s="55"/>
      <c r="O393" s="55"/>
      <c r="P393" s="10"/>
      <c r="Q393" s="10"/>
      <c r="R393" s="155"/>
      <c r="S393" s="171"/>
      <c r="T393" s="161"/>
      <c r="U393" s="55"/>
      <c r="V393" s="55"/>
      <c r="W393" s="55"/>
      <c r="X393" s="155"/>
      <c r="Y393" s="171"/>
      <c r="Z393" s="165"/>
      <c r="AA393" s="10"/>
      <c r="AB393" s="55"/>
      <c r="AC393" s="55"/>
      <c r="AD393" s="55"/>
      <c r="AE393" s="55"/>
      <c r="AF393" s="55"/>
      <c r="AG393" s="167"/>
      <c r="AH393" s="55"/>
      <c r="AI393" s="55"/>
      <c r="AJ393" s="165"/>
      <c r="AK393" s="55"/>
      <c r="AL393" s="55"/>
      <c r="AM393" s="55"/>
      <c r="AN393" s="55"/>
      <c r="AO393" s="55"/>
      <c r="AP393" s="55"/>
      <c r="AQ393" s="55"/>
      <c r="AR393" s="55"/>
      <c r="AS393" s="165"/>
      <c r="AT393" s="55"/>
      <c r="AU393" s="55"/>
      <c r="AV393" s="55"/>
      <c r="AW393" s="55"/>
      <c r="AX393" s="55"/>
      <c r="AY393" s="55"/>
      <c r="AZ393" s="55"/>
      <c r="BA393" s="55"/>
      <c r="BB393" s="165"/>
      <c r="BC393" s="55"/>
      <c r="BD393" s="55"/>
      <c r="BE393" s="55"/>
      <c r="BF393" s="165"/>
      <c r="BG393" s="55"/>
      <c r="BH393" s="10"/>
      <c r="BI393" s="55"/>
      <c r="BJ393" s="55"/>
      <c r="BK393" s="55"/>
      <c r="BL393" s="55"/>
      <c r="BT393" s="141"/>
      <c r="CN393" s="141"/>
      <c r="DG393" s="141"/>
    </row>
    <row r="394" spans="1:111" s="93" customFormat="1" x14ac:dyDescent="0.15">
      <c r="A394" s="11"/>
      <c r="B394" s="13"/>
      <c r="C394" s="12"/>
      <c r="D394" s="13"/>
      <c r="E394" s="13"/>
      <c r="F394" s="12"/>
      <c r="G394" s="55"/>
      <c r="H394" s="55"/>
      <c r="I394" s="55"/>
      <c r="J394" s="55"/>
      <c r="K394" s="55"/>
      <c r="L394" s="158"/>
      <c r="M394" s="10"/>
      <c r="N394" s="55"/>
      <c r="O394" s="55"/>
      <c r="P394" s="10"/>
      <c r="Q394" s="10"/>
      <c r="R394" s="155"/>
      <c r="S394" s="171"/>
      <c r="T394" s="161"/>
      <c r="U394" s="55"/>
      <c r="V394" s="55"/>
      <c r="W394" s="55"/>
      <c r="X394" s="155"/>
      <c r="Y394" s="171"/>
      <c r="Z394" s="165"/>
      <c r="AA394" s="10"/>
      <c r="AB394" s="55"/>
      <c r="AC394" s="55"/>
      <c r="AD394" s="55"/>
      <c r="AE394" s="55"/>
      <c r="AF394" s="55"/>
      <c r="AG394" s="167"/>
      <c r="AH394" s="55"/>
      <c r="AI394" s="55"/>
      <c r="AJ394" s="165"/>
      <c r="AK394" s="55"/>
      <c r="AL394" s="55"/>
      <c r="AM394" s="55"/>
      <c r="AN394" s="55"/>
      <c r="AO394" s="55"/>
      <c r="AP394" s="55"/>
      <c r="AQ394" s="55"/>
      <c r="AR394" s="55"/>
      <c r="AS394" s="165"/>
      <c r="AT394" s="55"/>
      <c r="AU394" s="55"/>
      <c r="AV394" s="55"/>
      <c r="AW394" s="55"/>
      <c r="AX394" s="55"/>
      <c r="AY394" s="55"/>
      <c r="AZ394" s="55"/>
      <c r="BA394" s="55"/>
      <c r="BB394" s="165"/>
      <c r="BC394" s="55"/>
      <c r="BD394" s="55"/>
      <c r="BE394" s="55"/>
      <c r="BF394" s="165"/>
      <c r="BG394" s="55"/>
      <c r="BH394" s="10"/>
      <c r="BI394" s="55"/>
      <c r="BJ394" s="55"/>
      <c r="BK394" s="55"/>
      <c r="BL394" s="55"/>
      <c r="BT394" s="141"/>
      <c r="CN394" s="141"/>
      <c r="DG394" s="141"/>
    </row>
    <row r="395" spans="1:111" s="93" customFormat="1" x14ac:dyDescent="0.15">
      <c r="A395" s="11"/>
      <c r="B395" s="13"/>
      <c r="C395" s="12"/>
      <c r="D395" s="13"/>
      <c r="E395" s="13"/>
      <c r="F395" s="12"/>
      <c r="G395" s="55"/>
      <c r="H395" s="55"/>
      <c r="I395" s="55"/>
      <c r="J395" s="55"/>
      <c r="K395" s="55"/>
      <c r="L395" s="158"/>
      <c r="M395" s="10"/>
      <c r="N395" s="55"/>
      <c r="O395" s="55"/>
      <c r="P395" s="10"/>
      <c r="Q395" s="10"/>
      <c r="R395" s="155"/>
      <c r="S395" s="171"/>
      <c r="T395" s="161"/>
      <c r="U395" s="55"/>
      <c r="V395" s="55"/>
      <c r="W395" s="55"/>
      <c r="X395" s="155"/>
      <c r="Y395" s="171"/>
      <c r="Z395" s="165"/>
      <c r="AA395" s="10"/>
      <c r="AB395" s="55"/>
      <c r="AC395" s="55"/>
      <c r="AD395" s="55"/>
      <c r="AE395" s="55"/>
      <c r="AF395" s="55"/>
      <c r="AG395" s="167"/>
      <c r="AH395" s="55"/>
      <c r="AI395" s="55"/>
      <c r="AJ395" s="165"/>
      <c r="AK395" s="55"/>
      <c r="AL395" s="55"/>
      <c r="AM395" s="55"/>
      <c r="AN395" s="55"/>
      <c r="AO395" s="55"/>
      <c r="AP395" s="55"/>
      <c r="AQ395" s="55"/>
      <c r="AR395" s="55"/>
      <c r="AS395" s="165"/>
      <c r="AT395" s="55"/>
      <c r="AU395" s="55"/>
      <c r="AV395" s="55"/>
      <c r="AW395" s="55"/>
      <c r="AX395" s="55"/>
      <c r="AY395" s="55"/>
      <c r="AZ395" s="55"/>
      <c r="BA395" s="55"/>
      <c r="BB395" s="165"/>
      <c r="BC395" s="55"/>
      <c r="BD395" s="55"/>
      <c r="BE395" s="55"/>
      <c r="BF395" s="165"/>
      <c r="BG395" s="55"/>
      <c r="BH395" s="10"/>
      <c r="BI395" s="55"/>
      <c r="BJ395" s="55"/>
      <c r="BK395" s="55"/>
      <c r="BL395" s="55"/>
      <c r="BT395" s="141"/>
      <c r="CN395" s="141"/>
      <c r="DG395" s="141"/>
    </row>
    <row r="396" spans="1:111" s="93" customFormat="1" x14ac:dyDescent="0.15">
      <c r="A396" s="11"/>
      <c r="B396" s="13"/>
      <c r="C396" s="12"/>
      <c r="D396" s="13"/>
      <c r="E396" s="13"/>
      <c r="F396" s="12"/>
      <c r="G396" s="55"/>
      <c r="H396" s="55"/>
      <c r="I396" s="55"/>
      <c r="J396" s="55"/>
      <c r="K396" s="55"/>
      <c r="L396" s="158"/>
      <c r="M396" s="10"/>
      <c r="N396" s="55"/>
      <c r="O396" s="55"/>
      <c r="P396" s="10"/>
      <c r="Q396" s="10"/>
      <c r="R396" s="155"/>
      <c r="S396" s="171"/>
      <c r="T396" s="161"/>
      <c r="U396" s="55"/>
      <c r="V396" s="55"/>
      <c r="W396" s="55"/>
      <c r="X396" s="155"/>
      <c r="Y396" s="171"/>
      <c r="Z396" s="165"/>
      <c r="AA396" s="10"/>
      <c r="AB396" s="55"/>
      <c r="AC396" s="55"/>
      <c r="AD396" s="55"/>
      <c r="AE396" s="55"/>
      <c r="AF396" s="55"/>
      <c r="AG396" s="167"/>
      <c r="AH396" s="55"/>
      <c r="AI396" s="55"/>
      <c r="AJ396" s="165"/>
      <c r="AK396" s="55"/>
      <c r="AL396" s="55"/>
      <c r="AM396" s="55"/>
      <c r="AN396" s="55"/>
      <c r="AO396" s="55"/>
      <c r="AP396" s="55"/>
      <c r="AQ396" s="55"/>
      <c r="AR396" s="55"/>
      <c r="AS396" s="165"/>
      <c r="AT396" s="55"/>
      <c r="AU396" s="55"/>
      <c r="AV396" s="55"/>
      <c r="AW396" s="55"/>
      <c r="AX396" s="55"/>
      <c r="AY396" s="55"/>
      <c r="AZ396" s="55"/>
      <c r="BA396" s="55"/>
      <c r="BB396" s="165"/>
      <c r="BC396" s="55"/>
      <c r="BD396" s="55"/>
      <c r="BE396" s="55"/>
      <c r="BF396" s="165"/>
      <c r="BG396" s="55"/>
      <c r="BH396" s="10"/>
      <c r="BI396" s="55"/>
      <c r="BJ396" s="55"/>
      <c r="BK396" s="55"/>
      <c r="BL396" s="55"/>
      <c r="BT396" s="141"/>
      <c r="CN396" s="141"/>
      <c r="DG396" s="141"/>
    </row>
    <row r="397" spans="1:111" s="93" customFormat="1" x14ac:dyDescent="0.15">
      <c r="A397" s="11"/>
      <c r="B397" s="13"/>
      <c r="C397" s="12"/>
      <c r="D397" s="13"/>
      <c r="E397" s="13"/>
      <c r="F397" s="12"/>
      <c r="G397" s="55"/>
      <c r="H397" s="55"/>
      <c r="I397" s="55"/>
      <c r="J397" s="55"/>
      <c r="K397" s="55"/>
      <c r="L397" s="158"/>
      <c r="M397" s="10"/>
      <c r="N397" s="55"/>
      <c r="O397" s="55"/>
      <c r="P397" s="10"/>
      <c r="Q397" s="10"/>
      <c r="R397" s="155"/>
      <c r="S397" s="171"/>
      <c r="T397" s="161"/>
      <c r="U397" s="55"/>
      <c r="V397" s="55"/>
      <c r="W397" s="55"/>
      <c r="X397" s="155"/>
      <c r="Y397" s="171"/>
      <c r="Z397" s="165"/>
      <c r="AA397" s="10"/>
      <c r="AB397" s="55"/>
      <c r="AC397" s="55"/>
      <c r="AD397" s="55"/>
      <c r="AE397" s="55"/>
      <c r="AF397" s="55"/>
      <c r="AG397" s="167"/>
      <c r="AH397" s="55"/>
      <c r="AI397" s="55"/>
      <c r="AJ397" s="165"/>
      <c r="AK397" s="55"/>
      <c r="AL397" s="55"/>
      <c r="AM397" s="55"/>
      <c r="AN397" s="55"/>
      <c r="AO397" s="55"/>
      <c r="AP397" s="55"/>
      <c r="AQ397" s="55"/>
      <c r="AR397" s="55"/>
      <c r="AS397" s="165"/>
      <c r="AT397" s="55"/>
      <c r="AU397" s="55"/>
      <c r="AV397" s="55"/>
      <c r="AW397" s="55"/>
      <c r="AX397" s="55"/>
      <c r="AY397" s="55"/>
      <c r="AZ397" s="55"/>
      <c r="BA397" s="55"/>
      <c r="BB397" s="165"/>
      <c r="BC397" s="55"/>
      <c r="BD397" s="55"/>
      <c r="BE397" s="55"/>
      <c r="BF397" s="165"/>
      <c r="BG397" s="55"/>
      <c r="BH397" s="10"/>
      <c r="BI397" s="55"/>
      <c r="BJ397" s="55"/>
      <c r="BK397" s="55"/>
      <c r="BL397" s="55"/>
      <c r="BT397" s="141"/>
      <c r="CN397" s="141"/>
      <c r="DG397" s="141"/>
    </row>
    <row r="398" spans="1:111" s="93" customFormat="1" x14ac:dyDescent="0.15">
      <c r="A398" s="11"/>
      <c r="B398" s="13"/>
      <c r="C398" s="12"/>
      <c r="D398" s="13"/>
      <c r="E398" s="13"/>
      <c r="F398" s="12"/>
      <c r="G398" s="55"/>
      <c r="H398" s="55"/>
      <c r="I398" s="55"/>
      <c r="J398" s="55"/>
      <c r="K398" s="55"/>
      <c r="L398" s="158"/>
      <c r="M398" s="10"/>
      <c r="N398" s="55"/>
      <c r="O398" s="55"/>
      <c r="P398" s="10"/>
      <c r="Q398" s="10"/>
      <c r="R398" s="155"/>
      <c r="S398" s="171"/>
      <c r="T398" s="161"/>
      <c r="U398" s="55"/>
      <c r="V398" s="55"/>
      <c r="W398" s="55"/>
      <c r="X398" s="155"/>
      <c r="Y398" s="171"/>
      <c r="Z398" s="165"/>
      <c r="AA398" s="10"/>
      <c r="AB398" s="55"/>
      <c r="AC398" s="55"/>
      <c r="AD398" s="55"/>
      <c r="AE398" s="55"/>
      <c r="AF398" s="55"/>
      <c r="AG398" s="167"/>
      <c r="AH398" s="55"/>
      <c r="AI398" s="55"/>
      <c r="AJ398" s="165"/>
      <c r="AK398" s="55"/>
      <c r="AL398" s="55"/>
      <c r="AM398" s="55"/>
      <c r="AN398" s="55"/>
      <c r="AO398" s="55"/>
      <c r="AP398" s="55"/>
      <c r="AQ398" s="55"/>
      <c r="AR398" s="55"/>
      <c r="AS398" s="165"/>
      <c r="AT398" s="55"/>
      <c r="AU398" s="55"/>
      <c r="AV398" s="55"/>
      <c r="AW398" s="55"/>
      <c r="AX398" s="55"/>
      <c r="AY398" s="55"/>
      <c r="AZ398" s="55"/>
      <c r="BA398" s="55"/>
      <c r="BB398" s="165"/>
      <c r="BC398" s="55"/>
      <c r="BD398" s="55"/>
      <c r="BE398" s="55"/>
      <c r="BF398" s="165"/>
      <c r="BG398" s="55"/>
      <c r="BH398" s="10"/>
      <c r="BI398" s="55"/>
      <c r="BJ398" s="55"/>
      <c r="BK398" s="55"/>
      <c r="BL398" s="55"/>
      <c r="BT398" s="141"/>
      <c r="CN398" s="141"/>
      <c r="DG398" s="141"/>
    </row>
    <row r="399" spans="1:111" s="93" customFormat="1" x14ac:dyDescent="0.15">
      <c r="A399" s="11"/>
      <c r="B399" s="13"/>
      <c r="C399" s="12"/>
      <c r="D399" s="13"/>
      <c r="E399" s="13"/>
      <c r="F399" s="12"/>
      <c r="G399" s="55"/>
      <c r="H399" s="55"/>
      <c r="I399" s="55"/>
      <c r="J399" s="55"/>
      <c r="K399" s="55"/>
      <c r="L399" s="158"/>
      <c r="M399" s="10"/>
      <c r="N399" s="55"/>
      <c r="O399" s="55"/>
      <c r="P399" s="10"/>
      <c r="Q399" s="10"/>
      <c r="R399" s="155"/>
      <c r="S399" s="171"/>
      <c r="T399" s="161"/>
      <c r="U399" s="55"/>
      <c r="V399" s="55"/>
      <c r="W399" s="55"/>
      <c r="X399" s="155"/>
      <c r="Y399" s="171"/>
      <c r="Z399" s="165"/>
      <c r="AA399" s="10"/>
      <c r="AB399" s="55"/>
      <c r="AC399" s="55"/>
      <c r="AD399" s="55"/>
      <c r="AE399" s="55"/>
      <c r="AF399" s="55"/>
      <c r="AG399" s="167"/>
      <c r="AH399" s="55"/>
      <c r="AI399" s="55"/>
      <c r="AJ399" s="165"/>
      <c r="AK399" s="55"/>
      <c r="AL399" s="55"/>
      <c r="AM399" s="55"/>
      <c r="AN399" s="55"/>
      <c r="AO399" s="55"/>
      <c r="AP399" s="55"/>
      <c r="AQ399" s="55"/>
      <c r="AR399" s="55"/>
      <c r="AS399" s="165"/>
      <c r="AT399" s="55"/>
      <c r="AU399" s="55"/>
      <c r="AV399" s="55"/>
      <c r="AW399" s="55"/>
      <c r="AX399" s="55"/>
      <c r="AY399" s="55"/>
      <c r="AZ399" s="55"/>
      <c r="BA399" s="55"/>
      <c r="BB399" s="165"/>
      <c r="BC399" s="55"/>
      <c r="BD399" s="55"/>
      <c r="BE399" s="55"/>
      <c r="BF399" s="165"/>
      <c r="BG399" s="55"/>
      <c r="BH399" s="10"/>
      <c r="BI399" s="55"/>
      <c r="BJ399" s="55"/>
      <c r="BK399" s="55"/>
      <c r="BL399" s="55"/>
      <c r="BT399" s="141"/>
      <c r="CN399" s="141"/>
      <c r="DG399" s="141"/>
    </row>
    <row r="400" spans="1:111" s="93" customFormat="1" x14ac:dyDescent="0.15">
      <c r="A400" s="11"/>
      <c r="B400" s="13"/>
      <c r="C400" s="12"/>
      <c r="D400" s="13"/>
      <c r="E400" s="13"/>
      <c r="F400" s="12"/>
      <c r="G400" s="55"/>
      <c r="H400" s="55"/>
      <c r="I400" s="55"/>
      <c r="J400" s="55"/>
      <c r="K400" s="55"/>
      <c r="L400" s="158"/>
      <c r="M400" s="10"/>
      <c r="N400" s="55"/>
      <c r="O400" s="55"/>
      <c r="P400" s="10"/>
      <c r="Q400" s="10"/>
      <c r="R400" s="155"/>
      <c r="S400" s="171"/>
      <c r="T400" s="161"/>
      <c r="U400" s="55"/>
      <c r="V400" s="55"/>
      <c r="W400" s="55"/>
      <c r="X400" s="155"/>
      <c r="Y400" s="171"/>
      <c r="Z400" s="165"/>
      <c r="AA400" s="10"/>
      <c r="AB400" s="55"/>
      <c r="AC400" s="55"/>
      <c r="AD400" s="55"/>
      <c r="AE400" s="55"/>
      <c r="AF400" s="55"/>
      <c r="AG400" s="167"/>
      <c r="AH400" s="55"/>
      <c r="AI400" s="55"/>
      <c r="AJ400" s="165"/>
      <c r="AK400" s="55"/>
      <c r="AL400" s="55"/>
      <c r="AM400" s="55"/>
      <c r="AN400" s="55"/>
      <c r="AO400" s="55"/>
      <c r="AP400" s="55"/>
      <c r="AQ400" s="55"/>
      <c r="AR400" s="55"/>
      <c r="AS400" s="165"/>
      <c r="AT400" s="55"/>
      <c r="AU400" s="55"/>
      <c r="AV400" s="55"/>
      <c r="AW400" s="55"/>
      <c r="AX400" s="55"/>
      <c r="AY400" s="55"/>
      <c r="AZ400" s="55"/>
      <c r="BA400" s="55"/>
      <c r="BB400" s="165"/>
      <c r="BC400" s="55"/>
      <c r="BD400" s="55"/>
      <c r="BE400" s="55"/>
      <c r="BF400" s="165"/>
      <c r="BG400" s="55"/>
      <c r="BH400" s="10"/>
      <c r="BI400" s="55"/>
      <c r="BJ400" s="55"/>
      <c r="BK400" s="55"/>
      <c r="BL400" s="55"/>
      <c r="BT400" s="141"/>
      <c r="CN400" s="141"/>
      <c r="DG400" s="141"/>
    </row>
    <row r="401" spans="1:111" s="93" customFormat="1" x14ac:dyDescent="0.15">
      <c r="A401" s="11"/>
      <c r="B401" s="13"/>
      <c r="C401" s="12"/>
      <c r="D401" s="13"/>
      <c r="E401" s="13"/>
      <c r="F401" s="12"/>
      <c r="G401" s="55"/>
      <c r="H401" s="55"/>
      <c r="I401" s="55"/>
      <c r="J401" s="55"/>
      <c r="K401" s="55"/>
      <c r="L401" s="158"/>
      <c r="M401" s="10"/>
      <c r="N401" s="55"/>
      <c r="O401" s="55"/>
      <c r="P401" s="10"/>
      <c r="Q401" s="10"/>
      <c r="R401" s="155"/>
      <c r="S401" s="171"/>
      <c r="T401" s="161"/>
      <c r="U401" s="55"/>
      <c r="V401" s="55"/>
      <c r="W401" s="55"/>
      <c r="X401" s="155"/>
      <c r="Y401" s="171"/>
      <c r="Z401" s="165"/>
      <c r="AA401" s="10"/>
      <c r="AB401" s="55"/>
      <c r="AC401" s="55"/>
      <c r="AD401" s="55"/>
      <c r="AE401" s="55"/>
      <c r="AF401" s="55"/>
      <c r="AG401" s="167"/>
      <c r="AH401" s="55"/>
      <c r="AI401" s="55"/>
      <c r="AJ401" s="165"/>
      <c r="AK401" s="55"/>
      <c r="AL401" s="55"/>
      <c r="AM401" s="55"/>
      <c r="AN401" s="55"/>
      <c r="AO401" s="55"/>
      <c r="AP401" s="55"/>
      <c r="AQ401" s="55"/>
      <c r="AR401" s="55"/>
      <c r="AS401" s="165"/>
      <c r="AT401" s="55"/>
      <c r="AU401" s="55"/>
      <c r="AV401" s="55"/>
      <c r="AW401" s="55"/>
      <c r="AX401" s="55"/>
      <c r="AY401" s="55"/>
      <c r="AZ401" s="55"/>
      <c r="BA401" s="55"/>
      <c r="BB401" s="165"/>
      <c r="BC401" s="55"/>
      <c r="BD401" s="55"/>
      <c r="BE401" s="55"/>
      <c r="BF401" s="165"/>
      <c r="BG401" s="55"/>
      <c r="BH401" s="10"/>
      <c r="BI401" s="55"/>
      <c r="BJ401" s="55"/>
      <c r="BK401" s="55"/>
      <c r="BL401" s="55"/>
      <c r="BT401" s="141"/>
      <c r="CN401" s="141"/>
      <c r="DG401" s="141"/>
    </row>
    <row r="402" spans="1:111" s="93" customFormat="1" x14ac:dyDescent="0.15">
      <c r="A402" s="11"/>
      <c r="B402" s="13"/>
      <c r="C402" s="12"/>
      <c r="D402" s="13"/>
      <c r="E402" s="13"/>
      <c r="F402" s="12"/>
      <c r="G402" s="55"/>
      <c r="H402" s="55"/>
      <c r="I402" s="55"/>
      <c r="J402" s="55"/>
      <c r="K402" s="55"/>
      <c r="L402" s="158"/>
      <c r="M402" s="10"/>
      <c r="N402" s="55"/>
      <c r="O402" s="55"/>
      <c r="P402" s="10"/>
      <c r="Q402" s="10"/>
      <c r="R402" s="155"/>
      <c r="S402" s="171"/>
      <c r="T402" s="161"/>
      <c r="U402" s="55"/>
      <c r="V402" s="55"/>
      <c r="W402" s="55"/>
      <c r="X402" s="155"/>
      <c r="Y402" s="171"/>
      <c r="Z402" s="165"/>
      <c r="AA402" s="10"/>
      <c r="AB402" s="55"/>
      <c r="AC402" s="55"/>
      <c r="AD402" s="55"/>
      <c r="AE402" s="55"/>
      <c r="AF402" s="55"/>
      <c r="AG402" s="167"/>
      <c r="AH402" s="55"/>
      <c r="AI402" s="55"/>
      <c r="AJ402" s="165"/>
      <c r="AK402" s="55"/>
      <c r="AL402" s="55"/>
      <c r="AM402" s="55"/>
      <c r="AN402" s="55"/>
      <c r="AO402" s="55"/>
      <c r="AP402" s="55"/>
      <c r="AQ402" s="55"/>
      <c r="AR402" s="55"/>
      <c r="AS402" s="165"/>
      <c r="AT402" s="55"/>
      <c r="AU402" s="55"/>
      <c r="AV402" s="55"/>
      <c r="AW402" s="55"/>
      <c r="AX402" s="55"/>
      <c r="AY402" s="55"/>
      <c r="AZ402" s="55"/>
      <c r="BA402" s="55"/>
      <c r="BB402" s="165"/>
      <c r="BC402" s="55"/>
      <c r="BD402" s="55"/>
      <c r="BE402" s="55"/>
      <c r="BF402" s="165"/>
      <c r="BG402" s="55"/>
      <c r="BH402" s="10"/>
      <c r="BI402" s="55"/>
      <c r="BJ402" s="55"/>
      <c r="BK402" s="55"/>
      <c r="BL402" s="55"/>
      <c r="BT402" s="141"/>
      <c r="CN402" s="141"/>
      <c r="DG402" s="141"/>
    </row>
    <row r="403" spans="1:111" s="93" customFormat="1" x14ac:dyDescent="0.15">
      <c r="A403" s="11"/>
      <c r="B403" s="13"/>
      <c r="C403" s="12"/>
      <c r="D403" s="13"/>
      <c r="E403" s="13"/>
      <c r="F403" s="12"/>
      <c r="G403" s="55"/>
      <c r="H403" s="55"/>
      <c r="I403" s="55"/>
      <c r="J403" s="55"/>
      <c r="K403" s="55"/>
      <c r="L403" s="158"/>
      <c r="M403" s="10"/>
      <c r="N403" s="55"/>
      <c r="O403" s="55"/>
      <c r="P403" s="10"/>
      <c r="Q403" s="10"/>
      <c r="R403" s="155"/>
      <c r="S403" s="171"/>
      <c r="T403" s="161"/>
      <c r="U403" s="55"/>
      <c r="V403" s="55"/>
      <c r="W403" s="55"/>
      <c r="X403" s="155"/>
      <c r="Y403" s="171"/>
      <c r="Z403" s="165"/>
      <c r="AA403" s="10"/>
      <c r="AB403" s="55"/>
      <c r="AC403" s="55"/>
      <c r="AD403" s="55"/>
      <c r="AE403" s="55"/>
      <c r="AF403" s="55"/>
      <c r="AG403" s="167"/>
      <c r="AH403" s="55"/>
      <c r="AI403" s="55"/>
      <c r="AJ403" s="165"/>
      <c r="AK403" s="55"/>
      <c r="AL403" s="55"/>
      <c r="AM403" s="55"/>
      <c r="AN403" s="55"/>
      <c r="AO403" s="55"/>
      <c r="AP403" s="55"/>
      <c r="AQ403" s="55"/>
      <c r="AR403" s="55"/>
      <c r="AS403" s="165"/>
      <c r="AT403" s="55"/>
      <c r="AU403" s="55"/>
      <c r="AV403" s="55"/>
      <c r="AW403" s="55"/>
      <c r="AX403" s="55"/>
      <c r="AY403" s="55"/>
      <c r="AZ403" s="55"/>
      <c r="BA403" s="55"/>
      <c r="BB403" s="165"/>
      <c r="BC403" s="55"/>
      <c r="BD403" s="55"/>
      <c r="BE403" s="55"/>
      <c r="BF403" s="165"/>
      <c r="BG403" s="55"/>
      <c r="BH403" s="10"/>
      <c r="BI403" s="55"/>
      <c r="BJ403" s="55"/>
      <c r="BK403" s="55"/>
      <c r="BL403" s="55"/>
      <c r="BT403" s="141"/>
      <c r="CN403" s="141"/>
      <c r="DG403" s="141"/>
    </row>
    <row r="404" spans="1:111" s="93" customFormat="1" x14ac:dyDescent="0.15">
      <c r="A404" s="11"/>
      <c r="B404" s="13"/>
      <c r="C404" s="12"/>
      <c r="D404" s="13"/>
      <c r="E404" s="13"/>
      <c r="F404" s="12"/>
      <c r="G404" s="55"/>
      <c r="H404" s="55"/>
      <c r="I404" s="55"/>
      <c r="J404" s="55"/>
      <c r="K404" s="55"/>
      <c r="L404" s="158"/>
      <c r="M404" s="10"/>
      <c r="N404" s="55"/>
      <c r="O404" s="55"/>
      <c r="P404" s="10"/>
      <c r="Q404" s="10"/>
      <c r="R404" s="155"/>
      <c r="S404" s="171"/>
      <c r="T404" s="161"/>
      <c r="U404" s="55"/>
      <c r="V404" s="55"/>
      <c r="W404" s="55"/>
      <c r="X404" s="155"/>
      <c r="Y404" s="171"/>
      <c r="Z404" s="165"/>
      <c r="AA404" s="10"/>
      <c r="AB404" s="55"/>
      <c r="AC404" s="55"/>
      <c r="AD404" s="55"/>
      <c r="AE404" s="55"/>
      <c r="AF404" s="55"/>
      <c r="AG404" s="167"/>
      <c r="AH404" s="55"/>
      <c r="AI404" s="55"/>
      <c r="AJ404" s="165"/>
      <c r="AK404" s="55"/>
      <c r="AL404" s="55"/>
      <c r="AM404" s="55"/>
      <c r="AN404" s="55"/>
      <c r="AO404" s="55"/>
      <c r="AP404" s="55"/>
      <c r="AQ404" s="55"/>
      <c r="AR404" s="55"/>
      <c r="AS404" s="165"/>
      <c r="AT404" s="55"/>
      <c r="AU404" s="55"/>
      <c r="AV404" s="55"/>
      <c r="AW404" s="55"/>
      <c r="AX404" s="55"/>
      <c r="AY404" s="55"/>
      <c r="AZ404" s="55"/>
      <c r="BA404" s="55"/>
      <c r="BB404" s="165"/>
      <c r="BC404" s="55"/>
      <c r="BD404" s="55"/>
      <c r="BE404" s="55"/>
      <c r="BF404" s="165"/>
      <c r="BG404" s="55"/>
      <c r="BH404" s="10"/>
      <c r="BI404" s="55"/>
      <c r="BJ404" s="55"/>
      <c r="BK404" s="55"/>
      <c r="BL404" s="55"/>
      <c r="BT404" s="141"/>
      <c r="CN404" s="141"/>
      <c r="DG404" s="141"/>
    </row>
    <row r="405" spans="1:111" s="93" customFormat="1" x14ac:dyDescent="0.15">
      <c r="A405" s="11"/>
      <c r="B405" s="13"/>
      <c r="C405" s="12"/>
      <c r="D405" s="13"/>
      <c r="E405" s="13"/>
      <c r="F405" s="12"/>
      <c r="G405" s="55"/>
      <c r="H405" s="55"/>
      <c r="I405" s="55"/>
      <c r="J405" s="55"/>
      <c r="K405" s="55"/>
      <c r="L405" s="158"/>
      <c r="M405" s="10"/>
      <c r="N405" s="55"/>
      <c r="O405" s="55"/>
      <c r="P405" s="10"/>
      <c r="Q405" s="10"/>
      <c r="R405" s="155"/>
      <c r="S405" s="171"/>
      <c r="T405" s="161"/>
      <c r="U405" s="55"/>
      <c r="V405" s="55"/>
      <c r="W405" s="55"/>
      <c r="X405" s="155"/>
      <c r="Y405" s="171"/>
      <c r="Z405" s="165"/>
      <c r="AA405" s="10"/>
      <c r="AB405" s="55"/>
      <c r="AC405" s="55"/>
      <c r="AD405" s="55"/>
      <c r="AE405" s="55"/>
      <c r="AF405" s="55"/>
      <c r="AG405" s="167"/>
      <c r="AH405" s="55"/>
      <c r="AI405" s="55"/>
      <c r="AJ405" s="165"/>
      <c r="AK405" s="55"/>
      <c r="AL405" s="55"/>
      <c r="AM405" s="55"/>
      <c r="AN405" s="55"/>
      <c r="AO405" s="55"/>
      <c r="AP405" s="55"/>
      <c r="AQ405" s="55"/>
      <c r="AR405" s="55"/>
      <c r="AS405" s="165"/>
      <c r="AT405" s="55"/>
      <c r="AU405" s="55"/>
      <c r="AV405" s="55"/>
      <c r="AW405" s="55"/>
      <c r="AX405" s="55"/>
      <c r="AY405" s="55"/>
      <c r="AZ405" s="55"/>
      <c r="BA405" s="55"/>
      <c r="BB405" s="165"/>
      <c r="BC405" s="55"/>
      <c r="BD405" s="55"/>
      <c r="BE405" s="55"/>
      <c r="BF405" s="165"/>
      <c r="BG405" s="55"/>
      <c r="BH405" s="10"/>
      <c r="BI405" s="55"/>
      <c r="BJ405" s="55"/>
      <c r="BK405" s="55"/>
      <c r="BL405" s="55"/>
      <c r="BT405" s="141"/>
      <c r="CN405" s="141"/>
      <c r="DG405" s="141"/>
    </row>
    <row r="406" spans="1:111" s="93" customFormat="1" x14ac:dyDescent="0.15">
      <c r="A406" s="11"/>
      <c r="B406" s="13"/>
      <c r="C406" s="12"/>
      <c r="D406" s="13"/>
      <c r="E406" s="13"/>
      <c r="F406" s="12"/>
      <c r="G406" s="55"/>
      <c r="H406" s="55"/>
      <c r="I406" s="55"/>
      <c r="J406" s="55"/>
      <c r="K406" s="55"/>
      <c r="L406" s="158"/>
      <c r="M406" s="10"/>
      <c r="N406" s="55"/>
      <c r="O406" s="55"/>
      <c r="P406" s="10"/>
      <c r="Q406" s="10"/>
      <c r="R406" s="155"/>
      <c r="S406" s="171"/>
      <c r="T406" s="161"/>
      <c r="U406" s="55"/>
      <c r="V406" s="55"/>
      <c r="W406" s="55"/>
      <c r="X406" s="155"/>
      <c r="Y406" s="171"/>
      <c r="Z406" s="165"/>
      <c r="AA406" s="10"/>
      <c r="AB406" s="55"/>
      <c r="AC406" s="55"/>
      <c r="AD406" s="55"/>
      <c r="AE406" s="55"/>
      <c r="AF406" s="55"/>
      <c r="AG406" s="167"/>
      <c r="AH406" s="55"/>
      <c r="AI406" s="55"/>
      <c r="AJ406" s="165"/>
      <c r="AK406" s="55"/>
      <c r="AL406" s="55"/>
      <c r="AM406" s="55"/>
      <c r="AN406" s="55"/>
      <c r="AO406" s="55"/>
      <c r="AP406" s="55"/>
      <c r="AQ406" s="55"/>
      <c r="AR406" s="55"/>
      <c r="AS406" s="165"/>
      <c r="AT406" s="55"/>
      <c r="AU406" s="55"/>
      <c r="AV406" s="55"/>
      <c r="AW406" s="55"/>
      <c r="AX406" s="55"/>
      <c r="AY406" s="55"/>
      <c r="AZ406" s="55"/>
      <c r="BA406" s="55"/>
      <c r="BB406" s="165"/>
      <c r="BC406" s="55"/>
      <c r="BD406" s="55"/>
      <c r="BE406" s="55"/>
      <c r="BF406" s="165"/>
      <c r="BG406" s="55"/>
      <c r="BH406" s="10"/>
      <c r="BI406" s="55"/>
      <c r="BJ406" s="55"/>
      <c r="BK406" s="55"/>
      <c r="BL406" s="55"/>
      <c r="BT406" s="141"/>
      <c r="CN406" s="141"/>
      <c r="DG406" s="141"/>
    </row>
    <row r="407" spans="1:111" s="93" customFormat="1" x14ac:dyDescent="0.15">
      <c r="A407" s="11"/>
      <c r="B407" s="13"/>
      <c r="C407" s="12"/>
      <c r="D407" s="13"/>
      <c r="E407" s="13"/>
      <c r="F407" s="12"/>
      <c r="G407" s="55"/>
      <c r="H407" s="55"/>
      <c r="I407" s="55"/>
      <c r="J407" s="55"/>
      <c r="K407" s="55"/>
      <c r="L407" s="158"/>
      <c r="M407" s="10"/>
      <c r="N407" s="55"/>
      <c r="O407" s="55"/>
      <c r="P407" s="10"/>
      <c r="Q407" s="10"/>
      <c r="R407" s="155"/>
      <c r="S407" s="171"/>
      <c r="T407" s="161"/>
      <c r="U407" s="55"/>
      <c r="V407" s="55"/>
      <c r="W407" s="55"/>
      <c r="X407" s="155"/>
      <c r="Y407" s="171"/>
      <c r="Z407" s="165"/>
      <c r="AA407" s="10"/>
      <c r="AB407" s="55"/>
      <c r="AC407" s="55"/>
      <c r="AD407" s="55"/>
      <c r="AE407" s="55"/>
      <c r="AF407" s="55"/>
      <c r="AG407" s="167"/>
      <c r="AH407" s="55"/>
      <c r="AI407" s="55"/>
      <c r="AJ407" s="165"/>
      <c r="AK407" s="55"/>
      <c r="AL407" s="55"/>
      <c r="AM407" s="55"/>
      <c r="AN407" s="55"/>
      <c r="AO407" s="55"/>
      <c r="AP407" s="55"/>
      <c r="AQ407" s="55"/>
      <c r="AR407" s="55"/>
      <c r="AS407" s="165"/>
      <c r="AT407" s="55"/>
      <c r="AU407" s="55"/>
      <c r="AV407" s="55"/>
      <c r="AW407" s="55"/>
      <c r="AX407" s="55"/>
      <c r="AY407" s="55"/>
      <c r="AZ407" s="55"/>
      <c r="BA407" s="55"/>
      <c r="BB407" s="165"/>
      <c r="BC407" s="55"/>
      <c r="BD407" s="55"/>
      <c r="BE407" s="55"/>
      <c r="BF407" s="165"/>
      <c r="BG407" s="55"/>
      <c r="BH407" s="10"/>
      <c r="BI407" s="55"/>
      <c r="BJ407" s="55"/>
      <c r="BK407" s="55"/>
      <c r="BL407" s="55"/>
      <c r="BT407" s="141"/>
      <c r="CN407" s="141"/>
      <c r="DG407" s="141"/>
    </row>
    <row r="408" spans="1:111" s="93" customFormat="1" x14ac:dyDescent="0.15">
      <c r="A408" s="11"/>
      <c r="B408" s="13"/>
      <c r="C408" s="12"/>
      <c r="D408" s="13"/>
      <c r="E408" s="13"/>
      <c r="F408" s="12"/>
      <c r="G408" s="55"/>
      <c r="H408" s="55"/>
      <c r="I408" s="55"/>
      <c r="J408" s="55"/>
      <c r="K408" s="55"/>
      <c r="L408" s="158"/>
      <c r="M408" s="10"/>
      <c r="N408" s="55"/>
      <c r="O408" s="55"/>
      <c r="P408" s="10"/>
      <c r="Q408" s="10"/>
      <c r="R408" s="155"/>
      <c r="S408" s="171"/>
      <c r="T408" s="161"/>
      <c r="U408" s="55"/>
      <c r="V408" s="55"/>
      <c r="W408" s="55"/>
      <c r="X408" s="155"/>
      <c r="Y408" s="171"/>
      <c r="Z408" s="165"/>
      <c r="AA408" s="10"/>
      <c r="AB408" s="55"/>
      <c r="AC408" s="55"/>
      <c r="AD408" s="55"/>
      <c r="AE408" s="55"/>
      <c r="AF408" s="55"/>
      <c r="AG408" s="167"/>
      <c r="AH408" s="55"/>
      <c r="AI408" s="55"/>
      <c r="AJ408" s="165"/>
      <c r="AK408" s="55"/>
      <c r="AL408" s="55"/>
      <c r="AM408" s="55"/>
      <c r="AN408" s="55"/>
      <c r="AO408" s="55"/>
      <c r="AP408" s="55"/>
      <c r="AQ408" s="55"/>
      <c r="AR408" s="55"/>
      <c r="AS408" s="165"/>
      <c r="AT408" s="55"/>
      <c r="AU408" s="55"/>
      <c r="AV408" s="55"/>
      <c r="AW408" s="55"/>
      <c r="AX408" s="55"/>
      <c r="AY408" s="55"/>
      <c r="AZ408" s="55"/>
      <c r="BA408" s="55"/>
      <c r="BB408" s="165"/>
      <c r="BC408" s="55"/>
      <c r="BD408" s="55"/>
      <c r="BE408" s="55"/>
      <c r="BF408" s="165"/>
      <c r="BG408" s="55"/>
      <c r="BH408" s="10"/>
      <c r="BI408" s="55"/>
      <c r="BJ408" s="55"/>
      <c r="BK408" s="55"/>
      <c r="BL408" s="55"/>
      <c r="BT408" s="141"/>
      <c r="CN408" s="141"/>
      <c r="DG408" s="141"/>
    </row>
    <row r="409" spans="1:111" s="93" customFormat="1" x14ac:dyDescent="0.15">
      <c r="A409" s="11"/>
      <c r="B409" s="13"/>
      <c r="C409" s="12"/>
      <c r="D409" s="13"/>
      <c r="E409" s="13"/>
      <c r="F409" s="12"/>
      <c r="G409" s="55"/>
      <c r="H409" s="55"/>
      <c r="I409" s="55"/>
      <c r="J409" s="55"/>
      <c r="K409" s="55"/>
      <c r="L409" s="158"/>
      <c r="M409" s="10"/>
      <c r="N409" s="55"/>
      <c r="O409" s="55"/>
      <c r="P409" s="10"/>
      <c r="Q409" s="10"/>
      <c r="R409" s="155"/>
      <c r="S409" s="171"/>
      <c r="T409" s="161"/>
      <c r="U409" s="55"/>
      <c r="V409" s="55"/>
      <c r="W409" s="55"/>
      <c r="X409" s="155"/>
      <c r="Y409" s="171"/>
      <c r="Z409" s="165"/>
      <c r="AA409" s="10"/>
      <c r="AB409" s="55"/>
      <c r="AC409" s="55"/>
      <c r="AD409" s="55"/>
      <c r="AE409" s="55"/>
      <c r="AF409" s="55"/>
      <c r="AG409" s="167"/>
      <c r="AH409" s="55"/>
      <c r="AI409" s="55"/>
      <c r="AJ409" s="165"/>
      <c r="AK409" s="55"/>
      <c r="AL409" s="55"/>
      <c r="AM409" s="55"/>
      <c r="AN409" s="55"/>
      <c r="AO409" s="55"/>
      <c r="AP409" s="55"/>
      <c r="AQ409" s="55"/>
      <c r="AR409" s="55"/>
      <c r="AS409" s="165"/>
      <c r="AT409" s="55"/>
      <c r="AU409" s="55"/>
      <c r="AV409" s="55"/>
      <c r="AW409" s="55"/>
      <c r="AX409" s="55"/>
      <c r="AY409" s="55"/>
      <c r="AZ409" s="55"/>
      <c r="BA409" s="55"/>
      <c r="BB409" s="165"/>
      <c r="BC409" s="55"/>
      <c r="BD409" s="55"/>
      <c r="BE409" s="55"/>
      <c r="BF409" s="165"/>
      <c r="BG409" s="55"/>
      <c r="BH409" s="10"/>
      <c r="BI409" s="55"/>
      <c r="BJ409" s="55"/>
      <c r="BK409" s="55"/>
      <c r="BL409" s="55"/>
      <c r="BT409" s="141"/>
      <c r="CN409" s="141"/>
      <c r="DG409" s="141"/>
    </row>
    <row r="410" spans="1:111" s="93" customFormat="1" x14ac:dyDescent="0.15">
      <c r="A410" s="11"/>
      <c r="B410" s="13"/>
      <c r="C410" s="12"/>
      <c r="D410" s="13"/>
      <c r="E410" s="13"/>
      <c r="F410" s="12"/>
      <c r="G410" s="55"/>
      <c r="H410" s="55"/>
      <c r="I410" s="55"/>
      <c r="J410" s="55"/>
      <c r="K410" s="55"/>
      <c r="L410" s="158"/>
      <c r="M410" s="10"/>
      <c r="N410" s="55"/>
      <c r="O410" s="55"/>
      <c r="P410" s="10"/>
      <c r="Q410" s="10"/>
      <c r="R410" s="155"/>
      <c r="S410" s="171"/>
      <c r="T410" s="161"/>
      <c r="U410" s="55"/>
      <c r="V410" s="55"/>
      <c r="W410" s="55"/>
      <c r="X410" s="155"/>
      <c r="Y410" s="171"/>
      <c r="Z410" s="165"/>
      <c r="AA410" s="10"/>
      <c r="AB410" s="55"/>
      <c r="AC410" s="55"/>
      <c r="AD410" s="55"/>
      <c r="AE410" s="55"/>
      <c r="AF410" s="55"/>
      <c r="AG410" s="167"/>
      <c r="AH410" s="55"/>
      <c r="AI410" s="55"/>
      <c r="AJ410" s="165"/>
      <c r="AK410" s="55"/>
      <c r="AL410" s="55"/>
      <c r="AM410" s="55"/>
      <c r="AN410" s="55"/>
      <c r="AO410" s="55"/>
      <c r="AP410" s="55"/>
      <c r="AQ410" s="55"/>
      <c r="AR410" s="55"/>
      <c r="AS410" s="165"/>
      <c r="AT410" s="55"/>
      <c r="AU410" s="55"/>
      <c r="AV410" s="55"/>
      <c r="AW410" s="55"/>
      <c r="AX410" s="55"/>
      <c r="AY410" s="55"/>
      <c r="AZ410" s="55"/>
      <c r="BA410" s="55"/>
      <c r="BB410" s="165"/>
      <c r="BC410" s="55"/>
      <c r="BD410" s="55"/>
      <c r="BE410" s="55"/>
      <c r="BF410" s="165"/>
      <c r="BG410" s="55"/>
      <c r="BH410" s="10"/>
      <c r="BI410" s="55"/>
      <c r="BJ410" s="55"/>
      <c r="BK410" s="55"/>
      <c r="BL410" s="55"/>
      <c r="BT410" s="141"/>
      <c r="CN410" s="141"/>
      <c r="DG410" s="141"/>
    </row>
    <row r="411" spans="1:111" s="93" customFormat="1" x14ac:dyDescent="0.15">
      <c r="A411" s="11"/>
      <c r="B411" s="13"/>
      <c r="C411" s="12"/>
      <c r="D411" s="13"/>
      <c r="E411" s="13"/>
      <c r="F411" s="12"/>
      <c r="G411" s="55"/>
      <c r="H411" s="55"/>
      <c r="I411" s="55"/>
      <c r="J411" s="55"/>
      <c r="K411" s="55"/>
      <c r="L411" s="158"/>
      <c r="M411" s="10"/>
      <c r="N411" s="55"/>
      <c r="O411" s="55"/>
      <c r="P411" s="10"/>
      <c r="Q411" s="10"/>
      <c r="R411" s="155"/>
      <c r="S411" s="171"/>
      <c r="T411" s="161"/>
      <c r="U411" s="55"/>
      <c r="V411" s="55"/>
      <c r="W411" s="55"/>
      <c r="X411" s="155"/>
      <c r="Y411" s="171"/>
      <c r="Z411" s="165"/>
      <c r="AA411" s="10"/>
      <c r="AB411" s="55"/>
      <c r="AC411" s="55"/>
      <c r="AD411" s="55"/>
      <c r="AE411" s="55"/>
      <c r="AF411" s="55"/>
      <c r="AG411" s="167"/>
      <c r="AH411" s="55"/>
      <c r="AI411" s="55"/>
      <c r="AJ411" s="165"/>
      <c r="AK411" s="55"/>
      <c r="AL411" s="55"/>
      <c r="AM411" s="55"/>
      <c r="AN411" s="55"/>
      <c r="AO411" s="55"/>
      <c r="AP411" s="55"/>
      <c r="AQ411" s="55"/>
      <c r="AR411" s="55"/>
      <c r="AS411" s="165"/>
      <c r="AT411" s="55"/>
      <c r="AU411" s="55"/>
      <c r="AV411" s="55"/>
      <c r="AW411" s="55"/>
      <c r="AX411" s="55"/>
      <c r="AY411" s="55"/>
      <c r="AZ411" s="55"/>
      <c r="BA411" s="55"/>
      <c r="BB411" s="165"/>
      <c r="BC411" s="55"/>
      <c r="BD411" s="55"/>
      <c r="BE411" s="55"/>
      <c r="BF411" s="165"/>
      <c r="BG411" s="55"/>
      <c r="BH411" s="10"/>
      <c r="BI411" s="55"/>
      <c r="BJ411" s="55"/>
      <c r="BK411" s="55"/>
      <c r="BL411" s="55"/>
      <c r="BT411" s="141"/>
      <c r="CN411" s="141"/>
      <c r="DG411" s="141"/>
    </row>
    <row r="412" spans="1:111" s="93" customFormat="1" x14ac:dyDescent="0.15">
      <c r="A412" s="11"/>
      <c r="B412" s="13"/>
      <c r="C412" s="12"/>
      <c r="D412" s="13"/>
      <c r="E412" s="13"/>
      <c r="F412" s="12"/>
      <c r="G412" s="55"/>
      <c r="H412" s="55"/>
      <c r="I412" s="55"/>
      <c r="J412" s="55"/>
      <c r="K412" s="55"/>
      <c r="L412" s="158"/>
      <c r="M412" s="10"/>
      <c r="N412" s="55"/>
      <c r="O412" s="55"/>
      <c r="P412" s="10"/>
      <c r="Q412" s="10"/>
      <c r="R412" s="155"/>
      <c r="S412" s="171"/>
      <c r="T412" s="161"/>
      <c r="U412" s="55"/>
      <c r="V412" s="55"/>
      <c r="W412" s="55"/>
      <c r="X412" s="155"/>
      <c r="Y412" s="171"/>
      <c r="Z412" s="165"/>
      <c r="AA412" s="10"/>
      <c r="AB412" s="55"/>
      <c r="AC412" s="55"/>
      <c r="AD412" s="55"/>
      <c r="AE412" s="55"/>
      <c r="AF412" s="55"/>
      <c r="AG412" s="167"/>
      <c r="AH412" s="55"/>
      <c r="AI412" s="55"/>
      <c r="AJ412" s="165"/>
      <c r="AK412" s="55"/>
      <c r="AL412" s="55"/>
      <c r="AM412" s="55"/>
      <c r="AN412" s="55"/>
      <c r="AO412" s="55"/>
      <c r="AP412" s="55"/>
      <c r="AQ412" s="55"/>
      <c r="AR412" s="55"/>
      <c r="AS412" s="165"/>
      <c r="AT412" s="55"/>
      <c r="AU412" s="55"/>
      <c r="AV412" s="55"/>
      <c r="AW412" s="55"/>
      <c r="AX412" s="55"/>
      <c r="AY412" s="55"/>
      <c r="AZ412" s="55"/>
      <c r="BA412" s="55"/>
      <c r="BB412" s="165"/>
      <c r="BC412" s="55"/>
      <c r="BD412" s="55"/>
      <c r="BE412" s="55"/>
      <c r="BF412" s="165"/>
      <c r="BG412" s="55"/>
      <c r="BH412" s="10"/>
      <c r="BI412" s="55"/>
      <c r="BJ412" s="55"/>
      <c r="BK412" s="55"/>
      <c r="BL412" s="55"/>
      <c r="BT412" s="141"/>
      <c r="CN412" s="141"/>
      <c r="DG412" s="141"/>
    </row>
    <row r="413" spans="1:111" s="93" customFormat="1" x14ac:dyDescent="0.15">
      <c r="A413" s="11"/>
      <c r="B413" s="13"/>
      <c r="C413" s="12"/>
      <c r="D413" s="13"/>
      <c r="E413" s="13"/>
      <c r="F413" s="12"/>
      <c r="G413" s="55"/>
      <c r="H413" s="55"/>
      <c r="I413" s="55"/>
      <c r="J413" s="55"/>
      <c r="K413" s="55"/>
      <c r="L413" s="158"/>
      <c r="M413" s="10"/>
      <c r="N413" s="55"/>
      <c r="O413" s="55"/>
      <c r="P413" s="10"/>
      <c r="Q413" s="10"/>
      <c r="R413" s="155"/>
      <c r="S413" s="171"/>
      <c r="T413" s="161"/>
      <c r="U413" s="55"/>
      <c r="V413" s="55"/>
      <c r="W413" s="55"/>
      <c r="X413" s="155"/>
      <c r="Y413" s="171"/>
      <c r="Z413" s="165"/>
      <c r="AA413" s="10"/>
      <c r="AB413" s="55"/>
      <c r="AC413" s="55"/>
      <c r="AD413" s="55"/>
      <c r="AE413" s="55"/>
      <c r="AF413" s="55"/>
      <c r="AG413" s="167"/>
      <c r="AH413" s="55"/>
      <c r="AI413" s="55"/>
      <c r="AJ413" s="165"/>
      <c r="AK413" s="55"/>
      <c r="AL413" s="55"/>
      <c r="AM413" s="55"/>
      <c r="AN413" s="55"/>
      <c r="AO413" s="55"/>
      <c r="AP413" s="55"/>
      <c r="AQ413" s="55"/>
      <c r="AR413" s="55"/>
      <c r="AS413" s="165"/>
      <c r="AT413" s="55"/>
      <c r="AU413" s="55"/>
      <c r="AV413" s="55"/>
      <c r="AW413" s="55"/>
      <c r="AX413" s="55"/>
      <c r="AY413" s="55"/>
      <c r="AZ413" s="55"/>
      <c r="BA413" s="55"/>
      <c r="BB413" s="165"/>
      <c r="BC413" s="55"/>
      <c r="BD413" s="55"/>
      <c r="BE413" s="55"/>
      <c r="BF413" s="165"/>
      <c r="BG413" s="55"/>
      <c r="BH413" s="10"/>
      <c r="BI413" s="55"/>
      <c r="BJ413" s="55"/>
      <c r="BK413" s="55"/>
      <c r="BL413" s="55"/>
      <c r="BT413" s="141"/>
      <c r="CN413" s="141"/>
      <c r="DG413" s="141"/>
    </row>
    <row r="414" spans="1:111" s="93" customFormat="1" x14ac:dyDescent="0.15">
      <c r="A414" s="11"/>
      <c r="B414" s="13"/>
      <c r="C414" s="12"/>
      <c r="D414" s="13"/>
      <c r="E414" s="13"/>
      <c r="F414" s="12"/>
      <c r="G414" s="55"/>
      <c r="H414" s="55"/>
      <c r="I414" s="55"/>
      <c r="J414" s="55"/>
      <c r="K414" s="55"/>
      <c r="L414" s="158"/>
      <c r="M414" s="10"/>
      <c r="N414" s="55"/>
      <c r="O414" s="55"/>
      <c r="P414" s="10"/>
      <c r="Q414" s="10"/>
      <c r="R414" s="155"/>
      <c r="S414" s="171"/>
      <c r="T414" s="161"/>
      <c r="U414" s="55"/>
      <c r="V414" s="55"/>
      <c r="W414" s="55"/>
      <c r="X414" s="155"/>
      <c r="Y414" s="171"/>
      <c r="Z414" s="165"/>
      <c r="AA414" s="10"/>
      <c r="AB414" s="55"/>
      <c r="AC414" s="55"/>
      <c r="AD414" s="55"/>
      <c r="AE414" s="55"/>
      <c r="AF414" s="55"/>
      <c r="AG414" s="167"/>
      <c r="AH414" s="55"/>
      <c r="AI414" s="55"/>
      <c r="AJ414" s="165"/>
      <c r="AK414" s="55"/>
      <c r="AL414" s="55"/>
      <c r="AM414" s="55"/>
      <c r="AN414" s="55"/>
      <c r="AO414" s="55"/>
      <c r="AP414" s="55"/>
      <c r="AQ414" s="55"/>
      <c r="AR414" s="55"/>
      <c r="AS414" s="165"/>
      <c r="AT414" s="55"/>
      <c r="AU414" s="55"/>
      <c r="AV414" s="55"/>
      <c r="AW414" s="55"/>
      <c r="AX414" s="55"/>
      <c r="AY414" s="55"/>
      <c r="AZ414" s="55"/>
      <c r="BA414" s="55"/>
      <c r="BB414" s="165"/>
      <c r="BC414" s="55"/>
      <c r="BD414" s="55"/>
      <c r="BE414" s="55"/>
      <c r="BF414" s="165"/>
      <c r="BG414" s="55"/>
      <c r="BH414" s="10"/>
      <c r="BI414" s="55"/>
      <c r="BJ414" s="55"/>
      <c r="BK414" s="55"/>
      <c r="BL414" s="55"/>
      <c r="BT414" s="141"/>
      <c r="CN414" s="141"/>
      <c r="DG414" s="141"/>
    </row>
    <row r="415" spans="1:111" s="93" customFormat="1" x14ac:dyDescent="0.15">
      <c r="A415" s="11"/>
      <c r="B415" s="13"/>
      <c r="C415" s="12"/>
      <c r="D415" s="13"/>
      <c r="E415" s="13"/>
      <c r="F415" s="12"/>
      <c r="G415" s="55"/>
      <c r="H415" s="55"/>
      <c r="I415" s="55"/>
      <c r="J415" s="55"/>
      <c r="K415" s="55"/>
      <c r="L415" s="158"/>
      <c r="M415" s="10"/>
      <c r="N415" s="55"/>
      <c r="O415" s="55"/>
      <c r="P415" s="10"/>
      <c r="Q415" s="10"/>
      <c r="R415" s="155"/>
      <c r="S415" s="171"/>
      <c r="T415" s="161"/>
      <c r="U415" s="55"/>
      <c r="V415" s="55"/>
      <c r="W415" s="55"/>
      <c r="X415" s="155"/>
      <c r="Y415" s="171"/>
      <c r="Z415" s="165"/>
      <c r="AA415" s="10"/>
      <c r="AB415" s="55"/>
      <c r="AC415" s="55"/>
      <c r="AD415" s="55"/>
      <c r="AE415" s="55"/>
      <c r="AF415" s="55"/>
      <c r="AG415" s="167"/>
      <c r="AH415" s="55"/>
      <c r="AI415" s="55"/>
      <c r="AJ415" s="165"/>
      <c r="AK415" s="55"/>
      <c r="AL415" s="55"/>
      <c r="AM415" s="55"/>
      <c r="AN415" s="55"/>
      <c r="AO415" s="55"/>
      <c r="AP415" s="55"/>
      <c r="AQ415" s="55"/>
      <c r="AR415" s="55"/>
      <c r="AS415" s="165"/>
      <c r="AT415" s="55"/>
      <c r="AU415" s="55"/>
      <c r="AV415" s="55"/>
      <c r="AW415" s="55"/>
      <c r="AX415" s="55"/>
      <c r="AY415" s="55"/>
      <c r="AZ415" s="55"/>
      <c r="BA415" s="55"/>
      <c r="BB415" s="165"/>
      <c r="BC415" s="55"/>
      <c r="BD415" s="55"/>
      <c r="BE415" s="55"/>
      <c r="BF415" s="165"/>
      <c r="BG415" s="55"/>
      <c r="BH415" s="10"/>
      <c r="BI415" s="55"/>
      <c r="BJ415" s="55"/>
      <c r="BK415" s="55"/>
      <c r="BL415" s="55"/>
      <c r="BT415" s="141"/>
      <c r="CN415" s="141"/>
      <c r="DG415" s="141"/>
    </row>
    <row r="416" spans="1:111" s="93" customFormat="1" x14ac:dyDescent="0.15">
      <c r="A416" s="11"/>
      <c r="B416" s="13"/>
      <c r="C416" s="12"/>
      <c r="D416" s="13"/>
      <c r="E416" s="13"/>
      <c r="F416" s="12"/>
      <c r="G416" s="55"/>
      <c r="H416" s="55"/>
      <c r="I416" s="55"/>
      <c r="J416" s="55"/>
      <c r="K416" s="55"/>
      <c r="L416" s="158"/>
      <c r="M416" s="10"/>
      <c r="N416" s="55"/>
      <c r="O416" s="55"/>
      <c r="P416" s="10"/>
      <c r="Q416" s="10"/>
      <c r="R416" s="155"/>
      <c r="S416" s="171"/>
      <c r="T416" s="161"/>
      <c r="U416" s="55"/>
      <c r="V416" s="55"/>
      <c r="W416" s="55"/>
      <c r="X416" s="155"/>
      <c r="Y416" s="171"/>
      <c r="Z416" s="165"/>
      <c r="AA416" s="10"/>
      <c r="AB416" s="55"/>
      <c r="AC416" s="55"/>
      <c r="AD416" s="55"/>
      <c r="AE416" s="55"/>
      <c r="AF416" s="55"/>
      <c r="AG416" s="167"/>
      <c r="AH416" s="55"/>
      <c r="AI416" s="55"/>
      <c r="AJ416" s="165"/>
      <c r="AK416" s="55"/>
      <c r="AL416" s="55"/>
      <c r="AM416" s="55"/>
      <c r="AN416" s="55"/>
      <c r="AO416" s="55"/>
      <c r="AP416" s="55"/>
      <c r="AQ416" s="55"/>
      <c r="AR416" s="55"/>
      <c r="AS416" s="165"/>
      <c r="AT416" s="55"/>
      <c r="AU416" s="55"/>
      <c r="AV416" s="55"/>
      <c r="AW416" s="55"/>
      <c r="AX416" s="55"/>
      <c r="AY416" s="55"/>
      <c r="AZ416" s="55"/>
      <c r="BA416" s="55"/>
      <c r="BB416" s="165"/>
      <c r="BC416" s="55"/>
      <c r="BD416" s="55"/>
      <c r="BE416" s="55"/>
      <c r="BF416" s="165"/>
      <c r="BG416" s="55"/>
      <c r="BH416" s="10"/>
      <c r="BI416" s="55"/>
      <c r="BJ416" s="55"/>
      <c r="BK416" s="55"/>
      <c r="BL416" s="55"/>
      <c r="BT416" s="141"/>
      <c r="CN416" s="141"/>
      <c r="DG416" s="141"/>
    </row>
    <row r="417" spans="1:111" s="93" customFormat="1" x14ac:dyDescent="0.15">
      <c r="A417" s="11"/>
      <c r="B417" s="13"/>
      <c r="C417" s="12"/>
      <c r="D417" s="13"/>
      <c r="E417" s="13"/>
      <c r="F417" s="12"/>
      <c r="G417" s="55"/>
      <c r="H417" s="55"/>
      <c r="I417" s="55"/>
      <c r="J417" s="55"/>
      <c r="K417" s="55"/>
      <c r="L417" s="158"/>
      <c r="M417" s="10"/>
      <c r="N417" s="55"/>
      <c r="O417" s="55"/>
      <c r="P417" s="10"/>
      <c r="Q417" s="10"/>
      <c r="R417" s="155"/>
      <c r="S417" s="171"/>
      <c r="T417" s="161"/>
      <c r="U417" s="55"/>
      <c r="V417" s="55"/>
      <c r="W417" s="55"/>
      <c r="X417" s="155"/>
      <c r="Y417" s="171"/>
      <c r="Z417" s="165"/>
      <c r="AA417" s="10"/>
      <c r="AB417" s="55"/>
      <c r="AC417" s="55"/>
      <c r="AD417" s="55"/>
      <c r="AE417" s="55"/>
      <c r="AF417" s="55"/>
      <c r="AG417" s="167"/>
      <c r="AH417" s="55"/>
      <c r="AI417" s="55"/>
      <c r="AJ417" s="165"/>
      <c r="AK417" s="55"/>
      <c r="AL417" s="55"/>
      <c r="AM417" s="55"/>
      <c r="AN417" s="55"/>
      <c r="AO417" s="55"/>
      <c r="AP417" s="55"/>
      <c r="AQ417" s="55"/>
      <c r="AR417" s="55"/>
      <c r="AS417" s="165"/>
      <c r="AT417" s="55"/>
      <c r="AU417" s="55"/>
      <c r="AV417" s="55"/>
      <c r="AW417" s="55"/>
      <c r="AX417" s="55"/>
      <c r="AY417" s="55"/>
      <c r="AZ417" s="55"/>
      <c r="BA417" s="55"/>
      <c r="BB417" s="165"/>
      <c r="BC417" s="55"/>
      <c r="BD417" s="55"/>
      <c r="BE417" s="55"/>
      <c r="BF417" s="165"/>
      <c r="BG417" s="55"/>
      <c r="BH417" s="10"/>
      <c r="BI417" s="55"/>
      <c r="BJ417" s="55"/>
      <c r="BK417" s="55"/>
      <c r="BL417" s="55"/>
      <c r="BT417" s="141"/>
      <c r="CN417" s="141"/>
      <c r="DG417" s="141"/>
    </row>
    <row r="418" spans="1:111" s="93" customFormat="1" x14ac:dyDescent="0.15">
      <c r="A418" s="11"/>
      <c r="B418" s="13"/>
      <c r="C418" s="12"/>
      <c r="D418" s="13"/>
      <c r="E418" s="13"/>
      <c r="F418" s="12"/>
      <c r="G418" s="55"/>
      <c r="H418" s="55"/>
      <c r="I418" s="55"/>
      <c r="J418" s="55"/>
      <c r="K418" s="55"/>
      <c r="L418" s="158"/>
      <c r="M418" s="10"/>
      <c r="N418" s="55"/>
      <c r="O418" s="55"/>
      <c r="P418" s="10"/>
      <c r="Q418" s="10"/>
      <c r="R418" s="155"/>
      <c r="S418" s="171"/>
      <c r="T418" s="161"/>
      <c r="U418" s="55"/>
      <c r="V418" s="55"/>
      <c r="W418" s="55"/>
      <c r="X418" s="155"/>
      <c r="Y418" s="171"/>
      <c r="Z418" s="165"/>
      <c r="AA418" s="10"/>
      <c r="AB418" s="55"/>
      <c r="AC418" s="55"/>
      <c r="AD418" s="55"/>
      <c r="AE418" s="55"/>
      <c r="AF418" s="55"/>
      <c r="AG418" s="167"/>
      <c r="AH418" s="55"/>
      <c r="AI418" s="55"/>
      <c r="AJ418" s="165"/>
      <c r="AK418" s="55"/>
      <c r="AL418" s="55"/>
      <c r="AM418" s="55"/>
      <c r="AN418" s="55"/>
      <c r="AO418" s="55"/>
      <c r="AP418" s="55"/>
      <c r="AQ418" s="55"/>
      <c r="AR418" s="55"/>
      <c r="AS418" s="165"/>
      <c r="AT418" s="55"/>
      <c r="AU418" s="55"/>
      <c r="AV418" s="55"/>
      <c r="AW418" s="55"/>
      <c r="AX418" s="55"/>
      <c r="AY418" s="55"/>
      <c r="AZ418" s="55"/>
      <c r="BA418" s="55"/>
      <c r="BB418" s="165"/>
      <c r="BC418" s="55"/>
      <c r="BD418" s="55"/>
      <c r="BE418" s="55"/>
      <c r="BF418" s="165"/>
      <c r="BG418" s="55"/>
      <c r="BH418" s="10"/>
      <c r="BI418" s="55"/>
      <c r="BJ418" s="55"/>
      <c r="BK418" s="55"/>
      <c r="BL418" s="55"/>
      <c r="BT418" s="141"/>
      <c r="CN418" s="141"/>
      <c r="DG418" s="141"/>
    </row>
    <row r="419" spans="1:111" s="93" customFormat="1" x14ac:dyDescent="0.15">
      <c r="A419" s="11"/>
      <c r="B419" s="13"/>
      <c r="C419" s="12"/>
      <c r="D419" s="13"/>
      <c r="E419" s="13"/>
      <c r="F419" s="12"/>
      <c r="G419" s="55"/>
      <c r="H419" s="55"/>
      <c r="I419" s="55"/>
      <c r="J419" s="55"/>
      <c r="K419" s="55"/>
      <c r="L419" s="158"/>
      <c r="M419" s="10"/>
      <c r="N419" s="55"/>
      <c r="O419" s="55"/>
      <c r="P419" s="10"/>
      <c r="Q419" s="10"/>
      <c r="R419" s="155"/>
      <c r="S419" s="171"/>
      <c r="T419" s="161"/>
      <c r="U419" s="55"/>
      <c r="V419" s="55"/>
      <c r="W419" s="55"/>
      <c r="X419" s="155"/>
      <c r="Y419" s="171"/>
      <c r="Z419" s="165"/>
      <c r="AA419" s="10"/>
      <c r="AB419" s="55"/>
      <c r="AC419" s="55"/>
      <c r="AD419" s="55"/>
      <c r="AE419" s="55"/>
      <c r="AF419" s="55"/>
      <c r="AG419" s="167"/>
      <c r="AH419" s="55"/>
      <c r="AI419" s="55"/>
      <c r="AJ419" s="165"/>
      <c r="AK419" s="55"/>
      <c r="AL419" s="55"/>
      <c r="AM419" s="55"/>
      <c r="AN419" s="55"/>
      <c r="AO419" s="55"/>
      <c r="AP419" s="55"/>
      <c r="AQ419" s="55"/>
      <c r="AR419" s="55"/>
      <c r="AS419" s="165"/>
      <c r="AT419" s="55"/>
      <c r="AU419" s="55"/>
      <c r="AV419" s="55"/>
      <c r="AW419" s="55"/>
      <c r="AX419" s="55"/>
      <c r="AY419" s="55"/>
      <c r="AZ419" s="55"/>
      <c r="BA419" s="55"/>
      <c r="BB419" s="165"/>
      <c r="BC419" s="55"/>
      <c r="BD419" s="55"/>
      <c r="BE419" s="55"/>
      <c r="BF419" s="165"/>
      <c r="BG419" s="55"/>
      <c r="BH419" s="10"/>
      <c r="BI419" s="55"/>
      <c r="BJ419" s="55"/>
      <c r="BK419" s="55"/>
      <c r="BL419" s="55"/>
      <c r="BT419" s="141"/>
      <c r="CN419" s="141"/>
      <c r="DG419" s="141"/>
    </row>
    <row r="420" spans="1:111" s="93" customFormat="1" x14ac:dyDescent="0.15">
      <c r="A420" s="11"/>
      <c r="B420" s="13"/>
      <c r="C420" s="12"/>
      <c r="D420" s="13"/>
      <c r="E420" s="13"/>
      <c r="F420" s="12"/>
      <c r="G420" s="55"/>
      <c r="H420" s="55"/>
      <c r="I420" s="55"/>
      <c r="J420" s="55"/>
      <c r="K420" s="55"/>
      <c r="L420" s="158"/>
      <c r="M420" s="10"/>
      <c r="N420" s="55"/>
      <c r="O420" s="55"/>
      <c r="P420" s="10"/>
      <c r="Q420" s="10"/>
      <c r="R420" s="155"/>
      <c r="S420" s="171"/>
      <c r="T420" s="161"/>
      <c r="U420" s="55"/>
      <c r="V420" s="55"/>
      <c r="W420" s="55"/>
      <c r="X420" s="155"/>
      <c r="Y420" s="171"/>
      <c r="Z420" s="165"/>
      <c r="AA420" s="10"/>
      <c r="AB420" s="55"/>
      <c r="AC420" s="55"/>
      <c r="AD420" s="55"/>
      <c r="AE420" s="55"/>
      <c r="AF420" s="55"/>
      <c r="AG420" s="167"/>
      <c r="AH420" s="55"/>
      <c r="AI420" s="55"/>
      <c r="AJ420" s="165"/>
      <c r="AK420" s="55"/>
      <c r="AL420" s="55"/>
      <c r="AM420" s="55"/>
      <c r="AN420" s="55"/>
      <c r="AO420" s="55"/>
      <c r="AP420" s="55"/>
      <c r="AQ420" s="55"/>
      <c r="AR420" s="55"/>
      <c r="AS420" s="165"/>
      <c r="AT420" s="55"/>
      <c r="AU420" s="55"/>
      <c r="AV420" s="55"/>
      <c r="AW420" s="55"/>
      <c r="AX420" s="55"/>
      <c r="AY420" s="55"/>
      <c r="AZ420" s="55"/>
      <c r="BA420" s="55"/>
      <c r="BB420" s="165"/>
      <c r="BC420" s="55"/>
      <c r="BD420" s="55"/>
      <c r="BE420" s="55"/>
      <c r="BF420" s="165"/>
      <c r="BG420" s="55"/>
      <c r="BH420" s="10"/>
      <c r="BI420" s="55"/>
      <c r="BJ420" s="55"/>
      <c r="BK420" s="55"/>
      <c r="BL420" s="55"/>
      <c r="BT420" s="141"/>
      <c r="CN420" s="141"/>
      <c r="DG420" s="141"/>
    </row>
    <row r="421" spans="1:111" s="93" customFormat="1" x14ac:dyDescent="0.15">
      <c r="A421" s="11"/>
      <c r="B421" s="13"/>
      <c r="C421" s="12"/>
      <c r="D421" s="13"/>
      <c r="E421" s="13"/>
      <c r="F421" s="12"/>
      <c r="G421" s="55"/>
      <c r="H421" s="55"/>
      <c r="I421" s="55"/>
      <c r="J421" s="55"/>
      <c r="K421" s="55"/>
      <c r="L421" s="158"/>
      <c r="M421" s="10"/>
      <c r="N421" s="55"/>
      <c r="O421" s="55"/>
      <c r="P421" s="10"/>
      <c r="Q421" s="10"/>
      <c r="R421" s="155"/>
      <c r="S421" s="171"/>
      <c r="T421" s="161"/>
      <c r="U421" s="55"/>
      <c r="V421" s="55"/>
      <c r="W421" s="55"/>
      <c r="X421" s="155"/>
      <c r="Y421" s="171"/>
      <c r="Z421" s="165"/>
      <c r="AA421" s="10"/>
      <c r="AB421" s="55"/>
      <c r="AC421" s="55"/>
      <c r="AD421" s="55"/>
      <c r="AE421" s="55"/>
      <c r="AF421" s="55"/>
      <c r="AG421" s="167"/>
      <c r="AH421" s="55"/>
      <c r="AI421" s="55"/>
      <c r="AJ421" s="165"/>
      <c r="AK421" s="55"/>
      <c r="AL421" s="55"/>
      <c r="AM421" s="55"/>
      <c r="AN421" s="55"/>
      <c r="AO421" s="55"/>
      <c r="AP421" s="55"/>
      <c r="AQ421" s="55"/>
      <c r="AR421" s="55"/>
      <c r="AS421" s="165"/>
      <c r="AT421" s="55"/>
      <c r="AU421" s="55"/>
      <c r="AV421" s="55"/>
      <c r="AW421" s="55"/>
      <c r="AX421" s="55"/>
      <c r="AY421" s="55"/>
      <c r="AZ421" s="55"/>
      <c r="BA421" s="55"/>
      <c r="BB421" s="165"/>
      <c r="BC421" s="55"/>
      <c r="BD421" s="55"/>
      <c r="BE421" s="55"/>
      <c r="BF421" s="165"/>
      <c r="BG421" s="55"/>
      <c r="BH421" s="10"/>
      <c r="BI421" s="55"/>
      <c r="BJ421" s="55"/>
      <c r="BK421" s="55"/>
      <c r="BL421" s="55"/>
      <c r="BT421" s="141"/>
      <c r="CN421" s="141"/>
      <c r="DG421" s="141"/>
    </row>
    <row r="422" spans="1:111" s="93" customFormat="1" x14ac:dyDescent="0.15">
      <c r="A422" s="11"/>
      <c r="B422" s="13"/>
      <c r="C422" s="12"/>
      <c r="D422" s="13"/>
      <c r="E422" s="13"/>
      <c r="F422" s="12"/>
      <c r="G422" s="55"/>
      <c r="H422" s="55"/>
      <c r="I422" s="55"/>
      <c r="J422" s="55"/>
      <c r="K422" s="55"/>
      <c r="L422" s="158"/>
      <c r="M422" s="10"/>
      <c r="N422" s="55"/>
      <c r="O422" s="55"/>
      <c r="P422" s="10"/>
      <c r="Q422" s="10"/>
      <c r="R422" s="155"/>
      <c r="S422" s="171"/>
      <c r="T422" s="161"/>
      <c r="U422" s="55"/>
      <c r="V422" s="55"/>
      <c r="W422" s="55"/>
      <c r="X422" s="155"/>
      <c r="Y422" s="171"/>
      <c r="Z422" s="165"/>
      <c r="AA422" s="10"/>
      <c r="AB422" s="55"/>
      <c r="AC422" s="55"/>
      <c r="AD422" s="55"/>
      <c r="AE422" s="55"/>
      <c r="AF422" s="55"/>
      <c r="AG422" s="167"/>
      <c r="AH422" s="55"/>
      <c r="AI422" s="55"/>
      <c r="AJ422" s="165"/>
      <c r="AK422" s="55"/>
      <c r="AL422" s="55"/>
      <c r="AM422" s="55"/>
      <c r="AN422" s="55"/>
      <c r="AO422" s="55"/>
      <c r="AP422" s="55"/>
      <c r="AQ422" s="55"/>
      <c r="AR422" s="55"/>
      <c r="AS422" s="165"/>
      <c r="AT422" s="55"/>
      <c r="AU422" s="55"/>
      <c r="AV422" s="55"/>
      <c r="AW422" s="55"/>
      <c r="AX422" s="55"/>
      <c r="AY422" s="55"/>
      <c r="AZ422" s="55"/>
      <c r="BA422" s="55"/>
      <c r="BB422" s="165"/>
      <c r="BC422" s="55"/>
      <c r="BD422" s="55"/>
      <c r="BE422" s="55"/>
      <c r="BF422" s="165"/>
      <c r="BG422" s="55"/>
      <c r="BH422" s="10"/>
      <c r="BI422" s="55"/>
      <c r="BJ422" s="55"/>
      <c r="BK422" s="55"/>
      <c r="BL422" s="55"/>
      <c r="BT422" s="141"/>
      <c r="CN422" s="141"/>
      <c r="DG422" s="141"/>
    </row>
    <row r="423" spans="1:111" s="93" customFormat="1" x14ac:dyDescent="0.15">
      <c r="A423" s="11"/>
      <c r="B423" s="13"/>
      <c r="C423" s="12"/>
      <c r="D423" s="13"/>
      <c r="E423" s="13"/>
      <c r="F423" s="12"/>
      <c r="G423" s="55"/>
      <c r="H423" s="55"/>
      <c r="I423" s="55"/>
      <c r="J423" s="55"/>
      <c r="K423" s="55"/>
      <c r="L423" s="158"/>
      <c r="M423" s="10"/>
      <c r="N423" s="55"/>
      <c r="O423" s="55"/>
      <c r="P423" s="10"/>
      <c r="Q423" s="10"/>
      <c r="R423" s="155"/>
      <c r="S423" s="171"/>
      <c r="T423" s="161"/>
      <c r="U423" s="55"/>
      <c r="V423" s="55"/>
      <c r="W423" s="55"/>
      <c r="X423" s="155"/>
      <c r="Y423" s="171"/>
      <c r="Z423" s="165"/>
      <c r="AA423" s="10"/>
      <c r="AB423" s="55"/>
      <c r="AC423" s="55"/>
      <c r="AD423" s="55"/>
      <c r="AE423" s="55"/>
      <c r="AF423" s="55"/>
      <c r="AG423" s="167"/>
      <c r="AH423" s="55"/>
      <c r="AI423" s="55"/>
      <c r="AJ423" s="165"/>
      <c r="AK423" s="55"/>
      <c r="AL423" s="55"/>
      <c r="AM423" s="55"/>
      <c r="AN423" s="55"/>
      <c r="AO423" s="55"/>
      <c r="AP423" s="55"/>
      <c r="AQ423" s="55"/>
      <c r="AR423" s="55"/>
      <c r="AS423" s="165"/>
      <c r="AT423" s="55"/>
      <c r="AU423" s="55"/>
      <c r="AV423" s="55"/>
      <c r="AW423" s="55"/>
      <c r="AX423" s="55"/>
      <c r="AY423" s="55"/>
      <c r="AZ423" s="55"/>
      <c r="BA423" s="55"/>
      <c r="BB423" s="165"/>
      <c r="BC423" s="55"/>
      <c r="BD423" s="55"/>
      <c r="BE423" s="55"/>
      <c r="BF423" s="165"/>
      <c r="BG423" s="55"/>
      <c r="BH423" s="10"/>
      <c r="BI423" s="55"/>
      <c r="BJ423" s="55"/>
      <c r="BK423" s="55"/>
      <c r="BL423" s="55"/>
      <c r="BT423" s="141"/>
      <c r="CN423" s="141"/>
      <c r="DG423" s="141"/>
    </row>
    <row r="424" spans="1:111" s="93" customFormat="1" x14ac:dyDescent="0.15">
      <c r="A424" s="11"/>
      <c r="B424" s="13"/>
      <c r="C424" s="12"/>
      <c r="D424" s="13"/>
      <c r="E424" s="13"/>
      <c r="F424" s="12"/>
      <c r="G424" s="55"/>
      <c r="H424" s="55"/>
      <c r="I424" s="55"/>
      <c r="J424" s="55"/>
      <c r="K424" s="55"/>
      <c r="L424" s="158"/>
      <c r="M424" s="10"/>
      <c r="N424" s="55"/>
      <c r="O424" s="55"/>
      <c r="P424" s="10"/>
      <c r="Q424" s="10"/>
      <c r="R424" s="155"/>
      <c r="S424" s="171"/>
      <c r="T424" s="161"/>
      <c r="U424" s="55"/>
      <c r="V424" s="55"/>
      <c r="W424" s="55"/>
      <c r="X424" s="155"/>
      <c r="Y424" s="171"/>
      <c r="Z424" s="165"/>
      <c r="AA424" s="10"/>
      <c r="AB424" s="55"/>
      <c r="AC424" s="55"/>
      <c r="AD424" s="55"/>
      <c r="AE424" s="55"/>
      <c r="AF424" s="55"/>
      <c r="AG424" s="167"/>
      <c r="AH424" s="55"/>
      <c r="AI424" s="55"/>
      <c r="AJ424" s="165"/>
      <c r="AK424" s="55"/>
      <c r="AL424" s="55"/>
      <c r="AM424" s="55"/>
      <c r="AN424" s="55"/>
      <c r="AO424" s="55"/>
      <c r="AP424" s="55"/>
      <c r="AQ424" s="55"/>
      <c r="AR424" s="55"/>
      <c r="AS424" s="165"/>
      <c r="AT424" s="55"/>
      <c r="AU424" s="55"/>
      <c r="AV424" s="55"/>
      <c r="AW424" s="55"/>
      <c r="AX424" s="55"/>
      <c r="AY424" s="55"/>
      <c r="AZ424" s="55"/>
      <c r="BA424" s="55"/>
      <c r="BB424" s="165"/>
      <c r="BC424" s="55"/>
      <c r="BD424" s="55"/>
      <c r="BE424" s="55"/>
      <c r="BF424" s="165"/>
      <c r="BG424" s="55"/>
      <c r="BH424" s="10"/>
      <c r="BI424" s="55"/>
      <c r="BJ424" s="55"/>
      <c r="BK424" s="55"/>
      <c r="BL424" s="55"/>
      <c r="BT424" s="141"/>
      <c r="CN424" s="141"/>
      <c r="DG424" s="141"/>
    </row>
    <row r="425" spans="1:111" s="93" customFormat="1" x14ac:dyDescent="0.15">
      <c r="A425" s="11"/>
      <c r="B425" s="13"/>
      <c r="C425" s="12"/>
      <c r="D425" s="13"/>
      <c r="E425" s="13"/>
      <c r="F425" s="12"/>
      <c r="G425" s="55"/>
      <c r="H425" s="55"/>
      <c r="I425" s="55"/>
      <c r="J425" s="55"/>
      <c r="K425" s="55"/>
      <c r="L425" s="158"/>
      <c r="M425" s="10"/>
      <c r="N425" s="55"/>
      <c r="O425" s="55"/>
      <c r="P425" s="10"/>
      <c r="Q425" s="10"/>
      <c r="R425" s="155"/>
      <c r="S425" s="171"/>
      <c r="T425" s="161"/>
      <c r="U425" s="55"/>
      <c r="V425" s="55"/>
      <c r="W425" s="55"/>
      <c r="X425" s="155"/>
      <c r="Y425" s="171"/>
      <c r="Z425" s="165"/>
      <c r="AA425" s="10"/>
      <c r="AB425" s="55"/>
      <c r="AC425" s="55"/>
      <c r="AD425" s="55"/>
      <c r="AE425" s="55"/>
      <c r="AF425" s="55"/>
      <c r="AG425" s="167"/>
      <c r="AH425" s="55"/>
      <c r="AI425" s="55"/>
      <c r="AJ425" s="165"/>
      <c r="AK425" s="55"/>
      <c r="AL425" s="55"/>
      <c r="AM425" s="55"/>
      <c r="AN425" s="55"/>
      <c r="AO425" s="55"/>
      <c r="AP425" s="55"/>
      <c r="AQ425" s="55"/>
      <c r="AR425" s="55"/>
      <c r="AS425" s="165"/>
      <c r="AT425" s="55"/>
      <c r="AU425" s="55"/>
      <c r="AV425" s="55"/>
      <c r="AW425" s="55"/>
      <c r="AX425" s="55"/>
      <c r="AY425" s="55"/>
      <c r="AZ425" s="55"/>
      <c r="BA425" s="55"/>
      <c r="BB425" s="165"/>
      <c r="BC425" s="55"/>
      <c r="BD425" s="55"/>
      <c r="BE425" s="55"/>
      <c r="BF425" s="165"/>
      <c r="BG425" s="55"/>
      <c r="BH425" s="10"/>
      <c r="BI425" s="55"/>
      <c r="BJ425" s="55"/>
      <c r="BK425" s="55"/>
      <c r="BL425" s="55"/>
      <c r="BT425" s="141"/>
      <c r="CN425" s="141"/>
      <c r="DG425" s="141"/>
    </row>
    <row r="426" spans="1:111" s="93" customFormat="1" x14ac:dyDescent="0.15">
      <c r="A426" s="11"/>
      <c r="B426" s="13"/>
      <c r="C426" s="12"/>
      <c r="D426" s="13"/>
      <c r="E426" s="13"/>
      <c r="F426" s="12"/>
      <c r="G426" s="55"/>
      <c r="H426" s="55"/>
      <c r="I426" s="55"/>
      <c r="J426" s="55"/>
      <c r="K426" s="55"/>
      <c r="L426" s="158"/>
      <c r="M426" s="10"/>
      <c r="N426" s="55"/>
      <c r="O426" s="55"/>
      <c r="P426" s="10"/>
      <c r="Q426" s="10"/>
      <c r="R426" s="155"/>
      <c r="S426" s="171"/>
      <c r="T426" s="161"/>
      <c r="U426" s="55"/>
      <c r="V426" s="55"/>
      <c r="W426" s="55"/>
      <c r="X426" s="155"/>
      <c r="Y426" s="171"/>
      <c r="Z426" s="165"/>
      <c r="AA426" s="10"/>
      <c r="AB426" s="55"/>
      <c r="AC426" s="55"/>
      <c r="AD426" s="55"/>
      <c r="AE426" s="55"/>
      <c r="AF426" s="55"/>
      <c r="AG426" s="167"/>
      <c r="AH426" s="55"/>
      <c r="AI426" s="55"/>
      <c r="AJ426" s="165"/>
      <c r="AK426" s="55"/>
      <c r="AL426" s="55"/>
      <c r="AM426" s="55"/>
      <c r="AN426" s="55"/>
      <c r="AO426" s="55"/>
      <c r="AP426" s="55"/>
      <c r="AQ426" s="55"/>
      <c r="AR426" s="55"/>
      <c r="AS426" s="165"/>
      <c r="AT426" s="55"/>
      <c r="AU426" s="55"/>
      <c r="AV426" s="55"/>
      <c r="AW426" s="55"/>
      <c r="AX426" s="55"/>
      <c r="AY426" s="55"/>
      <c r="AZ426" s="55"/>
      <c r="BA426" s="55"/>
      <c r="BB426" s="165"/>
      <c r="BC426" s="55"/>
      <c r="BD426" s="55"/>
      <c r="BE426" s="55"/>
      <c r="BF426" s="165"/>
      <c r="BG426" s="55"/>
      <c r="BH426" s="10"/>
      <c r="BI426" s="55"/>
      <c r="BJ426" s="55"/>
      <c r="BK426" s="55"/>
      <c r="BL426" s="55"/>
      <c r="BT426" s="141"/>
      <c r="CN426" s="141"/>
      <c r="DG426" s="141"/>
    </row>
    <row r="427" spans="1:111" s="93" customFormat="1" x14ac:dyDescent="0.15">
      <c r="A427" s="11"/>
      <c r="B427" s="13"/>
      <c r="C427" s="12"/>
      <c r="D427" s="13"/>
      <c r="E427" s="13"/>
      <c r="F427" s="12"/>
      <c r="G427" s="55"/>
      <c r="H427" s="55"/>
      <c r="I427" s="55"/>
      <c r="J427" s="55"/>
      <c r="K427" s="55"/>
      <c r="L427" s="158"/>
      <c r="M427" s="10"/>
      <c r="N427" s="55"/>
      <c r="O427" s="55"/>
      <c r="P427" s="10"/>
      <c r="Q427" s="10"/>
      <c r="R427" s="155"/>
      <c r="S427" s="171"/>
      <c r="T427" s="161"/>
      <c r="U427" s="55"/>
      <c r="V427" s="55"/>
      <c r="W427" s="55"/>
      <c r="X427" s="155"/>
      <c r="Y427" s="171"/>
      <c r="Z427" s="165"/>
      <c r="AA427" s="10"/>
      <c r="AB427" s="55"/>
      <c r="AC427" s="55"/>
      <c r="AD427" s="55"/>
      <c r="AE427" s="55"/>
      <c r="AF427" s="55"/>
      <c r="AG427" s="167"/>
      <c r="AH427" s="55"/>
      <c r="AI427" s="55"/>
      <c r="AJ427" s="165"/>
      <c r="AK427" s="55"/>
      <c r="AL427" s="55"/>
      <c r="AM427" s="55"/>
      <c r="AN427" s="55"/>
      <c r="AO427" s="55"/>
      <c r="AP427" s="55"/>
      <c r="AQ427" s="55"/>
      <c r="AR427" s="55"/>
      <c r="AS427" s="165"/>
      <c r="AT427" s="55"/>
      <c r="AU427" s="55"/>
      <c r="AV427" s="55"/>
      <c r="AW427" s="55"/>
      <c r="AX427" s="55"/>
      <c r="AY427" s="55"/>
      <c r="AZ427" s="55"/>
      <c r="BA427" s="55"/>
      <c r="BB427" s="165"/>
      <c r="BC427" s="55"/>
      <c r="BD427" s="55"/>
      <c r="BE427" s="55"/>
      <c r="BF427" s="165"/>
      <c r="BG427" s="55"/>
      <c r="BH427" s="10"/>
      <c r="BI427" s="55"/>
      <c r="BJ427" s="55"/>
      <c r="BK427" s="55"/>
      <c r="BL427" s="55"/>
      <c r="BT427" s="141"/>
      <c r="CN427" s="141"/>
      <c r="DG427" s="141"/>
    </row>
    <row r="428" spans="1:111" s="93" customFormat="1" x14ac:dyDescent="0.15">
      <c r="A428" s="11"/>
      <c r="B428" s="13"/>
      <c r="C428" s="12"/>
      <c r="D428" s="13"/>
      <c r="E428" s="13"/>
      <c r="F428" s="12"/>
      <c r="G428" s="55"/>
      <c r="H428" s="55"/>
      <c r="I428" s="55"/>
      <c r="J428" s="55"/>
      <c r="K428" s="55"/>
      <c r="L428" s="158"/>
      <c r="M428" s="10"/>
      <c r="N428" s="55"/>
      <c r="O428" s="55"/>
      <c r="P428" s="10"/>
      <c r="Q428" s="10"/>
      <c r="R428" s="155"/>
      <c r="S428" s="171"/>
      <c r="T428" s="161"/>
      <c r="U428" s="55"/>
      <c r="V428" s="55"/>
      <c r="W428" s="55"/>
      <c r="X428" s="155"/>
      <c r="Y428" s="171"/>
      <c r="Z428" s="165"/>
      <c r="AA428" s="10"/>
      <c r="AB428" s="55"/>
      <c r="AC428" s="55"/>
      <c r="AD428" s="55"/>
      <c r="AE428" s="55"/>
      <c r="AF428" s="55"/>
      <c r="AG428" s="167"/>
      <c r="AH428" s="55"/>
      <c r="AI428" s="55"/>
      <c r="AJ428" s="165"/>
      <c r="AK428" s="55"/>
      <c r="AL428" s="55"/>
      <c r="AM428" s="55"/>
      <c r="AN428" s="55"/>
      <c r="AO428" s="55"/>
      <c r="AP428" s="55"/>
      <c r="AQ428" s="55"/>
      <c r="AR428" s="55"/>
      <c r="AS428" s="165"/>
      <c r="AT428" s="55"/>
      <c r="AU428" s="55"/>
      <c r="AV428" s="55"/>
      <c r="AW428" s="55"/>
      <c r="AX428" s="55"/>
      <c r="AY428" s="55"/>
      <c r="AZ428" s="55"/>
      <c r="BA428" s="55"/>
      <c r="BB428" s="165"/>
      <c r="BC428" s="55"/>
      <c r="BD428" s="55"/>
      <c r="BE428" s="55"/>
      <c r="BF428" s="165"/>
      <c r="BG428" s="55"/>
      <c r="BH428" s="10"/>
      <c r="BI428" s="55"/>
      <c r="BJ428" s="55"/>
      <c r="BK428" s="55"/>
      <c r="BL428" s="55"/>
      <c r="BT428" s="141"/>
      <c r="CN428" s="141"/>
      <c r="DG428" s="141"/>
    </row>
    <row r="429" spans="1:111" s="93" customFormat="1" x14ac:dyDescent="0.15">
      <c r="A429" s="11"/>
      <c r="B429" s="13"/>
      <c r="C429" s="12"/>
      <c r="D429" s="13"/>
      <c r="E429" s="13"/>
      <c r="F429" s="12"/>
      <c r="G429" s="55"/>
      <c r="H429" s="55"/>
      <c r="I429" s="55"/>
      <c r="J429" s="55"/>
      <c r="K429" s="55"/>
      <c r="L429" s="158"/>
      <c r="M429" s="10"/>
      <c r="N429" s="55"/>
      <c r="O429" s="55"/>
      <c r="P429" s="10"/>
      <c r="Q429" s="10"/>
      <c r="R429" s="155"/>
      <c r="S429" s="171"/>
      <c r="T429" s="161"/>
      <c r="U429" s="55"/>
      <c r="V429" s="55"/>
      <c r="W429" s="55"/>
      <c r="X429" s="155"/>
      <c r="Y429" s="171"/>
      <c r="Z429" s="165"/>
      <c r="AA429" s="10"/>
      <c r="AB429" s="55"/>
      <c r="AC429" s="55"/>
      <c r="AD429" s="55"/>
      <c r="AE429" s="55"/>
      <c r="AF429" s="55"/>
      <c r="AG429" s="167"/>
      <c r="AH429" s="55"/>
      <c r="AI429" s="55"/>
      <c r="AJ429" s="165"/>
      <c r="AK429" s="55"/>
      <c r="AL429" s="55"/>
      <c r="AM429" s="55"/>
      <c r="AN429" s="55"/>
      <c r="AO429" s="55"/>
      <c r="AP429" s="55"/>
      <c r="AQ429" s="55"/>
      <c r="AR429" s="55"/>
      <c r="AS429" s="165"/>
      <c r="AT429" s="55"/>
      <c r="AU429" s="55"/>
      <c r="AV429" s="55"/>
      <c r="AW429" s="55"/>
      <c r="AX429" s="55"/>
      <c r="AY429" s="55"/>
      <c r="AZ429" s="55"/>
      <c r="BA429" s="55"/>
      <c r="BB429" s="165"/>
      <c r="BC429" s="55"/>
      <c r="BD429" s="55"/>
      <c r="BE429" s="55"/>
      <c r="BF429" s="165"/>
      <c r="BG429" s="55"/>
      <c r="BH429" s="10"/>
      <c r="BI429" s="55"/>
      <c r="BJ429" s="55"/>
      <c r="BK429" s="55"/>
      <c r="BL429" s="55"/>
      <c r="BT429" s="141"/>
      <c r="CN429" s="141"/>
      <c r="DG429" s="141"/>
    </row>
    <row r="430" spans="1:111" s="93" customFormat="1" x14ac:dyDescent="0.15">
      <c r="A430" s="11"/>
      <c r="B430" s="13"/>
      <c r="C430" s="12"/>
      <c r="D430" s="13"/>
      <c r="E430" s="13"/>
      <c r="F430" s="12"/>
      <c r="G430" s="55"/>
      <c r="H430" s="55"/>
      <c r="I430" s="55"/>
      <c r="J430" s="55"/>
      <c r="K430" s="55"/>
      <c r="L430" s="158"/>
      <c r="M430" s="10"/>
      <c r="N430" s="55"/>
      <c r="O430" s="55"/>
      <c r="P430" s="10"/>
      <c r="Q430" s="10"/>
      <c r="R430" s="155"/>
      <c r="S430" s="171"/>
      <c r="T430" s="161"/>
      <c r="U430" s="55"/>
      <c r="V430" s="55"/>
      <c r="W430" s="55"/>
      <c r="X430" s="155"/>
      <c r="Y430" s="171"/>
      <c r="Z430" s="165"/>
      <c r="AA430" s="10"/>
      <c r="AB430" s="55"/>
      <c r="AC430" s="55"/>
      <c r="AD430" s="55"/>
      <c r="AE430" s="55"/>
      <c r="AF430" s="55"/>
      <c r="AG430" s="167"/>
      <c r="AH430" s="55"/>
      <c r="AI430" s="55"/>
      <c r="AJ430" s="165"/>
      <c r="AK430" s="55"/>
      <c r="AL430" s="55"/>
      <c r="AM430" s="55"/>
      <c r="AN430" s="55"/>
      <c r="AO430" s="55"/>
      <c r="AP430" s="55"/>
      <c r="AQ430" s="55"/>
      <c r="AR430" s="55"/>
      <c r="AS430" s="165"/>
      <c r="AT430" s="55"/>
      <c r="AU430" s="55"/>
      <c r="AV430" s="55"/>
      <c r="AW430" s="55"/>
      <c r="AX430" s="55"/>
      <c r="AY430" s="55"/>
      <c r="AZ430" s="55"/>
      <c r="BA430" s="55"/>
      <c r="BB430" s="165"/>
      <c r="BC430" s="55"/>
      <c r="BD430" s="55"/>
      <c r="BE430" s="55"/>
      <c r="BF430" s="165"/>
      <c r="BG430" s="55"/>
      <c r="BH430" s="10"/>
      <c r="BI430" s="55"/>
      <c r="BJ430" s="55"/>
      <c r="BK430" s="55"/>
      <c r="BL430" s="55"/>
      <c r="BT430" s="141"/>
      <c r="CN430" s="141"/>
      <c r="DG430" s="141"/>
    </row>
    <row r="431" spans="1:111" s="93" customFormat="1" x14ac:dyDescent="0.15">
      <c r="A431" s="11"/>
      <c r="B431" s="13"/>
      <c r="C431" s="12"/>
      <c r="D431" s="13"/>
      <c r="E431" s="13"/>
      <c r="F431" s="12"/>
      <c r="G431" s="55"/>
      <c r="H431" s="55"/>
      <c r="I431" s="55"/>
      <c r="J431" s="55"/>
      <c r="K431" s="55"/>
      <c r="L431" s="158"/>
      <c r="M431" s="10"/>
      <c r="N431" s="55"/>
      <c r="O431" s="55"/>
      <c r="P431" s="10"/>
      <c r="Q431" s="10"/>
      <c r="R431" s="155"/>
      <c r="S431" s="171"/>
      <c r="T431" s="161"/>
      <c r="U431" s="55"/>
      <c r="V431" s="55"/>
      <c r="W431" s="55"/>
      <c r="X431" s="155"/>
      <c r="Y431" s="171"/>
      <c r="Z431" s="165"/>
      <c r="AA431" s="10"/>
      <c r="AB431" s="55"/>
      <c r="AC431" s="55"/>
      <c r="AD431" s="55"/>
      <c r="AE431" s="55"/>
      <c r="AF431" s="55"/>
      <c r="AG431" s="167"/>
      <c r="AH431" s="55"/>
      <c r="AI431" s="55"/>
      <c r="AJ431" s="165"/>
      <c r="AK431" s="55"/>
      <c r="AL431" s="55"/>
      <c r="AM431" s="55"/>
      <c r="AN431" s="55"/>
      <c r="AO431" s="55"/>
      <c r="AP431" s="55"/>
      <c r="AQ431" s="55"/>
      <c r="AR431" s="55"/>
      <c r="AS431" s="165"/>
      <c r="AT431" s="55"/>
      <c r="AU431" s="55"/>
      <c r="AV431" s="55"/>
      <c r="AW431" s="55"/>
      <c r="AX431" s="55"/>
      <c r="AY431" s="55"/>
      <c r="AZ431" s="55"/>
      <c r="BA431" s="55"/>
      <c r="BB431" s="165"/>
      <c r="BC431" s="55"/>
      <c r="BD431" s="55"/>
      <c r="BE431" s="55"/>
      <c r="BF431" s="165"/>
      <c r="BG431" s="55"/>
      <c r="BH431" s="10"/>
      <c r="BI431" s="55"/>
      <c r="BJ431" s="55"/>
      <c r="BK431" s="55"/>
      <c r="BL431" s="55"/>
      <c r="BT431" s="141"/>
      <c r="CN431" s="141"/>
      <c r="DG431" s="141"/>
    </row>
    <row r="432" spans="1:111" s="93" customFormat="1" x14ac:dyDescent="0.15">
      <c r="A432" s="11"/>
      <c r="B432" s="13"/>
      <c r="C432" s="12"/>
      <c r="D432" s="13"/>
      <c r="E432" s="13"/>
      <c r="F432" s="12"/>
      <c r="G432" s="55"/>
      <c r="H432" s="55"/>
      <c r="I432" s="55"/>
      <c r="J432" s="55"/>
      <c r="K432" s="55"/>
      <c r="L432" s="158"/>
      <c r="M432" s="10"/>
      <c r="N432" s="55"/>
      <c r="O432" s="55"/>
      <c r="P432" s="10"/>
      <c r="Q432" s="10"/>
      <c r="R432" s="155"/>
      <c r="S432" s="171"/>
      <c r="T432" s="161"/>
      <c r="U432" s="55"/>
      <c r="V432" s="55"/>
      <c r="W432" s="55"/>
      <c r="X432" s="155"/>
      <c r="Y432" s="171"/>
      <c r="Z432" s="165"/>
      <c r="AA432" s="10"/>
      <c r="AB432" s="55"/>
      <c r="AC432" s="55"/>
      <c r="AD432" s="55"/>
      <c r="AE432" s="55"/>
      <c r="AF432" s="55"/>
      <c r="AG432" s="167"/>
      <c r="AH432" s="55"/>
      <c r="AI432" s="55"/>
      <c r="AJ432" s="165"/>
      <c r="AK432" s="55"/>
      <c r="AL432" s="55"/>
      <c r="AM432" s="55"/>
      <c r="AN432" s="55"/>
      <c r="AO432" s="55"/>
      <c r="AP432" s="55"/>
      <c r="AQ432" s="55"/>
      <c r="AR432" s="55"/>
      <c r="AS432" s="165"/>
      <c r="AT432" s="55"/>
      <c r="AU432" s="55"/>
      <c r="AV432" s="55"/>
      <c r="AW432" s="55"/>
      <c r="AX432" s="55"/>
      <c r="AY432" s="55"/>
      <c r="AZ432" s="55"/>
      <c r="BA432" s="55"/>
      <c r="BB432" s="165"/>
      <c r="BC432" s="55"/>
      <c r="BD432" s="55"/>
      <c r="BE432" s="55"/>
      <c r="BF432" s="165"/>
      <c r="BG432" s="55"/>
      <c r="BH432" s="10"/>
      <c r="BI432" s="55"/>
      <c r="BJ432" s="55"/>
      <c r="BK432" s="55"/>
      <c r="BL432" s="55"/>
      <c r="BT432" s="141"/>
      <c r="CN432" s="141"/>
      <c r="DG432" s="141"/>
    </row>
    <row r="433" spans="1:111" s="93" customFormat="1" x14ac:dyDescent="0.15">
      <c r="A433" s="11"/>
      <c r="B433" s="13"/>
      <c r="C433" s="12"/>
      <c r="D433" s="13"/>
      <c r="E433" s="13"/>
      <c r="F433" s="12"/>
      <c r="G433" s="55"/>
      <c r="H433" s="55"/>
      <c r="I433" s="55"/>
      <c r="J433" s="55"/>
      <c r="K433" s="55"/>
      <c r="L433" s="158"/>
      <c r="M433" s="10"/>
      <c r="N433" s="55"/>
      <c r="O433" s="55"/>
      <c r="P433" s="10"/>
      <c r="Q433" s="10"/>
      <c r="R433" s="155"/>
      <c r="S433" s="171"/>
      <c r="T433" s="161"/>
      <c r="U433" s="55"/>
      <c r="V433" s="55"/>
      <c r="W433" s="55"/>
      <c r="X433" s="155"/>
      <c r="Y433" s="171"/>
      <c r="Z433" s="165"/>
      <c r="AA433" s="10"/>
      <c r="AB433" s="55"/>
      <c r="AC433" s="55"/>
      <c r="AD433" s="55"/>
      <c r="AE433" s="55"/>
      <c r="AF433" s="55"/>
      <c r="AG433" s="167"/>
      <c r="AH433" s="55"/>
      <c r="AI433" s="55"/>
      <c r="AJ433" s="165"/>
      <c r="AK433" s="55"/>
      <c r="AL433" s="55"/>
      <c r="AM433" s="55"/>
      <c r="AN433" s="55"/>
      <c r="AO433" s="55"/>
      <c r="AP433" s="55"/>
      <c r="AQ433" s="55"/>
      <c r="AR433" s="55"/>
      <c r="AS433" s="165"/>
      <c r="AT433" s="55"/>
      <c r="AU433" s="55"/>
      <c r="AV433" s="55"/>
      <c r="AW433" s="55"/>
      <c r="AX433" s="55"/>
      <c r="AY433" s="55"/>
      <c r="AZ433" s="55"/>
      <c r="BA433" s="55"/>
      <c r="BB433" s="165"/>
      <c r="BC433" s="55"/>
      <c r="BD433" s="55"/>
      <c r="BE433" s="55"/>
      <c r="BF433" s="165"/>
      <c r="BG433" s="55"/>
      <c r="BH433" s="10"/>
      <c r="BI433" s="55"/>
      <c r="BJ433" s="55"/>
      <c r="BK433" s="55"/>
      <c r="BL433" s="55"/>
      <c r="BT433" s="141"/>
      <c r="CN433" s="141"/>
      <c r="DG433" s="141"/>
    </row>
    <row r="434" spans="1:111" s="93" customFormat="1" x14ac:dyDescent="0.15">
      <c r="A434" s="11"/>
      <c r="B434" s="13"/>
      <c r="C434" s="12"/>
      <c r="D434" s="13"/>
      <c r="E434" s="13"/>
      <c r="F434" s="12"/>
      <c r="G434" s="55"/>
      <c r="H434" s="55"/>
      <c r="I434" s="55"/>
      <c r="J434" s="55"/>
      <c r="K434" s="55"/>
      <c r="L434" s="158"/>
      <c r="M434" s="10"/>
      <c r="N434" s="55"/>
      <c r="O434" s="55"/>
      <c r="P434" s="10"/>
      <c r="Q434" s="10"/>
      <c r="R434" s="155"/>
      <c r="S434" s="171"/>
      <c r="T434" s="161"/>
      <c r="U434" s="55"/>
      <c r="V434" s="55"/>
      <c r="W434" s="55"/>
      <c r="X434" s="155"/>
      <c r="Y434" s="171"/>
      <c r="Z434" s="165"/>
      <c r="AA434" s="10"/>
      <c r="AB434" s="55"/>
      <c r="AC434" s="55"/>
      <c r="AD434" s="55"/>
      <c r="AE434" s="55"/>
      <c r="AF434" s="55"/>
      <c r="AG434" s="167"/>
      <c r="AH434" s="55"/>
      <c r="AI434" s="55"/>
      <c r="AJ434" s="165"/>
      <c r="AK434" s="55"/>
      <c r="AL434" s="55"/>
      <c r="AM434" s="55"/>
      <c r="AN434" s="55"/>
      <c r="AO434" s="55"/>
      <c r="AP434" s="55"/>
      <c r="AQ434" s="55"/>
      <c r="AR434" s="55"/>
      <c r="AS434" s="165"/>
      <c r="AT434" s="55"/>
      <c r="AU434" s="55"/>
      <c r="AV434" s="55"/>
      <c r="AW434" s="55"/>
      <c r="AX434" s="55"/>
      <c r="AY434" s="55"/>
      <c r="AZ434" s="55"/>
      <c r="BA434" s="55"/>
      <c r="BB434" s="165"/>
      <c r="BC434" s="55"/>
      <c r="BD434" s="55"/>
      <c r="BE434" s="55"/>
      <c r="BF434" s="165"/>
      <c r="BG434" s="55"/>
      <c r="BH434" s="10"/>
      <c r="BI434" s="55"/>
      <c r="BJ434" s="55"/>
      <c r="BK434" s="55"/>
      <c r="BL434" s="55"/>
      <c r="BT434" s="141"/>
      <c r="CN434" s="141"/>
      <c r="DG434" s="141"/>
    </row>
    <row r="435" spans="1:111" s="93" customFormat="1" x14ac:dyDescent="0.15">
      <c r="A435" s="11"/>
      <c r="B435" s="13"/>
      <c r="C435" s="12"/>
      <c r="D435" s="13"/>
      <c r="E435" s="13"/>
      <c r="F435" s="12"/>
      <c r="G435" s="55"/>
      <c r="H435" s="55"/>
      <c r="I435" s="55"/>
      <c r="J435" s="55"/>
      <c r="K435" s="55"/>
      <c r="L435" s="158"/>
      <c r="M435" s="10"/>
      <c r="N435" s="55"/>
      <c r="O435" s="55"/>
      <c r="P435" s="10"/>
      <c r="Q435" s="10"/>
      <c r="R435" s="155"/>
      <c r="S435" s="171"/>
      <c r="T435" s="161"/>
      <c r="U435" s="55"/>
      <c r="V435" s="55"/>
      <c r="W435" s="55"/>
      <c r="X435" s="155"/>
      <c r="Y435" s="171"/>
      <c r="Z435" s="165"/>
      <c r="AA435" s="10"/>
      <c r="AB435" s="55"/>
      <c r="AC435" s="55"/>
      <c r="AD435" s="55"/>
      <c r="AE435" s="55"/>
      <c r="AF435" s="55"/>
      <c r="AG435" s="167"/>
      <c r="AH435" s="55"/>
      <c r="AI435" s="55"/>
      <c r="AJ435" s="165"/>
      <c r="AK435" s="55"/>
      <c r="AL435" s="55"/>
      <c r="AM435" s="55"/>
      <c r="AN435" s="55"/>
      <c r="AO435" s="55"/>
      <c r="AP435" s="55"/>
      <c r="AQ435" s="55"/>
      <c r="AR435" s="55"/>
      <c r="AS435" s="165"/>
      <c r="AT435" s="55"/>
      <c r="AU435" s="55"/>
      <c r="AV435" s="55"/>
      <c r="AW435" s="55"/>
      <c r="AX435" s="55"/>
      <c r="AY435" s="55"/>
      <c r="AZ435" s="55"/>
      <c r="BA435" s="55"/>
      <c r="BB435" s="165"/>
      <c r="BC435" s="55"/>
      <c r="BD435" s="55"/>
      <c r="BE435" s="55"/>
      <c r="BF435" s="165"/>
      <c r="BG435" s="55"/>
      <c r="BH435" s="10"/>
      <c r="BI435" s="55"/>
      <c r="BJ435" s="55"/>
      <c r="BK435" s="55"/>
      <c r="BL435" s="55"/>
      <c r="BT435" s="141"/>
      <c r="CN435" s="141"/>
      <c r="DG435" s="141"/>
    </row>
    <row r="436" spans="1:111" s="93" customFormat="1" x14ac:dyDescent="0.15">
      <c r="A436" s="11"/>
      <c r="B436" s="13"/>
      <c r="C436" s="12"/>
      <c r="D436" s="13"/>
      <c r="E436" s="13"/>
      <c r="F436" s="12"/>
      <c r="G436" s="55"/>
      <c r="H436" s="55"/>
      <c r="I436" s="55"/>
      <c r="J436" s="55"/>
      <c r="K436" s="55"/>
      <c r="L436" s="158"/>
      <c r="M436" s="10"/>
      <c r="N436" s="55"/>
      <c r="O436" s="55"/>
      <c r="P436" s="10"/>
      <c r="Q436" s="10"/>
      <c r="R436" s="155"/>
      <c r="S436" s="171"/>
      <c r="T436" s="161"/>
      <c r="U436" s="55"/>
      <c r="V436" s="55"/>
      <c r="W436" s="55"/>
      <c r="X436" s="155"/>
      <c r="Y436" s="171"/>
      <c r="Z436" s="165"/>
      <c r="AA436" s="10"/>
      <c r="AB436" s="55"/>
      <c r="AC436" s="55"/>
      <c r="AD436" s="55"/>
      <c r="AE436" s="55"/>
      <c r="AF436" s="55"/>
      <c r="AG436" s="167"/>
      <c r="AH436" s="55"/>
      <c r="AI436" s="55"/>
      <c r="AJ436" s="165"/>
      <c r="AK436" s="55"/>
      <c r="AL436" s="55"/>
      <c r="AM436" s="55"/>
      <c r="AN436" s="55"/>
      <c r="AO436" s="55"/>
      <c r="AP436" s="55"/>
      <c r="AQ436" s="55"/>
      <c r="AR436" s="55"/>
      <c r="AS436" s="165"/>
      <c r="AT436" s="55"/>
      <c r="AU436" s="55"/>
      <c r="AV436" s="55"/>
      <c r="AW436" s="55"/>
      <c r="AX436" s="55"/>
      <c r="AY436" s="55"/>
      <c r="AZ436" s="55"/>
      <c r="BA436" s="55"/>
      <c r="BB436" s="165"/>
      <c r="BC436" s="55"/>
      <c r="BD436" s="55"/>
      <c r="BE436" s="55"/>
      <c r="BF436" s="165"/>
      <c r="BG436" s="55"/>
      <c r="BH436" s="10"/>
      <c r="BI436" s="55"/>
      <c r="BJ436" s="55"/>
      <c r="BK436" s="55"/>
      <c r="BL436" s="55"/>
      <c r="BT436" s="141"/>
      <c r="CN436" s="141"/>
      <c r="DG436" s="141"/>
    </row>
    <row r="437" spans="1:111" s="93" customFormat="1" x14ac:dyDescent="0.15">
      <c r="A437" s="11"/>
      <c r="B437" s="13"/>
      <c r="C437" s="12"/>
      <c r="D437" s="13"/>
      <c r="E437" s="13"/>
      <c r="F437" s="12"/>
      <c r="G437" s="55"/>
      <c r="H437" s="55"/>
      <c r="I437" s="55"/>
      <c r="J437" s="55"/>
      <c r="K437" s="55"/>
      <c r="L437" s="158"/>
      <c r="M437" s="10"/>
      <c r="N437" s="55"/>
      <c r="O437" s="55"/>
      <c r="P437" s="10"/>
      <c r="Q437" s="10"/>
      <c r="R437" s="155"/>
      <c r="S437" s="171"/>
      <c r="T437" s="161"/>
      <c r="U437" s="55"/>
      <c r="V437" s="55"/>
      <c r="W437" s="55"/>
      <c r="X437" s="155"/>
      <c r="Y437" s="171"/>
      <c r="Z437" s="165"/>
      <c r="AA437" s="10"/>
      <c r="AB437" s="55"/>
      <c r="AC437" s="55"/>
      <c r="AD437" s="55"/>
      <c r="AE437" s="55"/>
      <c r="AF437" s="55"/>
      <c r="AG437" s="167"/>
      <c r="AH437" s="55"/>
      <c r="AI437" s="55"/>
      <c r="AJ437" s="165"/>
      <c r="AK437" s="55"/>
      <c r="AL437" s="55"/>
      <c r="AM437" s="55"/>
      <c r="AN437" s="55"/>
      <c r="AO437" s="55"/>
      <c r="AP437" s="55"/>
      <c r="AQ437" s="55"/>
      <c r="AR437" s="55"/>
      <c r="AS437" s="165"/>
      <c r="AT437" s="55"/>
      <c r="AU437" s="55"/>
      <c r="AV437" s="55"/>
      <c r="AW437" s="55"/>
      <c r="AX437" s="55"/>
      <c r="AY437" s="55"/>
      <c r="AZ437" s="55"/>
      <c r="BA437" s="55"/>
      <c r="BB437" s="165"/>
      <c r="BC437" s="55"/>
      <c r="BD437" s="55"/>
      <c r="BE437" s="55"/>
      <c r="BF437" s="165"/>
      <c r="BG437" s="55"/>
      <c r="BH437" s="10"/>
      <c r="BI437" s="55"/>
      <c r="BJ437" s="55"/>
      <c r="BK437" s="55"/>
      <c r="BL437" s="55"/>
      <c r="BT437" s="141"/>
      <c r="CN437" s="141"/>
      <c r="DG437" s="141"/>
    </row>
    <row r="438" spans="1:111" s="93" customFormat="1" x14ac:dyDescent="0.15">
      <c r="A438" s="11"/>
      <c r="B438" s="13"/>
      <c r="C438" s="12"/>
      <c r="D438" s="13"/>
      <c r="E438" s="13"/>
      <c r="F438" s="12"/>
      <c r="G438" s="55"/>
      <c r="H438" s="55"/>
      <c r="I438" s="55"/>
      <c r="J438" s="55"/>
      <c r="K438" s="55"/>
      <c r="L438" s="158"/>
      <c r="M438" s="10"/>
      <c r="N438" s="55"/>
      <c r="O438" s="55"/>
      <c r="P438" s="10"/>
      <c r="Q438" s="10"/>
      <c r="R438" s="155"/>
      <c r="S438" s="171"/>
      <c r="T438" s="161"/>
      <c r="U438" s="55"/>
      <c r="V438" s="55"/>
      <c r="W438" s="55"/>
      <c r="X438" s="155"/>
      <c r="Y438" s="171"/>
      <c r="Z438" s="165"/>
      <c r="AA438" s="10"/>
      <c r="AB438" s="55"/>
      <c r="AC438" s="55"/>
      <c r="AD438" s="55"/>
      <c r="AE438" s="55"/>
      <c r="AF438" s="55"/>
      <c r="AG438" s="167"/>
      <c r="AH438" s="55"/>
      <c r="AI438" s="55"/>
      <c r="AJ438" s="165"/>
      <c r="AK438" s="55"/>
      <c r="AL438" s="55"/>
      <c r="AM438" s="55"/>
      <c r="AN438" s="55"/>
      <c r="AO438" s="55"/>
      <c r="AP438" s="55"/>
      <c r="AQ438" s="55"/>
      <c r="AR438" s="55"/>
      <c r="AS438" s="165"/>
      <c r="AT438" s="55"/>
      <c r="AU438" s="55"/>
      <c r="AV438" s="55"/>
      <c r="AW438" s="55"/>
      <c r="AX438" s="55"/>
      <c r="AY438" s="55"/>
      <c r="AZ438" s="55"/>
      <c r="BA438" s="55"/>
      <c r="BB438" s="165"/>
      <c r="BC438" s="55"/>
      <c r="BD438" s="55"/>
      <c r="BE438" s="55"/>
      <c r="BF438" s="165"/>
      <c r="BG438" s="55"/>
      <c r="BH438" s="10"/>
      <c r="BI438" s="55"/>
      <c r="BJ438" s="55"/>
      <c r="BK438" s="55"/>
      <c r="BL438" s="55"/>
      <c r="BT438" s="141"/>
      <c r="CN438" s="141"/>
      <c r="DG438" s="141"/>
    </row>
    <row r="439" spans="1:111" s="93" customFormat="1" x14ac:dyDescent="0.15">
      <c r="A439" s="11"/>
      <c r="B439" s="13"/>
      <c r="C439" s="12"/>
      <c r="D439" s="13"/>
      <c r="E439" s="13"/>
      <c r="F439" s="12"/>
      <c r="G439" s="55"/>
      <c r="H439" s="55"/>
      <c r="I439" s="55"/>
      <c r="J439" s="55"/>
      <c r="K439" s="55"/>
      <c r="L439" s="158"/>
      <c r="M439" s="10"/>
      <c r="N439" s="55"/>
      <c r="O439" s="55"/>
      <c r="P439" s="10"/>
      <c r="Q439" s="10"/>
      <c r="R439" s="155"/>
      <c r="S439" s="171"/>
      <c r="T439" s="161"/>
      <c r="U439" s="55"/>
      <c r="V439" s="55"/>
      <c r="W439" s="55"/>
      <c r="X439" s="155"/>
      <c r="Y439" s="171"/>
      <c r="Z439" s="165"/>
      <c r="AA439" s="10"/>
      <c r="AB439" s="55"/>
      <c r="AC439" s="55"/>
      <c r="AD439" s="55"/>
      <c r="AE439" s="55"/>
      <c r="AF439" s="55"/>
      <c r="AG439" s="167"/>
      <c r="AH439" s="55"/>
      <c r="AI439" s="55"/>
      <c r="AJ439" s="165"/>
      <c r="AK439" s="55"/>
      <c r="AL439" s="55"/>
      <c r="AM439" s="55"/>
      <c r="AN439" s="55"/>
      <c r="AO439" s="55"/>
      <c r="AP439" s="55"/>
      <c r="AQ439" s="55"/>
      <c r="AR439" s="55"/>
      <c r="AS439" s="165"/>
      <c r="AT439" s="55"/>
      <c r="AU439" s="55"/>
      <c r="AV439" s="55"/>
      <c r="AW439" s="55"/>
      <c r="AX439" s="55"/>
      <c r="AY439" s="55"/>
      <c r="AZ439" s="55"/>
      <c r="BA439" s="55"/>
      <c r="BB439" s="165"/>
      <c r="BC439" s="55"/>
      <c r="BD439" s="55"/>
      <c r="BE439" s="55"/>
      <c r="BF439" s="165"/>
      <c r="BG439" s="55"/>
      <c r="BH439" s="10"/>
      <c r="BI439" s="55"/>
      <c r="BJ439" s="55"/>
      <c r="BK439" s="55"/>
      <c r="BL439" s="55"/>
      <c r="BT439" s="141"/>
      <c r="CN439" s="141"/>
      <c r="DG439" s="141"/>
    </row>
    <row r="440" spans="1:111" s="93" customFormat="1" x14ac:dyDescent="0.15">
      <c r="A440" s="11"/>
      <c r="B440" s="13"/>
      <c r="C440" s="12"/>
      <c r="D440" s="13"/>
      <c r="E440" s="13"/>
      <c r="F440" s="12"/>
      <c r="G440" s="55"/>
      <c r="H440" s="55"/>
      <c r="I440" s="55"/>
      <c r="J440" s="55"/>
      <c r="K440" s="55"/>
      <c r="L440" s="158"/>
      <c r="M440" s="10"/>
      <c r="N440" s="55"/>
      <c r="O440" s="55"/>
      <c r="P440" s="10"/>
      <c r="Q440" s="10"/>
      <c r="R440" s="155"/>
      <c r="S440" s="171"/>
      <c r="T440" s="161"/>
      <c r="U440" s="55"/>
      <c r="V440" s="55"/>
      <c r="W440" s="55"/>
      <c r="X440" s="155"/>
      <c r="Y440" s="171"/>
      <c r="Z440" s="165"/>
      <c r="AA440" s="10"/>
      <c r="AB440" s="55"/>
      <c r="AC440" s="55"/>
      <c r="AD440" s="55"/>
      <c r="AE440" s="55"/>
      <c r="AF440" s="55"/>
      <c r="AG440" s="167"/>
      <c r="AH440" s="55"/>
      <c r="AI440" s="55"/>
      <c r="AJ440" s="165"/>
      <c r="AK440" s="55"/>
      <c r="AL440" s="55"/>
      <c r="AM440" s="55"/>
      <c r="AN440" s="55"/>
      <c r="AO440" s="55"/>
      <c r="AP440" s="55"/>
      <c r="AQ440" s="55"/>
      <c r="AR440" s="55"/>
      <c r="AS440" s="165"/>
      <c r="AT440" s="55"/>
      <c r="AU440" s="55"/>
      <c r="AV440" s="55"/>
      <c r="AW440" s="55"/>
      <c r="AX440" s="55"/>
      <c r="AY440" s="55"/>
      <c r="AZ440" s="55"/>
      <c r="BA440" s="55"/>
      <c r="BB440" s="165"/>
      <c r="BC440" s="55"/>
      <c r="BD440" s="55"/>
      <c r="BE440" s="55"/>
      <c r="BF440" s="165"/>
      <c r="BG440" s="55"/>
      <c r="BH440" s="10"/>
      <c r="BI440" s="55"/>
      <c r="BJ440" s="55"/>
      <c r="BK440" s="55"/>
      <c r="BL440" s="55"/>
      <c r="BT440" s="141"/>
      <c r="CN440" s="141"/>
      <c r="DG440" s="141"/>
    </row>
    <row r="441" spans="1:111" s="93" customFormat="1" x14ac:dyDescent="0.15">
      <c r="A441" s="11"/>
      <c r="B441" s="13"/>
      <c r="C441" s="12"/>
      <c r="D441" s="13"/>
      <c r="E441" s="13"/>
      <c r="F441" s="12"/>
      <c r="G441" s="55"/>
      <c r="H441" s="55"/>
      <c r="I441" s="55"/>
      <c r="J441" s="55"/>
      <c r="K441" s="55"/>
      <c r="L441" s="158"/>
      <c r="M441" s="10"/>
      <c r="N441" s="55"/>
      <c r="O441" s="55"/>
      <c r="P441" s="10"/>
      <c r="Q441" s="10"/>
      <c r="R441" s="155"/>
      <c r="S441" s="171"/>
      <c r="T441" s="161"/>
      <c r="U441" s="55"/>
      <c r="V441" s="55"/>
      <c r="W441" s="55"/>
      <c r="X441" s="155"/>
      <c r="Y441" s="171"/>
      <c r="Z441" s="165"/>
      <c r="AA441" s="10"/>
      <c r="AB441" s="55"/>
      <c r="AC441" s="55"/>
      <c r="AD441" s="55"/>
      <c r="AE441" s="55"/>
      <c r="AF441" s="55"/>
      <c r="AG441" s="167"/>
      <c r="AH441" s="55"/>
      <c r="AI441" s="55"/>
      <c r="AJ441" s="165"/>
      <c r="AK441" s="55"/>
      <c r="AL441" s="55"/>
      <c r="AM441" s="55"/>
      <c r="AN441" s="55"/>
      <c r="AO441" s="55"/>
      <c r="AP441" s="55"/>
      <c r="AQ441" s="55"/>
      <c r="AR441" s="55"/>
      <c r="AS441" s="165"/>
      <c r="AT441" s="55"/>
      <c r="AU441" s="55"/>
      <c r="AV441" s="55"/>
      <c r="AW441" s="55"/>
      <c r="AX441" s="55"/>
      <c r="AY441" s="55"/>
      <c r="AZ441" s="55"/>
      <c r="BA441" s="55"/>
      <c r="BB441" s="165"/>
      <c r="BC441" s="55"/>
      <c r="BD441" s="55"/>
      <c r="BE441" s="55"/>
      <c r="BF441" s="165"/>
      <c r="BG441" s="55"/>
      <c r="BH441" s="10"/>
      <c r="BI441" s="55"/>
      <c r="BJ441" s="55"/>
      <c r="BK441" s="55"/>
      <c r="BL441" s="55"/>
      <c r="BT441" s="141"/>
      <c r="CN441" s="141"/>
      <c r="DG441" s="141"/>
    </row>
    <row r="442" spans="1:111" s="93" customFormat="1" x14ac:dyDescent="0.15">
      <c r="A442" s="11"/>
      <c r="B442" s="13"/>
      <c r="C442" s="12"/>
      <c r="D442" s="13"/>
      <c r="E442" s="13"/>
      <c r="F442" s="12"/>
      <c r="G442" s="55"/>
      <c r="H442" s="55"/>
      <c r="I442" s="55"/>
      <c r="J442" s="55"/>
      <c r="K442" s="55"/>
      <c r="L442" s="158"/>
      <c r="M442" s="10"/>
      <c r="N442" s="55"/>
      <c r="O442" s="55"/>
      <c r="P442" s="10"/>
      <c r="Q442" s="10"/>
      <c r="R442" s="155"/>
      <c r="S442" s="171"/>
      <c r="T442" s="161"/>
      <c r="U442" s="55"/>
      <c r="V442" s="55"/>
      <c r="W442" s="55"/>
      <c r="X442" s="155"/>
      <c r="Y442" s="171"/>
      <c r="Z442" s="165"/>
      <c r="AA442" s="10"/>
      <c r="AB442" s="55"/>
      <c r="AC442" s="55"/>
      <c r="AD442" s="55"/>
      <c r="AE442" s="55"/>
      <c r="AF442" s="55"/>
      <c r="AG442" s="167"/>
      <c r="AH442" s="55"/>
      <c r="AI442" s="55"/>
      <c r="AJ442" s="165"/>
      <c r="AK442" s="55"/>
      <c r="AL442" s="55"/>
      <c r="AM442" s="55"/>
      <c r="AN442" s="55"/>
      <c r="AO442" s="55"/>
      <c r="AP442" s="55"/>
      <c r="AQ442" s="55"/>
      <c r="AR442" s="55"/>
      <c r="AS442" s="165"/>
      <c r="AT442" s="55"/>
      <c r="AU442" s="55"/>
      <c r="AV442" s="55"/>
      <c r="AW442" s="55"/>
      <c r="AX442" s="55"/>
      <c r="AY442" s="55"/>
      <c r="AZ442" s="55"/>
      <c r="BA442" s="55"/>
      <c r="BB442" s="165"/>
      <c r="BC442" s="55"/>
      <c r="BD442" s="55"/>
      <c r="BE442" s="55"/>
      <c r="BF442" s="165"/>
      <c r="BG442" s="55"/>
      <c r="BH442" s="10"/>
      <c r="BI442" s="55"/>
      <c r="BJ442" s="55"/>
      <c r="BK442" s="55"/>
      <c r="BL442" s="55"/>
      <c r="BT442" s="141"/>
      <c r="CN442" s="141"/>
      <c r="DG442" s="141"/>
    </row>
    <row r="443" spans="1:111" s="93" customFormat="1" x14ac:dyDescent="0.15">
      <c r="A443" s="11"/>
      <c r="B443" s="13"/>
      <c r="C443" s="12"/>
      <c r="D443" s="13"/>
      <c r="E443" s="13"/>
      <c r="F443" s="12"/>
      <c r="G443" s="55"/>
      <c r="H443" s="55"/>
      <c r="I443" s="55"/>
      <c r="J443" s="55"/>
      <c r="K443" s="55"/>
      <c r="L443" s="158"/>
      <c r="M443" s="10"/>
      <c r="N443" s="55"/>
      <c r="O443" s="55"/>
      <c r="P443" s="10"/>
      <c r="Q443" s="10"/>
      <c r="R443" s="155"/>
      <c r="S443" s="171"/>
      <c r="T443" s="161"/>
      <c r="U443" s="55"/>
      <c r="V443" s="55"/>
      <c r="W443" s="55"/>
      <c r="X443" s="155"/>
      <c r="Y443" s="171"/>
      <c r="Z443" s="165"/>
      <c r="AA443" s="10"/>
      <c r="AB443" s="55"/>
      <c r="AC443" s="55"/>
      <c r="AD443" s="55"/>
      <c r="AE443" s="55"/>
      <c r="AF443" s="55"/>
      <c r="AG443" s="167"/>
      <c r="AH443" s="55"/>
      <c r="AI443" s="55"/>
      <c r="AJ443" s="165"/>
      <c r="AK443" s="55"/>
      <c r="AL443" s="55"/>
      <c r="AM443" s="55"/>
      <c r="AN443" s="55"/>
      <c r="AO443" s="55"/>
      <c r="AP443" s="55"/>
      <c r="AQ443" s="55"/>
      <c r="AR443" s="55"/>
      <c r="AS443" s="165"/>
      <c r="AT443" s="55"/>
      <c r="AU443" s="55"/>
      <c r="AV443" s="55"/>
      <c r="AW443" s="55"/>
      <c r="AX443" s="55"/>
      <c r="AY443" s="55"/>
      <c r="AZ443" s="55"/>
      <c r="BA443" s="55"/>
      <c r="BB443" s="165"/>
      <c r="BC443" s="55"/>
      <c r="BD443" s="55"/>
      <c r="BE443" s="55"/>
      <c r="BF443" s="165"/>
      <c r="BG443" s="55"/>
      <c r="BH443" s="10"/>
      <c r="BI443" s="55"/>
      <c r="BJ443" s="55"/>
      <c r="BK443" s="55"/>
      <c r="BL443" s="55"/>
      <c r="BT443" s="141"/>
      <c r="CN443" s="141"/>
      <c r="DG443" s="141"/>
    </row>
    <row r="444" spans="1:111" s="93" customFormat="1" x14ac:dyDescent="0.15">
      <c r="A444" s="11"/>
      <c r="B444" s="13"/>
      <c r="C444" s="12"/>
      <c r="D444" s="13"/>
      <c r="E444" s="13"/>
      <c r="F444" s="12"/>
      <c r="G444" s="55"/>
      <c r="H444" s="55"/>
      <c r="I444" s="55"/>
      <c r="J444" s="55"/>
      <c r="K444" s="55"/>
      <c r="L444" s="158"/>
      <c r="M444" s="10"/>
      <c r="N444" s="55"/>
      <c r="O444" s="55"/>
      <c r="P444" s="10"/>
      <c r="Q444" s="10"/>
      <c r="R444" s="155"/>
      <c r="S444" s="171"/>
      <c r="T444" s="161"/>
      <c r="U444" s="55"/>
      <c r="V444" s="55"/>
      <c r="W444" s="55"/>
      <c r="X444" s="155"/>
      <c r="Y444" s="171"/>
      <c r="Z444" s="165"/>
      <c r="AA444" s="10"/>
      <c r="AB444" s="55"/>
      <c r="AC444" s="55"/>
      <c r="AD444" s="55"/>
      <c r="AE444" s="55"/>
      <c r="AF444" s="55"/>
      <c r="AG444" s="167"/>
      <c r="AH444" s="55"/>
      <c r="AI444" s="55"/>
      <c r="AJ444" s="165"/>
      <c r="AK444" s="55"/>
      <c r="AL444" s="55"/>
      <c r="AM444" s="55"/>
      <c r="AN444" s="55"/>
      <c r="AO444" s="55"/>
      <c r="AP444" s="55"/>
      <c r="AQ444" s="55"/>
      <c r="AR444" s="55"/>
      <c r="AS444" s="165"/>
      <c r="AT444" s="55"/>
      <c r="AU444" s="55"/>
      <c r="AV444" s="55"/>
      <c r="AW444" s="55"/>
      <c r="AX444" s="55"/>
      <c r="AY444" s="55"/>
      <c r="AZ444" s="55"/>
      <c r="BA444" s="55"/>
      <c r="BB444" s="165"/>
      <c r="BC444" s="55"/>
      <c r="BD444" s="55"/>
      <c r="BE444" s="55"/>
      <c r="BF444" s="165"/>
      <c r="BG444" s="55"/>
      <c r="BH444" s="10"/>
      <c r="BI444" s="55"/>
      <c r="BJ444" s="55"/>
      <c r="BK444" s="55"/>
      <c r="BL444" s="55"/>
      <c r="BT444" s="141"/>
      <c r="CN444" s="141"/>
      <c r="DG444" s="141"/>
    </row>
    <row r="445" spans="1:111" s="93" customFormat="1" x14ac:dyDescent="0.15">
      <c r="A445" s="11"/>
      <c r="B445" s="13"/>
      <c r="C445" s="12"/>
      <c r="D445" s="13"/>
      <c r="E445" s="13"/>
      <c r="F445" s="12"/>
      <c r="G445" s="55"/>
      <c r="H445" s="55"/>
      <c r="I445" s="55"/>
      <c r="J445" s="55"/>
      <c r="K445" s="55"/>
      <c r="L445" s="158"/>
      <c r="M445" s="10"/>
      <c r="N445" s="55"/>
      <c r="O445" s="55"/>
      <c r="P445" s="10"/>
      <c r="Q445" s="10"/>
      <c r="R445" s="155"/>
      <c r="S445" s="171"/>
      <c r="T445" s="161"/>
      <c r="U445" s="55"/>
      <c r="V445" s="55"/>
      <c r="W445" s="55"/>
      <c r="X445" s="155"/>
      <c r="Y445" s="171"/>
      <c r="Z445" s="165"/>
      <c r="AA445" s="10"/>
      <c r="AB445" s="55"/>
      <c r="AC445" s="55"/>
      <c r="AD445" s="55"/>
      <c r="AE445" s="55"/>
      <c r="AF445" s="55"/>
      <c r="AG445" s="167"/>
      <c r="AH445" s="55"/>
      <c r="AI445" s="55"/>
      <c r="AJ445" s="165"/>
      <c r="AK445" s="55"/>
      <c r="AL445" s="55"/>
      <c r="AM445" s="55"/>
      <c r="AN445" s="55"/>
      <c r="AO445" s="55"/>
      <c r="AP445" s="55"/>
      <c r="AQ445" s="55"/>
      <c r="AR445" s="55"/>
      <c r="AS445" s="165"/>
      <c r="AT445" s="55"/>
      <c r="AU445" s="55"/>
      <c r="AV445" s="55"/>
      <c r="AW445" s="55"/>
      <c r="AX445" s="55"/>
      <c r="AY445" s="55"/>
      <c r="AZ445" s="55"/>
      <c r="BA445" s="55"/>
      <c r="BB445" s="165"/>
      <c r="BC445" s="55"/>
      <c r="BD445" s="55"/>
      <c r="BE445" s="55"/>
      <c r="BF445" s="165"/>
      <c r="BG445" s="55"/>
      <c r="BH445" s="10"/>
      <c r="BI445" s="55"/>
      <c r="BJ445" s="55"/>
      <c r="BK445" s="55"/>
      <c r="BL445" s="55"/>
      <c r="BT445" s="141"/>
      <c r="CN445" s="141"/>
      <c r="DG445" s="141"/>
    </row>
    <row r="446" spans="1:111" s="93" customFormat="1" x14ac:dyDescent="0.15">
      <c r="A446" s="11"/>
      <c r="B446" s="13"/>
      <c r="C446" s="12"/>
      <c r="D446" s="13"/>
      <c r="E446" s="13"/>
      <c r="F446" s="12"/>
      <c r="G446" s="55"/>
      <c r="H446" s="55"/>
      <c r="I446" s="55"/>
      <c r="J446" s="55"/>
      <c r="K446" s="55"/>
      <c r="L446" s="158"/>
      <c r="M446" s="10"/>
      <c r="N446" s="55"/>
      <c r="O446" s="55"/>
      <c r="P446" s="10"/>
      <c r="Q446" s="10"/>
      <c r="R446" s="155"/>
      <c r="S446" s="171"/>
      <c r="T446" s="161"/>
      <c r="U446" s="55"/>
      <c r="V446" s="55"/>
      <c r="W446" s="55"/>
      <c r="X446" s="155"/>
      <c r="Y446" s="171"/>
      <c r="Z446" s="165"/>
      <c r="AA446" s="10"/>
      <c r="AB446" s="55"/>
      <c r="AC446" s="55"/>
      <c r="AD446" s="55"/>
      <c r="AE446" s="55"/>
      <c r="AF446" s="55"/>
      <c r="AG446" s="167"/>
      <c r="AH446" s="55"/>
      <c r="AI446" s="55"/>
      <c r="AJ446" s="165"/>
      <c r="AK446" s="55"/>
      <c r="AL446" s="55"/>
      <c r="AM446" s="55"/>
      <c r="AN446" s="55"/>
      <c r="AO446" s="55"/>
      <c r="AP446" s="55"/>
      <c r="AQ446" s="55"/>
      <c r="AR446" s="55"/>
      <c r="AS446" s="165"/>
      <c r="AT446" s="55"/>
      <c r="AU446" s="55"/>
      <c r="AV446" s="55"/>
      <c r="AW446" s="55"/>
      <c r="AX446" s="55"/>
      <c r="AY446" s="55"/>
      <c r="AZ446" s="55"/>
      <c r="BA446" s="55"/>
      <c r="BB446" s="165"/>
      <c r="BC446" s="55"/>
      <c r="BD446" s="55"/>
      <c r="BE446" s="55"/>
      <c r="BF446" s="165"/>
      <c r="BG446" s="55"/>
      <c r="BH446" s="10"/>
      <c r="BI446" s="55"/>
      <c r="BJ446" s="55"/>
      <c r="BK446" s="55"/>
      <c r="BL446" s="55"/>
      <c r="BT446" s="141"/>
      <c r="CN446" s="141"/>
      <c r="DG446" s="141"/>
    </row>
    <row r="447" spans="1:111" s="93" customFormat="1" x14ac:dyDescent="0.15">
      <c r="A447" s="11"/>
      <c r="B447" s="13"/>
      <c r="C447" s="12"/>
      <c r="D447" s="13"/>
      <c r="E447" s="13"/>
      <c r="F447" s="12"/>
      <c r="G447" s="55"/>
      <c r="H447" s="55"/>
      <c r="I447" s="55"/>
      <c r="J447" s="55"/>
      <c r="K447" s="55"/>
      <c r="L447" s="158"/>
      <c r="M447" s="10"/>
      <c r="N447" s="55"/>
      <c r="O447" s="55"/>
      <c r="P447" s="10"/>
      <c r="Q447" s="10"/>
      <c r="R447" s="155"/>
      <c r="S447" s="171"/>
      <c r="T447" s="161"/>
      <c r="U447" s="55"/>
      <c r="V447" s="55"/>
      <c r="W447" s="55"/>
      <c r="X447" s="155"/>
      <c r="Y447" s="171"/>
      <c r="Z447" s="165"/>
      <c r="AA447" s="10"/>
      <c r="AB447" s="55"/>
      <c r="AC447" s="55"/>
      <c r="AD447" s="55"/>
      <c r="AE447" s="55"/>
      <c r="AF447" s="55"/>
      <c r="AG447" s="167"/>
      <c r="AH447" s="55"/>
      <c r="AI447" s="55"/>
      <c r="AJ447" s="165"/>
      <c r="AK447" s="55"/>
      <c r="AL447" s="55"/>
      <c r="AM447" s="55"/>
      <c r="AN447" s="55"/>
      <c r="AO447" s="55"/>
      <c r="AP447" s="55"/>
      <c r="AQ447" s="55"/>
      <c r="AR447" s="55"/>
      <c r="AS447" s="165"/>
      <c r="AT447" s="55"/>
      <c r="AU447" s="55"/>
      <c r="AV447" s="55"/>
      <c r="AW447" s="55"/>
      <c r="AX447" s="55"/>
      <c r="AY447" s="55"/>
      <c r="AZ447" s="55"/>
      <c r="BA447" s="55"/>
      <c r="BB447" s="165"/>
      <c r="BC447" s="55"/>
      <c r="BD447" s="55"/>
      <c r="BE447" s="55"/>
      <c r="BF447" s="165"/>
      <c r="BG447" s="55"/>
      <c r="BH447" s="10"/>
      <c r="BI447" s="55"/>
      <c r="BJ447" s="55"/>
      <c r="BK447" s="55"/>
      <c r="BL447" s="55"/>
      <c r="BT447" s="141"/>
      <c r="CN447" s="141"/>
      <c r="DG447" s="141"/>
    </row>
    <row r="448" spans="1:111" s="93" customFormat="1" x14ac:dyDescent="0.15">
      <c r="A448" s="11"/>
      <c r="B448" s="13"/>
      <c r="C448" s="12"/>
      <c r="D448" s="13"/>
      <c r="E448" s="13"/>
      <c r="F448" s="12"/>
      <c r="G448" s="55"/>
      <c r="H448" s="55"/>
      <c r="I448" s="55"/>
      <c r="J448" s="55"/>
      <c r="K448" s="55"/>
      <c r="L448" s="158"/>
      <c r="M448" s="10"/>
      <c r="N448" s="55"/>
      <c r="O448" s="55"/>
      <c r="P448" s="10"/>
      <c r="Q448" s="10"/>
      <c r="R448" s="155"/>
      <c r="S448" s="171"/>
      <c r="T448" s="161"/>
      <c r="U448" s="55"/>
      <c r="V448" s="55"/>
      <c r="W448" s="55"/>
      <c r="X448" s="155"/>
      <c r="Y448" s="171"/>
      <c r="Z448" s="165"/>
      <c r="AA448" s="10"/>
      <c r="AB448" s="55"/>
      <c r="AC448" s="55"/>
      <c r="AD448" s="55"/>
      <c r="AE448" s="55"/>
      <c r="AF448" s="55"/>
      <c r="AG448" s="167"/>
      <c r="AH448" s="55"/>
      <c r="AI448" s="55"/>
      <c r="AJ448" s="165"/>
      <c r="AK448" s="55"/>
      <c r="AL448" s="55"/>
      <c r="AM448" s="55"/>
      <c r="AN448" s="55"/>
      <c r="AO448" s="55"/>
      <c r="AP448" s="55"/>
      <c r="AQ448" s="55"/>
      <c r="AR448" s="55"/>
      <c r="AS448" s="165"/>
      <c r="AT448" s="55"/>
      <c r="AU448" s="55"/>
      <c r="AV448" s="55"/>
      <c r="AW448" s="55"/>
      <c r="AX448" s="55"/>
      <c r="AY448" s="55"/>
      <c r="AZ448" s="55"/>
      <c r="BA448" s="55"/>
      <c r="BB448" s="165"/>
      <c r="BC448" s="55"/>
      <c r="BD448" s="55"/>
      <c r="BE448" s="55"/>
      <c r="BF448" s="165"/>
      <c r="BG448" s="55"/>
      <c r="BH448" s="10"/>
      <c r="BI448" s="55"/>
      <c r="BJ448" s="55"/>
      <c r="BK448" s="55"/>
      <c r="BL448" s="55"/>
      <c r="BT448" s="141"/>
      <c r="CN448" s="141"/>
      <c r="DG448" s="141"/>
    </row>
    <row r="449" spans="1:111" s="93" customFormat="1" x14ac:dyDescent="0.15">
      <c r="A449" s="11"/>
      <c r="B449" s="13"/>
      <c r="C449" s="12"/>
      <c r="D449" s="13"/>
      <c r="E449" s="13"/>
      <c r="F449" s="12"/>
      <c r="G449" s="55"/>
      <c r="H449" s="55"/>
      <c r="I449" s="55"/>
      <c r="J449" s="55"/>
      <c r="K449" s="55"/>
      <c r="L449" s="158"/>
      <c r="M449" s="10"/>
      <c r="N449" s="55"/>
      <c r="O449" s="55"/>
      <c r="P449" s="10"/>
      <c r="Q449" s="10"/>
      <c r="R449" s="155"/>
      <c r="S449" s="171"/>
      <c r="T449" s="161"/>
      <c r="U449" s="55"/>
      <c r="V449" s="55"/>
      <c r="W449" s="55"/>
      <c r="X449" s="155"/>
      <c r="Y449" s="171"/>
      <c r="Z449" s="165"/>
      <c r="AA449" s="10"/>
      <c r="AB449" s="55"/>
      <c r="AC449" s="55"/>
      <c r="AD449" s="55"/>
      <c r="AE449" s="55"/>
      <c r="AF449" s="55"/>
      <c r="AG449" s="167"/>
      <c r="AH449" s="55"/>
      <c r="AI449" s="55"/>
      <c r="AJ449" s="165"/>
      <c r="AK449" s="55"/>
      <c r="AL449" s="55"/>
      <c r="AM449" s="55"/>
      <c r="AN449" s="55"/>
      <c r="AO449" s="55"/>
      <c r="AP449" s="55"/>
      <c r="AQ449" s="55"/>
      <c r="AR449" s="55"/>
      <c r="AS449" s="165"/>
      <c r="AT449" s="55"/>
      <c r="AU449" s="55"/>
      <c r="AV449" s="55"/>
      <c r="AW449" s="55"/>
      <c r="AX449" s="55"/>
      <c r="AY449" s="55"/>
      <c r="AZ449" s="55"/>
      <c r="BA449" s="55"/>
      <c r="BB449" s="165"/>
      <c r="BC449" s="55"/>
      <c r="BD449" s="55"/>
      <c r="BE449" s="55"/>
      <c r="BF449" s="165"/>
      <c r="BG449" s="55"/>
      <c r="BH449" s="10"/>
      <c r="BI449" s="55"/>
      <c r="BJ449" s="55"/>
      <c r="BK449" s="55"/>
      <c r="BL449" s="55"/>
      <c r="BT449" s="141"/>
      <c r="CN449" s="141"/>
      <c r="DG449" s="141"/>
    </row>
    <row r="450" spans="1:111" s="93" customFormat="1" x14ac:dyDescent="0.15">
      <c r="A450" s="11"/>
      <c r="B450" s="13"/>
      <c r="C450" s="12"/>
      <c r="D450" s="13"/>
      <c r="E450" s="13"/>
      <c r="F450" s="12"/>
      <c r="G450" s="55"/>
      <c r="H450" s="55"/>
      <c r="I450" s="55"/>
      <c r="J450" s="55"/>
      <c r="K450" s="55"/>
      <c r="L450" s="158"/>
      <c r="M450" s="10"/>
      <c r="N450" s="55"/>
      <c r="O450" s="55"/>
      <c r="P450" s="10"/>
      <c r="Q450" s="10"/>
      <c r="R450" s="155"/>
      <c r="S450" s="171"/>
      <c r="T450" s="161"/>
      <c r="U450" s="55"/>
      <c r="V450" s="55"/>
      <c r="W450" s="55"/>
      <c r="X450" s="155"/>
      <c r="Y450" s="171"/>
      <c r="Z450" s="165"/>
      <c r="AA450" s="10"/>
      <c r="AB450" s="55"/>
      <c r="AC450" s="55"/>
      <c r="AD450" s="55"/>
      <c r="AE450" s="55"/>
      <c r="AF450" s="55"/>
      <c r="AG450" s="167"/>
      <c r="AH450" s="55"/>
      <c r="AI450" s="55"/>
      <c r="AJ450" s="165"/>
      <c r="AK450" s="55"/>
      <c r="AL450" s="55"/>
      <c r="AM450" s="55"/>
      <c r="AN450" s="55"/>
      <c r="AO450" s="55"/>
      <c r="AP450" s="55"/>
      <c r="AQ450" s="55"/>
      <c r="AR450" s="55"/>
      <c r="AS450" s="165"/>
      <c r="AT450" s="55"/>
      <c r="AU450" s="55"/>
      <c r="AV450" s="55"/>
      <c r="AW450" s="55"/>
      <c r="AX450" s="55"/>
      <c r="AY450" s="55"/>
      <c r="AZ450" s="55"/>
      <c r="BA450" s="55"/>
      <c r="BB450" s="165"/>
      <c r="BC450" s="55"/>
      <c r="BD450" s="55"/>
      <c r="BE450" s="55"/>
      <c r="BF450" s="165"/>
      <c r="BG450" s="55"/>
      <c r="BH450" s="10"/>
      <c r="BI450" s="55"/>
      <c r="BJ450" s="55"/>
      <c r="BK450" s="55"/>
      <c r="BL450" s="55"/>
      <c r="BT450" s="141"/>
      <c r="CN450" s="141"/>
      <c r="DG450" s="141"/>
    </row>
    <row r="451" spans="1:111" s="93" customFormat="1" x14ac:dyDescent="0.15">
      <c r="A451" s="11"/>
      <c r="B451" s="13"/>
      <c r="C451" s="12"/>
      <c r="D451" s="13"/>
      <c r="E451" s="13"/>
      <c r="F451" s="12"/>
      <c r="G451" s="55"/>
      <c r="H451" s="55"/>
      <c r="I451" s="55"/>
      <c r="J451" s="55"/>
      <c r="K451" s="55"/>
      <c r="L451" s="158"/>
      <c r="M451" s="10"/>
      <c r="N451" s="55"/>
      <c r="O451" s="55"/>
      <c r="P451" s="10"/>
      <c r="Q451" s="10"/>
      <c r="R451" s="155"/>
      <c r="S451" s="171"/>
      <c r="T451" s="161"/>
      <c r="U451" s="55"/>
      <c r="V451" s="55"/>
      <c r="W451" s="55"/>
      <c r="X451" s="155"/>
      <c r="Y451" s="171"/>
      <c r="Z451" s="165"/>
      <c r="AA451" s="10"/>
      <c r="AB451" s="55"/>
      <c r="AC451" s="55"/>
      <c r="AD451" s="55"/>
      <c r="AE451" s="55"/>
      <c r="AF451" s="55"/>
      <c r="AG451" s="167"/>
      <c r="AH451" s="55"/>
      <c r="AI451" s="55"/>
      <c r="AJ451" s="165"/>
      <c r="AK451" s="55"/>
      <c r="AL451" s="55"/>
      <c r="AM451" s="55"/>
      <c r="AN451" s="55"/>
      <c r="AO451" s="55"/>
      <c r="AP451" s="55"/>
      <c r="AQ451" s="55"/>
      <c r="AR451" s="55"/>
      <c r="AS451" s="165"/>
      <c r="AT451" s="55"/>
      <c r="AU451" s="55"/>
      <c r="AV451" s="55"/>
      <c r="AW451" s="55"/>
      <c r="AX451" s="55"/>
      <c r="AY451" s="55"/>
      <c r="AZ451" s="55"/>
      <c r="BA451" s="55"/>
      <c r="BB451" s="165"/>
      <c r="BC451" s="55"/>
      <c r="BD451" s="55"/>
      <c r="BE451" s="55"/>
      <c r="BF451" s="165"/>
      <c r="BG451" s="55"/>
      <c r="BH451" s="10"/>
      <c r="BI451" s="55"/>
      <c r="BJ451" s="55"/>
      <c r="BK451" s="55"/>
      <c r="BL451" s="55"/>
      <c r="BT451" s="141"/>
      <c r="CN451" s="141"/>
      <c r="DG451" s="141"/>
    </row>
    <row r="452" spans="1:111" s="93" customFormat="1" x14ac:dyDescent="0.15">
      <c r="A452" s="11"/>
      <c r="B452" s="13"/>
      <c r="C452" s="12"/>
      <c r="D452" s="13"/>
      <c r="E452" s="13"/>
      <c r="F452" s="12"/>
      <c r="G452" s="55"/>
      <c r="H452" s="55"/>
      <c r="I452" s="55"/>
      <c r="J452" s="55"/>
      <c r="K452" s="55"/>
      <c r="L452" s="158"/>
      <c r="M452" s="10"/>
      <c r="N452" s="55"/>
      <c r="O452" s="55"/>
      <c r="P452" s="10"/>
      <c r="Q452" s="10"/>
      <c r="R452" s="155"/>
      <c r="S452" s="171"/>
      <c r="T452" s="161"/>
      <c r="U452" s="55"/>
      <c r="V452" s="55"/>
      <c r="W452" s="55"/>
      <c r="X452" s="155"/>
      <c r="Y452" s="171"/>
      <c r="Z452" s="165"/>
      <c r="AA452" s="10"/>
      <c r="AB452" s="55"/>
      <c r="AC452" s="55"/>
      <c r="AD452" s="55"/>
      <c r="AE452" s="55"/>
      <c r="AF452" s="55"/>
      <c r="AG452" s="167"/>
      <c r="AH452" s="55"/>
      <c r="AI452" s="55"/>
      <c r="AJ452" s="165"/>
      <c r="AK452" s="55"/>
      <c r="AL452" s="55"/>
      <c r="AM452" s="55"/>
      <c r="AN452" s="55"/>
      <c r="AO452" s="55"/>
      <c r="AP452" s="55"/>
      <c r="AQ452" s="55"/>
      <c r="AR452" s="55"/>
      <c r="AS452" s="165"/>
      <c r="AT452" s="55"/>
      <c r="AU452" s="55"/>
      <c r="AV452" s="55"/>
      <c r="AW452" s="55"/>
      <c r="AX452" s="55"/>
      <c r="AY452" s="55"/>
      <c r="AZ452" s="55"/>
      <c r="BA452" s="55"/>
      <c r="BB452" s="165"/>
      <c r="BC452" s="55"/>
      <c r="BD452" s="55"/>
      <c r="BE452" s="55"/>
      <c r="BF452" s="165"/>
      <c r="BG452" s="55"/>
      <c r="BH452" s="10"/>
      <c r="BI452" s="55"/>
      <c r="BJ452" s="55"/>
      <c r="BK452" s="55"/>
      <c r="BL452" s="55"/>
      <c r="BT452" s="141"/>
      <c r="CN452" s="141"/>
      <c r="DG452" s="141"/>
    </row>
    <row r="453" spans="1:111" s="93" customFormat="1" x14ac:dyDescent="0.15">
      <c r="A453" s="11"/>
      <c r="B453" s="13"/>
      <c r="C453" s="12"/>
      <c r="D453" s="13"/>
      <c r="E453" s="13"/>
      <c r="F453" s="12"/>
      <c r="G453" s="55"/>
      <c r="H453" s="55"/>
      <c r="I453" s="55"/>
      <c r="J453" s="55"/>
      <c r="K453" s="55"/>
      <c r="L453" s="158"/>
      <c r="M453" s="10"/>
      <c r="N453" s="55"/>
      <c r="O453" s="55"/>
      <c r="P453" s="10"/>
      <c r="Q453" s="10"/>
      <c r="R453" s="155"/>
      <c r="S453" s="171"/>
      <c r="T453" s="161"/>
      <c r="U453" s="55"/>
      <c r="V453" s="55"/>
      <c r="W453" s="55"/>
      <c r="X453" s="155"/>
      <c r="Y453" s="171"/>
      <c r="Z453" s="165"/>
      <c r="AA453" s="10"/>
      <c r="AB453" s="55"/>
      <c r="AC453" s="55"/>
      <c r="AD453" s="55"/>
      <c r="AE453" s="55"/>
      <c r="AF453" s="55"/>
      <c r="AG453" s="167"/>
      <c r="AH453" s="55"/>
      <c r="AI453" s="55"/>
      <c r="AJ453" s="165"/>
      <c r="AK453" s="55"/>
      <c r="AL453" s="55"/>
      <c r="AM453" s="55"/>
      <c r="AN453" s="55"/>
      <c r="AO453" s="55"/>
      <c r="AP453" s="55"/>
      <c r="AQ453" s="55"/>
      <c r="AR453" s="55"/>
      <c r="AS453" s="165"/>
      <c r="AT453" s="55"/>
      <c r="AU453" s="55"/>
      <c r="AV453" s="55"/>
      <c r="AW453" s="55"/>
      <c r="AX453" s="55"/>
      <c r="AY453" s="55"/>
      <c r="AZ453" s="55"/>
      <c r="BA453" s="55"/>
      <c r="BB453" s="165"/>
      <c r="BC453" s="55"/>
      <c r="BD453" s="55"/>
      <c r="BE453" s="55"/>
      <c r="BF453" s="165"/>
      <c r="BG453" s="55"/>
      <c r="BH453" s="10"/>
      <c r="BI453" s="55"/>
      <c r="BJ453" s="55"/>
      <c r="BK453" s="55"/>
      <c r="BL453" s="55"/>
      <c r="BT453" s="141"/>
      <c r="CN453" s="141"/>
      <c r="DG453" s="141"/>
    </row>
    <row r="454" spans="1:111" s="93" customFormat="1" x14ac:dyDescent="0.15">
      <c r="A454" s="11"/>
      <c r="B454" s="13"/>
      <c r="C454" s="12"/>
      <c r="D454" s="13"/>
      <c r="E454" s="13"/>
      <c r="F454" s="12"/>
      <c r="G454" s="55"/>
      <c r="H454" s="55"/>
      <c r="I454" s="55"/>
      <c r="J454" s="55"/>
      <c r="K454" s="55"/>
      <c r="L454" s="158"/>
      <c r="M454" s="10"/>
      <c r="N454" s="55"/>
      <c r="O454" s="55"/>
      <c r="P454" s="10"/>
      <c r="Q454" s="10"/>
      <c r="R454" s="155"/>
      <c r="S454" s="171"/>
      <c r="T454" s="161"/>
      <c r="U454" s="55"/>
      <c r="V454" s="55"/>
      <c r="W454" s="55"/>
      <c r="X454" s="155"/>
      <c r="Y454" s="171"/>
      <c r="Z454" s="165"/>
      <c r="AA454" s="10"/>
      <c r="AB454" s="55"/>
      <c r="AC454" s="55"/>
      <c r="AD454" s="55"/>
      <c r="AE454" s="55"/>
      <c r="AF454" s="55"/>
      <c r="AG454" s="167"/>
      <c r="AH454" s="55"/>
      <c r="AI454" s="55"/>
      <c r="AJ454" s="165"/>
      <c r="AK454" s="55"/>
      <c r="AL454" s="55"/>
      <c r="AM454" s="55"/>
      <c r="AN454" s="55"/>
      <c r="AO454" s="55"/>
      <c r="AP454" s="55"/>
      <c r="AQ454" s="55"/>
      <c r="AR454" s="55"/>
      <c r="AS454" s="165"/>
      <c r="AT454" s="55"/>
      <c r="AU454" s="55"/>
      <c r="AV454" s="55"/>
      <c r="AW454" s="55"/>
      <c r="AX454" s="55"/>
      <c r="AY454" s="55"/>
      <c r="AZ454" s="55"/>
      <c r="BA454" s="55"/>
      <c r="BB454" s="165"/>
      <c r="BC454" s="55"/>
      <c r="BD454" s="55"/>
      <c r="BE454" s="55"/>
      <c r="BF454" s="165"/>
      <c r="BG454" s="55"/>
      <c r="BH454" s="10"/>
      <c r="BI454" s="55"/>
      <c r="BJ454" s="55"/>
      <c r="BK454" s="55"/>
      <c r="BL454" s="55"/>
      <c r="BT454" s="141"/>
      <c r="CN454" s="141"/>
      <c r="DG454" s="141"/>
    </row>
    <row r="455" spans="1:111" s="93" customFormat="1" x14ac:dyDescent="0.15">
      <c r="A455" s="11"/>
      <c r="B455" s="13"/>
      <c r="C455" s="12"/>
      <c r="D455" s="13"/>
      <c r="E455" s="13"/>
      <c r="F455" s="12"/>
      <c r="G455" s="55"/>
      <c r="H455" s="55"/>
      <c r="I455" s="55"/>
      <c r="J455" s="55"/>
      <c r="K455" s="55"/>
      <c r="L455" s="158"/>
      <c r="M455" s="10"/>
      <c r="N455" s="55"/>
      <c r="O455" s="55"/>
      <c r="P455" s="10"/>
      <c r="Q455" s="10"/>
      <c r="R455" s="155"/>
      <c r="S455" s="171"/>
      <c r="T455" s="161"/>
      <c r="U455" s="55"/>
      <c r="V455" s="55"/>
      <c r="W455" s="55"/>
      <c r="X455" s="155"/>
      <c r="Y455" s="171"/>
      <c r="Z455" s="165"/>
      <c r="AA455" s="10"/>
      <c r="AB455" s="55"/>
      <c r="AC455" s="55"/>
      <c r="AD455" s="55"/>
      <c r="AE455" s="55"/>
      <c r="AF455" s="55"/>
      <c r="AG455" s="167"/>
      <c r="AH455" s="55"/>
      <c r="AI455" s="55"/>
      <c r="AJ455" s="165"/>
      <c r="AK455" s="55"/>
      <c r="AL455" s="55"/>
      <c r="AM455" s="55"/>
      <c r="AN455" s="55"/>
      <c r="AO455" s="55"/>
      <c r="AP455" s="55"/>
      <c r="AQ455" s="55"/>
      <c r="AR455" s="55"/>
      <c r="AS455" s="165"/>
      <c r="AT455" s="55"/>
      <c r="AU455" s="55"/>
      <c r="AV455" s="55"/>
      <c r="AW455" s="55"/>
      <c r="AX455" s="55"/>
      <c r="AY455" s="55"/>
      <c r="AZ455" s="55"/>
      <c r="BA455" s="55"/>
      <c r="BB455" s="165"/>
      <c r="BC455" s="55"/>
      <c r="BD455" s="55"/>
      <c r="BE455" s="55"/>
      <c r="BF455" s="165"/>
      <c r="BG455" s="55"/>
      <c r="BH455" s="10"/>
      <c r="BI455" s="55"/>
      <c r="BJ455" s="55"/>
      <c r="BK455" s="55"/>
      <c r="BL455" s="55"/>
      <c r="BT455" s="141"/>
      <c r="CN455" s="141"/>
      <c r="DG455" s="141"/>
    </row>
    <row r="456" spans="1:111" s="93" customFormat="1" x14ac:dyDescent="0.15">
      <c r="A456" s="11"/>
      <c r="B456" s="13"/>
      <c r="C456" s="12"/>
      <c r="D456" s="13"/>
      <c r="E456" s="13"/>
      <c r="F456" s="12"/>
      <c r="G456" s="55"/>
      <c r="H456" s="55"/>
      <c r="I456" s="55"/>
      <c r="J456" s="55"/>
      <c r="K456" s="55"/>
      <c r="L456" s="158"/>
      <c r="M456" s="10"/>
      <c r="N456" s="55"/>
      <c r="O456" s="55"/>
      <c r="P456" s="10"/>
      <c r="Q456" s="10"/>
      <c r="R456" s="155"/>
      <c r="S456" s="171"/>
      <c r="T456" s="161"/>
      <c r="U456" s="55"/>
      <c r="V456" s="55"/>
      <c r="W456" s="55"/>
      <c r="X456" s="155"/>
      <c r="Y456" s="171"/>
      <c r="Z456" s="165"/>
      <c r="AA456" s="10"/>
      <c r="AB456" s="55"/>
      <c r="AC456" s="55"/>
      <c r="AD456" s="55"/>
      <c r="AE456" s="55"/>
      <c r="AF456" s="55"/>
      <c r="AG456" s="167"/>
      <c r="AH456" s="55"/>
      <c r="AI456" s="55"/>
      <c r="AJ456" s="165"/>
      <c r="AK456" s="55"/>
      <c r="AL456" s="55"/>
      <c r="AM456" s="55"/>
      <c r="AN456" s="55"/>
      <c r="AO456" s="55"/>
      <c r="AP456" s="55"/>
      <c r="AQ456" s="55"/>
      <c r="AR456" s="55"/>
      <c r="AS456" s="165"/>
      <c r="AT456" s="55"/>
      <c r="AU456" s="55"/>
      <c r="AV456" s="55"/>
      <c r="AW456" s="55"/>
      <c r="AX456" s="55"/>
      <c r="AY456" s="55"/>
      <c r="AZ456" s="55"/>
      <c r="BA456" s="55"/>
      <c r="BB456" s="165"/>
      <c r="BC456" s="55"/>
      <c r="BD456" s="55"/>
      <c r="BE456" s="55"/>
      <c r="BF456" s="165"/>
      <c r="BG456" s="55"/>
      <c r="BH456" s="10"/>
      <c r="BI456" s="55"/>
      <c r="BJ456" s="55"/>
      <c r="BK456" s="55"/>
      <c r="BL456" s="55"/>
      <c r="BT456" s="141"/>
      <c r="CN456" s="141"/>
      <c r="DG456" s="141"/>
    </row>
    <row r="457" spans="1:111" s="93" customFormat="1" x14ac:dyDescent="0.15">
      <c r="A457" s="11"/>
      <c r="B457" s="13"/>
      <c r="C457" s="12"/>
      <c r="D457" s="13"/>
      <c r="E457" s="13"/>
      <c r="F457" s="12"/>
      <c r="G457" s="55"/>
      <c r="H457" s="55"/>
      <c r="I457" s="55"/>
      <c r="J457" s="55"/>
      <c r="K457" s="55"/>
      <c r="L457" s="158"/>
      <c r="M457" s="10"/>
      <c r="N457" s="55"/>
      <c r="O457" s="55"/>
      <c r="P457" s="10"/>
      <c r="Q457" s="10"/>
      <c r="R457" s="155"/>
      <c r="S457" s="171"/>
      <c r="T457" s="161"/>
      <c r="U457" s="55"/>
      <c r="V457" s="55"/>
      <c r="W457" s="55"/>
      <c r="X457" s="155"/>
      <c r="Y457" s="171"/>
      <c r="Z457" s="165"/>
      <c r="AA457" s="10"/>
      <c r="AB457" s="55"/>
      <c r="AC457" s="55"/>
      <c r="AD457" s="55"/>
      <c r="AE457" s="55"/>
      <c r="AF457" s="55"/>
      <c r="AG457" s="167"/>
      <c r="AH457" s="55"/>
      <c r="AI457" s="55"/>
      <c r="AJ457" s="165"/>
      <c r="AK457" s="55"/>
      <c r="AL457" s="55"/>
      <c r="AM457" s="55"/>
      <c r="AN457" s="55"/>
      <c r="AO457" s="55"/>
      <c r="AP457" s="55"/>
      <c r="AQ457" s="55"/>
      <c r="AR457" s="55"/>
      <c r="AS457" s="165"/>
      <c r="AT457" s="55"/>
      <c r="AU457" s="55"/>
      <c r="AV457" s="55"/>
      <c r="AW457" s="55"/>
      <c r="AX457" s="55"/>
      <c r="AY457" s="55"/>
      <c r="AZ457" s="55"/>
      <c r="BA457" s="55"/>
      <c r="BB457" s="165"/>
      <c r="BC457" s="55"/>
      <c r="BD457" s="55"/>
      <c r="BE457" s="55"/>
      <c r="BF457" s="165"/>
      <c r="BG457" s="55"/>
      <c r="BH457" s="10"/>
      <c r="BI457" s="55"/>
      <c r="BJ457" s="55"/>
      <c r="BK457" s="55"/>
      <c r="BL457" s="55"/>
      <c r="BT457" s="141"/>
      <c r="CN457" s="141"/>
      <c r="DG457" s="141"/>
    </row>
    <row r="458" spans="1:111" s="93" customFormat="1" x14ac:dyDescent="0.15">
      <c r="A458" s="11"/>
      <c r="B458" s="13"/>
      <c r="C458" s="12"/>
      <c r="D458" s="13"/>
      <c r="E458" s="13"/>
      <c r="F458" s="12"/>
      <c r="G458" s="55"/>
      <c r="H458" s="55"/>
      <c r="I458" s="55"/>
      <c r="J458" s="55"/>
      <c r="K458" s="55"/>
      <c r="L458" s="158"/>
      <c r="M458" s="10"/>
      <c r="N458" s="55"/>
      <c r="O458" s="55"/>
      <c r="P458" s="10"/>
      <c r="Q458" s="10"/>
      <c r="R458" s="155"/>
      <c r="S458" s="171"/>
      <c r="T458" s="161"/>
      <c r="U458" s="55"/>
      <c r="V458" s="55"/>
      <c r="W458" s="55"/>
      <c r="X458" s="155"/>
      <c r="Y458" s="171"/>
      <c r="Z458" s="165"/>
      <c r="AA458" s="10"/>
      <c r="AB458" s="55"/>
      <c r="AC458" s="55"/>
      <c r="AD458" s="55"/>
      <c r="AE458" s="55"/>
      <c r="AF458" s="55"/>
      <c r="AG458" s="167"/>
      <c r="AH458" s="55"/>
      <c r="AI458" s="55"/>
      <c r="AJ458" s="165"/>
      <c r="AK458" s="55"/>
      <c r="AL458" s="55"/>
      <c r="AM458" s="55"/>
      <c r="AN458" s="55"/>
      <c r="AO458" s="55"/>
      <c r="AP458" s="55"/>
      <c r="AQ458" s="55"/>
      <c r="AR458" s="55"/>
      <c r="AS458" s="165"/>
      <c r="AT458" s="55"/>
      <c r="AU458" s="55"/>
      <c r="AV458" s="55"/>
      <c r="AW458" s="55"/>
      <c r="AX458" s="55"/>
      <c r="AY458" s="55"/>
      <c r="AZ458" s="55"/>
      <c r="BA458" s="55"/>
      <c r="BB458" s="165"/>
      <c r="BC458" s="55"/>
      <c r="BD458" s="55"/>
      <c r="BE458" s="55"/>
      <c r="BF458" s="165"/>
      <c r="BG458" s="55"/>
      <c r="BH458" s="10"/>
      <c r="BI458" s="55"/>
      <c r="BJ458" s="55"/>
      <c r="BK458" s="55"/>
      <c r="BL458" s="55"/>
      <c r="BT458" s="141"/>
      <c r="CN458" s="141"/>
      <c r="DG458" s="141"/>
    </row>
    <row r="459" spans="1:111" s="93" customFormat="1" x14ac:dyDescent="0.15">
      <c r="A459" s="11"/>
      <c r="B459" s="13"/>
      <c r="C459" s="12"/>
      <c r="D459" s="13"/>
      <c r="E459" s="13"/>
      <c r="F459" s="12"/>
      <c r="G459" s="55"/>
      <c r="H459" s="55"/>
      <c r="I459" s="55"/>
      <c r="J459" s="55"/>
      <c r="K459" s="55"/>
      <c r="L459" s="158"/>
      <c r="M459" s="10"/>
      <c r="N459" s="55"/>
      <c r="O459" s="55"/>
      <c r="P459" s="10"/>
      <c r="Q459" s="10"/>
      <c r="R459" s="155"/>
      <c r="S459" s="171"/>
      <c r="T459" s="161"/>
      <c r="U459" s="55"/>
      <c r="V459" s="55"/>
      <c r="W459" s="55"/>
      <c r="X459" s="155"/>
      <c r="Y459" s="171"/>
      <c r="Z459" s="165"/>
      <c r="AA459" s="10"/>
      <c r="AB459" s="55"/>
      <c r="AC459" s="55"/>
      <c r="AD459" s="55"/>
      <c r="AE459" s="55"/>
      <c r="AF459" s="55"/>
      <c r="AG459" s="167"/>
      <c r="AH459" s="55"/>
      <c r="AI459" s="55"/>
      <c r="AJ459" s="165"/>
      <c r="AK459" s="55"/>
      <c r="AL459" s="55"/>
      <c r="AM459" s="55"/>
      <c r="AN459" s="55"/>
      <c r="AO459" s="55"/>
      <c r="AP459" s="55"/>
      <c r="AQ459" s="55"/>
      <c r="AR459" s="55"/>
      <c r="AS459" s="165"/>
      <c r="AT459" s="55"/>
      <c r="AU459" s="55"/>
      <c r="AV459" s="55"/>
      <c r="AW459" s="55"/>
      <c r="AX459" s="55"/>
      <c r="AY459" s="55"/>
      <c r="AZ459" s="55"/>
      <c r="BA459" s="55"/>
      <c r="BB459" s="165"/>
      <c r="BC459" s="55"/>
      <c r="BD459" s="55"/>
      <c r="BE459" s="55"/>
      <c r="BF459" s="165"/>
      <c r="BG459" s="55"/>
      <c r="BH459" s="10"/>
      <c r="BI459" s="55"/>
      <c r="BJ459" s="55"/>
      <c r="BK459" s="55"/>
      <c r="BL459" s="55"/>
      <c r="BT459" s="141"/>
      <c r="CN459" s="141"/>
      <c r="DG459" s="141"/>
    </row>
    <row r="460" spans="1:111" s="93" customFormat="1" x14ac:dyDescent="0.15">
      <c r="A460" s="11"/>
      <c r="B460" s="13"/>
      <c r="C460" s="12"/>
      <c r="D460" s="13"/>
      <c r="E460" s="13"/>
      <c r="F460" s="12"/>
      <c r="G460" s="55"/>
      <c r="H460" s="55"/>
      <c r="I460" s="55"/>
      <c r="J460" s="55"/>
      <c r="K460" s="55"/>
      <c r="L460" s="158"/>
      <c r="M460" s="10"/>
      <c r="N460" s="55"/>
      <c r="O460" s="55"/>
      <c r="P460" s="10"/>
      <c r="Q460" s="10"/>
      <c r="R460" s="155"/>
      <c r="S460" s="171"/>
      <c r="T460" s="161"/>
      <c r="U460" s="55"/>
      <c r="V460" s="55"/>
      <c r="W460" s="55"/>
      <c r="X460" s="155"/>
      <c r="Y460" s="171"/>
      <c r="Z460" s="165"/>
      <c r="AA460" s="10"/>
      <c r="AB460" s="55"/>
      <c r="AC460" s="55"/>
      <c r="AD460" s="55"/>
      <c r="AE460" s="55"/>
      <c r="AF460" s="55"/>
      <c r="AG460" s="167"/>
      <c r="AH460" s="55"/>
      <c r="AI460" s="55"/>
      <c r="AJ460" s="165"/>
      <c r="AK460" s="55"/>
      <c r="AL460" s="55"/>
      <c r="AM460" s="55"/>
      <c r="AN460" s="55"/>
      <c r="AO460" s="55"/>
      <c r="AP460" s="55"/>
      <c r="AQ460" s="55"/>
      <c r="AR460" s="55"/>
      <c r="AS460" s="165"/>
      <c r="AT460" s="55"/>
      <c r="AU460" s="55"/>
      <c r="AV460" s="55"/>
      <c r="AW460" s="55"/>
      <c r="AX460" s="55"/>
      <c r="AY460" s="55"/>
      <c r="AZ460" s="55"/>
      <c r="BA460" s="55"/>
      <c r="BB460" s="165"/>
      <c r="BC460" s="55"/>
      <c r="BD460" s="55"/>
      <c r="BE460" s="55"/>
      <c r="BF460" s="165"/>
      <c r="BG460" s="55"/>
      <c r="BH460" s="10"/>
      <c r="BI460" s="55"/>
      <c r="BJ460" s="55"/>
      <c r="BK460" s="55"/>
      <c r="BL460" s="55"/>
      <c r="BT460" s="141"/>
      <c r="CN460" s="141"/>
      <c r="DG460" s="141"/>
    </row>
    <row r="461" spans="1:111" s="93" customFormat="1" x14ac:dyDescent="0.15">
      <c r="A461" s="11"/>
      <c r="B461" s="13"/>
      <c r="C461" s="12"/>
      <c r="D461" s="13"/>
      <c r="E461" s="13"/>
      <c r="F461" s="12"/>
      <c r="G461" s="55"/>
      <c r="H461" s="55"/>
      <c r="I461" s="55"/>
      <c r="J461" s="55"/>
      <c r="K461" s="55"/>
      <c r="L461" s="158"/>
      <c r="M461" s="10"/>
      <c r="N461" s="55"/>
      <c r="O461" s="55"/>
      <c r="P461" s="10"/>
      <c r="Q461" s="10"/>
      <c r="R461" s="155"/>
      <c r="S461" s="171"/>
      <c r="T461" s="161"/>
      <c r="U461" s="55"/>
      <c r="V461" s="55"/>
      <c r="W461" s="55"/>
      <c r="X461" s="155"/>
      <c r="Y461" s="171"/>
      <c r="Z461" s="165"/>
      <c r="AA461" s="10"/>
      <c r="AB461" s="55"/>
      <c r="AC461" s="55"/>
      <c r="AD461" s="55"/>
      <c r="AE461" s="55"/>
      <c r="AF461" s="55"/>
      <c r="AG461" s="167"/>
      <c r="AH461" s="55"/>
      <c r="AI461" s="55"/>
      <c r="AJ461" s="165"/>
      <c r="AK461" s="55"/>
      <c r="AL461" s="55"/>
      <c r="AM461" s="55"/>
      <c r="AN461" s="55"/>
      <c r="AO461" s="55"/>
      <c r="AP461" s="55"/>
      <c r="AQ461" s="55"/>
      <c r="AR461" s="55"/>
      <c r="AS461" s="165"/>
      <c r="AT461" s="55"/>
      <c r="AU461" s="55"/>
      <c r="AV461" s="55"/>
      <c r="AW461" s="55"/>
      <c r="AX461" s="55"/>
      <c r="AY461" s="55"/>
      <c r="AZ461" s="55"/>
      <c r="BA461" s="55"/>
      <c r="BB461" s="165"/>
      <c r="BC461" s="55"/>
      <c r="BD461" s="55"/>
      <c r="BE461" s="55"/>
      <c r="BF461" s="165"/>
      <c r="BG461" s="55"/>
      <c r="BH461" s="10"/>
      <c r="BI461" s="55"/>
      <c r="BJ461" s="55"/>
      <c r="BK461" s="55"/>
      <c r="BL461" s="55"/>
      <c r="BT461" s="141"/>
      <c r="CN461" s="141"/>
      <c r="DG461" s="141"/>
    </row>
    <row r="462" spans="1:111" s="93" customFormat="1" x14ac:dyDescent="0.15">
      <c r="A462" s="11"/>
      <c r="B462" s="13"/>
      <c r="C462" s="12"/>
      <c r="D462" s="13"/>
      <c r="E462" s="13"/>
      <c r="F462" s="12"/>
      <c r="G462" s="55"/>
      <c r="H462" s="55"/>
      <c r="I462" s="55"/>
      <c r="J462" s="55"/>
      <c r="K462" s="55"/>
      <c r="L462" s="158"/>
      <c r="M462" s="10"/>
      <c r="N462" s="55"/>
      <c r="O462" s="55"/>
      <c r="P462" s="10"/>
      <c r="Q462" s="10"/>
      <c r="R462" s="155"/>
      <c r="S462" s="171"/>
      <c r="T462" s="161"/>
      <c r="U462" s="55"/>
      <c r="V462" s="55"/>
      <c r="W462" s="55"/>
      <c r="X462" s="155"/>
      <c r="Y462" s="171"/>
      <c r="Z462" s="165"/>
      <c r="AA462" s="10"/>
      <c r="AB462" s="55"/>
      <c r="AC462" s="55"/>
      <c r="AD462" s="55"/>
      <c r="AE462" s="55"/>
      <c r="AF462" s="55"/>
      <c r="AG462" s="167"/>
      <c r="AH462" s="55"/>
      <c r="AI462" s="55"/>
      <c r="AJ462" s="165"/>
      <c r="AK462" s="55"/>
      <c r="AL462" s="55"/>
      <c r="AM462" s="55"/>
      <c r="AN462" s="55"/>
      <c r="AO462" s="55"/>
      <c r="AP462" s="55"/>
      <c r="AQ462" s="55"/>
      <c r="AR462" s="55"/>
      <c r="AS462" s="165"/>
      <c r="AT462" s="55"/>
      <c r="AU462" s="55"/>
      <c r="AV462" s="55"/>
      <c r="AW462" s="55"/>
      <c r="AX462" s="55"/>
      <c r="AY462" s="55"/>
      <c r="AZ462" s="55"/>
      <c r="BA462" s="55"/>
      <c r="BB462" s="165"/>
      <c r="BC462" s="55"/>
      <c r="BD462" s="55"/>
      <c r="BE462" s="55"/>
      <c r="BF462" s="165"/>
      <c r="BG462" s="55"/>
      <c r="BH462" s="10"/>
      <c r="BI462" s="55"/>
      <c r="BJ462" s="55"/>
      <c r="BK462" s="55"/>
      <c r="BL462" s="55"/>
      <c r="BT462" s="141"/>
      <c r="CN462" s="141"/>
      <c r="DG462" s="141"/>
    </row>
    <row r="463" spans="1:111" s="93" customFormat="1" x14ac:dyDescent="0.15">
      <c r="A463" s="11"/>
      <c r="B463" s="13"/>
      <c r="C463" s="12"/>
      <c r="D463" s="13"/>
      <c r="E463" s="13"/>
      <c r="F463" s="12"/>
      <c r="G463" s="55"/>
      <c r="H463" s="55"/>
      <c r="I463" s="55"/>
      <c r="J463" s="55"/>
      <c r="K463" s="55"/>
      <c r="L463" s="158"/>
      <c r="M463" s="10"/>
      <c r="N463" s="55"/>
      <c r="O463" s="55"/>
      <c r="P463" s="10"/>
      <c r="Q463" s="10"/>
      <c r="R463" s="155"/>
      <c r="S463" s="171"/>
      <c r="T463" s="161"/>
      <c r="U463" s="55"/>
      <c r="V463" s="55"/>
      <c r="W463" s="55"/>
      <c r="X463" s="155"/>
      <c r="Y463" s="171"/>
      <c r="Z463" s="165"/>
      <c r="AA463" s="10"/>
      <c r="AB463" s="55"/>
      <c r="AC463" s="55"/>
      <c r="AD463" s="55"/>
      <c r="AE463" s="55"/>
      <c r="AF463" s="55"/>
      <c r="AG463" s="167"/>
      <c r="AH463" s="55"/>
      <c r="AI463" s="55"/>
      <c r="AJ463" s="165"/>
      <c r="AK463" s="55"/>
      <c r="AL463" s="55"/>
      <c r="AM463" s="55"/>
      <c r="AN463" s="55"/>
      <c r="AO463" s="55"/>
      <c r="AP463" s="55"/>
      <c r="AQ463" s="55"/>
      <c r="AR463" s="55"/>
      <c r="AS463" s="165"/>
      <c r="AT463" s="55"/>
      <c r="AU463" s="55"/>
      <c r="AV463" s="55"/>
      <c r="AW463" s="55"/>
      <c r="AX463" s="55"/>
      <c r="AY463" s="55"/>
      <c r="AZ463" s="55"/>
      <c r="BA463" s="55"/>
      <c r="BB463" s="165"/>
      <c r="BC463" s="55"/>
      <c r="BD463" s="55"/>
      <c r="BE463" s="55"/>
      <c r="BF463" s="165"/>
      <c r="BG463" s="55"/>
      <c r="BH463" s="10"/>
      <c r="BI463" s="55"/>
      <c r="BJ463" s="55"/>
      <c r="BK463" s="55"/>
      <c r="BL463" s="55"/>
      <c r="BT463" s="141"/>
      <c r="CN463" s="141"/>
      <c r="DG463" s="141"/>
    </row>
    <row r="464" spans="1:111" s="93" customFormat="1" x14ac:dyDescent="0.15">
      <c r="A464" s="11"/>
      <c r="B464" s="13"/>
      <c r="C464" s="12"/>
      <c r="D464" s="13"/>
      <c r="E464" s="13"/>
      <c r="F464" s="12"/>
      <c r="G464" s="55"/>
      <c r="H464" s="55"/>
      <c r="I464" s="55"/>
      <c r="J464" s="55"/>
      <c r="K464" s="55"/>
      <c r="L464" s="158"/>
      <c r="M464" s="10"/>
      <c r="N464" s="55"/>
      <c r="O464" s="55"/>
      <c r="P464" s="10"/>
      <c r="Q464" s="10"/>
      <c r="R464" s="155"/>
      <c r="S464" s="171"/>
      <c r="T464" s="161"/>
      <c r="U464" s="55"/>
      <c r="V464" s="55"/>
      <c r="W464" s="55"/>
      <c r="X464" s="155"/>
      <c r="Y464" s="171"/>
      <c r="Z464" s="165"/>
      <c r="AA464" s="10"/>
      <c r="AB464" s="55"/>
      <c r="AC464" s="55"/>
      <c r="AD464" s="55"/>
      <c r="AE464" s="55"/>
      <c r="AF464" s="55"/>
      <c r="AG464" s="167"/>
      <c r="AH464" s="55"/>
      <c r="AI464" s="55"/>
      <c r="AJ464" s="165"/>
      <c r="AK464" s="55"/>
      <c r="AL464" s="55"/>
      <c r="AM464" s="55"/>
      <c r="AN464" s="55"/>
      <c r="AO464" s="55"/>
      <c r="AP464" s="55"/>
      <c r="AQ464" s="55"/>
      <c r="AR464" s="55"/>
      <c r="AS464" s="165"/>
      <c r="AT464" s="55"/>
      <c r="AU464" s="55"/>
      <c r="AV464" s="55"/>
      <c r="AW464" s="55"/>
      <c r="AX464" s="55"/>
      <c r="AY464" s="55"/>
      <c r="AZ464" s="55"/>
      <c r="BA464" s="55"/>
      <c r="BB464" s="165"/>
      <c r="BC464" s="55"/>
      <c r="BD464" s="55"/>
      <c r="BE464" s="55"/>
      <c r="BF464" s="165"/>
      <c r="BG464" s="55"/>
      <c r="BH464" s="10"/>
      <c r="BI464" s="55"/>
      <c r="BJ464" s="55"/>
      <c r="BK464" s="55"/>
      <c r="BL464" s="55"/>
      <c r="BT464" s="141"/>
      <c r="CN464" s="141"/>
      <c r="DG464" s="141"/>
    </row>
    <row r="465" spans="1:111" s="93" customFormat="1" x14ac:dyDescent="0.15">
      <c r="A465" s="11"/>
      <c r="B465" s="13"/>
      <c r="C465" s="12"/>
      <c r="D465" s="13"/>
      <c r="E465" s="13"/>
      <c r="F465" s="12"/>
      <c r="G465" s="55"/>
      <c r="H465" s="55"/>
      <c r="I465" s="55"/>
      <c r="J465" s="55"/>
      <c r="K465" s="55"/>
      <c r="L465" s="158"/>
      <c r="M465" s="10"/>
      <c r="N465" s="55"/>
      <c r="O465" s="55"/>
      <c r="P465" s="10"/>
      <c r="Q465" s="10"/>
      <c r="R465" s="155"/>
      <c r="S465" s="171"/>
      <c r="T465" s="161"/>
      <c r="U465" s="55"/>
      <c r="V465" s="55"/>
      <c r="W465" s="55"/>
      <c r="X465" s="155"/>
      <c r="Y465" s="171"/>
      <c r="Z465" s="165"/>
      <c r="AA465" s="10"/>
      <c r="AB465" s="55"/>
      <c r="AC465" s="55"/>
      <c r="AD465" s="55"/>
      <c r="AE465" s="55"/>
      <c r="AF465" s="55"/>
      <c r="AG465" s="167"/>
      <c r="AH465" s="55"/>
      <c r="AI465" s="55"/>
      <c r="AJ465" s="165"/>
      <c r="AK465" s="55"/>
      <c r="AL465" s="55"/>
      <c r="AM465" s="55"/>
      <c r="AN465" s="55"/>
      <c r="AO465" s="55"/>
      <c r="AP465" s="55"/>
      <c r="AQ465" s="55"/>
      <c r="AR465" s="55"/>
      <c r="AS465" s="165"/>
      <c r="AT465" s="55"/>
      <c r="AU465" s="55"/>
      <c r="AV465" s="55"/>
      <c r="AW465" s="55"/>
      <c r="AX465" s="55"/>
      <c r="AY465" s="55"/>
      <c r="AZ465" s="55"/>
      <c r="BA465" s="55"/>
      <c r="BB465" s="165"/>
      <c r="BC465" s="55"/>
      <c r="BD465" s="55"/>
      <c r="BE465" s="55"/>
      <c r="BF465" s="165"/>
      <c r="BG465" s="55"/>
      <c r="BH465" s="10"/>
      <c r="BI465" s="55"/>
      <c r="BJ465" s="55"/>
      <c r="BK465" s="55"/>
      <c r="BL465" s="55"/>
      <c r="BT465" s="141"/>
      <c r="CN465" s="141"/>
      <c r="DG465" s="141"/>
    </row>
    <row r="466" spans="1:111" s="93" customFormat="1" x14ac:dyDescent="0.15">
      <c r="A466" s="11"/>
      <c r="B466" s="13"/>
      <c r="C466" s="12"/>
      <c r="D466" s="13"/>
      <c r="E466" s="13"/>
      <c r="F466" s="12"/>
      <c r="G466" s="55"/>
      <c r="H466" s="55"/>
      <c r="I466" s="55"/>
      <c r="J466" s="55"/>
      <c r="K466" s="55"/>
      <c r="L466" s="158"/>
      <c r="M466" s="10"/>
      <c r="N466" s="55"/>
      <c r="O466" s="55"/>
      <c r="P466" s="10"/>
      <c r="Q466" s="10"/>
      <c r="R466" s="155"/>
      <c r="S466" s="171"/>
      <c r="T466" s="161"/>
      <c r="U466" s="55"/>
      <c r="V466" s="55"/>
      <c r="W466" s="55"/>
      <c r="X466" s="155"/>
      <c r="Y466" s="171"/>
      <c r="Z466" s="165"/>
      <c r="AA466" s="10"/>
      <c r="AB466" s="55"/>
      <c r="AC466" s="55"/>
      <c r="AD466" s="55"/>
      <c r="AE466" s="55"/>
      <c r="AF466" s="55"/>
      <c r="AG466" s="167"/>
      <c r="AH466" s="55"/>
      <c r="AI466" s="55"/>
      <c r="AJ466" s="165"/>
      <c r="AK466" s="55"/>
      <c r="AL466" s="55"/>
      <c r="AM466" s="55"/>
      <c r="AN466" s="55"/>
      <c r="AO466" s="55"/>
      <c r="AP466" s="55"/>
      <c r="AQ466" s="55"/>
      <c r="AR466" s="55"/>
      <c r="AS466" s="165"/>
      <c r="AT466" s="55"/>
      <c r="AU466" s="55"/>
      <c r="AV466" s="55"/>
      <c r="AW466" s="55"/>
      <c r="AX466" s="55"/>
      <c r="AY466" s="55"/>
      <c r="AZ466" s="55"/>
      <c r="BA466" s="55"/>
      <c r="BB466" s="165"/>
      <c r="BC466" s="55"/>
      <c r="BD466" s="55"/>
      <c r="BE466" s="55"/>
      <c r="BF466" s="165"/>
      <c r="BG466" s="55"/>
      <c r="BH466" s="10"/>
      <c r="BI466" s="55"/>
      <c r="BJ466" s="55"/>
      <c r="BK466" s="55"/>
      <c r="BL466" s="55"/>
      <c r="BT466" s="141"/>
      <c r="CN466" s="141"/>
      <c r="DG466" s="141"/>
    </row>
    <row r="467" spans="1:111" s="93" customFormat="1" x14ac:dyDescent="0.15">
      <c r="A467" s="11"/>
      <c r="B467" s="13"/>
      <c r="C467" s="12"/>
      <c r="D467" s="13"/>
      <c r="E467" s="13"/>
      <c r="F467" s="12"/>
      <c r="G467" s="55"/>
      <c r="H467" s="55"/>
      <c r="I467" s="55"/>
      <c r="J467" s="55"/>
      <c r="K467" s="55"/>
      <c r="L467" s="158"/>
      <c r="M467" s="10"/>
      <c r="N467" s="55"/>
      <c r="O467" s="55"/>
      <c r="P467" s="10"/>
      <c r="Q467" s="10"/>
      <c r="R467" s="155"/>
      <c r="S467" s="171"/>
      <c r="T467" s="161"/>
      <c r="U467" s="55"/>
      <c r="V467" s="55"/>
      <c r="W467" s="55"/>
      <c r="X467" s="155"/>
      <c r="Y467" s="171"/>
      <c r="Z467" s="165"/>
      <c r="AA467" s="10"/>
      <c r="AB467" s="55"/>
      <c r="AC467" s="55"/>
      <c r="AD467" s="55"/>
      <c r="AE467" s="55"/>
      <c r="AF467" s="55"/>
      <c r="AG467" s="167"/>
      <c r="AH467" s="55"/>
      <c r="AI467" s="55"/>
      <c r="AJ467" s="165"/>
      <c r="AK467" s="55"/>
      <c r="AL467" s="55"/>
      <c r="AM467" s="55"/>
      <c r="AN467" s="55"/>
      <c r="AO467" s="55"/>
      <c r="AP467" s="55"/>
      <c r="AQ467" s="55"/>
      <c r="AR467" s="55"/>
      <c r="AS467" s="165"/>
      <c r="AT467" s="55"/>
      <c r="AU467" s="55"/>
      <c r="AV467" s="55"/>
      <c r="AW467" s="55"/>
      <c r="AX467" s="55"/>
      <c r="AY467" s="55"/>
      <c r="AZ467" s="55"/>
      <c r="BA467" s="55"/>
      <c r="BB467" s="165"/>
      <c r="BC467" s="55"/>
      <c r="BD467" s="55"/>
      <c r="BE467" s="55"/>
      <c r="BF467" s="165"/>
      <c r="BG467" s="55"/>
      <c r="BH467" s="10"/>
      <c r="BI467" s="55"/>
      <c r="BJ467" s="55"/>
      <c r="BK467" s="55"/>
      <c r="BL467" s="55"/>
      <c r="BT467" s="141"/>
      <c r="CN467" s="141"/>
      <c r="DG467" s="141"/>
    </row>
    <row r="468" spans="1:111" s="93" customFormat="1" x14ac:dyDescent="0.15">
      <c r="A468" s="11"/>
      <c r="B468" s="13"/>
      <c r="C468" s="12"/>
      <c r="D468" s="13"/>
      <c r="E468" s="13"/>
      <c r="F468" s="12"/>
      <c r="G468" s="55"/>
      <c r="H468" s="55"/>
      <c r="I468" s="55"/>
      <c r="J468" s="55"/>
      <c r="K468" s="55"/>
      <c r="L468" s="158"/>
      <c r="M468" s="10"/>
      <c r="N468" s="55"/>
      <c r="O468" s="55"/>
      <c r="P468" s="10"/>
      <c r="Q468" s="10"/>
      <c r="R468" s="155"/>
      <c r="S468" s="171"/>
      <c r="T468" s="161"/>
      <c r="U468" s="55"/>
      <c r="V468" s="55"/>
      <c r="W468" s="55"/>
      <c r="X468" s="155"/>
      <c r="Y468" s="171"/>
      <c r="Z468" s="165"/>
      <c r="AA468" s="10"/>
      <c r="AB468" s="55"/>
      <c r="AC468" s="55"/>
      <c r="AD468" s="55"/>
      <c r="AE468" s="55"/>
      <c r="AF468" s="55"/>
      <c r="AG468" s="167"/>
      <c r="AH468" s="55"/>
      <c r="AI468" s="55"/>
      <c r="AJ468" s="165"/>
      <c r="AK468" s="55"/>
      <c r="AL468" s="55"/>
      <c r="AM468" s="55"/>
      <c r="AN468" s="55"/>
      <c r="AO468" s="55"/>
      <c r="AP468" s="55"/>
      <c r="AQ468" s="55"/>
      <c r="AR468" s="55"/>
      <c r="AS468" s="165"/>
      <c r="AT468" s="55"/>
      <c r="AU468" s="55"/>
      <c r="AV468" s="55"/>
      <c r="AW468" s="55"/>
      <c r="AX468" s="55"/>
      <c r="AY468" s="55"/>
      <c r="AZ468" s="55"/>
      <c r="BA468" s="55"/>
      <c r="BB468" s="165"/>
      <c r="BC468" s="55"/>
      <c r="BD468" s="55"/>
      <c r="BE468" s="55"/>
      <c r="BF468" s="165"/>
      <c r="BG468" s="55"/>
      <c r="BH468" s="10"/>
      <c r="BI468" s="55"/>
      <c r="BJ468" s="55"/>
      <c r="BK468" s="55"/>
      <c r="BL468" s="55"/>
      <c r="BT468" s="141"/>
      <c r="CN468" s="141"/>
      <c r="DG468" s="141"/>
    </row>
    <row r="469" spans="1:111" s="93" customFormat="1" x14ac:dyDescent="0.15">
      <c r="A469" s="11"/>
      <c r="B469" s="13"/>
      <c r="C469" s="12"/>
      <c r="D469" s="13"/>
      <c r="E469" s="13"/>
      <c r="F469" s="12"/>
      <c r="G469" s="55"/>
      <c r="H469" s="55"/>
      <c r="I469" s="55"/>
      <c r="J469" s="55"/>
      <c r="K469" s="55"/>
      <c r="L469" s="158"/>
      <c r="M469" s="10"/>
      <c r="N469" s="55"/>
      <c r="O469" s="55"/>
      <c r="P469" s="10"/>
      <c r="Q469" s="10"/>
      <c r="R469" s="155"/>
      <c r="S469" s="171"/>
      <c r="T469" s="161"/>
      <c r="U469" s="55"/>
      <c r="V469" s="55"/>
      <c r="W469" s="55"/>
      <c r="X469" s="155"/>
      <c r="Y469" s="171"/>
      <c r="Z469" s="165"/>
      <c r="AA469" s="10"/>
      <c r="AB469" s="55"/>
      <c r="AC469" s="55"/>
      <c r="AD469" s="55"/>
      <c r="AE469" s="55"/>
      <c r="AF469" s="55"/>
      <c r="AG469" s="167"/>
      <c r="AH469" s="55"/>
      <c r="AI469" s="55"/>
      <c r="AJ469" s="165"/>
      <c r="AK469" s="55"/>
      <c r="AL469" s="55"/>
      <c r="AM469" s="55"/>
      <c r="AN469" s="55"/>
      <c r="AO469" s="55"/>
      <c r="AP469" s="55"/>
      <c r="AQ469" s="55"/>
      <c r="AR469" s="55"/>
      <c r="AS469" s="165"/>
      <c r="AT469" s="55"/>
      <c r="AU469" s="55"/>
      <c r="AV469" s="55"/>
      <c r="AW469" s="55"/>
      <c r="AX469" s="55"/>
      <c r="AY469" s="55"/>
      <c r="AZ469" s="55"/>
      <c r="BA469" s="55"/>
      <c r="BB469" s="165"/>
      <c r="BC469" s="55"/>
      <c r="BD469" s="55"/>
      <c r="BE469" s="55"/>
      <c r="BF469" s="165"/>
      <c r="BG469" s="55"/>
      <c r="BH469" s="10"/>
      <c r="BI469" s="55"/>
      <c r="BJ469" s="55"/>
      <c r="BK469" s="55"/>
      <c r="BL469" s="55"/>
      <c r="BT469" s="141"/>
      <c r="CN469" s="141"/>
      <c r="DG469" s="141"/>
    </row>
    <row r="470" spans="1:111" s="93" customFormat="1" x14ac:dyDescent="0.15">
      <c r="A470" s="11"/>
      <c r="B470" s="13"/>
      <c r="C470" s="12"/>
      <c r="D470" s="13"/>
      <c r="E470" s="13"/>
      <c r="F470" s="12"/>
      <c r="G470" s="55"/>
      <c r="H470" s="55"/>
      <c r="I470" s="55"/>
      <c r="J470" s="55"/>
      <c r="K470" s="55"/>
      <c r="L470" s="158"/>
      <c r="M470" s="10"/>
      <c r="N470" s="55"/>
      <c r="O470" s="55"/>
      <c r="P470" s="10"/>
      <c r="Q470" s="10"/>
      <c r="R470" s="155"/>
      <c r="S470" s="171"/>
      <c r="T470" s="161"/>
      <c r="U470" s="55"/>
      <c r="V470" s="55"/>
      <c r="W470" s="55"/>
      <c r="X470" s="155"/>
      <c r="Y470" s="171"/>
      <c r="Z470" s="165"/>
      <c r="AA470" s="10"/>
      <c r="AB470" s="55"/>
      <c r="AC470" s="55"/>
      <c r="AD470" s="55"/>
      <c r="AE470" s="55"/>
      <c r="AF470" s="55"/>
      <c r="AG470" s="167"/>
      <c r="AH470" s="55"/>
      <c r="AI470" s="55"/>
      <c r="AJ470" s="165"/>
      <c r="AK470" s="55"/>
      <c r="AL470" s="55"/>
      <c r="AM470" s="55"/>
      <c r="AN470" s="55"/>
      <c r="AO470" s="55"/>
      <c r="AP470" s="55"/>
      <c r="AQ470" s="55"/>
      <c r="AR470" s="55"/>
      <c r="AS470" s="165"/>
      <c r="AT470" s="55"/>
      <c r="AU470" s="55"/>
      <c r="AV470" s="55"/>
      <c r="AW470" s="55"/>
      <c r="AX470" s="55"/>
      <c r="AY470" s="55"/>
      <c r="AZ470" s="55"/>
      <c r="BA470" s="55"/>
      <c r="BB470" s="165"/>
      <c r="BC470" s="55"/>
      <c r="BD470" s="55"/>
      <c r="BE470" s="55"/>
      <c r="BF470" s="165"/>
      <c r="BG470" s="55"/>
      <c r="BH470" s="10"/>
      <c r="BI470" s="55"/>
      <c r="BJ470" s="55"/>
      <c r="BK470" s="55"/>
      <c r="BL470" s="55"/>
      <c r="BT470" s="141"/>
      <c r="CN470" s="141"/>
      <c r="DG470" s="141"/>
    </row>
    <row r="471" spans="1:111" s="93" customFormat="1" x14ac:dyDescent="0.15">
      <c r="A471" s="11"/>
      <c r="B471" s="13"/>
      <c r="C471" s="12"/>
      <c r="D471" s="13"/>
      <c r="E471" s="13"/>
      <c r="F471" s="12"/>
      <c r="G471" s="55"/>
      <c r="H471" s="55"/>
      <c r="I471" s="55"/>
      <c r="J471" s="55"/>
      <c r="K471" s="55"/>
      <c r="L471" s="158"/>
      <c r="M471" s="10"/>
      <c r="N471" s="55"/>
      <c r="O471" s="55"/>
      <c r="P471" s="10"/>
      <c r="Q471" s="10"/>
      <c r="R471" s="155"/>
      <c r="S471" s="171"/>
      <c r="T471" s="161"/>
      <c r="U471" s="55"/>
      <c r="V471" s="55"/>
      <c r="W471" s="55"/>
      <c r="X471" s="155"/>
      <c r="Y471" s="171"/>
      <c r="Z471" s="165"/>
      <c r="AA471" s="10"/>
      <c r="AB471" s="55"/>
      <c r="AC471" s="55"/>
      <c r="AD471" s="55"/>
      <c r="AE471" s="55"/>
      <c r="AF471" s="55"/>
      <c r="AG471" s="167"/>
      <c r="AH471" s="55"/>
      <c r="AI471" s="55"/>
      <c r="AJ471" s="165"/>
      <c r="AK471" s="55"/>
      <c r="AL471" s="55"/>
      <c r="AM471" s="55"/>
      <c r="AN471" s="55"/>
      <c r="AO471" s="55"/>
      <c r="AP471" s="55"/>
      <c r="AQ471" s="55"/>
      <c r="AR471" s="55"/>
      <c r="AS471" s="165"/>
      <c r="AT471" s="55"/>
      <c r="AU471" s="55"/>
      <c r="AV471" s="55"/>
      <c r="AW471" s="55"/>
      <c r="AX471" s="55"/>
      <c r="AY471" s="55"/>
      <c r="AZ471" s="55"/>
      <c r="BA471" s="55"/>
      <c r="BB471" s="165"/>
      <c r="BC471" s="55"/>
      <c r="BD471" s="55"/>
      <c r="BE471" s="55"/>
      <c r="BF471" s="165"/>
      <c r="BG471" s="55"/>
      <c r="BH471" s="10"/>
      <c r="BI471" s="55"/>
      <c r="BJ471" s="55"/>
      <c r="BK471" s="55"/>
      <c r="BL471" s="55"/>
      <c r="BT471" s="141"/>
      <c r="CN471" s="141"/>
      <c r="DG471" s="141"/>
    </row>
    <row r="472" spans="1:111" s="93" customFormat="1" x14ac:dyDescent="0.15">
      <c r="A472" s="11"/>
      <c r="B472" s="13"/>
      <c r="C472" s="12"/>
      <c r="D472" s="13"/>
      <c r="E472" s="13"/>
      <c r="F472" s="12"/>
      <c r="G472" s="55"/>
      <c r="H472" s="55"/>
      <c r="I472" s="55"/>
      <c r="J472" s="55"/>
      <c r="K472" s="55"/>
      <c r="L472" s="158"/>
      <c r="M472" s="10"/>
      <c r="N472" s="55"/>
      <c r="O472" s="55"/>
      <c r="P472" s="10"/>
      <c r="Q472" s="10"/>
      <c r="R472" s="155"/>
      <c r="S472" s="171"/>
      <c r="T472" s="161"/>
      <c r="U472" s="55"/>
      <c r="V472" s="55"/>
      <c r="W472" s="55"/>
      <c r="X472" s="155"/>
      <c r="Y472" s="171"/>
      <c r="Z472" s="165"/>
      <c r="AA472" s="10"/>
      <c r="AB472" s="55"/>
      <c r="AC472" s="55"/>
      <c r="AD472" s="55"/>
      <c r="AE472" s="55"/>
      <c r="AF472" s="55"/>
      <c r="AG472" s="167"/>
      <c r="AH472" s="55"/>
      <c r="AI472" s="55"/>
      <c r="AJ472" s="165"/>
      <c r="AK472" s="55"/>
      <c r="AL472" s="55"/>
      <c r="AM472" s="55"/>
      <c r="AN472" s="55"/>
      <c r="AO472" s="55"/>
      <c r="AP472" s="55"/>
      <c r="AQ472" s="55"/>
      <c r="AR472" s="55"/>
      <c r="AS472" s="165"/>
      <c r="AT472" s="55"/>
      <c r="AU472" s="55"/>
      <c r="AV472" s="55"/>
      <c r="AW472" s="55"/>
      <c r="AX472" s="55"/>
      <c r="AY472" s="55"/>
      <c r="AZ472" s="55"/>
      <c r="BA472" s="55"/>
      <c r="BB472" s="165"/>
      <c r="BC472" s="55"/>
      <c r="BD472" s="55"/>
      <c r="BE472" s="55"/>
      <c r="BF472" s="165"/>
      <c r="BG472" s="55"/>
      <c r="BH472" s="10"/>
      <c r="BI472" s="55"/>
      <c r="BJ472" s="55"/>
      <c r="BK472" s="55"/>
      <c r="BL472" s="55"/>
      <c r="BT472" s="141"/>
      <c r="CN472" s="141"/>
      <c r="DG472" s="141"/>
    </row>
    <row r="473" spans="1:111" s="93" customFormat="1" x14ac:dyDescent="0.15">
      <c r="A473" s="11"/>
      <c r="B473" s="13"/>
      <c r="C473" s="12"/>
      <c r="D473" s="13"/>
      <c r="E473" s="13"/>
      <c r="F473" s="12"/>
      <c r="G473" s="55"/>
      <c r="H473" s="55"/>
      <c r="I473" s="55"/>
      <c r="J473" s="55"/>
      <c r="K473" s="55"/>
      <c r="L473" s="158"/>
      <c r="M473" s="10"/>
      <c r="N473" s="55"/>
      <c r="O473" s="55"/>
      <c r="P473" s="10"/>
      <c r="Q473" s="10"/>
      <c r="R473" s="155"/>
      <c r="S473" s="171"/>
      <c r="T473" s="161"/>
      <c r="U473" s="55"/>
      <c r="V473" s="55"/>
      <c r="W473" s="55"/>
      <c r="X473" s="155"/>
      <c r="Y473" s="171"/>
      <c r="Z473" s="165"/>
      <c r="AA473" s="10"/>
      <c r="AB473" s="55"/>
      <c r="AC473" s="55"/>
      <c r="AD473" s="55"/>
      <c r="AE473" s="55"/>
      <c r="AF473" s="55"/>
      <c r="AG473" s="167"/>
      <c r="AH473" s="55"/>
      <c r="AI473" s="55"/>
      <c r="AJ473" s="165"/>
      <c r="AK473" s="55"/>
      <c r="AL473" s="55"/>
      <c r="AM473" s="55"/>
      <c r="AN473" s="55"/>
      <c r="AO473" s="55"/>
      <c r="AP473" s="55"/>
      <c r="AQ473" s="55"/>
      <c r="AR473" s="55"/>
      <c r="AS473" s="165"/>
      <c r="AT473" s="55"/>
      <c r="AU473" s="55"/>
      <c r="AV473" s="55"/>
      <c r="AW473" s="55"/>
      <c r="AX473" s="55"/>
      <c r="AY473" s="55"/>
      <c r="AZ473" s="55"/>
      <c r="BA473" s="55"/>
      <c r="BB473" s="165"/>
      <c r="BC473" s="55"/>
      <c r="BD473" s="55"/>
      <c r="BE473" s="55"/>
      <c r="BF473" s="165"/>
      <c r="BG473" s="55"/>
      <c r="BH473" s="10"/>
      <c r="BI473" s="55"/>
      <c r="BJ473" s="55"/>
      <c r="BK473" s="55"/>
      <c r="BL473" s="55"/>
      <c r="BT473" s="141"/>
      <c r="CN473" s="141"/>
      <c r="DG473" s="141"/>
    </row>
    <row r="474" spans="1:111" s="93" customFormat="1" x14ac:dyDescent="0.15">
      <c r="A474" s="11"/>
      <c r="B474" s="13"/>
      <c r="C474" s="12"/>
      <c r="D474" s="13"/>
      <c r="E474" s="13"/>
      <c r="F474" s="12"/>
      <c r="G474" s="55"/>
      <c r="H474" s="55"/>
      <c r="I474" s="55"/>
      <c r="J474" s="55"/>
      <c r="K474" s="55"/>
      <c r="L474" s="158"/>
      <c r="M474" s="10"/>
      <c r="N474" s="55"/>
      <c r="O474" s="55"/>
      <c r="P474" s="10"/>
      <c r="Q474" s="10"/>
      <c r="R474" s="155"/>
      <c r="S474" s="171"/>
      <c r="T474" s="161"/>
      <c r="U474" s="55"/>
      <c r="V474" s="55"/>
      <c r="W474" s="55"/>
      <c r="X474" s="155"/>
      <c r="Y474" s="171"/>
      <c r="Z474" s="165"/>
      <c r="AA474" s="10"/>
      <c r="AB474" s="55"/>
      <c r="AC474" s="55"/>
      <c r="AD474" s="55"/>
      <c r="AE474" s="55"/>
      <c r="AF474" s="55"/>
      <c r="AG474" s="167"/>
      <c r="AH474" s="55"/>
      <c r="AI474" s="55"/>
      <c r="AJ474" s="165"/>
      <c r="AK474" s="55"/>
      <c r="AL474" s="55"/>
      <c r="AM474" s="55"/>
      <c r="AN474" s="55"/>
      <c r="AO474" s="55"/>
      <c r="AP474" s="55"/>
      <c r="AQ474" s="55"/>
      <c r="AR474" s="55"/>
      <c r="AS474" s="165"/>
      <c r="AT474" s="55"/>
      <c r="AU474" s="55"/>
      <c r="AV474" s="55"/>
      <c r="AW474" s="55"/>
      <c r="AX474" s="55"/>
      <c r="AY474" s="55"/>
      <c r="AZ474" s="55"/>
      <c r="BA474" s="55"/>
      <c r="BB474" s="165"/>
      <c r="BC474" s="55"/>
      <c r="BD474" s="55"/>
      <c r="BE474" s="55"/>
      <c r="BF474" s="165"/>
      <c r="BG474" s="55"/>
      <c r="BH474" s="10"/>
      <c r="BI474" s="55"/>
      <c r="BJ474" s="55"/>
      <c r="BK474" s="55"/>
      <c r="BL474" s="55"/>
      <c r="BT474" s="141"/>
      <c r="CN474" s="141"/>
      <c r="DG474" s="141"/>
    </row>
    <row r="475" spans="1:111" s="93" customFormat="1" x14ac:dyDescent="0.15">
      <c r="A475" s="11"/>
      <c r="B475" s="13"/>
      <c r="C475" s="12"/>
      <c r="D475" s="13"/>
      <c r="E475" s="13"/>
      <c r="F475" s="12"/>
      <c r="G475" s="55"/>
      <c r="H475" s="55"/>
      <c r="I475" s="55"/>
      <c r="J475" s="55"/>
      <c r="K475" s="55"/>
      <c r="L475" s="158"/>
      <c r="M475" s="10"/>
      <c r="N475" s="55"/>
      <c r="O475" s="55"/>
      <c r="P475" s="10"/>
      <c r="Q475" s="10"/>
      <c r="R475" s="155"/>
      <c r="S475" s="171"/>
      <c r="T475" s="161"/>
      <c r="U475" s="55"/>
      <c r="V475" s="55"/>
      <c r="W475" s="55"/>
      <c r="X475" s="155"/>
      <c r="Y475" s="171"/>
      <c r="Z475" s="165"/>
      <c r="AA475" s="10"/>
      <c r="AB475" s="55"/>
      <c r="AC475" s="55"/>
      <c r="AD475" s="55"/>
      <c r="AE475" s="55"/>
      <c r="AF475" s="55"/>
      <c r="AG475" s="167"/>
      <c r="AH475" s="55"/>
      <c r="AI475" s="55"/>
      <c r="AJ475" s="165"/>
      <c r="AK475" s="55"/>
      <c r="AL475" s="55"/>
      <c r="AM475" s="55"/>
      <c r="AN475" s="55"/>
      <c r="AO475" s="55"/>
      <c r="AP475" s="55"/>
      <c r="AQ475" s="55"/>
      <c r="AR475" s="55"/>
      <c r="AS475" s="165"/>
      <c r="AT475" s="55"/>
      <c r="AU475" s="55"/>
      <c r="AV475" s="55"/>
      <c r="AW475" s="55"/>
      <c r="AX475" s="55"/>
      <c r="AY475" s="55"/>
      <c r="AZ475" s="55"/>
      <c r="BA475" s="55"/>
      <c r="BB475" s="165"/>
      <c r="BC475" s="55"/>
      <c r="BD475" s="55"/>
      <c r="BE475" s="55"/>
      <c r="BF475" s="165"/>
      <c r="BG475" s="55"/>
      <c r="BH475" s="10"/>
      <c r="BI475" s="55"/>
      <c r="BJ475" s="55"/>
      <c r="BK475" s="55"/>
      <c r="BL475" s="55"/>
      <c r="BT475" s="141"/>
      <c r="CN475" s="141"/>
      <c r="DG475" s="141"/>
    </row>
    <row r="476" spans="1:111" s="93" customFormat="1" x14ac:dyDescent="0.15">
      <c r="A476" s="11"/>
      <c r="B476" s="13"/>
      <c r="C476" s="12"/>
      <c r="D476" s="13"/>
      <c r="E476" s="13"/>
      <c r="F476" s="12"/>
      <c r="G476" s="55"/>
      <c r="H476" s="55"/>
      <c r="I476" s="55"/>
      <c r="J476" s="55"/>
      <c r="K476" s="55"/>
      <c r="L476" s="158"/>
      <c r="M476" s="10"/>
      <c r="N476" s="55"/>
      <c r="O476" s="55"/>
      <c r="P476" s="10"/>
      <c r="Q476" s="10"/>
      <c r="R476" s="155"/>
      <c r="S476" s="171"/>
      <c r="T476" s="161"/>
      <c r="U476" s="55"/>
      <c r="V476" s="55"/>
      <c r="W476" s="55"/>
      <c r="X476" s="155"/>
      <c r="Y476" s="171"/>
      <c r="Z476" s="165"/>
      <c r="AA476" s="10"/>
      <c r="AB476" s="55"/>
      <c r="AC476" s="55"/>
      <c r="AD476" s="55"/>
      <c r="AE476" s="55"/>
      <c r="AF476" s="55"/>
      <c r="AG476" s="167"/>
      <c r="AH476" s="55"/>
      <c r="AI476" s="55"/>
      <c r="AJ476" s="165"/>
      <c r="AK476" s="55"/>
      <c r="AL476" s="55"/>
      <c r="AM476" s="55"/>
      <c r="AN476" s="55"/>
      <c r="AO476" s="55"/>
      <c r="AP476" s="55"/>
      <c r="AQ476" s="55"/>
      <c r="AR476" s="55"/>
      <c r="AS476" s="165"/>
      <c r="AT476" s="55"/>
      <c r="AU476" s="55"/>
      <c r="AV476" s="55"/>
      <c r="AW476" s="55"/>
      <c r="AX476" s="55"/>
      <c r="AY476" s="55"/>
      <c r="AZ476" s="55"/>
      <c r="BA476" s="55"/>
      <c r="BB476" s="165"/>
      <c r="BC476" s="55"/>
      <c r="BD476" s="55"/>
      <c r="BE476" s="55"/>
      <c r="BF476" s="165"/>
      <c r="BG476" s="55"/>
      <c r="BH476" s="10"/>
      <c r="BI476" s="55"/>
      <c r="BJ476" s="55"/>
      <c r="BK476" s="55"/>
      <c r="BL476" s="55"/>
      <c r="BT476" s="141"/>
      <c r="CN476" s="141"/>
      <c r="DG476" s="141"/>
    </row>
    <row r="477" spans="1:111" s="93" customFormat="1" x14ac:dyDescent="0.15">
      <c r="A477" s="11"/>
      <c r="B477" s="13"/>
      <c r="C477" s="12"/>
      <c r="D477" s="13"/>
      <c r="E477" s="13"/>
      <c r="F477" s="12"/>
      <c r="G477" s="55"/>
      <c r="H477" s="55"/>
      <c r="I477" s="55"/>
      <c r="J477" s="55"/>
      <c r="K477" s="55"/>
      <c r="L477" s="158"/>
      <c r="M477" s="10"/>
      <c r="N477" s="55"/>
      <c r="O477" s="55"/>
      <c r="P477" s="10"/>
      <c r="Q477" s="10"/>
      <c r="R477" s="155"/>
      <c r="S477" s="171"/>
      <c r="T477" s="161"/>
      <c r="U477" s="55"/>
      <c r="V477" s="55"/>
      <c r="W477" s="55"/>
      <c r="X477" s="155"/>
      <c r="Y477" s="171"/>
      <c r="Z477" s="165"/>
      <c r="AA477" s="10"/>
      <c r="AB477" s="55"/>
      <c r="AC477" s="55"/>
      <c r="AD477" s="55"/>
      <c r="AE477" s="55"/>
      <c r="AF477" s="55"/>
      <c r="AG477" s="167"/>
      <c r="AH477" s="55"/>
      <c r="AI477" s="55"/>
      <c r="AJ477" s="165"/>
      <c r="AK477" s="55"/>
      <c r="AL477" s="55"/>
      <c r="AM477" s="55"/>
      <c r="AN477" s="55"/>
      <c r="AO477" s="55"/>
      <c r="AP477" s="55"/>
      <c r="AQ477" s="55"/>
      <c r="AR477" s="55"/>
      <c r="AS477" s="165"/>
      <c r="AT477" s="55"/>
      <c r="AU477" s="55"/>
      <c r="AV477" s="55"/>
      <c r="AW477" s="55"/>
      <c r="AX477" s="55"/>
      <c r="AY477" s="55"/>
      <c r="AZ477" s="55"/>
      <c r="BA477" s="55"/>
      <c r="BB477" s="165"/>
      <c r="BC477" s="55"/>
      <c r="BD477" s="55"/>
      <c r="BE477" s="55"/>
      <c r="BF477" s="165"/>
      <c r="BG477" s="55"/>
      <c r="BH477" s="10"/>
      <c r="BI477" s="55"/>
      <c r="BJ477" s="55"/>
      <c r="BK477" s="55"/>
      <c r="BL477" s="55"/>
      <c r="BT477" s="141"/>
      <c r="CN477" s="141"/>
      <c r="DG477" s="141"/>
    </row>
    <row r="478" spans="1:111" s="93" customFormat="1" x14ac:dyDescent="0.15">
      <c r="A478" s="11"/>
      <c r="B478" s="13"/>
      <c r="C478" s="12"/>
      <c r="D478" s="13"/>
      <c r="E478" s="13"/>
      <c r="F478" s="12"/>
      <c r="G478" s="55"/>
      <c r="H478" s="55"/>
      <c r="I478" s="55"/>
      <c r="J478" s="55"/>
      <c r="K478" s="55"/>
      <c r="L478" s="158"/>
      <c r="M478" s="10"/>
      <c r="N478" s="55"/>
      <c r="O478" s="55"/>
      <c r="P478" s="10"/>
      <c r="Q478" s="10"/>
      <c r="R478" s="155"/>
      <c r="S478" s="171"/>
      <c r="T478" s="161"/>
      <c r="U478" s="55"/>
      <c r="V478" s="55"/>
      <c r="W478" s="55"/>
      <c r="X478" s="155"/>
      <c r="Y478" s="171"/>
      <c r="Z478" s="165"/>
      <c r="AA478" s="10"/>
      <c r="AB478" s="55"/>
      <c r="AC478" s="55"/>
      <c r="AD478" s="55"/>
      <c r="AE478" s="55"/>
      <c r="AF478" s="55"/>
      <c r="AG478" s="167"/>
      <c r="AH478" s="55"/>
      <c r="AI478" s="55"/>
      <c r="AJ478" s="165"/>
      <c r="AK478" s="55"/>
      <c r="AL478" s="55"/>
      <c r="AM478" s="55"/>
      <c r="AN478" s="55"/>
      <c r="AO478" s="55"/>
      <c r="AP478" s="55"/>
      <c r="AQ478" s="55"/>
      <c r="AR478" s="55"/>
      <c r="AS478" s="165"/>
      <c r="AT478" s="55"/>
      <c r="AU478" s="55"/>
      <c r="AV478" s="55"/>
      <c r="AW478" s="55"/>
      <c r="AX478" s="55"/>
      <c r="AY478" s="55"/>
      <c r="AZ478" s="55"/>
      <c r="BA478" s="55"/>
      <c r="BB478" s="165"/>
      <c r="BC478" s="55"/>
      <c r="BD478" s="55"/>
      <c r="BE478" s="55"/>
      <c r="BF478" s="165"/>
      <c r="BG478" s="55"/>
      <c r="BH478" s="10"/>
      <c r="BI478" s="55"/>
      <c r="BJ478" s="55"/>
      <c r="BK478" s="55"/>
      <c r="BL478" s="55"/>
      <c r="BT478" s="141"/>
      <c r="CN478" s="141"/>
      <c r="DG478" s="141"/>
    </row>
    <row r="479" spans="1:111" s="93" customFormat="1" x14ac:dyDescent="0.15">
      <c r="A479" s="11"/>
      <c r="B479" s="13"/>
      <c r="C479" s="12"/>
      <c r="D479" s="13"/>
      <c r="E479" s="13"/>
      <c r="F479" s="12"/>
      <c r="G479" s="55"/>
      <c r="H479" s="55"/>
      <c r="I479" s="55"/>
      <c r="J479" s="55"/>
      <c r="K479" s="55"/>
      <c r="L479" s="158"/>
      <c r="M479" s="10"/>
      <c r="N479" s="55"/>
      <c r="O479" s="55"/>
      <c r="P479" s="10"/>
      <c r="Q479" s="10"/>
      <c r="R479" s="155"/>
      <c r="S479" s="171"/>
      <c r="T479" s="161"/>
      <c r="U479" s="55"/>
      <c r="V479" s="55"/>
      <c r="W479" s="55"/>
      <c r="X479" s="155"/>
      <c r="Y479" s="171"/>
      <c r="Z479" s="165"/>
      <c r="AA479" s="10"/>
      <c r="AB479" s="55"/>
      <c r="AC479" s="55"/>
      <c r="AD479" s="55"/>
      <c r="AE479" s="55"/>
      <c r="AF479" s="55"/>
      <c r="AG479" s="167"/>
      <c r="AH479" s="55"/>
      <c r="AI479" s="55"/>
      <c r="AJ479" s="165"/>
      <c r="AK479" s="55"/>
      <c r="AL479" s="55"/>
      <c r="AM479" s="55"/>
      <c r="AN479" s="55"/>
      <c r="AO479" s="55"/>
      <c r="AP479" s="55"/>
      <c r="AQ479" s="55"/>
      <c r="AR479" s="55"/>
      <c r="AS479" s="165"/>
      <c r="AT479" s="55"/>
      <c r="AU479" s="55"/>
      <c r="AV479" s="55"/>
      <c r="AW479" s="55"/>
      <c r="AX479" s="55"/>
      <c r="AY479" s="55"/>
      <c r="AZ479" s="55"/>
      <c r="BA479" s="55"/>
      <c r="BB479" s="165"/>
      <c r="BC479" s="55"/>
      <c r="BD479" s="55"/>
      <c r="BE479" s="55"/>
      <c r="BF479" s="165"/>
      <c r="BG479" s="55"/>
      <c r="BH479" s="10"/>
      <c r="BI479" s="55"/>
      <c r="BJ479" s="55"/>
      <c r="BK479" s="55"/>
      <c r="BL479" s="55"/>
      <c r="BT479" s="141"/>
      <c r="CN479" s="141"/>
      <c r="DG479" s="141"/>
    </row>
    <row r="480" spans="1:111" s="93" customFormat="1" x14ac:dyDescent="0.15">
      <c r="A480" s="11"/>
      <c r="B480" s="13"/>
      <c r="C480" s="12"/>
      <c r="D480" s="13"/>
      <c r="E480" s="13"/>
      <c r="F480" s="12"/>
      <c r="G480" s="55"/>
      <c r="H480" s="55"/>
      <c r="I480" s="55"/>
      <c r="J480" s="55"/>
      <c r="K480" s="55"/>
      <c r="L480" s="158"/>
      <c r="M480" s="10"/>
      <c r="N480" s="55"/>
      <c r="O480" s="55"/>
      <c r="P480" s="10"/>
      <c r="Q480" s="10"/>
      <c r="R480" s="155"/>
      <c r="S480" s="171"/>
      <c r="T480" s="161"/>
      <c r="U480" s="55"/>
      <c r="V480" s="55"/>
      <c r="W480" s="55"/>
      <c r="X480" s="155"/>
      <c r="Y480" s="171"/>
      <c r="Z480" s="165"/>
      <c r="AA480" s="10"/>
      <c r="AB480" s="55"/>
      <c r="AC480" s="55"/>
      <c r="AD480" s="55"/>
      <c r="AE480" s="55"/>
      <c r="AF480" s="55"/>
      <c r="AG480" s="167"/>
      <c r="AH480" s="55"/>
      <c r="AI480" s="55"/>
      <c r="AJ480" s="165"/>
      <c r="AK480" s="55"/>
      <c r="AL480" s="55"/>
      <c r="AM480" s="55"/>
      <c r="AN480" s="55"/>
      <c r="AO480" s="55"/>
      <c r="AP480" s="55"/>
      <c r="AQ480" s="55"/>
      <c r="AR480" s="55"/>
      <c r="AS480" s="165"/>
      <c r="AT480" s="55"/>
      <c r="AU480" s="55"/>
      <c r="AV480" s="55"/>
      <c r="AW480" s="55"/>
      <c r="AX480" s="55"/>
      <c r="AY480" s="55"/>
      <c r="AZ480" s="55"/>
      <c r="BA480" s="55"/>
      <c r="BB480" s="165"/>
      <c r="BC480" s="55"/>
      <c r="BD480" s="55"/>
      <c r="BE480" s="55"/>
      <c r="BF480" s="165"/>
      <c r="BG480" s="55"/>
      <c r="BH480" s="10"/>
      <c r="BI480" s="55"/>
      <c r="BJ480" s="55"/>
      <c r="BK480" s="55"/>
      <c r="BL480" s="55"/>
      <c r="BT480" s="141"/>
      <c r="CN480" s="141"/>
      <c r="DG480" s="141"/>
    </row>
    <row r="481" spans="1:111" s="93" customFormat="1" x14ac:dyDescent="0.15">
      <c r="A481" s="11"/>
      <c r="B481" s="13"/>
      <c r="C481" s="12"/>
      <c r="D481" s="13"/>
      <c r="E481" s="13"/>
      <c r="F481" s="12"/>
      <c r="G481" s="55"/>
      <c r="H481" s="55"/>
      <c r="I481" s="55"/>
      <c r="J481" s="55"/>
      <c r="K481" s="55"/>
      <c r="L481" s="158"/>
      <c r="M481" s="10"/>
      <c r="N481" s="55"/>
      <c r="O481" s="55"/>
      <c r="P481" s="10"/>
      <c r="Q481" s="10"/>
      <c r="R481" s="155"/>
      <c r="S481" s="171"/>
      <c r="T481" s="161"/>
      <c r="U481" s="55"/>
      <c r="V481" s="55"/>
      <c r="W481" s="55"/>
      <c r="X481" s="155"/>
      <c r="Y481" s="171"/>
      <c r="Z481" s="165"/>
      <c r="AA481" s="10"/>
      <c r="AB481" s="55"/>
      <c r="AC481" s="55"/>
      <c r="AD481" s="55"/>
      <c r="AE481" s="55"/>
      <c r="AF481" s="55"/>
      <c r="AG481" s="167"/>
      <c r="AH481" s="55"/>
      <c r="AI481" s="55"/>
      <c r="AJ481" s="165"/>
      <c r="AK481" s="55"/>
      <c r="AL481" s="55"/>
      <c r="AM481" s="55"/>
      <c r="AN481" s="55"/>
      <c r="AO481" s="55"/>
      <c r="AP481" s="55"/>
      <c r="AQ481" s="55"/>
      <c r="AR481" s="55"/>
      <c r="AS481" s="165"/>
      <c r="AT481" s="55"/>
      <c r="AU481" s="55"/>
      <c r="AV481" s="55"/>
      <c r="AW481" s="55"/>
      <c r="AX481" s="55"/>
      <c r="AY481" s="55"/>
      <c r="AZ481" s="55"/>
      <c r="BA481" s="55"/>
      <c r="BB481" s="165"/>
      <c r="BC481" s="55"/>
      <c r="BD481" s="55"/>
      <c r="BE481" s="55"/>
      <c r="BF481" s="165"/>
      <c r="BG481" s="55"/>
      <c r="BH481" s="10"/>
      <c r="BI481" s="55"/>
      <c r="BJ481" s="55"/>
      <c r="BK481" s="55"/>
      <c r="BL481" s="55"/>
      <c r="BT481" s="141"/>
      <c r="CN481" s="141"/>
      <c r="DG481" s="141"/>
    </row>
    <row r="482" spans="1:111" s="93" customFormat="1" x14ac:dyDescent="0.15">
      <c r="A482" s="11"/>
      <c r="B482" s="13"/>
      <c r="C482" s="12"/>
      <c r="D482" s="13"/>
      <c r="E482" s="13"/>
      <c r="F482" s="12"/>
      <c r="G482" s="55"/>
      <c r="H482" s="55"/>
      <c r="I482" s="55"/>
      <c r="J482" s="55"/>
      <c r="K482" s="55"/>
      <c r="L482" s="158"/>
      <c r="M482" s="10"/>
      <c r="N482" s="55"/>
      <c r="O482" s="55"/>
      <c r="P482" s="10"/>
      <c r="Q482" s="10"/>
      <c r="R482" s="155"/>
      <c r="S482" s="171"/>
      <c r="T482" s="161"/>
      <c r="U482" s="55"/>
      <c r="V482" s="55"/>
      <c r="W482" s="55"/>
      <c r="X482" s="155"/>
      <c r="Y482" s="171"/>
      <c r="Z482" s="165"/>
      <c r="AA482" s="10"/>
      <c r="AB482" s="55"/>
      <c r="AC482" s="55"/>
      <c r="AD482" s="55"/>
      <c r="AE482" s="55"/>
      <c r="AF482" s="55"/>
      <c r="AG482" s="167"/>
      <c r="AH482" s="55"/>
      <c r="AI482" s="55"/>
      <c r="AJ482" s="165"/>
      <c r="AK482" s="55"/>
      <c r="AL482" s="55"/>
      <c r="AM482" s="55"/>
      <c r="AN482" s="55"/>
      <c r="AO482" s="55"/>
      <c r="AP482" s="55"/>
      <c r="AQ482" s="55"/>
      <c r="AR482" s="55"/>
      <c r="AS482" s="165"/>
      <c r="AT482" s="55"/>
      <c r="AU482" s="55"/>
      <c r="AV482" s="55"/>
      <c r="AW482" s="55"/>
      <c r="AX482" s="55"/>
      <c r="AY482" s="55"/>
      <c r="AZ482" s="55"/>
      <c r="BA482" s="55"/>
      <c r="BB482" s="165"/>
      <c r="BC482" s="55"/>
      <c r="BD482" s="55"/>
      <c r="BE482" s="55"/>
      <c r="BF482" s="165"/>
      <c r="BG482" s="55"/>
      <c r="BH482" s="10"/>
      <c r="BI482" s="55"/>
      <c r="BJ482" s="55"/>
      <c r="BK482" s="55"/>
      <c r="BL482" s="55"/>
      <c r="BT482" s="141"/>
      <c r="CN482" s="141"/>
      <c r="DG482" s="141"/>
    </row>
    <row r="483" spans="1:111" s="93" customFormat="1" x14ac:dyDescent="0.15">
      <c r="A483" s="11"/>
      <c r="B483" s="13"/>
      <c r="C483" s="12"/>
      <c r="D483" s="13"/>
      <c r="E483" s="13"/>
      <c r="F483" s="12"/>
      <c r="G483" s="55"/>
      <c r="H483" s="55"/>
      <c r="I483" s="55"/>
      <c r="J483" s="55"/>
      <c r="K483" s="55"/>
      <c r="L483" s="158"/>
      <c r="M483" s="10"/>
      <c r="N483" s="55"/>
      <c r="O483" s="55"/>
      <c r="P483" s="10"/>
      <c r="Q483" s="10"/>
      <c r="R483" s="155"/>
      <c r="S483" s="171"/>
      <c r="T483" s="161"/>
      <c r="U483" s="55"/>
      <c r="V483" s="55"/>
      <c r="W483" s="55"/>
      <c r="X483" s="155"/>
      <c r="Y483" s="171"/>
      <c r="Z483" s="165"/>
      <c r="AA483" s="10"/>
      <c r="AB483" s="55"/>
      <c r="AC483" s="55"/>
      <c r="AD483" s="55"/>
      <c r="AE483" s="55"/>
      <c r="AF483" s="55"/>
      <c r="AG483" s="167"/>
      <c r="AH483" s="55"/>
      <c r="AI483" s="55"/>
      <c r="AJ483" s="165"/>
      <c r="AK483" s="55"/>
      <c r="AL483" s="55"/>
      <c r="AM483" s="55"/>
      <c r="AN483" s="55"/>
      <c r="AO483" s="55"/>
      <c r="AP483" s="55"/>
      <c r="AQ483" s="55"/>
      <c r="AR483" s="55"/>
      <c r="AS483" s="165"/>
      <c r="AT483" s="55"/>
      <c r="AU483" s="55"/>
      <c r="AV483" s="55"/>
      <c r="AW483" s="55"/>
      <c r="AX483" s="55"/>
      <c r="AY483" s="55"/>
      <c r="AZ483" s="55"/>
      <c r="BA483" s="55"/>
      <c r="BB483" s="165"/>
      <c r="BC483" s="55"/>
      <c r="BD483" s="55"/>
      <c r="BE483" s="55"/>
      <c r="BF483" s="165"/>
      <c r="BG483" s="55"/>
      <c r="BH483" s="10"/>
      <c r="BI483" s="55"/>
      <c r="BJ483" s="55"/>
      <c r="BK483" s="55"/>
      <c r="BL483" s="55"/>
      <c r="BT483" s="141"/>
      <c r="CN483" s="141"/>
      <c r="DG483" s="141"/>
    </row>
    <row r="484" spans="1:111" s="93" customFormat="1" x14ac:dyDescent="0.15">
      <c r="A484" s="11"/>
      <c r="B484" s="13"/>
      <c r="C484" s="12"/>
      <c r="D484" s="13"/>
      <c r="E484" s="13"/>
      <c r="F484" s="12"/>
      <c r="G484" s="55"/>
      <c r="H484" s="55"/>
      <c r="I484" s="55"/>
      <c r="J484" s="55"/>
      <c r="K484" s="55"/>
      <c r="L484" s="158"/>
      <c r="M484" s="10"/>
      <c r="N484" s="55"/>
      <c r="O484" s="55"/>
      <c r="P484" s="10"/>
      <c r="Q484" s="10"/>
      <c r="R484" s="155"/>
      <c r="S484" s="171"/>
      <c r="T484" s="161"/>
      <c r="U484" s="55"/>
      <c r="V484" s="55"/>
      <c r="W484" s="55"/>
      <c r="X484" s="155"/>
      <c r="Y484" s="171"/>
      <c r="Z484" s="165"/>
      <c r="AA484" s="10"/>
      <c r="AB484" s="55"/>
      <c r="AC484" s="55"/>
      <c r="AD484" s="55"/>
      <c r="AE484" s="55"/>
      <c r="AF484" s="55"/>
      <c r="AG484" s="167"/>
      <c r="AH484" s="55"/>
      <c r="AI484" s="55"/>
      <c r="AJ484" s="165"/>
      <c r="AK484" s="55"/>
      <c r="AL484" s="55"/>
      <c r="AM484" s="55"/>
      <c r="AN484" s="55"/>
      <c r="AO484" s="55"/>
      <c r="AP484" s="55"/>
      <c r="AQ484" s="55"/>
      <c r="AR484" s="55"/>
      <c r="AS484" s="165"/>
      <c r="AT484" s="55"/>
      <c r="AU484" s="55"/>
      <c r="AV484" s="55"/>
      <c r="AW484" s="55"/>
      <c r="AX484" s="55"/>
      <c r="AY484" s="55"/>
      <c r="AZ484" s="55"/>
      <c r="BA484" s="55"/>
      <c r="BB484" s="165"/>
      <c r="BC484" s="55"/>
      <c r="BD484" s="55"/>
      <c r="BE484" s="55"/>
      <c r="BF484" s="165"/>
      <c r="BG484" s="55"/>
      <c r="BH484" s="10"/>
      <c r="BI484" s="55"/>
      <c r="BJ484" s="55"/>
      <c r="BK484" s="55"/>
      <c r="BL484" s="55"/>
      <c r="BT484" s="141"/>
      <c r="CN484" s="141"/>
      <c r="DG484" s="141"/>
    </row>
    <row r="485" spans="1:111" s="93" customFormat="1" x14ac:dyDescent="0.15">
      <c r="A485" s="11"/>
      <c r="B485" s="13"/>
      <c r="C485" s="12"/>
      <c r="D485" s="13"/>
      <c r="E485" s="13"/>
      <c r="F485" s="12"/>
      <c r="G485" s="55"/>
      <c r="H485" s="55"/>
      <c r="I485" s="55"/>
      <c r="J485" s="55"/>
      <c r="K485" s="55"/>
      <c r="L485" s="158"/>
      <c r="M485" s="10"/>
      <c r="N485" s="55"/>
      <c r="O485" s="55"/>
      <c r="P485" s="10"/>
      <c r="Q485" s="10"/>
      <c r="R485" s="155"/>
      <c r="S485" s="171"/>
      <c r="T485" s="161"/>
      <c r="U485" s="55"/>
      <c r="V485" s="55"/>
      <c r="W485" s="55"/>
      <c r="X485" s="155"/>
      <c r="Y485" s="171"/>
      <c r="Z485" s="165"/>
      <c r="AA485" s="10"/>
      <c r="AB485" s="55"/>
      <c r="AC485" s="55"/>
      <c r="AD485" s="55"/>
      <c r="AE485" s="55"/>
      <c r="AF485" s="55"/>
      <c r="AG485" s="167"/>
      <c r="AH485" s="55"/>
      <c r="AI485" s="55"/>
      <c r="AJ485" s="165"/>
      <c r="AK485" s="55"/>
      <c r="AL485" s="55"/>
      <c r="AM485" s="55"/>
      <c r="AN485" s="55"/>
      <c r="AO485" s="55"/>
      <c r="AP485" s="55"/>
      <c r="AQ485" s="55"/>
      <c r="AR485" s="55"/>
      <c r="AS485" s="165"/>
      <c r="AT485" s="55"/>
      <c r="AU485" s="55"/>
      <c r="AV485" s="55"/>
      <c r="AW485" s="55"/>
      <c r="AX485" s="55"/>
      <c r="AY485" s="55"/>
      <c r="AZ485" s="55"/>
      <c r="BA485" s="55"/>
      <c r="BB485" s="165"/>
      <c r="BC485" s="55"/>
      <c r="BD485" s="55"/>
      <c r="BE485" s="55"/>
      <c r="BF485" s="165"/>
      <c r="BG485" s="55"/>
      <c r="BH485" s="10"/>
      <c r="BI485" s="55"/>
      <c r="BJ485" s="55"/>
      <c r="BK485" s="55"/>
      <c r="BL485" s="55"/>
      <c r="BT485" s="141"/>
      <c r="CN485" s="141"/>
      <c r="DG485" s="141"/>
    </row>
    <row r="486" spans="1:111" s="93" customFormat="1" x14ac:dyDescent="0.15">
      <c r="A486" s="11"/>
      <c r="B486" s="13"/>
      <c r="C486" s="12"/>
      <c r="D486" s="13"/>
      <c r="E486" s="13"/>
      <c r="F486" s="12"/>
      <c r="G486" s="55"/>
      <c r="H486" s="55"/>
      <c r="I486" s="55"/>
      <c r="J486" s="55"/>
      <c r="K486" s="55"/>
      <c r="L486" s="158"/>
      <c r="M486" s="10"/>
      <c r="N486" s="55"/>
      <c r="O486" s="55"/>
      <c r="P486" s="10"/>
      <c r="Q486" s="10"/>
      <c r="R486" s="155"/>
      <c r="S486" s="171"/>
      <c r="T486" s="161"/>
      <c r="U486" s="55"/>
      <c r="V486" s="55"/>
      <c r="W486" s="55"/>
      <c r="X486" s="155"/>
      <c r="Y486" s="171"/>
      <c r="Z486" s="165"/>
      <c r="AA486" s="10"/>
      <c r="AB486" s="55"/>
      <c r="AC486" s="55"/>
      <c r="AD486" s="55"/>
      <c r="AE486" s="55"/>
      <c r="AF486" s="55"/>
      <c r="AG486" s="167"/>
      <c r="AH486" s="55"/>
      <c r="AI486" s="55"/>
      <c r="AJ486" s="165"/>
      <c r="AK486" s="55"/>
      <c r="AL486" s="55"/>
      <c r="AM486" s="55"/>
      <c r="AN486" s="55"/>
      <c r="AO486" s="55"/>
      <c r="AP486" s="55"/>
      <c r="AQ486" s="55"/>
      <c r="AR486" s="55"/>
      <c r="AS486" s="165"/>
      <c r="AT486" s="55"/>
      <c r="AU486" s="55"/>
      <c r="AV486" s="55"/>
      <c r="AW486" s="55"/>
      <c r="AX486" s="55"/>
      <c r="AY486" s="55"/>
      <c r="AZ486" s="55"/>
      <c r="BA486" s="55"/>
      <c r="BB486" s="165"/>
      <c r="BC486" s="55"/>
      <c r="BD486" s="55"/>
      <c r="BE486" s="55"/>
      <c r="BF486" s="165"/>
      <c r="BG486" s="55"/>
      <c r="BH486" s="10"/>
      <c r="BI486" s="55"/>
      <c r="BJ486" s="55"/>
      <c r="BK486" s="55"/>
      <c r="BL486" s="55"/>
      <c r="BT486" s="141"/>
      <c r="CN486" s="141"/>
      <c r="DG486" s="141"/>
    </row>
    <row r="487" spans="1:111" s="93" customFormat="1" x14ac:dyDescent="0.15">
      <c r="A487" s="11"/>
      <c r="B487" s="13"/>
      <c r="C487" s="12"/>
      <c r="D487" s="13"/>
      <c r="E487" s="13"/>
      <c r="F487" s="12"/>
      <c r="G487" s="55"/>
      <c r="H487" s="55"/>
      <c r="I487" s="55"/>
      <c r="J487" s="55"/>
      <c r="K487" s="55"/>
      <c r="L487" s="158"/>
      <c r="M487" s="10"/>
      <c r="N487" s="55"/>
      <c r="O487" s="55"/>
      <c r="P487" s="10"/>
      <c r="Q487" s="10"/>
      <c r="R487" s="155"/>
      <c r="S487" s="171"/>
      <c r="T487" s="161"/>
      <c r="U487" s="55"/>
      <c r="V487" s="55"/>
      <c r="W487" s="55"/>
      <c r="X487" s="155"/>
      <c r="Y487" s="171"/>
      <c r="Z487" s="165"/>
      <c r="AA487" s="10"/>
      <c r="AB487" s="55"/>
      <c r="AC487" s="55"/>
      <c r="AD487" s="55"/>
      <c r="AE487" s="55"/>
      <c r="AF487" s="55"/>
      <c r="AG487" s="167"/>
      <c r="AH487" s="55"/>
      <c r="AI487" s="55"/>
      <c r="AJ487" s="165"/>
      <c r="AK487" s="55"/>
      <c r="AL487" s="55"/>
      <c r="AM487" s="55"/>
      <c r="AN487" s="55"/>
      <c r="AO487" s="55"/>
      <c r="AP487" s="55"/>
      <c r="AQ487" s="55"/>
      <c r="AR487" s="55"/>
      <c r="AS487" s="165"/>
      <c r="AT487" s="55"/>
      <c r="AU487" s="55"/>
      <c r="AV487" s="55"/>
      <c r="AW487" s="55"/>
      <c r="AX487" s="55"/>
      <c r="AY487" s="55"/>
      <c r="AZ487" s="55"/>
      <c r="BA487" s="55"/>
      <c r="BB487" s="165"/>
      <c r="BC487" s="55"/>
      <c r="BD487" s="55"/>
      <c r="BE487" s="55"/>
      <c r="BF487" s="165"/>
      <c r="BG487" s="55"/>
      <c r="BH487" s="10"/>
      <c r="BI487" s="55"/>
      <c r="BJ487" s="55"/>
      <c r="BK487" s="55"/>
      <c r="BL487" s="55"/>
      <c r="BT487" s="141"/>
      <c r="CN487" s="141"/>
      <c r="DG487" s="141"/>
    </row>
    <row r="488" spans="1:111" s="93" customFormat="1" x14ac:dyDescent="0.15">
      <c r="A488" s="11"/>
      <c r="B488" s="13"/>
      <c r="C488" s="12"/>
      <c r="D488" s="13"/>
      <c r="E488" s="13"/>
      <c r="F488" s="12"/>
      <c r="G488" s="55"/>
      <c r="H488" s="55"/>
      <c r="I488" s="55"/>
      <c r="J488" s="55"/>
      <c r="K488" s="55"/>
      <c r="L488" s="158"/>
      <c r="M488" s="10"/>
      <c r="N488" s="55"/>
      <c r="O488" s="55"/>
      <c r="P488" s="10"/>
      <c r="Q488" s="10"/>
      <c r="R488" s="155"/>
      <c r="S488" s="171"/>
      <c r="T488" s="161"/>
      <c r="U488" s="55"/>
      <c r="V488" s="55"/>
      <c r="W488" s="55"/>
      <c r="X488" s="155"/>
      <c r="Y488" s="171"/>
      <c r="Z488" s="165"/>
      <c r="AA488" s="10"/>
      <c r="AB488" s="55"/>
      <c r="AC488" s="55"/>
      <c r="AD488" s="55"/>
      <c r="AE488" s="55"/>
      <c r="AF488" s="55"/>
      <c r="AG488" s="167"/>
      <c r="AH488" s="55"/>
      <c r="AI488" s="55"/>
      <c r="AJ488" s="165"/>
      <c r="AK488" s="55"/>
      <c r="AL488" s="55"/>
      <c r="AM488" s="55"/>
      <c r="AN488" s="55"/>
      <c r="AO488" s="55"/>
      <c r="AP488" s="55"/>
      <c r="AQ488" s="55"/>
      <c r="AR488" s="55"/>
      <c r="AS488" s="165"/>
      <c r="AT488" s="55"/>
      <c r="AU488" s="55"/>
      <c r="AV488" s="55"/>
      <c r="AW488" s="55"/>
      <c r="AX488" s="55"/>
      <c r="AY488" s="55"/>
      <c r="AZ488" s="55"/>
      <c r="BA488" s="55"/>
      <c r="BB488" s="165"/>
      <c r="BC488" s="55"/>
      <c r="BD488" s="55"/>
      <c r="BE488" s="55"/>
      <c r="BF488" s="165"/>
      <c r="BG488" s="55"/>
      <c r="BH488" s="10"/>
      <c r="BI488" s="55"/>
      <c r="BJ488" s="55"/>
      <c r="BK488" s="55"/>
      <c r="BL488" s="55"/>
      <c r="BT488" s="141"/>
      <c r="CN488" s="141"/>
      <c r="DG488" s="141"/>
    </row>
    <row r="489" spans="1:111" s="93" customFormat="1" x14ac:dyDescent="0.15">
      <c r="A489" s="11"/>
      <c r="B489" s="13"/>
      <c r="C489" s="12"/>
      <c r="D489" s="13"/>
      <c r="E489" s="13"/>
      <c r="F489" s="12"/>
      <c r="G489" s="55"/>
      <c r="H489" s="55"/>
      <c r="I489" s="55"/>
      <c r="J489" s="55"/>
      <c r="K489" s="55"/>
      <c r="L489" s="158"/>
      <c r="M489" s="10"/>
      <c r="N489" s="55"/>
      <c r="O489" s="55"/>
      <c r="P489" s="10"/>
      <c r="Q489" s="10"/>
      <c r="R489" s="155"/>
      <c r="S489" s="171"/>
      <c r="T489" s="161"/>
      <c r="U489" s="55"/>
      <c r="V489" s="55"/>
      <c r="W489" s="55"/>
      <c r="X489" s="155"/>
      <c r="Y489" s="171"/>
      <c r="Z489" s="165"/>
      <c r="AA489" s="10"/>
      <c r="AB489" s="55"/>
      <c r="AC489" s="55"/>
      <c r="AD489" s="55"/>
      <c r="AE489" s="55"/>
      <c r="AF489" s="55"/>
      <c r="AG489" s="167"/>
      <c r="AH489" s="55"/>
      <c r="AI489" s="55"/>
      <c r="AJ489" s="165"/>
      <c r="AK489" s="55"/>
      <c r="AL489" s="55"/>
      <c r="AM489" s="55"/>
      <c r="AN489" s="55"/>
      <c r="AO489" s="55"/>
      <c r="AP489" s="55"/>
      <c r="AQ489" s="55"/>
      <c r="AR489" s="55"/>
      <c r="AS489" s="165"/>
      <c r="AT489" s="55"/>
      <c r="AU489" s="55"/>
      <c r="AV489" s="55"/>
      <c r="AW489" s="55"/>
      <c r="AX489" s="55"/>
      <c r="AY489" s="55"/>
      <c r="AZ489" s="55"/>
      <c r="BA489" s="55"/>
      <c r="BB489" s="165"/>
      <c r="BC489" s="55"/>
      <c r="BD489" s="55"/>
      <c r="BE489" s="55"/>
      <c r="BF489" s="165"/>
      <c r="BG489" s="55"/>
      <c r="BH489" s="10"/>
      <c r="BI489" s="55"/>
      <c r="BJ489" s="55"/>
      <c r="BK489" s="55"/>
      <c r="BL489" s="55"/>
      <c r="BT489" s="141"/>
      <c r="CN489" s="141"/>
      <c r="DG489" s="141"/>
    </row>
    <row r="490" spans="1:111" s="93" customFormat="1" x14ac:dyDescent="0.15">
      <c r="A490" s="11"/>
      <c r="B490" s="13"/>
      <c r="C490" s="12"/>
      <c r="D490" s="13"/>
      <c r="E490" s="13"/>
      <c r="F490" s="12"/>
      <c r="G490" s="55"/>
      <c r="H490" s="55"/>
      <c r="I490" s="55"/>
      <c r="J490" s="55"/>
      <c r="K490" s="55"/>
      <c r="L490" s="158"/>
      <c r="M490" s="10"/>
      <c r="N490" s="55"/>
      <c r="O490" s="55"/>
      <c r="P490" s="10"/>
      <c r="Q490" s="10"/>
      <c r="R490" s="155"/>
      <c r="S490" s="171"/>
      <c r="T490" s="161"/>
      <c r="U490" s="55"/>
      <c r="V490" s="55"/>
      <c r="W490" s="55"/>
      <c r="X490" s="155"/>
      <c r="Y490" s="171"/>
      <c r="Z490" s="165"/>
      <c r="AA490" s="10"/>
      <c r="AB490" s="55"/>
      <c r="AC490" s="55"/>
      <c r="AD490" s="55"/>
      <c r="AE490" s="55"/>
      <c r="AF490" s="55"/>
      <c r="AG490" s="167"/>
      <c r="AH490" s="55"/>
      <c r="AI490" s="55"/>
      <c r="AJ490" s="165"/>
      <c r="AK490" s="55"/>
      <c r="AL490" s="55"/>
      <c r="AM490" s="55"/>
      <c r="AN490" s="55"/>
      <c r="AO490" s="55"/>
      <c r="AP490" s="55"/>
      <c r="AQ490" s="55"/>
      <c r="AR490" s="55"/>
      <c r="AS490" s="165"/>
      <c r="AT490" s="55"/>
      <c r="AU490" s="55"/>
      <c r="AV490" s="55"/>
      <c r="AW490" s="55"/>
      <c r="AX490" s="55"/>
      <c r="AY490" s="55"/>
      <c r="AZ490" s="55"/>
      <c r="BA490" s="55"/>
      <c r="BB490" s="165"/>
      <c r="BC490" s="55"/>
      <c r="BD490" s="55"/>
      <c r="BE490" s="55"/>
      <c r="BF490" s="165"/>
      <c r="BG490" s="55"/>
      <c r="BH490" s="10"/>
      <c r="BI490" s="55"/>
      <c r="BJ490" s="55"/>
      <c r="BK490" s="55"/>
      <c r="BL490" s="55"/>
      <c r="BT490" s="141"/>
      <c r="CN490" s="141"/>
      <c r="DG490" s="141"/>
    </row>
    <row r="491" spans="1:111" s="93" customFormat="1" x14ac:dyDescent="0.15">
      <c r="A491" s="11"/>
      <c r="B491" s="13"/>
      <c r="C491" s="12"/>
      <c r="D491" s="13"/>
      <c r="E491" s="13"/>
      <c r="F491" s="12"/>
      <c r="G491" s="55"/>
      <c r="H491" s="55"/>
      <c r="I491" s="55"/>
      <c r="J491" s="55"/>
      <c r="K491" s="55"/>
      <c r="L491" s="158"/>
      <c r="M491" s="10"/>
      <c r="N491" s="55"/>
      <c r="O491" s="55"/>
      <c r="P491" s="10"/>
      <c r="Q491" s="10"/>
      <c r="R491" s="155"/>
      <c r="S491" s="171"/>
      <c r="T491" s="161"/>
      <c r="U491" s="55"/>
      <c r="V491" s="55"/>
      <c r="W491" s="55"/>
      <c r="X491" s="155"/>
      <c r="Y491" s="171"/>
      <c r="Z491" s="165"/>
      <c r="AA491" s="10"/>
      <c r="AB491" s="55"/>
      <c r="AC491" s="55"/>
      <c r="AD491" s="55"/>
      <c r="AE491" s="55"/>
      <c r="AF491" s="55"/>
      <c r="AG491" s="167"/>
      <c r="AH491" s="55"/>
      <c r="AI491" s="55"/>
      <c r="AJ491" s="165"/>
      <c r="AK491" s="55"/>
      <c r="AL491" s="55"/>
      <c r="AM491" s="55"/>
      <c r="AN491" s="55"/>
      <c r="AO491" s="55"/>
      <c r="AP491" s="55"/>
      <c r="AQ491" s="55"/>
      <c r="AR491" s="55"/>
      <c r="AS491" s="165"/>
      <c r="AT491" s="55"/>
      <c r="AU491" s="55"/>
      <c r="AV491" s="55"/>
      <c r="AW491" s="55"/>
      <c r="AX491" s="55"/>
      <c r="AY491" s="55"/>
      <c r="AZ491" s="55"/>
      <c r="BA491" s="55"/>
      <c r="BB491" s="165"/>
      <c r="BC491" s="55"/>
      <c r="BD491" s="55"/>
      <c r="BE491" s="55"/>
      <c r="BF491" s="165"/>
      <c r="BG491" s="55"/>
      <c r="BH491" s="10"/>
      <c r="BI491" s="55"/>
      <c r="BJ491" s="55"/>
      <c r="BK491" s="55"/>
      <c r="BL491" s="55"/>
      <c r="BT491" s="141"/>
      <c r="CN491" s="141"/>
      <c r="DG491" s="141"/>
    </row>
    <row r="492" spans="1:111" s="93" customFormat="1" x14ac:dyDescent="0.15">
      <c r="A492" s="11"/>
      <c r="B492" s="13"/>
      <c r="C492" s="12"/>
      <c r="D492" s="13"/>
      <c r="E492" s="13"/>
      <c r="F492" s="12"/>
      <c r="G492" s="55"/>
      <c r="H492" s="55"/>
      <c r="I492" s="55"/>
      <c r="J492" s="55"/>
      <c r="K492" s="55"/>
      <c r="L492" s="158"/>
      <c r="M492" s="10"/>
      <c r="N492" s="55"/>
      <c r="O492" s="55"/>
      <c r="P492" s="10"/>
      <c r="Q492" s="10"/>
      <c r="R492" s="155"/>
      <c r="S492" s="171"/>
      <c r="T492" s="161"/>
      <c r="U492" s="55"/>
      <c r="V492" s="55"/>
      <c r="W492" s="55"/>
      <c r="X492" s="155"/>
      <c r="Y492" s="171"/>
      <c r="Z492" s="165"/>
      <c r="AA492" s="10"/>
      <c r="AB492" s="55"/>
      <c r="AC492" s="55"/>
      <c r="AD492" s="55"/>
      <c r="AE492" s="55"/>
      <c r="AF492" s="55"/>
      <c r="AG492" s="167"/>
      <c r="AH492" s="55"/>
      <c r="AI492" s="55"/>
      <c r="AJ492" s="165"/>
      <c r="AK492" s="55"/>
      <c r="AL492" s="55"/>
      <c r="AM492" s="55"/>
      <c r="AN492" s="55"/>
      <c r="AO492" s="55"/>
      <c r="AP492" s="55"/>
      <c r="AQ492" s="55"/>
      <c r="AR492" s="55"/>
      <c r="AS492" s="165"/>
      <c r="AT492" s="55"/>
      <c r="AU492" s="55"/>
      <c r="AV492" s="55"/>
      <c r="AW492" s="55"/>
      <c r="AX492" s="55"/>
      <c r="AY492" s="55"/>
      <c r="AZ492" s="55"/>
      <c r="BA492" s="55"/>
      <c r="BB492" s="165"/>
      <c r="BC492" s="55"/>
      <c r="BD492" s="55"/>
      <c r="BE492" s="55"/>
      <c r="BF492" s="165"/>
      <c r="BG492" s="55"/>
      <c r="BH492" s="10"/>
      <c r="BI492" s="55"/>
      <c r="BJ492" s="55"/>
      <c r="BK492" s="55"/>
      <c r="BL492" s="55"/>
      <c r="BT492" s="141"/>
      <c r="CN492" s="141"/>
      <c r="DG492" s="141"/>
    </row>
    <row r="493" spans="1:111" s="93" customFormat="1" x14ac:dyDescent="0.15">
      <c r="A493" s="11"/>
      <c r="B493" s="13"/>
      <c r="C493" s="12"/>
      <c r="D493" s="13"/>
      <c r="E493" s="13"/>
      <c r="F493" s="12"/>
      <c r="G493" s="55"/>
      <c r="H493" s="55"/>
      <c r="I493" s="55"/>
      <c r="J493" s="55"/>
      <c r="K493" s="55"/>
      <c r="L493" s="158"/>
      <c r="M493" s="10"/>
      <c r="N493" s="55"/>
      <c r="O493" s="55"/>
      <c r="P493" s="10"/>
      <c r="Q493" s="10"/>
      <c r="R493" s="155"/>
      <c r="S493" s="171"/>
      <c r="T493" s="161"/>
      <c r="U493" s="55"/>
      <c r="V493" s="55"/>
      <c r="W493" s="55"/>
      <c r="X493" s="155"/>
      <c r="Y493" s="171"/>
      <c r="Z493" s="165"/>
      <c r="AA493" s="10"/>
      <c r="AB493" s="55"/>
      <c r="AC493" s="55"/>
      <c r="AD493" s="55"/>
      <c r="AE493" s="55"/>
      <c r="AF493" s="55"/>
      <c r="AG493" s="167"/>
      <c r="AH493" s="55"/>
      <c r="AI493" s="55"/>
      <c r="AJ493" s="165"/>
      <c r="AK493" s="55"/>
      <c r="AL493" s="55"/>
      <c r="AM493" s="55"/>
      <c r="AN493" s="55"/>
      <c r="AO493" s="55"/>
      <c r="AP493" s="55"/>
      <c r="AQ493" s="55"/>
      <c r="AR493" s="55"/>
      <c r="AS493" s="165"/>
      <c r="AT493" s="55"/>
      <c r="AU493" s="55"/>
      <c r="AV493" s="55"/>
      <c r="AW493" s="55"/>
      <c r="AX493" s="55"/>
      <c r="AY493" s="55"/>
      <c r="AZ493" s="55"/>
      <c r="BA493" s="55"/>
      <c r="BB493" s="165"/>
      <c r="BC493" s="55"/>
      <c r="BD493" s="55"/>
      <c r="BE493" s="55"/>
      <c r="BF493" s="165"/>
      <c r="BG493" s="55"/>
      <c r="BH493" s="10"/>
      <c r="BI493" s="55"/>
      <c r="BJ493" s="55"/>
      <c r="BK493" s="55"/>
      <c r="BL493" s="55"/>
      <c r="BT493" s="141"/>
      <c r="CN493" s="141"/>
      <c r="DG493" s="141"/>
    </row>
    <row r="494" spans="1:111" s="93" customFormat="1" x14ac:dyDescent="0.15">
      <c r="A494" s="11"/>
      <c r="B494" s="13"/>
      <c r="C494" s="12"/>
      <c r="D494" s="13"/>
      <c r="E494" s="13"/>
      <c r="F494" s="12"/>
      <c r="G494" s="55"/>
      <c r="H494" s="55"/>
      <c r="I494" s="55"/>
      <c r="J494" s="55"/>
      <c r="K494" s="55"/>
      <c r="L494" s="158"/>
      <c r="M494" s="10"/>
      <c r="N494" s="55"/>
      <c r="O494" s="55"/>
      <c r="P494" s="10"/>
      <c r="Q494" s="10"/>
      <c r="R494" s="155"/>
      <c r="S494" s="171"/>
      <c r="T494" s="161"/>
      <c r="U494" s="55"/>
      <c r="V494" s="55"/>
      <c r="W494" s="55"/>
      <c r="X494" s="155"/>
      <c r="Y494" s="171"/>
      <c r="Z494" s="165"/>
      <c r="AA494" s="10"/>
      <c r="AB494" s="55"/>
      <c r="AC494" s="55"/>
      <c r="AD494" s="55"/>
      <c r="AE494" s="55"/>
      <c r="AF494" s="55"/>
      <c r="AG494" s="167"/>
      <c r="AH494" s="55"/>
      <c r="AI494" s="55"/>
      <c r="AJ494" s="165"/>
      <c r="AK494" s="55"/>
      <c r="AL494" s="55"/>
      <c r="AM494" s="55"/>
      <c r="AN494" s="55"/>
      <c r="AO494" s="55"/>
      <c r="AP494" s="55"/>
      <c r="AQ494" s="55"/>
      <c r="AR494" s="55"/>
      <c r="AS494" s="165"/>
      <c r="AT494" s="55"/>
      <c r="AU494" s="55"/>
      <c r="AV494" s="55"/>
      <c r="AW494" s="55"/>
      <c r="AX494" s="55"/>
      <c r="AY494" s="55"/>
      <c r="AZ494" s="55"/>
      <c r="BA494" s="55"/>
      <c r="BB494" s="165"/>
      <c r="BC494" s="55"/>
      <c r="BD494" s="55"/>
      <c r="BE494" s="55"/>
      <c r="BF494" s="165"/>
      <c r="BG494" s="55"/>
      <c r="BH494" s="10"/>
      <c r="BI494" s="55"/>
      <c r="BJ494" s="55"/>
      <c r="BK494" s="55"/>
      <c r="BL494" s="55"/>
      <c r="BT494" s="141"/>
      <c r="CN494" s="141"/>
      <c r="DG494" s="141"/>
    </row>
    <row r="495" spans="1:111" s="93" customFormat="1" x14ac:dyDescent="0.15">
      <c r="A495" s="11"/>
      <c r="B495" s="13"/>
      <c r="C495" s="12"/>
      <c r="D495" s="13"/>
      <c r="E495" s="13"/>
      <c r="F495" s="12"/>
      <c r="G495" s="55"/>
      <c r="H495" s="55"/>
      <c r="I495" s="55"/>
      <c r="J495" s="55"/>
      <c r="K495" s="55"/>
      <c r="L495" s="158"/>
      <c r="M495" s="10"/>
      <c r="N495" s="55"/>
      <c r="O495" s="55"/>
      <c r="P495" s="10"/>
      <c r="Q495" s="10"/>
      <c r="R495" s="155"/>
      <c r="S495" s="171"/>
      <c r="T495" s="161"/>
      <c r="U495" s="55"/>
      <c r="V495" s="55"/>
      <c r="W495" s="55"/>
      <c r="X495" s="155"/>
      <c r="Y495" s="171"/>
      <c r="Z495" s="165"/>
      <c r="AA495" s="10"/>
      <c r="AB495" s="55"/>
      <c r="AC495" s="55"/>
      <c r="AD495" s="55"/>
      <c r="AE495" s="55"/>
      <c r="AF495" s="55"/>
      <c r="AG495" s="167"/>
      <c r="AH495" s="55"/>
      <c r="AI495" s="55"/>
      <c r="AJ495" s="165"/>
      <c r="AK495" s="55"/>
      <c r="AL495" s="55"/>
      <c r="AM495" s="55"/>
      <c r="AN495" s="55"/>
      <c r="AO495" s="55"/>
      <c r="AP495" s="55"/>
      <c r="AQ495" s="55"/>
      <c r="AR495" s="55"/>
      <c r="AS495" s="165"/>
      <c r="AT495" s="55"/>
      <c r="AU495" s="55"/>
      <c r="AV495" s="55"/>
      <c r="AW495" s="55"/>
      <c r="AX495" s="55"/>
      <c r="AY495" s="55"/>
      <c r="AZ495" s="55"/>
      <c r="BA495" s="55"/>
      <c r="BB495" s="165"/>
      <c r="BC495" s="55"/>
      <c r="BD495" s="55"/>
      <c r="BE495" s="55"/>
      <c r="BF495" s="165"/>
      <c r="BG495" s="55"/>
      <c r="BH495" s="10"/>
      <c r="BI495" s="55"/>
      <c r="BJ495" s="55"/>
      <c r="BK495" s="55"/>
      <c r="BL495" s="55"/>
      <c r="BT495" s="141"/>
      <c r="CN495" s="141"/>
      <c r="DG495" s="141"/>
    </row>
    <row r="496" spans="1:111" s="93" customFormat="1" x14ac:dyDescent="0.15">
      <c r="A496" s="11"/>
      <c r="B496" s="13"/>
      <c r="C496" s="12"/>
      <c r="D496" s="13"/>
      <c r="E496" s="13"/>
      <c r="F496" s="12"/>
      <c r="G496" s="55"/>
      <c r="H496" s="55"/>
      <c r="I496" s="55"/>
      <c r="J496" s="55"/>
      <c r="K496" s="55"/>
      <c r="L496" s="158"/>
      <c r="M496" s="10"/>
      <c r="N496" s="55"/>
      <c r="O496" s="55"/>
      <c r="P496" s="10"/>
      <c r="Q496" s="10"/>
      <c r="R496" s="155"/>
      <c r="S496" s="171"/>
      <c r="T496" s="161"/>
      <c r="U496" s="55"/>
      <c r="V496" s="55"/>
      <c r="W496" s="55"/>
      <c r="X496" s="155"/>
      <c r="Y496" s="171"/>
      <c r="Z496" s="165"/>
      <c r="AA496" s="10"/>
      <c r="AB496" s="55"/>
      <c r="AC496" s="55"/>
      <c r="AD496" s="55"/>
      <c r="AE496" s="55"/>
      <c r="AF496" s="55"/>
      <c r="AG496" s="167"/>
      <c r="AH496" s="55"/>
      <c r="AI496" s="55"/>
      <c r="AJ496" s="165"/>
      <c r="AK496" s="55"/>
      <c r="AL496" s="55"/>
      <c r="AM496" s="55"/>
      <c r="AN496" s="55"/>
      <c r="AO496" s="55"/>
      <c r="AP496" s="55"/>
      <c r="AQ496" s="55"/>
      <c r="AR496" s="55"/>
      <c r="AS496" s="165"/>
      <c r="AT496" s="55"/>
      <c r="AU496" s="55"/>
      <c r="AV496" s="55"/>
      <c r="AW496" s="55"/>
      <c r="AX496" s="55"/>
      <c r="AY496" s="55"/>
      <c r="AZ496" s="55"/>
      <c r="BA496" s="55"/>
      <c r="BB496" s="165"/>
      <c r="BC496" s="55"/>
      <c r="BD496" s="55"/>
      <c r="BE496" s="55"/>
      <c r="BF496" s="165"/>
      <c r="BG496" s="55"/>
      <c r="BH496" s="10"/>
      <c r="BI496" s="55"/>
      <c r="BJ496" s="55"/>
      <c r="BK496" s="55"/>
      <c r="BL496" s="55"/>
      <c r="BT496" s="141"/>
      <c r="CN496" s="141"/>
      <c r="DG496" s="141"/>
    </row>
    <row r="497" spans="1:111" s="93" customFormat="1" x14ac:dyDescent="0.15">
      <c r="A497" s="11"/>
      <c r="B497" s="13"/>
      <c r="C497" s="12"/>
      <c r="D497" s="13"/>
      <c r="E497" s="13"/>
      <c r="F497" s="12"/>
      <c r="G497" s="55"/>
      <c r="H497" s="55"/>
      <c r="I497" s="55"/>
      <c r="J497" s="55"/>
      <c r="K497" s="55"/>
      <c r="L497" s="158"/>
      <c r="M497" s="10"/>
      <c r="N497" s="55"/>
      <c r="O497" s="55"/>
      <c r="P497" s="10"/>
      <c r="Q497" s="10"/>
      <c r="R497" s="155"/>
      <c r="S497" s="171"/>
      <c r="T497" s="161"/>
      <c r="U497" s="55"/>
      <c r="V497" s="55"/>
      <c r="W497" s="55"/>
      <c r="X497" s="155"/>
      <c r="Y497" s="171"/>
      <c r="Z497" s="165"/>
      <c r="AA497" s="10"/>
      <c r="AB497" s="55"/>
      <c r="AC497" s="55"/>
      <c r="AD497" s="55"/>
      <c r="AE497" s="55"/>
      <c r="AF497" s="55"/>
      <c r="AG497" s="167"/>
      <c r="AH497" s="55"/>
      <c r="AI497" s="55"/>
      <c r="AJ497" s="165"/>
      <c r="AK497" s="55"/>
      <c r="AL497" s="55"/>
      <c r="AM497" s="55"/>
      <c r="AN497" s="55"/>
      <c r="AO497" s="55"/>
      <c r="AP497" s="55"/>
      <c r="AQ497" s="55"/>
      <c r="AR497" s="55"/>
      <c r="AS497" s="165"/>
      <c r="AT497" s="55"/>
      <c r="AU497" s="55"/>
      <c r="AV497" s="55"/>
      <c r="AW497" s="55"/>
      <c r="AX497" s="55"/>
      <c r="AY497" s="55"/>
      <c r="AZ497" s="55"/>
      <c r="BA497" s="55"/>
      <c r="BB497" s="165"/>
      <c r="BC497" s="55"/>
      <c r="BD497" s="55"/>
      <c r="BE497" s="55"/>
      <c r="BF497" s="165"/>
      <c r="BG497" s="55"/>
      <c r="BH497" s="10"/>
      <c r="BI497" s="55"/>
      <c r="BJ497" s="55"/>
      <c r="BK497" s="55"/>
      <c r="BL497" s="55"/>
      <c r="BT497" s="141"/>
      <c r="CN497" s="141"/>
      <c r="DG497" s="141"/>
    </row>
    <row r="498" spans="1:111" s="93" customFormat="1" x14ac:dyDescent="0.15">
      <c r="A498" s="11"/>
      <c r="B498" s="13"/>
      <c r="C498" s="12"/>
      <c r="D498" s="13"/>
      <c r="E498" s="13"/>
      <c r="F498" s="12"/>
      <c r="G498" s="55"/>
      <c r="H498" s="55"/>
      <c r="I498" s="55"/>
      <c r="J498" s="55"/>
      <c r="K498" s="55"/>
      <c r="L498" s="158"/>
      <c r="M498" s="10"/>
      <c r="N498" s="55"/>
      <c r="O498" s="55"/>
      <c r="P498" s="10"/>
      <c r="Q498" s="10"/>
      <c r="R498" s="155"/>
      <c r="S498" s="171"/>
      <c r="T498" s="161"/>
      <c r="U498" s="55"/>
      <c r="V498" s="55"/>
      <c r="W498" s="55"/>
      <c r="X498" s="155"/>
      <c r="Y498" s="171"/>
      <c r="Z498" s="165"/>
      <c r="AA498" s="10"/>
      <c r="AB498" s="55"/>
      <c r="AC498" s="55"/>
      <c r="AD498" s="55"/>
      <c r="AE498" s="55"/>
      <c r="AF498" s="55"/>
      <c r="AG498" s="167"/>
      <c r="AH498" s="55"/>
      <c r="AI498" s="55"/>
      <c r="AJ498" s="165"/>
      <c r="AK498" s="55"/>
      <c r="AL498" s="55"/>
      <c r="AM498" s="55"/>
      <c r="AN498" s="55"/>
      <c r="AO498" s="55"/>
      <c r="AP498" s="55"/>
      <c r="AQ498" s="55"/>
      <c r="AR498" s="55"/>
      <c r="AS498" s="165"/>
      <c r="AT498" s="55"/>
      <c r="AU498" s="55"/>
      <c r="AV498" s="55"/>
      <c r="AW498" s="55"/>
      <c r="AX498" s="55"/>
      <c r="AY498" s="55"/>
      <c r="AZ498" s="55"/>
      <c r="BA498" s="55"/>
      <c r="BB498" s="165"/>
      <c r="BC498" s="55"/>
      <c r="BD498" s="55"/>
      <c r="BE498" s="55"/>
      <c r="BF498" s="165"/>
      <c r="BG498" s="55"/>
      <c r="BH498" s="10"/>
      <c r="BI498" s="55"/>
      <c r="BJ498" s="55"/>
      <c r="BK498" s="55"/>
      <c r="BL498" s="55"/>
      <c r="BT498" s="141"/>
      <c r="CN498" s="141"/>
      <c r="DG498" s="141"/>
    </row>
    <row r="499" spans="1:111" s="93" customFormat="1" x14ac:dyDescent="0.15">
      <c r="A499" s="11"/>
      <c r="B499" s="13"/>
      <c r="C499" s="12"/>
      <c r="D499" s="13"/>
      <c r="E499" s="13"/>
      <c r="F499" s="12"/>
      <c r="G499" s="55"/>
      <c r="H499" s="55"/>
      <c r="I499" s="55"/>
      <c r="J499" s="55"/>
      <c r="K499" s="55"/>
      <c r="L499" s="158"/>
      <c r="M499" s="10"/>
      <c r="N499" s="55"/>
      <c r="O499" s="55"/>
      <c r="P499" s="10"/>
      <c r="Q499" s="10"/>
      <c r="R499" s="155"/>
      <c r="S499" s="171"/>
      <c r="T499" s="161"/>
      <c r="U499" s="55"/>
      <c r="V499" s="55"/>
      <c r="W499" s="55"/>
      <c r="X499" s="155"/>
      <c r="Y499" s="171"/>
      <c r="Z499" s="165"/>
      <c r="AA499" s="10"/>
      <c r="AB499" s="55"/>
      <c r="AC499" s="55"/>
      <c r="AD499" s="55"/>
      <c r="AE499" s="55"/>
      <c r="AF499" s="55"/>
      <c r="AG499" s="167"/>
      <c r="AH499" s="55"/>
      <c r="AI499" s="55"/>
      <c r="AJ499" s="165"/>
      <c r="AK499" s="55"/>
      <c r="AL499" s="55"/>
      <c r="AM499" s="55"/>
      <c r="AN499" s="55"/>
      <c r="AO499" s="55"/>
      <c r="AP499" s="55"/>
      <c r="AQ499" s="55"/>
      <c r="AR499" s="55"/>
      <c r="AS499" s="165"/>
      <c r="AT499" s="55"/>
      <c r="AU499" s="55"/>
      <c r="AV499" s="55"/>
      <c r="AW499" s="55"/>
      <c r="AX499" s="55"/>
      <c r="AY499" s="55"/>
      <c r="AZ499" s="55"/>
      <c r="BA499" s="55"/>
      <c r="BB499" s="165"/>
      <c r="BC499" s="55"/>
      <c r="BD499" s="55"/>
      <c r="BE499" s="55"/>
      <c r="BF499" s="165"/>
      <c r="BG499" s="55"/>
      <c r="BH499" s="10"/>
      <c r="BI499" s="55"/>
      <c r="BJ499" s="55"/>
      <c r="BK499" s="55"/>
      <c r="BL499" s="55"/>
      <c r="BT499" s="141"/>
      <c r="CN499" s="141"/>
      <c r="DG499" s="141"/>
    </row>
    <row r="500" spans="1:111" s="93" customFormat="1" x14ac:dyDescent="0.15">
      <c r="A500" s="11"/>
      <c r="B500" s="13"/>
      <c r="C500" s="12"/>
      <c r="D500" s="13"/>
      <c r="E500" s="13"/>
      <c r="F500" s="12"/>
      <c r="G500" s="55"/>
      <c r="H500" s="55"/>
      <c r="I500" s="55"/>
      <c r="J500" s="55"/>
      <c r="K500" s="55"/>
      <c r="L500" s="158"/>
      <c r="M500" s="10"/>
      <c r="N500" s="55"/>
      <c r="O500" s="55"/>
      <c r="P500" s="10"/>
      <c r="Q500" s="10"/>
      <c r="R500" s="155"/>
      <c r="S500" s="171"/>
      <c r="T500" s="161"/>
      <c r="U500" s="55"/>
      <c r="V500" s="55"/>
      <c r="W500" s="55"/>
      <c r="X500" s="155"/>
      <c r="Y500" s="171"/>
      <c r="Z500" s="165"/>
      <c r="AA500" s="10"/>
      <c r="AB500" s="55"/>
      <c r="AC500" s="55"/>
      <c r="AD500" s="55"/>
      <c r="AE500" s="55"/>
      <c r="AF500" s="55"/>
      <c r="AG500" s="167"/>
      <c r="AH500" s="55"/>
      <c r="AI500" s="55"/>
      <c r="AJ500" s="165"/>
      <c r="AK500" s="55"/>
      <c r="AL500" s="55"/>
      <c r="AM500" s="55"/>
      <c r="AN500" s="55"/>
      <c r="AO500" s="55"/>
      <c r="AP500" s="55"/>
      <c r="AQ500" s="55"/>
      <c r="AR500" s="55"/>
      <c r="AS500" s="165"/>
      <c r="AT500" s="55"/>
      <c r="AU500" s="55"/>
      <c r="AV500" s="55"/>
      <c r="AW500" s="55"/>
      <c r="AX500" s="55"/>
      <c r="AY500" s="55"/>
      <c r="AZ500" s="55"/>
      <c r="BA500" s="55"/>
      <c r="BB500" s="165"/>
      <c r="BC500" s="55"/>
      <c r="BD500" s="55"/>
      <c r="BE500" s="55"/>
      <c r="BF500" s="165"/>
      <c r="BG500" s="55"/>
      <c r="BH500" s="10"/>
      <c r="BI500" s="55"/>
      <c r="BJ500" s="55"/>
      <c r="BK500" s="55"/>
      <c r="BL500" s="55"/>
      <c r="BT500" s="141"/>
      <c r="CN500" s="141"/>
      <c r="DG500" s="141"/>
    </row>
    <row r="501" spans="1:111" s="93" customFormat="1" x14ac:dyDescent="0.15">
      <c r="A501" s="11"/>
      <c r="B501" s="13"/>
      <c r="C501" s="12"/>
      <c r="D501" s="13"/>
      <c r="E501" s="13"/>
      <c r="F501" s="12"/>
      <c r="G501" s="55"/>
      <c r="H501" s="55"/>
      <c r="I501" s="55"/>
      <c r="J501" s="55"/>
      <c r="K501" s="55"/>
      <c r="L501" s="158"/>
      <c r="M501" s="10"/>
      <c r="N501" s="55"/>
      <c r="O501" s="55"/>
      <c r="P501" s="10"/>
      <c r="Q501" s="10"/>
      <c r="R501" s="155"/>
      <c r="S501" s="171"/>
      <c r="T501" s="161"/>
      <c r="U501" s="55"/>
      <c r="V501" s="55"/>
      <c r="W501" s="55"/>
      <c r="X501" s="155"/>
      <c r="Y501" s="171"/>
      <c r="Z501" s="165"/>
      <c r="AA501" s="10"/>
      <c r="AB501" s="55"/>
      <c r="AC501" s="55"/>
      <c r="AD501" s="55"/>
      <c r="AE501" s="55"/>
      <c r="AF501" s="55"/>
      <c r="AG501" s="167"/>
      <c r="AH501" s="55"/>
      <c r="AI501" s="55"/>
      <c r="AJ501" s="165"/>
      <c r="AK501" s="55"/>
      <c r="AL501" s="55"/>
      <c r="AM501" s="55"/>
      <c r="AN501" s="55"/>
      <c r="AO501" s="55"/>
      <c r="AP501" s="55"/>
      <c r="AQ501" s="55"/>
      <c r="AR501" s="55"/>
      <c r="AS501" s="165"/>
      <c r="AT501" s="55"/>
      <c r="AU501" s="55"/>
      <c r="AV501" s="55"/>
      <c r="AW501" s="55"/>
      <c r="AX501" s="55"/>
      <c r="AY501" s="55"/>
      <c r="AZ501" s="55"/>
      <c r="BA501" s="55"/>
      <c r="BB501" s="165"/>
      <c r="BC501" s="55"/>
      <c r="BD501" s="55"/>
      <c r="BE501" s="55"/>
      <c r="BF501" s="165"/>
      <c r="BG501" s="55"/>
      <c r="BH501" s="10"/>
      <c r="BI501" s="55"/>
      <c r="BJ501" s="55"/>
      <c r="BK501" s="55"/>
      <c r="BL501" s="55"/>
      <c r="BT501" s="141"/>
      <c r="CN501" s="141"/>
      <c r="DG501" s="141"/>
    </row>
    <row r="502" spans="1:111" s="93" customFormat="1" x14ac:dyDescent="0.15">
      <c r="A502" s="11"/>
      <c r="B502" s="13"/>
      <c r="C502" s="12"/>
      <c r="D502" s="13"/>
      <c r="E502" s="13"/>
      <c r="F502" s="12"/>
      <c r="G502" s="55"/>
      <c r="H502" s="55"/>
      <c r="I502" s="55"/>
      <c r="J502" s="55"/>
      <c r="K502" s="55"/>
      <c r="L502" s="158"/>
      <c r="M502" s="10"/>
      <c r="N502" s="55"/>
      <c r="O502" s="55"/>
      <c r="P502" s="10"/>
      <c r="Q502" s="10"/>
      <c r="R502" s="155"/>
      <c r="S502" s="171"/>
      <c r="T502" s="161"/>
      <c r="U502" s="55"/>
      <c r="V502" s="55"/>
      <c r="W502" s="55"/>
      <c r="X502" s="155"/>
      <c r="Y502" s="171"/>
      <c r="Z502" s="165"/>
      <c r="AA502" s="10"/>
      <c r="AB502" s="55"/>
      <c r="AC502" s="55"/>
      <c r="AD502" s="55"/>
      <c r="AE502" s="55"/>
      <c r="AF502" s="55"/>
      <c r="AG502" s="167"/>
      <c r="AH502" s="55"/>
      <c r="AI502" s="55"/>
      <c r="AJ502" s="165"/>
      <c r="AK502" s="55"/>
      <c r="AL502" s="55"/>
      <c r="AM502" s="55"/>
      <c r="AN502" s="55"/>
      <c r="AO502" s="55"/>
      <c r="AP502" s="55"/>
      <c r="AQ502" s="55"/>
      <c r="AR502" s="55"/>
      <c r="AS502" s="165"/>
      <c r="AT502" s="55"/>
      <c r="AU502" s="55"/>
      <c r="AV502" s="55"/>
      <c r="AW502" s="55"/>
      <c r="AX502" s="55"/>
      <c r="AY502" s="55"/>
      <c r="AZ502" s="55"/>
      <c r="BA502" s="55"/>
      <c r="BB502" s="165"/>
      <c r="BC502" s="55"/>
      <c r="BD502" s="55"/>
      <c r="BE502" s="55"/>
      <c r="BF502" s="165"/>
      <c r="BG502" s="55"/>
      <c r="BH502" s="10"/>
      <c r="BI502" s="55"/>
      <c r="BJ502" s="55"/>
      <c r="BK502" s="55"/>
      <c r="BL502" s="55"/>
      <c r="BT502" s="141"/>
      <c r="CN502" s="141"/>
      <c r="DG502" s="141"/>
    </row>
    <row r="503" spans="1:111" s="93" customFormat="1" x14ac:dyDescent="0.15">
      <c r="A503" s="11"/>
      <c r="B503" s="13"/>
      <c r="C503" s="12"/>
      <c r="D503" s="13"/>
      <c r="E503" s="13"/>
      <c r="F503" s="12"/>
      <c r="G503" s="55"/>
      <c r="H503" s="55"/>
      <c r="I503" s="55"/>
      <c r="J503" s="55"/>
      <c r="K503" s="55"/>
      <c r="L503" s="158"/>
      <c r="M503" s="10"/>
      <c r="N503" s="55"/>
      <c r="O503" s="55"/>
      <c r="P503" s="10"/>
      <c r="Q503" s="10"/>
      <c r="R503" s="155"/>
      <c r="S503" s="171"/>
      <c r="T503" s="161"/>
      <c r="U503" s="55"/>
      <c r="V503" s="55"/>
      <c r="W503" s="55"/>
      <c r="X503" s="155"/>
      <c r="Y503" s="171"/>
      <c r="Z503" s="165"/>
      <c r="AA503" s="10"/>
      <c r="AB503" s="55"/>
      <c r="AC503" s="55"/>
      <c r="AD503" s="55"/>
      <c r="AE503" s="55"/>
      <c r="AF503" s="55"/>
      <c r="AG503" s="167"/>
      <c r="AH503" s="55"/>
      <c r="AI503" s="55"/>
      <c r="AJ503" s="165"/>
      <c r="AK503" s="55"/>
      <c r="AL503" s="55"/>
      <c r="AM503" s="55"/>
      <c r="AN503" s="55"/>
      <c r="AO503" s="55"/>
      <c r="AP503" s="55"/>
      <c r="AQ503" s="55"/>
      <c r="AR503" s="55"/>
      <c r="AS503" s="165"/>
      <c r="AT503" s="55"/>
      <c r="AU503" s="55"/>
      <c r="AV503" s="55"/>
      <c r="AW503" s="55"/>
      <c r="AX503" s="55"/>
      <c r="AY503" s="55"/>
      <c r="AZ503" s="55"/>
      <c r="BA503" s="55"/>
      <c r="BB503" s="165"/>
      <c r="BC503" s="55"/>
      <c r="BD503" s="55"/>
      <c r="BE503" s="55"/>
      <c r="BF503" s="165"/>
      <c r="BG503" s="55"/>
      <c r="BH503" s="10"/>
      <c r="BI503" s="55"/>
      <c r="BJ503" s="55"/>
      <c r="BK503" s="55"/>
      <c r="BL503" s="55"/>
      <c r="BT503" s="141"/>
      <c r="CN503" s="141"/>
      <c r="DG503" s="141"/>
    </row>
    <row r="504" spans="1:111" s="93" customFormat="1" x14ac:dyDescent="0.15">
      <c r="A504" s="11"/>
      <c r="B504" s="13"/>
      <c r="C504" s="12"/>
      <c r="D504" s="13"/>
      <c r="E504" s="13"/>
      <c r="F504" s="12"/>
      <c r="G504" s="55"/>
      <c r="H504" s="55"/>
      <c r="I504" s="55"/>
      <c r="J504" s="55"/>
      <c r="K504" s="55"/>
      <c r="L504" s="158"/>
      <c r="M504" s="10"/>
      <c r="N504" s="55"/>
      <c r="O504" s="55"/>
      <c r="P504" s="10"/>
      <c r="Q504" s="10"/>
      <c r="R504" s="155"/>
      <c r="S504" s="171"/>
      <c r="T504" s="161"/>
      <c r="U504" s="55"/>
      <c r="V504" s="55"/>
      <c r="W504" s="55"/>
      <c r="X504" s="155"/>
      <c r="Y504" s="171"/>
      <c r="Z504" s="165"/>
      <c r="AA504" s="10"/>
      <c r="AB504" s="55"/>
      <c r="AC504" s="55"/>
      <c r="AD504" s="55"/>
      <c r="AE504" s="55"/>
      <c r="AF504" s="55"/>
      <c r="AG504" s="167"/>
      <c r="AH504" s="55"/>
      <c r="AI504" s="55"/>
      <c r="AJ504" s="165"/>
      <c r="AK504" s="55"/>
      <c r="AL504" s="55"/>
      <c r="AM504" s="55"/>
      <c r="AN504" s="55"/>
      <c r="AO504" s="55"/>
      <c r="AP504" s="55"/>
      <c r="AQ504" s="55"/>
      <c r="AR504" s="55"/>
      <c r="AS504" s="165"/>
      <c r="AT504" s="55"/>
      <c r="AU504" s="55"/>
      <c r="AV504" s="55"/>
      <c r="AW504" s="55"/>
      <c r="AX504" s="55"/>
      <c r="AY504" s="55"/>
      <c r="AZ504" s="55"/>
      <c r="BA504" s="55"/>
      <c r="BB504" s="165"/>
      <c r="BC504" s="55"/>
      <c r="BD504" s="55"/>
      <c r="BE504" s="55"/>
      <c r="BF504" s="165"/>
      <c r="BG504" s="55"/>
      <c r="BH504" s="10"/>
      <c r="BI504" s="55"/>
      <c r="BJ504" s="55"/>
      <c r="BK504" s="55"/>
      <c r="BL504" s="55"/>
      <c r="BT504" s="141"/>
      <c r="CN504" s="141"/>
      <c r="DG504" s="141"/>
    </row>
    <row r="505" spans="1:111" s="93" customFormat="1" x14ac:dyDescent="0.15">
      <c r="A505" s="11"/>
      <c r="B505" s="13"/>
      <c r="C505" s="12"/>
      <c r="D505" s="13"/>
      <c r="E505" s="13"/>
      <c r="F505" s="12"/>
      <c r="G505" s="55"/>
      <c r="H505" s="55"/>
      <c r="I505" s="55"/>
      <c r="J505" s="55"/>
      <c r="K505" s="55"/>
      <c r="L505" s="158"/>
      <c r="M505" s="10"/>
      <c r="N505" s="55"/>
      <c r="O505" s="55"/>
      <c r="P505" s="10"/>
      <c r="Q505" s="10"/>
      <c r="R505" s="155"/>
      <c r="S505" s="171"/>
      <c r="T505" s="161"/>
      <c r="U505" s="55"/>
      <c r="V505" s="55"/>
      <c r="W505" s="55"/>
      <c r="X505" s="155"/>
      <c r="Y505" s="171"/>
      <c r="Z505" s="165"/>
      <c r="AA505" s="10"/>
      <c r="AB505" s="55"/>
      <c r="AC505" s="55"/>
      <c r="AD505" s="55"/>
      <c r="AE505" s="55"/>
      <c r="AF505" s="55"/>
      <c r="AG505" s="167"/>
      <c r="AH505" s="55"/>
      <c r="AI505" s="55"/>
      <c r="AJ505" s="165"/>
      <c r="AK505" s="55"/>
      <c r="AL505" s="55"/>
      <c r="AM505" s="55"/>
      <c r="AN505" s="55"/>
      <c r="AO505" s="55"/>
      <c r="AP505" s="55"/>
      <c r="AQ505" s="55"/>
      <c r="AR505" s="55"/>
      <c r="AS505" s="165"/>
      <c r="AT505" s="55"/>
      <c r="AU505" s="55"/>
      <c r="AV505" s="55"/>
      <c r="AW505" s="55"/>
      <c r="AX505" s="55"/>
      <c r="AY505" s="55"/>
      <c r="AZ505" s="55"/>
      <c r="BA505" s="55"/>
      <c r="BB505" s="165"/>
      <c r="BC505" s="55"/>
      <c r="BD505" s="55"/>
      <c r="BE505" s="55"/>
      <c r="BF505" s="165"/>
      <c r="BG505" s="55"/>
      <c r="BH505" s="10"/>
      <c r="BI505" s="55"/>
      <c r="BJ505" s="55"/>
      <c r="BK505" s="55"/>
      <c r="BL505" s="55"/>
      <c r="BT505" s="141"/>
      <c r="CN505" s="141"/>
      <c r="DG505" s="141"/>
    </row>
    <row r="506" spans="1:111" s="93" customFormat="1" x14ac:dyDescent="0.15">
      <c r="A506" s="11"/>
      <c r="B506" s="13"/>
      <c r="C506" s="12"/>
      <c r="D506" s="13"/>
      <c r="E506" s="13"/>
      <c r="F506" s="12"/>
      <c r="G506" s="55"/>
      <c r="H506" s="55"/>
      <c r="I506" s="55"/>
      <c r="J506" s="55"/>
      <c r="K506" s="55"/>
      <c r="L506" s="158"/>
      <c r="M506" s="10"/>
      <c r="N506" s="55"/>
      <c r="O506" s="55"/>
      <c r="P506" s="10"/>
      <c r="Q506" s="10"/>
      <c r="R506" s="155"/>
      <c r="S506" s="171"/>
      <c r="T506" s="161"/>
      <c r="U506" s="55"/>
      <c r="V506" s="55"/>
      <c r="W506" s="55"/>
      <c r="X506" s="155"/>
      <c r="Y506" s="171"/>
      <c r="Z506" s="165"/>
      <c r="AA506" s="10"/>
      <c r="AB506" s="55"/>
      <c r="AC506" s="55"/>
      <c r="AD506" s="55"/>
      <c r="AE506" s="55"/>
      <c r="AF506" s="55"/>
      <c r="AG506" s="167"/>
      <c r="AH506" s="55"/>
      <c r="AI506" s="55"/>
      <c r="AJ506" s="165"/>
      <c r="AK506" s="55"/>
      <c r="AL506" s="55"/>
      <c r="AM506" s="55"/>
      <c r="AN506" s="55"/>
      <c r="AO506" s="55"/>
      <c r="AP506" s="55"/>
      <c r="AQ506" s="55"/>
      <c r="AR506" s="55"/>
      <c r="AS506" s="165"/>
      <c r="AT506" s="55"/>
      <c r="AU506" s="55"/>
      <c r="AV506" s="55"/>
      <c r="AW506" s="55"/>
      <c r="AX506" s="55"/>
      <c r="AY506" s="55"/>
      <c r="AZ506" s="55"/>
      <c r="BA506" s="55"/>
      <c r="BB506" s="165"/>
      <c r="BC506" s="55"/>
      <c r="BD506" s="55"/>
      <c r="BE506" s="55"/>
      <c r="BF506" s="165"/>
      <c r="BG506" s="55"/>
      <c r="BH506" s="10"/>
      <c r="BI506" s="55"/>
      <c r="BJ506" s="55"/>
      <c r="BK506" s="55"/>
      <c r="BL506" s="55"/>
      <c r="BT506" s="141"/>
      <c r="CN506" s="141"/>
      <c r="DG506" s="141"/>
    </row>
    <row r="507" spans="1:111" s="93" customFormat="1" x14ac:dyDescent="0.15">
      <c r="A507" s="11"/>
      <c r="B507" s="13"/>
      <c r="C507" s="12"/>
      <c r="D507" s="13"/>
      <c r="E507" s="13"/>
      <c r="F507" s="12"/>
      <c r="G507" s="55"/>
      <c r="H507" s="55"/>
      <c r="I507" s="55"/>
      <c r="J507" s="55"/>
      <c r="K507" s="55"/>
      <c r="L507" s="158"/>
      <c r="M507" s="10"/>
      <c r="N507" s="55"/>
      <c r="O507" s="55"/>
      <c r="P507" s="10"/>
      <c r="Q507" s="10"/>
      <c r="R507" s="155"/>
      <c r="S507" s="171"/>
      <c r="T507" s="161"/>
      <c r="U507" s="55"/>
      <c r="V507" s="55"/>
      <c r="W507" s="55"/>
      <c r="X507" s="155"/>
      <c r="Y507" s="171"/>
      <c r="Z507" s="165"/>
      <c r="AA507" s="10"/>
      <c r="AB507" s="55"/>
      <c r="AC507" s="55"/>
      <c r="AD507" s="55"/>
      <c r="AE507" s="55"/>
      <c r="AF507" s="55"/>
      <c r="AG507" s="167"/>
      <c r="AH507" s="55"/>
      <c r="AI507" s="55"/>
      <c r="AJ507" s="165"/>
      <c r="AK507" s="55"/>
      <c r="AL507" s="55"/>
      <c r="AM507" s="55"/>
      <c r="AN507" s="55"/>
      <c r="AO507" s="55"/>
      <c r="AP507" s="55"/>
      <c r="AQ507" s="55"/>
      <c r="AR507" s="55"/>
      <c r="AS507" s="165"/>
      <c r="AT507" s="55"/>
      <c r="AU507" s="55"/>
      <c r="AV507" s="55"/>
      <c r="AW507" s="55"/>
      <c r="AX507" s="55"/>
      <c r="AY507" s="55"/>
      <c r="AZ507" s="55"/>
      <c r="BA507" s="55"/>
      <c r="BB507" s="165"/>
      <c r="BC507" s="55"/>
      <c r="BD507" s="55"/>
      <c r="BE507" s="55"/>
      <c r="BF507" s="165"/>
      <c r="BG507" s="55"/>
      <c r="BH507" s="10"/>
      <c r="BI507" s="55"/>
      <c r="BJ507" s="55"/>
      <c r="BK507" s="55"/>
      <c r="BL507" s="55"/>
      <c r="BT507" s="141"/>
      <c r="CN507" s="141"/>
      <c r="DG507" s="141"/>
    </row>
    <row r="508" spans="1:111" s="93" customFormat="1" x14ac:dyDescent="0.15">
      <c r="A508" s="11"/>
      <c r="B508" s="13"/>
      <c r="C508" s="12"/>
      <c r="D508" s="13"/>
      <c r="E508" s="13"/>
      <c r="F508" s="12"/>
      <c r="G508" s="55"/>
      <c r="H508" s="55"/>
      <c r="I508" s="55"/>
      <c r="J508" s="55"/>
      <c r="K508" s="55"/>
      <c r="L508" s="158"/>
      <c r="M508" s="10"/>
      <c r="N508" s="55"/>
      <c r="O508" s="55"/>
      <c r="P508" s="10"/>
      <c r="Q508" s="10"/>
      <c r="R508" s="155"/>
      <c r="S508" s="171"/>
      <c r="T508" s="161"/>
      <c r="U508" s="55"/>
      <c r="V508" s="55"/>
      <c r="W508" s="55"/>
      <c r="X508" s="155"/>
      <c r="Y508" s="171"/>
      <c r="Z508" s="165"/>
      <c r="AA508" s="10"/>
      <c r="AB508" s="55"/>
      <c r="AC508" s="55"/>
      <c r="AD508" s="55"/>
      <c r="AE508" s="55"/>
      <c r="AF508" s="55"/>
      <c r="AG508" s="167"/>
      <c r="AH508" s="55"/>
      <c r="AI508" s="55"/>
      <c r="AJ508" s="165"/>
      <c r="AK508" s="55"/>
      <c r="AL508" s="55"/>
      <c r="AM508" s="55"/>
      <c r="AN508" s="55"/>
      <c r="AO508" s="55"/>
      <c r="AP508" s="55"/>
      <c r="AQ508" s="55"/>
      <c r="AR508" s="55"/>
      <c r="AS508" s="165"/>
      <c r="AT508" s="55"/>
      <c r="AU508" s="55"/>
      <c r="AV508" s="55"/>
      <c r="AW508" s="55"/>
      <c r="AX508" s="55"/>
      <c r="AY508" s="55"/>
      <c r="AZ508" s="55"/>
      <c r="BA508" s="55"/>
      <c r="BB508" s="165"/>
      <c r="BC508" s="55"/>
      <c r="BD508" s="55"/>
      <c r="BE508" s="55"/>
      <c r="BF508" s="165"/>
      <c r="BG508" s="55"/>
      <c r="BH508" s="10"/>
      <c r="BI508" s="55"/>
      <c r="BJ508" s="55"/>
      <c r="BK508" s="55"/>
      <c r="BL508" s="55"/>
      <c r="BT508" s="141"/>
      <c r="CN508" s="141"/>
      <c r="DG508" s="141"/>
    </row>
    <row r="509" spans="1:111" s="93" customFormat="1" x14ac:dyDescent="0.15">
      <c r="A509" s="11"/>
      <c r="B509" s="13"/>
      <c r="C509" s="12"/>
      <c r="D509" s="13"/>
      <c r="E509" s="13"/>
      <c r="F509" s="12"/>
      <c r="G509" s="55"/>
      <c r="H509" s="55"/>
      <c r="I509" s="55"/>
      <c r="J509" s="55"/>
      <c r="K509" s="55"/>
      <c r="L509" s="158"/>
      <c r="M509" s="10"/>
      <c r="N509" s="55"/>
      <c r="O509" s="55"/>
      <c r="P509" s="10"/>
      <c r="Q509" s="10"/>
      <c r="R509" s="155"/>
      <c r="S509" s="171"/>
      <c r="T509" s="161"/>
      <c r="U509" s="55"/>
      <c r="V509" s="55"/>
      <c r="W509" s="55"/>
      <c r="X509" s="155"/>
      <c r="Y509" s="171"/>
      <c r="Z509" s="165"/>
      <c r="AA509" s="10"/>
      <c r="AB509" s="55"/>
      <c r="AC509" s="55"/>
      <c r="AD509" s="55"/>
      <c r="AE509" s="55"/>
      <c r="AF509" s="55"/>
      <c r="AG509" s="167"/>
      <c r="AH509" s="55"/>
      <c r="AI509" s="55"/>
      <c r="AJ509" s="165"/>
      <c r="AK509" s="55"/>
      <c r="AL509" s="55"/>
      <c r="AM509" s="55"/>
      <c r="AN509" s="55"/>
      <c r="AO509" s="55"/>
      <c r="AP509" s="55"/>
      <c r="AQ509" s="55"/>
      <c r="AR509" s="55"/>
      <c r="AS509" s="165"/>
      <c r="AT509" s="55"/>
      <c r="AU509" s="55"/>
      <c r="AV509" s="55"/>
      <c r="AW509" s="55"/>
      <c r="AX509" s="55"/>
      <c r="AY509" s="55"/>
      <c r="AZ509" s="55"/>
      <c r="BA509" s="55"/>
      <c r="BB509" s="165"/>
      <c r="BC509" s="55"/>
      <c r="BD509" s="55"/>
      <c r="BE509" s="55"/>
      <c r="BF509" s="165"/>
      <c r="BG509" s="55"/>
      <c r="BH509" s="10"/>
      <c r="BI509" s="55"/>
      <c r="BJ509" s="55"/>
      <c r="BK509" s="55"/>
      <c r="BL509" s="55"/>
      <c r="BT509" s="141"/>
      <c r="CN509" s="141"/>
      <c r="DG509" s="141"/>
    </row>
    <row r="510" spans="1:111" s="93" customFormat="1" x14ac:dyDescent="0.15">
      <c r="A510" s="11"/>
      <c r="B510" s="13"/>
      <c r="C510" s="12"/>
      <c r="D510" s="13"/>
      <c r="E510" s="13"/>
      <c r="F510" s="12"/>
      <c r="G510" s="55"/>
      <c r="H510" s="55"/>
      <c r="I510" s="55"/>
      <c r="J510" s="55"/>
      <c r="K510" s="55"/>
      <c r="L510" s="158"/>
      <c r="M510" s="10"/>
      <c r="N510" s="55"/>
      <c r="O510" s="55"/>
      <c r="P510" s="10"/>
      <c r="Q510" s="10"/>
      <c r="R510" s="155"/>
      <c r="S510" s="171"/>
      <c r="T510" s="161"/>
      <c r="U510" s="55"/>
      <c r="V510" s="55"/>
      <c r="W510" s="55"/>
      <c r="X510" s="155"/>
      <c r="Y510" s="171"/>
      <c r="Z510" s="165"/>
      <c r="AA510" s="10"/>
      <c r="AB510" s="55"/>
      <c r="AC510" s="55"/>
      <c r="AD510" s="55"/>
      <c r="AE510" s="55"/>
      <c r="AF510" s="55"/>
      <c r="AG510" s="167"/>
      <c r="AH510" s="55"/>
      <c r="AI510" s="55"/>
      <c r="AJ510" s="165"/>
      <c r="AK510" s="55"/>
      <c r="AL510" s="55"/>
      <c r="AM510" s="55"/>
      <c r="AN510" s="55"/>
      <c r="AO510" s="55"/>
      <c r="AP510" s="55"/>
      <c r="AQ510" s="55"/>
      <c r="AR510" s="55"/>
      <c r="AS510" s="165"/>
      <c r="AT510" s="55"/>
      <c r="AU510" s="55"/>
      <c r="AV510" s="55"/>
      <c r="AW510" s="55"/>
      <c r="AX510" s="55"/>
      <c r="AY510" s="55"/>
      <c r="AZ510" s="55"/>
      <c r="BA510" s="55"/>
      <c r="BB510" s="165"/>
      <c r="BC510" s="55"/>
      <c r="BD510" s="55"/>
      <c r="BE510" s="55"/>
      <c r="BF510" s="165"/>
      <c r="BG510" s="55"/>
      <c r="BH510" s="10"/>
      <c r="BI510" s="55"/>
      <c r="BJ510" s="55"/>
      <c r="BK510" s="55"/>
      <c r="BL510" s="55"/>
      <c r="BT510" s="141"/>
      <c r="CN510" s="141"/>
      <c r="DG510" s="141"/>
    </row>
    <row r="511" spans="1:111" s="93" customFormat="1" x14ac:dyDescent="0.15">
      <c r="A511" s="11"/>
      <c r="B511" s="13"/>
      <c r="C511" s="12"/>
      <c r="D511" s="13"/>
      <c r="E511" s="13"/>
      <c r="F511" s="12"/>
      <c r="G511" s="55"/>
      <c r="H511" s="55"/>
      <c r="I511" s="55"/>
      <c r="J511" s="55"/>
      <c r="K511" s="55"/>
      <c r="L511" s="158"/>
      <c r="M511" s="10"/>
      <c r="N511" s="55"/>
      <c r="O511" s="55"/>
      <c r="P511" s="10"/>
      <c r="Q511" s="10"/>
      <c r="R511" s="155"/>
      <c r="S511" s="171"/>
      <c r="T511" s="161"/>
      <c r="U511" s="55"/>
      <c r="V511" s="55"/>
      <c r="W511" s="55"/>
      <c r="X511" s="155"/>
      <c r="Y511" s="171"/>
      <c r="Z511" s="165"/>
      <c r="AA511" s="10"/>
      <c r="AB511" s="55"/>
      <c r="AC511" s="55"/>
      <c r="AD511" s="55"/>
      <c r="AE511" s="55"/>
      <c r="AF511" s="55"/>
      <c r="AG511" s="167"/>
      <c r="AH511" s="55"/>
      <c r="AI511" s="55"/>
      <c r="AJ511" s="165"/>
      <c r="AK511" s="55"/>
      <c r="AL511" s="55"/>
      <c r="AM511" s="55"/>
      <c r="AN511" s="55"/>
      <c r="AO511" s="55"/>
      <c r="AP511" s="55"/>
      <c r="AQ511" s="55"/>
      <c r="AR511" s="55"/>
      <c r="AS511" s="165"/>
      <c r="AT511" s="55"/>
      <c r="AU511" s="55"/>
      <c r="AV511" s="55"/>
      <c r="AW511" s="55"/>
      <c r="AX511" s="55"/>
      <c r="AY511" s="55"/>
      <c r="AZ511" s="55"/>
      <c r="BA511" s="55"/>
      <c r="BB511" s="165"/>
      <c r="BC511" s="55"/>
      <c r="BD511" s="55"/>
      <c r="BE511" s="55"/>
      <c r="BF511" s="165"/>
      <c r="BG511" s="55"/>
      <c r="BH511" s="10"/>
      <c r="BI511" s="55"/>
      <c r="BJ511" s="55"/>
      <c r="BK511" s="55"/>
      <c r="BL511" s="55"/>
      <c r="BT511" s="141"/>
      <c r="CN511" s="141"/>
      <c r="DG511" s="141"/>
    </row>
    <row r="512" spans="1:111" s="93" customFormat="1" x14ac:dyDescent="0.15">
      <c r="A512" s="11"/>
      <c r="B512" s="13"/>
      <c r="C512" s="12"/>
      <c r="D512" s="13"/>
      <c r="E512" s="13"/>
      <c r="F512" s="12"/>
      <c r="G512" s="55"/>
      <c r="H512" s="55"/>
      <c r="I512" s="55"/>
      <c r="J512" s="55"/>
      <c r="K512" s="55"/>
      <c r="L512" s="158"/>
      <c r="M512" s="10"/>
      <c r="N512" s="55"/>
      <c r="O512" s="55"/>
      <c r="P512" s="10"/>
      <c r="Q512" s="10"/>
      <c r="R512" s="155"/>
      <c r="S512" s="171"/>
      <c r="T512" s="161"/>
      <c r="U512" s="55"/>
      <c r="V512" s="55"/>
      <c r="W512" s="55"/>
      <c r="X512" s="155"/>
      <c r="Y512" s="171"/>
      <c r="Z512" s="165"/>
      <c r="AA512" s="10"/>
      <c r="AB512" s="55"/>
      <c r="AC512" s="55"/>
      <c r="AD512" s="55"/>
      <c r="AE512" s="55"/>
      <c r="AF512" s="55"/>
      <c r="AG512" s="167"/>
      <c r="AH512" s="55"/>
      <c r="AI512" s="55"/>
      <c r="AJ512" s="165"/>
      <c r="AK512" s="55"/>
      <c r="AL512" s="55"/>
      <c r="AM512" s="55"/>
      <c r="AN512" s="55"/>
      <c r="AO512" s="55"/>
      <c r="AP512" s="55"/>
      <c r="AQ512" s="55"/>
      <c r="AR512" s="55"/>
      <c r="AS512" s="165"/>
      <c r="AT512" s="55"/>
      <c r="AU512" s="55"/>
      <c r="AV512" s="55"/>
      <c r="AW512" s="55"/>
      <c r="AX512" s="55"/>
      <c r="AY512" s="55"/>
      <c r="AZ512" s="55"/>
      <c r="BA512" s="55"/>
      <c r="BB512" s="165"/>
      <c r="BC512" s="55"/>
      <c r="BD512" s="55"/>
      <c r="BE512" s="55"/>
      <c r="BF512" s="165"/>
      <c r="BG512" s="55"/>
      <c r="BH512" s="10"/>
      <c r="BI512" s="55"/>
      <c r="BJ512" s="55"/>
      <c r="BK512" s="55"/>
      <c r="BL512" s="55"/>
      <c r="BT512" s="141"/>
      <c r="CN512" s="141"/>
      <c r="DG512" s="141"/>
    </row>
    <row r="513" spans="1:111" s="93" customFormat="1" x14ac:dyDescent="0.15">
      <c r="A513" s="11"/>
      <c r="B513" s="13"/>
      <c r="C513" s="12"/>
      <c r="D513" s="13"/>
      <c r="E513" s="13"/>
      <c r="F513" s="12"/>
      <c r="G513" s="55"/>
      <c r="H513" s="55"/>
      <c r="I513" s="55"/>
      <c r="J513" s="55"/>
      <c r="K513" s="55"/>
      <c r="L513" s="158"/>
      <c r="M513" s="10"/>
      <c r="N513" s="55"/>
      <c r="O513" s="55"/>
      <c r="P513" s="10"/>
      <c r="Q513" s="10"/>
      <c r="R513" s="155"/>
      <c r="S513" s="171"/>
      <c r="T513" s="161"/>
      <c r="U513" s="55"/>
      <c r="V513" s="55"/>
      <c r="W513" s="55"/>
      <c r="X513" s="155"/>
      <c r="Y513" s="171"/>
      <c r="Z513" s="165"/>
      <c r="AA513" s="10"/>
      <c r="AB513" s="55"/>
      <c r="AC513" s="55"/>
      <c r="AD513" s="55"/>
      <c r="AE513" s="55"/>
      <c r="AF513" s="55"/>
      <c r="AG513" s="167"/>
      <c r="AH513" s="55"/>
      <c r="AI513" s="55"/>
      <c r="AJ513" s="165"/>
      <c r="AK513" s="55"/>
      <c r="AL513" s="55"/>
      <c r="AM513" s="55"/>
      <c r="AN513" s="55"/>
      <c r="AO513" s="55"/>
      <c r="AP513" s="55"/>
      <c r="AQ513" s="55"/>
      <c r="AR513" s="55"/>
      <c r="AS513" s="165"/>
      <c r="AT513" s="55"/>
      <c r="AU513" s="55"/>
      <c r="AV513" s="55"/>
      <c r="AW513" s="55"/>
      <c r="AX513" s="55"/>
      <c r="AY513" s="55"/>
      <c r="AZ513" s="55"/>
      <c r="BA513" s="55"/>
      <c r="BB513" s="165"/>
      <c r="BC513" s="55"/>
      <c r="BD513" s="55"/>
      <c r="BE513" s="55"/>
      <c r="BF513" s="165"/>
      <c r="BG513" s="55"/>
      <c r="BH513" s="10"/>
      <c r="BI513" s="55"/>
      <c r="BJ513" s="55"/>
      <c r="BK513" s="55"/>
      <c r="BL513" s="55"/>
      <c r="BT513" s="141"/>
      <c r="CN513" s="141"/>
      <c r="DG513" s="141"/>
    </row>
    <row r="514" spans="1:111" s="93" customFormat="1" x14ac:dyDescent="0.15">
      <c r="A514" s="11"/>
      <c r="B514" s="13"/>
      <c r="C514" s="12"/>
      <c r="D514" s="13"/>
      <c r="E514" s="13"/>
      <c r="F514" s="12"/>
      <c r="G514" s="55"/>
      <c r="H514" s="55"/>
      <c r="I514" s="55"/>
      <c r="J514" s="55"/>
      <c r="K514" s="55"/>
      <c r="L514" s="158"/>
      <c r="M514" s="10"/>
      <c r="N514" s="55"/>
      <c r="O514" s="55"/>
      <c r="P514" s="10"/>
      <c r="Q514" s="10"/>
      <c r="R514" s="155"/>
      <c r="S514" s="171"/>
      <c r="T514" s="161"/>
      <c r="U514" s="55"/>
      <c r="V514" s="55"/>
      <c r="W514" s="55"/>
      <c r="X514" s="155"/>
      <c r="Y514" s="171"/>
      <c r="Z514" s="165"/>
      <c r="AA514" s="10"/>
      <c r="AB514" s="55"/>
      <c r="AC514" s="55"/>
      <c r="AD514" s="55"/>
      <c r="AE514" s="55"/>
      <c r="AF514" s="55"/>
      <c r="AG514" s="167"/>
      <c r="AH514" s="55"/>
      <c r="AI514" s="55"/>
      <c r="AJ514" s="165"/>
      <c r="AK514" s="55"/>
      <c r="AL514" s="55"/>
      <c r="AM514" s="55"/>
      <c r="AN514" s="55"/>
      <c r="AO514" s="55"/>
      <c r="AP514" s="55"/>
      <c r="AQ514" s="55"/>
      <c r="AR514" s="55"/>
      <c r="AS514" s="165"/>
      <c r="AT514" s="55"/>
      <c r="AU514" s="55"/>
      <c r="AV514" s="55"/>
      <c r="AW514" s="55"/>
      <c r="AX514" s="55"/>
      <c r="AY514" s="55"/>
      <c r="AZ514" s="55"/>
      <c r="BA514" s="55"/>
      <c r="BB514" s="165"/>
      <c r="BC514" s="55"/>
      <c r="BD514" s="55"/>
      <c r="BE514" s="55"/>
      <c r="BF514" s="165"/>
      <c r="BG514" s="55"/>
      <c r="BH514" s="10"/>
      <c r="BI514" s="55"/>
      <c r="BJ514" s="55"/>
      <c r="BK514" s="55"/>
      <c r="BL514" s="55"/>
      <c r="BT514" s="141"/>
      <c r="CN514" s="141"/>
      <c r="DG514" s="141"/>
    </row>
    <row r="515" spans="1:111" s="93" customFormat="1" x14ac:dyDescent="0.15">
      <c r="A515" s="11"/>
      <c r="B515" s="13"/>
      <c r="C515" s="12"/>
      <c r="D515" s="13"/>
      <c r="E515" s="13"/>
      <c r="F515" s="12"/>
      <c r="G515" s="55"/>
      <c r="H515" s="55"/>
      <c r="I515" s="55"/>
      <c r="J515" s="55"/>
      <c r="K515" s="55"/>
      <c r="L515" s="158"/>
      <c r="M515" s="10"/>
      <c r="N515" s="55"/>
      <c r="O515" s="55"/>
      <c r="P515" s="10"/>
      <c r="Q515" s="10"/>
      <c r="R515" s="155"/>
      <c r="S515" s="171"/>
      <c r="T515" s="161"/>
      <c r="U515" s="55"/>
      <c r="V515" s="55"/>
      <c r="W515" s="55"/>
      <c r="X515" s="155"/>
      <c r="Y515" s="171"/>
      <c r="Z515" s="165"/>
      <c r="AA515" s="10"/>
      <c r="AB515" s="55"/>
      <c r="AC515" s="55"/>
      <c r="AD515" s="55"/>
      <c r="AE515" s="55"/>
      <c r="AF515" s="55"/>
      <c r="AG515" s="167"/>
      <c r="AH515" s="55"/>
      <c r="AI515" s="55"/>
      <c r="AJ515" s="165"/>
      <c r="AK515" s="55"/>
      <c r="AL515" s="55"/>
      <c r="AM515" s="55"/>
      <c r="AN515" s="55"/>
      <c r="AO515" s="55"/>
      <c r="AP515" s="55"/>
      <c r="AQ515" s="55"/>
      <c r="AR515" s="55"/>
      <c r="AS515" s="165"/>
      <c r="AT515" s="55"/>
      <c r="AU515" s="55"/>
      <c r="AV515" s="55"/>
      <c r="AW515" s="55"/>
      <c r="AX515" s="55"/>
      <c r="AY515" s="55"/>
      <c r="AZ515" s="55"/>
      <c r="BA515" s="55"/>
      <c r="BB515" s="165"/>
      <c r="BC515" s="55"/>
      <c r="BD515" s="55"/>
      <c r="BE515" s="55"/>
      <c r="BF515" s="165"/>
      <c r="BG515" s="55"/>
      <c r="BH515" s="10"/>
      <c r="BI515" s="55"/>
      <c r="BJ515" s="55"/>
      <c r="BK515" s="55"/>
      <c r="BL515" s="55"/>
      <c r="BT515" s="141"/>
      <c r="CN515" s="141"/>
      <c r="DG515" s="141"/>
    </row>
    <row r="516" spans="1:111" s="93" customFormat="1" x14ac:dyDescent="0.15">
      <c r="A516" s="11"/>
      <c r="B516" s="13"/>
      <c r="C516" s="12"/>
      <c r="D516" s="13"/>
      <c r="E516" s="13"/>
      <c r="F516" s="12"/>
      <c r="G516" s="55"/>
      <c r="H516" s="55"/>
      <c r="I516" s="55"/>
      <c r="J516" s="55"/>
      <c r="K516" s="55"/>
      <c r="L516" s="158"/>
      <c r="M516" s="10"/>
      <c r="N516" s="55"/>
      <c r="O516" s="55"/>
      <c r="P516" s="10"/>
      <c r="Q516" s="10"/>
      <c r="R516" s="155"/>
      <c r="S516" s="171"/>
      <c r="T516" s="161"/>
      <c r="U516" s="55"/>
      <c r="V516" s="55"/>
      <c r="W516" s="55"/>
      <c r="X516" s="155"/>
      <c r="Y516" s="171"/>
      <c r="Z516" s="165"/>
      <c r="AA516" s="10"/>
      <c r="AB516" s="55"/>
      <c r="AC516" s="55"/>
      <c r="AD516" s="55"/>
      <c r="AE516" s="55"/>
      <c r="AF516" s="55"/>
      <c r="AG516" s="167"/>
      <c r="AH516" s="55"/>
      <c r="AI516" s="55"/>
      <c r="AJ516" s="165"/>
      <c r="AK516" s="55"/>
      <c r="AL516" s="55"/>
      <c r="AM516" s="55"/>
      <c r="AN516" s="55"/>
      <c r="AO516" s="55"/>
      <c r="AP516" s="55"/>
      <c r="AQ516" s="55"/>
      <c r="AR516" s="55"/>
      <c r="AS516" s="165"/>
      <c r="AT516" s="55"/>
      <c r="AU516" s="55"/>
      <c r="AV516" s="55"/>
      <c r="AW516" s="55"/>
      <c r="AX516" s="55"/>
      <c r="AY516" s="55"/>
      <c r="AZ516" s="55"/>
      <c r="BA516" s="55"/>
      <c r="BB516" s="165"/>
      <c r="BC516" s="55"/>
      <c r="BD516" s="55"/>
      <c r="BE516" s="55"/>
      <c r="BF516" s="165"/>
      <c r="BG516" s="55"/>
      <c r="BH516" s="10"/>
      <c r="BI516" s="55"/>
      <c r="BJ516" s="55"/>
      <c r="BK516" s="55"/>
      <c r="BL516" s="55"/>
      <c r="BT516" s="141"/>
      <c r="CN516" s="141"/>
      <c r="DG516" s="141"/>
    </row>
    <row r="517" spans="1:111" s="93" customFormat="1" x14ac:dyDescent="0.15">
      <c r="A517" s="11"/>
      <c r="B517" s="13"/>
      <c r="C517" s="12"/>
      <c r="D517" s="13"/>
      <c r="E517" s="13"/>
      <c r="F517" s="12"/>
      <c r="G517" s="55"/>
      <c r="H517" s="55"/>
      <c r="I517" s="55"/>
      <c r="J517" s="55"/>
      <c r="K517" s="55"/>
      <c r="L517" s="158"/>
      <c r="M517" s="10"/>
      <c r="N517" s="55"/>
      <c r="O517" s="55"/>
      <c r="P517" s="10"/>
      <c r="Q517" s="10"/>
      <c r="R517" s="155"/>
      <c r="S517" s="171"/>
      <c r="T517" s="161"/>
      <c r="U517" s="55"/>
      <c r="V517" s="55"/>
      <c r="W517" s="55"/>
      <c r="X517" s="155"/>
      <c r="Y517" s="171"/>
      <c r="Z517" s="165"/>
      <c r="AA517" s="10"/>
      <c r="AB517" s="55"/>
      <c r="AC517" s="55"/>
      <c r="AD517" s="55"/>
      <c r="AE517" s="55"/>
      <c r="AF517" s="55"/>
      <c r="AG517" s="167"/>
      <c r="AH517" s="55"/>
      <c r="AI517" s="55"/>
      <c r="AJ517" s="165"/>
      <c r="AK517" s="55"/>
      <c r="AL517" s="55"/>
      <c r="AM517" s="55"/>
      <c r="AN517" s="55"/>
      <c r="AO517" s="55"/>
      <c r="AP517" s="55"/>
      <c r="AQ517" s="55"/>
      <c r="AR517" s="55"/>
      <c r="AS517" s="165"/>
      <c r="AT517" s="55"/>
      <c r="AU517" s="55"/>
      <c r="AV517" s="55"/>
      <c r="AW517" s="55"/>
      <c r="AX517" s="55"/>
      <c r="AY517" s="55"/>
      <c r="AZ517" s="55"/>
      <c r="BA517" s="55"/>
      <c r="BB517" s="165"/>
      <c r="BC517" s="55"/>
      <c r="BD517" s="55"/>
      <c r="BE517" s="55"/>
      <c r="BF517" s="165"/>
      <c r="BG517" s="55"/>
      <c r="BH517" s="10"/>
      <c r="BI517" s="55"/>
      <c r="BJ517" s="55"/>
      <c r="BK517" s="55"/>
      <c r="BL517" s="55"/>
      <c r="BT517" s="141"/>
      <c r="CN517" s="141"/>
      <c r="DG517" s="141"/>
    </row>
    <row r="518" spans="1:111" s="93" customFormat="1" x14ac:dyDescent="0.15">
      <c r="A518" s="11"/>
      <c r="B518" s="13"/>
      <c r="C518" s="12"/>
      <c r="D518" s="13"/>
      <c r="E518" s="13"/>
      <c r="F518" s="12"/>
      <c r="G518" s="55"/>
      <c r="H518" s="55"/>
      <c r="I518" s="55"/>
      <c r="J518" s="55"/>
      <c r="K518" s="55"/>
      <c r="L518" s="158"/>
      <c r="M518" s="10"/>
      <c r="N518" s="55"/>
      <c r="O518" s="55"/>
      <c r="P518" s="10"/>
      <c r="Q518" s="10"/>
      <c r="R518" s="155"/>
      <c r="S518" s="171"/>
      <c r="T518" s="161"/>
      <c r="U518" s="55"/>
      <c r="V518" s="55"/>
      <c r="W518" s="55"/>
      <c r="X518" s="155"/>
      <c r="Y518" s="171"/>
      <c r="Z518" s="165"/>
      <c r="AA518" s="10"/>
      <c r="AB518" s="55"/>
      <c r="AC518" s="55"/>
      <c r="AD518" s="55"/>
      <c r="AE518" s="55"/>
      <c r="AF518" s="55"/>
      <c r="AG518" s="167"/>
      <c r="AH518" s="55"/>
      <c r="AI518" s="55"/>
      <c r="AJ518" s="165"/>
      <c r="AK518" s="55"/>
      <c r="AL518" s="55"/>
      <c r="AM518" s="55"/>
      <c r="AN518" s="55"/>
      <c r="AO518" s="55"/>
      <c r="AP518" s="55"/>
      <c r="AQ518" s="55"/>
      <c r="AR518" s="55"/>
      <c r="AS518" s="165"/>
      <c r="AT518" s="55"/>
      <c r="AU518" s="55"/>
      <c r="AV518" s="55"/>
      <c r="AW518" s="55"/>
      <c r="AX518" s="55"/>
      <c r="AY518" s="55"/>
      <c r="AZ518" s="55"/>
      <c r="BA518" s="55"/>
      <c r="BB518" s="165"/>
      <c r="BC518" s="55"/>
      <c r="BD518" s="55"/>
      <c r="BE518" s="55"/>
      <c r="BF518" s="165"/>
      <c r="BG518" s="55"/>
      <c r="BH518" s="10"/>
      <c r="BI518" s="55"/>
      <c r="BJ518" s="55"/>
      <c r="BK518" s="55"/>
      <c r="BL518" s="55"/>
      <c r="BT518" s="141"/>
      <c r="CN518" s="141"/>
      <c r="DG518" s="141"/>
    </row>
    <row r="519" spans="1:111" s="93" customFormat="1" x14ac:dyDescent="0.15">
      <c r="A519" s="11"/>
      <c r="B519" s="13"/>
      <c r="C519" s="12"/>
      <c r="D519" s="13"/>
      <c r="E519" s="13"/>
      <c r="F519" s="12"/>
      <c r="G519" s="55"/>
      <c r="H519" s="55"/>
      <c r="I519" s="55"/>
      <c r="J519" s="55"/>
      <c r="K519" s="55"/>
      <c r="L519" s="158"/>
      <c r="M519" s="10"/>
      <c r="N519" s="55"/>
      <c r="O519" s="55"/>
      <c r="P519" s="10"/>
      <c r="Q519" s="10"/>
      <c r="R519" s="155"/>
      <c r="S519" s="171"/>
      <c r="T519" s="161"/>
      <c r="U519" s="55"/>
      <c r="V519" s="55"/>
      <c r="W519" s="55"/>
      <c r="X519" s="155"/>
      <c r="Y519" s="171"/>
      <c r="Z519" s="165"/>
      <c r="AA519" s="10"/>
      <c r="AB519" s="55"/>
      <c r="AC519" s="55"/>
      <c r="AD519" s="55"/>
      <c r="AE519" s="55"/>
      <c r="AF519" s="55"/>
      <c r="AG519" s="167"/>
      <c r="AH519" s="55"/>
      <c r="AI519" s="55"/>
      <c r="AJ519" s="165"/>
      <c r="AK519" s="55"/>
      <c r="AL519" s="55"/>
      <c r="AM519" s="55"/>
      <c r="AN519" s="55"/>
      <c r="AO519" s="55"/>
      <c r="AP519" s="55"/>
      <c r="AQ519" s="55"/>
      <c r="AR519" s="55"/>
      <c r="AS519" s="165"/>
      <c r="AT519" s="55"/>
      <c r="AU519" s="55"/>
      <c r="AV519" s="55"/>
      <c r="AW519" s="55"/>
      <c r="AX519" s="55"/>
      <c r="AY519" s="55"/>
      <c r="AZ519" s="55"/>
      <c r="BA519" s="55"/>
      <c r="BB519" s="165"/>
      <c r="BC519" s="55"/>
      <c r="BD519" s="55"/>
      <c r="BE519" s="55"/>
      <c r="BF519" s="165"/>
      <c r="BG519" s="55"/>
      <c r="BH519" s="10"/>
      <c r="BI519" s="55"/>
      <c r="BJ519" s="55"/>
      <c r="BK519" s="55"/>
      <c r="BL519" s="55"/>
      <c r="BT519" s="141"/>
      <c r="CN519" s="141"/>
      <c r="DG519" s="141"/>
    </row>
    <row r="520" spans="1:111" s="93" customFormat="1" x14ac:dyDescent="0.15">
      <c r="A520" s="11"/>
      <c r="B520" s="13"/>
      <c r="C520" s="12"/>
      <c r="D520" s="13"/>
      <c r="E520" s="13"/>
      <c r="F520" s="12"/>
      <c r="G520" s="55"/>
      <c r="H520" s="55"/>
      <c r="I520" s="55"/>
      <c r="J520" s="55"/>
      <c r="K520" s="55"/>
      <c r="L520" s="158"/>
      <c r="M520" s="10"/>
      <c r="N520" s="55"/>
      <c r="O520" s="55"/>
      <c r="P520" s="10"/>
      <c r="Q520" s="10"/>
      <c r="R520" s="155"/>
      <c r="S520" s="171"/>
      <c r="T520" s="161"/>
      <c r="U520" s="55"/>
      <c r="V520" s="55"/>
      <c r="W520" s="55"/>
      <c r="X520" s="155"/>
      <c r="Y520" s="171"/>
      <c r="Z520" s="165"/>
      <c r="AA520" s="10"/>
      <c r="AB520" s="55"/>
      <c r="AC520" s="55"/>
      <c r="AD520" s="55"/>
      <c r="AE520" s="55"/>
      <c r="AF520" s="55"/>
      <c r="AG520" s="167"/>
      <c r="AH520" s="55"/>
      <c r="AI520" s="55"/>
      <c r="AJ520" s="165"/>
      <c r="AK520" s="55"/>
      <c r="AL520" s="55"/>
      <c r="AM520" s="55"/>
      <c r="AN520" s="55"/>
      <c r="AO520" s="55"/>
      <c r="AP520" s="55"/>
      <c r="AQ520" s="55"/>
      <c r="AR520" s="55"/>
      <c r="AS520" s="165"/>
      <c r="AT520" s="55"/>
      <c r="AU520" s="55"/>
      <c r="AV520" s="55"/>
      <c r="AW520" s="55"/>
      <c r="AX520" s="55"/>
      <c r="AY520" s="55"/>
      <c r="AZ520" s="55"/>
      <c r="BA520" s="55"/>
      <c r="BB520" s="165"/>
      <c r="BC520" s="55"/>
      <c r="BD520" s="55"/>
      <c r="BE520" s="55"/>
      <c r="BF520" s="165"/>
      <c r="BG520" s="55"/>
      <c r="BH520" s="10"/>
      <c r="BI520" s="55"/>
      <c r="BJ520" s="55"/>
      <c r="BK520" s="55"/>
      <c r="BL520" s="55"/>
      <c r="BT520" s="141"/>
      <c r="CN520" s="141"/>
      <c r="DG520" s="141"/>
    </row>
    <row r="521" spans="1:111" s="93" customFormat="1" x14ac:dyDescent="0.15">
      <c r="A521" s="11"/>
      <c r="B521" s="13"/>
      <c r="C521" s="12"/>
      <c r="D521" s="13"/>
      <c r="E521" s="13"/>
      <c r="F521" s="12"/>
      <c r="G521" s="55"/>
      <c r="H521" s="55"/>
      <c r="I521" s="55"/>
      <c r="J521" s="55"/>
      <c r="K521" s="55"/>
      <c r="L521" s="158"/>
      <c r="M521" s="10"/>
      <c r="N521" s="55"/>
      <c r="O521" s="55"/>
      <c r="P521" s="10"/>
      <c r="Q521" s="10"/>
      <c r="R521" s="155"/>
      <c r="S521" s="171"/>
      <c r="T521" s="161"/>
      <c r="U521" s="55"/>
      <c r="V521" s="55"/>
      <c r="W521" s="55"/>
      <c r="X521" s="155"/>
      <c r="Y521" s="171"/>
      <c r="Z521" s="165"/>
      <c r="AA521" s="10"/>
      <c r="AB521" s="55"/>
      <c r="AC521" s="55"/>
      <c r="AD521" s="55"/>
      <c r="AE521" s="55"/>
      <c r="AF521" s="55"/>
      <c r="AG521" s="167"/>
      <c r="AH521" s="55"/>
      <c r="AI521" s="55"/>
      <c r="AJ521" s="165"/>
      <c r="AK521" s="55"/>
      <c r="AL521" s="55"/>
      <c r="AM521" s="55"/>
      <c r="AN521" s="55"/>
      <c r="AO521" s="55"/>
      <c r="AP521" s="55"/>
      <c r="AQ521" s="55"/>
      <c r="AR521" s="55"/>
      <c r="AS521" s="165"/>
      <c r="AT521" s="55"/>
      <c r="AU521" s="55"/>
      <c r="AV521" s="55"/>
      <c r="AW521" s="55"/>
      <c r="AX521" s="55"/>
      <c r="AY521" s="55"/>
      <c r="AZ521" s="55"/>
      <c r="BA521" s="55"/>
      <c r="BB521" s="165"/>
      <c r="BC521" s="55"/>
      <c r="BD521" s="55"/>
      <c r="BE521" s="55"/>
      <c r="BF521" s="165"/>
      <c r="BG521" s="55"/>
      <c r="BH521" s="10"/>
      <c r="BI521" s="55"/>
      <c r="BJ521" s="55"/>
      <c r="BK521" s="55"/>
      <c r="BL521" s="55"/>
      <c r="BT521" s="141"/>
      <c r="CN521" s="141"/>
      <c r="DG521" s="141"/>
    </row>
    <row r="522" spans="1:111" s="93" customFormat="1" x14ac:dyDescent="0.15">
      <c r="A522" s="11"/>
      <c r="B522" s="13"/>
      <c r="C522" s="12"/>
      <c r="D522" s="13"/>
      <c r="E522" s="13"/>
      <c r="F522" s="12"/>
      <c r="G522" s="55"/>
      <c r="H522" s="55"/>
      <c r="I522" s="55"/>
      <c r="J522" s="55"/>
      <c r="K522" s="55"/>
      <c r="L522" s="158"/>
      <c r="M522" s="10"/>
      <c r="N522" s="55"/>
      <c r="O522" s="55"/>
      <c r="P522" s="10"/>
      <c r="Q522" s="10"/>
      <c r="R522" s="155"/>
      <c r="S522" s="171"/>
      <c r="T522" s="161"/>
      <c r="U522" s="55"/>
      <c r="V522" s="55"/>
      <c r="W522" s="55"/>
      <c r="X522" s="155"/>
      <c r="Y522" s="171"/>
      <c r="Z522" s="165"/>
      <c r="AA522" s="10"/>
      <c r="AB522" s="55"/>
      <c r="AC522" s="55"/>
      <c r="AD522" s="55"/>
      <c r="AE522" s="55"/>
      <c r="AF522" s="55"/>
      <c r="AG522" s="167"/>
      <c r="AH522" s="55"/>
      <c r="AI522" s="55"/>
      <c r="AJ522" s="165"/>
      <c r="AK522" s="55"/>
      <c r="AL522" s="55"/>
      <c r="AM522" s="55"/>
      <c r="AN522" s="55"/>
      <c r="AO522" s="55"/>
      <c r="AP522" s="55"/>
      <c r="AQ522" s="55"/>
      <c r="AR522" s="55"/>
      <c r="AS522" s="165"/>
      <c r="AT522" s="55"/>
      <c r="AU522" s="55"/>
      <c r="AV522" s="55"/>
      <c r="AW522" s="55"/>
      <c r="AX522" s="55"/>
      <c r="AY522" s="55"/>
      <c r="AZ522" s="55"/>
      <c r="BA522" s="55"/>
      <c r="BB522" s="165"/>
      <c r="BC522" s="55"/>
      <c r="BD522" s="55"/>
      <c r="BE522" s="55"/>
      <c r="BF522" s="165"/>
      <c r="BG522" s="55"/>
      <c r="BH522" s="10"/>
      <c r="BI522" s="55"/>
      <c r="BJ522" s="55"/>
      <c r="BK522" s="55"/>
      <c r="BL522" s="55"/>
      <c r="BT522" s="141"/>
      <c r="CN522" s="141"/>
      <c r="DG522" s="141"/>
    </row>
    <row r="523" spans="1:111" s="93" customFormat="1" x14ac:dyDescent="0.15">
      <c r="A523" s="11"/>
      <c r="B523" s="13"/>
      <c r="C523" s="12"/>
      <c r="D523" s="13"/>
      <c r="E523" s="13"/>
      <c r="F523" s="12"/>
      <c r="G523" s="55"/>
      <c r="H523" s="55"/>
      <c r="I523" s="55"/>
      <c r="J523" s="55"/>
      <c r="K523" s="55"/>
      <c r="L523" s="158"/>
      <c r="M523" s="10"/>
      <c r="N523" s="55"/>
      <c r="O523" s="55"/>
      <c r="P523" s="10"/>
      <c r="Q523" s="10"/>
      <c r="R523" s="155"/>
      <c r="S523" s="171"/>
      <c r="T523" s="161"/>
      <c r="U523" s="55"/>
      <c r="V523" s="55"/>
      <c r="W523" s="55"/>
      <c r="X523" s="155"/>
      <c r="Y523" s="171"/>
      <c r="Z523" s="165"/>
      <c r="AA523" s="10"/>
      <c r="AB523" s="55"/>
      <c r="AC523" s="55"/>
      <c r="AD523" s="55"/>
      <c r="AE523" s="55"/>
      <c r="AF523" s="55"/>
      <c r="AG523" s="167"/>
      <c r="AH523" s="55"/>
      <c r="AI523" s="55"/>
      <c r="AJ523" s="165"/>
      <c r="AK523" s="55"/>
      <c r="AL523" s="55"/>
      <c r="AM523" s="55"/>
      <c r="AN523" s="55"/>
      <c r="AO523" s="55"/>
      <c r="AP523" s="55"/>
      <c r="AQ523" s="55"/>
      <c r="AR523" s="55"/>
      <c r="AS523" s="165"/>
      <c r="AT523" s="55"/>
      <c r="AU523" s="55"/>
      <c r="AV523" s="55"/>
      <c r="AW523" s="55"/>
      <c r="AX523" s="55"/>
      <c r="AY523" s="55"/>
      <c r="AZ523" s="55"/>
      <c r="BA523" s="55"/>
      <c r="BB523" s="165"/>
      <c r="BC523" s="55"/>
      <c r="BD523" s="55"/>
      <c r="BE523" s="55"/>
      <c r="BF523" s="165"/>
      <c r="BG523" s="55"/>
      <c r="BH523" s="10"/>
      <c r="BI523" s="55"/>
      <c r="BJ523" s="55"/>
      <c r="BK523" s="55"/>
      <c r="BL523" s="55"/>
      <c r="BT523" s="141"/>
      <c r="CN523" s="141"/>
      <c r="DG523" s="141"/>
    </row>
    <row r="524" spans="1:111" s="93" customFormat="1" x14ac:dyDescent="0.15">
      <c r="A524" s="11"/>
      <c r="B524" s="13"/>
      <c r="C524" s="12"/>
      <c r="D524" s="13"/>
      <c r="E524" s="13"/>
      <c r="F524" s="12"/>
      <c r="G524" s="55"/>
      <c r="H524" s="55"/>
      <c r="I524" s="55"/>
      <c r="J524" s="55"/>
      <c r="K524" s="55"/>
      <c r="L524" s="158"/>
      <c r="M524" s="10"/>
      <c r="N524" s="55"/>
      <c r="O524" s="55"/>
      <c r="P524" s="10"/>
      <c r="Q524" s="10"/>
      <c r="R524" s="155"/>
      <c r="S524" s="171"/>
      <c r="T524" s="161"/>
      <c r="U524" s="55"/>
      <c r="V524" s="55"/>
      <c r="W524" s="55"/>
      <c r="X524" s="155"/>
      <c r="Y524" s="171"/>
      <c r="Z524" s="165"/>
      <c r="AA524" s="10"/>
      <c r="AB524" s="55"/>
      <c r="AC524" s="55"/>
      <c r="AD524" s="55"/>
      <c r="AE524" s="55"/>
      <c r="AF524" s="55"/>
      <c r="AG524" s="167"/>
      <c r="AH524" s="55"/>
      <c r="AI524" s="55"/>
      <c r="AJ524" s="165"/>
      <c r="AK524" s="55"/>
      <c r="AL524" s="55"/>
      <c r="AM524" s="55"/>
      <c r="AN524" s="55"/>
      <c r="AO524" s="55"/>
      <c r="AP524" s="55"/>
      <c r="AQ524" s="55"/>
      <c r="AR524" s="55"/>
      <c r="AS524" s="165"/>
      <c r="AT524" s="55"/>
      <c r="AU524" s="55"/>
      <c r="AV524" s="55"/>
      <c r="AW524" s="55"/>
      <c r="AX524" s="55"/>
      <c r="AY524" s="55"/>
      <c r="AZ524" s="55"/>
      <c r="BA524" s="55"/>
      <c r="BB524" s="165"/>
      <c r="BC524" s="55"/>
      <c r="BD524" s="55"/>
      <c r="BE524" s="55"/>
      <c r="BF524" s="165"/>
      <c r="BG524" s="55"/>
      <c r="BH524" s="10"/>
      <c r="BI524" s="55"/>
      <c r="BJ524" s="55"/>
      <c r="BK524" s="55"/>
      <c r="BL524" s="55"/>
      <c r="BT524" s="141"/>
      <c r="CN524" s="141"/>
      <c r="DG524" s="141"/>
    </row>
    <row r="525" spans="1:111" s="93" customFormat="1" x14ac:dyDescent="0.15">
      <c r="A525" s="11"/>
      <c r="B525" s="13"/>
      <c r="C525" s="12"/>
      <c r="D525" s="13"/>
      <c r="E525" s="13"/>
      <c r="F525" s="12"/>
      <c r="G525" s="55"/>
      <c r="H525" s="55"/>
      <c r="I525" s="55"/>
      <c r="J525" s="55"/>
      <c r="K525" s="55"/>
      <c r="L525" s="158"/>
      <c r="M525" s="10"/>
      <c r="N525" s="55"/>
      <c r="O525" s="55"/>
      <c r="P525" s="10"/>
      <c r="Q525" s="10"/>
      <c r="R525" s="155"/>
      <c r="S525" s="171"/>
      <c r="T525" s="161"/>
      <c r="U525" s="55"/>
      <c r="V525" s="55"/>
      <c r="W525" s="55"/>
      <c r="X525" s="155"/>
      <c r="Y525" s="171"/>
      <c r="Z525" s="165"/>
      <c r="AA525" s="10"/>
      <c r="AB525" s="55"/>
      <c r="AC525" s="55"/>
      <c r="AD525" s="55"/>
      <c r="AE525" s="55"/>
      <c r="AF525" s="55"/>
      <c r="AG525" s="167"/>
      <c r="AH525" s="55"/>
      <c r="AI525" s="55"/>
      <c r="AJ525" s="165"/>
      <c r="AK525" s="55"/>
      <c r="AL525" s="55"/>
      <c r="AM525" s="55"/>
      <c r="AN525" s="55"/>
      <c r="AO525" s="55"/>
      <c r="AP525" s="55"/>
      <c r="AQ525" s="55"/>
      <c r="AR525" s="55"/>
      <c r="AS525" s="165"/>
      <c r="AT525" s="55"/>
      <c r="AU525" s="55"/>
      <c r="AV525" s="55"/>
      <c r="AW525" s="55"/>
      <c r="AX525" s="55"/>
      <c r="AY525" s="55"/>
      <c r="AZ525" s="55"/>
      <c r="BA525" s="55"/>
      <c r="BB525" s="165"/>
      <c r="BC525" s="55"/>
      <c r="BD525" s="55"/>
      <c r="BE525" s="55"/>
      <c r="BF525" s="165"/>
      <c r="BG525" s="55"/>
      <c r="BH525" s="10"/>
      <c r="BI525" s="55"/>
      <c r="BJ525" s="55"/>
      <c r="BK525" s="55"/>
      <c r="BL525" s="55"/>
      <c r="BT525" s="141"/>
      <c r="CN525" s="141"/>
      <c r="DG525" s="141"/>
    </row>
    <row r="526" spans="1:111" s="93" customFormat="1" x14ac:dyDescent="0.15">
      <c r="A526" s="11"/>
      <c r="B526" s="13"/>
      <c r="C526" s="12"/>
      <c r="D526" s="13"/>
      <c r="E526" s="13"/>
      <c r="F526" s="12"/>
      <c r="G526" s="55"/>
      <c r="H526" s="55"/>
      <c r="I526" s="55"/>
      <c r="J526" s="55"/>
      <c r="K526" s="55"/>
      <c r="L526" s="158"/>
      <c r="M526" s="10"/>
      <c r="N526" s="55"/>
      <c r="O526" s="55"/>
      <c r="P526" s="10"/>
      <c r="Q526" s="10"/>
      <c r="R526" s="155"/>
      <c r="S526" s="171"/>
      <c r="T526" s="161"/>
      <c r="U526" s="55"/>
      <c r="V526" s="55"/>
      <c r="W526" s="55"/>
      <c r="X526" s="155"/>
      <c r="Y526" s="171"/>
      <c r="Z526" s="165"/>
      <c r="AA526" s="10"/>
      <c r="AB526" s="55"/>
      <c r="AC526" s="55"/>
      <c r="AD526" s="55"/>
      <c r="AE526" s="55"/>
      <c r="AF526" s="55"/>
      <c r="AG526" s="167"/>
      <c r="AH526" s="55"/>
      <c r="AI526" s="55"/>
      <c r="AJ526" s="165"/>
      <c r="AK526" s="55"/>
      <c r="AL526" s="55"/>
      <c r="AM526" s="55"/>
      <c r="AN526" s="55"/>
      <c r="AO526" s="55"/>
      <c r="AP526" s="55"/>
      <c r="AQ526" s="55"/>
      <c r="AR526" s="55"/>
      <c r="AS526" s="165"/>
      <c r="AT526" s="55"/>
      <c r="AU526" s="55"/>
      <c r="AV526" s="55"/>
      <c r="AW526" s="55"/>
      <c r="AX526" s="55"/>
      <c r="AY526" s="55"/>
      <c r="AZ526" s="55"/>
      <c r="BA526" s="55"/>
      <c r="BB526" s="165"/>
      <c r="BC526" s="55"/>
      <c r="BD526" s="55"/>
      <c r="BE526" s="55"/>
      <c r="BF526" s="165"/>
      <c r="BG526" s="55"/>
      <c r="BH526" s="10"/>
      <c r="BI526" s="55"/>
      <c r="BJ526" s="55"/>
      <c r="BK526" s="55"/>
      <c r="BL526" s="55"/>
      <c r="BT526" s="141"/>
      <c r="CN526" s="141"/>
      <c r="DG526" s="141"/>
    </row>
    <row r="527" spans="1:111" s="93" customFormat="1" x14ac:dyDescent="0.15">
      <c r="A527" s="11"/>
      <c r="B527" s="13"/>
      <c r="C527" s="12"/>
      <c r="D527" s="13"/>
      <c r="E527" s="13"/>
      <c r="F527" s="12"/>
      <c r="G527" s="55"/>
      <c r="H527" s="55"/>
      <c r="I527" s="55"/>
      <c r="J527" s="55"/>
      <c r="K527" s="55"/>
      <c r="L527" s="158"/>
      <c r="M527" s="10"/>
      <c r="N527" s="55"/>
      <c r="O527" s="55"/>
      <c r="P527" s="10"/>
      <c r="Q527" s="10"/>
      <c r="R527" s="155"/>
      <c r="S527" s="171"/>
      <c r="T527" s="161"/>
      <c r="U527" s="55"/>
      <c r="V527" s="55"/>
      <c r="W527" s="55"/>
      <c r="X527" s="155"/>
      <c r="Y527" s="171"/>
      <c r="Z527" s="165"/>
      <c r="AA527" s="10"/>
      <c r="AB527" s="55"/>
      <c r="AC527" s="55"/>
      <c r="AD527" s="55"/>
      <c r="AE527" s="55"/>
      <c r="AF527" s="55"/>
      <c r="AG527" s="167"/>
      <c r="AH527" s="55"/>
      <c r="AI527" s="55"/>
      <c r="AJ527" s="165"/>
      <c r="AK527" s="55"/>
      <c r="AL527" s="55"/>
      <c r="AM527" s="55"/>
      <c r="AN527" s="55"/>
      <c r="AO527" s="55"/>
      <c r="AP527" s="55"/>
      <c r="AQ527" s="55"/>
      <c r="AR527" s="55"/>
      <c r="AS527" s="165"/>
      <c r="AT527" s="55"/>
      <c r="AU527" s="55"/>
      <c r="AV527" s="55"/>
      <c r="AW527" s="55"/>
      <c r="AX527" s="55"/>
      <c r="AY527" s="55"/>
      <c r="AZ527" s="55"/>
      <c r="BA527" s="55"/>
      <c r="BB527" s="165"/>
      <c r="BC527" s="55"/>
      <c r="BD527" s="55"/>
      <c r="BE527" s="55"/>
      <c r="BF527" s="165"/>
      <c r="BG527" s="55"/>
      <c r="BH527" s="10"/>
      <c r="BI527" s="55"/>
      <c r="BJ527" s="55"/>
      <c r="BK527" s="55"/>
      <c r="BL527" s="55"/>
      <c r="BT527" s="141"/>
      <c r="CN527" s="141"/>
      <c r="DG527" s="141"/>
    </row>
    <row r="528" spans="1:111" s="93" customFormat="1" x14ac:dyDescent="0.15">
      <c r="A528" s="11"/>
      <c r="B528" s="13"/>
      <c r="C528" s="12"/>
      <c r="D528" s="13"/>
      <c r="E528" s="13"/>
      <c r="F528" s="12"/>
      <c r="G528" s="55"/>
      <c r="H528" s="55"/>
      <c r="I528" s="55"/>
      <c r="J528" s="55"/>
      <c r="K528" s="55"/>
      <c r="L528" s="158"/>
      <c r="M528" s="10"/>
      <c r="N528" s="55"/>
      <c r="O528" s="55"/>
      <c r="P528" s="10"/>
      <c r="Q528" s="10"/>
      <c r="R528" s="155"/>
      <c r="S528" s="171"/>
      <c r="T528" s="161"/>
      <c r="U528" s="55"/>
      <c r="V528" s="55"/>
      <c r="W528" s="55"/>
      <c r="X528" s="155"/>
      <c r="Y528" s="171"/>
      <c r="Z528" s="165"/>
      <c r="AA528" s="10"/>
      <c r="AB528" s="55"/>
      <c r="AC528" s="55"/>
      <c r="AD528" s="55"/>
      <c r="AE528" s="55"/>
      <c r="AF528" s="55"/>
      <c r="AG528" s="167"/>
      <c r="AH528" s="55"/>
      <c r="AI528" s="55"/>
      <c r="AJ528" s="165"/>
      <c r="AK528" s="55"/>
      <c r="AL528" s="55"/>
      <c r="AM528" s="55"/>
      <c r="AN528" s="55"/>
      <c r="AO528" s="55"/>
      <c r="AP528" s="55"/>
      <c r="AQ528" s="55"/>
      <c r="AR528" s="55"/>
      <c r="AS528" s="165"/>
      <c r="AT528" s="55"/>
      <c r="AU528" s="55"/>
      <c r="AV528" s="55"/>
      <c r="AW528" s="55"/>
      <c r="AX528" s="55"/>
      <c r="AY528" s="55"/>
      <c r="AZ528" s="55"/>
      <c r="BA528" s="55"/>
      <c r="BB528" s="165"/>
      <c r="BC528" s="55"/>
      <c r="BD528" s="55"/>
      <c r="BE528" s="55"/>
      <c r="BF528" s="165"/>
      <c r="BG528" s="55"/>
      <c r="BH528" s="10"/>
      <c r="BI528" s="55"/>
      <c r="BJ528" s="55"/>
      <c r="BK528" s="55"/>
      <c r="BL528" s="55"/>
      <c r="BT528" s="141"/>
      <c r="CN528" s="141"/>
      <c r="DG528" s="141"/>
    </row>
    <row r="529" spans="1:111" s="93" customFormat="1" x14ac:dyDescent="0.15">
      <c r="A529" s="11"/>
      <c r="B529" s="13"/>
      <c r="C529" s="12"/>
      <c r="D529" s="13"/>
      <c r="E529" s="13"/>
      <c r="F529" s="12"/>
      <c r="G529" s="55"/>
      <c r="H529" s="55"/>
      <c r="I529" s="55"/>
      <c r="J529" s="55"/>
      <c r="K529" s="55"/>
      <c r="L529" s="158"/>
      <c r="M529" s="10"/>
      <c r="N529" s="55"/>
      <c r="O529" s="55"/>
      <c r="P529" s="10"/>
      <c r="Q529" s="10"/>
      <c r="R529" s="155"/>
      <c r="S529" s="171"/>
      <c r="T529" s="161"/>
      <c r="U529" s="55"/>
      <c r="V529" s="55"/>
      <c r="W529" s="55"/>
      <c r="X529" s="155"/>
      <c r="Y529" s="171"/>
      <c r="Z529" s="165"/>
      <c r="AA529" s="10"/>
      <c r="AB529" s="55"/>
      <c r="AC529" s="55"/>
      <c r="AD529" s="55"/>
      <c r="AE529" s="55"/>
      <c r="AF529" s="55"/>
      <c r="AG529" s="167"/>
      <c r="AH529" s="55"/>
      <c r="AI529" s="55"/>
      <c r="AJ529" s="165"/>
      <c r="AK529" s="55"/>
      <c r="AL529" s="55"/>
      <c r="AM529" s="55"/>
      <c r="AN529" s="55"/>
      <c r="AO529" s="55"/>
      <c r="AP529" s="55"/>
      <c r="AQ529" s="55"/>
      <c r="AR529" s="55"/>
      <c r="AS529" s="165"/>
      <c r="AT529" s="55"/>
      <c r="AU529" s="55"/>
      <c r="AV529" s="55"/>
      <c r="AW529" s="55"/>
      <c r="AX529" s="55"/>
      <c r="AY529" s="55"/>
      <c r="AZ529" s="55"/>
      <c r="BA529" s="55"/>
      <c r="BB529" s="165"/>
      <c r="BC529" s="55"/>
      <c r="BD529" s="55"/>
      <c r="BE529" s="55"/>
      <c r="BF529" s="165"/>
      <c r="BG529" s="55"/>
      <c r="BH529" s="10"/>
      <c r="BI529" s="55"/>
      <c r="BJ529" s="55"/>
      <c r="BK529" s="55"/>
      <c r="BL529" s="55"/>
      <c r="BT529" s="141"/>
      <c r="CN529" s="141"/>
      <c r="DG529" s="141"/>
    </row>
    <row r="530" spans="1:111" s="93" customFormat="1" x14ac:dyDescent="0.15">
      <c r="A530" s="11"/>
      <c r="B530" s="13"/>
      <c r="C530" s="12"/>
      <c r="D530" s="13"/>
      <c r="E530" s="13"/>
      <c r="F530" s="12"/>
      <c r="G530" s="55"/>
      <c r="H530" s="55"/>
      <c r="I530" s="55"/>
      <c r="J530" s="55"/>
      <c r="K530" s="55"/>
      <c r="L530" s="158"/>
      <c r="M530" s="10"/>
      <c r="N530" s="55"/>
      <c r="O530" s="55"/>
      <c r="P530" s="10"/>
      <c r="Q530" s="10"/>
      <c r="R530" s="155"/>
      <c r="S530" s="171"/>
      <c r="T530" s="161"/>
      <c r="U530" s="55"/>
      <c r="V530" s="55"/>
      <c r="W530" s="55"/>
      <c r="X530" s="155"/>
      <c r="Y530" s="171"/>
      <c r="Z530" s="165"/>
      <c r="AA530" s="10"/>
      <c r="AB530" s="55"/>
      <c r="AC530" s="55"/>
      <c r="AD530" s="55"/>
      <c r="AE530" s="55"/>
      <c r="AF530" s="55"/>
      <c r="AG530" s="167"/>
      <c r="AH530" s="55"/>
      <c r="AI530" s="55"/>
      <c r="AJ530" s="165"/>
      <c r="AK530" s="55"/>
      <c r="AL530" s="55"/>
      <c r="AM530" s="55"/>
      <c r="AN530" s="55"/>
      <c r="AO530" s="55"/>
      <c r="AP530" s="55"/>
      <c r="AQ530" s="55"/>
      <c r="AR530" s="55"/>
      <c r="AS530" s="165"/>
      <c r="AT530" s="55"/>
      <c r="AU530" s="55"/>
      <c r="AV530" s="55"/>
      <c r="AW530" s="55"/>
      <c r="AX530" s="55"/>
      <c r="AY530" s="55"/>
      <c r="AZ530" s="55"/>
      <c r="BA530" s="55"/>
      <c r="BB530" s="165"/>
      <c r="BC530" s="55"/>
      <c r="BD530" s="55"/>
      <c r="BE530" s="55"/>
      <c r="BF530" s="165"/>
      <c r="BG530" s="55"/>
      <c r="BH530" s="10"/>
      <c r="BI530" s="55"/>
      <c r="BJ530" s="55"/>
      <c r="BK530" s="55"/>
      <c r="BL530" s="55"/>
      <c r="BT530" s="141"/>
      <c r="CN530" s="141"/>
      <c r="DG530" s="141"/>
    </row>
    <row r="531" spans="1:111" s="93" customFormat="1" x14ac:dyDescent="0.15">
      <c r="A531" s="11"/>
      <c r="B531" s="13"/>
      <c r="C531" s="12"/>
      <c r="D531" s="13"/>
      <c r="E531" s="13"/>
      <c r="F531" s="12"/>
      <c r="G531" s="55"/>
      <c r="H531" s="55"/>
      <c r="I531" s="55"/>
      <c r="J531" s="55"/>
      <c r="K531" s="55"/>
      <c r="L531" s="158"/>
      <c r="M531" s="10"/>
      <c r="N531" s="55"/>
      <c r="O531" s="55"/>
      <c r="P531" s="10"/>
      <c r="Q531" s="10"/>
      <c r="R531" s="155"/>
      <c r="S531" s="171"/>
      <c r="T531" s="161"/>
      <c r="U531" s="55"/>
      <c r="V531" s="55"/>
      <c r="W531" s="55"/>
      <c r="X531" s="155"/>
      <c r="Y531" s="171"/>
      <c r="Z531" s="165"/>
      <c r="AA531" s="10"/>
      <c r="AB531" s="55"/>
      <c r="AC531" s="55"/>
      <c r="AD531" s="55"/>
      <c r="AE531" s="55"/>
      <c r="AF531" s="55"/>
      <c r="AG531" s="167"/>
      <c r="AH531" s="55"/>
      <c r="AI531" s="55"/>
      <c r="AJ531" s="165"/>
      <c r="AK531" s="55"/>
      <c r="AL531" s="55"/>
      <c r="AM531" s="55"/>
      <c r="AN531" s="55"/>
      <c r="AO531" s="55"/>
      <c r="AP531" s="55"/>
      <c r="AQ531" s="55"/>
      <c r="AR531" s="55"/>
      <c r="AS531" s="165"/>
      <c r="AT531" s="55"/>
      <c r="AU531" s="55"/>
      <c r="AV531" s="55"/>
      <c r="AW531" s="55"/>
      <c r="AX531" s="55"/>
      <c r="AY531" s="55"/>
      <c r="AZ531" s="55"/>
      <c r="BA531" s="55"/>
      <c r="BB531" s="165"/>
      <c r="BC531" s="55"/>
      <c r="BD531" s="55"/>
      <c r="BE531" s="55"/>
      <c r="BF531" s="165"/>
      <c r="BG531" s="55"/>
      <c r="BH531" s="10"/>
      <c r="BI531" s="55"/>
      <c r="BJ531" s="55"/>
      <c r="BK531" s="55"/>
      <c r="BL531" s="55"/>
      <c r="BT531" s="141"/>
      <c r="CN531" s="141"/>
      <c r="DG531" s="141"/>
    </row>
    <row r="532" spans="1:111" s="93" customFormat="1" x14ac:dyDescent="0.15">
      <c r="A532" s="11"/>
      <c r="B532" s="13"/>
      <c r="C532" s="12"/>
      <c r="D532" s="13"/>
      <c r="E532" s="13"/>
      <c r="F532" s="12"/>
      <c r="G532" s="55"/>
      <c r="H532" s="55"/>
      <c r="I532" s="55"/>
      <c r="J532" s="55"/>
      <c r="K532" s="55"/>
      <c r="L532" s="158"/>
      <c r="M532" s="10"/>
      <c r="N532" s="55"/>
      <c r="O532" s="55"/>
      <c r="P532" s="10"/>
      <c r="Q532" s="10"/>
      <c r="R532" s="155"/>
      <c r="S532" s="171"/>
      <c r="T532" s="161"/>
      <c r="U532" s="55"/>
      <c r="V532" s="55"/>
      <c r="W532" s="55"/>
      <c r="X532" s="155"/>
      <c r="Y532" s="171"/>
      <c r="Z532" s="165"/>
      <c r="AA532" s="10"/>
      <c r="AB532" s="55"/>
      <c r="AC532" s="55"/>
      <c r="AD532" s="55"/>
      <c r="AE532" s="55"/>
      <c r="AF532" s="55"/>
      <c r="AG532" s="167"/>
      <c r="AH532" s="55"/>
      <c r="AI532" s="55"/>
      <c r="AJ532" s="165"/>
      <c r="AK532" s="55"/>
      <c r="AL532" s="55"/>
      <c r="AM532" s="55"/>
      <c r="AN532" s="55"/>
      <c r="AO532" s="55"/>
      <c r="AP532" s="55"/>
      <c r="AQ532" s="55"/>
      <c r="AR532" s="55"/>
      <c r="AS532" s="165"/>
      <c r="AT532" s="55"/>
      <c r="AU532" s="55"/>
      <c r="AV532" s="55"/>
      <c r="AW532" s="55"/>
      <c r="AX532" s="55"/>
      <c r="AY532" s="55"/>
      <c r="AZ532" s="55"/>
      <c r="BA532" s="55"/>
      <c r="BB532" s="165"/>
      <c r="BC532" s="55"/>
      <c r="BD532" s="55"/>
      <c r="BE532" s="55"/>
      <c r="BF532" s="165"/>
      <c r="BG532" s="55"/>
      <c r="BH532" s="10"/>
      <c r="BI532" s="55"/>
      <c r="BJ532" s="55"/>
      <c r="BK532" s="55"/>
      <c r="BL532" s="55"/>
      <c r="BT532" s="141"/>
      <c r="CN532" s="141"/>
      <c r="DG532" s="141"/>
    </row>
    <row r="533" spans="1:111" s="93" customFormat="1" x14ac:dyDescent="0.15">
      <c r="A533" s="11"/>
      <c r="B533" s="13"/>
      <c r="C533" s="12"/>
      <c r="D533" s="13"/>
      <c r="E533" s="13"/>
      <c r="F533" s="12"/>
      <c r="G533" s="55"/>
      <c r="H533" s="55"/>
      <c r="I533" s="55"/>
      <c r="J533" s="55"/>
      <c r="K533" s="55"/>
      <c r="L533" s="158"/>
      <c r="M533" s="10"/>
      <c r="N533" s="55"/>
      <c r="O533" s="55"/>
      <c r="P533" s="10"/>
      <c r="Q533" s="10"/>
      <c r="R533" s="155"/>
      <c r="S533" s="171"/>
      <c r="T533" s="161"/>
      <c r="U533" s="55"/>
      <c r="V533" s="55"/>
      <c r="W533" s="55"/>
      <c r="X533" s="155"/>
      <c r="Y533" s="171"/>
      <c r="Z533" s="165"/>
      <c r="AA533" s="10"/>
      <c r="AB533" s="55"/>
      <c r="AC533" s="55"/>
      <c r="AD533" s="55"/>
      <c r="AE533" s="55"/>
      <c r="AF533" s="55"/>
      <c r="AG533" s="167"/>
      <c r="AH533" s="55"/>
      <c r="AI533" s="55"/>
      <c r="AJ533" s="165"/>
      <c r="AK533" s="55"/>
      <c r="AL533" s="55"/>
      <c r="AM533" s="55"/>
      <c r="AN533" s="55"/>
      <c r="AO533" s="55"/>
      <c r="AP533" s="55"/>
      <c r="AQ533" s="55"/>
      <c r="AR533" s="55"/>
      <c r="AS533" s="165"/>
      <c r="AT533" s="55"/>
      <c r="AU533" s="55"/>
      <c r="AV533" s="55"/>
      <c r="AW533" s="55"/>
      <c r="AX533" s="55"/>
      <c r="AY533" s="55"/>
      <c r="AZ533" s="55"/>
      <c r="BA533" s="55"/>
      <c r="BB533" s="165"/>
      <c r="BC533" s="55"/>
      <c r="BD533" s="55"/>
      <c r="BE533" s="55"/>
      <c r="BF533" s="165"/>
      <c r="BG533" s="55"/>
      <c r="BH533" s="10"/>
      <c r="BI533" s="55"/>
      <c r="BJ533" s="55"/>
      <c r="BK533" s="55"/>
      <c r="BL533" s="55"/>
      <c r="BT533" s="141"/>
      <c r="CN533" s="141"/>
      <c r="DG533" s="141"/>
    </row>
    <row r="534" spans="1:111" s="93" customFormat="1" x14ac:dyDescent="0.15">
      <c r="A534" s="11"/>
      <c r="B534" s="13"/>
      <c r="C534" s="12"/>
      <c r="D534" s="13"/>
      <c r="E534" s="13"/>
      <c r="F534" s="12"/>
      <c r="G534" s="55"/>
      <c r="H534" s="55"/>
      <c r="I534" s="55"/>
      <c r="J534" s="55"/>
      <c r="K534" s="55"/>
      <c r="L534" s="158"/>
      <c r="M534" s="10"/>
      <c r="N534" s="55"/>
      <c r="O534" s="55"/>
      <c r="P534" s="10"/>
      <c r="Q534" s="10"/>
      <c r="R534" s="155"/>
      <c r="S534" s="171"/>
      <c r="T534" s="161"/>
      <c r="U534" s="55"/>
      <c r="V534" s="55"/>
      <c r="W534" s="55"/>
      <c r="X534" s="155"/>
      <c r="Y534" s="171"/>
      <c r="Z534" s="165"/>
      <c r="AA534" s="10"/>
      <c r="AB534" s="55"/>
      <c r="AC534" s="55"/>
      <c r="AD534" s="55"/>
      <c r="AE534" s="55"/>
      <c r="AF534" s="55"/>
      <c r="AG534" s="167"/>
      <c r="AH534" s="55"/>
      <c r="AI534" s="55"/>
      <c r="AJ534" s="165"/>
      <c r="AK534" s="55"/>
      <c r="AL534" s="55"/>
      <c r="AM534" s="55"/>
      <c r="AN534" s="55"/>
      <c r="AO534" s="55"/>
      <c r="AP534" s="55"/>
      <c r="AQ534" s="55"/>
      <c r="AR534" s="55"/>
      <c r="AS534" s="165"/>
      <c r="AT534" s="55"/>
      <c r="AU534" s="55"/>
      <c r="AV534" s="55"/>
      <c r="AW534" s="55"/>
      <c r="AX534" s="55"/>
      <c r="AY534" s="55"/>
      <c r="AZ534" s="55"/>
      <c r="BA534" s="55"/>
      <c r="BB534" s="165"/>
      <c r="BC534" s="55"/>
      <c r="BD534" s="55"/>
      <c r="BE534" s="55"/>
      <c r="BF534" s="165"/>
      <c r="BG534" s="55"/>
      <c r="BH534" s="10"/>
      <c r="BI534" s="55"/>
      <c r="BJ534" s="55"/>
      <c r="BK534" s="55"/>
      <c r="BL534" s="55"/>
      <c r="BT534" s="141"/>
      <c r="CN534" s="141"/>
      <c r="DG534" s="141"/>
    </row>
    <row r="535" spans="1:111" s="93" customFormat="1" x14ac:dyDescent="0.15">
      <c r="A535" s="11"/>
      <c r="B535" s="13"/>
      <c r="C535" s="12"/>
      <c r="D535" s="13"/>
      <c r="E535" s="13"/>
      <c r="F535" s="12"/>
      <c r="G535" s="55"/>
      <c r="H535" s="55"/>
      <c r="I535" s="55"/>
      <c r="J535" s="55"/>
      <c r="K535" s="55"/>
      <c r="L535" s="158"/>
      <c r="M535" s="10"/>
      <c r="N535" s="55"/>
      <c r="O535" s="55"/>
      <c r="P535" s="10"/>
      <c r="Q535" s="10"/>
      <c r="R535" s="155"/>
      <c r="S535" s="171"/>
      <c r="T535" s="161"/>
      <c r="U535" s="55"/>
      <c r="V535" s="55"/>
      <c r="W535" s="55"/>
      <c r="X535" s="155"/>
      <c r="Y535" s="171"/>
      <c r="Z535" s="165"/>
      <c r="AA535" s="10"/>
      <c r="AB535" s="55"/>
      <c r="AC535" s="55"/>
      <c r="AD535" s="55"/>
      <c r="AE535" s="55"/>
      <c r="AF535" s="55"/>
      <c r="AG535" s="167"/>
      <c r="AH535" s="55"/>
      <c r="AI535" s="55"/>
      <c r="AJ535" s="165"/>
      <c r="AK535" s="55"/>
      <c r="AL535" s="55"/>
      <c r="AM535" s="55"/>
      <c r="AN535" s="55"/>
      <c r="AO535" s="55"/>
      <c r="AP535" s="55"/>
      <c r="AQ535" s="55"/>
      <c r="AR535" s="55"/>
      <c r="AS535" s="165"/>
      <c r="AT535" s="55"/>
      <c r="AU535" s="55"/>
      <c r="AV535" s="55"/>
      <c r="AW535" s="55"/>
      <c r="AX535" s="55"/>
      <c r="AY535" s="55"/>
      <c r="AZ535" s="55"/>
      <c r="BA535" s="55"/>
      <c r="BB535" s="165"/>
      <c r="BC535" s="55"/>
      <c r="BD535" s="55"/>
      <c r="BE535" s="55"/>
      <c r="BF535" s="165"/>
      <c r="BG535" s="55"/>
      <c r="BH535" s="10"/>
      <c r="BI535" s="55"/>
      <c r="BJ535" s="55"/>
      <c r="BK535" s="55"/>
      <c r="BL535" s="55"/>
      <c r="BT535" s="141"/>
      <c r="CN535" s="141"/>
      <c r="DG535" s="141"/>
    </row>
    <row r="536" spans="1:111" s="93" customFormat="1" x14ac:dyDescent="0.15">
      <c r="A536" s="11"/>
      <c r="B536" s="13"/>
      <c r="C536" s="12"/>
      <c r="D536" s="13"/>
      <c r="E536" s="13"/>
      <c r="F536" s="12"/>
      <c r="G536" s="55"/>
      <c r="H536" s="55"/>
      <c r="I536" s="55"/>
      <c r="J536" s="55"/>
      <c r="K536" s="55"/>
      <c r="L536" s="158"/>
      <c r="M536" s="10"/>
      <c r="N536" s="55"/>
      <c r="O536" s="55"/>
      <c r="P536" s="10"/>
      <c r="Q536" s="10"/>
      <c r="R536" s="155"/>
      <c r="S536" s="171"/>
      <c r="T536" s="161"/>
      <c r="U536" s="55"/>
      <c r="V536" s="55"/>
      <c r="W536" s="55"/>
      <c r="X536" s="155"/>
      <c r="Y536" s="171"/>
      <c r="Z536" s="165"/>
      <c r="AA536" s="10"/>
      <c r="AB536" s="55"/>
      <c r="AC536" s="55"/>
      <c r="AD536" s="55"/>
      <c r="AE536" s="55"/>
      <c r="AF536" s="55"/>
      <c r="AG536" s="167"/>
      <c r="AH536" s="55"/>
      <c r="AI536" s="55"/>
      <c r="AJ536" s="165"/>
      <c r="AK536" s="55"/>
      <c r="AL536" s="55"/>
      <c r="AM536" s="55"/>
      <c r="AN536" s="55"/>
      <c r="AO536" s="55"/>
      <c r="AP536" s="55"/>
      <c r="AQ536" s="55"/>
      <c r="AR536" s="55"/>
      <c r="AS536" s="165"/>
      <c r="AT536" s="55"/>
      <c r="AU536" s="55"/>
      <c r="AV536" s="55"/>
      <c r="AW536" s="55"/>
      <c r="AX536" s="55"/>
      <c r="AY536" s="55"/>
      <c r="AZ536" s="55"/>
      <c r="BA536" s="55"/>
      <c r="BB536" s="165"/>
      <c r="BC536" s="55"/>
      <c r="BD536" s="55"/>
      <c r="BE536" s="55"/>
      <c r="BF536" s="165"/>
      <c r="BG536" s="55"/>
      <c r="BH536" s="10"/>
      <c r="BI536" s="55"/>
      <c r="BJ536" s="55"/>
      <c r="BK536" s="55"/>
      <c r="BL536" s="55"/>
      <c r="BT536" s="141"/>
      <c r="CN536" s="141"/>
      <c r="DG536" s="141"/>
    </row>
    <row r="537" spans="1:111" s="93" customFormat="1" x14ac:dyDescent="0.15">
      <c r="A537" s="11"/>
      <c r="B537" s="13"/>
      <c r="C537" s="12"/>
      <c r="D537" s="13"/>
      <c r="E537" s="13"/>
      <c r="F537" s="12"/>
      <c r="G537" s="55"/>
      <c r="H537" s="55"/>
      <c r="I537" s="55"/>
      <c r="J537" s="55"/>
      <c r="K537" s="55"/>
      <c r="L537" s="158"/>
      <c r="M537" s="10"/>
      <c r="N537" s="55"/>
      <c r="O537" s="55"/>
      <c r="P537" s="10"/>
      <c r="Q537" s="10"/>
      <c r="R537" s="155"/>
      <c r="S537" s="171"/>
      <c r="T537" s="161"/>
      <c r="U537" s="55"/>
      <c r="V537" s="55"/>
      <c r="W537" s="55"/>
      <c r="X537" s="155"/>
      <c r="Y537" s="171"/>
      <c r="Z537" s="165"/>
      <c r="AA537" s="10"/>
      <c r="AB537" s="55"/>
      <c r="AC537" s="55"/>
      <c r="AD537" s="55"/>
      <c r="AE537" s="55"/>
      <c r="AF537" s="55"/>
      <c r="AG537" s="167"/>
      <c r="AH537" s="55"/>
      <c r="AI537" s="55"/>
      <c r="AJ537" s="165"/>
      <c r="AK537" s="55"/>
      <c r="AL537" s="55"/>
      <c r="AM537" s="55"/>
      <c r="AN537" s="55"/>
      <c r="AO537" s="55"/>
      <c r="AP537" s="55"/>
      <c r="AQ537" s="55"/>
      <c r="AR537" s="55"/>
      <c r="AS537" s="165"/>
      <c r="AT537" s="55"/>
      <c r="AU537" s="55"/>
      <c r="AV537" s="55"/>
      <c r="AW537" s="55"/>
      <c r="AX537" s="55"/>
      <c r="AY537" s="55"/>
      <c r="AZ537" s="55"/>
      <c r="BA537" s="55"/>
      <c r="BB537" s="165"/>
      <c r="BC537" s="55"/>
      <c r="BD537" s="55"/>
      <c r="BE537" s="55"/>
      <c r="BF537" s="165"/>
      <c r="BG537" s="55"/>
      <c r="BH537" s="10"/>
      <c r="BI537" s="55"/>
      <c r="BJ537" s="55"/>
      <c r="BK537" s="55"/>
      <c r="BL537" s="55"/>
      <c r="BT537" s="141"/>
      <c r="CN537" s="141"/>
      <c r="DG537" s="141"/>
    </row>
    <row r="538" spans="1:111" s="93" customFormat="1" x14ac:dyDescent="0.15">
      <c r="A538" s="11"/>
      <c r="B538" s="13"/>
      <c r="C538" s="12"/>
      <c r="D538" s="13"/>
      <c r="E538" s="13"/>
      <c r="F538" s="12"/>
      <c r="G538" s="55"/>
      <c r="H538" s="55"/>
      <c r="I538" s="55"/>
      <c r="J538" s="55"/>
      <c r="K538" s="55"/>
      <c r="L538" s="158"/>
      <c r="M538" s="10"/>
      <c r="N538" s="55"/>
      <c r="O538" s="55"/>
      <c r="P538" s="10"/>
      <c r="Q538" s="10"/>
      <c r="R538" s="155"/>
      <c r="S538" s="171"/>
      <c r="T538" s="161"/>
      <c r="U538" s="55"/>
      <c r="V538" s="55"/>
      <c r="W538" s="55"/>
      <c r="X538" s="155"/>
      <c r="Y538" s="171"/>
      <c r="Z538" s="165"/>
      <c r="AA538" s="10"/>
      <c r="AB538" s="55"/>
      <c r="AC538" s="55"/>
      <c r="AD538" s="55"/>
      <c r="AE538" s="55"/>
      <c r="AF538" s="55"/>
      <c r="AG538" s="167"/>
      <c r="AH538" s="55"/>
      <c r="AI538" s="55"/>
      <c r="AJ538" s="165"/>
      <c r="AK538" s="55"/>
      <c r="AL538" s="55"/>
      <c r="AM538" s="55"/>
      <c r="AN538" s="55"/>
      <c r="AO538" s="55"/>
      <c r="AP538" s="55"/>
      <c r="AQ538" s="55"/>
      <c r="AR538" s="55"/>
      <c r="AS538" s="165"/>
      <c r="AT538" s="55"/>
      <c r="AU538" s="55"/>
      <c r="AV538" s="55"/>
      <c r="AW538" s="55"/>
      <c r="AX538" s="55"/>
      <c r="AY538" s="55"/>
      <c r="AZ538" s="55"/>
      <c r="BA538" s="55"/>
      <c r="BB538" s="165"/>
      <c r="BC538" s="55"/>
      <c r="BD538" s="55"/>
      <c r="BE538" s="55"/>
      <c r="BF538" s="165"/>
      <c r="BG538" s="55"/>
      <c r="BH538" s="10"/>
      <c r="BI538" s="55"/>
      <c r="BJ538" s="55"/>
      <c r="BK538" s="55"/>
      <c r="BL538" s="55"/>
      <c r="BT538" s="141"/>
      <c r="CN538" s="141"/>
      <c r="DG538" s="141"/>
    </row>
    <row r="539" spans="1:111" s="93" customFormat="1" x14ac:dyDescent="0.15">
      <c r="A539" s="11"/>
      <c r="B539" s="13"/>
      <c r="C539" s="12"/>
      <c r="D539" s="13"/>
      <c r="E539" s="13"/>
      <c r="F539" s="12"/>
      <c r="G539" s="55"/>
      <c r="H539" s="55"/>
      <c r="I539" s="55"/>
      <c r="J539" s="55"/>
      <c r="K539" s="55"/>
      <c r="L539" s="158"/>
      <c r="M539" s="10"/>
      <c r="N539" s="55"/>
      <c r="O539" s="55"/>
      <c r="P539" s="10"/>
      <c r="Q539" s="10"/>
      <c r="R539" s="155"/>
      <c r="S539" s="171"/>
      <c r="T539" s="161"/>
      <c r="U539" s="55"/>
      <c r="V539" s="55"/>
      <c r="W539" s="55"/>
      <c r="X539" s="155"/>
      <c r="Y539" s="171"/>
      <c r="Z539" s="165"/>
      <c r="AA539" s="10"/>
      <c r="AB539" s="55"/>
      <c r="AC539" s="55"/>
      <c r="AD539" s="55"/>
      <c r="AE539" s="55"/>
      <c r="AF539" s="55"/>
      <c r="AG539" s="167"/>
      <c r="AH539" s="55"/>
      <c r="AI539" s="55"/>
      <c r="AJ539" s="165"/>
      <c r="AK539" s="55"/>
      <c r="AL539" s="55"/>
      <c r="AM539" s="55"/>
      <c r="AN539" s="55"/>
      <c r="AO539" s="55"/>
      <c r="AP539" s="55"/>
      <c r="AQ539" s="55"/>
      <c r="AR539" s="55"/>
      <c r="AS539" s="165"/>
      <c r="AT539" s="55"/>
      <c r="AU539" s="55"/>
      <c r="AV539" s="55"/>
      <c r="AW539" s="55"/>
      <c r="AX539" s="55"/>
      <c r="AY539" s="55"/>
      <c r="AZ539" s="55"/>
      <c r="BA539" s="55"/>
      <c r="BB539" s="165"/>
      <c r="BC539" s="55"/>
      <c r="BD539" s="55"/>
      <c r="BE539" s="55"/>
      <c r="BF539" s="165"/>
      <c r="BG539" s="55"/>
      <c r="BH539" s="10"/>
      <c r="BI539" s="55"/>
      <c r="BJ539" s="55"/>
      <c r="BK539" s="55"/>
      <c r="BL539" s="55"/>
      <c r="BT539" s="141"/>
      <c r="CN539" s="141"/>
      <c r="DG539" s="141"/>
    </row>
    <row r="540" spans="1:111" s="93" customFormat="1" x14ac:dyDescent="0.15">
      <c r="A540" s="11"/>
      <c r="B540" s="13"/>
      <c r="C540" s="12"/>
      <c r="D540" s="13"/>
      <c r="E540" s="13"/>
      <c r="F540" s="12"/>
      <c r="G540" s="55"/>
      <c r="H540" s="55"/>
      <c r="I540" s="55"/>
      <c r="J540" s="55"/>
      <c r="K540" s="55"/>
      <c r="L540" s="158"/>
      <c r="M540" s="10"/>
      <c r="N540" s="55"/>
      <c r="O540" s="55"/>
      <c r="P540" s="10"/>
      <c r="Q540" s="10"/>
      <c r="R540" s="155"/>
      <c r="S540" s="171"/>
      <c r="T540" s="161"/>
      <c r="U540" s="55"/>
      <c r="V540" s="55"/>
      <c r="W540" s="55"/>
      <c r="X540" s="155"/>
      <c r="Y540" s="171"/>
      <c r="Z540" s="165"/>
      <c r="AA540" s="10"/>
      <c r="AB540" s="55"/>
      <c r="AC540" s="55"/>
      <c r="AD540" s="55"/>
      <c r="AE540" s="55"/>
      <c r="AF540" s="55"/>
      <c r="AG540" s="167"/>
      <c r="AH540" s="55"/>
      <c r="AI540" s="55"/>
      <c r="AJ540" s="165"/>
      <c r="AK540" s="55"/>
      <c r="AL540" s="55"/>
      <c r="AM540" s="55"/>
      <c r="AN540" s="55"/>
      <c r="AO540" s="55"/>
      <c r="AP540" s="55"/>
      <c r="AQ540" s="55"/>
      <c r="AR540" s="55"/>
      <c r="AS540" s="165"/>
      <c r="AT540" s="55"/>
      <c r="AU540" s="55"/>
      <c r="AV540" s="55"/>
      <c r="AW540" s="55"/>
      <c r="AX540" s="55"/>
      <c r="AY540" s="55"/>
      <c r="AZ540" s="55"/>
      <c r="BA540" s="55"/>
      <c r="BB540" s="165"/>
      <c r="BC540" s="55"/>
      <c r="BD540" s="55"/>
      <c r="BE540" s="55"/>
      <c r="BF540" s="165"/>
      <c r="BG540" s="55"/>
      <c r="BH540" s="10"/>
      <c r="BI540" s="55"/>
      <c r="BJ540" s="55"/>
      <c r="BK540" s="55"/>
      <c r="BL540" s="55"/>
      <c r="BT540" s="141"/>
      <c r="CN540" s="141"/>
      <c r="DG540" s="141"/>
    </row>
    <row r="541" spans="1:111" s="93" customFormat="1" x14ac:dyDescent="0.15">
      <c r="A541" s="11"/>
      <c r="B541" s="13"/>
      <c r="C541" s="12"/>
      <c r="D541" s="13"/>
      <c r="E541" s="13"/>
      <c r="F541" s="12"/>
      <c r="G541" s="55"/>
      <c r="H541" s="55"/>
      <c r="I541" s="55"/>
      <c r="J541" s="55"/>
      <c r="K541" s="55"/>
      <c r="L541" s="158"/>
      <c r="M541" s="10"/>
      <c r="N541" s="55"/>
      <c r="O541" s="55"/>
      <c r="P541" s="10"/>
      <c r="Q541" s="10"/>
      <c r="R541" s="155"/>
      <c r="S541" s="171"/>
      <c r="T541" s="161"/>
      <c r="U541" s="55"/>
      <c r="V541" s="55"/>
      <c r="W541" s="55"/>
      <c r="X541" s="155"/>
      <c r="Y541" s="171"/>
      <c r="Z541" s="165"/>
      <c r="AA541" s="10"/>
      <c r="AB541" s="55"/>
      <c r="AC541" s="55"/>
      <c r="AD541" s="55"/>
      <c r="AE541" s="55"/>
      <c r="AF541" s="55"/>
      <c r="AG541" s="167"/>
      <c r="AH541" s="55"/>
      <c r="AI541" s="55"/>
      <c r="AJ541" s="165"/>
      <c r="AK541" s="55"/>
      <c r="AL541" s="55"/>
      <c r="AM541" s="55"/>
      <c r="AN541" s="55"/>
      <c r="AO541" s="55"/>
      <c r="AP541" s="55"/>
      <c r="AQ541" s="55"/>
      <c r="AR541" s="55"/>
      <c r="AS541" s="165"/>
      <c r="AT541" s="55"/>
      <c r="AU541" s="55"/>
      <c r="AV541" s="55"/>
      <c r="AW541" s="55"/>
      <c r="AX541" s="55"/>
      <c r="AY541" s="55"/>
      <c r="AZ541" s="55"/>
      <c r="BA541" s="55"/>
      <c r="BB541" s="165"/>
      <c r="BC541" s="55"/>
      <c r="BD541" s="55"/>
      <c r="BE541" s="55"/>
      <c r="BF541" s="165"/>
      <c r="BG541" s="55"/>
      <c r="BH541" s="10"/>
      <c r="BI541" s="55"/>
      <c r="BJ541" s="55"/>
      <c r="BK541" s="55"/>
      <c r="BL541" s="55"/>
      <c r="BT541" s="141"/>
      <c r="CN541" s="141"/>
      <c r="DG541" s="141"/>
    </row>
    <row r="542" spans="1:111" s="93" customFormat="1" x14ac:dyDescent="0.15">
      <c r="A542" s="11"/>
      <c r="B542" s="13"/>
      <c r="C542" s="12"/>
      <c r="D542" s="13"/>
      <c r="E542" s="13"/>
      <c r="F542" s="12"/>
      <c r="G542" s="55"/>
      <c r="H542" s="55"/>
      <c r="I542" s="55"/>
      <c r="J542" s="55"/>
      <c r="K542" s="55"/>
      <c r="L542" s="158"/>
      <c r="M542" s="10"/>
      <c r="N542" s="55"/>
      <c r="O542" s="55"/>
      <c r="P542" s="10"/>
      <c r="Q542" s="10"/>
      <c r="R542" s="155"/>
      <c r="S542" s="171"/>
      <c r="T542" s="161"/>
      <c r="U542" s="55"/>
      <c r="V542" s="55"/>
      <c r="W542" s="55"/>
      <c r="X542" s="155"/>
      <c r="Y542" s="171"/>
      <c r="Z542" s="165"/>
      <c r="AA542" s="10"/>
      <c r="AB542" s="55"/>
      <c r="AC542" s="55"/>
      <c r="AD542" s="55"/>
      <c r="AE542" s="55"/>
      <c r="AF542" s="55"/>
      <c r="AG542" s="167"/>
      <c r="AH542" s="55"/>
      <c r="AI542" s="55"/>
      <c r="AJ542" s="165"/>
      <c r="AK542" s="55"/>
      <c r="AL542" s="55"/>
      <c r="AM542" s="55"/>
      <c r="AN542" s="55"/>
      <c r="AO542" s="55"/>
      <c r="AP542" s="55"/>
      <c r="AQ542" s="55"/>
      <c r="AR542" s="55"/>
      <c r="AS542" s="165"/>
      <c r="AT542" s="55"/>
      <c r="AU542" s="55"/>
      <c r="AV542" s="55"/>
      <c r="AW542" s="55"/>
      <c r="AX542" s="55"/>
      <c r="AY542" s="55"/>
      <c r="AZ542" s="55"/>
      <c r="BA542" s="55"/>
      <c r="BB542" s="165"/>
      <c r="BC542" s="55"/>
      <c r="BD542" s="55"/>
      <c r="BE542" s="55"/>
      <c r="BF542" s="165"/>
      <c r="BG542" s="55"/>
      <c r="BH542" s="10"/>
      <c r="BI542" s="55"/>
      <c r="BJ542" s="55"/>
      <c r="BK542" s="55"/>
      <c r="BL542" s="55"/>
      <c r="BT542" s="141"/>
      <c r="CN542" s="141"/>
      <c r="DG542" s="141"/>
    </row>
    <row r="543" spans="1:111" s="93" customFormat="1" x14ac:dyDescent="0.15">
      <c r="A543" s="11"/>
      <c r="B543" s="13"/>
      <c r="C543" s="12"/>
      <c r="D543" s="13"/>
      <c r="E543" s="13"/>
      <c r="F543" s="12"/>
      <c r="G543" s="55"/>
      <c r="H543" s="55"/>
      <c r="I543" s="55"/>
      <c r="J543" s="55"/>
      <c r="K543" s="55"/>
      <c r="L543" s="158"/>
      <c r="M543" s="10"/>
      <c r="N543" s="55"/>
      <c r="O543" s="55"/>
      <c r="P543" s="10"/>
      <c r="Q543" s="10"/>
      <c r="R543" s="155"/>
      <c r="S543" s="171"/>
      <c r="T543" s="161"/>
      <c r="U543" s="55"/>
      <c r="V543" s="55"/>
      <c r="W543" s="55"/>
      <c r="X543" s="155"/>
      <c r="Y543" s="171"/>
      <c r="Z543" s="165"/>
      <c r="AA543" s="10"/>
      <c r="AB543" s="55"/>
      <c r="AC543" s="55"/>
      <c r="AD543" s="55"/>
      <c r="AE543" s="55"/>
      <c r="AF543" s="55"/>
      <c r="AG543" s="167"/>
      <c r="AH543" s="55"/>
      <c r="AI543" s="55"/>
      <c r="AJ543" s="165"/>
      <c r="AK543" s="55"/>
      <c r="AL543" s="55"/>
      <c r="AM543" s="55"/>
      <c r="AN543" s="55"/>
      <c r="AO543" s="55"/>
      <c r="AP543" s="55"/>
      <c r="AQ543" s="55"/>
      <c r="AR543" s="55"/>
      <c r="AS543" s="165"/>
      <c r="AT543" s="55"/>
      <c r="AU543" s="55"/>
      <c r="AV543" s="55"/>
      <c r="AW543" s="55"/>
      <c r="AX543" s="55"/>
      <c r="AY543" s="55"/>
      <c r="AZ543" s="55"/>
      <c r="BA543" s="55"/>
      <c r="BB543" s="165"/>
      <c r="BC543" s="55"/>
      <c r="BD543" s="55"/>
      <c r="BE543" s="55"/>
      <c r="BF543" s="165"/>
      <c r="BG543" s="55"/>
      <c r="BH543" s="10"/>
      <c r="BI543" s="55"/>
      <c r="BJ543" s="55"/>
      <c r="BK543" s="55"/>
      <c r="BL543" s="55"/>
      <c r="BT543" s="141"/>
      <c r="CN543" s="141"/>
      <c r="DG543" s="141"/>
    </row>
    <row r="544" spans="1:111" s="93" customFormat="1" x14ac:dyDescent="0.15">
      <c r="A544" s="11"/>
      <c r="B544" s="13"/>
      <c r="C544" s="12"/>
      <c r="D544" s="13"/>
      <c r="E544" s="13"/>
      <c r="F544" s="12"/>
      <c r="G544" s="55"/>
      <c r="H544" s="55"/>
      <c r="I544" s="55"/>
      <c r="J544" s="55"/>
      <c r="K544" s="55"/>
      <c r="L544" s="158"/>
      <c r="M544" s="10"/>
      <c r="N544" s="55"/>
      <c r="O544" s="55"/>
      <c r="P544" s="10"/>
      <c r="Q544" s="10"/>
      <c r="R544" s="155"/>
      <c r="S544" s="171"/>
      <c r="T544" s="161"/>
      <c r="U544" s="55"/>
      <c r="V544" s="55"/>
      <c r="W544" s="55"/>
      <c r="X544" s="155"/>
      <c r="Y544" s="171"/>
      <c r="Z544" s="165"/>
      <c r="AA544" s="10"/>
      <c r="AB544" s="55"/>
      <c r="AC544" s="55"/>
      <c r="AD544" s="55"/>
      <c r="AE544" s="55"/>
      <c r="AF544" s="55"/>
      <c r="AG544" s="167"/>
      <c r="AH544" s="55"/>
      <c r="AI544" s="55"/>
      <c r="AJ544" s="165"/>
      <c r="AK544" s="55"/>
      <c r="AL544" s="55"/>
      <c r="AM544" s="55"/>
      <c r="AN544" s="55"/>
      <c r="AO544" s="55"/>
      <c r="AP544" s="55"/>
      <c r="AQ544" s="55"/>
      <c r="AR544" s="55"/>
      <c r="AS544" s="165"/>
      <c r="AT544" s="55"/>
      <c r="AU544" s="55"/>
      <c r="AV544" s="55"/>
      <c r="AW544" s="55"/>
      <c r="AX544" s="55"/>
      <c r="AY544" s="55"/>
      <c r="AZ544" s="55"/>
      <c r="BA544" s="55"/>
      <c r="BB544" s="165"/>
      <c r="BC544" s="55"/>
      <c r="BD544" s="55"/>
      <c r="BE544" s="55"/>
      <c r="BF544" s="165"/>
      <c r="BG544" s="55"/>
      <c r="BH544" s="10"/>
      <c r="BI544" s="55"/>
      <c r="BJ544" s="55"/>
      <c r="BK544" s="55"/>
      <c r="BL544" s="55"/>
      <c r="BT544" s="141"/>
      <c r="CN544" s="141"/>
      <c r="DG544" s="141"/>
    </row>
    <row r="545" spans="1:111" s="93" customFormat="1" x14ac:dyDescent="0.15">
      <c r="A545" s="11"/>
      <c r="B545" s="13"/>
      <c r="C545" s="12"/>
      <c r="D545" s="13"/>
      <c r="E545" s="13"/>
      <c r="F545" s="12"/>
      <c r="G545" s="55"/>
      <c r="H545" s="55"/>
      <c r="I545" s="55"/>
      <c r="J545" s="55"/>
      <c r="K545" s="55"/>
      <c r="L545" s="158"/>
      <c r="M545" s="10"/>
      <c r="N545" s="55"/>
      <c r="O545" s="55"/>
      <c r="P545" s="10"/>
      <c r="Q545" s="10"/>
      <c r="R545" s="155"/>
      <c r="S545" s="171"/>
      <c r="T545" s="161"/>
      <c r="U545" s="55"/>
      <c r="V545" s="55"/>
      <c r="W545" s="55"/>
      <c r="X545" s="155"/>
      <c r="Y545" s="171"/>
      <c r="Z545" s="165"/>
      <c r="AA545" s="10"/>
      <c r="AB545" s="55"/>
      <c r="AC545" s="55"/>
      <c r="AD545" s="55"/>
      <c r="AE545" s="55"/>
      <c r="AF545" s="55"/>
      <c r="AG545" s="167"/>
      <c r="AH545" s="55"/>
      <c r="AI545" s="55"/>
      <c r="AJ545" s="165"/>
      <c r="AK545" s="55"/>
      <c r="AL545" s="55"/>
      <c r="AM545" s="55"/>
      <c r="AN545" s="55"/>
      <c r="AO545" s="55"/>
      <c r="AP545" s="55"/>
      <c r="AQ545" s="55"/>
      <c r="AR545" s="55"/>
      <c r="AS545" s="165"/>
      <c r="AT545" s="55"/>
      <c r="AU545" s="55"/>
      <c r="AV545" s="55"/>
      <c r="AW545" s="55"/>
      <c r="AX545" s="55"/>
      <c r="AY545" s="55"/>
      <c r="AZ545" s="55"/>
      <c r="BA545" s="55"/>
      <c r="BB545" s="165"/>
      <c r="BC545" s="55"/>
      <c r="BD545" s="55"/>
      <c r="BE545" s="55"/>
      <c r="BF545" s="165"/>
      <c r="BG545" s="55"/>
      <c r="BH545" s="10"/>
      <c r="BI545" s="55"/>
      <c r="BJ545" s="55"/>
      <c r="BK545" s="55"/>
      <c r="BL545" s="55"/>
      <c r="BT545" s="141"/>
      <c r="CN545" s="141"/>
      <c r="DG545" s="141"/>
    </row>
    <row r="546" spans="1:111" s="93" customFormat="1" x14ac:dyDescent="0.15">
      <c r="A546" s="11"/>
      <c r="B546" s="13"/>
      <c r="C546" s="12"/>
      <c r="D546" s="13"/>
      <c r="E546" s="13"/>
      <c r="F546" s="12"/>
      <c r="G546" s="55"/>
      <c r="H546" s="55"/>
      <c r="I546" s="55"/>
      <c r="J546" s="55"/>
      <c r="K546" s="55"/>
      <c r="L546" s="158"/>
      <c r="M546" s="10"/>
      <c r="N546" s="55"/>
      <c r="O546" s="55"/>
      <c r="P546" s="10"/>
      <c r="Q546" s="10"/>
      <c r="R546" s="155"/>
      <c r="S546" s="171"/>
      <c r="T546" s="161"/>
      <c r="U546" s="55"/>
      <c r="V546" s="55"/>
      <c r="W546" s="55"/>
      <c r="X546" s="155"/>
      <c r="Y546" s="171"/>
      <c r="Z546" s="165"/>
      <c r="AA546" s="10"/>
      <c r="AB546" s="55"/>
      <c r="AC546" s="55"/>
      <c r="AD546" s="55"/>
      <c r="AE546" s="55"/>
      <c r="AF546" s="55"/>
      <c r="AG546" s="167"/>
      <c r="AH546" s="55"/>
      <c r="AI546" s="55"/>
      <c r="AJ546" s="165"/>
      <c r="AK546" s="55"/>
      <c r="AL546" s="55"/>
      <c r="AM546" s="55"/>
      <c r="AN546" s="55"/>
      <c r="AO546" s="55"/>
      <c r="AP546" s="55"/>
      <c r="AQ546" s="55"/>
      <c r="AR546" s="55"/>
      <c r="AS546" s="165"/>
      <c r="AT546" s="55"/>
      <c r="AU546" s="55"/>
      <c r="AV546" s="55"/>
      <c r="AW546" s="55"/>
      <c r="AX546" s="55"/>
      <c r="AY546" s="55"/>
      <c r="AZ546" s="55"/>
      <c r="BA546" s="55"/>
      <c r="BB546" s="165"/>
      <c r="BC546" s="55"/>
      <c r="BD546" s="55"/>
      <c r="BE546" s="55"/>
      <c r="BF546" s="165"/>
      <c r="BG546" s="55"/>
      <c r="BH546" s="10"/>
      <c r="BI546" s="55"/>
      <c r="BJ546" s="55"/>
      <c r="BK546" s="55"/>
      <c r="BL546" s="55"/>
      <c r="BT546" s="141"/>
      <c r="CN546" s="141"/>
      <c r="DG546" s="141"/>
    </row>
    <row r="547" spans="1:111" s="93" customFormat="1" x14ac:dyDescent="0.15">
      <c r="A547" s="11"/>
      <c r="B547" s="13"/>
      <c r="C547" s="12"/>
      <c r="D547" s="13"/>
      <c r="E547" s="13"/>
      <c r="F547" s="12"/>
      <c r="G547" s="55"/>
      <c r="H547" s="55"/>
      <c r="I547" s="55"/>
      <c r="J547" s="55"/>
      <c r="K547" s="55"/>
      <c r="L547" s="158"/>
      <c r="M547" s="10"/>
      <c r="N547" s="55"/>
      <c r="O547" s="55"/>
      <c r="P547" s="10"/>
      <c r="Q547" s="10"/>
      <c r="R547" s="155"/>
      <c r="S547" s="171"/>
      <c r="T547" s="161"/>
      <c r="U547" s="55"/>
      <c r="V547" s="55"/>
      <c r="W547" s="55"/>
      <c r="X547" s="155"/>
      <c r="Y547" s="171"/>
      <c r="Z547" s="165"/>
      <c r="AA547" s="10"/>
      <c r="AB547" s="55"/>
      <c r="AC547" s="55"/>
      <c r="AD547" s="55"/>
      <c r="AE547" s="55"/>
      <c r="AF547" s="55"/>
      <c r="AG547" s="167"/>
      <c r="AH547" s="55"/>
      <c r="AI547" s="55"/>
      <c r="AJ547" s="165"/>
      <c r="AK547" s="55"/>
      <c r="AL547" s="55"/>
      <c r="AM547" s="55"/>
      <c r="AN547" s="55"/>
      <c r="AO547" s="55"/>
      <c r="AP547" s="55"/>
      <c r="AQ547" s="55"/>
      <c r="AR547" s="55"/>
      <c r="AS547" s="165"/>
      <c r="AT547" s="55"/>
      <c r="AU547" s="55"/>
      <c r="AV547" s="55"/>
      <c r="AW547" s="55"/>
      <c r="AX547" s="55"/>
      <c r="AY547" s="55"/>
      <c r="AZ547" s="55"/>
      <c r="BA547" s="55"/>
      <c r="BB547" s="165"/>
      <c r="BC547" s="55"/>
      <c r="BD547" s="55"/>
      <c r="BE547" s="55"/>
      <c r="BF547" s="165"/>
      <c r="BG547" s="55"/>
      <c r="BH547" s="10"/>
      <c r="BI547" s="55"/>
      <c r="BJ547" s="55"/>
      <c r="BK547" s="55"/>
      <c r="BL547" s="55"/>
      <c r="BT547" s="141"/>
      <c r="CN547" s="141"/>
      <c r="DG547" s="141"/>
    </row>
    <row r="548" spans="1:111" s="93" customFormat="1" x14ac:dyDescent="0.15">
      <c r="A548" s="11"/>
      <c r="B548" s="13"/>
      <c r="C548" s="12"/>
      <c r="D548" s="13"/>
      <c r="E548" s="13"/>
      <c r="F548" s="12"/>
      <c r="G548" s="55"/>
      <c r="H548" s="55"/>
      <c r="I548" s="55"/>
      <c r="J548" s="55"/>
      <c r="K548" s="55"/>
      <c r="L548" s="158"/>
      <c r="M548" s="10"/>
      <c r="N548" s="55"/>
      <c r="O548" s="55"/>
      <c r="P548" s="10"/>
      <c r="Q548" s="10"/>
      <c r="R548" s="155"/>
      <c r="S548" s="171"/>
      <c r="T548" s="161"/>
      <c r="U548" s="55"/>
      <c r="V548" s="55"/>
      <c r="W548" s="55"/>
      <c r="X548" s="155"/>
      <c r="Y548" s="171"/>
      <c r="Z548" s="165"/>
      <c r="AA548" s="10"/>
      <c r="AB548" s="55"/>
      <c r="AC548" s="55"/>
      <c r="AD548" s="55"/>
      <c r="AE548" s="55"/>
      <c r="AF548" s="55"/>
      <c r="AG548" s="167"/>
      <c r="AH548" s="55"/>
      <c r="AI548" s="55"/>
      <c r="AJ548" s="165"/>
      <c r="AK548" s="55"/>
      <c r="AL548" s="55"/>
      <c r="AM548" s="55"/>
      <c r="AN548" s="55"/>
      <c r="AO548" s="55"/>
      <c r="AP548" s="55"/>
      <c r="AQ548" s="55"/>
      <c r="AR548" s="55"/>
      <c r="AS548" s="165"/>
      <c r="AT548" s="55"/>
      <c r="AU548" s="55"/>
      <c r="AV548" s="55"/>
      <c r="AW548" s="55"/>
      <c r="AX548" s="55"/>
      <c r="AY548" s="55"/>
      <c r="AZ548" s="55"/>
      <c r="BA548" s="55"/>
      <c r="BB548" s="165"/>
      <c r="BC548" s="55"/>
      <c r="BD548" s="55"/>
      <c r="BE548" s="55"/>
      <c r="BF548" s="165"/>
      <c r="BG548" s="55"/>
      <c r="BH548" s="10"/>
      <c r="BI548" s="55"/>
      <c r="BJ548" s="55"/>
      <c r="BK548" s="55"/>
      <c r="BL548" s="55"/>
      <c r="BT548" s="141"/>
      <c r="CN548" s="141"/>
      <c r="DG548" s="141"/>
    </row>
    <row r="549" spans="1:111" s="93" customFormat="1" x14ac:dyDescent="0.15">
      <c r="A549" s="11"/>
      <c r="B549" s="13"/>
      <c r="C549" s="12"/>
      <c r="D549" s="13"/>
      <c r="E549" s="13"/>
      <c r="F549" s="12"/>
      <c r="G549" s="55"/>
      <c r="H549" s="55"/>
      <c r="I549" s="55"/>
      <c r="J549" s="55"/>
      <c r="K549" s="55"/>
      <c r="L549" s="158"/>
      <c r="M549" s="10"/>
      <c r="N549" s="55"/>
      <c r="O549" s="55"/>
      <c r="P549" s="10"/>
      <c r="Q549" s="10"/>
      <c r="R549" s="155"/>
      <c r="S549" s="171"/>
      <c r="T549" s="161"/>
      <c r="U549" s="55"/>
      <c r="V549" s="55"/>
      <c r="W549" s="55"/>
      <c r="X549" s="155"/>
      <c r="Y549" s="171"/>
      <c r="Z549" s="165"/>
      <c r="AA549" s="10"/>
      <c r="AB549" s="55"/>
      <c r="AC549" s="55"/>
      <c r="AD549" s="55"/>
      <c r="AE549" s="55"/>
      <c r="AF549" s="55"/>
      <c r="AG549" s="167"/>
      <c r="AH549" s="55"/>
      <c r="AI549" s="55"/>
      <c r="AJ549" s="165"/>
      <c r="AK549" s="55"/>
      <c r="AL549" s="55"/>
      <c r="AM549" s="55"/>
      <c r="AN549" s="55"/>
      <c r="AO549" s="55"/>
      <c r="AP549" s="55"/>
      <c r="AQ549" s="55"/>
      <c r="AR549" s="55"/>
      <c r="AS549" s="165"/>
      <c r="AT549" s="55"/>
      <c r="AU549" s="55"/>
      <c r="AV549" s="55"/>
      <c r="AW549" s="55"/>
      <c r="AX549" s="55"/>
      <c r="AY549" s="55"/>
      <c r="AZ549" s="55"/>
      <c r="BA549" s="55"/>
      <c r="BB549" s="165"/>
      <c r="BC549" s="55"/>
      <c r="BD549" s="55"/>
      <c r="BE549" s="55"/>
      <c r="BF549" s="165"/>
      <c r="BG549" s="55"/>
      <c r="BH549" s="10"/>
      <c r="BI549" s="55"/>
      <c r="BJ549" s="55"/>
      <c r="BK549" s="55"/>
      <c r="BL549" s="55"/>
      <c r="BT549" s="141"/>
      <c r="CN549" s="141"/>
      <c r="DG549" s="141"/>
    </row>
    <row r="550" spans="1:111" s="93" customFormat="1" x14ac:dyDescent="0.15">
      <c r="A550" s="11"/>
      <c r="B550" s="13"/>
      <c r="C550" s="12"/>
      <c r="D550" s="13"/>
      <c r="E550" s="13"/>
      <c r="F550" s="12"/>
      <c r="G550" s="55"/>
      <c r="H550" s="55"/>
      <c r="I550" s="55"/>
      <c r="J550" s="55"/>
      <c r="K550" s="55"/>
      <c r="L550" s="158"/>
      <c r="M550" s="10"/>
      <c r="N550" s="55"/>
      <c r="O550" s="55"/>
      <c r="P550" s="10"/>
      <c r="Q550" s="10"/>
      <c r="R550" s="155"/>
      <c r="S550" s="171"/>
      <c r="T550" s="161"/>
      <c r="U550" s="55"/>
      <c r="V550" s="55"/>
      <c r="W550" s="55"/>
      <c r="X550" s="155"/>
      <c r="Y550" s="171"/>
      <c r="Z550" s="165"/>
      <c r="AA550" s="10"/>
      <c r="AB550" s="55"/>
      <c r="AC550" s="55"/>
      <c r="AD550" s="55"/>
      <c r="AE550" s="55"/>
      <c r="AF550" s="55"/>
      <c r="AG550" s="167"/>
      <c r="AH550" s="55"/>
      <c r="AI550" s="55"/>
      <c r="AJ550" s="165"/>
      <c r="AK550" s="55"/>
      <c r="AL550" s="55"/>
      <c r="AM550" s="55"/>
      <c r="AN550" s="55"/>
      <c r="AO550" s="55"/>
      <c r="AP550" s="55"/>
      <c r="AQ550" s="55"/>
      <c r="AR550" s="55"/>
      <c r="AS550" s="165"/>
      <c r="AT550" s="55"/>
      <c r="AU550" s="55"/>
      <c r="AV550" s="55"/>
      <c r="AW550" s="55"/>
      <c r="AX550" s="55"/>
      <c r="AY550" s="55"/>
      <c r="AZ550" s="55"/>
      <c r="BA550" s="55"/>
      <c r="BB550" s="165"/>
      <c r="BC550" s="55"/>
      <c r="BD550" s="55"/>
      <c r="BE550" s="55"/>
      <c r="BF550" s="165"/>
      <c r="BG550" s="55"/>
      <c r="BH550" s="10"/>
      <c r="BI550" s="55"/>
      <c r="BJ550" s="55"/>
      <c r="BK550" s="55"/>
      <c r="BL550" s="55"/>
      <c r="BT550" s="141"/>
      <c r="CN550" s="141"/>
      <c r="DG550" s="141"/>
    </row>
    <row r="551" spans="1:111" s="93" customFormat="1" x14ac:dyDescent="0.15">
      <c r="A551" s="11"/>
      <c r="B551" s="13"/>
      <c r="C551" s="12"/>
      <c r="D551" s="13"/>
      <c r="E551" s="13"/>
      <c r="F551" s="12"/>
      <c r="G551" s="55"/>
      <c r="H551" s="55"/>
      <c r="I551" s="55"/>
      <c r="J551" s="55"/>
      <c r="K551" s="55"/>
      <c r="L551" s="158"/>
      <c r="M551" s="10"/>
      <c r="N551" s="55"/>
      <c r="O551" s="55"/>
      <c r="P551" s="10"/>
      <c r="Q551" s="10"/>
      <c r="R551" s="155"/>
      <c r="S551" s="171"/>
      <c r="T551" s="161"/>
      <c r="U551" s="55"/>
      <c r="V551" s="55"/>
      <c r="W551" s="55"/>
      <c r="X551" s="155"/>
      <c r="Y551" s="171"/>
      <c r="Z551" s="165"/>
      <c r="AA551" s="10"/>
      <c r="AB551" s="55"/>
      <c r="AC551" s="55"/>
      <c r="AD551" s="55"/>
      <c r="AE551" s="55"/>
      <c r="AF551" s="55"/>
      <c r="AG551" s="167"/>
      <c r="AH551" s="55"/>
      <c r="AI551" s="55"/>
      <c r="AJ551" s="165"/>
      <c r="AK551" s="55"/>
      <c r="AL551" s="55"/>
      <c r="AM551" s="55"/>
      <c r="AN551" s="55"/>
      <c r="AO551" s="55"/>
      <c r="AP551" s="55"/>
      <c r="AQ551" s="55"/>
      <c r="AR551" s="55"/>
      <c r="AS551" s="165"/>
      <c r="AT551" s="55"/>
      <c r="AU551" s="55"/>
      <c r="AV551" s="55"/>
      <c r="AW551" s="55"/>
      <c r="AX551" s="55"/>
      <c r="AY551" s="55"/>
      <c r="AZ551" s="55"/>
      <c r="BA551" s="55"/>
      <c r="BB551" s="165"/>
      <c r="BC551" s="55"/>
      <c r="BD551" s="55"/>
      <c r="BE551" s="55"/>
      <c r="BF551" s="165"/>
      <c r="BG551" s="55"/>
      <c r="BH551" s="10"/>
      <c r="BI551" s="55"/>
      <c r="BJ551" s="55"/>
      <c r="BK551" s="55"/>
      <c r="BL551" s="55"/>
      <c r="BT551" s="141"/>
      <c r="CN551" s="141"/>
      <c r="DG551" s="141"/>
    </row>
    <row r="552" spans="1:111" s="93" customFormat="1" x14ac:dyDescent="0.15">
      <c r="A552" s="11"/>
      <c r="B552" s="13"/>
      <c r="C552" s="12"/>
      <c r="D552" s="13"/>
      <c r="E552" s="13"/>
      <c r="F552" s="12"/>
      <c r="G552" s="55"/>
      <c r="H552" s="55"/>
      <c r="I552" s="55"/>
      <c r="J552" s="55"/>
      <c r="K552" s="55"/>
      <c r="L552" s="158"/>
      <c r="M552" s="10"/>
      <c r="N552" s="55"/>
      <c r="O552" s="55"/>
      <c r="P552" s="10"/>
      <c r="Q552" s="10"/>
      <c r="R552" s="155"/>
      <c r="S552" s="171"/>
      <c r="T552" s="161"/>
      <c r="U552" s="55"/>
      <c r="V552" s="55"/>
      <c r="W552" s="55"/>
      <c r="X552" s="155"/>
      <c r="Y552" s="171"/>
      <c r="Z552" s="165"/>
      <c r="AA552" s="10"/>
      <c r="AB552" s="55"/>
      <c r="AC552" s="55"/>
      <c r="AD552" s="55"/>
      <c r="AE552" s="55"/>
      <c r="AF552" s="55"/>
      <c r="AG552" s="167"/>
      <c r="AH552" s="55"/>
      <c r="AI552" s="55"/>
      <c r="AJ552" s="165"/>
      <c r="AK552" s="55"/>
      <c r="AL552" s="55"/>
      <c r="AM552" s="55"/>
      <c r="AN552" s="55"/>
      <c r="AO552" s="55"/>
      <c r="AP552" s="55"/>
      <c r="AQ552" s="55"/>
      <c r="AR552" s="55"/>
      <c r="AS552" s="165"/>
      <c r="AT552" s="55"/>
      <c r="AU552" s="55"/>
      <c r="AV552" s="55"/>
      <c r="AW552" s="55"/>
      <c r="AX552" s="55"/>
      <c r="AY552" s="55"/>
      <c r="AZ552" s="55"/>
      <c r="BA552" s="55"/>
      <c r="BB552" s="165"/>
      <c r="BC552" s="55"/>
      <c r="BD552" s="55"/>
      <c r="BE552" s="55"/>
      <c r="BF552" s="165"/>
      <c r="BG552" s="55"/>
      <c r="BH552" s="10"/>
      <c r="BI552" s="55"/>
      <c r="BJ552" s="55"/>
      <c r="BK552" s="55"/>
      <c r="BL552" s="55"/>
      <c r="BT552" s="141"/>
      <c r="CN552" s="141"/>
      <c r="DG552" s="141"/>
    </row>
    <row r="553" spans="1:111" s="93" customFormat="1" x14ac:dyDescent="0.15">
      <c r="A553" s="11"/>
      <c r="B553" s="13"/>
      <c r="C553" s="12"/>
      <c r="D553" s="13"/>
      <c r="E553" s="13"/>
      <c r="F553" s="12"/>
      <c r="G553" s="55"/>
      <c r="H553" s="55"/>
      <c r="I553" s="55"/>
      <c r="J553" s="55"/>
      <c r="K553" s="55"/>
      <c r="L553" s="158"/>
      <c r="M553" s="10"/>
      <c r="N553" s="55"/>
      <c r="O553" s="55"/>
      <c r="P553" s="10"/>
      <c r="Q553" s="10"/>
      <c r="R553" s="155"/>
      <c r="S553" s="171"/>
      <c r="T553" s="161"/>
      <c r="U553" s="55"/>
      <c r="V553" s="55"/>
      <c r="W553" s="55"/>
      <c r="X553" s="155"/>
      <c r="Y553" s="171"/>
      <c r="Z553" s="165"/>
      <c r="AA553" s="10"/>
      <c r="AB553" s="55"/>
      <c r="AC553" s="55"/>
      <c r="AD553" s="55"/>
      <c r="AE553" s="55"/>
      <c r="AF553" s="55"/>
      <c r="AG553" s="167"/>
      <c r="AH553" s="55"/>
      <c r="AI553" s="55"/>
      <c r="AJ553" s="165"/>
      <c r="AK553" s="55"/>
      <c r="AL553" s="55"/>
      <c r="AM553" s="55"/>
      <c r="AN553" s="55"/>
      <c r="AO553" s="55"/>
      <c r="AP553" s="55"/>
      <c r="AQ553" s="55"/>
      <c r="AR553" s="55"/>
      <c r="AS553" s="165"/>
      <c r="AT553" s="55"/>
      <c r="AU553" s="55"/>
      <c r="AV553" s="55"/>
      <c r="AW553" s="55"/>
      <c r="AX553" s="55"/>
      <c r="AY553" s="55"/>
      <c r="AZ553" s="55"/>
      <c r="BA553" s="55"/>
      <c r="BB553" s="165"/>
      <c r="BC553" s="55"/>
      <c r="BD553" s="55"/>
      <c r="BE553" s="55"/>
      <c r="BF553" s="165"/>
      <c r="BG553" s="55"/>
      <c r="BH553" s="10"/>
      <c r="BI553" s="55"/>
      <c r="BJ553" s="55"/>
      <c r="BK553" s="55"/>
      <c r="BL553" s="55"/>
      <c r="BT553" s="141"/>
      <c r="CN553" s="141"/>
      <c r="DG553" s="141"/>
    </row>
    <row r="554" spans="1:111" s="93" customFormat="1" x14ac:dyDescent="0.15">
      <c r="A554" s="11"/>
      <c r="B554" s="13"/>
      <c r="C554" s="12"/>
      <c r="D554" s="13"/>
      <c r="E554" s="13"/>
      <c r="F554" s="12"/>
      <c r="G554" s="55"/>
      <c r="H554" s="55"/>
      <c r="I554" s="55"/>
      <c r="J554" s="55"/>
      <c r="K554" s="55"/>
      <c r="L554" s="158"/>
      <c r="M554" s="10"/>
      <c r="N554" s="55"/>
      <c r="O554" s="55"/>
      <c r="P554" s="10"/>
      <c r="Q554" s="10"/>
      <c r="R554" s="155"/>
      <c r="S554" s="171"/>
      <c r="T554" s="161"/>
      <c r="U554" s="55"/>
      <c r="V554" s="55"/>
      <c r="W554" s="55"/>
      <c r="X554" s="155"/>
      <c r="Y554" s="171"/>
      <c r="Z554" s="165"/>
      <c r="AA554" s="10"/>
      <c r="AB554" s="55"/>
      <c r="AC554" s="55"/>
      <c r="AD554" s="55"/>
      <c r="AE554" s="55"/>
      <c r="AF554" s="55"/>
      <c r="AG554" s="167"/>
      <c r="AH554" s="55"/>
      <c r="AI554" s="55"/>
      <c r="AJ554" s="165"/>
      <c r="AK554" s="55"/>
      <c r="AL554" s="55"/>
      <c r="AM554" s="55"/>
      <c r="AN554" s="55"/>
      <c r="AO554" s="55"/>
      <c r="AP554" s="55"/>
      <c r="AQ554" s="55"/>
      <c r="AR554" s="55"/>
      <c r="AS554" s="165"/>
      <c r="AT554" s="55"/>
      <c r="AU554" s="55"/>
      <c r="AV554" s="55"/>
      <c r="AW554" s="55"/>
      <c r="AX554" s="55"/>
      <c r="AY554" s="55"/>
      <c r="AZ554" s="55"/>
      <c r="BA554" s="55"/>
      <c r="BB554" s="165"/>
      <c r="BC554" s="55"/>
      <c r="BD554" s="55"/>
      <c r="BE554" s="55"/>
      <c r="BF554" s="165"/>
      <c r="BG554" s="55"/>
      <c r="BH554" s="10"/>
      <c r="BI554" s="55"/>
      <c r="BJ554" s="55"/>
      <c r="BK554" s="55"/>
      <c r="BL554" s="55"/>
      <c r="BT554" s="141"/>
      <c r="CN554" s="141"/>
      <c r="DG554" s="141"/>
    </row>
    <row r="555" spans="1:111" s="93" customFormat="1" x14ac:dyDescent="0.15">
      <c r="A555" s="11"/>
      <c r="B555" s="13"/>
      <c r="C555" s="12"/>
      <c r="D555" s="13"/>
      <c r="E555" s="13"/>
      <c r="F555" s="12"/>
      <c r="G555" s="55"/>
      <c r="H555" s="55"/>
      <c r="I555" s="55"/>
      <c r="J555" s="55"/>
      <c r="K555" s="55"/>
      <c r="L555" s="158"/>
      <c r="M555" s="10"/>
      <c r="N555" s="55"/>
      <c r="O555" s="55"/>
      <c r="P555" s="10"/>
      <c r="Q555" s="10"/>
      <c r="R555" s="155"/>
      <c r="S555" s="171"/>
      <c r="T555" s="161"/>
      <c r="U555" s="55"/>
      <c r="V555" s="55"/>
      <c r="W555" s="55"/>
      <c r="X555" s="155"/>
      <c r="Y555" s="171"/>
      <c r="Z555" s="165"/>
      <c r="AA555" s="10"/>
      <c r="AB555" s="55"/>
      <c r="AC555" s="55"/>
      <c r="AD555" s="55"/>
      <c r="AE555" s="55"/>
      <c r="AF555" s="55"/>
      <c r="AG555" s="167"/>
      <c r="AH555" s="55"/>
      <c r="AI555" s="55"/>
      <c r="AJ555" s="165"/>
      <c r="AK555" s="55"/>
      <c r="AL555" s="55"/>
      <c r="AM555" s="55"/>
      <c r="AN555" s="55"/>
      <c r="AO555" s="55"/>
      <c r="AP555" s="55"/>
      <c r="AQ555" s="55"/>
      <c r="AR555" s="55"/>
      <c r="AS555" s="165"/>
      <c r="AT555" s="55"/>
      <c r="AU555" s="55"/>
      <c r="AV555" s="55"/>
      <c r="AW555" s="55"/>
      <c r="AX555" s="55"/>
      <c r="AY555" s="55"/>
      <c r="AZ555" s="55"/>
      <c r="BA555" s="55"/>
      <c r="BB555" s="165"/>
      <c r="BC555" s="55"/>
      <c r="BD555" s="55"/>
      <c r="BE555" s="55"/>
      <c r="BF555" s="165"/>
      <c r="BG555" s="55"/>
      <c r="BH555" s="10"/>
      <c r="BI555" s="55"/>
      <c r="BJ555" s="55"/>
      <c r="BK555" s="55"/>
      <c r="BL555" s="55"/>
      <c r="BT555" s="141"/>
      <c r="CN555" s="141"/>
      <c r="DG555" s="141"/>
    </row>
    <row r="556" spans="1:111" s="93" customFormat="1" x14ac:dyDescent="0.15">
      <c r="A556" s="11"/>
      <c r="B556" s="13"/>
      <c r="C556" s="12"/>
      <c r="D556" s="13"/>
      <c r="E556" s="13"/>
      <c r="F556" s="12"/>
      <c r="G556" s="55"/>
      <c r="H556" s="55"/>
      <c r="I556" s="55"/>
      <c r="J556" s="55"/>
      <c r="K556" s="55"/>
      <c r="L556" s="158"/>
      <c r="M556" s="10"/>
      <c r="N556" s="55"/>
      <c r="O556" s="55"/>
      <c r="P556" s="10"/>
      <c r="Q556" s="10"/>
      <c r="R556" s="155"/>
      <c r="S556" s="171"/>
      <c r="T556" s="161"/>
      <c r="U556" s="55"/>
      <c r="V556" s="55"/>
      <c r="W556" s="55"/>
      <c r="X556" s="155"/>
      <c r="Y556" s="171"/>
      <c r="Z556" s="165"/>
      <c r="AA556" s="10"/>
      <c r="AB556" s="55"/>
      <c r="AC556" s="55"/>
      <c r="AD556" s="55"/>
      <c r="AE556" s="55"/>
      <c r="AF556" s="55"/>
      <c r="AG556" s="167"/>
      <c r="AH556" s="55"/>
      <c r="AI556" s="55"/>
      <c r="AJ556" s="165"/>
      <c r="AK556" s="55"/>
      <c r="AL556" s="55"/>
      <c r="AM556" s="55"/>
      <c r="AN556" s="55"/>
      <c r="AO556" s="55"/>
      <c r="AP556" s="55"/>
      <c r="AQ556" s="55"/>
      <c r="AR556" s="55"/>
      <c r="AS556" s="165"/>
      <c r="AT556" s="55"/>
      <c r="AU556" s="55"/>
      <c r="AV556" s="55"/>
      <c r="AW556" s="55"/>
      <c r="AX556" s="55"/>
      <c r="AY556" s="55"/>
      <c r="AZ556" s="55"/>
      <c r="BA556" s="55"/>
      <c r="BB556" s="165"/>
      <c r="BC556" s="55"/>
      <c r="BD556" s="55"/>
      <c r="BE556" s="55"/>
      <c r="BF556" s="165"/>
      <c r="BG556" s="55"/>
      <c r="BH556" s="10"/>
      <c r="BI556" s="55"/>
      <c r="BJ556" s="55"/>
      <c r="BK556" s="55"/>
      <c r="BL556" s="55"/>
      <c r="BT556" s="141"/>
      <c r="CN556" s="141"/>
      <c r="DG556" s="141"/>
    </row>
    <row r="557" spans="1:111" s="93" customFormat="1" x14ac:dyDescent="0.15">
      <c r="A557" s="11"/>
      <c r="B557" s="13"/>
      <c r="C557" s="12"/>
      <c r="D557" s="13"/>
      <c r="E557" s="13"/>
      <c r="F557" s="12"/>
      <c r="G557" s="55"/>
      <c r="H557" s="55"/>
      <c r="I557" s="55"/>
      <c r="J557" s="55"/>
      <c r="K557" s="55"/>
      <c r="L557" s="158"/>
      <c r="M557" s="10"/>
      <c r="N557" s="55"/>
      <c r="O557" s="55"/>
      <c r="P557" s="10"/>
      <c r="Q557" s="10"/>
      <c r="R557" s="155"/>
      <c r="S557" s="171"/>
      <c r="T557" s="161"/>
      <c r="U557" s="55"/>
      <c r="V557" s="55"/>
      <c r="W557" s="55"/>
      <c r="X557" s="155"/>
      <c r="Y557" s="171"/>
      <c r="Z557" s="165"/>
      <c r="AA557" s="10"/>
      <c r="AB557" s="55"/>
      <c r="AC557" s="55"/>
      <c r="AD557" s="55"/>
      <c r="AE557" s="55"/>
      <c r="AF557" s="55"/>
      <c r="AG557" s="167"/>
      <c r="AH557" s="55"/>
      <c r="AI557" s="55"/>
      <c r="AJ557" s="165"/>
      <c r="AK557" s="55"/>
      <c r="AL557" s="55"/>
      <c r="AM557" s="55"/>
      <c r="AN557" s="55"/>
      <c r="AO557" s="55"/>
      <c r="AP557" s="55"/>
      <c r="AQ557" s="55"/>
      <c r="AR557" s="55"/>
      <c r="AS557" s="165"/>
      <c r="AT557" s="55"/>
      <c r="AU557" s="55"/>
      <c r="AV557" s="55"/>
      <c r="AW557" s="55"/>
      <c r="AX557" s="55"/>
      <c r="AY557" s="55"/>
      <c r="AZ557" s="55"/>
      <c r="BA557" s="55"/>
      <c r="BB557" s="165"/>
      <c r="BC557" s="55"/>
      <c r="BD557" s="55"/>
      <c r="BE557" s="55"/>
      <c r="BF557" s="165"/>
      <c r="BG557" s="55"/>
      <c r="BH557" s="10"/>
      <c r="BI557" s="55"/>
      <c r="BJ557" s="55"/>
      <c r="BK557" s="55"/>
      <c r="BL557" s="55"/>
      <c r="BT557" s="141"/>
      <c r="CN557" s="141"/>
      <c r="DG557" s="141"/>
    </row>
    <row r="558" spans="1:111" s="93" customFormat="1" x14ac:dyDescent="0.15">
      <c r="A558" s="11"/>
      <c r="B558" s="13"/>
      <c r="C558" s="12"/>
      <c r="D558" s="13"/>
      <c r="E558" s="13"/>
      <c r="F558" s="12"/>
      <c r="G558" s="55"/>
      <c r="H558" s="55"/>
      <c r="I558" s="55"/>
      <c r="J558" s="55"/>
      <c r="K558" s="55"/>
      <c r="L558" s="158"/>
      <c r="M558" s="10"/>
      <c r="N558" s="55"/>
      <c r="O558" s="55"/>
      <c r="P558" s="10"/>
      <c r="Q558" s="10"/>
      <c r="R558" s="155"/>
      <c r="S558" s="171"/>
      <c r="T558" s="161"/>
      <c r="U558" s="55"/>
      <c r="V558" s="55"/>
      <c r="W558" s="55"/>
      <c r="X558" s="155"/>
      <c r="Y558" s="171"/>
      <c r="Z558" s="165"/>
      <c r="AA558" s="10"/>
      <c r="AB558" s="55"/>
      <c r="AC558" s="55"/>
      <c r="AD558" s="55"/>
      <c r="AE558" s="55"/>
      <c r="AF558" s="55"/>
      <c r="AG558" s="167"/>
      <c r="AH558" s="55"/>
      <c r="AI558" s="55"/>
      <c r="AJ558" s="165"/>
      <c r="AK558" s="55"/>
      <c r="AL558" s="55"/>
      <c r="AM558" s="55"/>
      <c r="AN558" s="55"/>
      <c r="AO558" s="55"/>
      <c r="AP558" s="55"/>
      <c r="AQ558" s="55"/>
      <c r="AR558" s="55"/>
      <c r="AS558" s="165"/>
      <c r="AT558" s="55"/>
      <c r="AU558" s="55"/>
      <c r="AV558" s="55"/>
      <c r="AW558" s="55"/>
      <c r="AX558" s="55"/>
      <c r="AY558" s="55"/>
      <c r="AZ558" s="55"/>
      <c r="BA558" s="55"/>
      <c r="BB558" s="165"/>
      <c r="BC558" s="55"/>
      <c r="BD558" s="55"/>
      <c r="BE558" s="55"/>
      <c r="BF558" s="165"/>
      <c r="BG558" s="55"/>
      <c r="BH558" s="10"/>
      <c r="BI558" s="55"/>
      <c r="BJ558" s="55"/>
      <c r="BK558" s="55"/>
      <c r="BL558" s="55"/>
      <c r="BT558" s="141"/>
      <c r="CN558" s="141"/>
      <c r="DG558" s="141"/>
    </row>
    <row r="559" spans="1:111" s="93" customFormat="1" x14ac:dyDescent="0.15">
      <c r="A559" s="11"/>
      <c r="B559" s="13"/>
      <c r="C559" s="12"/>
      <c r="D559" s="13"/>
      <c r="E559" s="13"/>
      <c r="F559" s="12"/>
      <c r="G559" s="55"/>
      <c r="H559" s="55"/>
      <c r="I559" s="55"/>
      <c r="J559" s="55"/>
      <c r="K559" s="55"/>
      <c r="L559" s="158"/>
      <c r="M559" s="10"/>
      <c r="N559" s="55"/>
      <c r="O559" s="55"/>
      <c r="P559" s="10"/>
      <c r="Q559" s="10"/>
      <c r="R559" s="155"/>
      <c r="S559" s="171"/>
      <c r="T559" s="161"/>
      <c r="U559" s="55"/>
      <c r="V559" s="55"/>
      <c r="W559" s="55"/>
      <c r="X559" s="155"/>
      <c r="Y559" s="171"/>
      <c r="Z559" s="165"/>
      <c r="AA559" s="10"/>
      <c r="AB559" s="55"/>
      <c r="AC559" s="55"/>
      <c r="AD559" s="55"/>
      <c r="AE559" s="55"/>
      <c r="AF559" s="55"/>
      <c r="AG559" s="167"/>
      <c r="AH559" s="55"/>
      <c r="AI559" s="55"/>
      <c r="AJ559" s="165"/>
      <c r="AK559" s="55"/>
      <c r="AL559" s="55"/>
      <c r="AM559" s="55"/>
      <c r="AN559" s="55"/>
      <c r="AO559" s="55"/>
      <c r="AP559" s="55"/>
      <c r="AQ559" s="55"/>
      <c r="AR559" s="55"/>
      <c r="AS559" s="165"/>
      <c r="AT559" s="55"/>
      <c r="AU559" s="55"/>
      <c r="AV559" s="55"/>
      <c r="AW559" s="55"/>
      <c r="AX559" s="55"/>
      <c r="AY559" s="55"/>
      <c r="AZ559" s="55"/>
      <c r="BA559" s="55"/>
      <c r="BB559" s="165"/>
      <c r="BC559" s="55"/>
      <c r="BD559" s="55"/>
      <c r="BE559" s="55"/>
      <c r="BF559" s="165"/>
      <c r="BG559" s="55"/>
      <c r="BH559" s="10"/>
      <c r="BI559" s="55"/>
      <c r="BJ559" s="55"/>
      <c r="BK559" s="55"/>
      <c r="BL559" s="55"/>
      <c r="BT559" s="141"/>
      <c r="CN559" s="141"/>
      <c r="DG559" s="141"/>
    </row>
    <row r="560" spans="1:111" s="93" customFormat="1" x14ac:dyDescent="0.15">
      <c r="A560" s="11"/>
      <c r="B560" s="13"/>
      <c r="C560" s="12"/>
      <c r="D560" s="13"/>
      <c r="E560" s="13"/>
      <c r="F560" s="12"/>
      <c r="G560" s="55"/>
      <c r="H560" s="55"/>
      <c r="I560" s="55"/>
      <c r="J560" s="55"/>
      <c r="K560" s="55"/>
      <c r="L560" s="158"/>
      <c r="M560" s="10"/>
      <c r="N560" s="55"/>
      <c r="O560" s="55"/>
      <c r="P560" s="10"/>
      <c r="Q560" s="10"/>
      <c r="R560" s="155"/>
      <c r="S560" s="171"/>
      <c r="T560" s="161"/>
      <c r="U560" s="55"/>
      <c r="V560" s="55"/>
      <c r="W560" s="55"/>
      <c r="X560" s="155"/>
      <c r="Y560" s="171"/>
      <c r="Z560" s="165"/>
      <c r="AA560" s="10"/>
      <c r="AB560" s="55"/>
      <c r="AC560" s="55"/>
      <c r="AD560" s="55"/>
      <c r="AE560" s="55"/>
      <c r="AF560" s="55"/>
      <c r="AG560" s="167"/>
      <c r="AH560" s="55"/>
      <c r="AI560" s="55"/>
      <c r="AJ560" s="165"/>
      <c r="AK560" s="55"/>
      <c r="AL560" s="55"/>
      <c r="AM560" s="55"/>
      <c r="AN560" s="55"/>
      <c r="AO560" s="55"/>
      <c r="AP560" s="55"/>
      <c r="AQ560" s="55"/>
      <c r="AR560" s="55"/>
      <c r="AS560" s="165"/>
      <c r="AT560" s="55"/>
      <c r="AU560" s="55"/>
      <c r="AV560" s="55"/>
      <c r="AW560" s="55"/>
      <c r="AX560" s="55"/>
      <c r="AY560" s="55"/>
      <c r="AZ560" s="55"/>
      <c r="BA560" s="55"/>
      <c r="BB560" s="165"/>
      <c r="BC560" s="55"/>
      <c r="BD560" s="55"/>
      <c r="BE560" s="55"/>
      <c r="BF560" s="165"/>
      <c r="BG560" s="55"/>
      <c r="BH560" s="10"/>
      <c r="BI560" s="55"/>
      <c r="BJ560" s="55"/>
      <c r="BK560" s="55"/>
      <c r="BL560" s="55"/>
      <c r="BT560" s="141"/>
      <c r="CN560" s="141"/>
      <c r="DG560" s="141"/>
    </row>
    <row r="561" spans="1:111" s="93" customFormat="1" x14ac:dyDescent="0.15">
      <c r="A561" s="11"/>
      <c r="B561" s="13"/>
      <c r="C561" s="12"/>
      <c r="D561" s="13"/>
      <c r="E561" s="13"/>
      <c r="F561" s="12"/>
      <c r="G561" s="55"/>
      <c r="H561" s="55"/>
      <c r="I561" s="55"/>
      <c r="J561" s="55"/>
      <c r="K561" s="55"/>
      <c r="L561" s="158"/>
      <c r="M561" s="10"/>
      <c r="N561" s="55"/>
      <c r="O561" s="55"/>
      <c r="P561" s="10"/>
      <c r="Q561" s="10"/>
      <c r="R561" s="155"/>
      <c r="S561" s="171"/>
      <c r="T561" s="161"/>
      <c r="U561" s="55"/>
      <c r="V561" s="55"/>
      <c r="W561" s="55"/>
      <c r="X561" s="155"/>
      <c r="Y561" s="171"/>
      <c r="Z561" s="165"/>
      <c r="AA561" s="10"/>
      <c r="AB561" s="55"/>
      <c r="AC561" s="55"/>
      <c r="AD561" s="55"/>
      <c r="AE561" s="55"/>
      <c r="AF561" s="55"/>
      <c r="AG561" s="167"/>
      <c r="AH561" s="55"/>
      <c r="AI561" s="55"/>
      <c r="AJ561" s="165"/>
      <c r="AK561" s="55"/>
      <c r="AL561" s="55"/>
      <c r="AM561" s="55"/>
      <c r="AN561" s="55"/>
      <c r="AO561" s="55"/>
      <c r="AP561" s="55"/>
      <c r="AQ561" s="55"/>
      <c r="AR561" s="55"/>
      <c r="AS561" s="165"/>
      <c r="AT561" s="55"/>
      <c r="AU561" s="55"/>
      <c r="AV561" s="55"/>
      <c r="AW561" s="55"/>
      <c r="AX561" s="55"/>
      <c r="AY561" s="55"/>
      <c r="AZ561" s="55"/>
      <c r="BA561" s="55"/>
      <c r="BB561" s="165"/>
      <c r="BC561" s="55"/>
      <c r="BD561" s="55"/>
      <c r="BE561" s="55"/>
      <c r="BF561" s="165"/>
      <c r="BG561" s="55"/>
      <c r="BH561" s="10"/>
      <c r="BI561" s="55"/>
      <c r="BJ561" s="55"/>
      <c r="BK561" s="55"/>
      <c r="BL561" s="55"/>
      <c r="BT561" s="141"/>
      <c r="CN561" s="141"/>
      <c r="DG561" s="141"/>
    </row>
    <row r="562" spans="1:111" s="93" customFormat="1" x14ac:dyDescent="0.15">
      <c r="A562" s="11"/>
      <c r="B562" s="13"/>
      <c r="C562" s="12"/>
      <c r="D562" s="13"/>
      <c r="E562" s="13"/>
      <c r="F562" s="12"/>
      <c r="G562" s="55"/>
      <c r="H562" s="55"/>
      <c r="I562" s="55"/>
      <c r="J562" s="55"/>
      <c r="K562" s="55"/>
      <c r="L562" s="158"/>
      <c r="M562" s="10"/>
      <c r="N562" s="55"/>
      <c r="O562" s="55"/>
      <c r="P562" s="10"/>
      <c r="Q562" s="10"/>
      <c r="R562" s="155"/>
      <c r="S562" s="171"/>
      <c r="T562" s="161"/>
      <c r="U562" s="55"/>
      <c r="V562" s="55"/>
      <c r="W562" s="55"/>
      <c r="X562" s="155"/>
      <c r="Y562" s="171"/>
      <c r="Z562" s="165"/>
      <c r="AA562" s="10"/>
      <c r="AB562" s="55"/>
      <c r="AC562" s="55"/>
      <c r="AD562" s="55"/>
      <c r="AE562" s="55"/>
      <c r="AF562" s="55"/>
      <c r="AG562" s="167"/>
      <c r="AH562" s="55"/>
      <c r="AI562" s="55"/>
      <c r="AJ562" s="165"/>
      <c r="AK562" s="55"/>
      <c r="AL562" s="55"/>
      <c r="AM562" s="55"/>
      <c r="AN562" s="55"/>
      <c r="AO562" s="55"/>
      <c r="AP562" s="55"/>
      <c r="AQ562" s="55"/>
      <c r="AR562" s="55"/>
      <c r="AS562" s="165"/>
      <c r="AT562" s="55"/>
      <c r="AU562" s="55"/>
      <c r="AV562" s="55"/>
      <c r="AW562" s="55"/>
      <c r="AX562" s="55"/>
      <c r="AY562" s="55"/>
      <c r="AZ562" s="55"/>
      <c r="BA562" s="55"/>
      <c r="BB562" s="165"/>
      <c r="BC562" s="55"/>
      <c r="BD562" s="55"/>
      <c r="BE562" s="55"/>
      <c r="BF562" s="165"/>
      <c r="BG562" s="55"/>
      <c r="BH562" s="10"/>
      <c r="BI562" s="55"/>
      <c r="BJ562" s="55"/>
      <c r="BK562" s="55"/>
      <c r="BL562" s="55"/>
      <c r="BT562" s="141"/>
      <c r="CN562" s="141"/>
      <c r="DG562" s="141"/>
    </row>
    <row r="563" spans="1:111" s="93" customFormat="1" x14ac:dyDescent="0.15">
      <c r="A563" s="11"/>
      <c r="B563" s="13"/>
      <c r="C563" s="12"/>
      <c r="D563" s="13"/>
      <c r="E563" s="13"/>
      <c r="F563" s="12"/>
      <c r="G563" s="55"/>
      <c r="H563" s="55"/>
      <c r="I563" s="55"/>
      <c r="J563" s="55"/>
      <c r="K563" s="55"/>
      <c r="L563" s="158"/>
      <c r="M563" s="10"/>
      <c r="N563" s="55"/>
      <c r="O563" s="55"/>
      <c r="P563" s="10"/>
      <c r="Q563" s="10"/>
      <c r="R563" s="155"/>
      <c r="S563" s="171"/>
      <c r="T563" s="161"/>
      <c r="U563" s="55"/>
      <c r="V563" s="55"/>
      <c r="W563" s="55"/>
      <c r="X563" s="155"/>
      <c r="Y563" s="171"/>
      <c r="Z563" s="165"/>
      <c r="AA563" s="10"/>
      <c r="AB563" s="55"/>
      <c r="AC563" s="55"/>
      <c r="AD563" s="55"/>
      <c r="AE563" s="55"/>
      <c r="AF563" s="55"/>
      <c r="AG563" s="167"/>
      <c r="AH563" s="55"/>
      <c r="AI563" s="55"/>
      <c r="AJ563" s="165"/>
      <c r="AK563" s="55"/>
      <c r="AL563" s="55"/>
      <c r="AM563" s="55"/>
      <c r="AN563" s="55"/>
      <c r="AO563" s="55"/>
      <c r="AP563" s="55"/>
      <c r="AQ563" s="55"/>
      <c r="AR563" s="55"/>
      <c r="AS563" s="165"/>
      <c r="AT563" s="55"/>
      <c r="AU563" s="55"/>
      <c r="AV563" s="55"/>
      <c r="AW563" s="55"/>
      <c r="AX563" s="55"/>
      <c r="AY563" s="55"/>
      <c r="AZ563" s="55"/>
      <c r="BA563" s="55"/>
      <c r="BB563" s="165"/>
      <c r="BC563" s="55"/>
      <c r="BD563" s="55"/>
      <c r="BE563" s="55"/>
      <c r="BF563" s="165"/>
      <c r="BG563" s="55"/>
      <c r="BH563" s="10"/>
      <c r="BI563" s="55"/>
      <c r="BJ563" s="55"/>
      <c r="BK563" s="55"/>
      <c r="BL563" s="55"/>
      <c r="BT563" s="141"/>
      <c r="CN563" s="141"/>
      <c r="DG563" s="141"/>
    </row>
    <row r="564" spans="1:111" s="93" customFormat="1" x14ac:dyDescent="0.15">
      <c r="A564" s="11"/>
      <c r="B564" s="13"/>
      <c r="C564" s="12"/>
      <c r="D564" s="13"/>
      <c r="E564" s="13"/>
      <c r="F564" s="12"/>
      <c r="G564" s="55"/>
      <c r="H564" s="55"/>
      <c r="I564" s="55"/>
      <c r="J564" s="55"/>
      <c r="K564" s="55"/>
      <c r="L564" s="158"/>
      <c r="M564" s="10"/>
      <c r="N564" s="55"/>
      <c r="O564" s="55"/>
      <c r="P564" s="10"/>
      <c r="Q564" s="10"/>
      <c r="R564" s="155"/>
      <c r="S564" s="171"/>
      <c r="T564" s="161"/>
      <c r="U564" s="55"/>
      <c r="V564" s="55"/>
      <c r="W564" s="55"/>
      <c r="X564" s="155"/>
      <c r="Y564" s="171"/>
      <c r="Z564" s="165"/>
      <c r="AA564" s="10"/>
      <c r="AB564" s="55"/>
      <c r="AC564" s="55"/>
      <c r="AD564" s="55"/>
      <c r="AE564" s="55"/>
      <c r="AF564" s="55"/>
      <c r="AG564" s="167"/>
      <c r="AH564" s="55"/>
      <c r="AI564" s="55"/>
      <c r="AJ564" s="165"/>
      <c r="AK564" s="55"/>
      <c r="AL564" s="55"/>
      <c r="AM564" s="55"/>
      <c r="AN564" s="55"/>
      <c r="AO564" s="55"/>
      <c r="AP564" s="55"/>
      <c r="AQ564" s="55"/>
      <c r="AR564" s="55"/>
      <c r="AS564" s="165"/>
      <c r="AT564" s="55"/>
      <c r="AU564" s="55"/>
      <c r="AV564" s="55"/>
      <c r="AW564" s="55"/>
      <c r="AX564" s="55"/>
      <c r="AY564" s="55"/>
      <c r="AZ564" s="55"/>
      <c r="BA564" s="55"/>
      <c r="BB564" s="165"/>
      <c r="BC564" s="55"/>
      <c r="BD564" s="55"/>
      <c r="BE564" s="55"/>
      <c r="BF564" s="165"/>
      <c r="BG564" s="55"/>
      <c r="BH564" s="10"/>
      <c r="BI564" s="55"/>
      <c r="BJ564" s="55"/>
      <c r="BK564" s="55"/>
      <c r="BL564" s="55"/>
      <c r="BT564" s="141"/>
      <c r="CN564" s="141"/>
      <c r="DG564" s="141"/>
    </row>
    <row r="565" spans="1:111" s="93" customFormat="1" x14ac:dyDescent="0.15">
      <c r="A565" s="11"/>
      <c r="B565" s="13"/>
      <c r="C565" s="12"/>
      <c r="D565" s="13"/>
      <c r="E565" s="13"/>
      <c r="F565" s="12"/>
      <c r="G565" s="55"/>
      <c r="H565" s="55"/>
      <c r="I565" s="55"/>
      <c r="J565" s="55"/>
      <c r="K565" s="55"/>
      <c r="L565" s="158"/>
      <c r="M565" s="10"/>
      <c r="N565" s="55"/>
      <c r="O565" s="55"/>
      <c r="P565" s="10"/>
      <c r="Q565" s="10"/>
      <c r="R565" s="155"/>
      <c r="S565" s="171"/>
      <c r="T565" s="161"/>
      <c r="U565" s="55"/>
      <c r="V565" s="55"/>
      <c r="W565" s="55"/>
      <c r="X565" s="155"/>
      <c r="Y565" s="171"/>
      <c r="Z565" s="165"/>
      <c r="AA565" s="10"/>
      <c r="AB565" s="55"/>
      <c r="AC565" s="55"/>
      <c r="AD565" s="55"/>
      <c r="AE565" s="55"/>
      <c r="AF565" s="55"/>
      <c r="AG565" s="167"/>
      <c r="AH565" s="55"/>
      <c r="AI565" s="55"/>
      <c r="AJ565" s="165"/>
      <c r="AK565" s="55"/>
      <c r="AL565" s="55"/>
      <c r="AM565" s="55"/>
      <c r="AN565" s="55"/>
      <c r="AO565" s="55"/>
      <c r="AP565" s="55"/>
      <c r="AQ565" s="55"/>
      <c r="AR565" s="55"/>
      <c r="AS565" s="165"/>
      <c r="AT565" s="55"/>
      <c r="AU565" s="55"/>
      <c r="AV565" s="55"/>
      <c r="AW565" s="55"/>
      <c r="AX565" s="55"/>
      <c r="AY565" s="55"/>
      <c r="AZ565" s="55"/>
      <c r="BA565" s="55"/>
      <c r="BB565" s="165"/>
      <c r="BC565" s="55"/>
      <c r="BD565" s="55"/>
      <c r="BE565" s="55"/>
      <c r="BF565" s="165"/>
      <c r="BG565" s="55"/>
      <c r="BH565" s="10"/>
      <c r="BI565" s="55"/>
      <c r="BJ565" s="55"/>
      <c r="BK565" s="55"/>
      <c r="BL565" s="55"/>
      <c r="BT565" s="141"/>
      <c r="CN565" s="141"/>
      <c r="DG565" s="141"/>
    </row>
    <row r="566" spans="1:111" s="93" customFormat="1" x14ac:dyDescent="0.15">
      <c r="A566" s="11"/>
      <c r="B566" s="13"/>
      <c r="C566" s="12"/>
      <c r="D566" s="13"/>
      <c r="E566" s="13"/>
      <c r="F566" s="12"/>
      <c r="G566" s="55"/>
      <c r="H566" s="55"/>
      <c r="I566" s="55"/>
      <c r="J566" s="55"/>
      <c r="K566" s="55"/>
      <c r="L566" s="158"/>
      <c r="M566" s="10"/>
      <c r="N566" s="55"/>
      <c r="O566" s="55"/>
      <c r="P566" s="10"/>
      <c r="Q566" s="10"/>
      <c r="R566" s="155"/>
      <c r="S566" s="171"/>
      <c r="T566" s="161"/>
      <c r="U566" s="55"/>
      <c r="V566" s="55"/>
      <c r="W566" s="55"/>
      <c r="X566" s="155"/>
      <c r="Y566" s="171"/>
      <c r="Z566" s="165"/>
      <c r="AA566" s="10"/>
      <c r="AB566" s="55"/>
      <c r="AC566" s="55"/>
      <c r="AD566" s="55"/>
      <c r="AE566" s="55"/>
      <c r="AF566" s="55"/>
      <c r="AG566" s="167"/>
      <c r="AH566" s="55"/>
      <c r="AI566" s="55"/>
      <c r="AJ566" s="165"/>
      <c r="AK566" s="55"/>
      <c r="AL566" s="55"/>
      <c r="AM566" s="55"/>
      <c r="AN566" s="55"/>
      <c r="AO566" s="55"/>
      <c r="AP566" s="55"/>
      <c r="AQ566" s="55"/>
      <c r="AR566" s="55"/>
      <c r="AS566" s="165"/>
      <c r="AT566" s="55"/>
      <c r="AU566" s="55"/>
      <c r="AV566" s="55"/>
      <c r="AW566" s="55"/>
      <c r="AX566" s="55"/>
      <c r="AY566" s="55"/>
      <c r="AZ566" s="55"/>
      <c r="BA566" s="55"/>
      <c r="BB566" s="165"/>
      <c r="BC566" s="55"/>
      <c r="BD566" s="55"/>
      <c r="BE566" s="55"/>
      <c r="BF566" s="165"/>
      <c r="BG566" s="55"/>
      <c r="BH566" s="10"/>
      <c r="BI566" s="55"/>
      <c r="BJ566" s="55"/>
      <c r="BK566" s="55"/>
      <c r="BL566" s="55"/>
      <c r="BT566" s="141"/>
      <c r="CN566" s="141"/>
      <c r="DG566" s="141"/>
    </row>
    <row r="567" spans="1:111" s="93" customFormat="1" x14ac:dyDescent="0.15">
      <c r="A567" s="11"/>
      <c r="B567" s="13"/>
      <c r="C567" s="12"/>
      <c r="D567" s="13"/>
      <c r="E567" s="13"/>
      <c r="F567" s="12"/>
      <c r="G567" s="55"/>
      <c r="H567" s="55"/>
      <c r="I567" s="55"/>
      <c r="J567" s="55"/>
      <c r="K567" s="55"/>
      <c r="L567" s="158"/>
      <c r="M567" s="10"/>
      <c r="N567" s="55"/>
      <c r="O567" s="55"/>
      <c r="P567" s="10"/>
      <c r="Q567" s="10"/>
      <c r="R567" s="155"/>
      <c r="S567" s="171"/>
      <c r="T567" s="161"/>
      <c r="U567" s="55"/>
      <c r="V567" s="55"/>
      <c r="W567" s="55"/>
      <c r="X567" s="155"/>
      <c r="Y567" s="171"/>
      <c r="Z567" s="165"/>
      <c r="AA567" s="10"/>
      <c r="AB567" s="55"/>
      <c r="AC567" s="55"/>
      <c r="AD567" s="55"/>
      <c r="AE567" s="55"/>
      <c r="AF567" s="55"/>
      <c r="AG567" s="167"/>
      <c r="AH567" s="55"/>
      <c r="AI567" s="55"/>
      <c r="AJ567" s="165"/>
      <c r="AK567" s="55"/>
      <c r="AL567" s="55"/>
      <c r="AM567" s="55"/>
      <c r="AN567" s="55"/>
      <c r="AO567" s="55"/>
      <c r="AP567" s="55"/>
      <c r="AQ567" s="55"/>
      <c r="AR567" s="55"/>
      <c r="AS567" s="165"/>
      <c r="AT567" s="55"/>
      <c r="AU567" s="55"/>
      <c r="AV567" s="55"/>
      <c r="AW567" s="55"/>
      <c r="AX567" s="55"/>
      <c r="AY567" s="55"/>
      <c r="AZ567" s="55"/>
      <c r="BA567" s="55"/>
      <c r="BB567" s="165"/>
      <c r="BC567" s="55"/>
      <c r="BD567" s="55"/>
      <c r="BE567" s="55"/>
      <c r="BF567" s="165"/>
      <c r="BG567" s="55"/>
      <c r="BH567" s="10"/>
      <c r="BI567" s="55"/>
      <c r="BJ567" s="55"/>
      <c r="BK567" s="55"/>
      <c r="BL567" s="55"/>
      <c r="BT567" s="141"/>
      <c r="CN567" s="141"/>
      <c r="DG567" s="141"/>
    </row>
    <row r="568" spans="1:111" s="93" customFormat="1" x14ac:dyDescent="0.15">
      <c r="A568" s="11"/>
      <c r="B568" s="13"/>
      <c r="C568" s="12"/>
      <c r="D568" s="13"/>
      <c r="E568" s="13"/>
      <c r="F568" s="12"/>
      <c r="G568" s="55"/>
      <c r="H568" s="55"/>
      <c r="I568" s="55"/>
      <c r="J568" s="55"/>
      <c r="K568" s="55"/>
      <c r="L568" s="158"/>
      <c r="M568" s="10"/>
      <c r="N568" s="55"/>
      <c r="O568" s="55"/>
      <c r="P568" s="10"/>
      <c r="Q568" s="10"/>
      <c r="R568" s="155"/>
      <c r="S568" s="171"/>
      <c r="T568" s="161"/>
      <c r="U568" s="55"/>
      <c r="V568" s="55"/>
      <c r="W568" s="55"/>
      <c r="X568" s="155"/>
      <c r="Y568" s="171"/>
      <c r="Z568" s="165"/>
      <c r="AA568" s="10"/>
      <c r="AB568" s="55"/>
      <c r="AC568" s="55"/>
      <c r="AD568" s="55"/>
      <c r="AE568" s="55"/>
      <c r="AF568" s="55"/>
      <c r="AG568" s="167"/>
      <c r="AH568" s="55"/>
      <c r="AI568" s="55"/>
      <c r="AJ568" s="165"/>
      <c r="AK568" s="55"/>
      <c r="AL568" s="55"/>
      <c r="AM568" s="55"/>
      <c r="AN568" s="55"/>
      <c r="AO568" s="55"/>
      <c r="AP568" s="55"/>
      <c r="AQ568" s="55"/>
      <c r="AR568" s="55"/>
      <c r="AS568" s="165"/>
      <c r="AT568" s="55"/>
      <c r="AU568" s="55"/>
      <c r="AV568" s="55"/>
      <c r="AW568" s="55"/>
      <c r="AX568" s="55"/>
      <c r="AY568" s="55"/>
      <c r="AZ568" s="55"/>
      <c r="BA568" s="55"/>
      <c r="BB568" s="165"/>
      <c r="BC568" s="55"/>
      <c r="BD568" s="55"/>
      <c r="BE568" s="55"/>
      <c r="BF568" s="165"/>
      <c r="BG568" s="55"/>
      <c r="BH568" s="10"/>
      <c r="BI568" s="55"/>
      <c r="BJ568" s="55"/>
      <c r="BK568" s="55"/>
      <c r="BL568" s="55"/>
      <c r="BT568" s="141"/>
      <c r="CN568" s="141"/>
      <c r="DG568" s="141"/>
    </row>
    <row r="569" spans="1:111" s="93" customFormat="1" x14ac:dyDescent="0.15">
      <c r="A569" s="11"/>
      <c r="B569" s="13"/>
      <c r="C569" s="12"/>
      <c r="D569" s="13"/>
      <c r="E569" s="13"/>
      <c r="F569" s="12"/>
      <c r="G569" s="55"/>
      <c r="H569" s="55"/>
      <c r="I569" s="55"/>
      <c r="J569" s="55"/>
      <c r="K569" s="55"/>
      <c r="L569" s="158"/>
      <c r="M569" s="10"/>
      <c r="N569" s="55"/>
      <c r="O569" s="55"/>
      <c r="P569" s="10"/>
      <c r="Q569" s="10"/>
      <c r="R569" s="155"/>
      <c r="S569" s="171"/>
      <c r="T569" s="161"/>
      <c r="U569" s="55"/>
      <c r="V569" s="55"/>
      <c r="W569" s="55"/>
      <c r="X569" s="155"/>
      <c r="Y569" s="171"/>
      <c r="Z569" s="165"/>
      <c r="AA569" s="10"/>
      <c r="AB569" s="55"/>
      <c r="AC569" s="55"/>
      <c r="AD569" s="55"/>
      <c r="AE569" s="55"/>
      <c r="AF569" s="55"/>
      <c r="AG569" s="167"/>
      <c r="AH569" s="55"/>
      <c r="AI569" s="55"/>
      <c r="AJ569" s="165"/>
      <c r="AK569" s="55"/>
      <c r="AL569" s="55"/>
      <c r="AM569" s="55"/>
      <c r="AN569" s="55"/>
      <c r="AO569" s="55"/>
      <c r="AP569" s="55"/>
      <c r="AQ569" s="55"/>
      <c r="AR569" s="55"/>
      <c r="AS569" s="165"/>
      <c r="AT569" s="55"/>
      <c r="AU569" s="55"/>
      <c r="AV569" s="55"/>
      <c r="AW569" s="55"/>
      <c r="AX569" s="55"/>
      <c r="AY569" s="55"/>
      <c r="AZ569" s="55"/>
      <c r="BA569" s="55"/>
      <c r="BB569" s="165"/>
      <c r="BC569" s="55"/>
      <c r="BD569" s="55"/>
      <c r="BE569" s="55"/>
      <c r="BF569" s="165"/>
      <c r="BG569" s="55"/>
      <c r="BH569" s="10"/>
      <c r="BI569" s="55"/>
      <c r="BJ569" s="55"/>
      <c r="BK569" s="55"/>
      <c r="BL569" s="55"/>
      <c r="BT569" s="141"/>
      <c r="CN569" s="141"/>
      <c r="DG569" s="141"/>
    </row>
    <row r="570" spans="1:111" s="93" customFormat="1" x14ac:dyDescent="0.15">
      <c r="A570" s="11"/>
      <c r="B570" s="13"/>
      <c r="C570" s="12"/>
      <c r="D570" s="13"/>
      <c r="E570" s="13"/>
      <c r="F570" s="12"/>
      <c r="G570" s="55"/>
      <c r="H570" s="55"/>
      <c r="I570" s="55"/>
      <c r="J570" s="55"/>
      <c r="K570" s="55"/>
      <c r="L570" s="158"/>
      <c r="M570" s="10"/>
      <c r="N570" s="55"/>
      <c r="O570" s="55"/>
      <c r="P570" s="10"/>
      <c r="Q570" s="10"/>
      <c r="R570" s="155"/>
      <c r="S570" s="171"/>
      <c r="T570" s="161"/>
      <c r="U570" s="55"/>
      <c r="V570" s="55"/>
      <c r="W570" s="55"/>
      <c r="X570" s="155"/>
      <c r="Y570" s="171"/>
      <c r="Z570" s="165"/>
      <c r="AA570" s="10"/>
      <c r="AB570" s="55"/>
      <c r="AC570" s="55"/>
      <c r="AD570" s="55"/>
      <c r="AE570" s="55"/>
      <c r="AF570" s="55"/>
      <c r="AG570" s="167"/>
      <c r="AH570" s="55"/>
      <c r="AI570" s="55"/>
      <c r="AJ570" s="165"/>
      <c r="AK570" s="55"/>
      <c r="AL570" s="55"/>
      <c r="AM570" s="55"/>
      <c r="AN570" s="55"/>
      <c r="AO570" s="55"/>
      <c r="AP570" s="55"/>
      <c r="AQ570" s="55"/>
      <c r="AR570" s="55"/>
      <c r="AS570" s="165"/>
      <c r="AT570" s="55"/>
      <c r="AU570" s="55"/>
      <c r="AV570" s="55"/>
      <c r="AW570" s="55"/>
      <c r="AX570" s="55"/>
      <c r="AY570" s="55"/>
      <c r="AZ570" s="55"/>
      <c r="BA570" s="55"/>
      <c r="BB570" s="165"/>
      <c r="BC570" s="55"/>
      <c r="BD570" s="55"/>
      <c r="BE570" s="55"/>
      <c r="BF570" s="165"/>
      <c r="BG570" s="55"/>
      <c r="BH570" s="10"/>
      <c r="BI570" s="55"/>
      <c r="BJ570" s="55"/>
      <c r="BK570" s="55"/>
      <c r="BL570" s="55"/>
      <c r="BT570" s="141"/>
      <c r="CN570" s="141"/>
      <c r="DG570" s="141"/>
    </row>
    <row r="571" spans="1:111" s="93" customFormat="1" x14ac:dyDescent="0.15">
      <c r="A571" s="11"/>
      <c r="B571" s="13"/>
      <c r="C571" s="12"/>
      <c r="D571" s="13"/>
      <c r="E571" s="13"/>
      <c r="F571" s="12"/>
      <c r="G571" s="55"/>
      <c r="H571" s="55"/>
      <c r="I571" s="55"/>
      <c r="J571" s="55"/>
      <c r="K571" s="55"/>
      <c r="L571" s="158"/>
      <c r="M571" s="10"/>
      <c r="N571" s="55"/>
      <c r="O571" s="55"/>
      <c r="P571" s="10"/>
      <c r="Q571" s="10"/>
      <c r="R571" s="155"/>
      <c r="S571" s="171"/>
      <c r="T571" s="161"/>
      <c r="U571" s="55"/>
      <c r="V571" s="55"/>
      <c r="W571" s="55"/>
      <c r="X571" s="155"/>
      <c r="Y571" s="171"/>
      <c r="Z571" s="165"/>
      <c r="AA571" s="10"/>
      <c r="AB571" s="55"/>
      <c r="AC571" s="55"/>
      <c r="AD571" s="55"/>
      <c r="AE571" s="55"/>
      <c r="AF571" s="55"/>
      <c r="AG571" s="167"/>
      <c r="AH571" s="55"/>
      <c r="AI571" s="55"/>
      <c r="AJ571" s="165"/>
      <c r="AK571" s="55"/>
      <c r="AL571" s="55"/>
      <c r="AM571" s="55"/>
      <c r="AN571" s="55"/>
      <c r="AO571" s="55"/>
      <c r="AP571" s="55"/>
      <c r="AQ571" s="55"/>
      <c r="AR571" s="55"/>
      <c r="AS571" s="165"/>
      <c r="AT571" s="55"/>
      <c r="AU571" s="55"/>
      <c r="AV571" s="55"/>
      <c r="AW571" s="55"/>
      <c r="AX571" s="55"/>
      <c r="AY571" s="55"/>
      <c r="AZ571" s="55"/>
      <c r="BA571" s="55"/>
      <c r="BB571" s="165"/>
      <c r="BC571" s="55"/>
      <c r="BD571" s="55"/>
      <c r="BE571" s="55"/>
      <c r="BF571" s="165"/>
      <c r="BG571" s="55"/>
      <c r="BH571" s="10"/>
      <c r="BI571" s="55"/>
      <c r="BJ571" s="55"/>
      <c r="BK571" s="55"/>
      <c r="BL571" s="55"/>
      <c r="BT571" s="141"/>
      <c r="CN571" s="141"/>
      <c r="DG571" s="141"/>
    </row>
    <row r="572" spans="1:111" s="93" customFormat="1" x14ac:dyDescent="0.15">
      <c r="A572" s="11"/>
      <c r="B572" s="13"/>
      <c r="C572" s="12"/>
      <c r="D572" s="13"/>
      <c r="E572" s="13"/>
      <c r="F572" s="12"/>
      <c r="G572" s="55"/>
      <c r="H572" s="55"/>
      <c r="I572" s="55"/>
      <c r="J572" s="55"/>
      <c r="K572" s="55"/>
      <c r="L572" s="158"/>
      <c r="M572" s="10"/>
      <c r="N572" s="55"/>
      <c r="O572" s="55"/>
      <c r="P572" s="10"/>
      <c r="Q572" s="10"/>
      <c r="R572" s="155"/>
      <c r="S572" s="171"/>
      <c r="T572" s="161"/>
      <c r="U572" s="55"/>
      <c r="V572" s="55"/>
      <c r="W572" s="55"/>
      <c r="X572" s="155"/>
      <c r="Y572" s="171"/>
      <c r="Z572" s="165"/>
      <c r="AA572" s="10"/>
      <c r="AB572" s="55"/>
      <c r="AC572" s="55"/>
      <c r="AD572" s="55"/>
      <c r="AE572" s="55"/>
      <c r="AF572" s="55"/>
      <c r="AG572" s="167"/>
      <c r="AH572" s="55"/>
      <c r="AI572" s="55"/>
      <c r="AJ572" s="165"/>
      <c r="AK572" s="55"/>
      <c r="AL572" s="55"/>
      <c r="AM572" s="55"/>
      <c r="AN572" s="55"/>
      <c r="AO572" s="55"/>
      <c r="AP572" s="55"/>
      <c r="AQ572" s="55"/>
      <c r="AR572" s="55"/>
      <c r="AS572" s="165"/>
      <c r="AT572" s="55"/>
      <c r="AU572" s="55"/>
      <c r="AV572" s="55"/>
      <c r="AW572" s="55"/>
      <c r="AX572" s="55"/>
      <c r="AY572" s="55"/>
      <c r="AZ572" s="55"/>
      <c r="BA572" s="55"/>
      <c r="BB572" s="165"/>
      <c r="BC572" s="55"/>
      <c r="BD572" s="55"/>
      <c r="BE572" s="55"/>
      <c r="BF572" s="165"/>
      <c r="BG572" s="55"/>
      <c r="BH572" s="10"/>
      <c r="BI572" s="55"/>
      <c r="BJ572" s="55"/>
      <c r="BK572" s="55"/>
      <c r="BL572" s="55"/>
      <c r="BT572" s="141"/>
      <c r="CN572" s="141"/>
      <c r="DG572" s="141"/>
    </row>
    <row r="573" spans="1:111" s="93" customFormat="1" x14ac:dyDescent="0.15">
      <c r="A573" s="11"/>
      <c r="B573" s="13"/>
      <c r="C573" s="12"/>
      <c r="D573" s="13"/>
      <c r="E573" s="13"/>
      <c r="F573" s="12"/>
      <c r="G573" s="55"/>
      <c r="H573" s="55"/>
      <c r="I573" s="55"/>
      <c r="J573" s="55"/>
      <c r="K573" s="55"/>
      <c r="L573" s="158"/>
      <c r="M573" s="10"/>
      <c r="N573" s="55"/>
      <c r="O573" s="55"/>
      <c r="P573" s="10"/>
      <c r="Q573" s="10"/>
      <c r="R573" s="155"/>
      <c r="S573" s="171"/>
      <c r="T573" s="161"/>
      <c r="U573" s="55"/>
      <c r="V573" s="55"/>
      <c r="W573" s="55"/>
      <c r="X573" s="155"/>
      <c r="Y573" s="171"/>
      <c r="Z573" s="165"/>
      <c r="AA573" s="10"/>
      <c r="AB573" s="55"/>
      <c r="AC573" s="55"/>
      <c r="AD573" s="55"/>
      <c r="AE573" s="55"/>
      <c r="AF573" s="55"/>
      <c r="AG573" s="167"/>
      <c r="AH573" s="55"/>
      <c r="AI573" s="55"/>
      <c r="AJ573" s="165"/>
      <c r="AK573" s="55"/>
      <c r="AL573" s="55"/>
      <c r="AM573" s="55"/>
      <c r="AN573" s="55"/>
      <c r="AO573" s="55"/>
      <c r="AP573" s="55"/>
      <c r="AQ573" s="55"/>
      <c r="AR573" s="55"/>
      <c r="AS573" s="165"/>
      <c r="AT573" s="55"/>
      <c r="AU573" s="55"/>
      <c r="AV573" s="55"/>
      <c r="AW573" s="55"/>
      <c r="AX573" s="55"/>
      <c r="AY573" s="55"/>
      <c r="AZ573" s="55"/>
      <c r="BA573" s="55"/>
      <c r="BB573" s="165"/>
      <c r="BC573" s="55"/>
      <c r="BD573" s="55"/>
      <c r="BE573" s="55"/>
      <c r="BF573" s="165"/>
      <c r="BG573" s="55"/>
      <c r="BH573" s="10"/>
      <c r="BI573" s="55"/>
      <c r="BJ573" s="55"/>
      <c r="BK573" s="55"/>
      <c r="BL573" s="55"/>
      <c r="BT573" s="141"/>
      <c r="CN573" s="141"/>
      <c r="DG573" s="141"/>
    </row>
    <row r="574" spans="1:111" s="93" customFormat="1" x14ac:dyDescent="0.15">
      <c r="A574" s="11"/>
      <c r="B574" s="13"/>
      <c r="C574" s="12"/>
      <c r="D574" s="13"/>
      <c r="E574" s="13"/>
      <c r="F574" s="12"/>
      <c r="G574" s="55"/>
      <c r="H574" s="55"/>
      <c r="I574" s="55"/>
      <c r="J574" s="55"/>
      <c r="K574" s="55"/>
      <c r="L574" s="158"/>
      <c r="M574" s="10"/>
      <c r="N574" s="55"/>
      <c r="O574" s="55"/>
      <c r="P574" s="10"/>
      <c r="Q574" s="10"/>
      <c r="R574" s="155"/>
      <c r="S574" s="171"/>
      <c r="T574" s="161"/>
      <c r="U574" s="55"/>
      <c r="V574" s="55"/>
      <c r="W574" s="55"/>
      <c r="X574" s="155"/>
      <c r="Y574" s="171"/>
      <c r="Z574" s="165"/>
      <c r="AA574" s="10"/>
      <c r="AB574" s="55"/>
      <c r="AC574" s="55"/>
      <c r="AD574" s="55"/>
      <c r="AE574" s="55"/>
      <c r="AF574" s="55"/>
      <c r="AG574" s="167"/>
      <c r="AH574" s="55"/>
      <c r="AI574" s="55"/>
      <c r="AJ574" s="165"/>
      <c r="AK574" s="55"/>
      <c r="AL574" s="55"/>
      <c r="AM574" s="55"/>
      <c r="AN574" s="55"/>
      <c r="AO574" s="55"/>
      <c r="AP574" s="55"/>
      <c r="AQ574" s="55"/>
      <c r="AR574" s="55"/>
      <c r="AS574" s="165"/>
      <c r="AT574" s="55"/>
      <c r="AU574" s="55"/>
      <c r="AV574" s="55"/>
      <c r="AW574" s="55"/>
      <c r="AX574" s="55"/>
      <c r="AY574" s="55"/>
      <c r="AZ574" s="55"/>
      <c r="BA574" s="55"/>
      <c r="BB574" s="165"/>
      <c r="BC574" s="55"/>
      <c r="BD574" s="55"/>
      <c r="BE574" s="55"/>
      <c r="BF574" s="165"/>
      <c r="BG574" s="55"/>
      <c r="BH574" s="10"/>
      <c r="BI574" s="55"/>
      <c r="BJ574" s="55"/>
      <c r="BK574" s="55"/>
      <c r="BL574" s="55"/>
      <c r="BT574" s="141"/>
      <c r="CN574" s="141"/>
      <c r="DG574" s="141"/>
    </row>
    <row r="575" spans="1:111" s="93" customFormat="1" x14ac:dyDescent="0.15">
      <c r="A575" s="11"/>
      <c r="B575" s="13"/>
      <c r="C575" s="12"/>
      <c r="D575" s="13"/>
      <c r="E575" s="13"/>
      <c r="F575" s="12"/>
      <c r="G575" s="55"/>
      <c r="H575" s="55"/>
      <c r="I575" s="55"/>
      <c r="J575" s="55"/>
      <c r="K575" s="55"/>
      <c r="L575" s="158"/>
      <c r="M575" s="10"/>
      <c r="N575" s="55"/>
      <c r="O575" s="55"/>
      <c r="P575" s="10"/>
      <c r="Q575" s="10"/>
      <c r="R575" s="155"/>
      <c r="S575" s="171"/>
      <c r="T575" s="161"/>
      <c r="U575" s="55"/>
      <c r="V575" s="55"/>
      <c r="W575" s="55"/>
      <c r="X575" s="155"/>
      <c r="Y575" s="171"/>
      <c r="Z575" s="165"/>
      <c r="AA575" s="10"/>
      <c r="AB575" s="55"/>
      <c r="AC575" s="55"/>
      <c r="AD575" s="55"/>
      <c r="AE575" s="55"/>
      <c r="AF575" s="55"/>
      <c r="AG575" s="167"/>
      <c r="AH575" s="55"/>
      <c r="AI575" s="55"/>
      <c r="AJ575" s="165"/>
      <c r="AK575" s="55"/>
      <c r="AL575" s="55"/>
      <c r="AM575" s="55"/>
      <c r="AN575" s="55"/>
      <c r="AO575" s="55"/>
      <c r="AP575" s="55"/>
      <c r="AQ575" s="55"/>
      <c r="AR575" s="55"/>
      <c r="AS575" s="165"/>
      <c r="AT575" s="55"/>
      <c r="AU575" s="55"/>
      <c r="AV575" s="55"/>
      <c r="AW575" s="55"/>
      <c r="AX575" s="55"/>
      <c r="AY575" s="55"/>
      <c r="AZ575" s="55"/>
      <c r="BA575" s="55"/>
      <c r="BB575" s="165"/>
      <c r="BC575" s="55"/>
      <c r="BD575" s="55"/>
      <c r="BE575" s="55"/>
      <c r="BF575" s="165"/>
      <c r="BG575" s="55"/>
      <c r="BH575" s="10"/>
      <c r="BI575" s="55"/>
      <c r="BJ575" s="55"/>
      <c r="BK575" s="55"/>
      <c r="BL575" s="55"/>
      <c r="BT575" s="141"/>
      <c r="CN575" s="141"/>
      <c r="DG575" s="141"/>
    </row>
    <row r="576" spans="1:111" s="93" customFormat="1" x14ac:dyDescent="0.15">
      <c r="A576" s="11"/>
      <c r="B576" s="13"/>
      <c r="C576" s="12"/>
      <c r="D576" s="13"/>
      <c r="E576" s="13"/>
      <c r="F576" s="12"/>
      <c r="G576" s="55"/>
      <c r="H576" s="55"/>
      <c r="I576" s="55"/>
      <c r="J576" s="55"/>
      <c r="K576" s="55"/>
      <c r="L576" s="158"/>
      <c r="M576" s="10"/>
      <c r="N576" s="55"/>
      <c r="O576" s="55"/>
      <c r="P576" s="10"/>
      <c r="Q576" s="10"/>
      <c r="R576" s="155"/>
      <c r="S576" s="171"/>
      <c r="T576" s="161"/>
      <c r="U576" s="55"/>
      <c r="V576" s="55"/>
      <c r="W576" s="55"/>
      <c r="X576" s="155"/>
      <c r="Y576" s="171"/>
      <c r="Z576" s="165"/>
      <c r="AA576" s="10"/>
      <c r="AB576" s="55"/>
      <c r="AC576" s="55"/>
      <c r="AD576" s="55"/>
      <c r="AE576" s="55"/>
      <c r="AF576" s="55"/>
      <c r="AG576" s="167"/>
      <c r="AH576" s="55"/>
      <c r="AI576" s="55"/>
      <c r="AJ576" s="165"/>
      <c r="AK576" s="55"/>
      <c r="AL576" s="55"/>
      <c r="AM576" s="55"/>
      <c r="AN576" s="55"/>
      <c r="AO576" s="55"/>
      <c r="AP576" s="55"/>
      <c r="AQ576" s="55"/>
      <c r="AR576" s="55"/>
      <c r="AS576" s="165"/>
      <c r="AT576" s="55"/>
      <c r="AU576" s="55"/>
      <c r="AV576" s="55"/>
      <c r="AW576" s="55"/>
      <c r="AX576" s="55"/>
      <c r="AY576" s="55"/>
      <c r="AZ576" s="55"/>
      <c r="BA576" s="55"/>
      <c r="BB576" s="165"/>
      <c r="BC576" s="55"/>
      <c r="BD576" s="55"/>
      <c r="BE576" s="55"/>
      <c r="BF576" s="165"/>
      <c r="BG576" s="55"/>
      <c r="BH576" s="10"/>
      <c r="BI576" s="55"/>
      <c r="BJ576" s="55"/>
      <c r="BK576" s="55"/>
      <c r="BL576" s="55"/>
      <c r="BT576" s="141"/>
      <c r="CN576" s="141"/>
      <c r="DG576" s="141"/>
    </row>
    <row r="577" spans="1:111" s="93" customFormat="1" x14ac:dyDescent="0.15">
      <c r="A577" s="11"/>
      <c r="B577" s="13"/>
      <c r="C577" s="12"/>
      <c r="D577" s="13"/>
      <c r="E577" s="13"/>
      <c r="F577" s="12"/>
      <c r="G577" s="55"/>
      <c r="H577" s="55"/>
      <c r="I577" s="55"/>
      <c r="J577" s="55"/>
      <c r="K577" s="55"/>
      <c r="L577" s="158"/>
      <c r="M577" s="10"/>
      <c r="N577" s="55"/>
      <c r="O577" s="55"/>
      <c r="P577" s="10"/>
      <c r="Q577" s="10"/>
      <c r="R577" s="155"/>
      <c r="S577" s="171"/>
      <c r="T577" s="161"/>
      <c r="U577" s="55"/>
      <c r="V577" s="55"/>
      <c r="W577" s="55"/>
      <c r="X577" s="155"/>
      <c r="Y577" s="171"/>
      <c r="Z577" s="165"/>
      <c r="AA577" s="10"/>
      <c r="AB577" s="55"/>
      <c r="AC577" s="55"/>
      <c r="AD577" s="55"/>
      <c r="AE577" s="55"/>
      <c r="AF577" s="55"/>
      <c r="AG577" s="167"/>
      <c r="AH577" s="55"/>
      <c r="AI577" s="55"/>
      <c r="AJ577" s="165"/>
      <c r="AK577" s="55"/>
      <c r="AL577" s="55"/>
      <c r="AM577" s="55"/>
      <c r="AN577" s="55"/>
      <c r="AO577" s="55"/>
      <c r="AP577" s="55"/>
      <c r="AQ577" s="55"/>
      <c r="AR577" s="55"/>
      <c r="AS577" s="165"/>
      <c r="AT577" s="55"/>
      <c r="AU577" s="55"/>
      <c r="AV577" s="55"/>
      <c r="AW577" s="55"/>
      <c r="AX577" s="55"/>
      <c r="AY577" s="55"/>
      <c r="AZ577" s="55"/>
      <c r="BA577" s="55"/>
      <c r="BB577" s="165"/>
      <c r="BC577" s="55"/>
      <c r="BD577" s="55"/>
      <c r="BE577" s="55"/>
      <c r="BF577" s="165"/>
      <c r="BG577" s="55"/>
      <c r="BH577" s="10"/>
      <c r="BI577" s="55"/>
      <c r="BJ577" s="55"/>
      <c r="BK577" s="55"/>
      <c r="BL577" s="55"/>
      <c r="BT577" s="141"/>
      <c r="CN577" s="141"/>
      <c r="DG577" s="141"/>
    </row>
    <row r="578" spans="1:111" s="93" customFormat="1" x14ac:dyDescent="0.15">
      <c r="A578" s="11"/>
      <c r="B578" s="13"/>
      <c r="C578" s="12"/>
      <c r="D578" s="13"/>
      <c r="E578" s="13"/>
      <c r="F578" s="12"/>
      <c r="G578" s="55"/>
      <c r="H578" s="55"/>
      <c r="I578" s="55"/>
      <c r="J578" s="55"/>
      <c r="K578" s="55"/>
      <c r="L578" s="158"/>
      <c r="M578" s="10"/>
      <c r="N578" s="55"/>
      <c r="O578" s="55"/>
      <c r="P578" s="10"/>
      <c r="Q578" s="10"/>
      <c r="R578" s="155"/>
      <c r="S578" s="171"/>
      <c r="T578" s="161"/>
      <c r="U578" s="55"/>
      <c r="V578" s="55"/>
      <c r="W578" s="55"/>
      <c r="X578" s="155"/>
      <c r="Y578" s="171"/>
      <c r="Z578" s="165"/>
      <c r="AA578" s="10"/>
      <c r="AB578" s="55"/>
      <c r="AC578" s="55"/>
      <c r="AD578" s="55"/>
      <c r="AE578" s="55"/>
      <c r="AF578" s="55"/>
      <c r="AG578" s="167"/>
      <c r="AH578" s="55"/>
      <c r="AI578" s="55"/>
      <c r="AJ578" s="165"/>
      <c r="AK578" s="55"/>
      <c r="AL578" s="55"/>
      <c r="AM578" s="55"/>
      <c r="AN578" s="55"/>
      <c r="AO578" s="55"/>
      <c r="AP578" s="55"/>
      <c r="AQ578" s="55"/>
      <c r="AR578" s="55"/>
      <c r="AS578" s="165"/>
      <c r="AT578" s="55"/>
      <c r="AU578" s="55"/>
      <c r="AV578" s="55"/>
      <c r="AW578" s="55"/>
      <c r="AX578" s="55"/>
      <c r="AY578" s="55"/>
      <c r="AZ578" s="55"/>
      <c r="BA578" s="55"/>
      <c r="BB578" s="165"/>
      <c r="BC578" s="55"/>
      <c r="BD578" s="55"/>
      <c r="BE578" s="55"/>
      <c r="BF578" s="165"/>
      <c r="BG578" s="55"/>
      <c r="BH578" s="10"/>
      <c r="BI578" s="55"/>
      <c r="BJ578" s="55"/>
      <c r="BK578" s="55"/>
      <c r="BL578" s="55"/>
      <c r="BT578" s="141"/>
      <c r="CN578" s="141"/>
      <c r="DG578" s="141"/>
    </row>
    <row r="579" spans="1:111" s="93" customFormat="1" x14ac:dyDescent="0.15">
      <c r="A579" s="11"/>
      <c r="B579" s="13"/>
      <c r="C579" s="12"/>
      <c r="D579" s="13"/>
      <c r="E579" s="13"/>
      <c r="F579" s="12"/>
      <c r="G579" s="55"/>
      <c r="H579" s="55"/>
      <c r="I579" s="55"/>
      <c r="J579" s="55"/>
      <c r="K579" s="55"/>
      <c r="L579" s="158"/>
      <c r="M579" s="10"/>
      <c r="N579" s="55"/>
      <c r="O579" s="55"/>
      <c r="P579" s="10"/>
      <c r="Q579" s="10"/>
      <c r="R579" s="155"/>
      <c r="S579" s="171"/>
      <c r="T579" s="161"/>
      <c r="U579" s="55"/>
      <c r="V579" s="55"/>
      <c r="W579" s="55"/>
      <c r="X579" s="155"/>
      <c r="Y579" s="171"/>
      <c r="Z579" s="165"/>
      <c r="AA579" s="10"/>
      <c r="AB579" s="55"/>
      <c r="AC579" s="55"/>
      <c r="AD579" s="55"/>
      <c r="AE579" s="55"/>
      <c r="AF579" s="55"/>
      <c r="AG579" s="167"/>
      <c r="AH579" s="55"/>
      <c r="AI579" s="55"/>
      <c r="AJ579" s="165"/>
      <c r="AK579" s="55"/>
      <c r="AL579" s="55"/>
      <c r="AM579" s="55"/>
      <c r="AN579" s="55"/>
      <c r="AO579" s="55"/>
      <c r="AP579" s="55"/>
      <c r="AQ579" s="55"/>
      <c r="AR579" s="55"/>
      <c r="AS579" s="165"/>
      <c r="AT579" s="55"/>
      <c r="AU579" s="55"/>
      <c r="AV579" s="55"/>
      <c r="AW579" s="55"/>
      <c r="AX579" s="55"/>
      <c r="AY579" s="55"/>
      <c r="AZ579" s="55"/>
      <c r="BA579" s="55"/>
      <c r="BB579" s="165"/>
      <c r="BC579" s="55"/>
      <c r="BD579" s="55"/>
      <c r="BE579" s="55"/>
      <c r="BF579" s="165"/>
      <c r="BG579" s="55"/>
      <c r="BH579" s="10"/>
      <c r="BI579" s="55"/>
      <c r="BJ579" s="55"/>
      <c r="BK579" s="55"/>
      <c r="BL579" s="55"/>
      <c r="BT579" s="141"/>
      <c r="CN579" s="141"/>
      <c r="DG579" s="141"/>
    </row>
    <row r="580" spans="1:111" s="93" customFormat="1" x14ac:dyDescent="0.15">
      <c r="A580" s="11"/>
      <c r="B580" s="13"/>
      <c r="C580" s="12"/>
      <c r="D580" s="13"/>
      <c r="E580" s="13"/>
      <c r="F580" s="12"/>
      <c r="G580" s="55"/>
      <c r="H580" s="55"/>
      <c r="I580" s="55"/>
      <c r="J580" s="55"/>
      <c r="K580" s="55"/>
      <c r="L580" s="158"/>
      <c r="M580" s="10"/>
      <c r="N580" s="55"/>
      <c r="O580" s="55"/>
      <c r="P580" s="10"/>
      <c r="Q580" s="10"/>
      <c r="R580" s="155"/>
      <c r="S580" s="171"/>
      <c r="T580" s="161"/>
      <c r="U580" s="55"/>
      <c r="V580" s="55"/>
      <c r="W580" s="55"/>
      <c r="X580" s="155"/>
      <c r="Y580" s="171"/>
      <c r="Z580" s="165"/>
      <c r="AA580" s="10"/>
      <c r="AB580" s="55"/>
      <c r="AC580" s="55"/>
      <c r="AD580" s="55"/>
      <c r="AE580" s="55"/>
      <c r="AF580" s="55"/>
      <c r="AG580" s="167"/>
      <c r="AH580" s="55"/>
      <c r="AI580" s="55"/>
      <c r="AJ580" s="165"/>
      <c r="AK580" s="55"/>
      <c r="AL580" s="55"/>
      <c r="AM580" s="55"/>
      <c r="AN580" s="55"/>
      <c r="AO580" s="55"/>
      <c r="AP580" s="55"/>
      <c r="AQ580" s="55"/>
      <c r="AR580" s="55"/>
      <c r="AS580" s="165"/>
      <c r="AT580" s="55"/>
      <c r="AU580" s="55"/>
      <c r="AV580" s="55"/>
      <c r="AW580" s="55"/>
      <c r="AX580" s="55"/>
      <c r="AY580" s="55"/>
      <c r="AZ580" s="55"/>
      <c r="BA580" s="55"/>
      <c r="BB580" s="165"/>
      <c r="BC580" s="55"/>
      <c r="BD580" s="55"/>
      <c r="BE580" s="55"/>
      <c r="BF580" s="165"/>
      <c r="BG580" s="55"/>
      <c r="BH580" s="10"/>
      <c r="BI580" s="55"/>
      <c r="BJ580" s="55"/>
      <c r="BK580" s="55"/>
      <c r="BL580" s="55"/>
      <c r="BT580" s="141"/>
      <c r="CN580" s="141"/>
      <c r="DG580" s="141"/>
    </row>
    <row r="581" spans="1:111" s="93" customFormat="1" x14ac:dyDescent="0.15">
      <c r="A581" s="11"/>
      <c r="B581" s="13"/>
      <c r="C581" s="12"/>
      <c r="D581" s="13"/>
      <c r="E581" s="13"/>
      <c r="F581" s="12"/>
      <c r="G581" s="55"/>
      <c r="H581" s="55"/>
      <c r="I581" s="55"/>
      <c r="J581" s="55"/>
      <c r="K581" s="55"/>
      <c r="L581" s="158"/>
      <c r="M581" s="10"/>
      <c r="N581" s="55"/>
      <c r="O581" s="55"/>
      <c r="P581" s="10"/>
      <c r="Q581" s="10"/>
      <c r="R581" s="155"/>
      <c r="S581" s="171"/>
      <c r="T581" s="161"/>
      <c r="U581" s="55"/>
      <c r="V581" s="55"/>
      <c r="W581" s="55"/>
      <c r="X581" s="155"/>
      <c r="Y581" s="171"/>
      <c r="Z581" s="165"/>
      <c r="AA581" s="10"/>
      <c r="AB581" s="55"/>
      <c r="AC581" s="55"/>
      <c r="AD581" s="55"/>
      <c r="AE581" s="55"/>
      <c r="AF581" s="55"/>
      <c r="AG581" s="167"/>
      <c r="AH581" s="55"/>
      <c r="AI581" s="55"/>
      <c r="AJ581" s="165"/>
      <c r="AK581" s="55"/>
      <c r="AL581" s="55"/>
      <c r="AM581" s="55"/>
      <c r="AN581" s="55"/>
      <c r="AO581" s="55"/>
      <c r="AP581" s="55"/>
      <c r="AQ581" s="55"/>
      <c r="AR581" s="55"/>
      <c r="AS581" s="165"/>
      <c r="AT581" s="55"/>
      <c r="AU581" s="55"/>
      <c r="AV581" s="55"/>
      <c r="AW581" s="55"/>
      <c r="AX581" s="55"/>
      <c r="AY581" s="55"/>
      <c r="AZ581" s="55"/>
      <c r="BA581" s="55"/>
      <c r="BB581" s="165"/>
      <c r="BC581" s="55"/>
      <c r="BD581" s="55"/>
      <c r="BE581" s="55"/>
      <c r="BF581" s="165"/>
      <c r="BG581" s="55"/>
      <c r="BH581" s="10"/>
      <c r="BI581" s="55"/>
      <c r="BJ581" s="55"/>
      <c r="BK581" s="55"/>
      <c r="BL581" s="55"/>
      <c r="BT581" s="141"/>
      <c r="CN581" s="141"/>
      <c r="DG581" s="141"/>
    </row>
    <row r="582" spans="1:111" s="93" customFormat="1" x14ac:dyDescent="0.15">
      <c r="A582" s="11"/>
      <c r="B582" s="13"/>
      <c r="C582" s="12"/>
      <c r="D582" s="13"/>
      <c r="E582" s="13"/>
      <c r="F582" s="12"/>
      <c r="G582" s="55"/>
      <c r="H582" s="55"/>
      <c r="I582" s="55"/>
      <c r="J582" s="55"/>
      <c r="K582" s="55"/>
      <c r="L582" s="158"/>
      <c r="M582" s="10"/>
      <c r="N582" s="55"/>
      <c r="O582" s="55"/>
      <c r="P582" s="10"/>
      <c r="Q582" s="10"/>
      <c r="R582" s="155"/>
      <c r="S582" s="171"/>
      <c r="T582" s="161"/>
      <c r="U582" s="55"/>
      <c r="V582" s="55"/>
      <c r="W582" s="55"/>
      <c r="X582" s="155"/>
      <c r="Y582" s="171"/>
      <c r="Z582" s="165"/>
      <c r="AA582" s="10"/>
      <c r="AB582" s="55"/>
      <c r="AC582" s="55"/>
      <c r="AD582" s="55"/>
      <c r="AE582" s="55"/>
      <c r="AF582" s="55"/>
      <c r="AG582" s="167"/>
      <c r="AH582" s="55"/>
      <c r="AI582" s="55"/>
      <c r="AJ582" s="165"/>
      <c r="AK582" s="55"/>
      <c r="AL582" s="55"/>
      <c r="AM582" s="55"/>
      <c r="AN582" s="55"/>
      <c r="AO582" s="55"/>
      <c r="AP582" s="55"/>
      <c r="AQ582" s="55"/>
      <c r="AR582" s="55"/>
      <c r="AS582" s="165"/>
      <c r="AT582" s="55"/>
      <c r="AU582" s="55"/>
      <c r="AV582" s="55"/>
      <c r="AW582" s="55"/>
      <c r="AX582" s="55"/>
      <c r="AY582" s="55"/>
      <c r="AZ582" s="55"/>
      <c r="BA582" s="55"/>
      <c r="BB582" s="165"/>
      <c r="BC582" s="55"/>
      <c r="BD582" s="55"/>
      <c r="BE582" s="55"/>
      <c r="BF582" s="165"/>
      <c r="BG582" s="55"/>
      <c r="BH582" s="10"/>
      <c r="BI582" s="55"/>
      <c r="BJ582" s="55"/>
      <c r="BK582" s="55"/>
      <c r="BL582" s="55"/>
      <c r="BT582" s="141"/>
      <c r="CN582" s="141"/>
      <c r="DG582" s="141"/>
    </row>
    <row r="583" spans="1:111" s="93" customFormat="1" x14ac:dyDescent="0.15">
      <c r="A583" s="11"/>
      <c r="B583" s="13"/>
      <c r="C583" s="12"/>
      <c r="D583" s="13"/>
      <c r="E583" s="13"/>
      <c r="F583" s="12"/>
      <c r="G583" s="55"/>
      <c r="H583" s="55"/>
      <c r="I583" s="55"/>
      <c r="J583" s="55"/>
      <c r="K583" s="55"/>
      <c r="L583" s="158"/>
      <c r="M583" s="10"/>
      <c r="N583" s="55"/>
      <c r="O583" s="55"/>
      <c r="P583" s="10"/>
      <c r="Q583" s="10"/>
      <c r="R583" s="155"/>
      <c r="S583" s="171"/>
      <c r="T583" s="161"/>
      <c r="U583" s="55"/>
      <c r="V583" s="55"/>
      <c r="W583" s="55"/>
      <c r="X583" s="155"/>
      <c r="Y583" s="171"/>
      <c r="Z583" s="165"/>
      <c r="AA583" s="10"/>
      <c r="AB583" s="55"/>
      <c r="AC583" s="55"/>
      <c r="AD583" s="55"/>
      <c r="AE583" s="55"/>
      <c r="AF583" s="55"/>
      <c r="AG583" s="167"/>
      <c r="AH583" s="55"/>
      <c r="AI583" s="55"/>
      <c r="AJ583" s="165"/>
      <c r="AK583" s="55"/>
      <c r="AL583" s="55"/>
      <c r="AM583" s="55"/>
      <c r="AN583" s="55"/>
      <c r="AO583" s="55"/>
      <c r="AP583" s="55"/>
      <c r="AQ583" s="55"/>
      <c r="AR583" s="55"/>
      <c r="AS583" s="165"/>
      <c r="AT583" s="55"/>
      <c r="AU583" s="55"/>
      <c r="AV583" s="55"/>
      <c r="AW583" s="55"/>
      <c r="AX583" s="55"/>
      <c r="AY583" s="55"/>
      <c r="AZ583" s="55"/>
      <c r="BA583" s="55"/>
      <c r="BB583" s="165"/>
      <c r="BC583" s="55"/>
      <c r="BD583" s="55"/>
      <c r="BE583" s="55"/>
      <c r="BF583" s="165"/>
      <c r="BG583" s="55"/>
      <c r="BH583" s="10"/>
      <c r="BI583" s="55"/>
      <c r="BJ583" s="55"/>
      <c r="BK583" s="55"/>
      <c r="BL583" s="55"/>
      <c r="BT583" s="141"/>
      <c r="CN583" s="141"/>
      <c r="DG583" s="141"/>
    </row>
    <row r="584" spans="1:111" s="93" customFormat="1" x14ac:dyDescent="0.15">
      <c r="A584" s="11"/>
      <c r="B584" s="13"/>
      <c r="C584" s="12"/>
      <c r="D584" s="13"/>
      <c r="E584" s="13"/>
      <c r="F584" s="12"/>
      <c r="G584" s="55"/>
      <c r="H584" s="55"/>
      <c r="I584" s="55"/>
      <c r="J584" s="55"/>
      <c r="K584" s="55"/>
      <c r="L584" s="158"/>
      <c r="M584" s="10"/>
      <c r="N584" s="55"/>
      <c r="O584" s="55"/>
      <c r="P584" s="10"/>
      <c r="Q584" s="10"/>
      <c r="R584" s="155"/>
      <c r="S584" s="171"/>
      <c r="T584" s="161"/>
      <c r="U584" s="55"/>
      <c r="V584" s="55"/>
      <c r="W584" s="55"/>
      <c r="X584" s="155"/>
      <c r="Y584" s="171"/>
      <c r="Z584" s="165"/>
      <c r="AA584" s="10"/>
      <c r="AB584" s="55"/>
      <c r="AC584" s="55"/>
      <c r="AD584" s="55"/>
      <c r="AE584" s="55"/>
      <c r="AF584" s="55"/>
      <c r="AG584" s="167"/>
      <c r="AH584" s="55"/>
      <c r="AI584" s="55"/>
      <c r="AJ584" s="165"/>
      <c r="AK584" s="55"/>
      <c r="AL584" s="55"/>
      <c r="AM584" s="55"/>
      <c r="AN584" s="55"/>
      <c r="AO584" s="55"/>
      <c r="AP584" s="55"/>
      <c r="AQ584" s="55"/>
      <c r="AR584" s="55"/>
      <c r="AS584" s="165"/>
      <c r="AT584" s="55"/>
      <c r="AU584" s="55"/>
      <c r="AV584" s="55"/>
      <c r="AW584" s="55"/>
      <c r="AX584" s="55"/>
      <c r="AY584" s="55"/>
      <c r="AZ584" s="55"/>
      <c r="BA584" s="55"/>
      <c r="BB584" s="165"/>
      <c r="BC584" s="55"/>
      <c r="BD584" s="55"/>
      <c r="BE584" s="55"/>
      <c r="BF584" s="165"/>
      <c r="BG584" s="55"/>
      <c r="BH584" s="10"/>
      <c r="BI584" s="55"/>
      <c r="BJ584" s="55"/>
      <c r="BK584" s="55"/>
      <c r="BL584" s="55"/>
      <c r="BT584" s="141"/>
      <c r="CN584" s="141"/>
      <c r="DG584" s="141"/>
    </row>
    <row r="585" spans="1:111" s="93" customFormat="1" x14ac:dyDescent="0.15">
      <c r="A585" s="11"/>
      <c r="B585" s="13"/>
      <c r="C585" s="12"/>
      <c r="D585" s="13"/>
      <c r="E585" s="13"/>
      <c r="F585" s="12"/>
      <c r="G585" s="55"/>
      <c r="H585" s="55"/>
      <c r="I585" s="55"/>
      <c r="J585" s="55"/>
      <c r="K585" s="55"/>
      <c r="L585" s="158"/>
      <c r="M585" s="10"/>
      <c r="N585" s="55"/>
      <c r="O585" s="55"/>
      <c r="P585" s="10"/>
      <c r="Q585" s="10"/>
      <c r="R585" s="155"/>
      <c r="S585" s="171"/>
      <c r="T585" s="161"/>
      <c r="U585" s="55"/>
      <c r="V585" s="55"/>
      <c r="W585" s="55"/>
      <c r="X585" s="155"/>
      <c r="Y585" s="171"/>
      <c r="Z585" s="165"/>
      <c r="AA585" s="10"/>
      <c r="AB585" s="55"/>
      <c r="AC585" s="55"/>
      <c r="AD585" s="55"/>
      <c r="AE585" s="55"/>
      <c r="AF585" s="55"/>
      <c r="AG585" s="167"/>
      <c r="AH585" s="55"/>
      <c r="AI585" s="55"/>
      <c r="AJ585" s="165"/>
      <c r="AK585" s="55"/>
      <c r="AL585" s="55"/>
      <c r="AM585" s="55"/>
      <c r="AN585" s="55"/>
      <c r="AO585" s="55"/>
      <c r="AP585" s="55"/>
      <c r="AQ585" s="55"/>
      <c r="AR585" s="55"/>
      <c r="AS585" s="165"/>
      <c r="AT585" s="55"/>
      <c r="AU585" s="55"/>
      <c r="AV585" s="55"/>
      <c r="AW585" s="55"/>
      <c r="AX585" s="55"/>
      <c r="AY585" s="55"/>
      <c r="AZ585" s="55"/>
      <c r="BA585" s="55"/>
      <c r="BB585" s="165"/>
      <c r="BC585" s="55"/>
      <c r="BD585" s="55"/>
      <c r="BE585" s="55"/>
      <c r="BF585" s="165"/>
      <c r="BG585" s="55"/>
      <c r="BH585" s="10"/>
      <c r="BI585" s="55"/>
      <c r="BJ585" s="55"/>
      <c r="BK585" s="55"/>
      <c r="BL585" s="55"/>
      <c r="BT585" s="141"/>
      <c r="CN585" s="141"/>
      <c r="DG585" s="141"/>
    </row>
    <row r="586" spans="1:111" s="93" customFormat="1" x14ac:dyDescent="0.15">
      <c r="A586" s="11"/>
      <c r="B586" s="13"/>
      <c r="C586" s="12"/>
      <c r="D586" s="13"/>
      <c r="E586" s="13"/>
      <c r="F586" s="12"/>
      <c r="G586" s="55"/>
      <c r="H586" s="55"/>
      <c r="I586" s="55"/>
      <c r="J586" s="55"/>
      <c r="K586" s="55"/>
      <c r="L586" s="158"/>
      <c r="M586" s="10"/>
      <c r="N586" s="55"/>
      <c r="O586" s="55"/>
      <c r="P586" s="10"/>
      <c r="Q586" s="10"/>
      <c r="R586" s="155"/>
      <c r="S586" s="171"/>
      <c r="T586" s="161"/>
      <c r="U586" s="55"/>
      <c r="V586" s="55"/>
      <c r="W586" s="55"/>
      <c r="X586" s="155"/>
      <c r="Y586" s="171"/>
      <c r="Z586" s="165"/>
      <c r="AA586" s="10"/>
      <c r="AB586" s="55"/>
      <c r="AC586" s="55"/>
      <c r="AD586" s="55"/>
      <c r="AE586" s="55"/>
      <c r="AF586" s="55"/>
      <c r="AG586" s="167"/>
      <c r="AH586" s="55"/>
      <c r="AI586" s="55"/>
      <c r="AJ586" s="165"/>
      <c r="AK586" s="55"/>
      <c r="AL586" s="55"/>
      <c r="AM586" s="55"/>
      <c r="AN586" s="55"/>
      <c r="AO586" s="55"/>
      <c r="AP586" s="55"/>
      <c r="AQ586" s="55"/>
      <c r="AR586" s="55"/>
      <c r="AS586" s="165"/>
      <c r="AT586" s="55"/>
      <c r="AU586" s="55"/>
      <c r="AV586" s="55"/>
      <c r="AW586" s="55"/>
      <c r="AX586" s="55"/>
      <c r="AY586" s="55"/>
      <c r="AZ586" s="55"/>
      <c r="BA586" s="55"/>
      <c r="BB586" s="165"/>
      <c r="BC586" s="55"/>
      <c r="BD586" s="55"/>
      <c r="BE586" s="55"/>
      <c r="BF586" s="165"/>
      <c r="BG586" s="55"/>
      <c r="BH586" s="10"/>
      <c r="BI586" s="55"/>
      <c r="BJ586" s="55"/>
      <c r="BK586" s="55"/>
      <c r="BL586" s="55"/>
      <c r="BT586" s="141"/>
      <c r="CN586" s="141"/>
      <c r="DG586" s="141"/>
    </row>
    <row r="587" spans="1:111" s="93" customFormat="1" x14ac:dyDescent="0.15">
      <c r="A587" s="11"/>
      <c r="B587" s="13"/>
      <c r="C587" s="12"/>
      <c r="D587" s="13"/>
      <c r="E587" s="13"/>
      <c r="F587" s="12"/>
      <c r="G587" s="55"/>
      <c r="H587" s="55"/>
      <c r="I587" s="55"/>
      <c r="J587" s="55"/>
      <c r="K587" s="55"/>
      <c r="L587" s="158"/>
      <c r="M587" s="10"/>
      <c r="N587" s="55"/>
      <c r="O587" s="55"/>
      <c r="P587" s="10"/>
      <c r="Q587" s="10"/>
      <c r="R587" s="155"/>
      <c r="S587" s="171"/>
      <c r="T587" s="161"/>
      <c r="U587" s="55"/>
      <c r="V587" s="55"/>
      <c r="W587" s="55"/>
      <c r="X587" s="155"/>
      <c r="Y587" s="171"/>
      <c r="Z587" s="165"/>
      <c r="AA587" s="10"/>
      <c r="AB587" s="55"/>
      <c r="AC587" s="55"/>
      <c r="AD587" s="55"/>
      <c r="AE587" s="55"/>
      <c r="AF587" s="55"/>
      <c r="AG587" s="167"/>
      <c r="AH587" s="55"/>
      <c r="AI587" s="55"/>
      <c r="AJ587" s="165"/>
      <c r="AK587" s="55"/>
      <c r="AL587" s="55"/>
      <c r="AM587" s="55"/>
      <c r="AN587" s="55"/>
      <c r="AO587" s="55"/>
      <c r="AP587" s="55"/>
      <c r="AQ587" s="55"/>
      <c r="AR587" s="55"/>
      <c r="AS587" s="165"/>
      <c r="AT587" s="55"/>
      <c r="AU587" s="55"/>
      <c r="AV587" s="55"/>
      <c r="AW587" s="55"/>
      <c r="AX587" s="55"/>
      <c r="AY587" s="55"/>
      <c r="AZ587" s="55"/>
      <c r="BA587" s="55"/>
      <c r="BB587" s="165"/>
      <c r="BC587" s="55"/>
      <c r="BD587" s="55"/>
      <c r="BE587" s="55"/>
      <c r="BF587" s="165"/>
      <c r="BG587" s="55"/>
      <c r="BH587" s="10"/>
      <c r="BI587" s="55"/>
      <c r="BJ587" s="55"/>
      <c r="BK587" s="55"/>
      <c r="BL587" s="55"/>
      <c r="BT587" s="141"/>
      <c r="CN587" s="141"/>
      <c r="DG587" s="141"/>
    </row>
    <row r="588" spans="1:111" s="93" customFormat="1" x14ac:dyDescent="0.15">
      <c r="A588" s="11"/>
      <c r="B588" s="13"/>
      <c r="C588" s="12"/>
      <c r="D588" s="13"/>
      <c r="E588" s="13"/>
      <c r="F588" s="12"/>
      <c r="G588" s="55"/>
      <c r="H588" s="55"/>
      <c r="I588" s="55"/>
      <c r="J588" s="55"/>
      <c r="K588" s="55"/>
      <c r="L588" s="158"/>
      <c r="M588" s="10"/>
      <c r="N588" s="55"/>
      <c r="O588" s="55"/>
      <c r="P588" s="10"/>
      <c r="Q588" s="10"/>
      <c r="R588" s="155"/>
      <c r="S588" s="171"/>
      <c r="T588" s="161"/>
      <c r="U588" s="55"/>
      <c r="V588" s="55"/>
      <c r="W588" s="55"/>
      <c r="X588" s="155"/>
      <c r="Y588" s="171"/>
      <c r="Z588" s="165"/>
      <c r="AA588" s="10"/>
      <c r="AB588" s="55"/>
      <c r="AC588" s="55"/>
      <c r="AD588" s="55"/>
      <c r="AE588" s="55"/>
      <c r="AF588" s="55"/>
      <c r="AG588" s="167"/>
      <c r="AH588" s="55"/>
      <c r="AI588" s="55"/>
      <c r="AJ588" s="165"/>
      <c r="AK588" s="55"/>
      <c r="AL588" s="55"/>
      <c r="AM588" s="55"/>
      <c r="AN588" s="55"/>
      <c r="AO588" s="55"/>
      <c r="AP588" s="55"/>
      <c r="AQ588" s="55"/>
      <c r="AR588" s="55"/>
      <c r="AS588" s="165"/>
      <c r="AT588" s="55"/>
      <c r="AU588" s="55"/>
      <c r="AV588" s="55"/>
      <c r="AW588" s="55"/>
      <c r="AX588" s="55"/>
      <c r="AY588" s="55"/>
      <c r="AZ588" s="55"/>
      <c r="BA588" s="55"/>
      <c r="BB588" s="165"/>
      <c r="BC588" s="55"/>
      <c r="BD588" s="55"/>
      <c r="BE588" s="55"/>
      <c r="BF588" s="165"/>
      <c r="BG588" s="55"/>
      <c r="BH588" s="10"/>
      <c r="BI588" s="55"/>
      <c r="BJ588" s="55"/>
      <c r="BK588" s="55"/>
      <c r="BL588" s="55"/>
      <c r="BT588" s="141"/>
      <c r="CN588" s="141"/>
      <c r="DG588" s="141"/>
    </row>
    <row r="589" spans="1:111" s="93" customFormat="1" x14ac:dyDescent="0.15">
      <c r="A589" s="11"/>
      <c r="B589" s="13"/>
      <c r="C589" s="12"/>
      <c r="D589" s="13"/>
      <c r="E589" s="13"/>
      <c r="F589" s="12"/>
      <c r="G589" s="55"/>
      <c r="H589" s="55"/>
      <c r="I589" s="55"/>
      <c r="J589" s="55"/>
      <c r="K589" s="55"/>
      <c r="L589" s="158"/>
      <c r="M589" s="10"/>
      <c r="N589" s="55"/>
      <c r="O589" s="55"/>
      <c r="P589" s="10"/>
      <c r="Q589" s="10"/>
      <c r="R589" s="155"/>
      <c r="S589" s="171"/>
      <c r="T589" s="161"/>
      <c r="U589" s="55"/>
      <c r="V589" s="55"/>
      <c r="W589" s="55"/>
      <c r="X589" s="155"/>
      <c r="Y589" s="171"/>
      <c r="Z589" s="165"/>
      <c r="AA589" s="10"/>
      <c r="AB589" s="55"/>
      <c r="AC589" s="55"/>
      <c r="AD589" s="55"/>
      <c r="AE589" s="55"/>
      <c r="AF589" s="55"/>
      <c r="AG589" s="167"/>
      <c r="AH589" s="55"/>
      <c r="AI589" s="55"/>
      <c r="AJ589" s="165"/>
      <c r="AK589" s="55"/>
      <c r="AL589" s="55"/>
      <c r="AM589" s="55"/>
      <c r="AN589" s="55"/>
      <c r="AO589" s="55"/>
      <c r="AP589" s="55"/>
      <c r="AQ589" s="55"/>
      <c r="AR589" s="55"/>
      <c r="AS589" s="165"/>
      <c r="AT589" s="55"/>
      <c r="AU589" s="55"/>
      <c r="AV589" s="55"/>
      <c r="AW589" s="55"/>
      <c r="AX589" s="55"/>
      <c r="AY589" s="55"/>
      <c r="AZ589" s="55"/>
      <c r="BA589" s="55"/>
      <c r="BB589" s="165"/>
      <c r="BC589" s="55"/>
      <c r="BD589" s="55"/>
      <c r="BE589" s="55"/>
      <c r="BF589" s="165"/>
      <c r="BG589" s="55"/>
      <c r="BH589" s="10"/>
      <c r="BI589" s="55"/>
      <c r="BJ589" s="55"/>
      <c r="BK589" s="55"/>
      <c r="BL589" s="55"/>
      <c r="BT589" s="141"/>
      <c r="CN589" s="141"/>
      <c r="DG589" s="141"/>
    </row>
    <row r="590" spans="1:111" s="93" customFormat="1" x14ac:dyDescent="0.15">
      <c r="A590" s="11"/>
      <c r="B590" s="13"/>
      <c r="C590" s="12"/>
      <c r="D590" s="13"/>
      <c r="E590" s="13"/>
      <c r="F590" s="12"/>
      <c r="G590" s="55"/>
      <c r="H590" s="55"/>
      <c r="I590" s="55"/>
      <c r="J590" s="55"/>
      <c r="K590" s="55"/>
      <c r="L590" s="158"/>
      <c r="M590" s="10"/>
      <c r="N590" s="55"/>
      <c r="O590" s="55"/>
      <c r="P590" s="10"/>
      <c r="Q590" s="10"/>
      <c r="R590" s="155"/>
      <c r="S590" s="171"/>
      <c r="T590" s="161"/>
      <c r="U590" s="55"/>
      <c r="V590" s="55"/>
      <c r="W590" s="55"/>
      <c r="X590" s="155"/>
      <c r="Y590" s="171"/>
      <c r="Z590" s="165"/>
      <c r="AA590" s="10"/>
      <c r="AB590" s="55"/>
      <c r="AC590" s="55"/>
      <c r="AD590" s="55"/>
      <c r="AE590" s="55"/>
      <c r="AF590" s="55"/>
      <c r="AG590" s="167"/>
      <c r="AH590" s="55"/>
      <c r="AI590" s="55"/>
      <c r="AJ590" s="165"/>
      <c r="AK590" s="55"/>
      <c r="AL590" s="55"/>
      <c r="AM590" s="55"/>
      <c r="AN590" s="55"/>
      <c r="AO590" s="55"/>
      <c r="AP590" s="55"/>
      <c r="AQ590" s="55"/>
      <c r="AR590" s="55"/>
      <c r="AS590" s="165"/>
      <c r="AT590" s="55"/>
      <c r="AU590" s="55"/>
      <c r="AV590" s="55"/>
      <c r="AW590" s="55"/>
      <c r="AX590" s="55"/>
      <c r="AY590" s="55"/>
      <c r="AZ590" s="55"/>
      <c r="BA590" s="55"/>
      <c r="BB590" s="165"/>
      <c r="BC590" s="55"/>
      <c r="BD590" s="55"/>
      <c r="BE590" s="55"/>
      <c r="BF590" s="165"/>
      <c r="BG590" s="55"/>
      <c r="BH590" s="10"/>
      <c r="BI590" s="55"/>
      <c r="BJ590" s="55"/>
      <c r="BK590" s="55"/>
      <c r="BL590" s="55"/>
      <c r="BT590" s="141"/>
      <c r="CN590" s="141"/>
      <c r="DG590" s="141"/>
    </row>
    <row r="591" spans="1:111" s="93" customFormat="1" x14ac:dyDescent="0.15">
      <c r="A591" s="11"/>
      <c r="B591" s="13"/>
      <c r="C591" s="12"/>
      <c r="D591" s="13"/>
      <c r="E591" s="13"/>
      <c r="F591" s="12"/>
      <c r="G591" s="55"/>
      <c r="H591" s="55"/>
      <c r="I591" s="55"/>
      <c r="J591" s="55"/>
      <c r="K591" s="55"/>
      <c r="L591" s="158"/>
      <c r="M591" s="10"/>
      <c r="N591" s="55"/>
      <c r="O591" s="55"/>
      <c r="P591" s="10"/>
      <c r="Q591" s="10"/>
      <c r="R591" s="155"/>
      <c r="S591" s="171"/>
      <c r="T591" s="161"/>
      <c r="U591" s="55"/>
      <c r="V591" s="55"/>
      <c r="W591" s="55"/>
      <c r="X591" s="155"/>
      <c r="Y591" s="171"/>
      <c r="Z591" s="165"/>
      <c r="AA591" s="10"/>
      <c r="AB591" s="55"/>
      <c r="AC591" s="55"/>
      <c r="AD591" s="55"/>
      <c r="AE591" s="55"/>
      <c r="AF591" s="55"/>
      <c r="AG591" s="167"/>
      <c r="AH591" s="55"/>
      <c r="AI591" s="55"/>
      <c r="AJ591" s="165"/>
      <c r="AK591" s="55"/>
      <c r="AL591" s="55"/>
      <c r="AM591" s="55"/>
      <c r="AN591" s="55"/>
      <c r="AO591" s="55"/>
      <c r="AP591" s="55"/>
      <c r="AQ591" s="55"/>
      <c r="AR591" s="55"/>
      <c r="AS591" s="165"/>
      <c r="AT591" s="55"/>
      <c r="AU591" s="55"/>
      <c r="AV591" s="55"/>
      <c r="AW591" s="55"/>
      <c r="AX591" s="55"/>
      <c r="AY591" s="55"/>
      <c r="AZ591" s="55"/>
      <c r="BA591" s="55"/>
      <c r="BB591" s="165"/>
      <c r="BC591" s="55"/>
      <c r="BD591" s="55"/>
      <c r="BE591" s="55"/>
      <c r="BF591" s="165"/>
      <c r="BG591" s="55"/>
      <c r="BH591" s="10"/>
      <c r="BI591" s="55"/>
      <c r="BJ591" s="55"/>
      <c r="BK591" s="55"/>
      <c r="BL591" s="55"/>
      <c r="BT591" s="141"/>
      <c r="CN591" s="141"/>
      <c r="DG591" s="141"/>
    </row>
    <row r="592" spans="1:111" s="93" customFormat="1" x14ac:dyDescent="0.15">
      <c r="A592" s="11"/>
      <c r="B592" s="13"/>
      <c r="C592" s="12"/>
      <c r="D592" s="13"/>
      <c r="E592" s="13"/>
      <c r="F592" s="12"/>
      <c r="G592" s="55"/>
      <c r="H592" s="55"/>
      <c r="I592" s="55"/>
      <c r="J592" s="55"/>
      <c r="K592" s="55"/>
      <c r="L592" s="158"/>
      <c r="M592" s="10"/>
      <c r="N592" s="55"/>
      <c r="O592" s="55"/>
      <c r="P592" s="10"/>
      <c r="Q592" s="10"/>
      <c r="R592" s="155"/>
      <c r="S592" s="171"/>
      <c r="T592" s="161"/>
      <c r="U592" s="55"/>
      <c r="V592" s="55"/>
      <c r="W592" s="55"/>
      <c r="X592" s="155"/>
      <c r="Y592" s="171"/>
      <c r="Z592" s="165"/>
      <c r="AA592" s="10"/>
      <c r="AB592" s="55"/>
      <c r="AC592" s="55"/>
      <c r="AD592" s="55"/>
      <c r="AE592" s="55"/>
      <c r="AF592" s="55"/>
      <c r="AG592" s="167"/>
      <c r="AH592" s="55"/>
      <c r="AI592" s="55"/>
      <c r="AJ592" s="165"/>
      <c r="AK592" s="55"/>
      <c r="AL592" s="55"/>
      <c r="AM592" s="55"/>
      <c r="AN592" s="55"/>
      <c r="AO592" s="55"/>
      <c r="AP592" s="55"/>
      <c r="AQ592" s="55"/>
      <c r="AR592" s="55"/>
      <c r="AS592" s="165"/>
      <c r="AT592" s="55"/>
      <c r="AU592" s="55"/>
      <c r="AV592" s="55"/>
      <c r="AW592" s="55"/>
      <c r="AX592" s="55"/>
      <c r="AY592" s="55"/>
      <c r="AZ592" s="55"/>
      <c r="BA592" s="55"/>
      <c r="BB592" s="165"/>
      <c r="BC592" s="55"/>
      <c r="BD592" s="55"/>
      <c r="BE592" s="55"/>
      <c r="BF592" s="165"/>
      <c r="BG592" s="55"/>
      <c r="BH592" s="10"/>
      <c r="BI592" s="55"/>
      <c r="BJ592" s="55"/>
      <c r="BK592" s="55"/>
      <c r="BL592" s="55"/>
      <c r="BT592" s="141"/>
      <c r="CN592" s="141"/>
      <c r="DG592" s="141"/>
    </row>
    <row r="593" spans="1:111" s="93" customFormat="1" x14ac:dyDescent="0.15">
      <c r="A593" s="11"/>
      <c r="B593" s="13"/>
      <c r="C593" s="12"/>
      <c r="D593" s="13"/>
      <c r="E593" s="13"/>
      <c r="F593" s="12"/>
      <c r="G593" s="55"/>
      <c r="H593" s="55"/>
      <c r="I593" s="55"/>
      <c r="J593" s="55"/>
      <c r="K593" s="55"/>
      <c r="L593" s="158"/>
      <c r="M593" s="10"/>
      <c r="N593" s="55"/>
      <c r="O593" s="55"/>
      <c r="P593" s="10"/>
      <c r="Q593" s="10"/>
      <c r="R593" s="155"/>
      <c r="S593" s="171"/>
      <c r="T593" s="161"/>
      <c r="U593" s="55"/>
      <c r="V593" s="55"/>
      <c r="W593" s="55"/>
      <c r="X593" s="155"/>
      <c r="Y593" s="171"/>
      <c r="Z593" s="165"/>
      <c r="AA593" s="10"/>
      <c r="AB593" s="55"/>
      <c r="AC593" s="55"/>
      <c r="AD593" s="55"/>
      <c r="AE593" s="55"/>
      <c r="AF593" s="55"/>
      <c r="AG593" s="167"/>
      <c r="AH593" s="55"/>
      <c r="AI593" s="55"/>
      <c r="AJ593" s="165"/>
      <c r="AK593" s="55"/>
      <c r="AL593" s="55"/>
      <c r="AM593" s="55"/>
      <c r="AN593" s="55"/>
      <c r="AO593" s="55"/>
      <c r="AP593" s="55"/>
      <c r="AQ593" s="55"/>
      <c r="AR593" s="55"/>
      <c r="AS593" s="165"/>
      <c r="AT593" s="55"/>
      <c r="AU593" s="55"/>
      <c r="AV593" s="55"/>
      <c r="AW593" s="55"/>
      <c r="AX593" s="55"/>
      <c r="AY593" s="55"/>
      <c r="AZ593" s="55"/>
      <c r="BA593" s="55"/>
      <c r="BB593" s="165"/>
      <c r="BC593" s="55"/>
      <c r="BD593" s="55"/>
      <c r="BE593" s="55"/>
      <c r="BF593" s="165"/>
      <c r="BG593" s="55"/>
      <c r="BH593" s="10"/>
      <c r="BI593" s="55"/>
      <c r="BJ593" s="55"/>
      <c r="BK593" s="55"/>
      <c r="BL593" s="55"/>
      <c r="BT593" s="141"/>
      <c r="CN593" s="141"/>
      <c r="DG593" s="141"/>
    </row>
    <row r="594" spans="1:111" s="93" customFormat="1" x14ac:dyDescent="0.15">
      <c r="A594" s="11"/>
      <c r="B594" s="13"/>
      <c r="C594" s="12"/>
      <c r="D594" s="13"/>
      <c r="E594" s="13"/>
      <c r="F594" s="12"/>
      <c r="G594" s="55"/>
      <c r="H594" s="55"/>
      <c r="I594" s="55"/>
      <c r="J594" s="55"/>
      <c r="K594" s="55"/>
      <c r="L594" s="158"/>
      <c r="M594" s="10"/>
      <c r="N594" s="55"/>
      <c r="O594" s="55"/>
      <c r="P594" s="10"/>
      <c r="Q594" s="10"/>
      <c r="R594" s="155"/>
      <c r="S594" s="171"/>
      <c r="T594" s="161"/>
      <c r="U594" s="55"/>
      <c r="V594" s="55"/>
      <c r="W594" s="55"/>
      <c r="X594" s="155"/>
      <c r="Y594" s="171"/>
      <c r="Z594" s="165"/>
      <c r="AA594" s="10"/>
      <c r="AB594" s="55"/>
      <c r="AC594" s="55"/>
      <c r="AD594" s="55"/>
      <c r="AE594" s="55"/>
      <c r="AF594" s="55"/>
      <c r="AG594" s="167"/>
      <c r="AH594" s="55"/>
      <c r="AI594" s="55"/>
      <c r="AJ594" s="165"/>
      <c r="AK594" s="55"/>
      <c r="AL594" s="55"/>
      <c r="AM594" s="55"/>
      <c r="AN594" s="55"/>
      <c r="AO594" s="55"/>
      <c r="AP594" s="55"/>
      <c r="AQ594" s="55"/>
      <c r="AR594" s="55"/>
      <c r="AS594" s="165"/>
      <c r="AT594" s="55"/>
      <c r="AU594" s="55"/>
      <c r="AV594" s="55"/>
      <c r="AW594" s="55"/>
      <c r="AX594" s="55"/>
      <c r="AY594" s="55"/>
      <c r="AZ594" s="55"/>
      <c r="BA594" s="55"/>
      <c r="BB594" s="165"/>
      <c r="BC594" s="55"/>
      <c r="BD594" s="55"/>
      <c r="BE594" s="55"/>
      <c r="BF594" s="165"/>
      <c r="BG594" s="55"/>
      <c r="BH594" s="10"/>
      <c r="BI594" s="55"/>
      <c r="BJ594" s="55"/>
      <c r="BK594" s="55"/>
      <c r="BL594" s="55"/>
      <c r="BT594" s="141"/>
      <c r="CN594" s="141"/>
      <c r="DG594" s="141"/>
    </row>
    <row r="595" spans="1:111" s="93" customFormat="1" x14ac:dyDescent="0.15">
      <c r="A595" s="11"/>
      <c r="B595" s="13"/>
      <c r="C595" s="12"/>
      <c r="D595" s="13"/>
      <c r="E595" s="13"/>
      <c r="F595" s="12"/>
      <c r="G595" s="55"/>
      <c r="H595" s="55"/>
      <c r="I595" s="55"/>
      <c r="J595" s="55"/>
      <c r="K595" s="55"/>
      <c r="L595" s="158"/>
      <c r="M595" s="10"/>
      <c r="N595" s="55"/>
      <c r="O595" s="55"/>
      <c r="P595" s="10"/>
      <c r="Q595" s="10"/>
      <c r="R595" s="155"/>
      <c r="S595" s="171"/>
      <c r="T595" s="161"/>
      <c r="U595" s="55"/>
      <c r="V595" s="55"/>
      <c r="W595" s="55"/>
      <c r="X595" s="155"/>
      <c r="Y595" s="171"/>
      <c r="Z595" s="165"/>
      <c r="AA595" s="10"/>
      <c r="AB595" s="55"/>
      <c r="AC595" s="55"/>
      <c r="AD595" s="55"/>
      <c r="AE595" s="55"/>
      <c r="AF595" s="55"/>
      <c r="AG595" s="167"/>
      <c r="AH595" s="55"/>
      <c r="AI595" s="55"/>
      <c r="AJ595" s="165"/>
      <c r="AK595" s="55"/>
      <c r="AL595" s="55"/>
      <c r="AM595" s="55"/>
      <c r="AN595" s="55"/>
      <c r="AO595" s="55"/>
      <c r="AP595" s="55"/>
      <c r="AQ595" s="55"/>
      <c r="AR595" s="55"/>
      <c r="AS595" s="165"/>
      <c r="AT595" s="55"/>
      <c r="AU595" s="55"/>
      <c r="AV595" s="55"/>
      <c r="AW595" s="55"/>
      <c r="AX595" s="55"/>
      <c r="AY595" s="55"/>
      <c r="AZ595" s="55"/>
      <c r="BA595" s="55"/>
      <c r="BB595" s="165"/>
      <c r="BC595" s="55"/>
      <c r="BD595" s="55"/>
      <c r="BE595" s="55"/>
      <c r="BF595" s="165"/>
      <c r="BG595" s="55"/>
      <c r="BH595" s="10"/>
      <c r="BI595" s="55"/>
      <c r="BJ595" s="55"/>
      <c r="BK595" s="55"/>
      <c r="BL595" s="55"/>
      <c r="BT595" s="141"/>
      <c r="CN595" s="141"/>
      <c r="DG595" s="141"/>
    </row>
    <row r="596" spans="1:111" s="93" customFormat="1" x14ac:dyDescent="0.15">
      <c r="A596" s="11"/>
      <c r="B596" s="13"/>
      <c r="C596" s="12"/>
      <c r="D596" s="13"/>
      <c r="E596" s="13"/>
      <c r="F596" s="12"/>
      <c r="G596" s="55"/>
      <c r="H596" s="55"/>
      <c r="I596" s="55"/>
      <c r="J596" s="55"/>
      <c r="K596" s="55"/>
      <c r="L596" s="158"/>
      <c r="M596" s="10"/>
      <c r="N596" s="55"/>
      <c r="O596" s="55"/>
      <c r="P596" s="10"/>
      <c r="Q596" s="10"/>
      <c r="R596" s="155"/>
      <c r="S596" s="171"/>
      <c r="T596" s="161"/>
      <c r="U596" s="55"/>
      <c r="V596" s="55"/>
      <c r="W596" s="55"/>
      <c r="X596" s="155"/>
      <c r="Y596" s="171"/>
      <c r="Z596" s="165"/>
      <c r="AA596" s="10"/>
      <c r="AB596" s="55"/>
      <c r="AC596" s="55"/>
      <c r="AD596" s="55"/>
      <c r="AE596" s="55"/>
      <c r="AF596" s="55"/>
      <c r="AG596" s="167"/>
      <c r="AH596" s="55"/>
      <c r="AI596" s="55"/>
      <c r="AJ596" s="165"/>
      <c r="AK596" s="55"/>
      <c r="AL596" s="55"/>
      <c r="AM596" s="55"/>
      <c r="AN596" s="55"/>
      <c r="AO596" s="55"/>
      <c r="AP596" s="55"/>
      <c r="AQ596" s="55"/>
      <c r="AR596" s="55"/>
      <c r="AS596" s="165"/>
      <c r="AT596" s="55"/>
      <c r="AU596" s="55"/>
      <c r="AV596" s="55"/>
      <c r="AW596" s="55"/>
      <c r="AX596" s="55"/>
      <c r="AY596" s="55"/>
      <c r="AZ596" s="55"/>
      <c r="BA596" s="55"/>
      <c r="BB596" s="165"/>
      <c r="BC596" s="55"/>
      <c r="BD596" s="55"/>
      <c r="BE596" s="55"/>
      <c r="BF596" s="165"/>
      <c r="BG596" s="55"/>
      <c r="BH596" s="10"/>
      <c r="BI596" s="55"/>
      <c r="BJ596" s="55"/>
      <c r="BK596" s="55"/>
      <c r="BL596" s="55"/>
      <c r="BT596" s="141"/>
      <c r="CN596" s="141"/>
      <c r="DG596" s="141"/>
    </row>
    <row r="597" spans="1:111" s="93" customFormat="1" x14ac:dyDescent="0.15">
      <c r="A597" s="11"/>
      <c r="B597" s="13"/>
      <c r="C597" s="12"/>
      <c r="D597" s="13"/>
      <c r="E597" s="13"/>
      <c r="F597" s="12"/>
      <c r="G597" s="55"/>
      <c r="H597" s="55"/>
      <c r="I597" s="55"/>
      <c r="J597" s="55"/>
      <c r="K597" s="55"/>
      <c r="L597" s="158"/>
      <c r="M597" s="10"/>
      <c r="N597" s="55"/>
      <c r="O597" s="55"/>
      <c r="P597" s="10"/>
      <c r="Q597" s="10"/>
      <c r="R597" s="155"/>
      <c r="S597" s="171"/>
      <c r="T597" s="161"/>
      <c r="U597" s="55"/>
      <c r="V597" s="55"/>
      <c r="W597" s="55"/>
      <c r="X597" s="155"/>
      <c r="Y597" s="171"/>
      <c r="Z597" s="165"/>
      <c r="AA597" s="10"/>
      <c r="AB597" s="55"/>
      <c r="AC597" s="55"/>
      <c r="AD597" s="55"/>
      <c r="AE597" s="55"/>
      <c r="AF597" s="55"/>
      <c r="AG597" s="167"/>
      <c r="AH597" s="55"/>
      <c r="AI597" s="55"/>
      <c r="AJ597" s="165"/>
      <c r="AK597" s="55"/>
      <c r="AL597" s="55"/>
      <c r="AM597" s="55"/>
      <c r="AN597" s="55"/>
      <c r="AO597" s="55"/>
      <c r="AP597" s="55"/>
      <c r="AQ597" s="55"/>
      <c r="AR597" s="55"/>
      <c r="AS597" s="165"/>
      <c r="AT597" s="55"/>
      <c r="AU597" s="55"/>
      <c r="AV597" s="55"/>
      <c r="AW597" s="55"/>
      <c r="AX597" s="55"/>
      <c r="AY597" s="55"/>
      <c r="AZ597" s="55"/>
      <c r="BA597" s="55"/>
      <c r="BB597" s="165"/>
      <c r="BC597" s="55"/>
      <c r="BD597" s="55"/>
      <c r="BE597" s="55"/>
      <c r="BF597" s="165"/>
      <c r="BG597" s="55"/>
      <c r="BH597" s="10"/>
      <c r="BI597" s="55"/>
      <c r="BJ597" s="55"/>
      <c r="BK597" s="55"/>
      <c r="BL597" s="55"/>
      <c r="BT597" s="141"/>
      <c r="CN597" s="141"/>
      <c r="DG597" s="141"/>
    </row>
    <row r="598" spans="1:111" s="93" customFormat="1" x14ac:dyDescent="0.15">
      <c r="A598" s="11"/>
      <c r="B598" s="13"/>
      <c r="C598" s="12"/>
      <c r="D598" s="13"/>
      <c r="E598" s="13"/>
      <c r="F598" s="12"/>
      <c r="G598" s="55"/>
      <c r="H598" s="55"/>
      <c r="I598" s="55"/>
      <c r="J598" s="55"/>
      <c r="K598" s="55"/>
      <c r="L598" s="158"/>
      <c r="M598" s="10"/>
      <c r="N598" s="55"/>
      <c r="O598" s="55"/>
      <c r="P598" s="10"/>
      <c r="Q598" s="10"/>
      <c r="R598" s="155"/>
      <c r="S598" s="171"/>
      <c r="T598" s="161"/>
      <c r="U598" s="55"/>
      <c r="V598" s="55"/>
      <c r="W598" s="55"/>
      <c r="X598" s="155"/>
      <c r="Y598" s="171"/>
      <c r="Z598" s="165"/>
      <c r="AA598" s="10"/>
      <c r="AB598" s="55"/>
      <c r="AC598" s="55"/>
      <c r="AD598" s="55"/>
      <c r="AE598" s="55"/>
      <c r="AF598" s="55"/>
      <c r="AG598" s="167"/>
      <c r="AH598" s="55"/>
      <c r="AI598" s="55"/>
      <c r="AJ598" s="165"/>
      <c r="AK598" s="55"/>
      <c r="AL598" s="55"/>
      <c r="AM598" s="55"/>
      <c r="AN598" s="55"/>
      <c r="AO598" s="55"/>
      <c r="AP598" s="55"/>
      <c r="AQ598" s="55"/>
      <c r="AR598" s="55"/>
      <c r="AS598" s="165"/>
      <c r="AT598" s="55"/>
      <c r="AU598" s="55"/>
      <c r="AV598" s="55"/>
      <c r="AW598" s="55"/>
      <c r="AX598" s="55"/>
      <c r="AY598" s="55"/>
      <c r="AZ598" s="55"/>
      <c r="BA598" s="55"/>
      <c r="BB598" s="165"/>
      <c r="BC598" s="55"/>
      <c r="BD598" s="55"/>
      <c r="BE598" s="55"/>
      <c r="BF598" s="165"/>
      <c r="BG598" s="55"/>
      <c r="BH598" s="10"/>
      <c r="BI598" s="55"/>
      <c r="BJ598" s="55"/>
      <c r="BK598" s="55"/>
      <c r="BL598" s="55"/>
      <c r="BT598" s="141"/>
      <c r="CN598" s="141"/>
      <c r="DG598" s="141"/>
    </row>
    <row r="599" spans="1:111" s="93" customFormat="1" x14ac:dyDescent="0.15">
      <c r="A599" s="11"/>
      <c r="B599" s="13"/>
      <c r="C599" s="12"/>
      <c r="D599" s="13"/>
      <c r="E599" s="13"/>
      <c r="F599" s="12"/>
      <c r="G599" s="55"/>
      <c r="H599" s="55"/>
      <c r="I599" s="55"/>
      <c r="J599" s="55"/>
      <c r="K599" s="55"/>
      <c r="L599" s="158"/>
      <c r="M599" s="10"/>
      <c r="N599" s="55"/>
      <c r="O599" s="55"/>
      <c r="P599" s="10"/>
      <c r="Q599" s="10"/>
      <c r="R599" s="155"/>
      <c r="S599" s="171"/>
      <c r="T599" s="161"/>
      <c r="U599" s="55"/>
      <c r="V599" s="55"/>
      <c r="W599" s="55"/>
      <c r="X599" s="155"/>
      <c r="Y599" s="171"/>
      <c r="Z599" s="165"/>
      <c r="AA599" s="10"/>
      <c r="AB599" s="55"/>
      <c r="AC599" s="55"/>
      <c r="AD599" s="55"/>
      <c r="AE599" s="55"/>
      <c r="AF599" s="55"/>
      <c r="AG599" s="167"/>
      <c r="AH599" s="55"/>
      <c r="AI599" s="55"/>
      <c r="AJ599" s="165"/>
      <c r="AK599" s="55"/>
      <c r="AL599" s="55"/>
      <c r="AM599" s="55"/>
      <c r="AN599" s="55"/>
      <c r="AO599" s="55"/>
      <c r="AP599" s="55"/>
      <c r="AQ599" s="55"/>
      <c r="AR599" s="55"/>
      <c r="AS599" s="165"/>
      <c r="AT599" s="55"/>
      <c r="AU599" s="55"/>
      <c r="AV599" s="55"/>
      <c r="AW599" s="55"/>
      <c r="AX599" s="55"/>
      <c r="AY599" s="55"/>
      <c r="AZ599" s="55"/>
      <c r="BA599" s="55"/>
      <c r="BB599" s="165"/>
      <c r="BC599" s="55"/>
      <c r="BD599" s="55"/>
      <c r="BE599" s="55"/>
      <c r="BF599" s="165"/>
      <c r="BG599" s="55"/>
      <c r="BH599" s="10"/>
      <c r="BI599" s="55"/>
      <c r="BJ599" s="55"/>
      <c r="BK599" s="55"/>
      <c r="BL599" s="55"/>
      <c r="BT599" s="141"/>
      <c r="CN599" s="141"/>
      <c r="DG599" s="141"/>
    </row>
    <row r="600" spans="1:111" s="93" customFormat="1" x14ac:dyDescent="0.15">
      <c r="A600" s="11"/>
      <c r="B600" s="13"/>
      <c r="C600" s="12"/>
      <c r="D600" s="13"/>
      <c r="E600" s="13"/>
      <c r="F600" s="12"/>
      <c r="G600" s="55"/>
      <c r="H600" s="55"/>
      <c r="I600" s="55"/>
      <c r="J600" s="55"/>
      <c r="K600" s="55"/>
      <c r="L600" s="158"/>
      <c r="M600" s="10"/>
      <c r="N600" s="55"/>
      <c r="O600" s="55"/>
      <c r="P600" s="10"/>
      <c r="Q600" s="10"/>
      <c r="R600" s="155"/>
      <c r="S600" s="171"/>
      <c r="T600" s="161"/>
      <c r="U600" s="55"/>
      <c r="V600" s="55"/>
      <c r="W600" s="55"/>
      <c r="X600" s="155"/>
      <c r="Y600" s="171"/>
      <c r="Z600" s="165"/>
      <c r="AA600" s="10"/>
      <c r="AB600" s="55"/>
      <c r="AC600" s="55"/>
      <c r="AD600" s="55"/>
      <c r="AE600" s="55"/>
      <c r="AF600" s="55"/>
      <c r="AG600" s="167"/>
      <c r="AH600" s="55"/>
      <c r="AI600" s="55"/>
      <c r="AJ600" s="165"/>
      <c r="AK600" s="55"/>
      <c r="AL600" s="55"/>
      <c r="AM600" s="55"/>
      <c r="AN600" s="55"/>
      <c r="AO600" s="55"/>
      <c r="AP600" s="55"/>
      <c r="AQ600" s="55"/>
      <c r="AR600" s="55"/>
      <c r="AS600" s="165"/>
      <c r="AT600" s="55"/>
      <c r="AU600" s="55"/>
      <c r="AV600" s="55"/>
      <c r="AW600" s="55"/>
      <c r="AX600" s="55"/>
      <c r="AY600" s="55"/>
      <c r="AZ600" s="55"/>
      <c r="BA600" s="55"/>
      <c r="BB600" s="165"/>
      <c r="BC600" s="55"/>
      <c r="BD600" s="55"/>
      <c r="BE600" s="55"/>
      <c r="BF600" s="165"/>
      <c r="BG600" s="55"/>
      <c r="BH600" s="10"/>
      <c r="BI600" s="55"/>
      <c r="BJ600" s="55"/>
      <c r="BK600" s="55"/>
      <c r="BL600" s="55"/>
      <c r="BT600" s="141"/>
      <c r="CN600" s="141"/>
      <c r="DG600" s="141"/>
    </row>
    <row r="601" spans="1:111" s="93" customFormat="1" x14ac:dyDescent="0.15">
      <c r="A601" s="11"/>
      <c r="B601" s="13"/>
      <c r="C601" s="12"/>
      <c r="D601" s="13"/>
      <c r="E601" s="13"/>
      <c r="F601" s="12"/>
      <c r="G601" s="55"/>
      <c r="H601" s="55"/>
      <c r="I601" s="55"/>
      <c r="J601" s="55"/>
      <c r="K601" s="55"/>
      <c r="L601" s="158"/>
      <c r="M601" s="10"/>
      <c r="N601" s="55"/>
      <c r="O601" s="55"/>
      <c r="P601" s="10"/>
      <c r="Q601" s="10"/>
      <c r="R601" s="155"/>
      <c r="S601" s="171"/>
      <c r="T601" s="161"/>
      <c r="U601" s="55"/>
      <c r="V601" s="55"/>
      <c r="W601" s="55"/>
      <c r="X601" s="155"/>
      <c r="Y601" s="171"/>
      <c r="Z601" s="165"/>
      <c r="AA601" s="10"/>
      <c r="AB601" s="55"/>
      <c r="AC601" s="55"/>
      <c r="AD601" s="55"/>
      <c r="AE601" s="55"/>
      <c r="AF601" s="55"/>
      <c r="AG601" s="167"/>
      <c r="AH601" s="55"/>
      <c r="AI601" s="55"/>
      <c r="AJ601" s="165"/>
      <c r="AK601" s="55"/>
      <c r="AL601" s="55"/>
      <c r="AM601" s="55"/>
      <c r="AN601" s="55"/>
      <c r="AO601" s="55"/>
      <c r="AP601" s="55"/>
      <c r="AQ601" s="55"/>
      <c r="AR601" s="55"/>
      <c r="AS601" s="165"/>
      <c r="AT601" s="55"/>
      <c r="AU601" s="55"/>
      <c r="AV601" s="55"/>
      <c r="AW601" s="55"/>
      <c r="AX601" s="55"/>
      <c r="AY601" s="55"/>
      <c r="AZ601" s="55"/>
      <c r="BA601" s="55"/>
      <c r="BB601" s="165"/>
      <c r="BC601" s="55"/>
      <c r="BD601" s="55"/>
      <c r="BE601" s="55"/>
      <c r="BF601" s="165"/>
      <c r="BG601" s="55"/>
      <c r="BH601" s="10"/>
      <c r="BI601" s="55"/>
      <c r="BJ601" s="55"/>
      <c r="BK601" s="55"/>
      <c r="BL601" s="55"/>
      <c r="BT601" s="141"/>
      <c r="CN601" s="141"/>
      <c r="DG601" s="141"/>
    </row>
    <row r="602" spans="1:111" s="93" customFormat="1" x14ac:dyDescent="0.15">
      <c r="A602" s="11"/>
      <c r="B602" s="13"/>
      <c r="C602" s="12"/>
      <c r="D602" s="13"/>
      <c r="E602" s="13"/>
      <c r="F602" s="12"/>
      <c r="G602" s="55"/>
      <c r="H602" s="55"/>
      <c r="I602" s="55"/>
      <c r="J602" s="55"/>
      <c r="K602" s="55"/>
      <c r="L602" s="158"/>
      <c r="M602" s="10"/>
      <c r="N602" s="55"/>
      <c r="O602" s="55"/>
      <c r="P602" s="10"/>
      <c r="Q602" s="10"/>
      <c r="R602" s="155"/>
      <c r="S602" s="171"/>
      <c r="T602" s="161"/>
      <c r="U602" s="55"/>
      <c r="V602" s="55"/>
      <c r="W602" s="55"/>
      <c r="X602" s="155"/>
      <c r="Y602" s="171"/>
      <c r="Z602" s="165"/>
      <c r="AA602" s="10"/>
      <c r="AB602" s="55"/>
      <c r="AC602" s="55"/>
      <c r="AD602" s="55"/>
      <c r="AE602" s="55"/>
      <c r="AF602" s="55"/>
      <c r="AG602" s="167"/>
      <c r="AH602" s="55"/>
      <c r="AI602" s="55"/>
      <c r="AJ602" s="165"/>
      <c r="AK602" s="55"/>
      <c r="AL602" s="55"/>
      <c r="AM602" s="55"/>
      <c r="AN602" s="55"/>
      <c r="AO602" s="55"/>
      <c r="AP602" s="55"/>
      <c r="AQ602" s="55"/>
      <c r="AR602" s="55"/>
      <c r="AS602" s="165"/>
      <c r="AT602" s="55"/>
      <c r="AU602" s="55"/>
      <c r="AV602" s="55"/>
      <c r="AW602" s="55"/>
      <c r="AX602" s="55"/>
      <c r="AY602" s="55"/>
      <c r="AZ602" s="55"/>
      <c r="BA602" s="55"/>
      <c r="BB602" s="165"/>
      <c r="BC602" s="55"/>
      <c r="BD602" s="55"/>
      <c r="BE602" s="55"/>
      <c r="BF602" s="165"/>
      <c r="BG602" s="55"/>
      <c r="BH602" s="10"/>
      <c r="BI602" s="55"/>
      <c r="BJ602" s="55"/>
      <c r="BK602" s="55"/>
      <c r="BL602" s="55"/>
      <c r="BT602" s="141"/>
      <c r="CN602" s="141"/>
      <c r="DG602" s="141"/>
    </row>
    <row r="603" spans="1:111" s="93" customFormat="1" x14ac:dyDescent="0.15">
      <c r="A603" s="11"/>
      <c r="B603" s="13"/>
      <c r="C603" s="12"/>
      <c r="D603" s="13"/>
      <c r="E603" s="13"/>
      <c r="F603" s="12"/>
      <c r="G603" s="55"/>
      <c r="H603" s="55"/>
      <c r="I603" s="55"/>
      <c r="J603" s="55"/>
      <c r="K603" s="55"/>
      <c r="L603" s="158"/>
      <c r="M603" s="10"/>
      <c r="N603" s="55"/>
      <c r="O603" s="55"/>
      <c r="P603" s="10"/>
      <c r="Q603" s="10"/>
      <c r="R603" s="155"/>
      <c r="S603" s="171"/>
      <c r="T603" s="161"/>
      <c r="U603" s="55"/>
      <c r="V603" s="55"/>
      <c r="W603" s="55"/>
      <c r="X603" s="155"/>
      <c r="Y603" s="171"/>
      <c r="Z603" s="165"/>
      <c r="AA603" s="10"/>
      <c r="AB603" s="55"/>
      <c r="AC603" s="55"/>
      <c r="AD603" s="55"/>
      <c r="AE603" s="55"/>
      <c r="AF603" s="55"/>
      <c r="AG603" s="167"/>
      <c r="AH603" s="55"/>
      <c r="AI603" s="55"/>
      <c r="AJ603" s="165"/>
      <c r="AK603" s="55"/>
      <c r="AL603" s="55"/>
      <c r="AM603" s="55"/>
      <c r="AN603" s="55"/>
      <c r="AO603" s="55"/>
      <c r="AP603" s="55"/>
      <c r="AQ603" s="55"/>
      <c r="AR603" s="55"/>
      <c r="AS603" s="165"/>
      <c r="AT603" s="55"/>
      <c r="AU603" s="55"/>
      <c r="AV603" s="55"/>
      <c r="AW603" s="55"/>
      <c r="AX603" s="55"/>
      <c r="AY603" s="55"/>
      <c r="AZ603" s="55"/>
      <c r="BA603" s="55"/>
      <c r="BB603" s="165"/>
      <c r="BC603" s="55"/>
      <c r="BD603" s="55"/>
      <c r="BE603" s="55"/>
      <c r="BF603" s="165"/>
      <c r="BG603" s="55"/>
      <c r="BH603" s="10"/>
      <c r="BI603" s="55"/>
      <c r="BJ603" s="55"/>
      <c r="BK603" s="55"/>
      <c r="BL603" s="55"/>
      <c r="BT603" s="141"/>
      <c r="CN603" s="141"/>
      <c r="DG603" s="141"/>
    </row>
    <row r="604" spans="1:111" s="93" customFormat="1" x14ac:dyDescent="0.15">
      <c r="A604" s="11"/>
      <c r="B604" s="13"/>
      <c r="C604" s="12"/>
      <c r="D604" s="13"/>
      <c r="E604" s="13"/>
      <c r="F604" s="12"/>
      <c r="G604" s="55"/>
      <c r="H604" s="55"/>
      <c r="I604" s="55"/>
      <c r="J604" s="55"/>
      <c r="K604" s="55"/>
      <c r="L604" s="158"/>
      <c r="M604" s="10"/>
      <c r="N604" s="55"/>
      <c r="O604" s="55"/>
      <c r="P604" s="10"/>
      <c r="Q604" s="10"/>
      <c r="R604" s="155"/>
      <c r="S604" s="171"/>
      <c r="T604" s="161"/>
      <c r="U604" s="55"/>
      <c r="V604" s="55"/>
      <c r="W604" s="55"/>
      <c r="X604" s="155"/>
      <c r="Y604" s="171"/>
      <c r="Z604" s="165"/>
      <c r="AA604" s="10"/>
      <c r="AB604" s="55"/>
      <c r="AC604" s="55"/>
      <c r="AD604" s="55"/>
      <c r="AE604" s="55"/>
      <c r="AF604" s="55"/>
      <c r="AG604" s="167"/>
      <c r="AH604" s="55"/>
      <c r="AI604" s="55"/>
      <c r="AJ604" s="165"/>
      <c r="AK604" s="55"/>
      <c r="AL604" s="55"/>
      <c r="AM604" s="55"/>
      <c r="AN604" s="55"/>
      <c r="AO604" s="55"/>
      <c r="AP604" s="55"/>
      <c r="AQ604" s="55"/>
      <c r="AR604" s="55"/>
      <c r="AS604" s="165"/>
      <c r="AT604" s="55"/>
      <c r="AU604" s="55"/>
      <c r="AV604" s="55"/>
      <c r="AW604" s="55"/>
      <c r="AX604" s="55"/>
      <c r="AY604" s="55"/>
      <c r="AZ604" s="55"/>
      <c r="BA604" s="55"/>
      <c r="BB604" s="165"/>
      <c r="BC604" s="55"/>
      <c r="BD604" s="55"/>
      <c r="BE604" s="55"/>
      <c r="BF604" s="165"/>
      <c r="BG604" s="55"/>
      <c r="BH604" s="10"/>
      <c r="BI604" s="55"/>
      <c r="BJ604" s="55"/>
      <c r="BK604" s="55"/>
      <c r="BL604" s="55"/>
      <c r="BT604" s="141"/>
      <c r="CN604" s="141"/>
      <c r="DG604" s="141"/>
    </row>
    <row r="605" spans="1:111" s="93" customFormat="1" x14ac:dyDescent="0.15">
      <c r="A605" s="11"/>
      <c r="B605" s="13"/>
      <c r="C605" s="12"/>
      <c r="D605" s="13"/>
      <c r="E605" s="13"/>
      <c r="F605" s="12"/>
      <c r="G605" s="55"/>
      <c r="H605" s="55"/>
      <c r="I605" s="55"/>
      <c r="J605" s="55"/>
      <c r="K605" s="55"/>
      <c r="L605" s="158"/>
      <c r="M605" s="10"/>
      <c r="N605" s="55"/>
      <c r="O605" s="55"/>
      <c r="P605" s="10"/>
      <c r="Q605" s="10"/>
      <c r="R605" s="155"/>
      <c r="S605" s="171"/>
      <c r="T605" s="161"/>
      <c r="U605" s="55"/>
      <c r="V605" s="55"/>
      <c r="W605" s="55"/>
      <c r="X605" s="155"/>
      <c r="Y605" s="171"/>
      <c r="Z605" s="165"/>
      <c r="AA605" s="10"/>
      <c r="AB605" s="55"/>
      <c r="AC605" s="55"/>
      <c r="AD605" s="55"/>
      <c r="AE605" s="55"/>
      <c r="AF605" s="55"/>
      <c r="AG605" s="167"/>
      <c r="AH605" s="55"/>
      <c r="AI605" s="55"/>
      <c r="AJ605" s="165"/>
      <c r="AK605" s="55"/>
      <c r="AL605" s="55"/>
      <c r="AM605" s="55"/>
      <c r="AN605" s="55"/>
      <c r="AO605" s="55"/>
      <c r="AP605" s="55"/>
      <c r="AQ605" s="55"/>
      <c r="AR605" s="55"/>
      <c r="AS605" s="165"/>
      <c r="AT605" s="55"/>
      <c r="AU605" s="55"/>
      <c r="AV605" s="55"/>
      <c r="AW605" s="55"/>
      <c r="AX605" s="55"/>
      <c r="AY605" s="55"/>
      <c r="AZ605" s="55"/>
      <c r="BA605" s="55"/>
      <c r="BB605" s="165"/>
      <c r="BC605" s="55"/>
      <c r="BD605" s="55"/>
      <c r="BE605" s="55"/>
      <c r="BF605" s="165"/>
      <c r="BG605" s="55"/>
      <c r="BH605" s="10"/>
      <c r="BI605" s="55"/>
      <c r="BJ605" s="55"/>
      <c r="BK605" s="55"/>
      <c r="BL605" s="55"/>
      <c r="BT605" s="141"/>
      <c r="CN605" s="141"/>
      <c r="DG605" s="141"/>
    </row>
    <row r="606" spans="1:111" s="93" customFormat="1" x14ac:dyDescent="0.15">
      <c r="A606" s="11"/>
      <c r="B606" s="13"/>
      <c r="C606" s="12"/>
      <c r="D606" s="13"/>
      <c r="E606" s="13"/>
      <c r="F606" s="12"/>
      <c r="G606" s="55"/>
      <c r="H606" s="55"/>
      <c r="I606" s="55"/>
      <c r="J606" s="55"/>
      <c r="K606" s="55"/>
      <c r="L606" s="158"/>
      <c r="M606" s="10"/>
      <c r="N606" s="55"/>
      <c r="O606" s="55"/>
      <c r="P606" s="10"/>
      <c r="Q606" s="10"/>
      <c r="R606" s="155"/>
      <c r="S606" s="171"/>
      <c r="T606" s="161"/>
      <c r="U606" s="55"/>
      <c r="V606" s="55"/>
      <c r="W606" s="55"/>
      <c r="X606" s="155"/>
      <c r="Y606" s="171"/>
      <c r="Z606" s="165"/>
      <c r="AA606" s="10"/>
      <c r="AB606" s="55"/>
      <c r="AC606" s="55"/>
      <c r="AD606" s="55"/>
      <c r="AE606" s="55"/>
      <c r="AF606" s="55"/>
      <c r="AG606" s="167"/>
      <c r="AH606" s="55"/>
      <c r="AI606" s="55"/>
      <c r="AJ606" s="165"/>
      <c r="AK606" s="55"/>
      <c r="AL606" s="55"/>
      <c r="AM606" s="55"/>
      <c r="AN606" s="55"/>
      <c r="AO606" s="55"/>
      <c r="AP606" s="55"/>
      <c r="AQ606" s="55"/>
      <c r="AR606" s="55"/>
      <c r="AS606" s="165"/>
      <c r="AT606" s="55"/>
      <c r="AU606" s="55"/>
      <c r="AV606" s="55"/>
      <c r="AW606" s="55"/>
      <c r="AX606" s="55"/>
      <c r="AY606" s="55"/>
      <c r="AZ606" s="55"/>
      <c r="BA606" s="55"/>
      <c r="BB606" s="165"/>
      <c r="BC606" s="55"/>
      <c r="BD606" s="55"/>
      <c r="BE606" s="55"/>
      <c r="BF606" s="165"/>
      <c r="BG606" s="55"/>
      <c r="BH606" s="10"/>
      <c r="BI606" s="55"/>
      <c r="BJ606" s="55"/>
      <c r="BK606" s="55"/>
      <c r="BL606" s="55"/>
      <c r="BT606" s="141"/>
      <c r="CN606" s="141"/>
      <c r="DG606" s="141"/>
    </row>
    <row r="607" spans="1:111" s="93" customFormat="1" x14ac:dyDescent="0.15">
      <c r="A607" s="11"/>
      <c r="B607" s="13"/>
      <c r="C607" s="12"/>
      <c r="D607" s="13"/>
      <c r="E607" s="13"/>
      <c r="F607" s="12"/>
      <c r="G607" s="55"/>
      <c r="H607" s="55"/>
      <c r="I607" s="55"/>
      <c r="J607" s="55"/>
      <c r="K607" s="55"/>
      <c r="L607" s="158"/>
      <c r="M607" s="10"/>
      <c r="N607" s="55"/>
      <c r="O607" s="55"/>
      <c r="P607" s="10"/>
      <c r="Q607" s="10"/>
      <c r="R607" s="155"/>
      <c r="S607" s="171"/>
      <c r="T607" s="161"/>
      <c r="U607" s="55"/>
      <c r="V607" s="55"/>
      <c r="W607" s="55"/>
      <c r="X607" s="155"/>
      <c r="Y607" s="171"/>
      <c r="Z607" s="165"/>
      <c r="AA607" s="10"/>
      <c r="AB607" s="55"/>
      <c r="AC607" s="55"/>
      <c r="AD607" s="55"/>
      <c r="AE607" s="55"/>
      <c r="AF607" s="55"/>
      <c r="AG607" s="167"/>
      <c r="AH607" s="55"/>
      <c r="AI607" s="55"/>
      <c r="AJ607" s="165"/>
      <c r="AK607" s="55"/>
      <c r="AL607" s="55"/>
      <c r="AM607" s="55"/>
      <c r="AN607" s="55"/>
      <c r="AO607" s="55"/>
      <c r="AP607" s="55"/>
      <c r="AQ607" s="55"/>
      <c r="AR607" s="55"/>
      <c r="AS607" s="165"/>
      <c r="AT607" s="55"/>
      <c r="AU607" s="55"/>
      <c r="AV607" s="55"/>
      <c r="AW607" s="55"/>
      <c r="AX607" s="55"/>
      <c r="AY607" s="55"/>
      <c r="AZ607" s="55"/>
      <c r="BA607" s="55"/>
      <c r="BB607" s="165"/>
      <c r="BC607" s="55"/>
      <c r="BD607" s="55"/>
      <c r="BE607" s="55"/>
      <c r="BF607" s="165"/>
      <c r="BG607" s="55"/>
      <c r="BH607" s="10"/>
      <c r="BI607" s="55"/>
      <c r="BJ607" s="55"/>
      <c r="BK607" s="55"/>
      <c r="BL607" s="55"/>
      <c r="BT607" s="141"/>
      <c r="CN607" s="141"/>
      <c r="DG607" s="141"/>
    </row>
    <row r="608" spans="1:111" s="93" customFormat="1" x14ac:dyDescent="0.15">
      <c r="A608" s="11"/>
      <c r="B608" s="13"/>
      <c r="C608" s="12"/>
      <c r="D608" s="13"/>
      <c r="E608" s="13"/>
      <c r="F608" s="12"/>
      <c r="G608" s="55"/>
      <c r="H608" s="55"/>
      <c r="I608" s="55"/>
      <c r="J608" s="55"/>
      <c r="K608" s="55"/>
      <c r="L608" s="158"/>
      <c r="M608" s="10"/>
      <c r="N608" s="55"/>
      <c r="O608" s="55"/>
      <c r="P608" s="10"/>
      <c r="Q608" s="10"/>
      <c r="R608" s="155"/>
      <c r="S608" s="171"/>
      <c r="T608" s="161"/>
      <c r="U608" s="55"/>
      <c r="V608" s="55"/>
      <c r="W608" s="55"/>
      <c r="X608" s="155"/>
      <c r="Y608" s="171"/>
      <c r="Z608" s="165"/>
      <c r="AA608" s="10"/>
      <c r="AB608" s="55"/>
      <c r="AC608" s="55"/>
      <c r="AD608" s="55"/>
      <c r="AE608" s="55"/>
      <c r="AF608" s="55"/>
      <c r="AG608" s="167"/>
      <c r="AH608" s="55"/>
      <c r="AI608" s="55"/>
      <c r="AJ608" s="165"/>
      <c r="AK608" s="55"/>
      <c r="AL608" s="55"/>
      <c r="AM608" s="55"/>
      <c r="AN608" s="55"/>
      <c r="AO608" s="55"/>
      <c r="AP608" s="55"/>
      <c r="AQ608" s="55"/>
      <c r="AR608" s="55"/>
      <c r="AS608" s="165"/>
      <c r="AT608" s="55"/>
      <c r="AU608" s="55"/>
      <c r="AV608" s="55"/>
      <c r="AW608" s="55"/>
      <c r="AX608" s="55"/>
      <c r="AY608" s="55"/>
      <c r="AZ608" s="55"/>
      <c r="BA608" s="55"/>
      <c r="BB608" s="165"/>
      <c r="BC608" s="55"/>
      <c r="BD608" s="55"/>
      <c r="BE608" s="55"/>
      <c r="BF608" s="165"/>
      <c r="BG608" s="55"/>
      <c r="BH608" s="10"/>
      <c r="BI608" s="55"/>
      <c r="BJ608" s="55"/>
      <c r="BK608" s="55"/>
      <c r="BL608" s="55"/>
      <c r="BT608" s="141"/>
      <c r="CN608" s="141"/>
      <c r="DG608" s="141"/>
    </row>
    <row r="609" spans="1:111" s="93" customFormat="1" x14ac:dyDescent="0.15">
      <c r="A609" s="11"/>
      <c r="B609" s="13"/>
      <c r="C609" s="12"/>
      <c r="D609" s="13"/>
      <c r="E609" s="13"/>
      <c r="F609" s="12"/>
      <c r="G609" s="55"/>
      <c r="H609" s="55"/>
      <c r="I609" s="55"/>
      <c r="J609" s="55"/>
      <c r="K609" s="55"/>
      <c r="L609" s="158"/>
      <c r="M609" s="10"/>
      <c r="N609" s="55"/>
      <c r="O609" s="55"/>
      <c r="P609" s="10"/>
      <c r="Q609" s="10"/>
      <c r="R609" s="155"/>
      <c r="S609" s="171"/>
      <c r="T609" s="161"/>
      <c r="U609" s="55"/>
      <c r="V609" s="55"/>
      <c r="W609" s="55"/>
      <c r="X609" s="155"/>
      <c r="Y609" s="171"/>
      <c r="Z609" s="165"/>
      <c r="AA609" s="10"/>
      <c r="AB609" s="55"/>
      <c r="AC609" s="55"/>
      <c r="AD609" s="55"/>
      <c r="AE609" s="55"/>
      <c r="AF609" s="55"/>
      <c r="AG609" s="167"/>
      <c r="AH609" s="55"/>
      <c r="AI609" s="55"/>
      <c r="AJ609" s="165"/>
      <c r="AK609" s="55"/>
      <c r="AL609" s="55"/>
      <c r="AM609" s="55"/>
      <c r="AN609" s="55"/>
      <c r="AO609" s="55"/>
      <c r="AP609" s="55"/>
      <c r="AQ609" s="55"/>
      <c r="AR609" s="55"/>
      <c r="AS609" s="165"/>
      <c r="AT609" s="55"/>
      <c r="AU609" s="55"/>
      <c r="AV609" s="55"/>
      <c r="AW609" s="55"/>
      <c r="AX609" s="55"/>
      <c r="AY609" s="55"/>
      <c r="AZ609" s="55"/>
      <c r="BA609" s="55"/>
      <c r="BB609" s="165"/>
      <c r="BC609" s="55"/>
      <c r="BD609" s="55"/>
      <c r="BE609" s="55"/>
      <c r="BF609" s="165"/>
      <c r="BG609" s="55"/>
      <c r="BH609" s="10"/>
      <c r="BI609" s="55"/>
      <c r="BJ609" s="55"/>
      <c r="BK609" s="55"/>
      <c r="BL609" s="55"/>
      <c r="BT609" s="141"/>
      <c r="CN609" s="141"/>
      <c r="DG609" s="141"/>
    </row>
    <row r="610" spans="1:111" s="93" customFormat="1" x14ac:dyDescent="0.15">
      <c r="A610" s="11"/>
      <c r="B610" s="13"/>
      <c r="C610" s="12"/>
      <c r="D610" s="13"/>
      <c r="E610" s="13"/>
      <c r="F610" s="12"/>
      <c r="G610" s="55"/>
      <c r="H610" s="55"/>
      <c r="I610" s="55"/>
      <c r="J610" s="55"/>
      <c r="K610" s="55"/>
      <c r="L610" s="158"/>
      <c r="M610" s="10"/>
      <c r="N610" s="55"/>
      <c r="O610" s="55"/>
      <c r="P610" s="10"/>
      <c r="Q610" s="10"/>
      <c r="R610" s="155"/>
      <c r="S610" s="171"/>
      <c r="T610" s="161"/>
      <c r="U610" s="55"/>
      <c r="V610" s="55"/>
      <c r="W610" s="55"/>
      <c r="X610" s="155"/>
      <c r="Y610" s="171"/>
      <c r="Z610" s="165"/>
      <c r="AA610" s="10"/>
      <c r="AB610" s="55"/>
      <c r="AC610" s="55"/>
      <c r="AD610" s="55"/>
      <c r="AE610" s="55"/>
      <c r="AF610" s="55"/>
      <c r="AG610" s="167"/>
      <c r="AH610" s="55"/>
      <c r="AI610" s="55"/>
      <c r="AJ610" s="165"/>
      <c r="AK610" s="55"/>
      <c r="AL610" s="55"/>
      <c r="AM610" s="55"/>
      <c r="AN610" s="55"/>
      <c r="AO610" s="55"/>
      <c r="AP610" s="55"/>
      <c r="AQ610" s="55"/>
      <c r="AR610" s="55"/>
      <c r="AS610" s="165"/>
      <c r="AT610" s="55"/>
      <c r="AU610" s="55"/>
      <c r="AV610" s="55"/>
      <c r="AW610" s="55"/>
      <c r="AX610" s="55"/>
      <c r="AY610" s="55"/>
      <c r="AZ610" s="55"/>
      <c r="BA610" s="55"/>
      <c r="BB610" s="165"/>
      <c r="BC610" s="55"/>
      <c r="BD610" s="55"/>
      <c r="BE610" s="55"/>
      <c r="BF610" s="165"/>
      <c r="BG610" s="55"/>
      <c r="BH610" s="10"/>
      <c r="BI610" s="55"/>
      <c r="BJ610" s="55"/>
      <c r="BK610" s="55"/>
      <c r="BL610" s="55"/>
      <c r="BT610" s="141"/>
      <c r="CN610" s="141"/>
      <c r="DG610" s="141"/>
    </row>
    <row r="611" spans="1:111" s="93" customFormat="1" x14ac:dyDescent="0.15">
      <c r="A611" s="11"/>
      <c r="B611" s="13"/>
      <c r="C611" s="12"/>
      <c r="D611" s="13"/>
      <c r="E611" s="13"/>
      <c r="F611" s="12"/>
      <c r="G611" s="55"/>
      <c r="H611" s="55"/>
      <c r="I611" s="55"/>
      <c r="J611" s="55"/>
      <c r="K611" s="55"/>
      <c r="L611" s="158"/>
      <c r="M611" s="10"/>
      <c r="N611" s="55"/>
      <c r="O611" s="55"/>
      <c r="P611" s="10"/>
      <c r="Q611" s="10"/>
      <c r="R611" s="155"/>
      <c r="S611" s="171"/>
      <c r="T611" s="161"/>
      <c r="U611" s="55"/>
      <c r="V611" s="55"/>
      <c r="W611" s="55"/>
      <c r="X611" s="155"/>
      <c r="Y611" s="171"/>
      <c r="Z611" s="165"/>
      <c r="AA611" s="10"/>
      <c r="AB611" s="55"/>
      <c r="AC611" s="55"/>
      <c r="AD611" s="55"/>
      <c r="AE611" s="55"/>
      <c r="AF611" s="55"/>
      <c r="AG611" s="167"/>
      <c r="AH611" s="55"/>
      <c r="AI611" s="55"/>
      <c r="AJ611" s="165"/>
      <c r="AK611" s="55"/>
      <c r="AL611" s="55"/>
      <c r="AM611" s="55"/>
      <c r="AN611" s="55"/>
      <c r="AO611" s="55"/>
      <c r="AP611" s="55"/>
      <c r="AQ611" s="55"/>
      <c r="AR611" s="55"/>
      <c r="AS611" s="165"/>
      <c r="AT611" s="55"/>
      <c r="AU611" s="55"/>
      <c r="AV611" s="55"/>
      <c r="AW611" s="55"/>
      <c r="AX611" s="55"/>
      <c r="AY611" s="55"/>
      <c r="AZ611" s="55"/>
      <c r="BA611" s="55"/>
      <c r="BB611" s="165"/>
      <c r="BC611" s="55"/>
      <c r="BD611" s="55"/>
      <c r="BE611" s="55"/>
      <c r="BF611" s="165"/>
      <c r="BG611" s="55"/>
      <c r="BH611" s="10"/>
      <c r="BI611" s="55"/>
      <c r="BJ611" s="55"/>
      <c r="BK611" s="55"/>
      <c r="BL611" s="55"/>
      <c r="BT611" s="141"/>
      <c r="CN611" s="141"/>
      <c r="DG611" s="141"/>
    </row>
    <row r="612" spans="1:111" s="93" customFormat="1" x14ac:dyDescent="0.15">
      <c r="A612" s="11"/>
      <c r="B612" s="13"/>
      <c r="C612" s="12"/>
      <c r="D612" s="13"/>
      <c r="E612" s="13"/>
      <c r="F612" s="12"/>
      <c r="G612" s="55"/>
      <c r="H612" s="55"/>
      <c r="I612" s="55"/>
      <c r="J612" s="55"/>
      <c r="K612" s="55"/>
      <c r="L612" s="158"/>
      <c r="M612" s="10"/>
      <c r="N612" s="55"/>
      <c r="O612" s="55"/>
      <c r="P612" s="10"/>
      <c r="Q612" s="10"/>
      <c r="R612" s="155"/>
      <c r="S612" s="171"/>
      <c r="T612" s="161"/>
      <c r="U612" s="55"/>
      <c r="V612" s="55"/>
      <c r="W612" s="55"/>
      <c r="X612" s="155"/>
      <c r="Y612" s="171"/>
      <c r="Z612" s="165"/>
      <c r="AA612" s="10"/>
      <c r="AB612" s="55"/>
      <c r="AC612" s="55"/>
      <c r="AD612" s="55"/>
      <c r="AE612" s="55"/>
      <c r="AF612" s="55"/>
      <c r="AG612" s="167"/>
      <c r="AH612" s="55"/>
      <c r="AI612" s="55"/>
      <c r="AJ612" s="165"/>
      <c r="AK612" s="55"/>
      <c r="AL612" s="55"/>
      <c r="AM612" s="55"/>
      <c r="AN612" s="55"/>
      <c r="AO612" s="55"/>
      <c r="AP612" s="55"/>
      <c r="AQ612" s="55"/>
      <c r="AR612" s="55"/>
      <c r="AS612" s="165"/>
      <c r="AT612" s="55"/>
      <c r="AU612" s="55"/>
      <c r="AV612" s="55"/>
      <c r="AW612" s="55"/>
      <c r="AX612" s="55"/>
      <c r="AY612" s="55"/>
      <c r="AZ612" s="55"/>
      <c r="BA612" s="55"/>
      <c r="BB612" s="165"/>
      <c r="BC612" s="55"/>
      <c r="BD612" s="55"/>
      <c r="BE612" s="55"/>
      <c r="BF612" s="165"/>
      <c r="BG612" s="55"/>
      <c r="BH612" s="10"/>
      <c r="BI612" s="55"/>
      <c r="BJ612" s="55"/>
      <c r="BK612" s="55"/>
      <c r="BL612" s="55"/>
      <c r="BT612" s="141"/>
      <c r="CN612" s="141"/>
      <c r="DG612" s="141"/>
    </row>
    <row r="613" spans="1:111" s="93" customFormat="1" x14ac:dyDescent="0.15">
      <c r="A613" s="11"/>
      <c r="B613" s="13"/>
      <c r="C613" s="12"/>
      <c r="D613" s="13"/>
      <c r="E613" s="13"/>
      <c r="F613" s="12"/>
      <c r="G613" s="55"/>
      <c r="H613" s="55"/>
      <c r="I613" s="55"/>
      <c r="J613" s="55"/>
      <c r="K613" s="55"/>
      <c r="L613" s="158"/>
      <c r="M613" s="10"/>
      <c r="N613" s="55"/>
      <c r="O613" s="55"/>
      <c r="P613" s="10"/>
      <c r="Q613" s="10"/>
      <c r="R613" s="155"/>
      <c r="S613" s="171"/>
      <c r="T613" s="161"/>
      <c r="U613" s="55"/>
      <c r="V613" s="55"/>
      <c r="W613" s="55"/>
      <c r="X613" s="155"/>
      <c r="Y613" s="171"/>
      <c r="Z613" s="165"/>
      <c r="AA613" s="10"/>
      <c r="AB613" s="55"/>
      <c r="AC613" s="55"/>
      <c r="AD613" s="55"/>
      <c r="AE613" s="55"/>
      <c r="AF613" s="55"/>
      <c r="AG613" s="167"/>
      <c r="AH613" s="55"/>
      <c r="AI613" s="55"/>
      <c r="AJ613" s="165"/>
      <c r="AK613" s="55"/>
      <c r="AL613" s="55"/>
      <c r="AM613" s="55"/>
      <c r="AN613" s="55"/>
      <c r="AO613" s="55"/>
      <c r="AP613" s="55"/>
      <c r="AQ613" s="55"/>
      <c r="AR613" s="55"/>
      <c r="AS613" s="165"/>
      <c r="AT613" s="55"/>
      <c r="AU613" s="55"/>
      <c r="AV613" s="55"/>
      <c r="AW613" s="55"/>
      <c r="AX613" s="55"/>
      <c r="AY613" s="55"/>
      <c r="AZ613" s="55"/>
      <c r="BA613" s="55"/>
      <c r="BB613" s="165"/>
      <c r="BC613" s="55"/>
      <c r="BD613" s="55"/>
      <c r="BE613" s="55"/>
      <c r="BF613" s="165"/>
      <c r="BG613" s="55"/>
      <c r="BH613" s="10"/>
      <c r="BI613" s="55"/>
      <c r="BJ613" s="55"/>
      <c r="BK613" s="55"/>
      <c r="BL613" s="55"/>
      <c r="BT613" s="141"/>
      <c r="CN613" s="141"/>
      <c r="DG613" s="141"/>
    </row>
    <row r="614" spans="1:111" s="93" customFormat="1" ht="19.5" customHeight="1" x14ac:dyDescent="0.15">
      <c r="A614" s="11"/>
      <c r="B614" s="13"/>
      <c r="C614" s="12"/>
      <c r="D614" s="13"/>
      <c r="E614" s="13"/>
      <c r="F614" s="12"/>
      <c r="G614" s="55"/>
      <c r="H614" s="55"/>
      <c r="I614" s="55"/>
      <c r="J614" s="55"/>
      <c r="K614" s="55"/>
      <c r="L614" s="158"/>
      <c r="M614" s="10"/>
      <c r="N614" s="55"/>
      <c r="O614" s="55"/>
      <c r="P614" s="10"/>
      <c r="Q614" s="10"/>
      <c r="R614" s="155"/>
      <c r="S614" s="171"/>
      <c r="T614" s="161"/>
      <c r="U614" s="55"/>
      <c r="V614" s="55"/>
      <c r="W614" s="55"/>
      <c r="X614" s="155"/>
      <c r="Y614" s="171"/>
      <c r="Z614" s="165"/>
      <c r="AA614" s="10"/>
      <c r="AB614" s="55"/>
      <c r="AC614" s="55"/>
      <c r="AD614" s="55"/>
      <c r="AE614" s="55"/>
      <c r="AF614" s="55"/>
      <c r="AG614" s="167"/>
      <c r="AH614" s="55"/>
      <c r="AI614" s="55"/>
      <c r="AJ614" s="165"/>
      <c r="AK614" s="55"/>
      <c r="AL614" s="55"/>
      <c r="AM614" s="55"/>
      <c r="AN614" s="55"/>
      <c r="AO614" s="55"/>
      <c r="AP614" s="55"/>
      <c r="AQ614" s="55"/>
      <c r="AR614" s="55"/>
      <c r="AS614" s="165"/>
      <c r="AT614" s="55"/>
      <c r="AU614" s="55"/>
      <c r="AV614" s="55"/>
      <c r="AW614" s="55"/>
      <c r="AX614" s="55"/>
      <c r="AY614" s="55"/>
      <c r="AZ614" s="55"/>
      <c r="BA614" s="55"/>
      <c r="BB614" s="165"/>
      <c r="BC614" s="55"/>
      <c r="BD614" s="55"/>
      <c r="BE614" s="55"/>
      <c r="BF614" s="165"/>
      <c r="BG614" s="55"/>
      <c r="BH614" s="10"/>
      <c r="BI614" s="55"/>
      <c r="BJ614" s="55"/>
      <c r="BK614" s="55"/>
      <c r="BL614" s="55"/>
      <c r="BT614" s="141"/>
      <c r="CN614" s="141"/>
      <c r="DG614" s="141"/>
    </row>
  </sheetData>
  <phoneticPr fontId="1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3"/>
  <sheetViews>
    <sheetView topLeftCell="H1" workbookViewId="0">
      <selection activeCell="N23" sqref="N23"/>
    </sheetView>
  </sheetViews>
  <sheetFormatPr defaultRowHeight="16.5" x14ac:dyDescent="0.15"/>
  <cols>
    <col min="1" max="1" width="11.25" style="11" bestFit="1" customWidth="1"/>
    <col min="2" max="2" width="7.125" style="10" customWidth="1"/>
    <col min="3" max="3" width="3.5" style="102" customWidth="1"/>
    <col min="4" max="4" width="3.875" style="10" customWidth="1"/>
    <col min="5" max="5" width="2.875" style="10" bestFit="1" customWidth="1"/>
    <col min="6" max="6" width="3.125" style="102" customWidth="1"/>
    <col min="7" max="7" width="28.125" style="10" customWidth="1"/>
    <col min="8" max="8" width="78.25" style="10" customWidth="1"/>
    <col min="9" max="13" width="18" style="55" customWidth="1"/>
    <col min="14" max="14" width="18" style="10" customWidth="1"/>
    <col min="15" max="15" width="11.375" style="96" customWidth="1"/>
    <col min="16" max="16" width="11.875" style="98" customWidth="1"/>
    <col min="17" max="17" width="13.75" style="96" customWidth="1"/>
    <col min="18" max="19" width="13.75" style="101" customWidth="1"/>
    <col min="20" max="20" width="69.125" style="96" customWidth="1"/>
    <col min="21" max="21" width="13.75" style="101" customWidth="1"/>
    <col min="22" max="22" width="9.875" style="98" customWidth="1"/>
    <col min="23" max="23" width="10.75" style="98" customWidth="1"/>
    <col min="24" max="24" width="12.625" style="98" customWidth="1"/>
    <col min="25" max="16384" width="9" style="98"/>
  </cols>
  <sheetData>
    <row r="1" spans="1:24" x14ac:dyDescent="0.15">
      <c r="A1" s="11" t="s">
        <v>552</v>
      </c>
      <c r="I1" s="55" t="s">
        <v>60</v>
      </c>
      <c r="J1" s="55" t="s">
        <v>60</v>
      </c>
      <c r="K1" s="55" t="s">
        <v>60</v>
      </c>
      <c r="L1" s="55" t="s">
        <v>60</v>
      </c>
      <c r="M1" s="55" t="s">
        <v>60</v>
      </c>
      <c r="O1" s="95"/>
      <c r="P1" s="11"/>
      <c r="R1" s="11"/>
      <c r="S1" s="11"/>
      <c r="T1" s="95"/>
      <c r="U1" s="11"/>
      <c r="V1" s="11"/>
      <c r="W1" s="11"/>
      <c r="X1" s="11"/>
    </row>
    <row r="2" spans="1:24" x14ac:dyDescent="0.15">
      <c r="A2" s="11" t="s">
        <v>61</v>
      </c>
      <c r="I2" s="55" t="s">
        <v>61</v>
      </c>
      <c r="J2" s="55" t="s">
        <v>61</v>
      </c>
      <c r="K2" s="55" t="s">
        <v>61</v>
      </c>
      <c r="L2" s="55" t="s">
        <v>61</v>
      </c>
      <c r="M2" s="55" t="s">
        <v>61</v>
      </c>
      <c r="P2" s="11"/>
      <c r="R2" s="11"/>
      <c r="S2" s="11"/>
    </row>
    <row r="3" spans="1:24" x14ac:dyDescent="0.15">
      <c r="A3" s="11" t="s">
        <v>558</v>
      </c>
      <c r="I3" s="55" t="s">
        <v>565</v>
      </c>
      <c r="J3" s="55" t="s">
        <v>566</v>
      </c>
      <c r="K3" s="55" t="s">
        <v>567</v>
      </c>
      <c r="L3" s="55" t="s">
        <v>572</v>
      </c>
      <c r="M3" s="55" t="s">
        <v>578</v>
      </c>
    </row>
    <row r="4" spans="1:24" s="99" customFormat="1" ht="64.5" customHeight="1" thickBot="1" x14ac:dyDescent="0.2">
      <c r="A4" s="94" t="s">
        <v>555</v>
      </c>
      <c r="B4" s="87" t="s">
        <v>650</v>
      </c>
      <c r="C4" s="103"/>
      <c r="D4" s="87"/>
      <c r="E4" s="87"/>
      <c r="F4" s="103"/>
      <c r="G4" s="90" t="s">
        <v>559</v>
      </c>
      <c r="H4" s="90" t="s">
        <v>562</v>
      </c>
      <c r="I4" s="89" t="s">
        <v>641</v>
      </c>
      <c r="J4" s="89" t="s">
        <v>642</v>
      </c>
      <c r="K4" s="89" t="s">
        <v>643</v>
      </c>
      <c r="L4" s="89" t="s">
        <v>570</v>
      </c>
      <c r="M4" s="89" t="s">
        <v>647</v>
      </c>
      <c r="N4" s="90"/>
      <c r="O4" s="100" t="s">
        <v>1323</v>
      </c>
      <c r="Q4" s="100"/>
      <c r="T4" s="100"/>
    </row>
    <row r="5" spans="1:24" x14ac:dyDescent="0.15">
      <c r="A5" s="11">
        <f>B5*10000000+C5*1000000+D5*10000+E5*100+F5</f>
        <v>30010000</v>
      </c>
      <c r="B5" s="17">
        <v>3</v>
      </c>
      <c r="C5" s="104">
        <v>0</v>
      </c>
      <c r="D5" s="17">
        <v>1</v>
      </c>
      <c r="E5" s="17">
        <v>0</v>
      </c>
      <c r="F5" s="104">
        <v>0</v>
      </c>
      <c r="G5" s="10" t="s">
        <v>560</v>
      </c>
      <c r="H5" s="11" t="s">
        <v>1440</v>
      </c>
    </row>
    <row r="6" spans="1:24" x14ac:dyDescent="0.15">
      <c r="A6" s="11">
        <f t="shared" ref="A6:A18" si="0">B6*10000000+C6*1000000+D6*10000+E6*100+F6</f>
        <v>30020000</v>
      </c>
      <c r="B6" s="10">
        <v>3</v>
      </c>
      <c r="C6" s="102">
        <v>0</v>
      </c>
      <c r="D6" s="10">
        <v>2</v>
      </c>
      <c r="E6" s="10">
        <v>0</v>
      </c>
      <c r="F6" s="102">
        <v>0</v>
      </c>
      <c r="G6" s="10" t="s">
        <v>1224</v>
      </c>
      <c r="H6" s="11" t="s">
        <v>1223</v>
      </c>
      <c r="I6" s="55">
        <v>2800000</v>
      </c>
      <c r="J6" s="55">
        <v>60</v>
      </c>
      <c r="K6" s="55">
        <v>60</v>
      </c>
      <c r="O6" s="97"/>
    </row>
    <row r="7" spans="1:24" x14ac:dyDescent="0.15">
      <c r="A7" s="11">
        <f t="shared" si="0"/>
        <v>30030000</v>
      </c>
      <c r="B7" s="10">
        <v>3</v>
      </c>
      <c r="C7" s="102">
        <v>0</v>
      </c>
      <c r="D7" s="10">
        <v>3</v>
      </c>
      <c r="E7" s="10">
        <v>0</v>
      </c>
      <c r="F7" s="102">
        <v>0</v>
      </c>
      <c r="G7" s="10" t="s">
        <v>563</v>
      </c>
      <c r="H7" s="11" t="s">
        <v>571</v>
      </c>
      <c r="I7" s="55">
        <v>1000</v>
      </c>
      <c r="J7" s="55">
        <v>50</v>
      </c>
      <c r="K7" s="55">
        <v>70</v>
      </c>
      <c r="O7" s="97"/>
    </row>
    <row r="8" spans="1:24" x14ac:dyDescent="0.15">
      <c r="A8" s="11">
        <f t="shared" si="0"/>
        <v>30040000</v>
      </c>
      <c r="B8" s="10">
        <v>3</v>
      </c>
      <c r="C8" s="102">
        <v>0</v>
      </c>
      <c r="D8" s="10">
        <v>4</v>
      </c>
      <c r="E8" s="10">
        <v>0</v>
      </c>
      <c r="F8" s="102">
        <v>0</v>
      </c>
      <c r="G8" s="10" t="s">
        <v>561</v>
      </c>
      <c r="H8" s="11" t="s">
        <v>1441</v>
      </c>
    </row>
    <row r="9" spans="1:24" x14ac:dyDescent="0.15">
      <c r="A9" s="11">
        <f t="shared" si="0"/>
        <v>30050000</v>
      </c>
      <c r="B9" s="10">
        <v>3</v>
      </c>
      <c r="C9" s="102">
        <v>0</v>
      </c>
      <c r="D9" s="10">
        <v>5</v>
      </c>
      <c r="E9" s="10">
        <v>0</v>
      </c>
      <c r="F9" s="102">
        <v>0</v>
      </c>
      <c r="G9" s="10" t="s">
        <v>564</v>
      </c>
      <c r="H9" s="11" t="s">
        <v>1453</v>
      </c>
      <c r="I9" s="55">
        <v>105</v>
      </c>
      <c r="J9" s="55">
        <v>85</v>
      </c>
      <c r="K9" s="55">
        <v>100</v>
      </c>
    </row>
    <row r="10" spans="1:24" x14ac:dyDescent="0.15">
      <c r="A10" s="11">
        <f t="shared" si="0"/>
        <v>30060000</v>
      </c>
      <c r="B10" s="10">
        <v>3</v>
      </c>
      <c r="C10" s="102">
        <v>0</v>
      </c>
      <c r="D10" s="10">
        <v>6</v>
      </c>
      <c r="E10" s="10">
        <v>0</v>
      </c>
      <c r="F10" s="102">
        <v>0</v>
      </c>
      <c r="G10" s="10" t="s">
        <v>655</v>
      </c>
      <c r="H10" s="11" t="s">
        <v>623</v>
      </c>
      <c r="I10" s="55">
        <v>100</v>
      </c>
    </row>
    <row r="11" spans="1:24" x14ac:dyDescent="0.15">
      <c r="A11" s="11">
        <f t="shared" si="0"/>
        <v>30070000</v>
      </c>
      <c r="B11" s="10">
        <v>3</v>
      </c>
      <c r="C11" s="102">
        <v>0</v>
      </c>
      <c r="D11" s="10">
        <v>7</v>
      </c>
      <c r="E11" s="10">
        <v>0</v>
      </c>
      <c r="F11" s="102">
        <v>0</v>
      </c>
      <c r="G11" s="10" t="s">
        <v>639</v>
      </c>
      <c r="H11" s="10" t="s">
        <v>644</v>
      </c>
      <c r="I11" s="55">
        <v>500</v>
      </c>
    </row>
    <row r="12" spans="1:24" x14ac:dyDescent="0.15">
      <c r="A12" s="11">
        <f t="shared" si="0"/>
        <v>30080000</v>
      </c>
      <c r="B12" s="10">
        <v>3</v>
      </c>
      <c r="C12" s="102">
        <v>0</v>
      </c>
      <c r="D12" s="10">
        <v>8</v>
      </c>
      <c r="E12" s="10">
        <v>0</v>
      </c>
      <c r="F12" s="102">
        <v>0</v>
      </c>
      <c r="G12" s="10" t="s">
        <v>640</v>
      </c>
      <c r="H12" s="10" t="s">
        <v>644</v>
      </c>
      <c r="I12" s="55">
        <v>5000</v>
      </c>
    </row>
    <row r="13" spans="1:24" x14ac:dyDescent="0.15">
      <c r="A13" s="11">
        <f t="shared" si="0"/>
        <v>30090000</v>
      </c>
      <c r="B13" s="10">
        <v>3</v>
      </c>
      <c r="C13" s="102">
        <v>0</v>
      </c>
      <c r="D13" s="10">
        <v>9</v>
      </c>
      <c r="E13" s="10">
        <v>0</v>
      </c>
      <c r="F13" s="102">
        <v>0</v>
      </c>
      <c r="G13" s="10" t="s">
        <v>646</v>
      </c>
      <c r="H13" s="10" t="s">
        <v>648</v>
      </c>
      <c r="L13" s="55">
        <v>30</v>
      </c>
    </row>
    <row r="14" spans="1:24" s="101" customFormat="1" x14ac:dyDescent="0.15">
      <c r="A14" s="11">
        <f t="shared" si="0"/>
        <v>30100000</v>
      </c>
      <c r="B14" s="10">
        <v>3</v>
      </c>
      <c r="C14" s="102">
        <v>0</v>
      </c>
      <c r="D14" s="10">
        <v>10</v>
      </c>
      <c r="E14" s="10">
        <v>0</v>
      </c>
      <c r="F14" s="102">
        <v>0</v>
      </c>
      <c r="G14" s="10" t="s">
        <v>652</v>
      </c>
      <c r="H14" s="10" t="s">
        <v>653</v>
      </c>
      <c r="I14" s="55"/>
      <c r="J14" s="55"/>
      <c r="K14" s="55"/>
      <c r="L14" s="55">
        <v>10</v>
      </c>
      <c r="M14" s="55"/>
      <c r="N14" s="10"/>
      <c r="O14" s="96"/>
      <c r="Q14" s="96"/>
      <c r="T14" s="96"/>
    </row>
    <row r="15" spans="1:24" s="101" customFormat="1" x14ac:dyDescent="0.15">
      <c r="A15" s="11">
        <f t="shared" si="0"/>
        <v>30110000</v>
      </c>
      <c r="B15" s="10">
        <v>3</v>
      </c>
      <c r="C15" s="102">
        <v>0</v>
      </c>
      <c r="D15" s="10">
        <v>11</v>
      </c>
      <c r="E15" s="10">
        <v>0</v>
      </c>
      <c r="F15" s="102">
        <v>0</v>
      </c>
      <c r="G15" s="10" t="s">
        <v>657</v>
      </c>
      <c r="H15" s="10" t="s">
        <v>651</v>
      </c>
      <c r="I15" s="55"/>
      <c r="J15" s="55"/>
      <c r="K15" s="55"/>
      <c r="L15" s="55"/>
      <c r="M15" s="55">
        <v>30</v>
      </c>
      <c r="N15" s="10">
        <f>IF((1-(1-M15/10000)^1440)=0,"",1-(1-M15/10000)^1440)</f>
        <v>0.98678619270966395</v>
      </c>
      <c r="O15" s="96">
        <v>15</v>
      </c>
      <c r="Q15" s="96"/>
      <c r="T15" s="96"/>
    </row>
    <row r="16" spans="1:24" s="101" customFormat="1" x14ac:dyDescent="0.15">
      <c r="A16" s="11">
        <f t="shared" si="0"/>
        <v>30120000</v>
      </c>
      <c r="B16" s="10">
        <v>3</v>
      </c>
      <c r="C16" s="102">
        <v>0</v>
      </c>
      <c r="D16" s="10">
        <v>12</v>
      </c>
      <c r="E16" s="10">
        <v>0</v>
      </c>
      <c r="F16" s="102">
        <v>0</v>
      </c>
      <c r="G16" s="10" t="s">
        <v>658</v>
      </c>
      <c r="H16" s="10" t="s">
        <v>656</v>
      </c>
      <c r="I16" s="55"/>
      <c r="J16" s="55"/>
      <c r="K16" s="55"/>
      <c r="L16" s="55">
        <v>50</v>
      </c>
      <c r="M16" s="55"/>
      <c r="N16" s="10"/>
      <c r="O16" s="96">
        <v>5</v>
      </c>
      <c r="Q16" s="96"/>
      <c r="T16" s="96"/>
    </row>
    <row r="17" spans="1:20" s="101" customFormat="1" x14ac:dyDescent="0.15">
      <c r="A17" s="11">
        <f t="shared" si="0"/>
        <v>30130000</v>
      </c>
      <c r="B17" s="10">
        <v>3</v>
      </c>
      <c r="C17" s="102">
        <v>0</v>
      </c>
      <c r="D17" s="10">
        <v>13</v>
      </c>
      <c r="E17" s="10">
        <v>0</v>
      </c>
      <c r="F17" s="102">
        <v>0</v>
      </c>
      <c r="G17" s="10" t="s">
        <v>659</v>
      </c>
      <c r="H17" s="10" t="s">
        <v>660</v>
      </c>
      <c r="I17" s="55"/>
      <c r="J17" s="55"/>
      <c r="K17" s="55"/>
      <c r="L17" s="55">
        <v>1</v>
      </c>
      <c r="M17" s="55"/>
      <c r="N17" s="10"/>
      <c r="O17" s="96">
        <v>2</v>
      </c>
      <c r="Q17" s="96"/>
      <c r="T17" s="96"/>
    </row>
    <row r="18" spans="1:20" s="101" customFormat="1" x14ac:dyDescent="0.15">
      <c r="A18" s="11">
        <f t="shared" si="0"/>
        <v>30140000</v>
      </c>
      <c r="B18" s="10">
        <v>3</v>
      </c>
      <c r="C18" s="102">
        <v>0</v>
      </c>
      <c r="D18" s="10">
        <v>14</v>
      </c>
      <c r="E18" s="10">
        <v>0</v>
      </c>
      <c r="F18" s="102">
        <v>0</v>
      </c>
      <c r="G18" s="10" t="s">
        <v>799</v>
      </c>
      <c r="H18" s="10" t="s">
        <v>800</v>
      </c>
      <c r="I18" s="55">
        <v>5</v>
      </c>
      <c r="J18" s="55"/>
      <c r="K18" s="55"/>
      <c r="L18" s="55"/>
      <c r="M18" s="55"/>
      <c r="N18" s="10"/>
      <c r="O18" s="96"/>
      <c r="Q18" s="96"/>
      <c r="T18" s="96"/>
    </row>
    <row r="19" spans="1:20" s="101" customFormat="1" x14ac:dyDescent="0.15">
      <c r="A19" s="11">
        <f t="shared" ref="A19" si="1">B19*10000000+C19*1000000+D19*10000+E19*100+F19</f>
        <v>30150000</v>
      </c>
      <c r="B19" s="10">
        <v>3</v>
      </c>
      <c r="C19" s="102">
        <v>0</v>
      </c>
      <c r="D19" s="10">
        <v>15</v>
      </c>
      <c r="E19" s="10">
        <v>0</v>
      </c>
      <c r="F19" s="102">
        <v>0</v>
      </c>
      <c r="G19" s="10" t="s">
        <v>1326</v>
      </c>
      <c r="H19" s="11" t="s">
        <v>1327</v>
      </c>
      <c r="I19" s="55">
        <v>90</v>
      </c>
      <c r="J19" s="55">
        <v>300</v>
      </c>
      <c r="K19" s="55"/>
      <c r="L19" s="55"/>
      <c r="M19" s="55">
        <v>100</v>
      </c>
      <c r="N19" s="10"/>
      <c r="O19" s="96"/>
      <c r="Q19" s="96"/>
      <c r="T19" s="96"/>
    </row>
    <row r="20" spans="1:20" s="101" customFormat="1" x14ac:dyDescent="0.15">
      <c r="A20" s="11"/>
      <c r="B20" s="10"/>
      <c r="C20" s="102"/>
      <c r="D20" s="10"/>
      <c r="E20" s="10"/>
      <c r="F20" s="102"/>
      <c r="G20" s="10"/>
      <c r="H20" s="10"/>
      <c r="I20" s="55"/>
      <c r="J20" s="55"/>
      <c r="K20" s="55"/>
      <c r="L20" s="55"/>
      <c r="M20" s="55"/>
      <c r="N20" s="10"/>
      <c r="O20" s="96"/>
      <c r="Q20" s="96"/>
      <c r="T20" s="96"/>
    </row>
    <row r="21" spans="1:20" s="101" customFormat="1" x14ac:dyDescent="0.15">
      <c r="A21" s="11"/>
      <c r="B21" s="10"/>
      <c r="C21" s="102"/>
      <c r="D21" s="10"/>
      <c r="E21" s="10"/>
      <c r="F21" s="102"/>
      <c r="G21" s="10"/>
      <c r="H21" s="10"/>
      <c r="I21" s="55"/>
      <c r="J21" s="55"/>
      <c r="K21" s="55"/>
      <c r="L21" s="55"/>
      <c r="M21" s="55"/>
      <c r="N21" s="10"/>
      <c r="O21" s="96"/>
      <c r="Q21" s="96"/>
      <c r="T21" s="96"/>
    </row>
    <row r="22" spans="1:20" s="101" customFormat="1" x14ac:dyDescent="0.15">
      <c r="A22" s="11"/>
      <c r="B22" s="10"/>
      <c r="C22" s="102"/>
      <c r="D22" s="10"/>
      <c r="E22" s="10"/>
      <c r="F22" s="102"/>
      <c r="G22" s="10"/>
      <c r="H22" s="10"/>
      <c r="I22" s="55"/>
      <c r="J22" s="55"/>
      <c r="K22" s="55"/>
      <c r="L22" s="55"/>
      <c r="M22" s="55"/>
      <c r="N22" s="10"/>
      <c r="O22" s="96"/>
      <c r="Q22" s="96"/>
      <c r="T22" s="96"/>
    </row>
    <row r="23" spans="1:20" s="101" customFormat="1" x14ac:dyDescent="0.15">
      <c r="A23" s="11"/>
      <c r="B23" s="10"/>
      <c r="C23" s="102"/>
      <c r="D23" s="10"/>
      <c r="E23" s="10"/>
      <c r="F23" s="102"/>
      <c r="G23" s="10"/>
      <c r="H23" s="10"/>
      <c r="I23" s="55"/>
      <c r="J23" s="55"/>
      <c r="K23" s="55"/>
      <c r="L23" s="55"/>
      <c r="M23" s="55"/>
      <c r="N23" s="10"/>
      <c r="O23" s="96"/>
      <c r="Q23" s="96"/>
      <c r="T23" s="96"/>
    </row>
    <row r="24" spans="1:20" s="101" customFormat="1" x14ac:dyDescent="0.15">
      <c r="A24" s="11"/>
      <c r="B24" s="10"/>
      <c r="C24" s="102"/>
      <c r="D24" s="10"/>
      <c r="E24" s="10"/>
      <c r="F24" s="102"/>
      <c r="G24" s="10"/>
      <c r="H24" s="10"/>
      <c r="I24" s="55"/>
      <c r="J24" s="55"/>
      <c r="K24" s="55"/>
      <c r="L24" s="55"/>
      <c r="M24" s="55"/>
      <c r="N24" s="10"/>
      <c r="O24" s="96"/>
      <c r="Q24" s="96"/>
      <c r="T24" s="96"/>
    </row>
    <row r="25" spans="1:20" s="101" customFormat="1" x14ac:dyDescent="0.15">
      <c r="A25" s="11"/>
      <c r="B25" s="10"/>
      <c r="C25" s="102"/>
      <c r="D25" s="10"/>
      <c r="E25" s="10"/>
      <c r="F25" s="102"/>
      <c r="G25" s="10"/>
      <c r="H25" s="10"/>
      <c r="I25" s="55"/>
      <c r="J25" s="55"/>
      <c r="K25" s="55"/>
      <c r="L25" s="55"/>
      <c r="M25" s="55"/>
      <c r="N25" s="10"/>
      <c r="O25" s="96"/>
      <c r="Q25" s="96"/>
      <c r="T25" s="96"/>
    </row>
    <row r="26" spans="1:20" s="101" customFormat="1" x14ac:dyDescent="0.15">
      <c r="A26" s="11"/>
      <c r="B26" s="10"/>
      <c r="C26" s="102"/>
      <c r="D26" s="10"/>
      <c r="E26" s="10"/>
      <c r="F26" s="102"/>
      <c r="G26" s="10"/>
      <c r="H26" s="10"/>
      <c r="I26" s="55"/>
      <c r="J26" s="55"/>
      <c r="K26" s="55"/>
      <c r="L26" s="55"/>
      <c r="M26" s="55"/>
      <c r="N26" s="10"/>
      <c r="O26" s="96"/>
      <c r="Q26" s="96"/>
      <c r="T26" s="96"/>
    </row>
    <row r="27" spans="1:20" s="101" customFormat="1" x14ac:dyDescent="0.15">
      <c r="A27" s="11"/>
      <c r="B27" s="10"/>
      <c r="C27" s="102"/>
      <c r="D27" s="10"/>
      <c r="E27" s="10"/>
      <c r="F27" s="102"/>
      <c r="G27" s="10"/>
      <c r="H27" s="10"/>
      <c r="I27" s="55"/>
      <c r="J27" s="55"/>
      <c r="K27" s="55"/>
      <c r="L27" s="55"/>
      <c r="M27" s="55"/>
      <c r="N27" s="10"/>
      <c r="O27" s="96"/>
      <c r="Q27" s="96"/>
      <c r="T27" s="96"/>
    </row>
    <row r="28" spans="1:20" s="101" customFormat="1" x14ac:dyDescent="0.15">
      <c r="A28" s="11"/>
      <c r="B28" s="10"/>
      <c r="C28" s="102"/>
      <c r="D28" s="10"/>
      <c r="E28" s="10"/>
      <c r="F28" s="102"/>
      <c r="G28" s="10"/>
      <c r="H28" s="10"/>
      <c r="I28" s="55"/>
      <c r="J28" s="55"/>
      <c r="K28" s="55"/>
      <c r="L28" s="55"/>
      <c r="M28" s="55"/>
      <c r="N28" s="10"/>
      <c r="O28" s="96"/>
      <c r="Q28" s="96"/>
      <c r="T28" s="96"/>
    </row>
    <row r="29" spans="1:20" s="101" customFormat="1" x14ac:dyDescent="0.15">
      <c r="A29" s="11"/>
      <c r="B29" s="10"/>
      <c r="C29" s="102"/>
      <c r="D29" s="10"/>
      <c r="E29" s="10"/>
      <c r="F29" s="102"/>
      <c r="G29" s="10"/>
      <c r="H29" s="10"/>
      <c r="I29" s="55"/>
      <c r="J29" s="55"/>
      <c r="K29" s="55"/>
      <c r="L29" s="55"/>
      <c r="M29" s="55"/>
      <c r="N29" s="10"/>
      <c r="O29" s="96"/>
      <c r="Q29" s="96"/>
      <c r="T29" s="96"/>
    </row>
    <row r="30" spans="1:20" s="101" customFormat="1" x14ac:dyDescent="0.15">
      <c r="A30" s="11"/>
      <c r="B30" s="10"/>
      <c r="C30" s="102"/>
      <c r="D30" s="10"/>
      <c r="E30" s="10"/>
      <c r="F30" s="102"/>
      <c r="G30" s="10"/>
      <c r="H30" s="10"/>
      <c r="I30" s="55"/>
      <c r="J30" s="55"/>
      <c r="K30" s="55"/>
      <c r="L30" s="55"/>
      <c r="M30" s="55"/>
      <c r="N30" s="10"/>
      <c r="O30" s="96"/>
      <c r="Q30" s="96"/>
      <c r="T30" s="96"/>
    </row>
    <row r="31" spans="1:20" s="101" customFormat="1" x14ac:dyDescent="0.15">
      <c r="A31" s="11"/>
      <c r="B31" s="10"/>
      <c r="C31" s="102"/>
      <c r="D31" s="10"/>
      <c r="E31" s="10"/>
      <c r="F31" s="102"/>
      <c r="G31" s="10"/>
      <c r="H31" s="10"/>
      <c r="I31" s="55"/>
      <c r="J31" s="55"/>
      <c r="K31" s="55"/>
      <c r="L31" s="55"/>
      <c r="M31" s="55"/>
      <c r="N31" s="10"/>
      <c r="O31" s="96"/>
      <c r="Q31" s="96"/>
      <c r="T31" s="96"/>
    </row>
    <row r="32" spans="1:20" s="101" customFormat="1" x14ac:dyDescent="0.15">
      <c r="A32" s="11"/>
      <c r="B32" s="10"/>
      <c r="C32" s="102"/>
      <c r="D32" s="10"/>
      <c r="E32" s="10"/>
      <c r="F32" s="102"/>
      <c r="G32" s="10"/>
      <c r="H32" s="10"/>
      <c r="I32" s="55"/>
      <c r="J32" s="55"/>
      <c r="K32" s="55"/>
      <c r="L32" s="55"/>
      <c r="M32" s="55"/>
      <c r="N32" s="10"/>
      <c r="O32" s="96"/>
      <c r="Q32" s="96"/>
      <c r="T32" s="96"/>
    </row>
    <row r="33" spans="1:20" s="101" customFormat="1" x14ac:dyDescent="0.15">
      <c r="A33" s="11"/>
      <c r="B33" s="10"/>
      <c r="C33" s="102"/>
      <c r="D33" s="10"/>
      <c r="E33" s="10"/>
      <c r="F33" s="102"/>
      <c r="G33" s="10"/>
      <c r="H33" s="10"/>
      <c r="I33" s="55"/>
      <c r="J33" s="55"/>
      <c r="K33" s="55"/>
      <c r="L33" s="55"/>
      <c r="M33" s="55"/>
      <c r="N33" s="10"/>
      <c r="O33" s="96"/>
      <c r="Q33" s="96"/>
      <c r="T33" s="96"/>
    </row>
    <row r="34" spans="1:20" s="101" customFormat="1" x14ac:dyDescent="0.15">
      <c r="A34" s="11"/>
      <c r="B34" s="10"/>
      <c r="C34" s="102"/>
      <c r="D34" s="10"/>
      <c r="E34" s="10"/>
      <c r="F34" s="102"/>
      <c r="G34" s="10"/>
      <c r="H34" s="10"/>
      <c r="I34" s="55"/>
      <c r="J34" s="55"/>
      <c r="K34" s="55"/>
      <c r="L34" s="55"/>
      <c r="M34" s="55"/>
      <c r="N34" s="10"/>
      <c r="O34" s="96"/>
      <c r="Q34" s="96"/>
      <c r="T34" s="96"/>
    </row>
    <row r="35" spans="1:20" s="101" customFormat="1" x14ac:dyDescent="0.15">
      <c r="A35" s="11"/>
      <c r="B35" s="10"/>
      <c r="C35" s="102"/>
      <c r="D35" s="10"/>
      <c r="E35" s="10"/>
      <c r="F35" s="102"/>
      <c r="G35" s="10"/>
      <c r="H35" s="10"/>
      <c r="I35" s="55"/>
      <c r="J35" s="55"/>
      <c r="K35" s="55"/>
      <c r="L35" s="55"/>
      <c r="M35" s="55"/>
      <c r="N35" s="10"/>
      <c r="O35" s="96"/>
      <c r="Q35" s="96"/>
      <c r="T35" s="96"/>
    </row>
    <row r="36" spans="1:20" s="101" customFormat="1" x14ac:dyDescent="0.15">
      <c r="A36" s="11"/>
      <c r="B36" s="10"/>
      <c r="C36" s="102"/>
      <c r="D36" s="10"/>
      <c r="E36" s="10"/>
      <c r="F36" s="102"/>
      <c r="G36" s="10"/>
      <c r="H36" s="10"/>
      <c r="I36" s="55"/>
      <c r="J36" s="55"/>
      <c r="K36" s="55"/>
      <c r="L36" s="55"/>
      <c r="M36" s="55"/>
      <c r="N36" s="10"/>
      <c r="O36" s="96"/>
      <c r="Q36" s="96"/>
      <c r="T36" s="96"/>
    </row>
    <row r="37" spans="1:20" s="101" customFormat="1" x14ac:dyDescent="0.15">
      <c r="A37" s="11"/>
      <c r="B37" s="10"/>
      <c r="C37" s="102"/>
      <c r="D37" s="10"/>
      <c r="E37" s="10"/>
      <c r="F37" s="102"/>
      <c r="G37" s="10"/>
      <c r="H37" s="10"/>
      <c r="I37" s="55"/>
      <c r="J37" s="55"/>
      <c r="K37" s="55"/>
      <c r="L37" s="55"/>
      <c r="M37" s="55"/>
      <c r="N37" s="10"/>
      <c r="O37" s="96"/>
      <c r="Q37" s="96"/>
      <c r="T37" s="96"/>
    </row>
    <row r="38" spans="1:20" s="101" customFormat="1" x14ac:dyDescent="0.15">
      <c r="A38" s="11"/>
      <c r="B38" s="10"/>
      <c r="C38" s="102"/>
      <c r="D38" s="10"/>
      <c r="E38" s="10"/>
      <c r="F38" s="102"/>
      <c r="G38" s="10"/>
      <c r="H38" s="10"/>
      <c r="I38" s="55"/>
      <c r="J38" s="55"/>
      <c r="K38" s="55"/>
      <c r="L38" s="55"/>
      <c r="M38" s="55"/>
      <c r="N38" s="10"/>
      <c r="O38" s="96"/>
      <c r="Q38" s="96"/>
      <c r="T38" s="96"/>
    </row>
    <row r="39" spans="1:20" s="101" customFormat="1" x14ac:dyDescent="0.15">
      <c r="A39" s="11"/>
      <c r="B39" s="10"/>
      <c r="C39" s="102"/>
      <c r="D39" s="10"/>
      <c r="E39" s="10"/>
      <c r="F39" s="102"/>
      <c r="G39" s="10"/>
      <c r="H39" s="10"/>
      <c r="I39" s="55"/>
      <c r="J39" s="55"/>
      <c r="K39" s="55"/>
      <c r="L39" s="55"/>
      <c r="M39" s="55"/>
      <c r="N39" s="10"/>
      <c r="O39" s="96"/>
      <c r="Q39" s="96"/>
      <c r="T39" s="96"/>
    </row>
    <row r="40" spans="1:20" s="101" customFormat="1" x14ac:dyDescent="0.15">
      <c r="A40" s="11"/>
      <c r="B40" s="10"/>
      <c r="C40" s="102"/>
      <c r="D40" s="10"/>
      <c r="E40" s="10"/>
      <c r="F40" s="102"/>
      <c r="G40" s="10"/>
      <c r="H40" s="10"/>
      <c r="I40" s="55"/>
      <c r="J40" s="55"/>
      <c r="K40" s="55"/>
      <c r="L40" s="55"/>
      <c r="M40" s="55"/>
      <c r="N40" s="10"/>
      <c r="O40" s="96"/>
      <c r="Q40" s="96"/>
      <c r="T40" s="96"/>
    </row>
    <row r="41" spans="1:20" s="101" customFormat="1" x14ac:dyDescent="0.15">
      <c r="A41" s="11"/>
      <c r="B41" s="10"/>
      <c r="C41" s="102"/>
      <c r="D41" s="10"/>
      <c r="E41" s="10"/>
      <c r="F41" s="102"/>
      <c r="G41" s="10"/>
      <c r="H41" s="10"/>
      <c r="I41" s="55"/>
      <c r="J41" s="55"/>
      <c r="K41" s="55"/>
      <c r="L41" s="55"/>
      <c r="M41" s="55"/>
      <c r="N41" s="10"/>
      <c r="O41" s="96"/>
      <c r="Q41" s="96"/>
      <c r="T41" s="96"/>
    </row>
    <row r="42" spans="1:20" s="101" customFormat="1" x14ac:dyDescent="0.15">
      <c r="A42" s="11"/>
      <c r="B42" s="10"/>
      <c r="C42" s="102"/>
      <c r="D42" s="10"/>
      <c r="E42" s="10"/>
      <c r="F42" s="102"/>
      <c r="G42" s="10"/>
      <c r="H42" s="10"/>
      <c r="I42" s="55"/>
      <c r="J42" s="55"/>
      <c r="K42" s="55"/>
      <c r="L42" s="55"/>
      <c r="M42" s="55"/>
      <c r="N42" s="10"/>
      <c r="O42" s="96"/>
      <c r="Q42" s="96"/>
      <c r="T42" s="96"/>
    </row>
    <row r="43" spans="1:20" s="101" customFormat="1" x14ac:dyDescent="0.15">
      <c r="A43" s="11"/>
      <c r="B43" s="10"/>
      <c r="C43" s="102"/>
      <c r="D43" s="10"/>
      <c r="E43" s="10"/>
      <c r="F43" s="102"/>
      <c r="G43" s="10"/>
      <c r="H43" s="10"/>
      <c r="I43" s="55"/>
      <c r="J43" s="55"/>
      <c r="K43" s="55"/>
      <c r="L43" s="55"/>
      <c r="M43" s="55"/>
      <c r="N43" s="10"/>
      <c r="O43" s="96"/>
      <c r="Q43" s="96"/>
      <c r="T43" s="96"/>
    </row>
    <row r="44" spans="1:20" s="101" customFormat="1" x14ac:dyDescent="0.15">
      <c r="A44" s="11"/>
      <c r="B44" s="10"/>
      <c r="C44" s="102"/>
      <c r="D44" s="10"/>
      <c r="E44" s="10"/>
      <c r="F44" s="102"/>
      <c r="G44" s="10"/>
      <c r="H44" s="10"/>
      <c r="I44" s="55"/>
      <c r="J44" s="55"/>
      <c r="K44" s="55"/>
      <c r="L44" s="55"/>
      <c r="M44" s="55"/>
      <c r="N44" s="10"/>
      <c r="O44" s="96"/>
      <c r="Q44" s="96"/>
      <c r="T44" s="96"/>
    </row>
    <row r="45" spans="1:20" s="101" customFormat="1" x14ac:dyDescent="0.15">
      <c r="A45" s="11"/>
      <c r="B45" s="10"/>
      <c r="C45" s="102"/>
      <c r="D45" s="10"/>
      <c r="E45" s="10"/>
      <c r="F45" s="102"/>
      <c r="G45" s="10"/>
      <c r="H45" s="10"/>
      <c r="I45" s="55"/>
      <c r="J45" s="55"/>
      <c r="K45" s="55"/>
      <c r="L45" s="55"/>
      <c r="M45" s="55"/>
      <c r="N45" s="10"/>
      <c r="O45" s="96"/>
      <c r="Q45" s="96"/>
      <c r="T45" s="96"/>
    </row>
    <row r="46" spans="1:20" s="101" customFormat="1" x14ac:dyDescent="0.15">
      <c r="A46" s="11"/>
      <c r="B46" s="10"/>
      <c r="C46" s="102"/>
      <c r="D46" s="10"/>
      <c r="E46" s="10"/>
      <c r="F46" s="102"/>
      <c r="G46" s="10"/>
      <c r="H46" s="10"/>
      <c r="I46" s="55"/>
      <c r="J46" s="55"/>
      <c r="K46" s="55"/>
      <c r="L46" s="55"/>
      <c r="M46" s="55"/>
      <c r="N46" s="10"/>
      <c r="O46" s="96"/>
      <c r="Q46" s="96"/>
      <c r="T46" s="96"/>
    </row>
    <row r="47" spans="1:20" s="101" customFormat="1" x14ac:dyDescent="0.15">
      <c r="A47" s="11"/>
      <c r="B47" s="10"/>
      <c r="C47" s="102"/>
      <c r="D47" s="10"/>
      <c r="E47" s="10"/>
      <c r="F47" s="102"/>
      <c r="G47" s="10"/>
      <c r="H47" s="10"/>
      <c r="I47" s="55"/>
      <c r="J47" s="55"/>
      <c r="K47" s="55"/>
      <c r="L47" s="55"/>
      <c r="M47" s="55"/>
      <c r="N47" s="10"/>
      <c r="O47" s="96"/>
      <c r="Q47" s="96"/>
      <c r="T47" s="96"/>
    </row>
    <row r="48" spans="1:20" s="101" customFormat="1" x14ac:dyDescent="0.15">
      <c r="A48" s="11"/>
      <c r="B48" s="10"/>
      <c r="C48" s="102"/>
      <c r="D48" s="10"/>
      <c r="E48" s="10"/>
      <c r="F48" s="102"/>
      <c r="G48" s="10"/>
      <c r="H48" s="10"/>
      <c r="I48" s="55"/>
      <c r="J48" s="55"/>
      <c r="K48" s="55"/>
      <c r="L48" s="55"/>
      <c r="M48" s="55"/>
      <c r="N48" s="10"/>
      <c r="O48" s="96"/>
      <c r="Q48" s="96"/>
      <c r="T48" s="96"/>
    </row>
    <row r="49" spans="1:20" s="101" customFormat="1" x14ac:dyDescent="0.15">
      <c r="A49" s="11"/>
      <c r="B49" s="10"/>
      <c r="C49" s="102"/>
      <c r="D49" s="10"/>
      <c r="E49" s="10"/>
      <c r="F49" s="102"/>
      <c r="G49" s="10"/>
      <c r="H49" s="10"/>
      <c r="I49" s="55"/>
      <c r="J49" s="55"/>
      <c r="K49" s="55"/>
      <c r="L49" s="55"/>
      <c r="M49" s="55"/>
      <c r="N49" s="10"/>
      <c r="O49" s="96"/>
      <c r="Q49" s="96"/>
      <c r="T49" s="96"/>
    </row>
    <row r="50" spans="1:20" s="101" customFormat="1" x14ac:dyDescent="0.15">
      <c r="A50" s="11"/>
      <c r="B50" s="10"/>
      <c r="C50" s="102"/>
      <c r="D50" s="10"/>
      <c r="E50" s="10"/>
      <c r="F50" s="102"/>
      <c r="G50" s="10"/>
      <c r="H50" s="10"/>
      <c r="I50" s="55"/>
      <c r="J50" s="55"/>
      <c r="K50" s="55"/>
      <c r="L50" s="55"/>
      <c r="M50" s="55"/>
      <c r="N50" s="10"/>
      <c r="O50" s="96"/>
      <c r="Q50" s="96"/>
      <c r="T50" s="96"/>
    </row>
    <row r="51" spans="1:20" s="101" customFormat="1" x14ac:dyDescent="0.15">
      <c r="A51" s="11"/>
      <c r="B51" s="10"/>
      <c r="C51" s="102"/>
      <c r="D51" s="10"/>
      <c r="E51" s="10"/>
      <c r="F51" s="102"/>
      <c r="G51" s="10"/>
      <c r="H51" s="10"/>
      <c r="I51" s="55"/>
      <c r="J51" s="55"/>
      <c r="K51" s="55"/>
      <c r="L51" s="55"/>
      <c r="M51" s="55"/>
      <c r="N51" s="10"/>
      <c r="O51" s="96"/>
      <c r="Q51" s="96"/>
      <c r="T51" s="96"/>
    </row>
    <row r="52" spans="1:20" s="101" customFormat="1" x14ac:dyDescent="0.15">
      <c r="A52" s="11"/>
      <c r="B52" s="10"/>
      <c r="C52" s="102"/>
      <c r="D52" s="10"/>
      <c r="E52" s="10"/>
      <c r="F52" s="102"/>
      <c r="G52" s="10"/>
      <c r="H52" s="10"/>
      <c r="I52" s="55"/>
      <c r="J52" s="55"/>
      <c r="K52" s="55"/>
      <c r="L52" s="55"/>
      <c r="M52" s="55"/>
      <c r="N52" s="10"/>
      <c r="O52" s="96"/>
      <c r="Q52" s="96"/>
      <c r="T52" s="96"/>
    </row>
    <row r="53" spans="1:20" s="101" customFormat="1" x14ac:dyDescent="0.15">
      <c r="A53" s="11"/>
      <c r="B53" s="10"/>
      <c r="C53" s="102"/>
      <c r="D53" s="10"/>
      <c r="E53" s="10"/>
      <c r="F53" s="102"/>
      <c r="G53" s="10"/>
      <c r="H53" s="10"/>
      <c r="I53" s="55"/>
      <c r="J53" s="55"/>
      <c r="K53" s="55"/>
      <c r="L53" s="55"/>
      <c r="M53" s="55"/>
      <c r="N53" s="10"/>
      <c r="O53" s="96"/>
      <c r="Q53" s="96"/>
      <c r="T53" s="96"/>
    </row>
    <row r="54" spans="1:20" s="101" customFormat="1" x14ac:dyDescent="0.15">
      <c r="A54" s="11"/>
      <c r="B54" s="10"/>
      <c r="C54" s="102"/>
      <c r="D54" s="10"/>
      <c r="E54" s="10"/>
      <c r="F54" s="102"/>
      <c r="G54" s="10"/>
      <c r="H54" s="10"/>
      <c r="I54" s="55"/>
      <c r="J54" s="55"/>
      <c r="K54" s="55"/>
      <c r="L54" s="55"/>
      <c r="M54" s="55"/>
      <c r="N54" s="10"/>
      <c r="O54" s="96"/>
      <c r="Q54" s="96"/>
      <c r="T54" s="96"/>
    </row>
    <row r="55" spans="1:20" s="101" customFormat="1" x14ac:dyDescent="0.15">
      <c r="A55" s="11"/>
      <c r="B55" s="10"/>
      <c r="C55" s="102"/>
      <c r="D55" s="10"/>
      <c r="E55" s="10"/>
      <c r="F55" s="102"/>
      <c r="G55" s="10"/>
      <c r="H55" s="10"/>
      <c r="I55" s="55"/>
      <c r="J55" s="55"/>
      <c r="K55" s="55"/>
      <c r="L55" s="55"/>
      <c r="M55" s="55"/>
      <c r="N55" s="10"/>
      <c r="O55" s="96"/>
      <c r="Q55" s="96"/>
      <c r="T55" s="96"/>
    </row>
    <row r="56" spans="1:20" s="101" customFormat="1" x14ac:dyDescent="0.15">
      <c r="A56" s="11"/>
      <c r="B56" s="10"/>
      <c r="C56" s="102"/>
      <c r="D56" s="10"/>
      <c r="E56" s="10"/>
      <c r="F56" s="102"/>
      <c r="G56" s="10"/>
      <c r="H56" s="10"/>
      <c r="I56" s="55"/>
      <c r="J56" s="55"/>
      <c r="K56" s="55"/>
      <c r="L56" s="55"/>
      <c r="M56" s="55"/>
      <c r="N56" s="10"/>
      <c r="O56" s="96"/>
      <c r="Q56" s="96"/>
      <c r="T56" s="96"/>
    </row>
    <row r="57" spans="1:20" s="101" customFormat="1" x14ac:dyDescent="0.15">
      <c r="A57" s="11"/>
      <c r="B57" s="10"/>
      <c r="C57" s="102"/>
      <c r="D57" s="10"/>
      <c r="E57" s="10"/>
      <c r="F57" s="102"/>
      <c r="G57" s="10"/>
      <c r="H57" s="10"/>
      <c r="I57" s="55"/>
      <c r="J57" s="55"/>
      <c r="K57" s="55"/>
      <c r="L57" s="55"/>
      <c r="M57" s="55"/>
      <c r="N57" s="10"/>
      <c r="O57" s="96"/>
      <c r="Q57" s="96"/>
      <c r="T57" s="96"/>
    </row>
    <row r="58" spans="1:20" s="101" customFormat="1" x14ac:dyDescent="0.15">
      <c r="A58" s="11"/>
      <c r="B58" s="10"/>
      <c r="C58" s="102"/>
      <c r="D58" s="10"/>
      <c r="E58" s="10"/>
      <c r="F58" s="102"/>
      <c r="G58" s="10"/>
      <c r="H58" s="10"/>
      <c r="I58" s="55"/>
      <c r="J58" s="55"/>
      <c r="K58" s="55"/>
      <c r="L58" s="55"/>
      <c r="M58" s="55"/>
      <c r="N58" s="10"/>
      <c r="O58" s="96"/>
      <c r="Q58" s="96"/>
      <c r="T58" s="96"/>
    </row>
    <row r="59" spans="1:20" s="101" customFormat="1" x14ac:dyDescent="0.15">
      <c r="A59" s="11"/>
      <c r="B59" s="10"/>
      <c r="C59" s="102"/>
      <c r="D59" s="10"/>
      <c r="E59" s="10"/>
      <c r="F59" s="102"/>
      <c r="G59" s="10"/>
      <c r="H59" s="10"/>
      <c r="I59" s="55"/>
      <c r="J59" s="55"/>
      <c r="K59" s="55"/>
      <c r="L59" s="55"/>
      <c r="M59" s="55"/>
      <c r="N59" s="10"/>
      <c r="O59" s="96"/>
      <c r="Q59" s="96"/>
      <c r="T59" s="96"/>
    </row>
    <row r="60" spans="1:20" s="101" customFormat="1" x14ac:dyDescent="0.15">
      <c r="A60" s="11"/>
      <c r="B60" s="10"/>
      <c r="C60" s="102"/>
      <c r="D60" s="10"/>
      <c r="E60" s="10"/>
      <c r="F60" s="102"/>
      <c r="G60" s="10"/>
      <c r="H60" s="10"/>
      <c r="I60" s="55"/>
      <c r="J60" s="55"/>
      <c r="K60" s="55"/>
      <c r="L60" s="55"/>
      <c r="M60" s="55"/>
      <c r="N60" s="10"/>
      <c r="O60" s="96"/>
      <c r="Q60" s="96"/>
      <c r="T60" s="96"/>
    </row>
    <row r="61" spans="1:20" s="101" customFormat="1" x14ac:dyDescent="0.15">
      <c r="A61" s="11"/>
      <c r="B61" s="10"/>
      <c r="C61" s="102"/>
      <c r="D61" s="10"/>
      <c r="E61" s="10"/>
      <c r="F61" s="102"/>
      <c r="G61" s="10"/>
      <c r="H61" s="10"/>
      <c r="I61" s="55"/>
      <c r="J61" s="55"/>
      <c r="K61" s="55"/>
      <c r="L61" s="55"/>
      <c r="M61" s="55"/>
      <c r="N61" s="10"/>
      <c r="O61" s="96"/>
      <c r="Q61" s="96"/>
      <c r="T61" s="96"/>
    </row>
    <row r="62" spans="1:20" s="101" customFormat="1" x14ac:dyDescent="0.15">
      <c r="A62" s="11"/>
      <c r="B62" s="10"/>
      <c r="C62" s="102"/>
      <c r="D62" s="10"/>
      <c r="E62" s="10"/>
      <c r="F62" s="102"/>
      <c r="G62" s="10"/>
      <c r="H62" s="10"/>
      <c r="I62" s="55"/>
      <c r="J62" s="55"/>
      <c r="K62" s="55"/>
      <c r="L62" s="55"/>
      <c r="M62" s="55"/>
      <c r="N62" s="10"/>
      <c r="O62" s="96"/>
      <c r="Q62" s="96"/>
      <c r="T62" s="96"/>
    </row>
    <row r="63" spans="1:20" s="101" customFormat="1" x14ac:dyDescent="0.15">
      <c r="A63" s="11"/>
      <c r="B63" s="10"/>
      <c r="C63" s="102"/>
      <c r="D63" s="10"/>
      <c r="E63" s="10"/>
      <c r="F63" s="102"/>
      <c r="G63" s="10"/>
      <c r="H63" s="10"/>
      <c r="I63" s="55"/>
      <c r="J63" s="55"/>
      <c r="K63" s="55"/>
      <c r="L63" s="55"/>
      <c r="M63" s="55"/>
      <c r="N63" s="10"/>
      <c r="O63" s="96"/>
      <c r="Q63" s="96"/>
      <c r="T63" s="96"/>
    </row>
    <row r="64" spans="1:20" s="101" customFormat="1" x14ac:dyDescent="0.15">
      <c r="A64" s="11"/>
      <c r="B64" s="10"/>
      <c r="C64" s="102"/>
      <c r="D64" s="10"/>
      <c r="E64" s="10"/>
      <c r="F64" s="102"/>
      <c r="G64" s="10"/>
      <c r="H64" s="10"/>
      <c r="I64" s="55"/>
      <c r="J64" s="55"/>
      <c r="K64" s="55"/>
      <c r="L64" s="55"/>
      <c r="M64" s="55"/>
      <c r="N64" s="10"/>
      <c r="O64" s="96"/>
      <c r="Q64" s="96"/>
      <c r="T64" s="96"/>
    </row>
    <row r="65" spans="1:20" s="101" customFormat="1" x14ac:dyDescent="0.15">
      <c r="A65" s="11"/>
      <c r="B65" s="10"/>
      <c r="C65" s="102"/>
      <c r="D65" s="10"/>
      <c r="E65" s="10"/>
      <c r="F65" s="102"/>
      <c r="G65" s="10"/>
      <c r="H65" s="10"/>
      <c r="I65" s="55"/>
      <c r="J65" s="55"/>
      <c r="K65" s="55"/>
      <c r="L65" s="55"/>
      <c r="M65" s="55"/>
      <c r="N65" s="10"/>
      <c r="O65" s="96"/>
      <c r="Q65" s="96"/>
      <c r="T65" s="96"/>
    </row>
    <row r="66" spans="1:20" s="101" customFormat="1" x14ac:dyDescent="0.15">
      <c r="A66" s="11"/>
      <c r="B66" s="10"/>
      <c r="C66" s="102"/>
      <c r="D66" s="10"/>
      <c r="E66" s="10"/>
      <c r="F66" s="102"/>
      <c r="G66" s="10"/>
      <c r="H66" s="10"/>
      <c r="I66" s="55"/>
      <c r="J66" s="55"/>
      <c r="K66" s="55"/>
      <c r="L66" s="55"/>
      <c r="M66" s="55"/>
      <c r="N66" s="10"/>
      <c r="O66" s="96"/>
      <c r="Q66" s="96"/>
      <c r="T66" s="96"/>
    </row>
    <row r="67" spans="1:20" s="101" customFormat="1" x14ac:dyDescent="0.15">
      <c r="A67" s="11"/>
      <c r="B67" s="10"/>
      <c r="C67" s="102"/>
      <c r="D67" s="10"/>
      <c r="E67" s="10"/>
      <c r="F67" s="102"/>
      <c r="G67" s="10"/>
      <c r="H67" s="10"/>
      <c r="I67" s="55"/>
      <c r="J67" s="55"/>
      <c r="K67" s="55"/>
      <c r="L67" s="55"/>
      <c r="M67" s="55"/>
      <c r="N67" s="10"/>
      <c r="O67" s="96"/>
      <c r="Q67" s="96"/>
      <c r="T67" s="96"/>
    </row>
    <row r="68" spans="1:20" s="101" customFormat="1" x14ac:dyDescent="0.15">
      <c r="A68" s="11"/>
      <c r="B68" s="10"/>
      <c r="C68" s="102"/>
      <c r="D68" s="10"/>
      <c r="E68" s="10"/>
      <c r="F68" s="102"/>
      <c r="G68" s="10"/>
      <c r="H68" s="10"/>
      <c r="I68" s="55"/>
      <c r="J68" s="55"/>
      <c r="K68" s="55"/>
      <c r="L68" s="55"/>
      <c r="M68" s="55"/>
      <c r="N68" s="10"/>
      <c r="O68" s="96"/>
      <c r="Q68" s="96"/>
      <c r="T68" s="96"/>
    </row>
    <row r="69" spans="1:20" s="101" customFormat="1" x14ac:dyDescent="0.15">
      <c r="A69" s="11"/>
      <c r="B69" s="10"/>
      <c r="C69" s="102"/>
      <c r="D69" s="10"/>
      <c r="E69" s="10"/>
      <c r="F69" s="102"/>
      <c r="G69" s="10"/>
      <c r="H69" s="10"/>
      <c r="I69" s="55"/>
      <c r="J69" s="55"/>
      <c r="K69" s="55"/>
      <c r="L69" s="55"/>
      <c r="M69" s="55"/>
      <c r="N69" s="10"/>
      <c r="O69" s="96"/>
      <c r="Q69" s="96"/>
      <c r="T69" s="96"/>
    </row>
    <row r="70" spans="1:20" s="101" customFormat="1" x14ac:dyDescent="0.15">
      <c r="A70" s="11"/>
      <c r="B70" s="10"/>
      <c r="C70" s="102"/>
      <c r="D70" s="10"/>
      <c r="E70" s="10"/>
      <c r="F70" s="102"/>
      <c r="G70" s="10"/>
      <c r="H70" s="10"/>
      <c r="I70" s="55"/>
      <c r="J70" s="55"/>
      <c r="K70" s="55"/>
      <c r="L70" s="55"/>
      <c r="M70" s="55"/>
      <c r="N70" s="10"/>
      <c r="O70" s="96"/>
      <c r="Q70" s="96"/>
      <c r="T70" s="96"/>
    </row>
    <row r="71" spans="1:20" s="101" customFormat="1" x14ac:dyDescent="0.15">
      <c r="A71" s="11"/>
      <c r="B71" s="10"/>
      <c r="C71" s="102"/>
      <c r="D71" s="10"/>
      <c r="E71" s="10"/>
      <c r="F71" s="102"/>
      <c r="G71" s="10"/>
      <c r="H71" s="10"/>
      <c r="I71" s="55"/>
      <c r="J71" s="55"/>
      <c r="K71" s="55"/>
      <c r="L71" s="55"/>
      <c r="M71" s="55"/>
      <c r="N71" s="10"/>
      <c r="O71" s="96"/>
      <c r="Q71" s="96"/>
      <c r="T71" s="96"/>
    </row>
    <row r="72" spans="1:20" s="101" customFormat="1" x14ac:dyDescent="0.15">
      <c r="A72" s="11"/>
      <c r="B72" s="10"/>
      <c r="C72" s="102"/>
      <c r="D72" s="10"/>
      <c r="E72" s="10"/>
      <c r="F72" s="102"/>
      <c r="G72" s="10"/>
      <c r="H72" s="10"/>
      <c r="I72" s="55"/>
      <c r="J72" s="55"/>
      <c r="K72" s="55"/>
      <c r="L72" s="55"/>
      <c r="M72" s="55"/>
      <c r="N72" s="10"/>
      <c r="O72" s="96"/>
      <c r="Q72" s="96"/>
      <c r="T72" s="96"/>
    </row>
    <row r="73" spans="1:20" s="101" customFormat="1" x14ac:dyDescent="0.15">
      <c r="A73" s="11"/>
      <c r="B73" s="10"/>
      <c r="C73" s="102"/>
      <c r="D73" s="10"/>
      <c r="E73" s="10"/>
      <c r="F73" s="102"/>
      <c r="G73" s="10"/>
      <c r="H73" s="10"/>
      <c r="I73" s="55"/>
      <c r="J73" s="55"/>
      <c r="K73" s="55"/>
      <c r="L73" s="55"/>
      <c r="M73" s="55"/>
      <c r="N73" s="10"/>
      <c r="O73" s="96"/>
      <c r="Q73" s="96"/>
      <c r="T73" s="96"/>
    </row>
    <row r="74" spans="1:20" s="101" customFormat="1" x14ac:dyDescent="0.15">
      <c r="A74" s="11"/>
      <c r="B74" s="10"/>
      <c r="C74" s="102"/>
      <c r="D74" s="10"/>
      <c r="E74" s="10"/>
      <c r="F74" s="102"/>
      <c r="G74" s="10"/>
      <c r="H74" s="10"/>
      <c r="I74" s="55"/>
      <c r="J74" s="55"/>
      <c r="K74" s="55"/>
      <c r="L74" s="55"/>
      <c r="M74" s="55"/>
      <c r="N74" s="10"/>
      <c r="O74" s="96"/>
      <c r="Q74" s="96"/>
      <c r="T74" s="96"/>
    </row>
    <row r="75" spans="1:20" s="101" customFormat="1" x14ac:dyDescent="0.15">
      <c r="A75" s="11"/>
      <c r="B75" s="10"/>
      <c r="C75" s="102"/>
      <c r="D75" s="10"/>
      <c r="E75" s="10"/>
      <c r="F75" s="102"/>
      <c r="G75" s="10"/>
      <c r="H75" s="10"/>
      <c r="I75" s="55"/>
      <c r="J75" s="55"/>
      <c r="K75" s="55"/>
      <c r="L75" s="55"/>
      <c r="M75" s="55"/>
      <c r="N75" s="10"/>
      <c r="O75" s="96"/>
      <c r="Q75" s="96"/>
      <c r="T75" s="96"/>
    </row>
    <row r="76" spans="1:20" s="101" customFormat="1" x14ac:dyDescent="0.15">
      <c r="A76" s="11"/>
      <c r="B76" s="10"/>
      <c r="C76" s="102"/>
      <c r="D76" s="10"/>
      <c r="E76" s="10"/>
      <c r="F76" s="102"/>
      <c r="G76" s="10"/>
      <c r="H76" s="10"/>
      <c r="I76" s="55"/>
      <c r="J76" s="55"/>
      <c r="K76" s="55"/>
      <c r="L76" s="55"/>
      <c r="M76" s="55"/>
      <c r="N76" s="10"/>
      <c r="O76" s="96"/>
      <c r="Q76" s="96"/>
      <c r="T76" s="96"/>
    </row>
    <row r="77" spans="1:20" s="101" customFormat="1" x14ac:dyDescent="0.15">
      <c r="A77" s="11"/>
      <c r="B77" s="10"/>
      <c r="C77" s="102"/>
      <c r="D77" s="10"/>
      <c r="E77" s="10"/>
      <c r="F77" s="102"/>
      <c r="G77" s="10"/>
      <c r="H77" s="10"/>
      <c r="I77" s="55"/>
      <c r="J77" s="55"/>
      <c r="K77" s="55"/>
      <c r="L77" s="55"/>
      <c r="M77" s="55"/>
      <c r="N77" s="10"/>
      <c r="O77" s="96"/>
      <c r="Q77" s="96"/>
      <c r="T77" s="96"/>
    </row>
    <row r="78" spans="1:20" s="101" customFormat="1" x14ac:dyDescent="0.15">
      <c r="A78" s="11"/>
      <c r="B78" s="10"/>
      <c r="C78" s="102"/>
      <c r="D78" s="10"/>
      <c r="E78" s="10"/>
      <c r="F78" s="102"/>
      <c r="G78" s="10"/>
      <c r="H78" s="10"/>
      <c r="I78" s="55"/>
      <c r="J78" s="55"/>
      <c r="K78" s="55"/>
      <c r="L78" s="55"/>
      <c r="M78" s="55"/>
      <c r="N78" s="10"/>
      <c r="O78" s="96"/>
      <c r="Q78" s="96"/>
      <c r="T78" s="96"/>
    </row>
    <row r="79" spans="1:20" s="101" customFormat="1" x14ac:dyDescent="0.15">
      <c r="A79" s="11"/>
      <c r="B79" s="10"/>
      <c r="C79" s="102"/>
      <c r="D79" s="10"/>
      <c r="E79" s="10"/>
      <c r="F79" s="102"/>
      <c r="G79" s="10"/>
      <c r="H79" s="10"/>
      <c r="I79" s="55"/>
      <c r="J79" s="55"/>
      <c r="K79" s="55"/>
      <c r="L79" s="55"/>
      <c r="M79" s="55"/>
      <c r="N79" s="10"/>
      <c r="O79" s="96"/>
      <c r="Q79" s="96"/>
      <c r="T79" s="96"/>
    </row>
    <row r="80" spans="1:20" s="101" customFormat="1" x14ac:dyDescent="0.15">
      <c r="A80" s="11"/>
      <c r="B80" s="10"/>
      <c r="C80" s="102"/>
      <c r="D80" s="10"/>
      <c r="E80" s="10"/>
      <c r="F80" s="102"/>
      <c r="G80" s="10"/>
      <c r="H80" s="10"/>
      <c r="I80" s="55"/>
      <c r="J80" s="55"/>
      <c r="K80" s="55"/>
      <c r="L80" s="55"/>
      <c r="M80" s="55"/>
      <c r="N80" s="10"/>
      <c r="O80" s="96"/>
      <c r="Q80" s="96"/>
      <c r="T80" s="96"/>
    </row>
    <row r="81" spans="1:20" s="101" customFormat="1" x14ac:dyDescent="0.15">
      <c r="A81" s="11"/>
      <c r="B81" s="10"/>
      <c r="C81" s="102"/>
      <c r="D81" s="10"/>
      <c r="E81" s="10"/>
      <c r="F81" s="102"/>
      <c r="G81" s="10"/>
      <c r="H81" s="10"/>
      <c r="I81" s="55"/>
      <c r="J81" s="55"/>
      <c r="K81" s="55"/>
      <c r="L81" s="55"/>
      <c r="M81" s="55"/>
      <c r="N81" s="10"/>
      <c r="O81" s="96"/>
      <c r="Q81" s="96"/>
      <c r="T81" s="96"/>
    </row>
    <row r="82" spans="1:20" s="101" customFormat="1" x14ac:dyDescent="0.15">
      <c r="A82" s="11"/>
      <c r="B82" s="10"/>
      <c r="C82" s="102"/>
      <c r="D82" s="10"/>
      <c r="E82" s="10"/>
      <c r="F82" s="102"/>
      <c r="G82" s="10"/>
      <c r="H82" s="10"/>
      <c r="I82" s="55"/>
      <c r="J82" s="55"/>
      <c r="K82" s="55"/>
      <c r="L82" s="55"/>
      <c r="M82" s="55"/>
      <c r="N82" s="10"/>
      <c r="O82" s="96"/>
      <c r="Q82" s="96"/>
      <c r="T82" s="96"/>
    </row>
    <row r="83" spans="1:20" s="101" customFormat="1" x14ac:dyDescent="0.15">
      <c r="A83" s="11"/>
      <c r="B83" s="10"/>
      <c r="C83" s="102"/>
      <c r="D83" s="10"/>
      <c r="E83" s="10"/>
      <c r="F83" s="102"/>
      <c r="G83" s="10"/>
      <c r="H83" s="10"/>
      <c r="I83" s="55"/>
      <c r="J83" s="55"/>
      <c r="K83" s="55"/>
      <c r="L83" s="55"/>
      <c r="M83" s="55"/>
      <c r="N83" s="10"/>
      <c r="O83" s="96"/>
      <c r="Q83" s="96"/>
      <c r="T83" s="96"/>
    </row>
    <row r="84" spans="1:20" s="101" customFormat="1" x14ac:dyDescent="0.15">
      <c r="A84" s="11"/>
      <c r="B84" s="10"/>
      <c r="C84" s="102"/>
      <c r="D84" s="10"/>
      <c r="E84" s="10"/>
      <c r="F84" s="102"/>
      <c r="G84" s="10"/>
      <c r="H84" s="10"/>
      <c r="I84" s="55"/>
      <c r="J84" s="55"/>
      <c r="K84" s="55"/>
      <c r="L84" s="55"/>
      <c r="M84" s="55"/>
      <c r="N84" s="10"/>
      <c r="O84" s="96"/>
      <c r="Q84" s="96"/>
      <c r="T84" s="96"/>
    </row>
    <row r="85" spans="1:20" s="101" customFormat="1" x14ac:dyDescent="0.15">
      <c r="A85" s="11"/>
      <c r="B85" s="10"/>
      <c r="C85" s="102"/>
      <c r="D85" s="10"/>
      <c r="E85" s="10"/>
      <c r="F85" s="102"/>
      <c r="G85" s="10"/>
      <c r="H85" s="10"/>
      <c r="I85" s="55"/>
      <c r="J85" s="55"/>
      <c r="K85" s="55"/>
      <c r="L85" s="55"/>
      <c r="M85" s="55"/>
      <c r="N85" s="10"/>
      <c r="O85" s="96"/>
      <c r="Q85" s="96"/>
      <c r="T85" s="96"/>
    </row>
    <row r="86" spans="1:20" s="101" customFormat="1" x14ac:dyDescent="0.15">
      <c r="A86" s="11"/>
      <c r="B86" s="10"/>
      <c r="C86" s="102"/>
      <c r="D86" s="10"/>
      <c r="E86" s="10"/>
      <c r="F86" s="102"/>
      <c r="G86" s="10"/>
      <c r="H86" s="10"/>
      <c r="I86" s="55"/>
      <c r="J86" s="55"/>
      <c r="K86" s="55"/>
      <c r="L86" s="55"/>
      <c r="M86" s="55"/>
      <c r="N86" s="10"/>
      <c r="O86" s="96"/>
      <c r="Q86" s="96"/>
      <c r="T86" s="96"/>
    </row>
    <row r="87" spans="1:20" s="101" customFormat="1" x14ac:dyDescent="0.15">
      <c r="A87" s="11"/>
      <c r="B87" s="10"/>
      <c r="C87" s="102"/>
      <c r="D87" s="10"/>
      <c r="E87" s="10"/>
      <c r="F87" s="102"/>
      <c r="G87" s="10"/>
      <c r="H87" s="10"/>
      <c r="I87" s="55"/>
      <c r="J87" s="55"/>
      <c r="K87" s="55"/>
      <c r="L87" s="55"/>
      <c r="M87" s="55"/>
      <c r="N87" s="10"/>
      <c r="O87" s="96"/>
      <c r="Q87" s="96"/>
      <c r="T87" s="96"/>
    </row>
    <row r="88" spans="1:20" s="101" customFormat="1" x14ac:dyDescent="0.15">
      <c r="A88" s="11"/>
      <c r="B88" s="10"/>
      <c r="C88" s="102"/>
      <c r="D88" s="10"/>
      <c r="E88" s="10"/>
      <c r="F88" s="102"/>
      <c r="G88" s="10"/>
      <c r="H88" s="10"/>
      <c r="I88" s="55"/>
      <c r="J88" s="55"/>
      <c r="K88" s="55"/>
      <c r="L88" s="55"/>
      <c r="M88" s="55"/>
      <c r="N88" s="10"/>
      <c r="O88" s="96"/>
      <c r="Q88" s="96"/>
      <c r="T88" s="96"/>
    </row>
    <row r="89" spans="1:20" s="101" customFormat="1" x14ac:dyDescent="0.15">
      <c r="A89" s="11"/>
      <c r="B89" s="10"/>
      <c r="C89" s="102"/>
      <c r="D89" s="10"/>
      <c r="E89" s="10"/>
      <c r="F89" s="102"/>
      <c r="G89" s="10"/>
      <c r="H89" s="10"/>
      <c r="I89" s="55"/>
      <c r="J89" s="55"/>
      <c r="K89" s="55"/>
      <c r="L89" s="55"/>
      <c r="M89" s="55"/>
      <c r="N89" s="10"/>
      <c r="O89" s="96"/>
      <c r="Q89" s="96"/>
      <c r="T89" s="96"/>
    </row>
    <row r="90" spans="1:20" s="101" customFormat="1" x14ac:dyDescent="0.15">
      <c r="A90" s="11"/>
      <c r="B90" s="10"/>
      <c r="C90" s="102"/>
      <c r="D90" s="10"/>
      <c r="E90" s="10"/>
      <c r="F90" s="102"/>
      <c r="G90" s="10"/>
      <c r="H90" s="10"/>
      <c r="I90" s="55"/>
      <c r="J90" s="55"/>
      <c r="K90" s="55"/>
      <c r="L90" s="55"/>
      <c r="M90" s="55"/>
      <c r="N90" s="10"/>
      <c r="O90" s="96"/>
      <c r="Q90" s="96"/>
      <c r="T90" s="96"/>
    </row>
    <row r="91" spans="1:20" s="101" customFormat="1" x14ac:dyDescent="0.15">
      <c r="A91" s="11"/>
      <c r="B91" s="10"/>
      <c r="C91" s="102"/>
      <c r="D91" s="10"/>
      <c r="E91" s="10"/>
      <c r="F91" s="102"/>
      <c r="G91" s="10"/>
      <c r="H91" s="10"/>
      <c r="I91" s="55"/>
      <c r="J91" s="55"/>
      <c r="K91" s="55"/>
      <c r="L91" s="55"/>
      <c r="M91" s="55"/>
      <c r="N91" s="10"/>
      <c r="O91" s="96"/>
      <c r="Q91" s="96"/>
      <c r="T91" s="96"/>
    </row>
    <row r="92" spans="1:20" s="101" customFormat="1" x14ac:dyDescent="0.15">
      <c r="A92" s="11"/>
      <c r="B92" s="10"/>
      <c r="C92" s="102"/>
      <c r="D92" s="10"/>
      <c r="E92" s="10"/>
      <c r="F92" s="102"/>
      <c r="G92" s="10"/>
      <c r="H92" s="10"/>
      <c r="I92" s="55"/>
      <c r="J92" s="55"/>
      <c r="K92" s="55"/>
      <c r="L92" s="55"/>
      <c r="M92" s="55"/>
      <c r="N92" s="10"/>
      <c r="O92" s="96"/>
      <c r="Q92" s="96"/>
      <c r="T92" s="96"/>
    </row>
    <row r="93" spans="1:20" s="101" customFormat="1" x14ac:dyDescent="0.15">
      <c r="A93" s="11"/>
      <c r="B93" s="10"/>
      <c r="C93" s="102"/>
      <c r="D93" s="10"/>
      <c r="E93" s="10"/>
      <c r="F93" s="102"/>
      <c r="G93" s="10"/>
      <c r="H93" s="10"/>
      <c r="I93" s="55"/>
      <c r="J93" s="55"/>
      <c r="K93" s="55"/>
      <c r="L93" s="55"/>
      <c r="M93" s="55"/>
      <c r="N93" s="10"/>
      <c r="O93" s="96"/>
      <c r="Q93" s="96"/>
      <c r="T93" s="96"/>
    </row>
    <row r="94" spans="1:20" s="101" customFormat="1" x14ac:dyDescent="0.15">
      <c r="A94" s="11"/>
      <c r="B94" s="10"/>
      <c r="C94" s="102"/>
      <c r="D94" s="10"/>
      <c r="E94" s="10"/>
      <c r="F94" s="102"/>
      <c r="G94" s="10"/>
      <c r="H94" s="10"/>
      <c r="I94" s="55"/>
      <c r="J94" s="55"/>
      <c r="K94" s="55"/>
      <c r="L94" s="55"/>
      <c r="M94" s="55"/>
      <c r="N94" s="10"/>
      <c r="O94" s="96"/>
      <c r="Q94" s="96"/>
      <c r="T94" s="96"/>
    </row>
    <row r="95" spans="1:20" s="101" customFormat="1" x14ac:dyDescent="0.15">
      <c r="A95" s="11"/>
      <c r="B95" s="10"/>
      <c r="C95" s="102"/>
      <c r="D95" s="10"/>
      <c r="E95" s="10"/>
      <c r="F95" s="102"/>
      <c r="G95" s="10"/>
      <c r="H95" s="10"/>
      <c r="I95" s="55"/>
      <c r="J95" s="55"/>
      <c r="K95" s="55"/>
      <c r="L95" s="55"/>
      <c r="M95" s="55"/>
      <c r="N95" s="10"/>
      <c r="O95" s="96"/>
      <c r="Q95" s="96"/>
      <c r="T95" s="96"/>
    </row>
    <row r="96" spans="1:20" s="101" customFormat="1" x14ac:dyDescent="0.15">
      <c r="A96" s="11"/>
      <c r="B96" s="10"/>
      <c r="C96" s="102"/>
      <c r="D96" s="10"/>
      <c r="E96" s="10"/>
      <c r="F96" s="102"/>
      <c r="G96" s="10"/>
      <c r="H96" s="10"/>
      <c r="I96" s="55"/>
      <c r="J96" s="55"/>
      <c r="K96" s="55"/>
      <c r="L96" s="55"/>
      <c r="M96" s="55"/>
      <c r="N96" s="10"/>
      <c r="O96" s="96"/>
      <c r="Q96" s="96"/>
      <c r="T96" s="96"/>
    </row>
    <row r="97" spans="1:20" s="101" customFormat="1" x14ac:dyDescent="0.15">
      <c r="A97" s="11"/>
      <c r="B97" s="10"/>
      <c r="C97" s="102"/>
      <c r="D97" s="10"/>
      <c r="E97" s="10"/>
      <c r="F97" s="102"/>
      <c r="G97" s="10"/>
      <c r="H97" s="10"/>
      <c r="I97" s="55"/>
      <c r="J97" s="55"/>
      <c r="K97" s="55"/>
      <c r="L97" s="55"/>
      <c r="M97" s="55"/>
      <c r="N97" s="10"/>
      <c r="O97" s="96"/>
      <c r="Q97" s="96"/>
      <c r="T97" s="96"/>
    </row>
    <row r="98" spans="1:20" s="101" customFormat="1" x14ac:dyDescent="0.15">
      <c r="A98" s="11"/>
      <c r="B98" s="10"/>
      <c r="C98" s="102"/>
      <c r="D98" s="10"/>
      <c r="E98" s="10"/>
      <c r="F98" s="102"/>
      <c r="G98" s="10"/>
      <c r="H98" s="10"/>
      <c r="I98" s="55"/>
      <c r="J98" s="55"/>
      <c r="K98" s="55"/>
      <c r="L98" s="55"/>
      <c r="M98" s="55"/>
      <c r="N98" s="10"/>
      <c r="O98" s="96"/>
      <c r="Q98" s="96"/>
      <c r="T98" s="96"/>
    </row>
    <row r="99" spans="1:20" s="101" customFormat="1" x14ac:dyDescent="0.15">
      <c r="A99" s="11"/>
      <c r="B99" s="10"/>
      <c r="C99" s="102"/>
      <c r="D99" s="10"/>
      <c r="E99" s="10"/>
      <c r="F99" s="102"/>
      <c r="G99" s="10"/>
      <c r="H99" s="10"/>
      <c r="I99" s="55"/>
      <c r="J99" s="55"/>
      <c r="K99" s="55"/>
      <c r="L99" s="55"/>
      <c r="M99" s="55"/>
      <c r="N99" s="10"/>
      <c r="O99" s="96"/>
      <c r="Q99" s="96"/>
      <c r="T99" s="96"/>
    </row>
    <row r="100" spans="1:20" s="101" customFormat="1" x14ac:dyDescent="0.15">
      <c r="A100" s="11"/>
      <c r="B100" s="10"/>
      <c r="C100" s="102"/>
      <c r="D100" s="10"/>
      <c r="E100" s="10"/>
      <c r="F100" s="102"/>
      <c r="G100" s="10"/>
      <c r="H100" s="10"/>
      <c r="I100" s="55"/>
      <c r="J100" s="55"/>
      <c r="K100" s="55"/>
      <c r="L100" s="55"/>
      <c r="M100" s="55"/>
      <c r="N100" s="10"/>
      <c r="O100" s="96"/>
      <c r="Q100" s="96"/>
      <c r="T100" s="96"/>
    </row>
    <row r="101" spans="1:20" s="101" customFormat="1" x14ac:dyDescent="0.15">
      <c r="A101" s="11"/>
      <c r="B101" s="10"/>
      <c r="C101" s="102"/>
      <c r="D101" s="10"/>
      <c r="E101" s="10"/>
      <c r="F101" s="102"/>
      <c r="G101" s="10"/>
      <c r="H101" s="10"/>
      <c r="I101" s="55"/>
      <c r="J101" s="55"/>
      <c r="K101" s="55"/>
      <c r="L101" s="55"/>
      <c r="M101" s="55"/>
      <c r="N101" s="10"/>
      <c r="O101" s="96"/>
      <c r="Q101" s="96"/>
      <c r="T101" s="96"/>
    </row>
    <row r="102" spans="1:20" s="101" customFormat="1" x14ac:dyDescent="0.15">
      <c r="A102" s="11"/>
      <c r="B102" s="10"/>
      <c r="C102" s="102"/>
      <c r="D102" s="10"/>
      <c r="E102" s="10"/>
      <c r="F102" s="102"/>
      <c r="G102" s="10"/>
      <c r="H102" s="10"/>
      <c r="I102" s="55"/>
      <c r="J102" s="55"/>
      <c r="K102" s="55"/>
      <c r="L102" s="55"/>
      <c r="M102" s="55"/>
      <c r="N102" s="10"/>
      <c r="O102" s="96"/>
      <c r="Q102" s="96"/>
      <c r="T102" s="96"/>
    </row>
    <row r="103" spans="1:20" s="101" customFormat="1" x14ac:dyDescent="0.15">
      <c r="A103" s="11"/>
      <c r="B103" s="10"/>
      <c r="C103" s="102"/>
      <c r="D103" s="10"/>
      <c r="E103" s="10"/>
      <c r="F103" s="102"/>
      <c r="G103" s="10"/>
      <c r="H103" s="10"/>
      <c r="I103" s="55"/>
      <c r="J103" s="55"/>
      <c r="K103" s="55"/>
      <c r="L103" s="55"/>
      <c r="M103" s="55"/>
      <c r="N103" s="10"/>
      <c r="O103" s="96"/>
      <c r="Q103" s="96"/>
      <c r="T103" s="96"/>
    </row>
    <row r="104" spans="1:20" s="101" customFormat="1" x14ac:dyDescent="0.15">
      <c r="A104" s="11"/>
      <c r="B104" s="10"/>
      <c r="C104" s="102"/>
      <c r="D104" s="10"/>
      <c r="E104" s="10"/>
      <c r="F104" s="102"/>
      <c r="G104" s="10"/>
      <c r="H104" s="10"/>
      <c r="I104" s="55"/>
      <c r="J104" s="55"/>
      <c r="K104" s="55"/>
      <c r="L104" s="55"/>
      <c r="M104" s="55"/>
      <c r="N104" s="10"/>
      <c r="O104" s="96"/>
      <c r="Q104" s="96"/>
      <c r="T104" s="96"/>
    </row>
    <row r="105" spans="1:20" s="101" customFormat="1" x14ac:dyDescent="0.15">
      <c r="A105" s="11"/>
      <c r="B105" s="10"/>
      <c r="C105" s="102"/>
      <c r="D105" s="10"/>
      <c r="E105" s="10"/>
      <c r="F105" s="102"/>
      <c r="G105" s="10"/>
      <c r="H105" s="10"/>
      <c r="I105" s="55"/>
      <c r="J105" s="55"/>
      <c r="K105" s="55"/>
      <c r="L105" s="55"/>
      <c r="M105" s="55"/>
      <c r="N105" s="10"/>
      <c r="O105" s="96"/>
      <c r="Q105" s="96"/>
      <c r="T105" s="96"/>
    </row>
    <row r="106" spans="1:20" s="101" customFormat="1" x14ac:dyDescent="0.15">
      <c r="A106" s="11"/>
      <c r="B106" s="10"/>
      <c r="C106" s="102"/>
      <c r="D106" s="10"/>
      <c r="E106" s="10"/>
      <c r="F106" s="102"/>
      <c r="G106" s="10"/>
      <c r="H106" s="10"/>
      <c r="I106" s="55"/>
      <c r="J106" s="55"/>
      <c r="K106" s="55"/>
      <c r="L106" s="55"/>
      <c r="M106" s="55"/>
      <c r="N106" s="10"/>
      <c r="O106" s="96"/>
      <c r="Q106" s="96"/>
      <c r="T106" s="96"/>
    </row>
    <row r="107" spans="1:20" s="101" customFormat="1" x14ac:dyDescent="0.15">
      <c r="A107" s="11"/>
      <c r="B107" s="10"/>
      <c r="C107" s="102"/>
      <c r="D107" s="10"/>
      <c r="E107" s="10"/>
      <c r="F107" s="102"/>
      <c r="G107" s="10"/>
      <c r="H107" s="10"/>
      <c r="I107" s="55"/>
      <c r="J107" s="55"/>
      <c r="K107" s="55"/>
      <c r="L107" s="55"/>
      <c r="M107" s="55"/>
      <c r="N107" s="10"/>
      <c r="O107" s="96"/>
      <c r="Q107" s="96"/>
      <c r="T107" s="96"/>
    </row>
    <row r="108" spans="1:20" s="101" customFormat="1" x14ac:dyDescent="0.15">
      <c r="A108" s="11"/>
      <c r="B108" s="10"/>
      <c r="C108" s="102"/>
      <c r="D108" s="10"/>
      <c r="E108" s="10"/>
      <c r="F108" s="102"/>
      <c r="G108" s="10"/>
      <c r="H108" s="10"/>
      <c r="I108" s="55"/>
      <c r="J108" s="55"/>
      <c r="K108" s="55"/>
      <c r="L108" s="55"/>
      <c r="M108" s="55"/>
      <c r="N108" s="10"/>
      <c r="O108" s="96"/>
      <c r="Q108" s="96"/>
      <c r="T108" s="96"/>
    </row>
    <row r="109" spans="1:20" s="101" customFormat="1" x14ac:dyDescent="0.15">
      <c r="A109" s="11"/>
      <c r="B109" s="10"/>
      <c r="C109" s="102"/>
      <c r="D109" s="10"/>
      <c r="E109" s="10"/>
      <c r="F109" s="102"/>
      <c r="G109" s="10"/>
      <c r="H109" s="10"/>
      <c r="I109" s="55"/>
      <c r="J109" s="55"/>
      <c r="K109" s="55"/>
      <c r="L109" s="55"/>
      <c r="M109" s="55"/>
      <c r="N109" s="10"/>
      <c r="O109" s="96"/>
      <c r="Q109" s="96"/>
      <c r="T109" s="96"/>
    </row>
    <row r="110" spans="1:20" s="101" customFormat="1" x14ac:dyDescent="0.15">
      <c r="A110" s="11"/>
      <c r="B110" s="10"/>
      <c r="C110" s="102"/>
      <c r="D110" s="10"/>
      <c r="E110" s="10"/>
      <c r="F110" s="102"/>
      <c r="G110" s="10"/>
      <c r="H110" s="10"/>
      <c r="I110" s="55"/>
      <c r="J110" s="55"/>
      <c r="K110" s="55"/>
      <c r="L110" s="55"/>
      <c r="M110" s="55"/>
      <c r="N110" s="10"/>
      <c r="O110" s="96"/>
      <c r="Q110" s="96"/>
      <c r="T110" s="96"/>
    </row>
    <row r="111" spans="1:20" s="101" customFormat="1" x14ac:dyDescent="0.15">
      <c r="A111" s="11"/>
      <c r="B111" s="10"/>
      <c r="C111" s="102"/>
      <c r="D111" s="10"/>
      <c r="E111" s="10"/>
      <c r="F111" s="102"/>
      <c r="G111" s="10"/>
      <c r="H111" s="10"/>
      <c r="I111" s="55"/>
      <c r="J111" s="55"/>
      <c r="K111" s="55"/>
      <c r="L111" s="55"/>
      <c r="M111" s="55"/>
      <c r="N111" s="10"/>
      <c r="O111" s="96"/>
      <c r="Q111" s="96"/>
      <c r="T111" s="96"/>
    </row>
    <row r="112" spans="1:20" s="101" customFormat="1" x14ac:dyDescent="0.15">
      <c r="A112" s="11"/>
      <c r="B112" s="10"/>
      <c r="C112" s="102"/>
      <c r="D112" s="10"/>
      <c r="E112" s="10"/>
      <c r="F112" s="102"/>
      <c r="G112" s="10"/>
      <c r="H112" s="10"/>
      <c r="I112" s="55"/>
      <c r="J112" s="55"/>
      <c r="K112" s="55"/>
      <c r="L112" s="55"/>
      <c r="M112" s="55"/>
      <c r="N112" s="10"/>
      <c r="O112" s="96"/>
      <c r="Q112" s="96"/>
      <c r="T112" s="96"/>
    </row>
    <row r="113" spans="1:20" s="101" customFormat="1" x14ac:dyDescent="0.15">
      <c r="A113" s="11"/>
      <c r="B113" s="10"/>
      <c r="C113" s="102"/>
      <c r="D113" s="10"/>
      <c r="E113" s="10"/>
      <c r="F113" s="102"/>
      <c r="G113" s="10"/>
      <c r="H113" s="10"/>
      <c r="I113" s="55"/>
      <c r="J113" s="55"/>
      <c r="K113" s="55"/>
      <c r="L113" s="55"/>
      <c r="M113" s="55"/>
      <c r="N113" s="10"/>
      <c r="O113" s="96"/>
      <c r="Q113" s="96"/>
      <c r="T113" s="96"/>
    </row>
    <row r="114" spans="1:20" s="101" customFormat="1" x14ac:dyDescent="0.15">
      <c r="A114" s="11"/>
      <c r="B114" s="10"/>
      <c r="C114" s="102"/>
      <c r="D114" s="10"/>
      <c r="E114" s="10"/>
      <c r="F114" s="102"/>
      <c r="G114" s="10"/>
      <c r="H114" s="10"/>
      <c r="I114" s="55"/>
      <c r="J114" s="55"/>
      <c r="K114" s="55"/>
      <c r="L114" s="55"/>
      <c r="M114" s="55"/>
      <c r="N114" s="10"/>
      <c r="O114" s="96"/>
      <c r="Q114" s="96"/>
      <c r="T114" s="96"/>
    </row>
    <row r="115" spans="1:20" s="101" customFormat="1" x14ac:dyDescent="0.15">
      <c r="A115" s="11"/>
      <c r="B115" s="10"/>
      <c r="C115" s="102"/>
      <c r="D115" s="10"/>
      <c r="E115" s="10"/>
      <c r="F115" s="102"/>
      <c r="G115" s="10"/>
      <c r="H115" s="10"/>
      <c r="I115" s="55"/>
      <c r="J115" s="55"/>
      <c r="K115" s="55"/>
      <c r="L115" s="55"/>
      <c r="M115" s="55"/>
      <c r="N115" s="10"/>
      <c r="O115" s="96"/>
      <c r="Q115" s="96"/>
      <c r="T115" s="96"/>
    </row>
    <row r="116" spans="1:20" s="101" customFormat="1" x14ac:dyDescent="0.15">
      <c r="A116" s="11"/>
      <c r="B116" s="10"/>
      <c r="C116" s="102"/>
      <c r="D116" s="10"/>
      <c r="E116" s="10"/>
      <c r="F116" s="102"/>
      <c r="G116" s="10"/>
      <c r="H116" s="10"/>
      <c r="I116" s="55"/>
      <c r="J116" s="55"/>
      <c r="K116" s="55"/>
      <c r="L116" s="55"/>
      <c r="M116" s="55"/>
      <c r="N116" s="10"/>
      <c r="O116" s="96"/>
      <c r="Q116" s="96"/>
      <c r="T116" s="96"/>
    </row>
    <row r="117" spans="1:20" s="101" customFormat="1" x14ac:dyDescent="0.15">
      <c r="A117" s="11"/>
      <c r="B117" s="10"/>
      <c r="C117" s="102"/>
      <c r="D117" s="10"/>
      <c r="E117" s="10"/>
      <c r="F117" s="102"/>
      <c r="G117" s="10"/>
      <c r="H117" s="10"/>
      <c r="I117" s="55"/>
      <c r="J117" s="55"/>
      <c r="K117" s="55"/>
      <c r="L117" s="55"/>
      <c r="M117" s="55"/>
      <c r="N117" s="10"/>
      <c r="O117" s="96"/>
      <c r="Q117" s="96"/>
      <c r="T117" s="96"/>
    </row>
    <row r="118" spans="1:20" s="101" customFormat="1" x14ac:dyDescent="0.15">
      <c r="A118" s="11"/>
      <c r="B118" s="10"/>
      <c r="C118" s="102"/>
      <c r="D118" s="10"/>
      <c r="E118" s="10"/>
      <c r="F118" s="102"/>
      <c r="G118" s="10"/>
      <c r="H118" s="10"/>
      <c r="I118" s="55"/>
      <c r="J118" s="55"/>
      <c r="K118" s="55"/>
      <c r="L118" s="55"/>
      <c r="M118" s="55"/>
      <c r="N118" s="10"/>
      <c r="O118" s="96"/>
      <c r="Q118" s="96"/>
      <c r="T118" s="96"/>
    </row>
    <row r="119" spans="1:20" s="101" customFormat="1" x14ac:dyDescent="0.15">
      <c r="A119" s="11"/>
      <c r="B119" s="10"/>
      <c r="C119" s="102"/>
      <c r="D119" s="10"/>
      <c r="E119" s="10"/>
      <c r="F119" s="102"/>
      <c r="G119" s="10"/>
      <c r="H119" s="10"/>
      <c r="I119" s="55"/>
      <c r="J119" s="55"/>
      <c r="K119" s="55"/>
      <c r="L119" s="55"/>
      <c r="M119" s="55"/>
      <c r="N119" s="10"/>
      <c r="O119" s="96"/>
      <c r="Q119" s="96"/>
      <c r="T119" s="96"/>
    </row>
    <row r="120" spans="1:20" s="101" customFormat="1" x14ac:dyDescent="0.15">
      <c r="A120" s="11"/>
      <c r="B120" s="10"/>
      <c r="C120" s="102"/>
      <c r="D120" s="10"/>
      <c r="E120" s="10"/>
      <c r="F120" s="102"/>
      <c r="G120" s="10"/>
      <c r="H120" s="10"/>
      <c r="I120" s="55"/>
      <c r="J120" s="55"/>
      <c r="K120" s="55"/>
      <c r="L120" s="55"/>
      <c r="M120" s="55"/>
      <c r="N120" s="10"/>
      <c r="O120" s="96"/>
      <c r="Q120" s="96"/>
      <c r="T120" s="96"/>
    </row>
    <row r="121" spans="1:20" s="101" customFormat="1" x14ac:dyDescent="0.15">
      <c r="A121" s="11"/>
      <c r="B121" s="10"/>
      <c r="C121" s="102"/>
      <c r="D121" s="10"/>
      <c r="E121" s="10"/>
      <c r="F121" s="102"/>
      <c r="G121" s="10"/>
      <c r="H121" s="10"/>
      <c r="I121" s="55"/>
      <c r="J121" s="55"/>
      <c r="K121" s="55"/>
      <c r="L121" s="55"/>
      <c r="M121" s="55"/>
      <c r="N121" s="10"/>
      <c r="O121" s="96"/>
      <c r="Q121" s="96"/>
      <c r="T121" s="96"/>
    </row>
    <row r="122" spans="1:20" s="101" customFormat="1" x14ac:dyDescent="0.15">
      <c r="A122" s="11"/>
      <c r="B122" s="10"/>
      <c r="C122" s="102"/>
      <c r="D122" s="10"/>
      <c r="E122" s="10"/>
      <c r="F122" s="102"/>
      <c r="G122" s="10"/>
      <c r="H122" s="10"/>
      <c r="I122" s="55"/>
      <c r="J122" s="55"/>
      <c r="K122" s="55"/>
      <c r="L122" s="55"/>
      <c r="M122" s="55"/>
      <c r="N122" s="10"/>
      <c r="O122" s="96"/>
      <c r="Q122" s="96"/>
      <c r="T122" s="96"/>
    </row>
    <row r="123" spans="1:20" s="101" customFormat="1" x14ac:dyDescent="0.15">
      <c r="A123" s="11"/>
      <c r="B123" s="10"/>
      <c r="C123" s="102"/>
      <c r="D123" s="10"/>
      <c r="E123" s="10"/>
      <c r="F123" s="102"/>
      <c r="G123" s="10"/>
      <c r="H123" s="10"/>
      <c r="I123" s="55"/>
      <c r="J123" s="55"/>
      <c r="K123" s="55"/>
      <c r="L123" s="55"/>
      <c r="M123" s="55"/>
      <c r="N123" s="10"/>
      <c r="O123" s="96"/>
      <c r="Q123" s="96"/>
      <c r="T123" s="96"/>
    </row>
    <row r="124" spans="1:20" s="101" customFormat="1" x14ac:dyDescent="0.15">
      <c r="A124" s="11"/>
      <c r="B124" s="10"/>
      <c r="C124" s="102"/>
      <c r="D124" s="10"/>
      <c r="E124" s="10"/>
      <c r="F124" s="102"/>
      <c r="G124" s="10"/>
      <c r="H124" s="10"/>
      <c r="I124" s="55"/>
      <c r="J124" s="55"/>
      <c r="K124" s="55"/>
      <c r="L124" s="55"/>
      <c r="M124" s="55"/>
      <c r="N124" s="10"/>
      <c r="O124" s="96"/>
      <c r="Q124" s="96"/>
      <c r="T124" s="96"/>
    </row>
    <row r="125" spans="1:20" s="101" customFormat="1" x14ac:dyDescent="0.15">
      <c r="A125" s="11"/>
      <c r="B125" s="10"/>
      <c r="C125" s="102"/>
      <c r="D125" s="10"/>
      <c r="E125" s="10"/>
      <c r="F125" s="102"/>
      <c r="G125" s="10"/>
      <c r="H125" s="10"/>
      <c r="I125" s="55"/>
      <c r="J125" s="55"/>
      <c r="K125" s="55"/>
      <c r="L125" s="55"/>
      <c r="M125" s="55"/>
      <c r="N125" s="10"/>
      <c r="O125" s="96"/>
      <c r="Q125" s="96"/>
      <c r="T125" s="96"/>
    </row>
    <row r="126" spans="1:20" s="101" customFormat="1" x14ac:dyDescent="0.15">
      <c r="A126" s="11"/>
      <c r="B126" s="10"/>
      <c r="C126" s="102"/>
      <c r="D126" s="10"/>
      <c r="E126" s="10"/>
      <c r="F126" s="102"/>
      <c r="G126" s="10"/>
      <c r="H126" s="10"/>
      <c r="I126" s="55"/>
      <c r="J126" s="55"/>
      <c r="K126" s="55"/>
      <c r="L126" s="55"/>
      <c r="M126" s="55"/>
      <c r="N126" s="10"/>
      <c r="O126" s="96"/>
      <c r="Q126" s="96"/>
      <c r="T126" s="96"/>
    </row>
    <row r="127" spans="1:20" s="101" customFormat="1" x14ac:dyDescent="0.15">
      <c r="A127" s="11"/>
      <c r="B127" s="10"/>
      <c r="C127" s="102"/>
      <c r="D127" s="10"/>
      <c r="E127" s="10"/>
      <c r="F127" s="102"/>
      <c r="G127" s="10"/>
      <c r="H127" s="10"/>
      <c r="I127" s="55"/>
      <c r="J127" s="55"/>
      <c r="K127" s="55"/>
      <c r="L127" s="55"/>
      <c r="M127" s="55"/>
      <c r="N127" s="10"/>
      <c r="O127" s="96"/>
      <c r="Q127" s="96"/>
      <c r="T127" s="96"/>
    </row>
    <row r="128" spans="1:20" s="101" customFormat="1" x14ac:dyDescent="0.15">
      <c r="A128" s="11"/>
      <c r="B128" s="10"/>
      <c r="C128" s="102"/>
      <c r="D128" s="10"/>
      <c r="E128" s="10"/>
      <c r="F128" s="102"/>
      <c r="G128" s="10"/>
      <c r="H128" s="10"/>
      <c r="I128" s="55"/>
      <c r="J128" s="55"/>
      <c r="K128" s="55"/>
      <c r="L128" s="55"/>
      <c r="M128" s="55"/>
      <c r="N128" s="10"/>
      <c r="O128" s="96"/>
      <c r="Q128" s="96"/>
      <c r="T128" s="96"/>
    </row>
    <row r="129" spans="1:20" s="101" customFormat="1" x14ac:dyDescent="0.15">
      <c r="A129" s="11"/>
      <c r="B129" s="10"/>
      <c r="C129" s="102"/>
      <c r="D129" s="10"/>
      <c r="E129" s="10"/>
      <c r="F129" s="102"/>
      <c r="G129" s="10"/>
      <c r="H129" s="10"/>
      <c r="I129" s="55"/>
      <c r="J129" s="55"/>
      <c r="K129" s="55"/>
      <c r="L129" s="55"/>
      <c r="M129" s="55"/>
      <c r="N129" s="10"/>
      <c r="O129" s="96"/>
      <c r="Q129" s="96"/>
      <c r="T129" s="96"/>
    </row>
    <row r="130" spans="1:20" s="101" customFormat="1" x14ac:dyDescent="0.15">
      <c r="A130" s="11"/>
      <c r="B130" s="10"/>
      <c r="C130" s="102"/>
      <c r="D130" s="10"/>
      <c r="E130" s="10"/>
      <c r="F130" s="102"/>
      <c r="G130" s="10"/>
      <c r="H130" s="10"/>
      <c r="I130" s="55"/>
      <c r="J130" s="55"/>
      <c r="K130" s="55"/>
      <c r="L130" s="55"/>
      <c r="M130" s="55"/>
      <c r="N130" s="10"/>
      <c r="O130" s="96"/>
      <c r="Q130" s="96"/>
      <c r="T130" s="96"/>
    </row>
    <row r="131" spans="1:20" s="101" customFormat="1" x14ac:dyDescent="0.15">
      <c r="A131" s="11"/>
      <c r="B131" s="10"/>
      <c r="C131" s="102"/>
      <c r="D131" s="10"/>
      <c r="E131" s="10"/>
      <c r="F131" s="102"/>
      <c r="G131" s="10"/>
      <c r="H131" s="10"/>
      <c r="I131" s="55"/>
      <c r="J131" s="55"/>
      <c r="K131" s="55"/>
      <c r="L131" s="55"/>
      <c r="M131" s="55"/>
      <c r="N131" s="10"/>
      <c r="O131" s="96"/>
      <c r="Q131" s="96"/>
      <c r="T131" s="96"/>
    </row>
    <row r="132" spans="1:20" s="101" customFormat="1" x14ac:dyDescent="0.15">
      <c r="A132" s="11"/>
      <c r="B132" s="10"/>
      <c r="C132" s="102"/>
      <c r="D132" s="10"/>
      <c r="E132" s="10"/>
      <c r="F132" s="102"/>
      <c r="G132" s="10"/>
      <c r="H132" s="10"/>
      <c r="I132" s="55"/>
      <c r="J132" s="55"/>
      <c r="K132" s="55"/>
      <c r="L132" s="55"/>
      <c r="M132" s="55"/>
      <c r="N132" s="10"/>
      <c r="O132" s="96"/>
      <c r="Q132" s="96"/>
      <c r="T132" s="96"/>
    </row>
    <row r="133" spans="1:20" s="101" customFormat="1" x14ac:dyDescent="0.15">
      <c r="A133" s="11"/>
      <c r="B133" s="10"/>
      <c r="C133" s="102"/>
      <c r="D133" s="10"/>
      <c r="E133" s="10"/>
      <c r="F133" s="102"/>
      <c r="G133" s="10"/>
      <c r="H133" s="10"/>
      <c r="I133" s="55"/>
      <c r="J133" s="55"/>
      <c r="K133" s="55"/>
      <c r="L133" s="55"/>
      <c r="M133" s="55"/>
      <c r="N133" s="10"/>
      <c r="O133" s="96"/>
      <c r="Q133" s="96"/>
      <c r="T133" s="96"/>
    </row>
    <row r="134" spans="1:20" s="101" customFormat="1" x14ac:dyDescent="0.15">
      <c r="A134" s="11"/>
      <c r="B134" s="10"/>
      <c r="C134" s="102"/>
      <c r="D134" s="10"/>
      <c r="E134" s="10"/>
      <c r="F134" s="102"/>
      <c r="G134" s="10"/>
      <c r="H134" s="10"/>
      <c r="I134" s="55"/>
      <c r="J134" s="55"/>
      <c r="K134" s="55"/>
      <c r="L134" s="55"/>
      <c r="M134" s="55"/>
      <c r="N134" s="10"/>
      <c r="O134" s="96"/>
      <c r="Q134" s="96"/>
      <c r="T134" s="96"/>
    </row>
    <row r="135" spans="1:20" s="101" customFormat="1" x14ac:dyDescent="0.15">
      <c r="A135" s="11"/>
      <c r="B135" s="10"/>
      <c r="C135" s="102"/>
      <c r="D135" s="10"/>
      <c r="E135" s="10"/>
      <c r="F135" s="102"/>
      <c r="G135" s="10"/>
      <c r="H135" s="10"/>
      <c r="I135" s="55"/>
      <c r="J135" s="55"/>
      <c r="K135" s="55"/>
      <c r="L135" s="55"/>
      <c r="M135" s="55"/>
      <c r="N135" s="10"/>
      <c r="O135" s="96"/>
      <c r="Q135" s="96"/>
      <c r="T135" s="96"/>
    </row>
    <row r="136" spans="1:20" s="101" customFormat="1" x14ac:dyDescent="0.15">
      <c r="A136" s="11"/>
      <c r="B136" s="10"/>
      <c r="C136" s="102"/>
      <c r="D136" s="10"/>
      <c r="E136" s="10"/>
      <c r="F136" s="102"/>
      <c r="G136" s="10"/>
      <c r="H136" s="10"/>
      <c r="I136" s="55"/>
      <c r="J136" s="55"/>
      <c r="K136" s="55"/>
      <c r="L136" s="55"/>
      <c r="M136" s="55"/>
      <c r="N136" s="10"/>
      <c r="O136" s="96"/>
      <c r="Q136" s="96"/>
      <c r="T136" s="96"/>
    </row>
    <row r="137" spans="1:20" s="101" customFormat="1" x14ac:dyDescent="0.15">
      <c r="A137" s="11"/>
      <c r="B137" s="10"/>
      <c r="C137" s="102"/>
      <c r="D137" s="10"/>
      <c r="E137" s="10"/>
      <c r="F137" s="102"/>
      <c r="G137" s="10"/>
      <c r="H137" s="10"/>
      <c r="I137" s="55"/>
      <c r="J137" s="55"/>
      <c r="K137" s="55"/>
      <c r="L137" s="55"/>
      <c r="M137" s="55"/>
      <c r="N137" s="10"/>
      <c r="O137" s="96"/>
      <c r="Q137" s="96"/>
      <c r="T137" s="96"/>
    </row>
    <row r="138" spans="1:20" s="101" customFormat="1" x14ac:dyDescent="0.15">
      <c r="A138" s="11"/>
      <c r="B138" s="10"/>
      <c r="C138" s="102"/>
      <c r="D138" s="10"/>
      <c r="E138" s="10"/>
      <c r="F138" s="102"/>
      <c r="G138" s="10"/>
      <c r="H138" s="10"/>
      <c r="I138" s="55"/>
      <c r="J138" s="55"/>
      <c r="K138" s="55"/>
      <c r="L138" s="55"/>
      <c r="M138" s="55"/>
      <c r="N138" s="10"/>
      <c r="O138" s="96"/>
      <c r="Q138" s="96"/>
      <c r="T138" s="96"/>
    </row>
    <row r="139" spans="1:20" s="101" customFormat="1" x14ac:dyDescent="0.15">
      <c r="A139" s="11"/>
      <c r="B139" s="10"/>
      <c r="C139" s="102"/>
      <c r="D139" s="10"/>
      <c r="E139" s="10"/>
      <c r="F139" s="102"/>
      <c r="G139" s="10"/>
      <c r="H139" s="10"/>
      <c r="I139" s="55"/>
      <c r="J139" s="55"/>
      <c r="K139" s="55"/>
      <c r="L139" s="55"/>
      <c r="M139" s="55"/>
      <c r="N139" s="10"/>
      <c r="O139" s="96"/>
      <c r="Q139" s="96"/>
      <c r="T139" s="96"/>
    </row>
    <row r="140" spans="1:20" s="101" customFormat="1" x14ac:dyDescent="0.15">
      <c r="A140" s="11"/>
      <c r="B140" s="10"/>
      <c r="C140" s="102"/>
      <c r="D140" s="10"/>
      <c r="E140" s="10"/>
      <c r="F140" s="102"/>
      <c r="G140" s="10"/>
      <c r="H140" s="10"/>
      <c r="I140" s="55"/>
      <c r="J140" s="55"/>
      <c r="K140" s="55"/>
      <c r="L140" s="55"/>
      <c r="M140" s="55"/>
      <c r="N140" s="10"/>
      <c r="O140" s="96"/>
      <c r="Q140" s="96"/>
      <c r="T140" s="96"/>
    </row>
    <row r="141" spans="1:20" s="101" customFormat="1" x14ac:dyDescent="0.15">
      <c r="A141" s="11"/>
      <c r="B141" s="10"/>
      <c r="C141" s="102"/>
      <c r="D141" s="10"/>
      <c r="E141" s="10"/>
      <c r="F141" s="102"/>
      <c r="G141" s="10"/>
      <c r="H141" s="10"/>
      <c r="I141" s="55"/>
      <c r="J141" s="55"/>
      <c r="K141" s="55"/>
      <c r="L141" s="55"/>
      <c r="M141" s="55"/>
      <c r="N141" s="10"/>
      <c r="O141" s="96"/>
      <c r="Q141" s="96"/>
      <c r="T141" s="96"/>
    </row>
    <row r="142" spans="1:20" s="101" customFormat="1" x14ac:dyDescent="0.15">
      <c r="A142" s="11"/>
      <c r="B142" s="10"/>
      <c r="C142" s="102"/>
      <c r="D142" s="10"/>
      <c r="E142" s="10"/>
      <c r="F142" s="102"/>
      <c r="G142" s="10"/>
      <c r="H142" s="10"/>
      <c r="I142" s="55"/>
      <c r="J142" s="55"/>
      <c r="K142" s="55"/>
      <c r="L142" s="55"/>
      <c r="M142" s="55"/>
      <c r="N142" s="10"/>
      <c r="O142" s="96"/>
      <c r="Q142" s="96"/>
      <c r="T142" s="96"/>
    </row>
    <row r="143" spans="1:20" s="101" customFormat="1" x14ac:dyDescent="0.15">
      <c r="A143" s="11"/>
      <c r="B143" s="10"/>
      <c r="C143" s="102"/>
      <c r="D143" s="10"/>
      <c r="E143" s="10"/>
      <c r="F143" s="102"/>
      <c r="G143" s="10"/>
      <c r="H143" s="10"/>
      <c r="I143" s="55"/>
      <c r="J143" s="55"/>
      <c r="K143" s="55"/>
      <c r="L143" s="55"/>
      <c r="M143" s="55"/>
      <c r="N143" s="10"/>
      <c r="O143" s="96"/>
      <c r="Q143" s="96"/>
      <c r="T143" s="96"/>
    </row>
    <row r="144" spans="1:20" s="101" customFormat="1" x14ac:dyDescent="0.15">
      <c r="A144" s="11"/>
      <c r="B144" s="10"/>
      <c r="C144" s="102"/>
      <c r="D144" s="10"/>
      <c r="E144" s="10"/>
      <c r="F144" s="102"/>
      <c r="G144" s="10"/>
      <c r="H144" s="10"/>
      <c r="I144" s="55"/>
      <c r="J144" s="55"/>
      <c r="K144" s="55"/>
      <c r="L144" s="55"/>
      <c r="M144" s="55"/>
      <c r="N144" s="10"/>
      <c r="O144" s="96"/>
      <c r="Q144" s="96"/>
      <c r="T144" s="96"/>
    </row>
    <row r="145" spans="1:20" s="101" customFormat="1" x14ac:dyDescent="0.15">
      <c r="A145" s="11"/>
      <c r="B145" s="10"/>
      <c r="C145" s="102"/>
      <c r="D145" s="10"/>
      <c r="E145" s="10"/>
      <c r="F145" s="102"/>
      <c r="G145" s="10"/>
      <c r="H145" s="10"/>
      <c r="I145" s="55"/>
      <c r="J145" s="55"/>
      <c r="K145" s="55"/>
      <c r="L145" s="55"/>
      <c r="M145" s="55"/>
      <c r="N145" s="10"/>
      <c r="O145" s="96"/>
      <c r="Q145" s="96"/>
      <c r="T145" s="96"/>
    </row>
    <row r="146" spans="1:20" s="101" customFormat="1" x14ac:dyDescent="0.15">
      <c r="A146" s="11"/>
      <c r="B146" s="10"/>
      <c r="C146" s="102"/>
      <c r="D146" s="10"/>
      <c r="E146" s="10"/>
      <c r="F146" s="102"/>
      <c r="G146" s="10"/>
      <c r="H146" s="10"/>
      <c r="I146" s="55"/>
      <c r="J146" s="55"/>
      <c r="K146" s="55"/>
      <c r="L146" s="55"/>
      <c r="M146" s="55"/>
      <c r="N146" s="10"/>
      <c r="O146" s="96"/>
      <c r="Q146" s="96"/>
      <c r="T146" s="96"/>
    </row>
    <row r="147" spans="1:20" s="101" customFormat="1" x14ac:dyDescent="0.15">
      <c r="A147" s="11"/>
      <c r="B147" s="10"/>
      <c r="C147" s="102"/>
      <c r="D147" s="10"/>
      <c r="E147" s="10"/>
      <c r="F147" s="102"/>
      <c r="G147" s="10"/>
      <c r="H147" s="10"/>
      <c r="I147" s="55"/>
      <c r="J147" s="55"/>
      <c r="K147" s="55"/>
      <c r="L147" s="55"/>
      <c r="M147" s="55"/>
      <c r="N147" s="10"/>
      <c r="O147" s="96"/>
      <c r="Q147" s="96"/>
      <c r="T147" s="96"/>
    </row>
    <row r="148" spans="1:20" s="101" customFormat="1" x14ac:dyDescent="0.15">
      <c r="A148" s="11"/>
      <c r="B148" s="10"/>
      <c r="C148" s="102"/>
      <c r="D148" s="10"/>
      <c r="E148" s="10"/>
      <c r="F148" s="102"/>
      <c r="G148" s="10"/>
      <c r="H148" s="10"/>
      <c r="I148" s="55"/>
      <c r="J148" s="55"/>
      <c r="K148" s="55"/>
      <c r="L148" s="55"/>
      <c r="M148" s="55"/>
      <c r="N148" s="10"/>
      <c r="O148" s="96"/>
      <c r="Q148" s="96"/>
      <c r="T148" s="96"/>
    </row>
    <row r="149" spans="1:20" s="101" customFormat="1" x14ac:dyDescent="0.15">
      <c r="A149" s="11"/>
      <c r="B149" s="10"/>
      <c r="C149" s="102"/>
      <c r="D149" s="10"/>
      <c r="E149" s="10"/>
      <c r="F149" s="102"/>
      <c r="G149" s="10"/>
      <c r="H149" s="10"/>
      <c r="I149" s="55"/>
      <c r="J149" s="55"/>
      <c r="K149" s="55"/>
      <c r="L149" s="55"/>
      <c r="M149" s="55"/>
      <c r="N149" s="10"/>
      <c r="O149" s="96"/>
      <c r="Q149" s="96"/>
      <c r="T149" s="96"/>
    </row>
    <row r="150" spans="1:20" s="101" customFormat="1" x14ac:dyDescent="0.15">
      <c r="A150" s="11"/>
      <c r="B150" s="10"/>
      <c r="C150" s="102"/>
      <c r="D150" s="10"/>
      <c r="E150" s="10"/>
      <c r="F150" s="102"/>
      <c r="G150" s="10"/>
      <c r="H150" s="10"/>
      <c r="I150" s="55"/>
      <c r="J150" s="55"/>
      <c r="K150" s="55"/>
      <c r="L150" s="55"/>
      <c r="M150" s="55"/>
      <c r="N150" s="10"/>
      <c r="O150" s="96"/>
      <c r="Q150" s="96"/>
      <c r="T150" s="96"/>
    </row>
    <row r="151" spans="1:20" s="101" customFormat="1" x14ac:dyDescent="0.15">
      <c r="A151" s="11"/>
      <c r="B151" s="10"/>
      <c r="C151" s="102"/>
      <c r="D151" s="10"/>
      <c r="E151" s="10"/>
      <c r="F151" s="102"/>
      <c r="G151" s="10"/>
      <c r="H151" s="10"/>
      <c r="I151" s="55"/>
      <c r="J151" s="55"/>
      <c r="K151" s="55"/>
      <c r="L151" s="55"/>
      <c r="M151" s="55"/>
      <c r="N151" s="10"/>
      <c r="O151" s="96"/>
      <c r="Q151" s="96"/>
      <c r="T151" s="96"/>
    </row>
    <row r="152" spans="1:20" s="101" customFormat="1" x14ac:dyDescent="0.15">
      <c r="A152" s="11"/>
      <c r="B152" s="10"/>
      <c r="C152" s="102"/>
      <c r="D152" s="10"/>
      <c r="E152" s="10"/>
      <c r="F152" s="102"/>
      <c r="G152" s="10"/>
      <c r="H152" s="10"/>
      <c r="I152" s="55"/>
      <c r="J152" s="55"/>
      <c r="K152" s="55"/>
      <c r="L152" s="55"/>
      <c r="M152" s="55"/>
      <c r="N152" s="10"/>
      <c r="O152" s="96"/>
      <c r="Q152" s="96"/>
      <c r="T152" s="96"/>
    </row>
    <row r="153" spans="1:20" s="101" customFormat="1" x14ac:dyDescent="0.15">
      <c r="A153" s="11"/>
      <c r="B153" s="10"/>
      <c r="C153" s="102"/>
      <c r="D153" s="10"/>
      <c r="E153" s="10"/>
      <c r="F153" s="102"/>
      <c r="G153" s="10"/>
      <c r="H153" s="10"/>
      <c r="I153" s="55"/>
      <c r="J153" s="55"/>
      <c r="K153" s="55"/>
      <c r="L153" s="55"/>
      <c r="M153" s="55"/>
      <c r="N153" s="10"/>
      <c r="O153" s="96"/>
      <c r="Q153" s="96"/>
      <c r="T153" s="96"/>
    </row>
    <row r="154" spans="1:20" s="101" customFormat="1" x14ac:dyDescent="0.15">
      <c r="A154" s="11"/>
      <c r="B154" s="10"/>
      <c r="C154" s="102"/>
      <c r="D154" s="10"/>
      <c r="E154" s="10"/>
      <c r="F154" s="102"/>
      <c r="G154" s="10"/>
      <c r="H154" s="10"/>
      <c r="I154" s="55"/>
      <c r="J154" s="55"/>
      <c r="K154" s="55"/>
      <c r="L154" s="55"/>
      <c r="M154" s="55"/>
      <c r="N154" s="10"/>
      <c r="O154" s="96"/>
      <c r="Q154" s="96"/>
      <c r="T154" s="96"/>
    </row>
    <row r="155" spans="1:20" s="101" customFormat="1" x14ac:dyDescent="0.15">
      <c r="A155" s="11"/>
      <c r="B155" s="10"/>
      <c r="C155" s="102"/>
      <c r="D155" s="10"/>
      <c r="E155" s="10"/>
      <c r="F155" s="102"/>
      <c r="G155" s="10"/>
      <c r="H155" s="10"/>
      <c r="I155" s="55"/>
      <c r="J155" s="55"/>
      <c r="K155" s="55"/>
      <c r="L155" s="55"/>
      <c r="M155" s="55"/>
      <c r="N155" s="10"/>
      <c r="O155" s="96"/>
      <c r="Q155" s="96"/>
      <c r="T155" s="96"/>
    </row>
    <row r="156" spans="1:20" s="101" customFormat="1" x14ac:dyDescent="0.15">
      <c r="A156" s="11"/>
      <c r="B156" s="10"/>
      <c r="C156" s="102"/>
      <c r="D156" s="10"/>
      <c r="E156" s="10"/>
      <c r="F156" s="102"/>
      <c r="G156" s="10"/>
      <c r="H156" s="10"/>
      <c r="I156" s="55"/>
      <c r="J156" s="55"/>
      <c r="K156" s="55"/>
      <c r="L156" s="55"/>
      <c r="M156" s="55"/>
      <c r="N156" s="10"/>
      <c r="O156" s="96"/>
      <c r="Q156" s="96"/>
      <c r="T156" s="96"/>
    </row>
    <row r="157" spans="1:20" s="101" customFormat="1" x14ac:dyDescent="0.15">
      <c r="A157" s="11"/>
      <c r="B157" s="10"/>
      <c r="C157" s="102"/>
      <c r="D157" s="10"/>
      <c r="E157" s="10"/>
      <c r="F157" s="102"/>
      <c r="G157" s="10"/>
      <c r="H157" s="10"/>
      <c r="I157" s="55"/>
      <c r="J157" s="55"/>
      <c r="K157" s="55"/>
      <c r="L157" s="55"/>
      <c r="M157" s="55"/>
      <c r="N157" s="10"/>
      <c r="O157" s="96"/>
      <c r="Q157" s="96"/>
      <c r="T157" s="96"/>
    </row>
    <row r="158" spans="1:20" s="101" customFormat="1" x14ac:dyDescent="0.15">
      <c r="A158" s="11"/>
      <c r="B158" s="10"/>
      <c r="C158" s="102"/>
      <c r="D158" s="10"/>
      <c r="E158" s="10"/>
      <c r="F158" s="102"/>
      <c r="G158" s="10"/>
      <c r="H158" s="10"/>
      <c r="I158" s="55"/>
      <c r="J158" s="55"/>
      <c r="K158" s="55"/>
      <c r="L158" s="55"/>
      <c r="M158" s="55"/>
      <c r="N158" s="10"/>
      <c r="O158" s="96"/>
      <c r="Q158" s="96"/>
      <c r="T158" s="96"/>
    </row>
    <row r="159" spans="1:20" s="101" customFormat="1" x14ac:dyDescent="0.15">
      <c r="A159" s="11"/>
      <c r="B159" s="10"/>
      <c r="C159" s="102"/>
      <c r="D159" s="10"/>
      <c r="E159" s="10"/>
      <c r="F159" s="102"/>
      <c r="G159" s="10"/>
      <c r="H159" s="10"/>
      <c r="I159" s="55"/>
      <c r="J159" s="55"/>
      <c r="K159" s="55"/>
      <c r="L159" s="55"/>
      <c r="M159" s="55"/>
      <c r="N159" s="10"/>
      <c r="O159" s="96"/>
      <c r="Q159" s="96"/>
      <c r="T159" s="96"/>
    </row>
    <row r="160" spans="1:20" s="101" customFormat="1" x14ac:dyDescent="0.15">
      <c r="A160" s="11"/>
      <c r="B160" s="10"/>
      <c r="C160" s="102"/>
      <c r="D160" s="10"/>
      <c r="E160" s="10"/>
      <c r="F160" s="102"/>
      <c r="G160" s="10"/>
      <c r="H160" s="10"/>
      <c r="I160" s="55"/>
      <c r="J160" s="55"/>
      <c r="K160" s="55"/>
      <c r="L160" s="55"/>
      <c r="M160" s="55"/>
      <c r="N160" s="10"/>
      <c r="O160" s="96"/>
      <c r="Q160" s="96"/>
      <c r="T160" s="96"/>
    </row>
    <row r="161" spans="1:20" s="101" customFormat="1" x14ac:dyDescent="0.15">
      <c r="A161" s="11"/>
      <c r="B161" s="10"/>
      <c r="C161" s="102"/>
      <c r="D161" s="10"/>
      <c r="E161" s="10"/>
      <c r="F161" s="102"/>
      <c r="G161" s="10"/>
      <c r="H161" s="10"/>
      <c r="I161" s="55"/>
      <c r="J161" s="55"/>
      <c r="K161" s="55"/>
      <c r="L161" s="55"/>
      <c r="M161" s="55"/>
      <c r="N161" s="10"/>
      <c r="O161" s="96"/>
      <c r="Q161" s="96"/>
      <c r="T161" s="96"/>
    </row>
    <row r="162" spans="1:20" s="101" customFormat="1" x14ac:dyDescent="0.15">
      <c r="A162" s="11"/>
      <c r="B162" s="10"/>
      <c r="C162" s="102"/>
      <c r="D162" s="10"/>
      <c r="E162" s="10"/>
      <c r="F162" s="102"/>
      <c r="G162" s="10"/>
      <c r="H162" s="10"/>
      <c r="I162" s="55"/>
      <c r="J162" s="55"/>
      <c r="K162" s="55"/>
      <c r="L162" s="55"/>
      <c r="M162" s="55"/>
      <c r="N162" s="10"/>
      <c r="O162" s="96"/>
      <c r="Q162" s="96"/>
      <c r="T162" s="96"/>
    </row>
    <row r="163" spans="1:20" s="101" customFormat="1" x14ac:dyDescent="0.15">
      <c r="A163" s="11"/>
      <c r="B163" s="10"/>
      <c r="C163" s="102"/>
      <c r="D163" s="10"/>
      <c r="E163" s="10"/>
      <c r="F163" s="102"/>
      <c r="G163" s="10"/>
      <c r="H163" s="10"/>
      <c r="I163" s="55"/>
      <c r="J163" s="55"/>
      <c r="K163" s="55"/>
      <c r="L163" s="55"/>
      <c r="M163" s="55"/>
      <c r="N163" s="10"/>
      <c r="O163" s="96"/>
      <c r="Q163" s="96"/>
      <c r="T163" s="96"/>
    </row>
    <row r="164" spans="1:20" s="101" customFormat="1" x14ac:dyDescent="0.15">
      <c r="A164" s="11"/>
      <c r="B164" s="10"/>
      <c r="C164" s="102"/>
      <c r="D164" s="10"/>
      <c r="E164" s="10"/>
      <c r="F164" s="102"/>
      <c r="G164" s="10"/>
      <c r="H164" s="10"/>
      <c r="I164" s="55"/>
      <c r="J164" s="55"/>
      <c r="K164" s="55"/>
      <c r="L164" s="55"/>
      <c r="M164" s="55"/>
      <c r="N164" s="10"/>
      <c r="O164" s="96"/>
      <c r="Q164" s="96"/>
      <c r="T164" s="96"/>
    </row>
    <row r="165" spans="1:20" s="101" customFormat="1" x14ac:dyDescent="0.15">
      <c r="A165" s="11"/>
      <c r="B165" s="10"/>
      <c r="C165" s="102"/>
      <c r="D165" s="10"/>
      <c r="E165" s="10"/>
      <c r="F165" s="102"/>
      <c r="G165" s="10"/>
      <c r="H165" s="10"/>
      <c r="I165" s="55"/>
      <c r="J165" s="55"/>
      <c r="K165" s="55"/>
      <c r="L165" s="55"/>
      <c r="M165" s="55"/>
      <c r="N165" s="10"/>
      <c r="O165" s="96"/>
      <c r="Q165" s="96"/>
      <c r="T165" s="96"/>
    </row>
    <row r="166" spans="1:20" s="101" customFormat="1" x14ac:dyDescent="0.15">
      <c r="A166" s="11"/>
      <c r="B166" s="10"/>
      <c r="C166" s="102"/>
      <c r="D166" s="10"/>
      <c r="E166" s="10"/>
      <c r="F166" s="102"/>
      <c r="G166" s="10"/>
      <c r="H166" s="10"/>
      <c r="I166" s="55"/>
      <c r="J166" s="55"/>
      <c r="K166" s="55"/>
      <c r="L166" s="55"/>
      <c r="M166" s="55"/>
      <c r="N166" s="10"/>
      <c r="O166" s="96"/>
      <c r="Q166" s="96"/>
      <c r="T166" s="96"/>
    </row>
    <row r="167" spans="1:20" s="101" customFormat="1" x14ac:dyDescent="0.15">
      <c r="A167" s="11"/>
      <c r="B167" s="10"/>
      <c r="C167" s="102"/>
      <c r="D167" s="10"/>
      <c r="E167" s="10"/>
      <c r="F167" s="102"/>
      <c r="G167" s="10"/>
      <c r="H167" s="10"/>
      <c r="I167" s="55"/>
      <c r="J167" s="55"/>
      <c r="K167" s="55"/>
      <c r="L167" s="55"/>
      <c r="M167" s="55"/>
      <c r="N167" s="10"/>
      <c r="O167" s="96"/>
      <c r="Q167" s="96"/>
      <c r="T167" s="96"/>
    </row>
    <row r="168" spans="1:20" s="101" customFormat="1" x14ac:dyDescent="0.15">
      <c r="A168" s="11"/>
      <c r="B168" s="10"/>
      <c r="C168" s="102"/>
      <c r="D168" s="10"/>
      <c r="E168" s="10"/>
      <c r="F168" s="102"/>
      <c r="G168" s="10"/>
      <c r="H168" s="10"/>
      <c r="I168" s="55"/>
      <c r="J168" s="55"/>
      <c r="K168" s="55"/>
      <c r="L168" s="55"/>
      <c r="M168" s="55"/>
      <c r="N168" s="10"/>
      <c r="O168" s="96"/>
      <c r="Q168" s="96"/>
      <c r="T168" s="96"/>
    </row>
    <row r="169" spans="1:20" s="101" customFormat="1" x14ac:dyDescent="0.15">
      <c r="A169" s="11"/>
      <c r="B169" s="10"/>
      <c r="C169" s="102"/>
      <c r="D169" s="10"/>
      <c r="E169" s="10"/>
      <c r="F169" s="102"/>
      <c r="G169" s="10"/>
      <c r="H169" s="10"/>
      <c r="I169" s="55"/>
      <c r="J169" s="55"/>
      <c r="K169" s="55"/>
      <c r="L169" s="55"/>
      <c r="M169" s="55"/>
      <c r="N169" s="10"/>
      <c r="O169" s="96"/>
      <c r="Q169" s="96"/>
      <c r="T169" s="96"/>
    </row>
    <row r="170" spans="1:20" s="101" customFormat="1" x14ac:dyDescent="0.15">
      <c r="A170" s="11"/>
      <c r="B170" s="10"/>
      <c r="C170" s="102"/>
      <c r="D170" s="10"/>
      <c r="E170" s="10"/>
      <c r="F170" s="102"/>
      <c r="G170" s="10"/>
      <c r="H170" s="10"/>
      <c r="I170" s="55"/>
      <c r="J170" s="55"/>
      <c r="K170" s="55"/>
      <c r="L170" s="55"/>
      <c r="M170" s="55"/>
      <c r="N170" s="10"/>
      <c r="O170" s="96"/>
      <c r="Q170" s="96"/>
      <c r="T170" s="96"/>
    </row>
    <row r="171" spans="1:20" s="101" customFormat="1" x14ac:dyDescent="0.15">
      <c r="A171" s="11"/>
      <c r="B171" s="10"/>
      <c r="C171" s="102"/>
      <c r="D171" s="10"/>
      <c r="E171" s="10"/>
      <c r="F171" s="102"/>
      <c r="G171" s="10"/>
      <c r="H171" s="10"/>
      <c r="I171" s="55"/>
      <c r="J171" s="55"/>
      <c r="K171" s="55"/>
      <c r="L171" s="55"/>
      <c r="M171" s="55"/>
      <c r="N171" s="10"/>
      <c r="O171" s="96"/>
      <c r="Q171" s="96"/>
      <c r="T171" s="96"/>
    </row>
    <row r="172" spans="1:20" s="101" customFormat="1" x14ac:dyDescent="0.15">
      <c r="A172" s="11"/>
      <c r="B172" s="10"/>
      <c r="C172" s="102"/>
      <c r="D172" s="10"/>
      <c r="E172" s="10"/>
      <c r="F172" s="102"/>
      <c r="G172" s="10"/>
      <c r="H172" s="10"/>
      <c r="I172" s="55"/>
      <c r="J172" s="55"/>
      <c r="K172" s="55"/>
      <c r="L172" s="55"/>
      <c r="M172" s="55"/>
      <c r="N172" s="10"/>
      <c r="O172" s="96"/>
      <c r="Q172" s="96"/>
      <c r="T172" s="96"/>
    </row>
    <row r="173" spans="1:20" s="101" customFormat="1" x14ac:dyDescent="0.15">
      <c r="A173" s="11"/>
      <c r="B173" s="10"/>
      <c r="C173" s="102"/>
      <c r="D173" s="10"/>
      <c r="E173" s="10"/>
      <c r="F173" s="102"/>
      <c r="G173" s="10"/>
      <c r="H173" s="10"/>
      <c r="I173" s="55"/>
      <c r="J173" s="55"/>
      <c r="K173" s="55"/>
      <c r="L173" s="55"/>
      <c r="M173" s="55"/>
      <c r="N173" s="10"/>
      <c r="O173" s="96"/>
      <c r="Q173" s="96"/>
      <c r="T173" s="96"/>
    </row>
    <row r="174" spans="1:20" s="101" customFormat="1" x14ac:dyDescent="0.15">
      <c r="A174" s="11"/>
      <c r="B174" s="10"/>
      <c r="C174" s="102"/>
      <c r="D174" s="10"/>
      <c r="E174" s="10"/>
      <c r="F174" s="102"/>
      <c r="G174" s="10"/>
      <c r="H174" s="10"/>
      <c r="I174" s="55"/>
      <c r="J174" s="55"/>
      <c r="K174" s="55"/>
      <c r="L174" s="55"/>
      <c r="M174" s="55"/>
      <c r="N174" s="10"/>
      <c r="O174" s="96"/>
      <c r="Q174" s="96"/>
      <c r="T174" s="96"/>
    </row>
    <row r="175" spans="1:20" s="101" customFormat="1" x14ac:dyDescent="0.15">
      <c r="A175" s="11"/>
      <c r="B175" s="10"/>
      <c r="C175" s="102"/>
      <c r="D175" s="10"/>
      <c r="E175" s="10"/>
      <c r="F175" s="102"/>
      <c r="G175" s="10"/>
      <c r="H175" s="10"/>
      <c r="I175" s="55"/>
      <c r="J175" s="55"/>
      <c r="K175" s="55"/>
      <c r="L175" s="55"/>
      <c r="M175" s="55"/>
      <c r="N175" s="10"/>
      <c r="O175" s="96"/>
      <c r="Q175" s="96"/>
      <c r="T175" s="96"/>
    </row>
    <row r="176" spans="1:20" s="101" customFormat="1" x14ac:dyDescent="0.15">
      <c r="A176" s="11"/>
      <c r="B176" s="10"/>
      <c r="C176" s="102"/>
      <c r="D176" s="10"/>
      <c r="E176" s="10"/>
      <c r="F176" s="102"/>
      <c r="G176" s="10"/>
      <c r="H176" s="10"/>
      <c r="I176" s="55"/>
      <c r="J176" s="55"/>
      <c r="K176" s="55"/>
      <c r="L176" s="55"/>
      <c r="M176" s="55"/>
      <c r="N176" s="10"/>
      <c r="O176" s="96"/>
      <c r="Q176" s="96"/>
      <c r="T176" s="96"/>
    </row>
    <row r="177" spans="1:20" s="101" customFormat="1" x14ac:dyDescent="0.15">
      <c r="A177" s="11"/>
      <c r="B177" s="10"/>
      <c r="C177" s="102"/>
      <c r="D177" s="10"/>
      <c r="E177" s="10"/>
      <c r="F177" s="102"/>
      <c r="G177" s="10"/>
      <c r="H177" s="10"/>
      <c r="I177" s="55"/>
      <c r="J177" s="55"/>
      <c r="K177" s="55"/>
      <c r="L177" s="55"/>
      <c r="M177" s="55"/>
      <c r="N177" s="10"/>
      <c r="O177" s="96"/>
      <c r="Q177" s="96"/>
      <c r="T177" s="96"/>
    </row>
    <row r="178" spans="1:20" s="101" customFormat="1" x14ac:dyDescent="0.15">
      <c r="A178" s="11"/>
      <c r="B178" s="10"/>
      <c r="C178" s="102"/>
      <c r="D178" s="10"/>
      <c r="E178" s="10"/>
      <c r="F178" s="102"/>
      <c r="G178" s="10"/>
      <c r="H178" s="10"/>
      <c r="I178" s="55"/>
      <c r="J178" s="55"/>
      <c r="K178" s="55"/>
      <c r="L178" s="55"/>
      <c r="M178" s="55"/>
      <c r="N178" s="10"/>
      <c r="O178" s="96"/>
      <c r="Q178" s="96"/>
      <c r="T178" s="96"/>
    </row>
    <row r="179" spans="1:20" s="101" customFormat="1" x14ac:dyDescent="0.15">
      <c r="A179" s="11"/>
      <c r="B179" s="10"/>
      <c r="C179" s="102"/>
      <c r="D179" s="10"/>
      <c r="E179" s="10"/>
      <c r="F179" s="102"/>
      <c r="G179" s="10"/>
      <c r="H179" s="10"/>
      <c r="I179" s="55"/>
      <c r="J179" s="55"/>
      <c r="K179" s="55"/>
      <c r="L179" s="55"/>
      <c r="M179" s="55"/>
      <c r="N179" s="10"/>
      <c r="O179" s="96"/>
      <c r="Q179" s="96"/>
      <c r="T179" s="96"/>
    </row>
    <row r="180" spans="1:20" s="101" customFormat="1" x14ac:dyDescent="0.15">
      <c r="A180" s="11"/>
      <c r="B180" s="10"/>
      <c r="C180" s="102"/>
      <c r="D180" s="10"/>
      <c r="E180" s="10"/>
      <c r="F180" s="102"/>
      <c r="G180" s="10"/>
      <c r="H180" s="10"/>
      <c r="I180" s="55"/>
      <c r="J180" s="55"/>
      <c r="K180" s="55"/>
      <c r="L180" s="55"/>
      <c r="M180" s="55"/>
      <c r="N180" s="10"/>
      <c r="O180" s="96"/>
      <c r="Q180" s="96"/>
      <c r="T180" s="96"/>
    </row>
    <row r="181" spans="1:20" s="101" customFormat="1" x14ac:dyDescent="0.15">
      <c r="A181" s="11"/>
      <c r="B181" s="10"/>
      <c r="C181" s="102"/>
      <c r="D181" s="10"/>
      <c r="E181" s="10"/>
      <c r="F181" s="102"/>
      <c r="G181" s="10"/>
      <c r="H181" s="10"/>
      <c r="I181" s="55"/>
      <c r="J181" s="55"/>
      <c r="K181" s="55"/>
      <c r="L181" s="55"/>
      <c r="M181" s="55"/>
      <c r="N181" s="10"/>
      <c r="O181" s="96"/>
      <c r="Q181" s="96"/>
      <c r="T181" s="96"/>
    </row>
    <row r="182" spans="1:20" s="101" customFormat="1" x14ac:dyDescent="0.15">
      <c r="A182" s="11"/>
      <c r="B182" s="10"/>
      <c r="C182" s="102"/>
      <c r="D182" s="10"/>
      <c r="E182" s="10"/>
      <c r="F182" s="102"/>
      <c r="G182" s="10"/>
      <c r="H182" s="10"/>
      <c r="I182" s="55"/>
      <c r="J182" s="55"/>
      <c r="K182" s="55"/>
      <c r="L182" s="55"/>
      <c r="M182" s="55"/>
      <c r="N182" s="10"/>
      <c r="O182" s="96"/>
      <c r="Q182" s="96"/>
      <c r="T182" s="96"/>
    </row>
    <row r="183" spans="1:20" s="101" customFormat="1" x14ac:dyDescent="0.15">
      <c r="A183" s="11"/>
      <c r="B183" s="10"/>
      <c r="C183" s="102"/>
      <c r="D183" s="10"/>
      <c r="E183" s="10"/>
      <c r="F183" s="102"/>
      <c r="G183" s="10"/>
      <c r="H183" s="10"/>
      <c r="I183" s="55"/>
      <c r="J183" s="55"/>
      <c r="K183" s="55"/>
      <c r="L183" s="55"/>
      <c r="M183" s="55"/>
      <c r="N183" s="10"/>
      <c r="O183" s="96"/>
      <c r="Q183" s="96"/>
      <c r="T183" s="96"/>
    </row>
    <row r="184" spans="1:20" s="101" customFormat="1" x14ac:dyDescent="0.15">
      <c r="A184" s="11"/>
      <c r="B184" s="10"/>
      <c r="C184" s="102"/>
      <c r="D184" s="10"/>
      <c r="E184" s="10"/>
      <c r="F184" s="102"/>
      <c r="G184" s="10"/>
      <c r="H184" s="10"/>
      <c r="I184" s="55"/>
      <c r="J184" s="55"/>
      <c r="K184" s="55"/>
      <c r="L184" s="55"/>
      <c r="M184" s="55"/>
      <c r="N184" s="10"/>
      <c r="O184" s="96"/>
      <c r="Q184" s="96"/>
      <c r="T184" s="96"/>
    </row>
    <row r="185" spans="1:20" s="101" customFormat="1" x14ac:dyDescent="0.15">
      <c r="A185" s="11"/>
      <c r="B185" s="10"/>
      <c r="C185" s="102"/>
      <c r="D185" s="10"/>
      <c r="E185" s="10"/>
      <c r="F185" s="102"/>
      <c r="G185" s="10"/>
      <c r="H185" s="10"/>
      <c r="I185" s="55"/>
      <c r="J185" s="55"/>
      <c r="K185" s="55"/>
      <c r="L185" s="55"/>
      <c r="M185" s="55"/>
      <c r="N185" s="10"/>
      <c r="O185" s="96"/>
      <c r="Q185" s="96"/>
      <c r="T185" s="96"/>
    </row>
    <row r="186" spans="1:20" s="101" customFormat="1" x14ac:dyDescent="0.15">
      <c r="A186" s="11"/>
      <c r="B186" s="10"/>
      <c r="C186" s="102"/>
      <c r="D186" s="10"/>
      <c r="E186" s="10"/>
      <c r="F186" s="102"/>
      <c r="G186" s="10"/>
      <c r="H186" s="10"/>
      <c r="I186" s="55"/>
      <c r="J186" s="55"/>
      <c r="K186" s="55"/>
      <c r="L186" s="55"/>
      <c r="M186" s="55"/>
      <c r="N186" s="10"/>
      <c r="O186" s="96"/>
      <c r="Q186" s="96"/>
      <c r="T186" s="96"/>
    </row>
    <row r="187" spans="1:20" s="101" customFormat="1" x14ac:dyDescent="0.15">
      <c r="A187" s="11"/>
      <c r="B187" s="10"/>
      <c r="C187" s="102"/>
      <c r="D187" s="10"/>
      <c r="E187" s="10"/>
      <c r="F187" s="102"/>
      <c r="G187" s="10"/>
      <c r="H187" s="10"/>
      <c r="I187" s="55"/>
      <c r="J187" s="55"/>
      <c r="K187" s="55"/>
      <c r="L187" s="55"/>
      <c r="M187" s="55"/>
      <c r="N187" s="10"/>
      <c r="O187" s="96"/>
      <c r="Q187" s="96"/>
      <c r="T187" s="96"/>
    </row>
    <row r="188" spans="1:20" s="101" customFormat="1" x14ac:dyDescent="0.15">
      <c r="A188" s="11"/>
      <c r="B188" s="10"/>
      <c r="C188" s="102"/>
      <c r="D188" s="10"/>
      <c r="E188" s="10"/>
      <c r="F188" s="102"/>
      <c r="G188" s="10"/>
      <c r="H188" s="10"/>
      <c r="I188" s="55"/>
      <c r="J188" s="55"/>
      <c r="K188" s="55"/>
      <c r="L188" s="55"/>
      <c r="M188" s="55"/>
      <c r="N188" s="10"/>
      <c r="O188" s="96"/>
      <c r="Q188" s="96"/>
      <c r="T188" s="96"/>
    </row>
    <row r="189" spans="1:20" s="101" customFormat="1" x14ac:dyDescent="0.15">
      <c r="A189" s="11"/>
      <c r="B189" s="10"/>
      <c r="C189" s="102"/>
      <c r="D189" s="10"/>
      <c r="E189" s="10"/>
      <c r="F189" s="102"/>
      <c r="G189" s="10"/>
      <c r="H189" s="10"/>
      <c r="I189" s="55"/>
      <c r="J189" s="55"/>
      <c r="K189" s="55"/>
      <c r="L189" s="55"/>
      <c r="M189" s="55"/>
      <c r="N189" s="10"/>
      <c r="O189" s="96"/>
      <c r="Q189" s="96"/>
      <c r="T189" s="96"/>
    </row>
    <row r="190" spans="1:20" s="101" customFormat="1" x14ac:dyDescent="0.15">
      <c r="A190" s="11"/>
      <c r="B190" s="10"/>
      <c r="C190" s="102"/>
      <c r="D190" s="10"/>
      <c r="E190" s="10"/>
      <c r="F190" s="102"/>
      <c r="G190" s="10"/>
      <c r="H190" s="10"/>
      <c r="I190" s="55"/>
      <c r="J190" s="55"/>
      <c r="K190" s="55"/>
      <c r="L190" s="55"/>
      <c r="M190" s="55"/>
      <c r="N190" s="10"/>
      <c r="O190" s="96"/>
      <c r="Q190" s="96"/>
      <c r="T190" s="96"/>
    </row>
    <row r="191" spans="1:20" s="101" customFormat="1" x14ac:dyDescent="0.15">
      <c r="A191" s="11"/>
      <c r="B191" s="10"/>
      <c r="C191" s="102"/>
      <c r="D191" s="10"/>
      <c r="E191" s="10"/>
      <c r="F191" s="102"/>
      <c r="G191" s="10"/>
      <c r="H191" s="10"/>
      <c r="I191" s="55"/>
      <c r="J191" s="55"/>
      <c r="K191" s="55"/>
      <c r="L191" s="55"/>
      <c r="M191" s="55"/>
      <c r="N191" s="10"/>
      <c r="O191" s="96"/>
      <c r="Q191" s="96"/>
      <c r="T191" s="96"/>
    </row>
    <row r="192" spans="1:20" s="101" customFormat="1" x14ac:dyDescent="0.15">
      <c r="A192" s="11"/>
      <c r="B192" s="10"/>
      <c r="C192" s="102"/>
      <c r="D192" s="10"/>
      <c r="E192" s="10"/>
      <c r="F192" s="102"/>
      <c r="G192" s="10"/>
      <c r="H192" s="10"/>
      <c r="I192" s="55"/>
      <c r="J192" s="55"/>
      <c r="K192" s="55"/>
      <c r="L192" s="55"/>
      <c r="M192" s="55"/>
      <c r="N192" s="10"/>
      <c r="O192" s="96"/>
      <c r="Q192" s="96"/>
      <c r="T192" s="96"/>
    </row>
    <row r="193" spans="1:20" s="101" customFormat="1" x14ac:dyDescent="0.15">
      <c r="A193" s="11"/>
      <c r="B193" s="10"/>
      <c r="C193" s="102"/>
      <c r="D193" s="10"/>
      <c r="E193" s="10"/>
      <c r="F193" s="102"/>
      <c r="G193" s="10"/>
      <c r="H193" s="10"/>
      <c r="I193" s="55"/>
      <c r="J193" s="55"/>
      <c r="K193" s="55"/>
      <c r="L193" s="55"/>
      <c r="M193" s="55"/>
      <c r="N193" s="10"/>
      <c r="O193" s="96"/>
      <c r="Q193" s="96"/>
      <c r="T193" s="96"/>
    </row>
    <row r="194" spans="1:20" s="101" customFormat="1" x14ac:dyDescent="0.15">
      <c r="A194" s="11"/>
      <c r="B194" s="10"/>
      <c r="C194" s="102"/>
      <c r="D194" s="10"/>
      <c r="E194" s="10"/>
      <c r="F194" s="102"/>
      <c r="G194" s="10"/>
      <c r="H194" s="10"/>
      <c r="I194" s="55"/>
      <c r="J194" s="55"/>
      <c r="K194" s="55"/>
      <c r="L194" s="55"/>
      <c r="M194" s="55"/>
      <c r="N194" s="10"/>
      <c r="O194" s="96"/>
      <c r="Q194" s="96"/>
      <c r="T194" s="96"/>
    </row>
    <row r="195" spans="1:20" s="101" customFormat="1" x14ac:dyDescent="0.15">
      <c r="A195" s="11"/>
      <c r="B195" s="10"/>
      <c r="C195" s="102"/>
      <c r="D195" s="10"/>
      <c r="E195" s="10"/>
      <c r="F195" s="102"/>
      <c r="G195" s="10"/>
      <c r="H195" s="10"/>
      <c r="I195" s="55"/>
      <c r="J195" s="55"/>
      <c r="K195" s="55"/>
      <c r="L195" s="55"/>
      <c r="M195" s="55"/>
      <c r="N195" s="10"/>
      <c r="O195" s="96"/>
      <c r="Q195" s="96"/>
      <c r="T195" s="96"/>
    </row>
    <row r="196" spans="1:20" s="101" customFormat="1" x14ac:dyDescent="0.15">
      <c r="A196" s="11"/>
      <c r="B196" s="10"/>
      <c r="C196" s="102"/>
      <c r="D196" s="10"/>
      <c r="E196" s="10"/>
      <c r="F196" s="102"/>
      <c r="G196" s="10"/>
      <c r="H196" s="10"/>
      <c r="I196" s="55"/>
      <c r="J196" s="55"/>
      <c r="K196" s="55"/>
      <c r="L196" s="55"/>
      <c r="M196" s="55"/>
      <c r="N196" s="10"/>
      <c r="O196" s="96"/>
      <c r="Q196" s="96"/>
      <c r="T196" s="96"/>
    </row>
    <row r="197" spans="1:20" s="101" customFormat="1" x14ac:dyDescent="0.15">
      <c r="A197" s="11"/>
      <c r="B197" s="10"/>
      <c r="C197" s="102"/>
      <c r="D197" s="10"/>
      <c r="E197" s="10"/>
      <c r="F197" s="102"/>
      <c r="G197" s="10"/>
      <c r="H197" s="10"/>
      <c r="I197" s="55"/>
      <c r="J197" s="55"/>
      <c r="K197" s="55"/>
      <c r="L197" s="55"/>
      <c r="M197" s="55"/>
      <c r="N197" s="10"/>
      <c r="O197" s="96"/>
      <c r="Q197" s="96"/>
      <c r="T197" s="96"/>
    </row>
    <row r="198" spans="1:20" s="101" customFormat="1" x14ac:dyDescent="0.15">
      <c r="A198" s="11"/>
      <c r="B198" s="10"/>
      <c r="C198" s="102"/>
      <c r="D198" s="10"/>
      <c r="E198" s="10"/>
      <c r="F198" s="102"/>
      <c r="G198" s="10"/>
      <c r="H198" s="10"/>
      <c r="I198" s="55"/>
      <c r="J198" s="55"/>
      <c r="K198" s="55"/>
      <c r="L198" s="55"/>
      <c r="M198" s="55"/>
      <c r="N198" s="10"/>
      <c r="O198" s="96"/>
      <c r="Q198" s="96"/>
      <c r="T198" s="96"/>
    </row>
    <row r="199" spans="1:20" s="101" customFormat="1" x14ac:dyDescent="0.15">
      <c r="A199" s="11"/>
      <c r="B199" s="10"/>
      <c r="C199" s="102"/>
      <c r="D199" s="10"/>
      <c r="E199" s="10"/>
      <c r="F199" s="102"/>
      <c r="G199" s="10"/>
      <c r="H199" s="10"/>
      <c r="I199" s="55"/>
      <c r="J199" s="55"/>
      <c r="K199" s="55"/>
      <c r="L199" s="55"/>
      <c r="M199" s="55"/>
      <c r="N199" s="10"/>
      <c r="O199" s="96"/>
      <c r="Q199" s="96"/>
      <c r="T199" s="96"/>
    </row>
    <row r="200" spans="1:20" s="101" customFormat="1" x14ac:dyDescent="0.15">
      <c r="A200" s="11"/>
      <c r="B200" s="10"/>
      <c r="C200" s="102"/>
      <c r="D200" s="10"/>
      <c r="E200" s="10"/>
      <c r="F200" s="102"/>
      <c r="G200" s="10"/>
      <c r="H200" s="10"/>
      <c r="I200" s="55"/>
      <c r="J200" s="55"/>
      <c r="K200" s="55"/>
      <c r="L200" s="55"/>
      <c r="M200" s="55"/>
      <c r="N200" s="10"/>
      <c r="O200" s="96"/>
      <c r="Q200" s="96"/>
      <c r="T200" s="96"/>
    </row>
    <row r="201" spans="1:20" s="101" customFormat="1" x14ac:dyDescent="0.15">
      <c r="A201" s="11"/>
      <c r="B201" s="10"/>
      <c r="C201" s="102"/>
      <c r="D201" s="10"/>
      <c r="E201" s="10"/>
      <c r="F201" s="102"/>
      <c r="G201" s="10"/>
      <c r="H201" s="10"/>
      <c r="I201" s="55"/>
      <c r="J201" s="55"/>
      <c r="K201" s="55"/>
      <c r="L201" s="55"/>
      <c r="M201" s="55"/>
      <c r="N201" s="10"/>
      <c r="O201" s="96"/>
      <c r="Q201" s="96"/>
      <c r="T201" s="96"/>
    </row>
    <row r="202" spans="1:20" s="101" customFormat="1" x14ac:dyDescent="0.15">
      <c r="A202" s="11"/>
      <c r="B202" s="10"/>
      <c r="C202" s="102"/>
      <c r="D202" s="10"/>
      <c r="E202" s="10"/>
      <c r="F202" s="102"/>
      <c r="G202" s="10"/>
      <c r="H202" s="10"/>
      <c r="I202" s="55"/>
      <c r="J202" s="55"/>
      <c r="K202" s="55"/>
      <c r="L202" s="55"/>
      <c r="M202" s="55"/>
      <c r="N202" s="10"/>
      <c r="O202" s="96"/>
      <c r="Q202" s="96"/>
      <c r="T202" s="96"/>
    </row>
    <row r="203" spans="1:20" s="101" customFormat="1" x14ac:dyDescent="0.15">
      <c r="A203" s="11"/>
      <c r="B203" s="10"/>
      <c r="C203" s="102"/>
      <c r="D203" s="10"/>
      <c r="E203" s="10"/>
      <c r="F203" s="102"/>
      <c r="G203" s="10"/>
      <c r="H203" s="10"/>
      <c r="I203" s="55"/>
      <c r="J203" s="55"/>
      <c r="K203" s="55"/>
      <c r="L203" s="55"/>
      <c r="M203" s="55"/>
      <c r="N203" s="10"/>
      <c r="O203" s="96"/>
      <c r="Q203" s="96"/>
      <c r="T203" s="96"/>
    </row>
    <row r="204" spans="1:20" s="101" customFormat="1" x14ac:dyDescent="0.15">
      <c r="A204" s="11"/>
      <c r="B204" s="10"/>
      <c r="C204" s="102"/>
      <c r="D204" s="10"/>
      <c r="E204" s="10"/>
      <c r="F204" s="102"/>
      <c r="G204" s="10"/>
      <c r="H204" s="10"/>
      <c r="I204" s="55"/>
      <c r="J204" s="55"/>
      <c r="K204" s="55"/>
      <c r="L204" s="55"/>
      <c r="M204" s="55"/>
      <c r="N204" s="10"/>
      <c r="O204" s="96"/>
      <c r="Q204" s="96"/>
      <c r="T204" s="96"/>
    </row>
    <row r="205" spans="1:20" s="101" customFormat="1" x14ac:dyDescent="0.15">
      <c r="A205" s="11"/>
      <c r="B205" s="10"/>
      <c r="C205" s="102"/>
      <c r="D205" s="10"/>
      <c r="E205" s="10"/>
      <c r="F205" s="102"/>
      <c r="G205" s="10"/>
      <c r="H205" s="10"/>
      <c r="I205" s="55"/>
      <c r="J205" s="55"/>
      <c r="K205" s="55"/>
      <c r="L205" s="55"/>
      <c r="M205" s="55"/>
      <c r="N205" s="10"/>
      <c r="O205" s="96"/>
      <c r="Q205" s="96"/>
      <c r="T205" s="96"/>
    </row>
    <row r="206" spans="1:20" s="101" customFormat="1" x14ac:dyDescent="0.15">
      <c r="A206" s="11"/>
      <c r="B206" s="10"/>
      <c r="C206" s="102"/>
      <c r="D206" s="10"/>
      <c r="E206" s="10"/>
      <c r="F206" s="102"/>
      <c r="G206" s="10"/>
      <c r="H206" s="10"/>
      <c r="I206" s="55"/>
      <c r="J206" s="55"/>
      <c r="K206" s="55"/>
      <c r="L206" s="55"/>
      <c r="M206" s="55"/>
      <c r="N206" s="10"/>
      <c r="O206" s="96"/>
      <c r="Q206" s="96"/>
      <c r="T206" s="96"/>
    </row>
    <row r="207" spans="1:20" s="101" customFormat="1" x14ac:dyDescent="0.15">
      <c r="A207" s="11"/>
      <c r="B207" s="10"/>
      <c r="C207" s="102"/>
      <c r="D207" s="10"/>
      <c r="E207" s="10"/>
      <c r="F207" s="102"/>
      <c r="G207" s="10"/>
      <c r="H207" s="10"/>
      <c r="I207" s="55"/>
      <c r="J207" s="55"/>
      <c r="K207" s="55"/>
      <c r="L207" s="55"/>
      <c r="M207" s="55"/>
      <c r="N207" s="10"/>
      <c r="O207" s="96"/>
      <c r="Q207" s="96"/>
      <c r="T207" s="96"/>
    </row>
    <row r="208" spans="1:20" s="101" customFormat="1" x14ac:dyDescent="0.15">
      <c r="A208" s="11"/>
      <c r="B208" s="10"/>
      <c r="C208" s="102"/>
      <c r="D208" s="10"/>
      <c r="E208" s="10"/>
      <c r="F208" s="102"/>
      <c r="G208" s="10"/>
      <c r="H208" s="10"/>
      <c r="I208" s="55"/>
      <c r="J208" s="55"/>
      <c r="K208" s="55"/>
      <c r="L208" s="55"/>
      <c r="M208" s="55"/>
      <c r="N208" s="10"/>
      <c r="O208" s="96"/>
      <c r="Q208" s="96"/>
      <c r="T208" s="96"/>
    </row>
    <row r="209" spans="1:20" s="101" customFormat="1" x14ac:dyDescent="0.15">
      <c r="A209" s="11"/>
      <c r="B209" s="10"/>
      <c r="C209" s="102"/>
      <c r="D209" s="10"/>
      <c r="E209" s="10"/>
      <c r="F209" s="102"/>
      <c r="G209" s="10"/>
      <c r="H209" s="10"/>
      <c r="I209" s="55"/>
      <c r="J209" s="55"/>
      <c r="K209" s="55"/>
      <c r="L209" s="55"/>
      <c r="M209" s="55"/>
      <c r="N209" s="10"/>
      <c r="O209" s="96"/>
      <c r="Q209" s="96"/>
      <c r="T209" s="96"/>
    </row>
    <row r="210" spans="1:20" s="101" customFormat="1" x14ac:dyDescent="0.15">
      <c r="A210" s="11"/>
      <c r="B210" s="10"/>
      <c r="C210" s="102"/>
      <c r="D210" s="10"/>
      <c r="E210" s="10"/>
      <c r="F210" s="102"/>
      <c r="G210" s="10"/>
      <c r="H210" s="10"/>
      <c r="I210" s="55"/>
      <c r="J210" s="55"/>
      <c r="K210" s="55"/>
      <c r="L210" s="55"/>
      <c r="M210" s="55"/>
      <c r="N210" s="10"/>
      <c r="O210" s="96"/>
      <c r="Q210" s="96"/>
      <c r="T210" s="96"/>
    </row>
    <row r="211" spans="1:20" s="101" customFormat="1" x14ac:dyDescent="0.15">
      <c r="A211" s="11"/>
      <c r="B211" s="10"/>
      <c r="C211" s="102"/>
      <c r="D211" s="10"/>
      <c r="E211" s="10"/>
      <c r="F211" s="102"/>
      <c r="G211" s="10"/>
      <c r="H211" s="10"/>
      <c r="I211" s="55"/>
      <c r="J211" s="55"/>
      <c r="K211" s="55"/>
      <c r="L211" s="55"/>
      <c r="M211" s="55"/>
      <c r="N211" s="10"/>
      <c r="O211" s="96"/>
      <c r="Q211" s="96"/>
      <c r="T211" s="96"/>
    </row>
    <row r="212" spans="1:20" s="101" customFormat="1" x14ac:dyDescent="0.15">
      <c r="A212" s="11"/>
      <c r="B212" s="10"/>
      <c r="C212" s="102"/>
      <c r="D212" s="10"/>
      <c r="E212" s="10"/>
      <c r="F212" s="102"/>
      <c r="G212" s="10"/>
      <c r="H212" s="10"/>
      <c r="I212" s="55"/>
      <c r="J212" s="55"/>
      <c r="K212" s="55"/>
      <c r="L212" s="55"/>
      <c r="M212" s="55"/>
      <c r="N212" s="10"/>
      <c r="O212" s="96"/>
      <c r="Q212" s="96"/>
      <c r="T212" s="96"/>
    </row>
    <row r="213" spans="1:20" s="101" customFormat="1" x14ac:dyDescent="0.15">
      <c r="A213" s="11"/>
      <c r="B213" s="10"/>
      <c r="C213" s="102"/>
      <c r="D213" s="10"/>
      <c r="E213" s="10"/>
      <c r="F213" s="102"/>
      <c r="G213" s="10"/>
      <c r="H213" s="10"/>
      <c r="I213" s="55"/>
      <c r="J213" s="55"/>
      <c r="K213" s="55"/>
      <c r="L213" s="55"/>
      <c r="M213" s="55"/>
      <c r="N213" s="10"/>
      <c r="O213" s="96"/>
      <c r="Q213" s="96"/>
      <c r="T213" s="96"/>
    </row>
    <row r="214" spans="1:20" s="101" customFormat="1" x14ac:dyDescent="0.15">
      <c r="A214" s="11"/>
      <c r="B214" s="10"/>
      <c r="C214" s="102"/>
      <c r="D214" s="10"/>
      <c r="E214" s="10"/>
      <c r="F214" s="102"/>
      <c r="G214" s="10"/>
      <c r="H214" s="10"/>
      <c r="I214" s="55"/>
      <c r="J214" s="55"/>
      <c r="K214" s="55"/>
      <c r="L214" s="55"/>
      <c r="M214" s="55"/>
      <c r="N214" s="10"/>
      <c r="O214" s="96"/>
      <c r="Q214" s="96"/>
      <c r="T214" s="96"/>
    </row>
    <row r="215" spans="1:20" s="101" customFormat="1" x14ac:dyDescent="0.15">
      <c r="A215" s="11"/>
      <c r="B215" s="10"/>
      <c r="C215" s="102"/>
      <c r="D215" s="10"/>
      <c r="E215" s="10"/>
      <c r="F215" s="102"/>
      <c r="G215" s="10"/>
      <c r="H215" s="10"/>
      <c r="I215" s="55"/>
      <c r="J215" s="55"/>
      <c r="K215" s="55"/>
      <c r="L215" s="55"/>
      <c r="M215" s="55"/>
      <c r="N215" s="10"/>
      <c r="O215" s="96"/>
      <c r="Q215" s="96"/>
      <c r="T215" s="96"/>
    </row>
    <row r="216" spans="1:20" s="101" customFormat="1" x14ac:dyDescent="0.15">
      <c r="A216" s="11"/>
      <c r="B216" s="10"/>
      <c r="C216" s="102"/>
      <c r="D216" s="10"/>
      <c r="E216" s="10"/>
      <c r="F216" s="102"/>
      <c r="G216" s="10"/>
      <c r="H216" s="10"/>
      <c r="I216" s="55"/>
      <c r="J216" s="55"/>
      <c r="K216" s="55"/>
      <c r="L216" s="55"/>
      <c r="M216" s="55"/>
      <c r="N216" s="10"/>
      <c r="O216" s="96"/>
      <c r="Q216" s="96"/>
      <c r="T216" s="96"/>
    </row>
    <row r="217" spans="1:20" s="101" customFormat="1" x14ac:dyDescent="0.15">
      <c r="A217" s="11"/>
      <c r="B217" s="10"/>
      <c r="C217" s="102"/>
      <c r="D217" s="10"/>
      <c r="E217" s="10"/>
      <c r="F217" s="102"/>
      <c r="G217" s="10"/>
      <c r="H217" s="10"/>
      <c r="I217" s="55"/>
      <c r="J217" s="55"/>
      <c r="K217" s="55"/>
      <c r="L217" s="55"/>
      <c r="M217" s="55"/>
      <c r="N217" s="10"/>
      <c r="O217" s="96"/>
      <c r="Q217" s="96"/>
      <c r="T217" s="96"/>
    </row>
    <row r="218" spans="1:20" s="101" customFormat="1" x14ac:dyDescent="0.15">
      <c r="A218" s="11"/>
      <c r="B218" s="10"/>
      <c r="C218" s="102"/>
      <c r="D218" s="10"/>
      <c r="E218" s="10"/>
      <c r="F218" s="102"/>
      <c r="G218" s="10"/>
      <c r="H218" s="10"/>
      <c r="I218" s="55"/>
      <c r="J218" s="55"/>
      <c r="K218" s="55"/>
      <c r="L218" s="55"/>
      <c r="M218" s="55"/>
      <c r="N218" s="10"/>
      <c r="O218" s="96"/>
      <c r="Q218" s="96"/>
      <c r="T218" s="96"/>
    </row>
    <row r="219" spans="1:20" s="101" customFormat="1" x14ac:dyDescent="0.15">
      <c r="A219" s="11"/>
      <c r="B219" s="10"/>
      <c r="C219" s="102"/>
      <c r="D219" s="10"/>
      <c r="E219" s="10"/>
      <c r="F219" s="102"/>
      <c r="G219" s="10"/>
      <c r="H219" s="10"/>
      <c r="I219" s="55"/>
      <c r="J219" s="55"/>
      <c r="K219" s="55"/>
      <c r="L219" s="55"/>
      <c r="M219" s="55"/>
      <c r="N219" s="10"/>
      <c r="O219" s="96"/>
      <c r="Q219" s="96"/>
      <c r="T219" s="96"/>
    </row>
    <row r="220" spans="1:20" s="101" customFormat="1" x14ac:dyDescent="0.15">
      <c r="A220" s="11"/>
      <c r="B220" s="10"/>
      <c r="C220" s="102"/>
      <c r="D220" s="10"/>
      <c r="E220" s="10"/>
      <c r="F220" s="102"/>
      <c r="G220" s="10"/>
      <c r="H220" s="10"/>
      <c r="I220" s="55"/>
      <c r="J220" s="55"/>
      <c r="K220" s="55"/>
      <c r="L220" s="55"/>
      <c r="M220" s="55"/>
      <c r="N220" s="10"/>
      <c r="O220" s="96"/>
      <c r="Q220" s="96"/>
      <c r="T220" s="96"/>
    </row>
    <row r="221" spans="1:20" s="101" customFormat="1" x14ac:dyDescent="0.15">
      <c r="A221" s="11"/>
      <c r="B221" s="10"/>
      <c r="C221" s="102"/>
      <c r="D221" s="10"/>
      <c r="E221" s="10"/>
      <c r="F221" s="102"/>
      <c r="G221" s="10"/>
      <c r="H221" s="10"/>
      <c r="I221" s="55"/>
      <c r="J221" s="55"/>
      <c r="K221" s="55"/>
      <c r="L221" s="55"/>
      <c r="M221" s="55"/>
      <c r="N221" s="10"/>
      <c r="O221" s="96"/>
      <c r="Q221" s="96"/>
      <c r="T221" s="96"/>
    </row>
    <row r="222" spans="1:20" s="101" customFormat="1" x14ac:dyDescent="0.15">
      <c r="A222" s="11"/>
      <c r="B222" s="10"/>
      <c r="C222" s="102"/>
      <c r="D222" s="10"/>
      <c r="E222" s="10"/>
      <c r="F222" s="102"/>
      <c r="G222" s="10"/>
      <c r="H222" s="10"/>
      <c r="I222" s="55"/>
      <c r="J222" s="55"/>
      <c r="K222" s="55"/>
      <c r="L222" s="55"/>
      <c r="M222" s="55"/>
      <c r="N222" s="10"/>
      <c r="O222" s="96"/>
      <c r="Q222" s="96"/>
      <c r="T222" s="96"/>
    </row>
    <row r="223" spans="1:20" s="101" customFormat="1" x14ac:dyDescent="0.15">
      <c r="A223" s="11"/>
      <c r="B223" s="10"/>
      <c r="C223" s="102"/>
      <c r="D223" s="10"/>
      <c r="E223" s="10"/>
      <c r="F223" s="102"/>
      <c r="G223" s="10"/>
      <c r="H223" s="10"/>
      <c r="I223" s="55"/>
      <c r="J223" s="55"/>
      <c r="K223" s="55"/>
      <c r="L223" s="55"/>
      <c r="M223" s="55"/>
      <c r="N223" s="10"/>
      <c r="O223" s="96"/>
      <c r="Q223" s="96"/>
      <c r="T223" s="96"/>
    </row>
    <row r="224" spans="1:20" s="101" customFormat="1" x14ac:dyDescent="0.15">
      <c r="A224" s="11"/>
      <c r="B224" s="10"/>
      <c r="C224" s="102"/>
      <c r="D224" s="10"/>
      <c r="E224" s="10"/>
      <c r="F224" s="102"/>
      <c r="G224" s="10"/>
      <c r="H224" s="10"/>
      <c r="I224" s="55"/>
      <c r="J224" s="55"/>
      <c r="K224" s="55"/>
      <c r="L224" s="55"/>
      <c r="M224" s="55"/>
      <c r="N224" s="10"/>
      <c r="O224" s="96"/>
      <c r="Q224" s="96"/>
      <c r="T224" s="96"/>
    </row>
    <row r="225" spans="1:20" s="101" customFormat="1" x14ac:dyDescent="0.15">
      <c r="A225" s="11"/>
      <c r="B225" s="10"/>
      <c r="C225" s="102"/>
      <c r="D225" s="10"/>
      <c r="E225" s="10"/>
      <c r="F225" s="102"/>
      <c r="G225" s="10"/>
      <c r="H225" s="10"/>
      <c r="I225" s="55"/>
      <c r="J225" s="55"/>
      <c r="K225" s="55"/>
      <c r="L225" s="55"/>
      <c r="M225" s="55"/>
      <c r="N225" s="10"/>
      <c r="O225" s="96"/>
      <c r="Q225" s="96"/>
      <c r="T225" s="96"/>
    </row>
    <row r="226" spans="1:20" s="101" customFormat="1" x14ac:dyDescent="0.15">
      <c r="A226" s="11"/>
      <c r="B226" s="10"/>
      <c r="C226" s="102"/>
      <c r="D226" s="10"/>
      <c r="E226" s="10"/>
      <c r="F226" s="102"/>
      <c r="G226" s="10"/>
      <c r="H226" s="10"/>
      <c r="I226" s="55"/>
      <c r="J226" s="55"/>
      <c r="K226" s="55"/>
      <c r="L226" s="55"/>
      <c r="M226" s="55"/>
      <c r="N226" s="10"/>
      <c r="O226" s="96"/>
      <c r="Q226" s="96"/>
      <c r="T226" s="96"/>
    </row>
    <row r="227" spans="1:20" s="101" customFormat="1" x14ac:dyDescent="0.15">
      <c r="A227" s="11"/>
      <c r="B227" s="10"/>
      <c r="C227" s="102"/>
      <c r="D227" s="10"/>
      <c r="E227" s="10"/>
      <c r="F227" s="102"/>
      <c r="G227" s="10"/>
      <c r="H227" s="10"/>
      <c r="I227" s="55"/>
      <c r="J227" s="55"/>
      <c r="K227" s="55"/>
      <c r="L227" s="55"/>
      <c r="M227" s="55"/>
      <c r="N227" s="10"/>
      <c r="O227" s="96"/>
      <c r="Q227" s="96"/>
      <c r="T227" s="96"/>
    </row>
    <row r="228" spans="1:20" s="101" customFormat="1" x14ac:dyDescent="0.15">
      <c r="A228" s="11"/>
      <c r="B228" s="10"/>
      <c r="C228" s="102"/>
      <c r="D228" s="10"/>
      <c r="E228" s="10"/>
      <c r="F228" s="102"/>
      <c r="G228" s="10"/>
      <c r="H228" s="10"/>
      <c r="I228" s="55"/>
      <c r="J228" s="55"/>
      <c r="K228" s="55"/>
      <c r="L228" s="55"/>
      <c r="M228" s="55"/>
      <c r="N228" s="10"/>
      <c r="O228" s="96"/>
      <c r="Q228" s="96"/>
      <c r="T228" s="96"/>
    </row>
    <row r="229" spans="1:20" s="101" customFormat="1" x14ac:dyDescent="0.15">
      <c r="A229" s="11"/>
      <c r="B229" s="10"/>
      <c r="C229" s="102"/>
      <c r="D229" s="10"/>
      <c r="E229" s="10"/>
      <c r="F229" s="102"/>
      <c r="G229" s="10"/>
      <c r="H229" s="10"/>
      <c r="I229" s="55"/>
      <c r="J229" s="55"/>
      <c r="K229" s="55"/>
      <c r="L229" s="55"/>
      <c r="M229" s="55"/>
      <c r="N229" s="10"/>
      <c r="O229" s="96"/>
      <c r="Q229" s="96"/>
      <c r="T229" s="96"/>
    </row>
    <row r="230" spans="1:20" s="101" customFormat="1" x14ac:dyDescent="0.15">
      <c r="A230" s="11"/>
      <c r="B230" s="10"/>
      <c r="C230" s="102"/>
      <c r="D230" s="10"/>
      <c r="E230" s="10"/>
      <c r="F230" s="102"/>
      <c r="G230" s="10"/>
      <c r="H230" s="10"/>
      <c r="I230" s="55"/>
      <c r="J230" s="55"/>
      <c r="K230" s="55"/>
      <c r="L230" s="55"/>
      <c r="M230" s="55"/>
      <c r="N230" s="10"/>
      <c r="O230" s="96"/>
      <c r="Q230" s="96"/>
      <c r="T230" s="96"/>
    </row>
    <row r="231" spans="1:20" s="101" customFormat="1" x14ac:dyDescent="0.15">
      <c r="A231" s="11"/>
      <c r="B231" s="10"/>
      <c r="C231" s="102"/>
      <c r="D231" s="10"/>
      <c r="E231" s="10"/>
      <c r="F231" s="102"/>
      <c r="G231" s="10"/>
      <c r="H231" s="10"/>
      <c r="I231" s="55"/>
      <c r="J231" s="55"/>
      <c r="K231" s="55"/>
      <c r="L231" s="55"/>
      <c r="M231" s="55"/>
      <c r="N231" s="10"/>
      <c r="O231" s="96"/>
      <c r="Q231" s="96"/>
      <c r="T231" s="96"/>
    </row>
    <row r="232" spans="1:20" s="101" customFormat="1" x14ac:dyDescent="0.15">
      <c r="A232" s="11"/>
      <c r="B232" s="10"/>
      <c r="C232" s="102"/>
      <c r="D232" s="10"/>
      <c r="E232" s="10"/>
      <c r="F232" s="102"/>
      <c r="G232" s="10"/>
      <c r="H232" s="10"/>
      <c r="I232" s="55"/>
      <c r="J232" s="55"/>
      <c r="K232" s="55"/>
      <c r="L232" s="55"/>
      <c r="M232" s="55"/>
      <c r="N232" s="10"/>
      <c r="O232" s="96"/>
      <c r="Q232" s="96"/>
      <c r="T232" s="96"/>
    </row>
    <row r="233" spans="1:20" s="101" customFormat="1" x14ac:dyDescent="0.15">
      <c r="A233" s="11"/>
      <c r="B233" s="10"/>
      <c r="C233" s="102"/>
      <c r="D233" s="10"/>
      <c r="E233" s="10"/>
      <c r="F233" s="102"/>
      <c r="G233" s="10"/>
      <c r="H233" s="10"/>
      <c r="I233" s="55"/>
      <c r="J233" s="55"/>
      <c r="K233" s="55"/>
      <c r="L233" s="55"/>
      <c r="M233" s="55"/>
      <c r="N233" s="10"/>
      <c r="O233" s="96"/>
      <c r="Q233" s="96"/>
      <c r="T233" s="96"/>
    </row>
    <row r="234" spans="1:20" s="101" customFormat="1" x14ac:dyDescent="0.15">
      <c r="A234" s="11"/>
      <c r="B234" s="10"/>
      <c r="C234" s="102"/>
      <c r="D234" s="10"/>
      <c r="E234" s="10"/>
      <c r="F234" s="102"/>
      <c r="G234" s="10"/>
      <c r="H234" s="10"/>
      <c r="I234" s="55"/>
      <c r="J234" s="55"/>
      <c r="K234" s="55"/>
      <c r="L234" s="55"/>
      <c r="M234" s="55"/>
      <c r="N234" s="10"/>
      <c r="O234" s="96"/>
      <c r="Q234" s="96"/>
      <c r="T234" s="96"/>
    </row>
    <row r="235" spans="1:20" s="101" customFormat="1" x14ac:dyDescent="0.15">
      <c r="A235" s="11"/>
      <c r="B235" s="10"/>
      <c r="C235" s="102"/>
      <c r="D235" s="10"/>
      <c r="E235" s="10"/>
      <c r="F235" s="102"/>
      <c r="G235" s="10"/>
      <c r="H235" s="10"/>
      <c r="I235" s="55"/>
      <c r="J235" s="55"/>
      <c r="K235" s="55"/>
      <c r="L235" s="55"/>
      <c r="M235" s="55"/>
      <c r="N235" s="10"/>
      <c r="O235" s="96"/>
      <c r="Q235" s="96"/>
      <c r="T235" s="96"/>
    </row>
    <row r="236" spans="1:20" s="101" customFormat="1" x14ac:dyDescent="0.15">
      <c r="A236" s="11"/>
      <c r="B236" s="10"/>
      <c r="C236" s="102"/>
      <c r="D236" s="10"/>
      <c r="E236" s="10"/>
      <c r="F236" s="102"/>
      <c r="G236" s="10"/>
      <c r="H236" s="10"/>
      <c r="I236" s="55"/>
      <c r="J236" s="55"/>
      <c r="K236" s="55"/>
      <c r="L236" s="55"/>
      <c r="M236" s="55"/>
      <c r="N236" s="10"/>
      <c r="O236" s="96"/>
      <c r="Q236" s="96"/>
      <c r="T236" s="96"/>
    </row>
    <row r="237" spans="1:20" s="101" customFormat="1" x14ac:dyDescent="0.15">
      <c r="A237" s="11"/>
      <c r="B237" s="10"/>
      <c r="C237" s="102"/>
      <c r="D237" s="10"/>
      <c r="E237" s="10"/>
      <c r="F237" s="102"/>
      <c r="G237" s="10"/>
      <c r="H237" s="10"/>
      <c r="I237" s="55"/>
      <c r="J237" s="55"/>
      <c r="K237" s="55"/>
      <c r="L237" s="55"/>
      <c r="M237" s="55"/>
      <c r="N237" s="10"/>
      <c r="O237" s="96"/>
      <c r="Q237" s="96"/>
      <c r="T237" s="96"/>
    </row>
    <row r="238" spans="1:20" s="101" customFormat="1" x14ac:dyDescent="0.15">
      <c r="A238" s="11"/>
      <c r="B238" s="10"/>
      <c r="C238" s="102"/>
      <c r="D238" s="10"/>
      <c r="E238" s="10"/>
      <c r="F238" s="102"/>
      <c r="G238" s="10"/>
      <c r="H238" s="10"/>
      <c r="I238" s="55"/>
      <c r="J238" s="55"/>
      <c r="K238" s="55"/>
      <c r="L238" s="55"/>
      <c r="M238" s="55"/>
      <c r="N238" s="10"/>
      <c r="O238" s="96"/>
      <c r="Q238" s="96"/>
      <c r="T238" s="96"/>
    </row>
    <row r="239" spans="1:20" s="101" customFormat="1" x14ac:dyDescent="0.15">
      <c r="A239" s="11"/>
      <c r="B239" s="10"/>
      <c r="C239" s="102"/>
      <c r="D239" s="10"/>
      <c r="E239" s="10"/>
      <c r="F239" s="102"/>
      <c r="G239" s="10"/>
      <c r="H239" s="10"/>
      <c r="I239" s="55"/>
      <c r="J239" s="55"/>
      <c r="K239" s="55"/>
      <c r="L239" s="55"/>
      <c r="M239" s="55"/>
      <c r="N239" s="10"/>
      <c r="O239" s="96"/>
      <c r="Q239" s="96"/>
      <c r="T239" s="96"/>
    </row>
    <row r="240" spans="1:20" s="101" customFormat="1" x14ac:dyDescent="0.15">
      <c r="A240" s="11"/>
      <c r="B240" s="10"/>
      <c r="C240" s="102"/>
      <c r="D240" s="10"/>
      <c r="E240" s="10"/>
      <c r="F240" s="102"/>
      <c r="G240" s="10"/>
      <c r="H240" s="10"/>
      <c r="I240" s="55"/>
      <c r="J240" s="55"/>
      <c r="K240" s="55"/>
      <c r="L240" s="55"/>
      <c r="M240" s="55"/>
      <c r="N240" s="10"/>
      <c r="O240" s="96"/>
      <c r="Q240" s="96"/>
      <c r="T240" s="96"/>
    </row>
    <row r="241" spans="1:20" s="101" customFormat="1" x14ac:dyDescent="0.15">
      <c r="A241" s="11"/>
      <c r="B241" s="10"/>
      <c r="C241" s="102"/>
      <c r="D241" s="10"/>
      <c r="E241" s="10"/>
      <c r="F241" s="102"/>
      <c r="G241" s="10"/>
      <c r="H241" s="10"/>
      <c r="I241" s="55"/>
      <c r="J241" s="55"/>
      <c r="K241" s="55"/>
      <c r="L241" s="55"/>
      <c r="M241" s="55"/>
      <c r="N241" s="10"/>
      <c r="O241" s="96"/>
      <c r="Q241" s="96"/>
      <c r="T241" s="96"/>
    </row>
    <row r="242" spans="1:20" s="101" customFormat="1" x14ac:dyDescent="0.15">
      <c r="A242" s="11"/>
      <c r="B242" s="10"/>
      <c r="C242" s="102"/>
      <c r="D242" s="10"/>
      <c r="E242" s="10"/>
      <c r="F242" s="102"/>
      <c r="G242" s="10"/>
      <c r="H242" s="10"/>
      <c r="I242" s="55"/>
      <c r="J242" s="55"/>
      <c r="K242" s="55"/>
      <c r="L242" s="55"/>
      <c r="M242" s="55"/>
      <c r="N242" s="10"/>
      <c r="O242" s="96"/>
      <c r="Q242" s="96"/>
      <c r="T242" s="96"/>
    </row>
    <row r="243" spans="1:20" s="101" customFormat="1" x14ac:dyDescent="0.15">
      <c r="A243" s="11"/>
      <c r="B243" s="10"/>
      <c r="C243" s="102"/>
      <c r="D243" s="10"/>
      <c r="E243" s="10"/>
      <c r="F243" s="102"/>
      <c r="G243" s="10"/>
      <c r="H243" s="10"/>
      <c r="I243" s="55"/>
      <c r="J243" s="55"/>
      <c r="K243" s="55"/>
      <c r="L243" s="55"/>
      <c r="M243" s="55"/>
      <c r="N243" s="10"/>
      <c r="O243" s="96"/>
      <c r="Q243" s="96"/>
      <c r="T243" s="96"/>
    </row>
    <row r="244" spans="1:20" s="101" customFormat="1" x14ac:dyDescent="0.15">
      <c r="A244" s="11"/>
      <c r="B244" s="10"/>
      <c r="C244" s="102"/>
      <c r="D244" s="10"/>
      <c r="E244" s="10"/>
      <c r="F244" s="102"/>
      <c r="G244" s="10"/>
      <c r="H244" s="10"/>
      <c r="I244" s="55"/>
      <c r="J244" s="55"/>
      <c r="K244" s="55"/>
      <c r="L244" s="55"/>
      <c r="M244" s="55"/>
      <c r="N244" s="10"/>
      <c r="O244" s="96"/>
      <c r="Q244" s="96"/>
      <c r="T244" s="96"/>
    </row>
    <row r="245" spans="1:20" s="101" customFormat="1" x14ac:dyDescent="0.15">
      <c r="A245" s="11"/>
      <c r="B245" s="10"/>
      <c r="C245" s="102"/>
      <c r="D245" s="10"/>
      <c r="E245" s="10"/>
      <c r="F245" s="102"/>
      <c r="G245" s="10"/>
      <c r="H245" s="10"/>
      <c r="I245" s="55"/>
      <c r="J245" s="55"/>
      <c r="K245" s="55"/>
      <c r="L245" s="55"/>
      <c r="M245" s="55"/>
      <c r="N245" s="10"/>
      <c r="O245" s="96"/>
      <c r="Q245" s="96"/>
      <c r="T245" s="96"/>
    </row>
    <row r="246" spans="1:20" s="101" customFormat="1" x14ac:dyDescent="0.15">
      <c r="A246" s="11"/>
      <c r="B246" s="10"/>
      <c r="C246" s="102"/>
      <c r="D246" s="10"/>
      <c r="E246" s="10"/>
      <c r="F246" s="102"/>
      <c r="G246" s="10"/>
      <c r="H246" s="10"/>
      <c r="I246" s="55"/>
      <c r="J246" s="55"/>
      <c r="K246" s="55"/>
      <c r="L246" s="55"/>
      <c r="M246" s="55"/>
      <c r="N246" s="10"/>
      <c r="O246" s="96"/>
      <c r="Q246" s="96"/>
      <c r="T246" s="96"/>
    </row>
    <row r="247" spans="1:20" s="101" customFormat="1" x14ac:dyDescent="0.15">
      <c r="A247" s="11"/>
      <c r="B247" s="10"/>
      <c r="C247" s="102"/>
      <c r="D247" s="10"/>
      <c r="E247" s="10"/>
      <c r="F247" s="102"/>
      <c r="G247" s="10"/>
      <c r="H247" s="10"/>
      <c r="I247" s="55"/>
      <c r="J247" s="55"/>
      <c r="K247" s="55"/>
      <c r="L247" s="55"/>
      <c r="M247" s="55"/>
      <c r="N247" s="10"/>
      <c r="O247" s="96"/>
      <c r="Q247" s="96"/>
      <c r="T247" s="96"/>
    </row>
    <row r="248" spans="1:20" s="101" customFormat="1" x14ac:dyDescent="0.15">
      <c r="A248" s="11"/>
      <c r="B248" s="10"/>
      <c r="C248" s="102"/>
      <c r="D248" s="10"/>
      <c r="E248" s="10"/>
      <c r="F248" s="102"/>
      <c r="G248" s="10"/>
      <c r="H248" s="10"/>
      <c r="I248" s="55"/>
      <c r="J248" s="55"/>
      <c r="K248" s="55"/>
      <c r="L248" s="55"/>
      <c r="M248" s="55"/>
      <c r="N248" s="10"/>
      <c r="O248" s="96"/>
      <c r="Q248" s="96"/>
      <c r="T248" s="96"/>
    </row>
    <row r="249" spans="1:20" s="101" customFormat="1" x14ac:dyDescent="0.15">
      <c r="A249" s="11"/>
      <c r="B249" s="10"/>
      <c r="C249" s="102"/>
      <c r="D249" s="10"/>
      <c r="E249" s="10"/>
      <c r="F249" s="102"/>
      <c r="G249" s="10"/>
      <c r="H249" s="10"/>
      <c r="I249" s="55"/>
      <c r="J249" s="55"/>
      <c r="K249" s="55"/>
      <c r="L249" s="55"/>
      <c r="M249" s="55"/>
      <c r="N249" s="10"/>
      <c r="O249" s="96"/>
      <c r="Q249" s="96"/>
      <c r="T249" s="96"/>
    </row>
    <row r="250" spans="1:20" s="101" customFormat="1" x14ac:dyDescent="0.15">
      <c r="A250" s="11"/>
      <c r="B250" s="10"/>
      <c r="C250" s="102"/>
      <c r="D250" s="10"/>
      <c r="E250" s="10"/>
      <c r="F250" s="102"/>
      <c r="G250" s="10"/>
      <c r="H250" s="10"/>
      <c r="I250" s="55"/>
      <c r="J250" s="55"/>
      <c r="K250" s="55"/>
      <c r="L250" s="55"/>
      <c r="M250" s="55"/>
      <c r="N250" s="10"/>
      <c r="O250" s="96"/>
      <c r="Q250" s="96"/>
      <c r="T250" s="96"/>
    </row>
    <row r="251" spans="1:20" s="101" customFormat="1" x14ac:dyDescent="0.15">
      <c r="A251" s="11"/>
      <c r="B251" s="10"/>
      <c r="C251" s="102"/>
      <c r="D251" s="10"/>
      <c r="E251" s="10"/>
      <c r="F251" s="102"/>
      <c r="G251" s="10"/>
      <c r="H251" s="10"/>
      <c r="I251" s="55"/>
      <c r="J251" s="55"/>
      <c r="K251" s="55"/>
      <c r="L251" s="55"/>
      <c r="M251" s="55"/>
      <c r="N251" s="10"/>
      <c r="O251" s="96"/>
      <c r="Q251" s="96"/>
      <c r="T251" s="96"/>
    </row>
    <row r="252" spans="1:20" s="101" customFormat="1" x14ac:dyDescent="0.15">
      <c r="A252" s="11"/>
      <c r="B252" s="10"/>
      <c r="C252" s="102"/>
      <c r="D252" s="10"/>
      <c r="E252" s="10"/>
      <c r="F252" s="102"/>
      <c r="G252" s="10"/>
      <c r="H252" s="10"/>
      <c r="I252" s="55"/>
      <c r="J252" s="55"/>
      <c r="K252" s="55"/>
      <c r="L252" s="55"/>
      <c r="M252" s="55"/>
      <c r="N252" s="10"/>
      <c r="O252" s="96"/>
      <c r="Q252" s="96"/>
      <c r="T252" s="96"/>
    </row>
    <row r="253" spans="1:20" s="101" customFormat="1" x14ac:dyDescent="0.15">
      <c r="A253" s="11"/>
      <c r="B253" s="10"/>
      <c r="C253" s="102"/>
      <c r="D253" s="10"/>
      <c r="E253" s="10"/>
      <c r="F253" s="102"/>
      <c r="G253" s="10"/>
      <c r="H253" s="10"/>
      <c r="I253" s="55"/>
      <c r="J253" s="55"/>
      <c r="K253" s="55"/>
      <c r="L253" s="55"/>
      <c r="M253" s="55"/>
      <c r="N253" s="10"/>
      <c r="O253" s="96"/>
      <c r="Q253" s="96"/>
      <c r="T253" s="96"/>
    </row>
    <row r="254" spans="1:20" s="101" customFormat="1" x14ac:dyDescent="0.15">
      <c r="A254" s="11"/>
      <c r="B254" s="10"/>
      <c r="C254" s="102"/>
      <c r="D254" s="10"/>
      <c r="E254" s="10"/>
      <c r="F254" s="102"/>
      <c r="G254" s="10"/>
      <c r="H254" s="10"/>
      <c r="I254" s="55"/>
      <c r="J254" s="55"/>
      <c r="K254" s="55"/>
      <c r="L254" s="55"/>
      <c r="M254" s="55"/>
      <c r="N254" s="10"/>
      <c r="O254" s="96"/>
      <c r="Q254" s="96"/>
      <c r="T254" s="96"/>
    </row>
    <row r="255" spans="1:20" s="101" customFormat="1" x14ac:dyDescent="0.15">
      <c r="A255" s="11"/>
      <c r="B255" s="10"/>
      <c r="C255" s="102"/>
      <c r="D255" s="10"/>
      <c r="E255" s="10"/>
      <c r="F255" s="102"/>
      <c r="G255" s="10"/>
      <c r="H255" s="10"/>
      <c r="I255" s="55"/>
      <c r="J255" s="55"/>
      <c r="K255" s="55"/>
      <c r="L255" s="55"/>
      <c r="M255" s="55"/>
      <c r="N255" s="10"/>
      <c r="O255" s="96"/>
      <c r="Q255" s="96"/>
      <c r="T255" s="96"/>
    </row>
    <row r="256" spans="1:20" s="101" customFormat="1" x14ac:dyDescent="0.15">
      <c r="A256" s="11"/>
      <c r="B256" s="10"/>
      <c r="C256" s="102"/>
      <c r="D256" s="10"/>
      <c r="E256" s="10"/>
      <c r="F256" s="102"/>
      <c r="G256" s="10"/>
      <c r="H256" s="10"/>
      <c r="I256" s="55"/>
      <c r="J256" s="55"/>
      <c r="K256" s="55"/>
      <c r="L256" s="55"/>
      <c r="M256" s="55"/>
      <c r="N256" s="10"/>
      <c r="O256" s="96"/>
      <c r="Q256" s="96"/>
      <c r="T256" s="96"/>
    </row>
    <row r="257" spans="1:20" s="101" customFormat="1" x14ac:dyDescent="0.15">
      <c r="A257" s="11"/>
      <c r="B257" s="10"/>
      <c r="C257" s="102"/>
      <c r="D257" s="10"/>
      <c r="E257" s="10"/>
      <c r="F257" s="102"/>
      <c r="G257" s="10"/>
      <c r="H257" s="10"/>
      <c r="I257" s="55"/>
      <c r="J257" s="55"/>
      <c r="K257" s="55"/>
      <c r="L257" s="55"/>
      <c r="M257" s="55"/>
      <c r="N257" s="10"/>
      <c r="O257" s="96"/>
      <c r="Q257" s="96"/>
      <c r="T257" s="96"/>
    </row>
    <row r="258" spans="1:20" s="101" customFormat="1" x14ac:dyDescent="0.15">
      <c r="A258" s="11"/>
      <c r="B258" s="10"/>
      <c r="C258" s="102"/>
      <c r="D258" s="10"/>
      <c r="E258" s="10"/>
      <c r="F258" s="102"/>
      <c r="G258" s="10"/>
      <c r="H258" s="10"/>
      <c r="I258" s="55"/>
      <c r="J258" s="55"/>
      <c r="K258" s="55"/>
      <c r="L258" s="55"/>
      <c r="M258" s="55"/>
      <c r="N258" s="10"/>
      <c r="O258" s="96"/>
      <c r="Q258" s="96"/>
      <c r="T258" s="96"/>
    </row>
    <row r="259" spans="1:20" s="101" customFormat="1" x14ac:dyDescent="0.15">
      <c r="A259" s="11"/>
      <c r="B259" s="10"/>
      <c r="C259" s="102"/>
      <c r="D259" s="10"/>
      <c r="E259" s="10"/>
      <c r="F259" s="102"/>
      <c r="G259" s="10"/>
      <c r="H259" s="10"/>
      <c r="I259" s="55"/>
      <c r="J259" s="55"/>
      <c r="K259" s="55"/>
      <c r="L259" s="55"/>
      <c r="M259" s="55"/>
      <c r="N259" s="10"/>
      <c r="O259" s="96"/>
      <c r="Q259" s="96"/>
      <c r="T259" s="96"/>
    </row>
    <row r="260" spans="1:20" s="101" customFormat="1" x14ac:dyDescent="0.15">
      <c r="A260" s="11"/>
      <c r="B260" s="10"/>
      <c r="C260" s="102"/>
      <c r="D260" s="10"/>
      <c r="E260" s="10"/>
      <c r="F260" s="102"/>
      <c r="G260" s="10"/>
      <c r="H260" s="10"/>
      <c r="I260" s="55"/>
      <c r="J260" s="55"/>
      <c r="K260" s="55"/>
      <c r="L260" s="55"/>
      <c r="M260" s="55"/>
      <c r="N260" s="10"/>
      <c r="O260" s="96"/>
      <c r="Q260" s="96"/>
      <c r="T260" s="96"/>
    </row>
    <row r="261" spans="1:20" s="101" customFormat="1" x14ac:dyDescent="0.15">
      <c r="A261" s="11"/>
      <c r="B261" s="10"/>
      <c r="C261" s="102"/>
      <c r="D261" s="10"/>
      <c r="E261" s="10"/>
      <c r="F261" s="102"/>
      <c r="G261" s="10"/>
      <c r="H261" s="10"/>
      <c r="I261" s="55"/>
      <c r="J261" s="55"/>
      <c r="K261" s="55"/>
      <c r="L261" s="55"/>
      <c r="M261" s="55"/>
      <c r="N261" s="10"/>
      <c r="O261" s="96"/>
      <c r="Q261" s="96"/>
      <c r="T261" s="96"/>
    </row>
    <row r="262" spans="1:20" s="101" customFormat="1" x14ac:dyDescent="0.15">
      <c r="A262" s="11"/>
      <c r="B262" s="10"/>
      <c r="C262" s="102"/>
      <c r="D262" s="10"/>
      <c r="E262" s="10"/>
      <c r="F262" s="102"/>
      <c r="G262" s="10"/>
      <c r="H262" s="10"/>
      <c r="I262" s="55"/>
      <c r="J262" s="55"/>
      <c r="K262" s="55"/>
      <c r="L262" s="55"/>
      <c r="M262" s="55"/>
      <c r="N262" s="10"/>
      <c r="O262" s="96"/>
      <c r="Q262" s="96"/>
      <c r="T262" s="96"/>
    </row>
    <row r="263" spans="1:20" s="101" customFormat="1" x14ac:dyDescent="0.15">
      <c r="A263" s="11"/>
      <c r="B263" s="10"/>
      <c r="C263" s="102"/>
      <c r="D263" s="10"/>
      <c r="E263" s="10"/>
      <c r="F263" s="102"/>
      <c r="G263" s="10"/>
      <c r="H263" s="10"/>
      <c r="I263" s="55"/>
      <c r="J263" s="55"/>
      <c r="K263" s="55"/>
      <c r="L263" s="55"/>
      <c r="M263" s="55"/>
      <c r="N263" s="10"/>
      <c r="O263" s="96"/>
      <c r="Q263" s="96"/>
      <c r="T263" s="96"/>
    </row>
    <row r="264" spans="1:20" s="101" customFormat="1" x14ac:dyDescent="0.15">
      <c r="A264" s="11"/>
      <c r="B264" s="10"/>
      <c r="C264" s="102"/>
      <c r="D264" s="10"/>
      <c r="E264" s="10"/>
      <c r="F264" s="102"/>
      <c r="G264" s="10"/>
      <c r="H264" s="10"/>
      <c r="I264" s="55"/>
      <c r="J264" s="55"/>
      <c r="K264" s="55"/>
      <c r="L264" s="55"/>
      <c r="M264" s="55"/>
      <c r="N264" s="10"/>
      <c r="O264" s="96"/>
      <c r="Q264" s="96"/>
      <c r="T264" s="96"/>
    </row>
    <row r="265" spans="1:20" s="101" customFormat="1" x14ac:dyDescent="0.15">
      <c r="A265" s="11"/>
      <c r="B265" s="10"/>
      <c r="C265" s="102"/>
      <c r="D265" s="10"/>
      <c r="E265" s="10"/>
      <c r="F265" s="102"/>
      <c r="G265" s="10"/>
      <c r="H265" s="10"/>
      <c r="I265" s="55"/>
      <c r="J265" s="55"/>
      <c r="K265" s="55"/>
      <c r="L265" s="55"/>
      <c r="M265" s="55"/>
      <c r="N265" s="10"/>
      <c r="O265" s="96"/>
      <c r="Q265" s="96"/>
      <c r="T265" s="96"/>
    </row>
    <row r="266" spans="1:20" s="101" customFormat="1" x14ac:dyDescent="0.15">
      <c r="A266" s="11"/>
      <c r="B266" s="10"/>
      <c r="C266" s="102"/>
      <c r="D266" s="10"/>
      <c r="E266" s="10"/>
      <c r="F266" s="102"/>
      <c r="G266" s="10"/>
      <c r="H266" s="10"/>
      <c r="I266" s="55"/>
      <c r="J266" s="55"/>
      <c r="K266" s="55"/>
      <c r="L266" s="55"/>
      <c r="M266" s="55"/>
      <c r="N266" s="10"/>
      <c r="O266" s="96"/>
      <c r="Q266" s="96"/>
      <c r="T266" s="96"/>
    </row>
    <row r="267" spans="1:20" s="101" customFormat="1" x14ac:dyDescent="0.15">
      <c r="A267" s="11"/>
      <c r="B267" s="10"/>
      <c r="C267" s="102"/>
      <c r="D267" s="10"/>
      <c r="E267" s="10"/>
      <c r="F267" s="102"/>
      <c r="G267" s="10"/>
      <c r="H267" s="10"/>
      <c r="I267" s="55"/>
      <c r="J267" s="55"/>
      <c r="K267" s="55"/>
      <c r="L267" s="55"/>
      <c r="M267" s="55"/>
      <c r="N267" s="10"/>
      <c r="O267" s="96"/>
      <c r="Q267" s="96"/>
      <c r="T267" s="96"/>
    </row>
    <row r="268" spans="1:20" s="101" customFormat="1" x14ac:dyDescent="0.15">
      <c r="A268" s="11"/>
      <c r="B268" s="10"/>
      <c r="C268" s="102"/>
      <c r="D268" s="10"/>
      <c r="E268" s="10"/>
      <c r="F268" s="102"/>
      <c r="G268" s="10"/>
      <c r="H268" s="10"/>
      <c r="I268" s="55"/>
      <c r="J268" s="55"/>
      <c r="K268" s="55"/>
      <c r="L268" s="55"/>
      <c r="M268" s="55"/>
      <c r="N268" s="10"/>
      <c r="O268" s="96"/>
      <c r="Q268" s="96"/>
      <c r="T268" s="96"/>
    </row>
    <row r="269" spans="1:20" s="101" customFormat="1" x14ac:dyDescent="0.15">
      <c r="A269" s="11"/>
      <c r="B269" s="10"/>
      <c r="C269" s="102"/>
      <c r="D269" s="10"/>
      <c r="E269" s="10"/>
      <c r="F269" s="102"/>
      <c r="G269" s="10"/>
      <c r="H269" s="10"/>
      <c r="I269" s="55"/>
      <c r="J269" s="55"/>
      <c r="K269" s="55"/>
      <c r="L269" s="55"/>
      <c r="M269" s="55"/>
      <c r="N269" s="10"/>
      <c r="O269" s="96"/>
      <c r="Q269" s="96"/>
      <c r="T269" s="96"/>
    </row>
    <row r="270" spans="1:20" s="101" customFormat="1" x14ac:dyDescent="0.15">
      <c r="A270" s="11"/>
      <c r="B270" s="10"/>
      <c r="C270" s="102"/>
      <c r="D270" s="10"/>
      <c r="E270" s="10"/>
      <c r="F270" s="102"/>
      <c r="G270" s="10"/>
      <c r="H270" s="10"/>
      <c r="I270" s="55"/>
      <c r="J270" s="55"/>
      <c r="K270" s="55"/>
      <c r="L270" s="55"/>
      <c r="M270" s="55"/>
      <c r="N270" s="10"/>
      <c r="O270" s="96"/>
      <c r="Q270" s="96"/>
      <c r="T270" s="96"/>
    </row>
    <row r="271" spans="1:20" s="101" customFormat="1" x14ac:dyDescent="0.15">
      <c r="A271" s="11"/>
      <c r="B271" s="10"/>
      <c r="C271" s="102"/>
      <c r="D271" s="10"/>
      <c r="E271" s="10"/>
      <c r="F271" s="102"/>
      <c r="G271" s="10"/>
      <c r="H271" s="10"/>
      <c r="I271" s="55"/>
      <c r="J271" s="55"/>
      <c r="K271" s="55"/>
      <c r="L271" s="55"/>
      <c r="M271" s="55"/>
      <c r="N271" s="10"/>
      <c r="O271" s="96"/>
      <c r="Q271" s="96"/>
      <c r="T271" s="96"/>
    </row>
    <row r="272" spans="1:20" s="101" customFormat="1" x14ac:dyDescent="0.15">
      <c r="A272" s="11"/>
      <c r="B272" s="10"/>
      <c r="C272" s="102"/>
      <c r="D272" s="10"/>
      <c r="E272" s="10"/>
      <c r="F272" s="102"/>
      <c r="G272" s="10"/>
      <c r="H272" s="10"/>
      <c r="I272" s="55"/>
      <c r="J272" s="55"/>
      <c r="K272" s="55"/>
      <c r="L272" s="55"/>
      <c r="M272" s="55"/>
      <c r="N272" s="10"/>
      <c r="O272" s="96"/>
      <c r="Q272" s="96"/>
      <c r="T272" s="96"/>
    </row>
    <row r="273" spans="1:20" s="101" customFormat="1" x14ac:dyDescent="0.15">
      <c r="A273" s="11"/>
      <c r="B273" s="10"/>
      <c r="C273" s="102"/>
      <c r="D273" s="10"/>
      <c r="E273" s="10"/>
      <c r="F273" s="102"/>
      <c r="G273" s="10"/>
      <c r="H273" s="10"/>
      <c r="I273" s="55"/>
      <c r="J273" s="55"/>
      <c r="K273" s="55"/>
      <c r="L273" s="55"/>
      <c r="M273" s="55"/>
      <c r="N273" s="10"/>
      <c r="O273" s="96"/>
      <c r="Q273" s="96"/>
      <c r="T273" s="96"/>
    </row>
    <row r="274" spans="1:20" s="101" customFormat="1" x14ac:dyDescent="0.15">
      <c r="A274" s="11"/>
      <c r="B274" s="10"/>
      <c r="C274" s="102"/>
      <c r="D274" s="10"/>
      <c r="E274" s="10"/>
      <c r="F274" s="102"/>
      <c r="G274" s="10"/>
      <c r="H274" s="10"/>
      <c r="I274" s="55"/>
      <c r="J274" s="55"/>
      <c r="K274" s="55"/>
      <c r="L274" s="55"/>
      <c r="M274" s="55"/>
      <c r="N274" s="10"/>
      <c r="O274" s="96"/>
      <c r="Q274" s="96"/>
      <c r="T274" s="96"/>
    </row>
    <row r="275" spans="1:20" s="101" customFormat="1" x14ac:dyDescent="0.15">
      <c r="A275" s="11"/>
      <c r="B275" s="10"/>
      <c r="C275" s="102"/>
      <c r="D275" s="10"/>
      <c r="E275" s="10"/>
      <c r="F275" s="102"/>
      <c r="G275" s="10"/>
      <c r="H275" s="10"/>
      <c r="I275" s="55"/>
      <c r="J275" s="55"/>
      <c r="K275" s="55"/>
      <c r="L275" s="55"/>
      <c r="M275" s="55"/>
      <c r="N275" s="10"/>
      <c r="O275" s="96"/>
      <c r="Q275" s="96"/>
      <c r="T275" s="96"/>
    </row>
    <row r="276" spans="1:20" s="101" customFormat="1" x14ac:dyDescent="0.15">
      <c r="A276" s="11"/>
      <c r="B276" s="10"/>
      <c r="C276" s="102"/>
      <c r="D276" s="10"/>
      <c r="E276" s="10"/>
      <c r="F276" s="102"/>
      <c r="G276" s="10"/>
      <c r="H276" s="10"/>
      <c r="I276" s="55"/>
      <c r="J276" s="55"/>
      <c r="K276" s="55"/>
      <c r="L276" s="55"/>
      <c r="M276" s="55"/>
      <c r="N276" s="10"/>
      <c r="O276" s="96"/>
      <c r="Q276" s="96"/>
      <c r="T276" s="96"/>
    </row>
    <row r="277" spans="1:20" s="101" customFormat="1" x14ac:dyDescent="0.15">
      <c r="A277" s="11"/>
      <c r="B277" s="10"/>
      <c r="C277" s="102"/>
      <c r="D277" s="10"/>
      <c r="E277" s="10"/>
      <c r="F277" s="102"/>
      <c r="G277" s="10"/>
      <c r="H277" s="10"/>
      <c r="I277" s="55"/>
      <c r="J277" s="55"/>
      <c r="K277" s="55"/>
      <c r="L277" s="55"/>
      <c r="M277" s="55"/>
      <c r="N277" s="10"/>
      <c r="O277" s="96"/>
      <c r="Q277" s="96"/>
      <c r="T277" s="96"/>
    </row>
    <row r="278" spans="1:20" s="101" customFormat="1" x14ac:dyDescent="0.15">
      <c r="A278" s="11"/>
      <c r="B278" s="10"/>
      <c r="C278" s="102"/>
      <c r="D278" s="10"/>
      <c r="E278" s="10"/>
      <c r="F278" s="102"/>
      <c r="G278" s="10"/>
      <c r="H278" s="10"/>
      <c r="I278" s="55"/>
      <c r="J278" s="55"/>
      <c r="K278" s="55"/>
      <c r="L278" s="55"/>
      <c r="M278" s="55"/>
      <c r="N278" s="10"/>
      <c r="O278" s="96"/>
      <c r="Q278" s="96"/>
      <c r="T278" s="96"/>
    </row>
    <row r="279" spans="1:20" s="101" customFormat="1" x14ac:dyDescent="0.15">
      <c r="A279" s="11"/>
      <c r="B279" s="10"/>
      <c r="C279" s="102"/>
      <c r="D279" s="10"/>
      <c r="E279" s="10"/>
      <c r="F279" s="102"/>
      <c r="G279" s="10"/>
      <c r="H279" s="10"/>
      <c r="I279" s="55"/>
      <c r="J279" s="55"/>
      <c r="K279" s="55"/>
      <c r="L279" s="55"/>
      <c r="M279" s="55"/>
      <c r="N279" s="10"/>
      <c r="O279" s="96"/>
      <c r="Q279" s="96"/>
      <c r="T279" s="96"/>
    </row>
    <row r="280" spans="1:20" s="101" customFormat="1" x14ac:dyDescent="0.15">
      <c r="A280" s="11"/>
      <c r="B280" s="10"/>
      <c r="C280" s="102"/>
      <c r="D280" s="10"/>
      <c r="E280" s="10"/>
      <c r="F280" s="102"/>
      <c r="G280" s="10"/>
      <c r="H280" s="10"/>
      <c r="I280" s="55"/>
      <c r="J280" s="55"/>
      <c r="K280" s="55"/>
      <c r="L280" s="55"/>
      <c r="M280" s="55"/>
      <c r="N280" s="10"/>
      <c r="O280" s="96"/>
      <c r="Q280" s="96"/>
      <c r="T280" s="96"/>
    </row>
    <row r="281" spans="1:20" s="101" customFormat="1" x14ac:dyDescent="0.15">
      <c r="A281" s="11"/>
      <c r="B281" s="10"/>
      <c r="C281" s="102"/>
      <c r="D281" s="10"/>
      <c r="E281" s="10"/>
      <c r="F281" s="102"/>
      <c r="G281" s="10"/>
      <c r="H281" s="10"/>
      <c r="I281" s="55"/>
      <c r="J281" s="55"/>
      <c r="K281" s="55"/>
      <c r="L281" s="55"/>
      <c r="M281" s="55"/>
      <c r="N281" s="10"/>
      <c r="O281" s="96"/>
      <c r="Q281" s="96"/>
      <c r="T281" s="96"/>
    </row>
    <row r="282" spans="1:20" s="101" customFormat="1" x14ac:dyDescent="0.15">
      <c r="A282" s="11"/>
      <c r="B282" s="10"/>
      <c r="C282" s="102"/>
      <c r="D282" s="10"/>
      <c r="E282" s="10"/>
      <c r="F282" s="102"/>
      <c r="G282" s="10"/>
      <c r="H282" s="10"/>
      <c r="I282" s="55"/>
      <c r="J282" s="55"/>
      <c r="K282" s="55"/>
      <c r="L282" s="55"/>
      <c r="M282" s="55"/>
      <c r="N282" s="10"/>
      <c r="O282" s="96"/>
      <c r="Q282" s="96"/>
      <c r="T282" s="96"/>
    </row>
    <row r="283" spans="1:20" s="101" customFormat="1" x14ac:dyDescent="0.15">
      <c r="A283" s="11"/>
      <c r="B283" s="10"/>
      <c r="C283" s="102"/>
      <c r="D283" s="10"/>
      <c r="E283" s="10"/>
      <c r="F283" s="102"/>
      <c r="G283" s="10"/>
      <c r="H283" s="10"/>
      <c r="I283" s="55"/>
      <c r="J283" s="55"/>
      <c r="K283" s="55"/>
      <c r="L283" s="55"/>
      <c r="M283" s="55"/>
      <c r="N283" s="10"/>
      <c r="O283" s="96"/>
      <c r="Q283" s="96"/>
      <c r="T283" s="96"/>
    </row>
    <row r="284" spans="1:20" s="101" customFormat="1" x14ac:dyDescent="0.15">
      <c r="A284" s="11"/>
      <c r="B284" s="10"/>
      <c r="C284" s="102"/>
      <c r="D284" s="10"/>
      <c r="E284" s="10"/>
      <c r="F284" s="102"/>
      <c r="G284" s="10"/>
      <c r="H284" s="10"/>
      <c r="I284" s="55"/>
      <c r="J284" s="55"/>
      <c r="K284" s="55"/>
      <c r="L284" s="55"/>
      <c r="M284" s="55"/>
      <c r="N284" s="10"/>
      <c r="O284" s="96"/>
      <c r="Q284" s="96"/>
      <c r="T284" s="96"/>
    </row>
    <row r="285" spans="1:20" s="101" customFormat="1" x14ac:dyDescent="0.15">
      <c r="A285" s="11"/>
      <c r="B285" s="10"/>
      <c r="C285" s="102"/>
      <c r="D285" s="10"/>
      <c r="E285" s="10"/>
      <c r="F285" s="102"/>
      <c r="G285" s="10"/>
      <c r="H285" s="10"/>
      <c r="I285" s="55"/>
      <c r="J285" s="55"/>
      <c r="K285" s="55"/>
      <c r="L285" s="55"/>
      <c r="M285" s="55"/>
      <c r="N285" s="10"/>
      <c r="O285" s="96"/>
      <c r="Q285" s="96"/>
      <c r="T285" s="96"/>
    </row>
    <row r="286" spans="1:20" s="101" customFormat="1" x14ac:dyDescent="0.15">
      <c r="A286" s="11"/>
      <c r="B286" s="10"/>
      <c r="C286" s="102"/>
      <c r="D286" s="10"/>
      <c r="E286" s="10"/>
      <c r="F286" s="102"/>
      <c r="G286" s="10"/>
      <c r="H286" s="10"/>
      <c r="I286" s="55"/>
      <c r="J286" s="55"/>
      <c r="K286" s="55"/>
      <c r="L286" s="55"/>
      <c r="M286" s="55"/>
      <c r="N286" s="10"/>
      <c r="O286" s="96"/>
      <c r="Q286" s="96"/>
      <c r="T286" s="96"/>
    </row>
    <row r="287" spans="1:20" s="101" customFormat="1" x14ac:dyDescent="0.15">
      <c r="A287" s="11"/>
      <c r="B287" s="10"/>
      <c r="C287" s="102"/>
      <c r="D287" s="10"/>
      <c r="E287" s="10"/>
      <c r="F287" s="102"/>
      <c r="G287" s="10"/>
      <c r="H287" s="10"/>
      <c r="I287" s="55"/>
      <c r="J287" s="55"/>
      <c r="K287" s="55"/>
      <c r="L287" s="55"/>
      <c r="M287" s="55"/>
      <c r="N287" s="10"/>
      <c r="O287" s="96"/>
      <c r="Q287" s="96"/>
      <c r="T287" s="96"/>
    </row>
    <row r="288" spans="1:20" s="101" customFormat="1" x14ac:dyDescent="0.15">
      <c r="A288" s="11"/>
      <c r="B288" s="10"/>
      <c r="C288" s="102"/>
      <c r="D288" s="10"/>
      <c r="E288" s="10"/>
      <c r="F288" s="102"/>
      <c r="G288" s="10"/>
      <c r="H288" s="10"/>
      <c r="I288" s="55"/>
      <c r="J288" s="55"/>
      <c r="K288" s="55"/>
      <c r="L288" s="55"/>
      <c r="M288" s="55"/>
      <c r="N288" s="10"/>
      <c r="O288" s="96"/>
      <c r="Q288" s="96"/>
      <c r="T288" s="96"/>
    </row>
    <row r="289" spans="1:20" s="101" customFormat="1" x14ac:dyDescent="0.15">
      <c r="A289" s="11"/>
      <c r="B289" s="10"/>
      <c r="C289" s="102"/>
      <c r="D289" s="10"/>
      <c r="E289" s="10"/>
      <c r="F289" s="102"/>
      <c r="G289" s="10"/>
      <c r="H289" s="10"/>
      <c r="I289" s="55"/>
      <c r="J289" s="55"/>
      <c r="K289" s="55"/>
      <c r="L289" s="55"/>
      <c r="M289" s="55"/>
      <c r="N289" s="10"/>
      <c r="O289" s="96"/>
      <c r="Q289" s="96"/>
      <c r="T289" s="96"/>
    </row>
    <row r="290" spans="1:20" s="101" customFormat="1" x14ac:dyDescent="0.15">
      <c r="A290" s="11"/>
      <c r="B290" s="10"/>
      <c r="C290" s="102"/>
      <c r="D290" s="10"/>
      <c r="E290" s="10"/>
      <c r="F290" s="102"/>
      <c r="G290" s="10"/>
      <c r="H290" s="10"/>
      <c r="I290" s="55"/>
      <c r="J290" s="55"/>
      <c r="K290" s="55"/>
      <c r="L290" s="55"/>
      <c r="M290" s="55"/>
      <c r="N290" s="10"/>
      <c r="O290" s="96"/>
      <c r="Q290" s="96"/>
      <c r="T290" s="96"/>
    </row>
    <row r="291" spans="1:20" s="101" customFormat="1" x14ac:dyDescent="0.15">
      <c r="A291" s="11"/>
      <c r="B291" s="10"/>
      <c r="C291" s="102"/>
      <c r="D291" s="10"/>
      <c r="E291" s="10"/>
      <c r="F291" s="102"/>
      <c r="G291" s="10"/>
      <c r="H291" s="10"/>
      <c r="I291" s="55"/>
      <c r="J291" s="55"/>
      <c r="K291" s="55"/>
      <c r="L291" s="55"/>
      <c r="M291" s="55"/>
      <c r="N291" s="10"/>
      <c r="O291" s="96"/>
      <c r="Q291" s="96"/>
      <c r="T291" s="96"/>
    </row>
    <row r="292" spans="1:20" s="101" customFormat="1" x14ac:dyDescent="0.15">
      <c r="A292" s="11"/>
      <c r="B292" s="10"/>
      <c r="C292" s="102"/>
      <c r="D292" s="10"/>
      <c r="E292" s="10"/>
      <c r="F292" s="102"/>
      <c r="G292" s="10"/>
      <c r="H292" s="10"/>
      <c r="I292" s="55"/>
      <c r="J292" s="55"/>
      <c r="K292" s="55"/>
      <c r="L292" s="55"/>
      <c r="M292" s="55"/>
      <c r="N292" s="10"/>
      <c r="O292" s="96"/>
      <c r="Q292" s="96"/>
      <c r="T292" s="96"/>
    </row>
    <row r="293" spans="1:20" s="101" customFormat="1" x14ac:dyDescent="0.15">
      <c r="A293" s="11"/>
      <c r="B293" s="10"/>
      <c r="C293" s="102"/>
      <c r="D293" s="10"/>
      <c r="E293" s="10"/>
      <c r="F293" s="102"/>
      <c r="G293" s="10"/>
      <c r="H293" s="10"/>
      <c r="I293" s="55"/>
      <c r="J293" s="55"/>
      <c r="K293" s="55"/>
      <c r="L293" s="55"/>
      <c r="M293" s="55"/>
      <c r="N293" s="10"/>
      <c r="O293" s="96"/>
      <c r="Q293" s="96"/>
      <c r="T293" s="96"/>
    </row>
    <row r="294" spans="1:20" s="101" customFormat="1" x14ac:dyDescent="0.15">
      <c r="A294" s="11"/>
      <c r="B294" s="10"/>
      <c r="C294" s="102"/>
      <c r="D294" s="10"/>
      <c r="E294" s="10"/>
      <c r="F294" s="102"/>
      <c r="G294" s="10"/>
      <c r="H294" s="10"/>
      <c r="I294" s="55"/>
      <c r="J294" s="55"/>
      <c r="K294" s="55"/>
      <c r="L294" s="55"/>
      <c r="M294" s="55"/>
      <c r="N294" s="10"/>
      <c r="O294" s="96"/>
      <c r="Q294" s="96"/>
      <c r="T294" s="96"/>
    </row>
    <row r="295" spans="1:20" s="101" customFormat="1" x14ac:dyDescent="0.15">
      <c r="A295" s="11"/>
      <c r="B295" s="10"/>
      <c r="C295" s="102"/>
      <c r="D295" s="10"/>
      <c r="E295" s="10"/>
      <c r="F295" s="102"/>
      <c r="G295" s="10"/>
      <c r="H295" s="10"/>
      <c r="I295" s="55"/>
      <c r="J295" s="55"/>
      <c r="K295" s="55"/>
      <c r="L295" s="55"/>
      <c r="M295" s="55"/>
      <c r="N295" s="10"/>
      <c r="O295" s="96"/>
      <c r="Q295" s="96"/>
      <c r="T295" s="96"/>
    </row>
    <row r="296" spans="1:20" s="101" customFormat="1" x14ac:dyDescent="0.15">
      <c r="A296" s="11"/>
      <c r="B296" s="10"/>
      <c r="C296" s="102"/>
      <c r="D296" s="10"/>
      <c r="E296" s="10"/>
      <c r="F296" s="102"/>
      <c r="G296" s="10"/>
      <c r="H296" s="10"/>
      <c r="I296" s="55"/>
      <c r="J296" s="55"/>
      <c r="K296" s="55"/>
      <c r="L296" s="55"/>
      <c r="M296" s="55"/>
      <c r="N296" s="10"/>
      <c r="O296" s="96"/>
      <c r="Q296" s="96"/>
      <c r="T296" s="96"/>
    </row>
    <row r="297" spans="1:20" s="101" customFormat="1" x14ac:dyDescent="0.15">
      <c r="A297" s="11"/>
      <c r="B297" s="10"/>
      <c r="C297" s="102"/>
      <c r="D297" s="10"/>
      <c r="E297" s="10"/>
      <c r="F297" s="102"/>
      <c r="G297" s="10"/>
      <c r="H297" s="10"/>
      <c r="I297" s="55"/>
      <c r="J297" s="55"/>
      <c r="K297" s="55"/>
      <c r="L297" s="55"/>
      <c r="M297" s="55"/>
      <c r="N297" s="10"/>
      <c r="O297" s="96"/>
      <c r="Q297" s="96"/>
      <c r="T297" s="96"/>
    </row>
    <row r="298" spans="1:20" s="101" customFormat="1" x14ac:dyDescent="0.15">
      <c r="A298" s="11"/>
      <c r="B298" s="10"/>
      <c r="C298" s="102"/>
      <c r="D298" s="10"/>
      <c r="E298" s="10"/>
      <c r="F298" s="102"/>
      <c r="G298" s="10"/>
      <c r="H298" s="10"/>
      <c r="I298" s="55"/>
      <c r="J298" s="55"/>
      <c r="K298" s="55"/>
      <c r="L298" s="55"/>
      <c r="M298" s="55"/>
      <c r="N298" s="10"/>
      <c r="O298" s="96"/>
      <c r="Q298" s="96"/>
      <c r="T298" s="96"/>
    </row>
    <row r="299" spans="1:20" s="101" customFormat="1" x14ac:dyDescent="0.15">
      <c r="A299" s="11"/>
      <c r="B299" s="10"/>
      <c r="C299" s="102"/>
      <c r="D299" s="10"/>
      <c r="E299" s="10"/>
      <c r="F299" s="102"/>
      <c r="G299" s="10"/>
      <c r="H299" s="10"/>
      <c r="I299" s="55"/>
      <c r="J299" s="55"/>
      <c r="K299" s="55"/>
      <c r="L299" s="55"/>
      <c r="M299" s="55"/>
      <c r="N299" s="10"/>
      <c r="O299" s="96"/>
      <c r="Q299" s="96"/>
      <c r="T299" s="96"/>
    </row>
    <row r="300" spans="1:20" s="101" customFormat="1" x14ac:dyDescent="0.15">
      <c r="A300" s="11"/>
      <c r="B300" s="10"/>
      <c r="C300" s="102"/>
      <c r="D300" s="10"/>
      <c r="E300" s="10"/>
      <c r="F300" s="102"/>
      <c r="G300" s="10"/>
      <c r="H300" s="10"/>
      <c r="I300" s="55"/>
      <c r="J300" s="55"/>
      <c r="K300" s="55"/>
      <c r="L300" s="55"/>
      <c r="M300" s="55"/>
      <c r="N300" s="10"/>
      <c r="O300" s="96"/>
      <c r="Q300" s="96"/>
      <c r="T300" s="96"/>
    </row>
    <row r="301" spans="1:20" s="101" customFormat="1" x14ac:dyDescent="0.15">
      <c r="A301" s="11"/>
      <c r="B301" s="10"/>
      <c r="C301" s="102"/>
      <c r="D301" s="10"/>
      <c r="E301" s="10"/>
      <c r="F301" s="102"/>
      <c r="G301" s="10"/>
      <c r="H301" s="10"/>
      <c r="I301" s="55"/>
      <c r="J301" s="55"/>
      <c r="K301" s="55"/>
      <c r="L301" s="55"/>
      <c r="M301" s="55"/>
      <c r="N301" s="10"/>
      <c r="O301" s="96"/>
      <c r="Q301" s="96"/>
      <c r="T301" s="96"/>
    </row>
    <row r="302" spans="1:20" s="101" customFormat="1" x14ac:dyDescent="0.15">
      <c r="A302" s="11"/>
      <c r="B302" s="10"/>
      <c r="C302" s="102"/>
      <c r="D302" s="10"/>
      <c r="E302" s="10"/>
      <c r="F302" s="102"/>
      <c r="G302" s="10"/>
      <c r="H302" s="10"/>
      <c r="I302" s="55"/>
      <c r="J302" s="55"/>
      <c r="K302" s="55"/>
      <c r="L302" s="55"/>
      <c r="M302" s="55"/>
      <c r="N302" s="10"/>
      <c r="O302" s="96"/>
      <c r="Q302" s="96"/>
      <c r="T302" s="96"/>
    </row>
    <row r="303" spans="1:20" s="101" customFormat="1" x14ac:dyDescent="0.15">
      <c r="A303" s="11"/>
      <c r="B303" s="10"/>
      <c r="C303" s="102"/>
      <c r="D303" s="10"/>
      <c r="E303" s="10"/>
      <c r="F303" s="102"/>
      <c r="G303" s="10"/>
      <c r="H303" s="10"/>
      <c r="I303" s="55"/>
      <c r="J303" s="55"/>
      <c r="K303" s="55"/>
      <c r="L303" s="55"/>
      <c r="M303" s="55"/>
      <c r="N303" s="10"/>
      <c r="O303" s="96"/>
      <c r="Q303" s="96"/>
      <c r="T303" s="96"/>
    </row>
    <row r="304" spans="1:20" s="101" customFormat="1" x14ac:dyDescent="0.15">
      <c r="A304" s="11"/>
      <c r="B304" s="10"/>
      <c r="C304" s="102"/>
      <c r="D304" s="10"/>
      <c r="E304" s="10"/>
      <c r="F304" s="102"/>
      <c r="G304" s="10"/>
      <c r="H304" s="10"/>
      <c r="I304" s="55"/>
      <c r="J304" s="55"/>
      <c r="K304" s="55"/>
      <c r="L304" s="55"/>
      <c r="M304" s="55"/>
      <c r="N304" s="10"/>
      <c r="O304" s="96"/>
      <c r="Q304" s="96"/>
      <c r="T304" s="96"/>
    </row>
    <row r="305" spans="1:20" s="101" customFormat="1" x14ac:dyDescent="0.15">
      <c r="A305" s="11"/>
      <c r="B305" s="10"/>
      <c r="C305" s="102"/>
      <c r="D305" s="10"/>
      <c r="E305" s="10"/>
      <c r="F305" s="102"/>
      <c r="G305" s="10"/>
      <c r="H305" s="10"/>
      <c r="I305" s="55"/>
      <c r="J305" s="55"/>
      <c r="K305" s="55"/>
      <c r="L305" s="55"/>
      <c r="M305" s="55"/>
      <c r="N305" s="10"/>
      <c r="O305" s="96"/>
      <c r="Q305" s="96"/>
      <c r="T305" s="96"/>
    </row>
    <row r="306" spans="1:20" s="101" customFormat="1" x14ac:dyDescent="0.15">
      <c r="A306" s="11"/>
      <c r="B306" s="10"/>
      <c r="C306" s="102"/>
      <c r="D306" s="10"/>
      <c r="E306" s="10"/>
      <c r="F306" s="102"/>
      <c r="G306" s="10"/>
      <c r="H306" s="10"/>
      <c r="I306" s="55"/>
      <c r="J306" s="55"/>
      <c r="K306" s="55"/>
      <c r="L306" s="55"/>
      <c r="M306" s="55"/>
      <c r="N306" s="10"/>
      <c r="O306" s="96"/>
      <c r="Q306" s="96"/>
      <c r="T306" s="96"/>
    </row>
    <row r="307" spans="1:20" s="101" customFormat="1" x14ac:dyDescent="0.15">
      <c r="A307" s="11"/>
      <c r="B307" s="10"/>
      <c r="C307" s="102"/>
      <c r="D307" s="10"/>
      <c r="E307" s="10"/>
      <c r="F307" s="102"/>
      <c r="G307" s="10"/>
      <c r="H307" s="10"/>
      <c r="I307" s="55"/>
      <c r="J307" s="55"/>
      <c r="K307" s="55"/>
      <c r="L307" s="55"/>
      <c r="M307" s="55"/>
      <c r="N307" s="10"/>
      <c r="O307" s="96"/>
      <c r="Q307" s="96"/>
      <c r="T307" s="96"/>
    </row>
    <row r="308" spans="1:20" s="101" customFormat="1" x14ac:dyDescent="0.15">
      <c r="A308" s="11"/>
      <c r="B308" s="10"/>
      <c r="C308" s="102"/>
      <c r="D308" s="10"/>
      <c r="E308" s="10"/>
      <c r="F308" s="102"/>
      <c r="G308" s="10"/>
      <c r="H308" s="10"/>
      <c r="I308" s="55"/>
      <c r="J308" s="55"/>
      <c r="K308" s="55"/>
      <c r="L308" s="55"/>
      <c r="M308" s="55"/>
      <c r="N308" s="10"/>
      <c r="O308" s="96"/>
      <c r="Q308" s="96"/>
      <c r="T308" s="96"/>
    </row>
    <row r="309" spans="1:20" s="101" customFormat="1" x14ac:dyDescent="0.15">
      <c r="A309" s="11"/>
      <c r="B309" s="10"/>
      <c r="C309" s="102"/>
      <c r="D309" s="10"/>
      <c r="E309" s="10"/>
      <c r="F309" s="102"/>
      <c r="G309" s="10"/>
      <c r="H309" s="10"/>
      <c r="I309" s="55"/>
      <c r="J309" s="55"/>
      <c r="K309" s="55"/>
      <c r="L309" s="55"/>
      <c r="M309" s="55"/>
      <c r="N309" s="10"/>
      <c r="O309" s="96"/>
      <c r="Q309" s="96"/>
      <c r="T309" s="96"/>
    </row>
    <row r="310" spans="1:20" s="101" customFormat="1" x14ac:dyDescent="0.15">
      <c r="A310" s="11"/>
      <c r="B310" s="10"/>
      <c r="C310" s="102"/>
      <c r="D310" s="10"/>
      <c r="E310" s="10"/>
      <c r="F310" s="102"/>
      <c r="G310" s="10"/>
      <c r="H310" s="10"/>
      <c r="I310" s="55"/>
      <c r="J310" s="55"/>
      <c r="K310" s="55"/>
      <c r="L310" s="55"/>
      <c r="M310" s="55"/>
      <c r="N310" s="10"/>
      <c r="O310" s="96"/>
      <c r="Q310" s="96"/>
      <c r="T310" s="96"/>
    </row>
    <row r="311" spans="1:20" s="101" customFormat="1" x14ac:dyDescent="0.15">
      <c r="A311" s="11"/>
      <c r="B311" s="10"/>
      <c r="C311" s="102"/>
      <c r="D311" s="10"/>
      <c r="E311" s="10"/>
      <c r="F311" s="102"/>
      <c r="G311" s="10"/>
      <c r="H311" s="10"/>
      <c r="I311" s="55"/>
      <c r="J311" s="55"/>
      <c r="K311" s="55"/>
      <c r="L311" s="55"/>
      <c r="M311" s="55"/>
      <c r="N311" s="10"/>
      <c r="O311" s="96"/>
      <c r="Q311" s="96"/>
      <c r="T311" s="96"/>
    </row>
    <row r="312" spans="1:20" s="101" customFormat="1" x14ac:dyDescent="0.15">
      <c r="A312" s="11"/>
      <c r="B312" s="10"/>
      <c r="C312" s="102"/>
      <c r="D312" s="10"/>
      <c r="E312" s="10"/>
      <c r="F312" s="102"/>
      <c r="G312" s="10"/>
      <c r="H312" s="10"/>
      <c r="I312" s="55"/>
      <c r="J312" s="55"/>
      <c r="K312" s="55"/>
      <c r="L312" s="55"/>
      <c r="M312" s="55"/>
      <c r="N312" s="10"/>
      <c r="O312" s="96"/>
      <c r="Q312" s="96"/>
      <c r="T312" s="96"/>
    </row>
    <row r="313" spans="1:20" s="101" customFormat="1" x14ac:dyDescent="0.15">
      <c r="A313" s="11"/>
      <c r="B313" s="10"/>
      <c r="C313" s="102"/>
      <c r="D313" s="10"/>
      <c r="E313" s="10"/>
      <c r="F313" s="102"/>
      <c r="G313" s="10"/>
      <c r="H313" s="10"/>
      <c r="I313" s="55"/>
      <c r="J313" s="55"/>
      <c r="K313" s="55"/>
      <c r="L313" s="55"/>
      <c r="M313" s="55"/>
      <c r="N313" s="10"/>
      <c r="O313" s="96"/>
      <c r="Q313" s="96"/>
      <c r="T313" s="96"/>
    </row>
    <row r="314" spans="1:20" s="101" customFormat="1" x14ac:dyDescent="0.15">
      <c r="A314" s="11"/>
      <c r="B314" s="10"/>
      <c r="C314" s="102"/>
      <c r="D314" s="10"/>
      <c r="E314" s="10"/>
      <c r="F314" s="102"/>
      <c r="G314" s="10"/>
      <c r="H314" s="10"/>
      <c r="I314" s="55"/>
      <c r="J314" s="55"/>
      <c r="K314" s="55"/>
      <c r="L314" s="55"/>
      <c r="M314" s="55"/>
      <c r="N314" s="10"/>
      <c r="O314" s="96"/>
      <c r="Q314" s="96"/>
      <c r="T314" s="96"/>
    </row>
    <row r="315" spans="1:20" s="101" customFormat="1" x14ac:dyDescent="0.15">
      <c r="A315" s="11"/>
      <c r="B315" s="10"/>
      <c r="C315" s="102"/>
      <c r="D315" s="10"/>
      <c r="E315" s="10"/>
      <c r="F315" s="102"/>
      <c r="G315" s="10"/>
      <c r="H315" s="10"/>
      <c r="I315" s="55"/>
      <c r="J315" s="55"/>
      <c r="K315" s="55"/>
      <c r="L315" s="55"/>
      <c r="M315" s="55"/>
      <c r="N315" s="10"/>
      <c r="O315" s="96"/>
      <c r="Q315" s="96"/>
      <c r="T315" s="96"/>
    </row>
    <row r="316" spans="1:20" s="101" customFormat="1" x14ac:dyDescent="0.15">
      <c r="A316" s="11"/>
      <c r="B316" s="10"/>
      <c r="C316" s="102"/>
      <c r="D316" s="10"/>
      <c r="E316" s="10"/>
      <c r="F316" s="102"/>
      <c r="G316" s="10"/>
      <c r="H316" s="10"/>
      <c r="I316" s="55"/>
      <c r="J316" s="55"/>
      <c r="K316" s="55"/>
      <c r="L316" s="55"/>
      <c r="M316" s="55"/>
      <c r="N316" s="10"/>
      <c r="O316" s="96"/>
      <c r="Q316" s="96"/>
      <c r="T316" s="96"/>
    </row>
    <row r="317" spans="1:20" s="101" customFormat="1" x14ac:dyDescent="0.15">
      <c r="A317" s="11"/>
      <c r="B317" s="10"/>
      <c r="C317" s="102"/>
      <c r="D317" s="10"/>
      <c r="E317" s="10"/>
      <c r="F317" s="102"/>
      <c r="G317" s="10"/>
      <c r="H317" s="10"/>
      <c r="I317" s="55"/>
      <c r="J317" s="55"/>
      <c r="K317" s="55"/>
      <c r="L317" s="55"/>
      <c r="M317" s="55"/>
      <c r="N317" s="10"/>
      <c r="O317" s="96"/>
      <c r="Q317" s="96"/>
      <c r="T317" s="96"/>
    </row>
    <row r="318" spans="1:20" s="101" customFormat="1" x14ac:dyDescent="0.15">
      <c r="A318" s="11"/>
      <c r="B318" s="10"/>
      <c r="C318" s="102"/>
      <c r="D318" s="10"/>
      <c r="E318" s="10"/>
      <c r="F318" s="102"/>
      <c r="G318" s="10"/>
      <c r="H318" s="10"/>
      <c r="I318" s="55"/>
      <c r="J318" s="55"/>
      <c r="K318" s="55"/>
      <c r="L318" s="55"/>
      <c r="M318" s="55"/>
      <c r="N318" s="10"/>
      <c r="O318" s="96"/>
      <c r="Q318" s="96"/>
      <c r="T318" s="96"/>
    </row>
    <row r="319" spans="1:20" s="101" customFormat="1" x14ac:dyDescent="0.15">
      <c r="A319" s="11"/>
      <c r="B319" s="10"/>
      <c r="C319" s="102"/>
      <c r="D319" s="10"/>
      <c r="E319" s="10"/>
      <c r="F319" s="102"/>
      <c r="G319" s="10"/>
      <c r="H319" s="10"/>
      <c r="I319" s="55"/>
      <c r="J319" s="55"/>
      <c r="K319" s="55"/>
      <c r="L319" s="55"/>
      <c r="M319" s="55"/>
      <c r="N319" s="10"/>
      <c r="O319" s="96"/>
      <c r="Q319" s="96"/>
      <c r="T319" s="96"/>
    </row>
    <row r="320" spans="1:20" s="101" customFormat="1" x14ac:dyDescent="0.15">
      <c r="A320" s="11"/>
      <c r="B320" s="10"/>
      <c r="C320" s="102"/>
      <c r="D320" s="10"/>
      <c r="E320" s="10"/>
      <c r="F320" s="102"/>
      <c r="G320" s="10"/>
      <c r="H320" s="10"/>
      <c r="I320" s="55"/>
      <c r="J320" s="55"/>
      <c r="K320" s="55"/>
      <c r="L320" s="55"/>
      <c r="M320" s="55"/>
      <c r="N320" s="10"/>
      <c r="O320" s="96"/>
      <c r="Q320" s="96"/>
      <c r="T320" s="96"/>
    </row>
    <row r="321" spans="1:20" s="101" customFormat="1" x14ac:dyDescent="0.15">
      <c r="A321" s="11"/>
      <c r="B321" s="10"/>
      <c r="C321" s="102"/>
      <c r="D321" s="10"/>
      <c r="E321" s="10"/>
      <c r="F321" s="102"/>
      <c r="G321" s="10"/>
      <c r="H321" s="10"/>
      <c r="I321" s="55"/>
      <c r="J321" s="55"/>
      <c r="K321" s="55"/>
      <c r="L321" s="55"/>
      <c r="M321" s="55"/>
      <c r="N321" s="10"/>
      <c r="O321" s="96"/>
      <c r="Q321" s="96"/>
      <c r="T321" s="96"/>
    </row>
    <row r="322" spans="1:20" s="101" customFormat="1" x14ac:dyDescent="0.15">
      <c r="A322" s="11"/>
      <c r="B322" s="10"/>
      <c r="C322" s="102"/>
      <c r="D322" s="10"/>
      <c r="E322" s="10"/>
      <c r="F322" s="102"/>
      <c r="G322" s="10"/>
      <c r="H322" s="10"/>
      <c r="I322" s="55"/>
      <c r="J322" s="55"/>
      <c r="K322" s="55"/>
      <c r="L322" s="55"/>
      <c r="M322" s="55"/>
      <c r="N322" s="10"/>
      <c r="O322" s="96"/>
      <c r="Q322" s="96"/>
      <c r="T322" s="96"/>
    </row>
    <row r="323" spans="1:20" s="101" customFormat="1" x14ac:dyDescent="0.15">
      <c r="A323" s="11"/>
      <c r="B323" s="10"/>
      <c r="C323" s="102"/>
      <c r="D323" s="10"/>
      <c r="E323" s="10"/>
      <c r="F323" s="102"/>
      <c r="G323" s="10"/>
      <c r="H323" s="10"/>
      <c r="I323" s="55"/>
      <c r="J323" s="55"/>
      <c r="K323" s="55"/>
      <c r="L323" s="55"/>
      <c r="M323" s="55"/>
      <c r="N323" s="10"/>
      <c r="O323" s="96"/>
      <c r="Q323" s="96"/>
      <c r="T323" s="96"/>
    </row>
    <row r="324" spans="1:20" s="101" customFormat="1" x14ac:dyDescent="0.15">
      <c r="A324" s="11"/>
      <c r="B324" s="10"/>
      <c r="C324" s="102"/>
      <c r="D324" s="10"/>
      <c r="E324" s="10"/>
      <c r="F324" s="102"/>
      <c r="G324" s="10"/>
      <c r="H324" s="10"/>
      <c r="I324" s="55"/>
      <c r="J324" s="55"/>
      <c r="K324" s="55"/>
      <c r="L324" s="55"/>
      <c r="M324" s="55"/>
      <c r="N324" s="10"/>
      <c r="O324" s="96"/>
      <c r="Q324" s="96"/>
      <c r="T324" s="96"/>
    </row>
    <row r="325" spans="1:20" s="101" customFormat="1" x14ac:dyDescent="0.15">
      <c r="A325" s="11"/>
      <c r="B325" s="10"/>
      <c r="C325" s="102"/>
      <c r="D325" s="10"/>
      <c r="E325" s="10"/>
      <c r="F325" s="102"/>
      <c r="G325" s="10"/>
      <c r="H325" s="10"/>
      <c r="I325" s="55"/>
      <c r="J325" s="55"/>
      <c r="K325" s="55"/>
      <c r="L325" s="55"/>
      <c r="M325" s="55"/>
      <c r="N325" s="10"/>
      <c r="O325" s="96"/>
      <c r="Q325" s="96"/>
      <c r="T325" s="96"/>
    </row>
    <row r="326" spans="1:20" s="101" customFormat="1" x14ac:dyDescent="0.15">
      <c r="A326" s="11"/>
      <c r="B326" s="10"/>
      <c r="C326" s="102"/>
      <c r="D326" s="10"/>
      <c r="E326" s="10"/>
      <c r="F326" s="102"/>
      <c r="G326" s="10"/>
      <c r="H326" s="10"/>
      <c r="I326" s="55"/>
      <c r="J326" s="55"/>
      <c r="K326" s="55"/>
      <c r="L326" s="55"/>
      <c r="M326" s="55"/>
      <c r="N326" s="10"/>
      <c r="O326" s="96"/>
      <c r="Q326" s="96"/>
      <c r="T326" s="96"/>
    </row>
    <row r="327" spans="1:20" s="101" customFormat="1" x14ac:dyDescent="0.15">
      <c r="A327" s="11"/>
      <c r="B327" s="10"/>
      <c r="C327" s="102"/>
      <c r="D327" s="10"/>
      <c r="E327" s="10"/>
      <c r="F327" s="102"/>
      <c r="G327" s="10"/>
      <c r="H327" s="10"/>
      <c r="I327" s="55"/>
      <c r="J327" s="55"/>
      <c r="K327" s="55"/>
      <c r="L327" s="55"/>
      <c r="M327" s="55"/>
      <c r="N327" s="10"/>
      <c r="O327" s="96"/>
      <c r="Q327" s="96"/>
      <c r="T327" s="96"/>
    </row>
    <row r="328" spans="1:20" s="101" customFormat="1" x14ac:dyDescent="0.15">
      <c r="A328" s="11"/>
      <c r="B328" s="10"/>
      <c r="C328" s="102"/>
      <c r="D328" s="10"/>
      <c r="E328" s="10"/>
      <c r="F328" s="102"/>
      <c r="G328" s="10"/>
      <c r="H328" s="10"/>
      <c r="I328" s="55"/>
      <c r="J328" s="55"/>
      <c r="K328" s="55"/>
      <c r="L328" s="55"/>
      <c r="M328" s="55"/>
      <c r="N328" s="10"/>
      <c r="O328" s="96"/>
      <c r="Q328" s="96"/>
      <c r="T328" s="96"/>
    </row>
    <row r="329" spans="1:20" s="101" customFormat="1" x14ac:dyDescent="0.15">
      <c r="A329" s="11"/>
      <c r="B329" s="10"/>
      <c r="C329" s="102"/>
      <c r="D329" s="10"/>
      <c r="E329" s="10"/>
      <c r="F329" s="102"/>
      <c r="G329" s="10"/>
      <c r="H329" s="10"/>
      <c r="I329" s="55"/>
      <c r="J329" s="55"/>
      <c r="K329" s="55"/>
      <c r="L329" s="55"/>
      <c r="M329" s="55"/>
      <c r="N329" s="10"/>
      <c r="O329" s="96"/>
      <c r="Q329" s="96"/>
      <c r="T329" s="96"/>
    </row>
    <row r="330" spans="1:20" s="101" customFormat="1" x14ac:dyDescent="0.15">
      <c r="A330" s="11"/>
      <c r="B330" s="10"/>
      <c r="C330" s="102"/>
      <c r="D330" s="10"/>
      <c r="E330" s="10"/>
      <c r="F330" s="102"/>
      <c r="G330" s="10"/>
      <c r="H330" s="10"/>
      <c r="I330" s="55"/>
      <c r="J330" s="55"/>
      <c r="K330" s="55"/>
      <c r="L330" s="55"/>
      <c r="M330" s="55"/>
      <c r="N330" s="10"/>
      <c r="O330" s="96"/>
      <c r="Q330" s="96"/>
      <c r="T330" s="96"/>
    </row>
    <row r="331" spans="1:20" s="101" customFormat="1" x14ac:dyDescent="0.15">
      <c r="A331" s="11"/>
      <c r="B331" s="10"/>
      <c r="C331" s="102"/>
      <c r="D331" s="10"/>
      <c r="E331" s="10"/>
      <c r="F331" s="102"/>
      <c r="G331" s="10"/>
      <c r="H331" s="10"/>
      <c r="I331" s="55"/>
      <c r="J331" s="55"/>
      <c r="K331" s="55"/>
      <c r="L331" s="55"/>
      <c r="M331" s="55"/>
      <c r="N331" s="10"/>
      <c r="O331" s="96"/>
      <c r="Q331" s="96"/>
      <c r="T331" s="96"/>
    </row>
    <row r="332" spans="1:20" s="101" customFormat="1" x14ac:dyDescent="0.15">
      <c r="A332" s="11"/>
      <c r="B332" s="10"/>
      <c r="C332" s="102"/>
      <c r="D332" s="10"/>
      <c r="E332" s="10"/>
      <c r="F332" s="102"/>
      <c r="G332" s="10"/>
      <c r="H332" s="10"/>
      <c r="I332" s="55"/>
      <c r="J332" s="55"/>
      <c r="K332" s="55"/>
      <c r="L332" s="55"/>
      <c r="M332" s="55"/>
      <c r="N332" s="10"/>
      <c r="O332" s="96"/>
      <c r="Q332" s="96"/>
      <c r="T332" s="96"/>
    </row>
    <row r="333" spans="1:20" s="101" customFormat="1" x14ac:dyDescent="0.15">
      <c r="A333" s="11"/>
      <c r="B333" s="10"/>
      <c r="C333" s="102"/>
      <c r="D333" s="10"/>
      <c r="E333" s="10"/>
      <c r="F333" s="102"/>
      <c r="G333" s="10"/>
      <c r="H333" s="10"/>
      <c r="I333" s="55"/>
      <c r="J333" s="55"/>
      <c r="K333" s="55"/>
      <c r="L333" s="55"/>
      <c r="M333" s="55"/>
      <c r="N333" s="10"/>
      <c r="O333" s="96"/>
      <c r="Q333" s="96"/>
      <c r="T333" s="96"/>
    </row>
    <row r="334" spans="1:20" s="101" customFormat="1" x14ac:dyDescent="0.15">
      <c r="A334" s="11"/>
      <c r="B334" s="10"/>
      <c r="C334" s="102"/>
      <c r="D334" s="10"/>
      <c r="E334" s="10"/>
      <c r="F334" s="102"/>
      <c r="G334" s="10"/>
      <c r="H334" s="10"/>
      <c r="I334" s="55"/>
      <c r="J334" s="55"/>
      <c r="K334" s="55"/>
      <c r="L334" s="55"/>
      <c r="M334" s="55"/>
      <c r="N334" s="10"/>
      <c r="O334" s="96"/>
      <c r="Q334" s="96"/>
      <c r="T334" s="96"/>
    </row>
    <row r="335" spans="1:20" s="101" customFormat="1" x14ac:dyDescent="0.15">
      <c r="A335" s="11"/>
      <c r="B335" s="10"/>
      <c r="C335" s="102"/>
      <c r="D335" s="10"/>
      <c r="E335" s="10"/>
      <c r="F335" s="102"/>
      <c r="G335" s="10"/>
      <c r="H335" s="10"/>
      <c r="I335" s="55"/>
      <c r="J335" s="55"/>
      <c r="K335" s="55"/>
      <c r="L335" s="55"/>
      <c r="M335" s="55"/>
      <c r="N335" s="10"/>
      <c r="O335" s="96"/>
      <c r="Q335" s="96"/>
      <c r="T335" s="96"/>
    </row>
    <row r="336" spans="1:20" s="101" customFormat="1" x14ac:dyDescent="0.15">
      <c r="A336" s="11"/>
      <c r="B336" s="10"/>
      <c r="C336" s="102"/>
      <c r="D336" s="10"/>
      <c r="E336" s="10"/>
      <c r="F336" s="102"/>
      <c r="G336" s="10"/>
      <c r="H336" s="10"/>
      <c r="I336" s="55"/>
      <c r="J336" s="55"/>
      <c r="K336" s="55"/>
      <c r="L336" s="55"/>
      <c r="M336" s="55"/>
      <c r="N336" s="10"/>
      <c r="O336" s="96"/>
      <c r="Q336" s="96"/>
      <c r="T336" s="96"/>
    </row>
    <row r="337" spans="1:20" s="101" customFormat="1" x14ac:dyDescent="0.15">
      <c r="A337" s="11"/>
      <c r="B337" s="10"/>
      <c r="C337" s="102"/>
      <c r="D337" s="10"/>
      <c r="E337" s="10"/>
      <c r="F337" s="102"/>
      <c r="G337" s="10"/>
      <c r="H337" s="10"/>
      <c r="I337" s="55"/>
      <c r="J337" s="55"/>
      <c r="K337" s="55"/>
      <c r="L337" s="55"/>
      <c r="M337" s="55"/>
      <c r="N337" s="10"/>
      <c r="O337" s="96"/>
      <c r="Q337" s="96"/>
      <c r="T337" s="96"/>
    </row>
    <row r="338" spans="1:20" s="101" customFormat="1" x14ac:dyDescent="0.15">
      <c r="A338" s="11"/>
      <c r="B338" s="10"/>
      <c r="C338" s="102"/>
      <c r="D338" s="10"/>
      <c r="E338" s="10"/>
      <c r="F338" s="102"/>
      <c r="G338" s="10"/>
      <c r="H338" s="10"/>
      <c r="I338" s="55"/>
      <c r="J338" s="55"/>
      <c r="K338" s="55"/>
      <c r="L338" s="55"/>
      <c r="M338" s="55"/>
      <c r="N338" s="10"/>
      <c r="O338" s="96"/>
      <c r="Q338" s="96"/>
      <c r="T338" s="96"/>
    </row>
    <row r="339" spans="1:20" s="101" customFormat="1" x14ac:dyDescent="0.15">
      <c r="A339" s="11"/>
      <c r="B339" s="10"/>
      <c r="C339" s="102"/>
      <c r="D339" s="10"/>
      <c r="E339" s="10"/>
      <c r="F339" s="102"/>
      <c r="G339" s="10"/>
      <c r="H339" s="10"/>
      <c r="I339" s="55"/>
      <c r="J339" s="55"/>
      <c r="K339" s="55"/>
      <c r="L339" s="55"/>
      <c r="M339" s="55"/>
      <c r="N339" s="10"/>
      <c r="O339" s="96"/>
      <c r="Q339" s="96"/>
      <c r="T339" s="96"/>
    </row>
    <row r="340" spans="1:20" s="101" customFormat="1" x14ac:dyDescent="0.15">
      <c r="A340" s="11"/>
      <c r="B340" s="10"/>
      <c r="C340" s="102"/>
      <c r="D340" s="10"/>
      <c r="E340" s="10"/>
      <c r="F340" s="102"/>
      <c r="G340" s="10"/>
      <c r="H340" s="10"/>
      <c r="I340" s="55"/>
      <c r="J340" s="55"/>
      <c r="K340" s="55"/>
      <c r="L340" s="55"/>
      <c r="M340" s="55"/>
      <c r="N340" s="10"/>
      <c r="O340" s="96"/>
      <c r="Q340" s="96"/>
      <c r="T340" s="96"/>
    </row>
    <row r="341" spans="1:20" s="101" customFormat="1" x14ac:dyDescent="0.15">
      <c r="A341" s="11"/>
      <c r="B341" s="10"/>
      <c r="C341" s="102"/>
      <c r="D341" s="10"/>
      <c r="E341" s="10"/>
      <c r="F341" s="102"/>
      <c r="G341" s="10"/>
      <c r="H341" s="10"/>
      <c r="I341" s="55"/>
      <c r="J341" s="55"/>
      <c r="K341" s="55"/>
      <c r="L341" s="55"/>
      <c r="M341" s="55"/>
      <c r="N341" s="10"/>
      <c r="O341" s="96"/>
      <c r="Q341" s="96"/>
      <c r="T341" s="96"/>
    </row>
    <row r="342" spans="1:20" s="101" customFormat="1" x14ac:dyDescent="0.15">
      <c r="A342" s="11"/>
      <c r="B342" s="10"/>
      <c r="C342" s="102"/>
      <c r="D342" s="10"/>
      <c r="E342" s="10"/>
      <c r="F342" s="102"/>
      <c r="G342" s="10"/>
      <c r="H342" s="10"/>
      <c r="I342" s="55"/>
      <c r="J342" s="55"/>
      <c r="K342" s="55"/>
      <c r="L342" s="55"/>
      <c r="M342" s="55"/>
      <c r="N342" s="10"/>
      <c r="O342" s="96"/>
      <c r="Q342" s="96"/>
      <c r="T342" s="96"/>
    </row>
    <row r="343" spans="1:20" s="101" customFormat="1" x14ac:dyDescent="0.15">
      <c r="A343" s="11"/>
      <c r="B343" s="10"/>
      <c r="C343" s="102"/>
      <c r="D343" s="10"/>
      <c r="E343" s="10"/>
      <c r="F343" s="102"/>
      <c r="G343" s="10"/>
      <c r="H343" s="10"/>
      <c r="I343" s="55"/>
      <c r="J343" s="55"/>
      <c r="K343" s="55"/>
      <c r="L343" s="55"/>
      <c r="M343" s="55"/>
      <c r="N343" s="10"/>
      <c r="O343" s="96"/>
      <c r="Q343" s="96"/>
      <c r="T343" s="96"/>
    </row>
    <row r="344" spans="1:20" s="101" customFormat="1" x14ac:dyDescent="0.15">
      <c r="A344" s="11"/>
      <c r="B344" s="10"/>
      <c r="C344" s="102"/>
      <c r="D344" s="10"/>
      <c r="E344" s="10"/>
      <c r="F344" s="102"/>
      <c r="G344" s="10"/>
      <c r="H344" s="10"/>
      <c r="I344" s="55"/>
      <c r="J344" s="55"/>
      <c r="K344" s="55"/>
      <c r="L344" s="55"/>
      <c r="M344" s="55"/>
      <c r="N344" s="10"/>
      <c r="O344" s="96"/>
      <c r="Q344" s="96"/>
      <c r="T344" s="96"/>
    </row>
    <row r="345" spans="1:20" s="101" customFormat="1" x14ac:dyDescent="0.15">
      <c r="A345" s="11"/>
      <c r="B345" s="10"/>
      <c r="C345" s="102"/>
      <c r="D345" s="10"/>
      <c r="E345" s="10"/>
      <c r="F345" s="102"/>
      <c r="G345" s="10"/>
      <c r="H345" s="10"/>
      <c r="I345" s="55"/>
      <c r="J345" s="55"/>
      <c r="K345" s="55"/>
      <c r="L345" s="55"/>
      <c r="M345" s="55"/>
      <c r="N345" s="10"/>
      <c r="O345" s="96"/>
      <c r="Q345" s="96"/>
      <c r="T345" s="96"/>
    </row>
    <row r="346" spans="1:20" s="101" customFormat="1" x14ac:dyDescent="0.15">
      <c r="A346" s="11"/>
      <c r="B346" s="10"/>
      <c r="C346" s="102"/>
      <c r="D346" s="10"/>
      <c r="E346" s="10"/>
      <c r="F346" s="102"/>
      <c r="G346" s="10"/>
      <c r="H346" s="10"/>
      <c r="I346" s="55"/>
      <c r="J346" s="55"/>
      <c r="K346" s="55"/>
      <c r="L346" s="55"/>
      <c r="M346" s="55"/>
      <c r="N346" s="10"/>
      <c r="O346" s="96"/>
      <c r="Q346" s="96"/>
      <c r="T346" s="96"/>
    </row>
    <row r="347" spans="1:20" s="101" customFormat="1" x14ac:dyDescent="0.15">
      <c r="A347" s="11"/>
      <c r="B347" s="10"/>
      <c r="C347" s="102"/>
      <c r="D347" s="10"/>
      <c r="E347" s="10"/>
      <c r="F347" s="102"/>
      <c r="G347" s="10"/>
      <c r="H347" s="10"/>
      <c r="I347" s="55"/>
      <c r="J347" s="55"/>
      <c r="K347" s="55"/>
      <c r="L347" s="55"/>
      <c r="M347" s="55"/>
      <c r="N347" s="10"/>
      <c r="O347" s="96"/>
      <c r="Q347" s="96"/>
      <c r="T347" s="96"/>
    </row>
    <row r="348" spans="1:20" s="101" customFormat="1" x14ac:dyDescent="0.15">
      <c r="A348" s="11"/>
      <c r="B348" s="10"/>
      <c r="C348" s="102"/>
      <c r="D348" s="10"/>
      <c r="E348" s="10"/>
      <c r="F348" s="102"/>
      <c r="G348" s="10"/>
      <c r="H348" s="10"/>
      <c r="I348" s="55"/>
      <c r="J348" s="55"/>
      <c r="K348" s="55"/>
      <c r="L348" s="55"/>
      <c r="M348" s="55"/>
      <c r="N348" s="10"/>
      <c r="O348" s="96"/>
      <c r="Q348" s="96"/>
      <c r="T348" s="96"/>
    </row>
    <row r="349" spans="1:20" s="101" customFormat="1" x14ac:dyDescent="0.15">
      <c r="A349" s="11"/>
      <c r="B349" s="10"/>
      <c r="C349" s="102"/>
      <c r="D349" s="10"/>
      <c r="E349" s="10"/>
      <c r="F349" s="102"/>
      <c r="G349" s="10"/>
      <c r="H349" s="10"/>
      <c r="I349" s="55"/>
      <c r="J349" s="55"/>
      <c r="K349" s="55"/>
      <c r="L349" s="55"/>
      <c r="M349" s="55"/>
      <c r="N349" s="10"/>
      <c r="O349" s="96"/>
      <c r="Q349" s="96"/>
      <c r="T349" s="96"/>
    </row>
    <row r="350" spans="1:20" s="101" customFormat="1" x14ac:dyDescent="0.15">
      <c r="A350" s="11"/>
      <c r="B350" s="10"/>
      <c r="C350" s="102"/>
      <c r="D350" s="10"/>
      <c r="E350" s="10"/>
      <c r="F350" s="102"/>
      <c r="G350" s="10"/>
      <c r="H350" s="10"/>
      <c r="I350" s="55"/>
      <c r="J350" s="55"/>
      <c r="K350" s="55"/>
      <c r="L350" s="55"/>
      <c r="M350" s="55"/>
      <c r="N350" s="10"/>
      <c r="O350" s="96"/>
      <c r="Q350" s="96"/>
      <c r="T350" s="96"/>
    </row>
    <row r="351" spans="1:20" s="101" customFormat="1" x14ac:dyDescent="0.15">
      <c r="A351" s="11"/>
      <c r="B351" s="10"/>
      <c r="C351" s="102"/>
      <c r="D351" s="10"/>
      <c r="E351" s="10"/>
      <c r="F351" s="102"/>
      <c r="G351" s="10"/>
      <c r="H351" s="10"/>
      <c r="I351" s="55"/>
      <c r="J351" s="55"/>
      <c r="K351" s="55"/>
      <c r="L351" s="55"/>
      <c r="M351" s="55"/>
      <c r="N351" s="10"/>
      <c r="O351" s="96"/>
      <c r="Q351" s="96"/>
      <c r="T351" s="96"/>
    </row>
    <row r="352" spans="1:20" s="101" customFormat="1" x14ac:dyDescent="0.15">
      <c r="A352" s="11"/>
      <c r="B352" s="10"/>
      <c r="C352" s="102"/>
      <c r="D352" s="10"/>
      <c r="E352" s="10"/>
      <c r="F352" s="102"/>
      <c r="G352" s="10"/>
      <c r="H352" s="10"/>
      <c r="I352" s="55"/>
      <c r="J352" s="55"/>
      <c r="K352" s="55"/>
      <c r="L352" s="55"/>
      <c r="M352" s="55"/>
      <c r="N352" s="10"/>
      <c r="O352" s="96"/>
      <c r="Q352" s="96"/>
      <c r="T352" s="96"/>
    </row>
    <row r="353" spans="1:20" s="101" customFormat="1" x14ac:dyDescent="0.15">
      <c r="A353" s="11"/>
      <c r="B353" s="10"/>
      <c r="C353" s="102"/>
      <c r="D353" s="10"/>
      <c r="E353" s="10"/>
      <c r="F353" s="102"/>
      <c r="G353" s="10"/>
      <c r="H353" s="10"/>
      <c r="I353" s="55"/>
      <c r="J353" s="55"/>
      <c r="K353" s="55"/>
      <c r="L353" s="55"/>
      <c r="M353" s="55"/>
      <c r="N353" s="10"/>
      <c r="O353" s="96"/>
      <c r="Q353" s="96"/>
      <c r="T353" s="96"/>
    </row>
    <row r="354" spans="1:20" s="101" customFormat="1" x14ac:dyDescent="0.15">
      <c r="A354" s="11"/>
      <c r="B354" s="10"/>
      <c r="C354" s="102"/>
      <c r="D354" s="10"/>
      <c r="E354" s="10"/>
      <c r="F354" s="102"/>
      <c r="G354" s="10"/>
      <c r="H354" s="10"/>
      <c r="I354" s="55"/>
      <c r="J354" s="55"/>
      <c r="K354" s="55"/>
      <c r="L354" s="55"/>
      <c r="M354" s="55"/>
      <c r="N354" s="10"/>
      <c r="O354" s="96"/>
      <c r="Q354" s="96"/>
      <c r="T354" s="96"/>
    </row>
    <row r="355" spans="1:20" s="101" customFormat="1" x14ac:dyDescent="0.15">
      <c r="A355" s="11"/>
      <c r="B355" s="10"/>
      <c r="C355" s="102"/>
      <c r="D355" s="10"/>
      <c r="E355" s="10"/>
      <c r="F355" s="102"/>
      <c r="G355" s="10"/>
      <c r="H355" s="10"/>
      <c r="I355" s="55"/>
      <c r="J355" s="55"/>
      <c r="K355" s="55"/>
      <c r="L355" s="55"/>
      <c r="M355" s="55"/>
      <c r="N355" s="10"/>
      <c r="O355" s="96"/>
      <c r="Q355" s="96"/>
      <c r="T355" s="96"/>
    </row>
    <row r="356" spans="1:20" s="101" customFormat="1" x14ac:dyDescent="0.15">
      <c r="A356" s="11"/>
      <c r="B356" s="10"/>
      <c r="C356" s="102"/>
      <c r="D356" s="10"/>
      <c r="E356" s="10"/>
      <c r="F356" s="102"/>
      <c r="G356" s="10"/>
      <c r="H356" s="10"/>
      <c r="I356" s="55"/>
      <c r="J356" s="55"/>
      <c r="K356" s="55"/>
      <c r="L356" s="55"/>
      <c r="M356" s="55"/>
      <c r="N356" s="10"/>
      <c r="O356" s="96"/>
      <c r="Q356" s="96"/>
      <c r="T356" s="96"/>
    </row>
    <row r="357" spans="1:20" s="101" customFormat="1" x14ac:dyDescent="0.15">
      <c r="A357" s="11"/>
      <c r="B357" s="10"/>
      <c r="C357" s="102"/>
      <c r="D357" s="10"/>
      <c r="E357" s="10"/>
      <c r="F357" s="102"/>
      <c r="G357" s="10"/>
      <c r="H357" s="10"/>
      <c r="I357" s="55"/>
      <c r="J357" s="55"/>
      <c r="K357" s="55"/>
      <c r="L357" s="55"/>
      <c r="M357" s="55"/>
      <c r="N357" s="10"/>
      <c r="O357" s="96"/>
      <c r="Q357" s="96"/>
      <c r="T357" s="96"/>
    </row>
    <row r="358" spans="1:20" s="101" customFormat="1" x14ac:dyDescent="0.15">
      <c r="A358" s="11"/>
      <c r="B358" s="10"/>
      <c r="C358" s="102"/>
      <c r="D358" s="10"/>
      <c r="E358" s="10"/>
      <c r="F358" s="102"/>
      <c r="G358" s="10"/>
      <c r="H358" s="10"/>
      <c r="I358" s="55"/>
      <c r="J358" s="55"/>
      <c r="K358" s="55"/>
      <c r="L358" s="55"/>
      <c r="M358" s="55"/>
      <c r="N358" s="10"/>
      <c r="O358" s="96"/>
      <c r="Q358" s="96"/>
      <c r="T358" s="96"/>
    </row>
    <row r="359" spans="1:20" s="101" customFormat="1" x14ac:dyDescent="0.15">
      <c r="A359" s="11"/>
      <c r="B359" s="10"/>
      <c r="C359" s="102"/>
      <c r="D359" s="10"/>
      <c r="E359" s="10"/>
      <c r="F359" s="102"/>
      <c r="G359" s="10"/>
      <c r="H359" s="10"/>
      <c r="I359" s="55"/>
      <c r="J359" s="55"/>
      <c r="K359" s="55"/>
      <c r="L359" s="55"/>
      <c r="M359" s="55"/>
      <c r="N359" s="10"/>
      <c r="O359" s="96"/>
      <c r="Q359" s="96"/>
      <c r="T359" s="96"/>
    </row>
    <row r="360" spans="1:20" s="101" customFormat="1" x14ac:dyDescent="0.15">
      <c r="A360" s="11"/>
      <c r="B360" s="10"/>
      <c r="C360" s="102"/>
      <c r="D360" s="10"/>
      <c r="E360" s="10"/>
      <c r="F360" s="102"/>
      <c r="G360" s="10"/>
      <c r="H360" s="10"/>
      <c r="I360" s="55"/>
      <c r="J360" s="55"/>
      <c r="K360" s="55"/>
      <c r="L360" s="55"/>
      <c r="M360" s="55"/>
      <c r="N360" s="10"/>
      <c r="O360" s="96"/>
      <c r="Q360" s="96"/>
      <c r="T360" s="96"/>
    </row>
    <row r="361" spans="1:20" s="101" customFormat="1" x14ac:dyDescent="0.15">
      <c r="A361" s="11"/>
      <c r="B361" s="10"/>
      <c r="C361" s="102"/>
      <c r="D361" s="10"/>
      <c r="E361" s="10"/>
      <c r="F361" s="102"/>
      <c r="G361" s="10"/>
      <c r="H361" s="10"/>
      <c r="I361" s="55"/>
      <c r="J361" s="55"/>
      <c r="K361" s="55"/>
      <c r="L361" s="55"/>
      <c r="M361" s="55"/>
      <c r="N361" s="10"/>
      <c r="O361" s="96"/>
      <c r="Q361" s="96"/>
      <c r="T361" s="96"/>
    </row>
    <row r="362" spans="1:20" s="101" customFormat="1" x14ac:dyDescent="0.15">
      <c r="A362" s="11"/>
      <c r="B362" s="10"/>
      <c r="C362" s="102"/>
      <c r="D362" s="10"/>
      <c r="E362" s="10"/>
      <c r="F362" s="102"/>
      <c r="G362" s="10"/>
      <c r="H362" s="10"/>
      <c r="I362" s="55"/>
      <c r="J362" s="55"/>
      <c r="K362" s="55"/>
      <c r="L362" s="55"/>
      <c r="M362" s="55"/>
      <c r="N362" s="10"/>
      <c r="O362" s="96"/>
      <c r="Q362" s="96"/>
      <c r="T362" s="96"/>
    </row>
    <row r="363" spans="1:20" s="101" customFormat="1" x14ac:dyDescent="0.15">
      <c r="A363" s="11"/>
      <c r="B363" s="10"/>
      <c r="C363" s="102"/>
      <c r="D363" s="10"/>
      <c r="E363" s="10"/>
      <c r="F363" s="102"/>
      <c r="G363" s="10"/>
      <c r="H363" s="10"/>
      <c r="I363" s="55"/>
      <c r="J363" s="55"/>
      <c r="K363" s="55"/>
      <c r="L363" s="55"/>
      <c r="M363" s="55"/>
      <c r="N363" s="10"/>
      <c r="O363" s="96"/>
      <c r="Q363" s="96"/>
      <c r="T363" s="96"/>
    </row>
    <row r="364" spans="1:20" s="101" customFormat="1" x14ac:dyDescent="0.15">
      <c r="A364" s="11"/>
      <c r="B364" s="10"/>
      <c r="C364" s="102"/>
      <c r="D364" s="10"/>
      <c r="E364" s="10"/>
      <c r="F364" s="102"/>
      <c r="G364" s="10"/>
      <c r="H364" s="10"/>
      <c r="I364" s="55"/>
      <c r="J364" s="55"/>
      <c r="K364" s="55"/>
      <c r="L364" s="55"/>
      <c r="M364" s="55"/>
      <c r="N364" s="10"/>
      <c r="O364" s="96"/>
      <c r="Q364" s="96"/>
      <c r="T364" s="96"/>
    </row>
    <row r="365" spans="1:20" s="101" customFormat="1" x14ac:dyDescent="0.15">
      <c r="A365" s="11"/>
      <c r="B365" s="10"/>
      <c r="C365" s="102"/>
      <c r="D365" s="10"/>
      <c r="E365" s="10"/>
      <c r="F365" s="102"/>
      <c r="G365" s="10"/>
      <c r="H365" s="10"/>
      <c r="I365" s="55"/>
      <c r="J365" s="55"/>
      <c r="K365" s="55"/>
      <c r="L365" s="55"/>
      <c r="M365" s="55"/>
      <c r="N365" s="10"/>
      <c r="O365" s="96"/>
      <c r="Q365" s="96"/>
      <c r="T365" s="96"/>
    </row>
    <row r="366" spans="1:20" s="101" customFormat="1" x14ac:dyDescent="0.15">
      <c r="A366" s="11"/>
      <c r="B366" s="10"/>
      <c r="C366" s="102"/>
      <c r="D366" s="10"/>
      <c r="E366" s="10"/>
      <c r="F366" s="102"/>
      <c r="G366" s="10"/>
      <c r="H366" s="10"/>
      <c r="I366" s="55"/>
      <c r="J366" s="55"/>
      <c r="K366" s="55"/>
      <c r="L366" s="55"/>
      <c r="M366" s="55"/>
      <c r="N366" s="10"/>
      <c r="O366" s="96"/>
      <c r="Q366" s="96"/>
      <c r="T366" s="96"/>
    </row>
    <row r="367" spans="1:20" s="101" customFormat="1" x14ac:dyDescent="0.15">
      <c r="A367" s="11"/>
      <c r="B367" s="10"/>
      <c r="C367" s="102"/>
      <c r="D367" s="10"/>
      <c r="E367" s="10"/>
      <c r="F367" s="102"/>
      <c r="G367" s="10"/>
      <c r="H367" s="10"/>
      <c r="I367" s="55"/>
      <c r="J367" s="55"/>
      <c r="K367" s="55"/>
      <c r="L367" s="55"/>
      <c r="M367" s="55"/>
      <c r="N367" s="10"/>
      <c r="O367" s="96"/>
      <c r="Q367" s="96"/>
      <c r="T367" s="96"/>
    </row>
    <row r="368" spans="1:20" s="101" customFormat="1" x14ac:dyDescent="0.15">
      <c r="A368" s="11"/>
      <c r="B368" s="10"/>
      <c r="C368" s="102"/>
      <c r="D368" s="10"/>
      <c r="E368" s="10"/>
      <c r="F368" s="102"/>
      <c r="G368" s="10"/>
      <c r="H368" s="10"/>
      <c r="I368" s="55"/>
      <c r="J368" s="55"/>
      <c r="K368" s="55"/>
      <c r="L368" s="55"/>
      <c r="M368" s="55"/>
      <c r="N368" s="10"/>
      <c r="O368" s="96"/>
      <c r="Q368" s="96"/>
      <c r="T368" s="96"/>
    </row>
    <row r="369" spans="1:20" s="101" customFormat="1" x14ac:dyDescent="0.15">
      <c r="A369" s="11"/>
      <c r="B369" s="10"/>
      <c r="C369" s="102"/>
      <c r="D369" s="10"/>
      <c r="E369" s="10"/>
      <c r="F369" s="102"/>
      <c r="G369" s="10"/>
      <c r="H369" s="10"/>
      <c r="I369" s="55"/>
      <c r="J369" s="55"/>
      <c r="K369" s="55"/>
      <c r="L369" s="55"/>
      <c r="M369" s="55"/>
      <c r="N369" s="10"/>
      <c r="O369" s="96"/>
      <c r="Q369" s="96"/>
      <c r="T369" s="96"/>
    </row>
    <row r="370" spans="1:20" s="101" customFormat="1" x14ac:dyDescent="0.15">
      <c r="A370" s="11"/>
      <c r="B370" s="10"/>
      <c r="C370" s="102"/>
      <c r="D370" s="10"/>
      <c r="E370" s="10"/>
      <c r="F370" s="102"/>
      <c r="G370" s="10"/>
      <c r="H370" s="10"/>
      <c r="I370" s="55"/>
      <c r="J370" s="55"/>
      <c r="K370" s="55"/>
      <c r="L370" s="55"/>
      <c r="M370" s="55"/>
      <c r="N370" s="10"/>
      <c r="O370" s="96"/>
      <c r="Q370" s="96"/>
      <c r="T370" s="96"/>
    </row>
    <row r="371" spans="1:20" s="101" customFormat="1" x14ac:dyDescent="0.15">
      <c r="A371" s="11"/>
      <c r="B371" s="10"/>
      <c r="C371" s="102"/>
      <c r="D371" s="10"/>
      <c r="E371" s="10"/>
      <c r="F371" s="102"/>
      <c r="G371" s="10"/>
      <c r="H371" s="10"/>
      <c r="I371" s="55"/>
      <c r="J371" s="55"/>
      <c r="K371" s="55"/>
      <c r="L371" s="55"/>
      <c r="M371" s="55"/>
      <c r="N371" s="10"/>
      <c r="O371" s="96"/>
      <c r="Q371" s="96"/>
      <c r="T371" s="96"/>
    </row>
    <row r="372" spans="1:20" s="101" customFormat="1" x14ac:dyDescent="0.15">
      <c r="A372" s="11"/>
      <c r="B372" s="10"/>
      <c r="C372" s="102"/>
      <c r="D372" s="10"/>
      <c r="E372" s="10"/>
      <c r="F372" s="102"/>
      <c r="G372" s="10"/>
      <c r="H372" s="10"/>
      <c r="I372" s="55"/>
      <c r="J372" s="55"/>
      <c r="K372" s="55"/>
      <c r="L372" s="55"/>
      <c r="M372" s="55"/>
      <c r="N372" s="10"/>
      <c r="O372" s="96"/>
      <c r="Q372" s="96"/>
      <c r="T372" s="96"/>
    </row>
    <row r="373" spans="1:20" s="101" customFormat="1" x14ac:dyDescent="0.15">
      <c r="A373" s="11"/>
      <c r="B373" s="10"/>
      <c r="C373" s="102"/>
      <c r="D373" s="10"/>
      <c r="E373" s="10"/>
      <c r="F373" s="102"/>
      <c r="G373" s="10"/>
      <c r="H373" s="10"/>
      <c r="I373" s="55"/>
      <c r="J373" s="55"/>
      <c r="K373" s="55"/>
      <c r="L373" s="55"/>
      <c r="M373" s="55"/>
      <c r="N373" s="10"/>
      <c r="O373" s="96"/>
      <c r="Q373" s="96"/>
      <c r="T373" s="96"/>
    </row>
    <row r="374" spans="1:20" s="101" customFormat="1" x14ac:dyDescent="0.15">
      <c r="A374" s="11"/>
      <c r="B374" s="10"/>
      <c r="C374" s="102"/>
      <c r="D374" s="10"/>
      <c r="E374" s="10"/>
      <c r="F374" s="102"/>
      <c r="G374" s="10"/>
      <c r="H374" s="10"/>
      <c r="I374" s="55"/>
      <c r="J374" s="55"/>
      <c r="K374" s="55"/>
      <c r="L374" s="55"/>
      <c r="M374" s="55"/>
      <c r="N374" s="10"/>
      <c r="O374" s="96"/>
      <c r="Q374" s="96"/>
      <c r="T374" s="96"/>
    </row>
    <row r="375" spans="1:20" s="101" customFormat="1" x14ac:dyDescent="0.15">
      <c r="A375" s="11"/>
      <c r="B375" s="10"/>
      <c r="C375" s="102"/>
      <c r="D375" s="10"/>
      <c r="E375" s="10"/>
      <c r="F375" s="102"/>
      <c r="G375" s="10"/>
      <c r="H375" s="10"/>
      <c r="I375" s="55"/>
      <c r="J375" s="55"/>
      <c r="K375" s="55"/>
      <c r="L375" s="55"/>
      <c r="M375" s="55"/>
      <c r="N375" s="10"/>
      <c r="O375" s="96"/>
      <c r="Q375" s="96"/>
      <c r="T375" s="96"/>
    </row>
    <row r="376" spans="1:20" s="101" customFormat="1" x14ac:dyDescent="0.15">
      <c r="A376" s="11"/>
      <c r="B376" s="10"/>
      <c r="C376" s="102"/>
      <c r="D376" s="10"/>
      <c r="E376" s="10"/>
      <c r="F376" s="102"/>
      <c r="G376" s="10"/>
      <c r="H376" s="10"/>
      <c r="I376" s="55"/>
      <c r="J376" s="55"/>
      <c r="K376" s="55"/>
      <c r="L376" s="55"/>
      <c r="M376" s="55"/>
      <c r="N376" s="10"/>
      <c r="O376" s="96"/>
      <c r="Q376" s="96"/>
      <c r="T376" s="96"/>
    </row>
    <row r="377" spans="1:20" s="101" customFormat="1" x14ac:dyDescent="0.15">
      <c r="A377" s="11"/>
      <c r="B377" s="10"/>
      <c r="C377" s="102"/>
      <c r="D377" s="10"/>
      <c r="E377" s="10"/>
      <c r="F377" s="102"/>
      <c r="G377" s="10"/>
      <c r="H377" s="10"/>
      <c r="I377" s="55"/>
      <c r="J377" s="55"/>
      <c r="K377" s="55"/>
      <c r="L377" s="55"/>
      <c r="M377" s="55"/>
      <c r="N377" s="10"/>
      <c r="O377" s="96"/>
      <c r="Q377" s="96"/>
      <c r="T377" s="96"/>
    </row>
    <row r="378" spans="1:20" s="101" customFormat="1" x14ac:dyDescent="0.15">
      <c r="A378" s="11"/>
      <c r="B378" s="10"/>
      <c r="C378" s="102"/>
      <c r="D378" s="10"/>
      <c r="E378" s="10"/>
      <c r="F378" s="102"/>
      <c r="G378" s="10"/>
      <c r="H378" s="10"/>
      <c r="I378" s="55"/>
      <c r="J378" s="55"/>
      <c r="K378" s="55"/>
      <c r="L378" s="55"/>
      <c r="M378" s="55"/>
      <c r="N378" s="10"/>
      <c r="O378" s="96"/>
      <c r="Q378" s="96"/>
      <c r="T378" s="96"/>
    </row>
    <row r="379" spans="1:20" s="101" customFormat="1" x14ac:dyDescent="0.15">
      <c r="A379" s="11"/>
      <c r="B379" s="10"/>
      <c r="C379" s="102"/>
      <c r="D379" s="10"/>
      <c r="E379" s="10"/>
      <c r="F379" s="102"/>
      <c r="G379" s="10"/>
      <c r="H379" s="10"/>
      <c r="I379" s="55"/>
      <c r="J379" s="55"/>
      <c r="K379" s="55"/>
      <c r="L379" s="55"/>
      <c r="M379" s="55"/>
      <c r="N379" s="10"/>
      <c r="O379" s="96"/>
      <c r="Q379" s="96"/>
      <c r="T379" s="96"/>
    </row>
    <row r="380" spans="1:20" s="101" customFormat="1" x14ac:dyDescent="0.15">
      <c r="A380" s="11"/>
      <c r="B380" s="10"/>
      <c r="C380" s="102"/>
      <c r="D380" s="10"/>
      <c r="E380" s="10"/>
      <c r="F380" s="102"/>
      <c r="G380" s="10"/>
      <c r="H380" s="10"/>
      <c r="I380" s="55"/>
      <c r="J380" s="55"/>
      <c r="K380" s="55"/>
      <c r="L380" s="55"/>
      <c r="M380" s="55"/>
      <c r="N380" s="10"/>
      <c r="O380" s="96"/>
      <c r="Q380" s="96"/>
      <c r="T380" s="96"/>
    </row>
    <row r="381" spans="1:20" s="101" customFormat="1" x14ac:dyDescent="0.15">
      <c r="A381" s="11"/>
      <c r="B381" s="10"/>
      <c r="C381" s="102"/>
      <c r="D381" s="10"/>
      <c r="E381" s="10"/>
      <c r="F381" s="102"/>
      <c r="G381" s="10"/>
      <c r="H381" s="10"/>
      <c r="I381" s="55"/>
      <c r="J381" s="55"/>
      <c r="K381" s="55"/>
      <c r="L381" s="55"/>
      <c r="M381" s="55"/>
      <c r="N381" s="10"/>
      <c r="O381" s="96"/>
      <c r="Q381" s="96"/>
      <c r="T381" s="96"/>
    </row>
    <row r="382" spans="1:20" s="101" customFormat="1" x14ac:dyDescent="0.15">
      <c r="A382" s="11"/>
      <c r="B382" s="10"/>
      <c r="C382" s="102"/>
      <c r="D382" s="10"/>
      <c r="E382" s="10"/>
      <c r="F382" s="102"/>
      <c r="G382" s="10"/>
      <c r="H382" s="10"/>
      <c r="I382" s="55"/>
      <c r="J382" s="55"/>
      <c r="K382" s="55"/>
      <c r="L382" s="55"/>
      <c r="M382" s="55"/>
      <c r="N382" s="10"/>
      <c r="O382" s="96"/>
      <c r="Q382" s="96"/>
      <c r="T382" s="96"/>
    </row>
    <row r="383" spans="1:20" s="101" customFormat="1" x14ac:dyDescent="0.15">
      <c r="A383" s="11"/>
      <c r="B383" s="10"/>
      <c r="C383" s="102"/>
      <c r="D383" s="10"/>
      <c r="E383" s="10"/>
      <c r="F383" s="102"/>
      <c r="G383" s="10"/>
      <c r="H383" s="10"/>
      <c r="I383" s="55"/>
      <c r="J383" s="55"/>
      <c r="K383" s="55"/>
      <c r="L383" s="55"/>
      <c r="M383" s="55"/>
      <c r="N383" s="10"/>
      <c r="O383" s="96"/>
      <c r="Q383" s="96"/>
      <c r="T383" s="96"/>
    </row>
    <row r="384" spans="1:20" s="101" customFormat="1" x14ac:dyDescent="0.15">
      <c r="A384" s="11"/>
      <c r="B384" s="10"/>
      <c r="C384" s="102"/>
      <c r="D384" s="10"/>
      <c r="E384" s="10"/>
      <c r="F384" s="102"/>
      <c r="G384" s="10"/>
      <c r="H384" s="10"/>
      <c r="I384" s="55"/>
      <c r="J384" s="55"/>
      <c r="K384" s="55"/>
      <c r="L384" s="55"/>
      <c r="M384" s="55"/>
      <c r="N384" s="10"/>
      <c r="O384" s="96"/>
      <c r="Q384" s="96"/>
      <c r="T384" s="96"/>
    </row>
    <row r="385" spans="1:20" s="101" customFormat="1" x14ac:dyDescent="0.15">
      <c r="A385" s="11"/>
      <c r="B385" s="10"/>
      <c r="C385" s="102"/>
      <c r="D385" s="10"/>
      <c r="E385" s="10"/>
      <c r="F385" s="102"/>
      <c r="G385" s="10"/>
      <c r="H385" s="10"/>
      <c r="I385" s="55"/>
      <c r="J385" s="55"/>
      <c r="K385" s="55"/>
      <c r="L385" s="55"/>
      <c r="M385" s="55"/>
      <c r="N385" s="10"/>
      <c r="O385" s="96"/>
      <c r="Q385" s="96"/>
      <c r="T385" s="96"/>
    </row>
    <row r="386" spans="1:20" s="101" customFormat="1" x14ac:dyDescent="0.15">
      <c r="A386" s="11"/>
      <c r="B386" s="10"/>
      <c r="C386" s="102"/>
      <c r="D386" s="10"/>
      <c r="E386" s="10"/>
      <c r="F386" s="102"/>
      <c r="G386" s="10"/>
      <c r="H386" s="10"/>
      <c r="I386" s="55"/>
      <c r="J386" s="55"/>
      <c r="K386" s="55"/>
      <c r="L386" s="55"/>
      <c r="M386" s="55"/>
      <c r="N386" s="10"/>
      <c r="O386" s="96"/>
      <c r="Q386" s="96"/>
      <c r="T386" s="96"/>
    </row>
    <row r="387" spans="1:20" s="101" customFormat="1" x14ac:dyDescent="0.15">
      <c r="A387" s="11"/>
      <c r="B387" s="10"/>
      <c r="C387" s="102"/>
      <c r="D387" s="10"/>
      <c r="E387" s="10"/>
      <c r="F387" s="102"/>
      <c r="G387" s="10"/>
      <c r="H387" s="10"/>
      <c r="I387" s="55"/>
      <c r="J387" s="55"/>
      <c r="K387" s="55"/>
      <c r="L387" s="55"/>
      <c r="M387" s="55"/>
      <c r="N387" s="10"/>
      <c r="O387" s="96"/>
      <c r="Q387" s="96"/>
      <c r="T387" s="96"/>
    </row>
    <row r="388" spans="1:20" s="101" customFormat="1" x14ac:dyDescent="0.15">
      <c r="A388" s="11"/>
      <c r="B388" s="10"/>
      <c r="C388" s="102"/>
      <c r="D388" s="10"/>
      <c r="E388" s="10"/>
      <c r="F388" s="102"/>
      <c r="G388" s="10"/>
      <c r="H388" s="10"/>
      <c r="I388" s="55"/>
      <c r="J388" s="55"/>
      <c r="K388" s="55"/>
      <c r="L388" s="55"/>
      <c r="M388" s="55"/>
      <c r="N388" s="10"/>
      <c r="O388" s="96"/>
      <c r="Q388" s="96"/>
      <c r="T388" s="96"/>
    </row>
    <row r="389" spans="1:20" s="101" customFormat="1" x14ac:dyDescent="0.15">
      <c r="A389" s="11"/>
      <c r="B389" s="10"/>
      <c r="C389" s="102"/>
      <c r="D389" s="10"/>
      <c r="E389" s="10"/>
      <c r="F389" s="102"/>
      <c r="G389" s="10"/>
      <c r="H389" s="10"/>
      <c r="I389" s="55"/>
      <c r="J389" s="55"/>
      <c r="K389" s="55"/>
      <c r="L389" s="55"/>
      <c r="M389" s="55"/>
      <c r="N389" s="10"/>
      <c r="O389" s="96"/>
      <c r="Q389" s="96"/>
      <c r="T389" s="96"/>
    </row>
    <row r="390" spans="1:20" s="101" customFormat="1" x14ac:dyDescent="0.15">
      <c r="A390" s="11"/>
      <c r="B390" s="10"/>
      <c r="C390" s="102"/>
      <c r="D390" s="10"/>
      <c r="E390" s="10"/>
      <c r="F390" s="102"/>
      <c r="G390" s="10"/>
      <c r="H390" s="10"/>
      <c r="I390" s="55"/>
      <c r="J390" s="55"/>
      <c r="K390" s="55"/>
      <c r="L390" s="55"/>
      <c r="M390" s="55"/>
      <c r="N390" s="10"/>
      <c r="O390" s="96"/>
      <c r="Q390" s="96"/>
      <c r="T390" s="96"/>
    </row>
    <row r="391" spans="1:20" s="101" customFormat="1" x14ac:dyDescent="0.15">
      <c r="A391" s="11"/>
      <c r="B391" s="10"/>
      <c r="C391" s="102"/>
      <c r="D391" s="10"/>
      <c r="E391" s="10"/>
      <c r="F391" s="102"/>
      <c r="G391" s="10"/>
      <c r="H391" s="10"/>
      <c r="I391" s="55"/>
      <c r="J391" s="55"/>
      <c r="K391" s="55"/>
      <c r="L391" s="55"/>
      <c r="M391" s="55"/>
      <c r="N391" s="10"/>
      <c r="O391" s="96"/>
      <c r="Q391" s="96"/>
      <c r="T391" s="96"/>
    </row>
    <row r="392" spans="1:20" s="101" customFormat="1" x14ac:dyDescent="0.15">
      <c r="A392" s="11"/>
      <c r="B392" s="10"/>
      <c r="C392" s="102"/>
      <c r="D392" s="10"/>
      <c r="E392" s="10"/>
      <c r="F392" s="102"/>
      <c r="G392" s="10"/>
      <c r="H392" s="10"/>
      <c r="I392" s="55"/>
      <c r="J392" s="55"/>
      <c r="K392" s="55"/>
      <c r="L392" s="55"/>
      <c r="M392" s="55"/>
      <c r="N392" s="10"/>
      <c r="O392" s="96"/>
      <c r="Q392" s="96"/>
      <c r="T392" s="96"/>
    </row>
    <row r="393" spans="1:20" s="101" customFormat="1" x14ac:dyDescent="0.15">
      <c r="A393" s="11"/>
      <c r="B393" s="10"/>
      <c r="C393" s="102"/>
      <c r="D393" s="10"/>
      <c r="E393" s="10"/>
      <c r="F393" s="102"/>
      <c r="G393" s="10"/>
      <c r="H393" s="10"/>
      <c r="I393" s="55"/>
      <c r="J393" s="55"/>
      <c r="K393" s="55"/>
      <c r="L393" s="55"/>
      <c r="M393" s="55"/>
      <c r="N393" s="10"/>
      <c r="O393" s="96"/>
      <c r="Q393" s="96"/>
      <c r="T393" s="96"/>
    </row>
    <row r="394" spans="1:20" s="101" customFormat="1" x14ac:dyDescent="0.15">
      <c r="A394" s="11"/>
      <c r="B394" s="10"/>
      <c r="C394" s="102"/>
      <c r="D394" s="10"/>
      <c r="E394" s="10"/>
      <c r="F394" s="102"/>
      <c r="G394" s="10"/>
      <c r="H394" s="10"/>
      <c r="I394" s="55"/>
      <c r="J394" s="55"/>
      <c r="K394" s="55"/>
      <c r="L394" s="55"/>
      <c r="M394" s="55"/>
      <c r="N394" s="10"/>
      <c r="O394" s="96"/>
      <c r="Q394" s="96"/>
      <c r="T394" s="96"/>
    </row>
    <row r="395" spans="1:20" s="101" customFormat="1" x14ac:dyDescent="0.15">
      <c r="A395" s="11"/>
      <c r="B395" s="10"/>
      <c r="C395" s="102"/>
      <c r="D395" s="10"/>
      <c r="E395" s="10"/>
      <c r="F395" s="102"/>
      <c r="G395" s="10"/>
      <c r="H395" s="10"/>
      <c r="I395" s="55"/>
      <c r="J395" s="55"/>
      <c r="K395" s="55"/>
      <c r="L395" s="55"/>
      <c r="M395" s="55"/>
      <c r="N395" s="10"/>
      <c r="O395" s="96"/>
      <c r="Q395" s="96"/>
      <c r="T395" s="96"/>
    </row>
    <row r="396" spans="1:20" s="101" customFormat="1" x14ac:dyDescent="0.15">
      <c r="A396" s="11"/>
      <c r="B396" s="10"/>
      <c r="C396" s="102"/>
      <c r="D396" s="10"/>
      <c r="E396" s="10"/>
      <c r="F396" s="102"/>
      <c r="G396" s="10"/>
      <c r="H396" s="10"/>
      <c r="I396" s="55"/>
      <c r="J396" s="55"/>
      <c r="K396" s="55"/>
      <c r="L396" s="55"/>
      <c r="M396" s="55"/>
      <c r="N396" s="10"/>
      <c r="O396" s="96"/>
      <c r="Q396" s="96"/>
      <c r="T396" s="96"/>
    </row>
    <row r="397" spans="1:20" s="101" customFormat="1" x14ac:dyDescent="0.15">
      <c r="A397" s="11"/>
      <c r="B397" s="10"/>
      <c r="C397" s="102"/>
      <c r="D397" s="10"/>
      <c r="E397" s="10"/>
      <c r="F397" s="102"/>
      <c r="G397" s="10"/>
      <c r="H397" s="10"/>
      <c r="I397" s="55"/>
      <c r="J397" s="55"/>
      <c r="K397" s="55"/>
      <c r="L397" s="55"/>
      <c r="M397" s="55"/>
      <c r="N397" s="10"/>
      <c r="O397" s="96"/>
      <c r="Q397" s="96"/>
      <c r="T397" s="96"/>
    </row>
    <row r="398" spans="1:20" s="101" customFormat="1" x14ac:dyDescent="0.15">
      <c r="A398" s="11"/>
      <c r="B398" s="10"/>
      <c r="C398" s="102"/>
      <c r="D398" s="10"/>
      <c r="E398" s="10"/>
      <c r="F398" s="102"/>
      <c r="G398" s="10"/>
      <c r="H398" s="10"/>
      <c r="I398" s="55"/>
      <c r="J398" s="55"/>
      <c r="K398" s="55"/>
      <c r="L398" s="55"/>
      <c r="M398" s="55"/>
      <c r="N398" s="10"/>
      <c r="O398" s="96"/>
      <c r="Q398" s="96"/>
      <c r="T398" s="96"/>
    </row>
    <row r="399" spans="1:20" s="101" customFormat="1" x14ac:dyDescent="0.15">
      <c r="A399" s="11"/>
      <c r="B399" s="10"/>
      <c r="C399" s="102"/>
      <c r="D399" s="10"/>
      <c r="E399" s="10"/>
      <c r="F399" s="102"/>
      <c r="G399" s="10"/>
      <c r="H399" s="10"/>
      <c r="I399" s="55"/>
      <c r="J399" s="55"/>
      <c r="K399" s="55"/>
      <c r="L399" s="55"/>
      <c r="M399" s="55"/>
      <c r="N399" s="10"/>
      <c r="O399" s="96"/>
      <c r="Q399" s="96"/>
      <c r="T399" s="96"/>
    </row>
    <row r="400" spans="1:20" s="101" customFormat="1" x14ac:dyDescent="0.15">
      <c r="A400" s="11"/>
      <c r="B400" s="10"/>
      <c r="C400" s="102"/>
      <c r="D400" s="10"/>
      <c r="E400" s="10"/>
      <c r="F400" s="102"/>
      <c r="G400" s="10"/>
      <c r="H400" s="10"/>
      <c r="I400" s="55"/>
      <c r="J400" s="55"/>
      <c r="K400" s="55"/>
      <c r="L400" s="55"/>
      <c r="M400" s="55"/>
      <c r="N400" s="10"/>
      <c r="O400" s="96"/>
      <c r="Q400" s="96"/>
      <c r="T400" s="96"/>
    </row>
    <row r="401" spans="1:20" s="101" customFormat="1" x14ac:dyDescent="0.15">
      <c r="A401" s="11"/>
      <c r="B401" s="10"/>
      <c r="C401" s="102"/>
      <c r="D401" s="10"/>
      <c r="E401" s="10"/>
      <c r="F401" s="102"/>
      <c r="G401" s="10"/>
      <c r="H401" s="10"/>
      <c r="I401" s="55"/>
      <c r="J401" s="55"/>
      <c r="K401" s="55"/>
      <c r="L401" s="55"/>
      <c r="M401" s="55"/>
      <c r="N401" s="10"/>
      <c r="O401" s="96"/>
      <c r="Q401" s="96"/>
      <c r="T401" s="96"/>
    </row>
    <row r="402" spans="1:20" s="101" customFormat="1" x14ac:dyDescent="0.15">
      <c r="A402" s="11"/>
      <c r="B402" s="10"/>
      <c r="C402" s="102"/>
      <c r="D402" s="10"/>
      <c r="E402" s="10"/>
      <c r="F402" s="102"/>
      <c r="G402" s="10"/>
      <c r="H402" s="10"/>
      <c r="I402" s="55"/>
      <c r="J402" s="55"/>
      <c r="K402" s="55"/>
      <c r="L402" s="55"/>
      <c r="M402" s="55"/>
      <c r="N402" s="10"/>
      <c r="O402" s="96"/>
      <c r="Q402" s="96"/>
      <c r="T402" s="96"/>
    </row>
    <row r="403" spans="1:20" s="101" customFormat="1" x14ac:dyDescent="0.15">
      <c r="A403" s="11"/>
      <c r="B403" s="10"/>
      <c r="C403" s="102"/>
      <c r="D403" s="10"/>
      <c r="E403" s="10"/>
      <c r="F403" s="102"/>
      <c r="G403" s="10"/>
      <c r="H403" s="10"/>
      <c r="I403" s="55"/>
      <c r="J403" s="55"/>
      <c r="K403" s="55"/>
      <c r="L403" s="55"/>
      <c r="M403" s="55"/>
      <c r="N403" s="10"/>
      <c r="O403" s="96"/>
      <c r="Q403" s="96"/>
      <c r="T403" s="96"/>
    </row>
    <row r="404" spans="1:20" s="101" customFormat="1" x14ac:dyDescent="0.15">
      <c r="A404" s="11"/>
      <c r="B404" s="10"/>
      <c r="C404" s="102"/>
      <c r="D404" s="10"/>
      <c r="E404" s="10"/>
      <c r="F404" s="102"/>
      <c r="G404" s="10"/>
      <c r="H404" s="10"/>
      <c r="I404" s="55"/>
      <c r="J404" s="55"/>
      <c r="K404" s="55"/>
      <c r="L404" s="55"/>
      <c r="M404" s="55"/>
      <c r="N404" s="10"/>
      <c r="O404" s="96"/>
      <c r="Q404" s="96"/>
      <c r="T404" s="96"/>
    </row>
    <row r="405" spans="1:20" s="101" customFormat="1" x14ac:dyDescent="0.15">
      <c r="A405" s="11"/>
      <c r="B405" s="10"/>
      <c r="C405" s="102"/>
      <c r="D405" s="10"/>
      <c r="E405" s="10"/>
      <c r="F405" s="102"/>
      <c r="G405" s="10"/>
      <c r="H405" s="10"/>
      <c r="I405" s="55"/>
      <c r="J405" s="55"/>
      <c r="K405" s="55"/>
      <c r="L405" s="55"/>
      <c r="M405" s="55"/>
      <c r="N405" s="10"/>
      <c r="O405" s="96"/>
      <c r="Q405" s="96"/>
      <c r="T405" s="96"/>
    </row>
    <row r="406" spans="1:20" s="101" customFormat="1" x14ac:dyDescent="0.15">
      <c r="A406" s="11"/>
      <c r="B406" s="10"/>
      <c r="C406" s="102"/>
      <c r="D406" s="10"/>
      <c r="E406" s="10"/>
      <c r="F406" s="102"/>
      <c r="G406" s="10"/>
      <c r="H406" s="10"/>
      <c r="I406" s="55"/>
      <c r="J406" s="55"/>
      <c r="K406" s="55"/>
      <c r="L406" s="55"/>
      <c r="M406" s="55"/>
      <c r="N406" s="10"/>
      <c r="O406" s="96"/>
      <c r="Q406" s="96"/>
      <c r="T406" s="96"/>
    </row>
    <row r="407" spans="1:20" s="101" customFormat="1" x14ac:dyDescent="0.15">
      <c r="A407" s="11"/>
      <c r="B407" s="10"/>
      <c r="C407" s="102"/>
      <c r="D407" s="10"/>
      <c r="E407" s="10"/>
      <c r="F407" s="102"/>
      <c r="G407" s="10"/>
      <c r="H407" s="10"/>
      <c r="I407" s="55"/>
      <c r="J407" s="55"/>
      <c r="K407" s="55"/>
      <c r="L407" s="55"/>
      <c r="M407" s="55"/>
      <c r="N407" s="10"/>
      <c r="O407" s="96"/>
      <c r="Q407" s="96"/>
      <c r="T407" s="96"/>
    </row>
    <row r="408" spans="1:20" s="101" customFormat="1" x14ac:dyDescent="0.15">
      <c r="A408" s="11"/>
      <c r="B408" s="10"/>
      <c r="C408" s="102"/>
      <c r="D408" s="10"/>
      <c r="E408" s="10"/>
      <c r="F408" s="102"/>
      <c r="G408" s="10"/>
      <c r="H408" s="10"/>
      <c r="I408" s="55"/>
      <c r="J408" s="55"/>
      <c r="K408" s="55"/>
      <c r="L408" s="55"/>
      <c r="M408" s="55"/>
      <c r="N408" s="10"/>
      <c r="O408" s="96"/>
      <c r="Q408" s="96"/>
      <c r="T408" s="96"/>
    </row>
    <row r="409" spans="1:20" s="101" customFormat="1" x14ac:dyDescent="0.15">
      <c r="A409" s="11"/>
      <c r="B409" s="10"/>
      <c r="C409" s="102"/>
      <c r="D409" s="10"/>
      <c r="E409" s="10"/>
      <c r="F409" s="102"/>
      <c r="G409" s="10"/>
      <c r="H409" s="10"/>
      <c r="I409" s="55"/>
      <c r="J409" s="55"/>
      <c r="K409" s="55"/>
      <c r="L409" s="55"/>
      <c r="M409" s="55"/>
      <c r="N409" s="10"/>
      <c r="O409" s="96"/>
      <c r="Q409" s="96"/>
      <c r="T409" s="96"/>
    </row>
    <row r="410" spans="1:20" s="101" customFormat="1" x14ac:dyDescent="0.15">
      <c r="A410" s="11"/>
      <c r="B410" s="10"/>
      <c r="C410" s="102"/>
      <c r="D410" s="10"/>
      <c r="E410" s="10"/>
      <c r="F410" s="102"/>
      <c r="G410" s="10"/>
      <c r="H410" s="10"/>
      <c r="I410" s="55"/>
      <c r="J410" s="55"/>
      <c r="K410" s="55"/>
      <c r="L410" s="55"/>
      <c r="M410" s="55"/>
      <c r="N410" s="10"/>
      <c r="O410" s="96"/>
      <c r="Q410" s="96"/>
      <c r="T410" s="96"/>
    </row>
    <row r="411" spans="1:20" s="101" customFormat="1" x14ac:dyDescent="0.15">
      <c r="A411" s="11"/>
      <c r="B411" s="10"/>
      <c r="C411" s="102"/>
      <c r="D411" s="10"/>
      <c r="E411" s="10"/>
      <c r="F411" s="102"/>
      <c r="G411" s="10"/>
      <c r="H411" s="10"/>
      <c r="I411" s="55"/>
      <c r="J411" s="55"/>
      <c r="K411" s="55"/>
      <c r="L411" s="55"/>
      <c r="M411" s="55"/>
      <c r="N411" s="10"/>
      <c r="O411" s="96"/>
      <c r="Q411" s="96"/>
      <c r="T411" s="96"/>
    </row>
    <row r="412" spans="1:20" s="101" customFormat="1" x14ac:dyDescent="0.15">
      <c r="A412" s="11"/>
      <c r="B412" s="10"/>
      <c r="C412" s="102"/>
      <c r="D412" s="10"/>
      <c r="E412" s="10"/>
      <c r="F412" s="102"/>
      <c r="G412" s="10"/>
      <c r="H412" s="10"/>
      <c r="I412" s="55"/>
      <c r="J412" s="55"/>
      <c r="K412" s="55"/>
      <c r="L412" s="55"/>
      <c r="M412" s="55"/>
      <c r="N412" s="10"/>
      <c r="O412" s="96"/>
      <c r="Q412" s="96"/>
      <c r="T412" s="96"/>
    </row>
    <row r="413" spans="1:20" s="101" customFormat="1" x14ac:dyDescent="0.15">
      <c r="A413" s="11"/>
      <c r="B413" s="10"/>
      <c r="C413" s="102"/>
      <c r="D413" s="10"/>
      <c r="E413" s="10"/>
      <c r="F413" s="102"/>
      <c r="G413" s="10"/>
      <c r="H413" s="10"/>
      <c r="I413" s="55"/>
      <c r="J413" s="55"/>
      <c r="K413" s="55"/>
      <c r="L413" s="55"/>
      <c r="M413" s="55"/>
      <c r="N413" s="10"/>
      <c r="O413" s="96"/>
      <c r="Q413" s="96"/>
      <c r="T413" s="96"/>
    </row>
    <row r="414" spans="1:20" s="101" customFormat="1" x14ac:dyDescent="0.15">
      <c r="A414" s="11"/>
      <c r="B414" s="10"/>
      <c r="C414" s="102"/>
      <c r="D414" s="10"/>
      <c r="E414" s="10"/>
      <c r="F414" s="102"/>
      <c r="G414" s="10"/>
      <c r="H414" s="10"/>
      <c r="I414" s="55"/>
      <c r="J414" s="55"/>
      <c r="K414" s="55"/>
      <c r="L414" s="55"/>
      <c r="M414" s="55"/>
      <c r="N414" s="10"/>
      <c r="O414" s="96"/>
      <c r="Q414" s="96"/>
      <c r="T414" s="96"/>
    </row>
    <row r="415" spans="1:20" s="101" customFormat="1" x14ac:dyDescent="0.15">
      <c r="A415" s="11"/>
      <c r="B415" s="10"/>
      <c r="C415" s="102"/>
      <c r="D415" s="10"/>
      <c r="E415" s="10"/>
      <c r="F415" s="102"/>
      <c r="G415" s="10"/>
      <c r="H415" s="10"/>
      <c r="I415" s="55"/>
      <c r="J415" s="55"/>
      <c r="K415" s="55"/>
      <c r="L415" s="55"/>
      <c r="M415" s="55"/>
      <c r="N415" s="10"/>
      <c r="O415" s="96"/>
      <c r="Q415" s="96"/>
      <c r="T415" s="96"/>
    </row>
    <row r="416" spans="1:20" s="101" customFormat="1" x14ac:dyDescent="0.15">
      <c r="A416" s="11"/>
      <c r="B416" s="10"/>
      <c r="C416" s="102"/>
      <c r="D416" s="10"/>
      <c r="E416" s="10"/>
      <c r="F416" s="102"/>
      <c r="G416" s="10"/>
      <c r="H416" s="10"/>
      <c r="I416" s="55"/>
      <c r="J416" s="55"/>
      <c r="K416" s="55"/>
      <c r="L416" s="55"/>
      <c r="M416" s="55"/>
      <c r="N416" s="10"/>
      <c r="O416" s="96"/>
      <c r="Q416" s="96"/>
      <c r="T416" s="96"/>
    </row>
    <row r="417" spans="1:20" s="101" customFormat="1" x14ac:dyDescent="0.15">
      <c r="A417" s="11"/>
      <c r="B417" s="10"/>
      <c r="C417" s="102"/>
      <c r="D417" s="10"/>
      <c r="E417" s="10"/>
      <c r="F417" s="102"/>
      <c r="G417" s="10"/>
      <c r="H417" s="10"/>
      <c r="I417" s="55"/>
      <c r="J417" s="55"/>
      <c r="K417" s="55"/>
      <c r="L417" s="55"/>
      <c r="M417" s="55"/>
      <c r="N417" s="10"/>
      <c r="O417" s="96"/>
      <c r="Q417" s="96"/>
      <c r="T417" s="96"/>
    </row>
    <row r="418" spans="1:20" s="101" customFormat="1" x14ac:dyDescent="0.15">
      <c r="A418" s="11"/>
      <c r="B418" s="10"/>
      <c r="C418" s="102"/>
      <c r="D418" s="10"/>
      <c r="E418" s="10"/>
      <c r="F418" s="102"/>
      <c r="G418" s="10"/>
      <c r="H418" s="10"/>
      <c r="I418" s="55"/>
      <c r="J418" s="55"/>
      <c r="K418" s="55"/>
      <c r="L418" s="55"/>
      <c r="M418" s="55"/>
      <c r="N418" s="10"/>
      <c r="O418" s="96"/>
      <c r="Q418" s="96"/>
      <c r="T418" s="96"/>
    </row>
    <row r="419" spans="1:20" s="101" customFormat="1" x14ac:dyDescent="0.15">
      <c r="A419" s="11"/>
      <c r="B419" s="10"/>
      <c r="C419" s="102"/>
      <c r="D419" s="10"/>
      <c r="E419" s="10"/>
      <c r="F419" s="102"/>
      <c r="G419" s="10"/>
      <c r="H419" s="10"/>
      <c r="I419" s="55"/>
      <c r="J419" s="55"/>
      <c r="K419" s="55"/>
      <c r="L419" s="55"/>
      <c r="M419" s="55"/>
      <c r="N419" s="10"/>
      <c r="O419" s="96"/>
      <c r="Q419" s="96"/>
      <c r="T419" s="96"/>
    </row>
    <row r="420" spans="1:20" s="101" customFormat="1" x14ac:dyDescent="0.15">
      <c r="A420" s="11"/>
      <c r="B420" s="10"/>
      <c r="C420" s="102"/>
      <c r="D420" s="10"/>
      <c r="E420" s="10"/>
      <c r="F420" s="102"/>
      <c r="G420" s="10"/>
      <c r="H420" s="10"/>
      <c r="I420" s="55"/>
      <c r="J420" s="55"/>
      <c r="K420" s="55"/>
      <c r="L420" s="55"/>
      <c r="M420" s="55"/>
      <c r="N420" s="10"/>
      <c r="O420" s="96"/>
      <c r="Q420" s="96"/>
      <c r="T420" s="96"/>
    </row>
    <row r="421" spans="1:20" s="101" customFormat="1" x14ac:dyDescent="0.15">
      <c r="A421" s="11"/>
      <c r="B421" s="10"/>
      <c r="C421" s="102"/>
      <c r="D421" s="10"/>
      <c r="E421" s="10"/>
      <c r="F421" s="102"/>
      <c r="G421" s="10"/>
      <c r="H421" s="10"/>
      <c r="I421" s="55"/>
      <c r="J421" s="55"/>
      <c r="K421" s="55"/>
      <c r="L421" s="55"/>
      <c r="M421" s="55"/>
      <c r="N421" s="10"/>
      <c r="O421" s="96"/>
      <c r="Q421" s="96"/>
      <c r="T421" s="96"/>
    </row>
    <row r="422" spans="1:20" s="101" customFormat="1" x14ac:dyDescent="0.15">
      <c r="A422" s="11"/>
      <c r="B422" s="10"/>
      <c r="C422" s="102"/>
      <c r="D422" s="10"/>
      <c r="E422" s="10"/>
      <c r="F422" s="102"/>
      <c r="G422" s="10"/>
      <c r="H422" s="10"/>
      <c r="I422" s="55"/>
      <c r="J422" s="55"/>
      <c r="K422" s="55"/>
      <c r="L422" s="55"/>
      <c r="M422" s="55"/>
      <c r="N422" s="10"/>
      <c r="O422" s="96"/>
      <c r="Q422" s="96"/>
      <c r="T422" s="96"/>
    </row>
    <row r="423" spans="1:20" s="101" customFormat="1" x14ac:dyDescent="0.15">
      <c r="A423" s="11"/>
      <c r="B423" s="10"/>
      <c r="C423" s="102"/>
      <c r="D423" s="10"/>
      <c r="E423" s="10"/>
      <c r="F423" s="102"/>
      <c r="G423" s="10"/>
      <c r="H423" s="10"/>
      <c r="I423" s="55"/>
      <c r="J423" s="55"/>
      <c r="K423" s="55"/>
      <c r="L423" s="55"/>
      <c r="M423" s="55"/>
      <c r="N423" s="10"/>
      <c r="O423" s="96"/>
      <c r="Q423" s="96"/>
      <c r="T423" s="96"/>
    </row>
    <row r="424" spans="1:20" s="101" customFormat="1" x14ac:dyDescent="0.15">
      <c r="A424" s="11"/>
      <c r="B424" s="10"/>
      <c r="C424" s="102"/>
      <c r="D424" s="10"/>
      <c r="E424" s="10"/>
      <c r="F424" s="102"/>
      <c r="G424" s="10"/>
      <c r="H424" s="10"/>
      <c r="I424" s="55"/>
      <c r="J424" s="55"/>
      <c r="K424" s="55"/>
      <c r="L424" s="55"/>
      <c r="M424" s="55"/>
      <c r="N424" s="10"/>
      <c r="O424" s="96"/>
      <c r="Q424" s="96"/>
      <c r="T424" s="96"/>
    </row>
    <row r="425" spans="1:20" s="101" customFormat="1" x14ac:dyDescent="0.15">
      <c r="A425" s="11"/>
      <c r="B425" s="10"/>
      <c r="C425" s="102"/>
      <c r="D425" s="10"/>
      <c r="E425" s="10"/>
      <c r="F425" s="102"/>
      <c r="G425" s="10"/>
      <c r="H425" s="10"/>
      <c r="I425" s="55"/>
      <c r="J425" s="55"/>
      <c r="K425" s="55"/>
      <c r="L425" s="55"/>
      <c r="M425" s="55"/>
      <c r="N425" s="10"/>
      <c r="O425" s="96"/>
      <c r="Q425" s="96"/>
      <c r="T425" s="96"/>
    </row>
    <row r="426" spans="1:20" s="101" customFormat="1" x14ac:dyDescent="0.15">
      <c r="A426" s="11"/>
      <c r="B426" s="10"/>
      <c r="C426" s="102"/>
      <c r="D426" s="10"/>
      <c r="E426" s="10"/>
      <c r="F426" s="102"/>
      <c r="G426" s="10"/>
      <c r="H426" s="10"/>
      <c r="I426" s="55"/>
      <c r="J426" s="55"/>
      <c r="K426" s="55"/>
      <c r="L426" s="55"/>
      <c r="M426" s="55"/>
      <c r="N426" s="10"/>
      <c r="O426" s="96"/>
      <c r="Q426" s="96"/>
      <c r="T426" s="96"/>
    </row>
    <row r="427" spans="1:20" s="101" customFormat="1" x14ac:dyDescent="0.15">
      <c r="A427" s="11"/>
      <c r="B427" s="10"/>
      <c r="C427" s="102"/>
      <c r="D427" s="10"/>
      <c r="E427" s="10"/>
      <c r="F427" s="102"/>
      <c r="G427" s="10"/>
      <c r="H427" s="10"/>
      <c r="I427" s="55"/>
      <c r="J427" s="55"/>
      <c r="K427" s="55"/>
      <c r="L427" s="55"/>
      <c r="M427" s="55"/>
      <c r="N427" s="10"/>
      <c r="O427" s="96"/>
      <c r="Q427" s="96"/>
      <c r="T427" s="96"/>
    </row>
    <row r="428" spans="1:20" s="101" customFormat="1" x14ac:dyDescent="0.15">
      <c r="A428" s="11"/>
      <c r="B428" s="10"/>
      <c r="C428" s="102"/>
      <c r="D428" s="10"/>
      <c r="E428" s="10"/>
      <c r="F428" s="102"/>
      <c r="G428" s="10"/>
      <c r="H428" s="10"/>
      <c r="I428" s="55"/>
      <c r="J428" s="55"/>
      <c r="K428" s="55"/>
      <c r="L428" s="55"/>
      <c r="M428" s="55"/>
      <c r="N428" s="10"/>
      <c r="O428" s="96"/>
      <c r="Q428" s="96"/>
      <c r="T428" s="96"/>
    </row>
    <row r="429" spans="1:20" s="101" customFormat="1" x14ac:dyDescent="0.15">
      <c r="A429" s="11"/>
      <c r="B429" s="10"/>
      <c r="C429" s="102"/>
      <c r="D429" s="10"/>
      <c r="E429" s="10"/>
      <c r="F429" s="102"/>
      <c r="G429" s="10"/>
      <c r="H429" s="10"/>
      <c r="I429" s="55"/>
      <c r="J429" s="55"/>
      <c r="K429" s="55"/>
      <c r="L429" s="55"/>
      <c r="M429" s="55"/>
      <c r="N429" s="10"/>
      <c r="O429" s="96"/>
      <c r="Q429" s="96"/>
      <c r="T429" s="96"/>
    </row>
    <row r="430" spans="1:20" s="101" customFormat="1" x14ac:dyDescent="0.15">
      <c r="A430" s="11"/>
      <c r="B430" s="10"/>
      <c r="C430" s="102"/>
      <c r="D430" s="10"/>
      <c r="E430" s="10"/>
      <c r="F430" s="102"/>
      <c r="G430" s="10"/>
      <c r="H430" s="10"/>
      <c r="I430" s="55"/>
      <c r="J430" s="55"/>
      <c r="K430" s="55"/>
      <c r="L430" s="55"/>
      <c r="M430" s="55"/>
      <c r="N430" s="10"/>
      <c r="O430" s="96"/>
      <c r="Q430" s="96"/>
      <c r="T430" s="96"/>
    </row>
    <row r="431" spans="1:20" s="101" customFormat="1" x14ac:dyDescent="0.15">
      <c r="A431" s="11"/>
      <c r="B431" s="10"/>
      <c r="C431" s="102"/>
      <c r="D431" s="10"/>
      <c r="E431" s="10"/>
      <c r="F431" s="102"/>
      <c r="G431" s="10"/>
      <c r="H431" s="10"/>
      <c r="I431" s="55"/>
      <c r="J431" s="55"/>
      <c r="K431" s="55"/>
      <c r="L431" s="55"/>
      <c r="M431" s="55"/>
      <c r="N431" s="10"/>
      <c r="O431" s="96"/>
      <c r="Q431" s="96"/>
      <c r="T431" s="96"/>
    </row>
    <row r="432" spans="1:20" s="101" customFormat="1" x14ac:dyDescent="0.15">
      <c r="A432" s="11"/>
      <c r="B432" s="10"/>
      <c r="C432" s="102"/>
      <c r="D432" s="10"/>
      <c r="E432" s="10"/>
      <c r="F432" s="102"/>
      <c r="G432" s="10"/>
      <c r="H432" s="10"/>
      <c r="I432" s="55"/>
      <c r="J432" s="55"/>
      <c r="K432" s="55"/>
      <c r="L432" s="55"/>
      <c r="M432" s="55"/>
      <c r="N432" s="10"/>
      <c r="O432" s="96"/>
      <c r="Q432" s="96"/>
      <c r="T432" s="96"/>
    </row>
    <row r="433" spans="1:20" s="101" customFormat="1" x14ac:dyDescent="0.15">
      <c r="A433" s="11"/>
      <c r="B433" s="10"/>
      <c r="C433" s="102"/>
      <c r="D433" s="10"/>
      <c r="E433" s="10"/>
      <c r="F433" s="102"/>
      <c r="G433" s="10"/>
      <c r="H433" s="10"/>
      <c r="I433" s="55"/>
      <c r="J433" s="55"/>
      <c r="K433" s="55"/>
      <c r="L433" s="55"/>
      <c r="M433" s="55"/>
      <c r="N433" s="10"/>
      <c r="O433" s="96"/>
      <c r="Q433" s="96"/>
      <c r="T433" s="96"/>
    </row>
    <row r="434" spans="1:20" s="101" customFormat="1" x14ac:dyDescent="0.15">
      <c r="A434" s="11"/>
      <c r="B434" s="10"/>
      <c r="C434" s="102"/>
      <c r="D434" s="10"/>
      <c r="E434" s="10"/>
      <c r="F434" s="102"/>
      <c r="G434" s="10"/>
      <c r="H434" s="10"/>
      <c r="I434" s="55"/>
      <c r="J434" s="55"/>
      <c r="K434" s="55"/>
      <c r="L434" s="55"/>
      <c r="M434" s="55"/>
      <c r="N434" s="10"/>
      <c r="O434" s="96"/>
      <c r="Q434" s="96"/>
      <c r="T434" s="96"/>
    </row>
    <row r="435" spans="1:20" s="101" customFormat="1" x14ac:dyDescent="0.15">
      <c r="A435" s="11"/>
      <c r="B435" s="10"/>
      <c r="C435" s="102"/>
      <c r="D435" s="10"/>
      <c r="E435" s="10"/>
      <c r="F435" s="102"/>
      <c r="G435" s="10"/>
      <c r="H435" s="10"/>
      <c r="I435" s="55"/>
      <c r="J435" s="55"/>
      <c r="K435" s="55"/>
      <c r="L435" s="55"/>
      <c r="M435" s="55"/>
      <c r="N435" s="10"/>
      <c r="O435" s="96"/>
      <c r="Q435" s="96"/>
      <c r="T435" s="96"/>
    </row>
    <row r="436" spans="1:20" s="101" customFormat="1" x14ac:dyDescent="0.15">
      <c r="A436" s="11"/>
      <c r="B436" s="10"/>
      <c r="C436" s="102"/>
      <c r="D436" s="10"/>
      <c r="E436" s="10"/>
      <c r="F436" s="102"/>
      <c r="G436" s="10"/>
      <c r="H436" s="10"/>
      <c r="I436" s="55"/>
      <c r="J436" s="55"/>
      <c r="K436" s="55"/>
      <c r="L436" s="55"/>
      <c r="M436" s="55"/>
      <c r="N436" s="10"/>
      <c r="O436" s="96"/>
      <c r="Q436" s="96"/>
      <c r="T436" s="96"/>
    </row>
    <row r="437" spans="1:20" s="101" customFormat="1" x14ac:dyDescent="0.15">
      <c r="A437" s="11"/>
      <c r="B437" s="10"/>
      <c r="C437" s="102"/>
      <c r="D437" s="10"/>
      <c r="E437" s="10"/>
      <c r="F437" s="102"/>
      <c r="G437" s="10"/>
      <c r="H437" s="10"/>
      <c r="I437" s="55"/>
      <c r="J437" s="55"/>
      <c r="K437" s="55"/>
      <c r="L437" s="55"/>
      <c r="M437" s="55"/>
      <c r="N437" s="10"/>
      <c r="O437" s="96"/>
      <c r="Q437" s="96"/>
      <c r="T437" s="96"/>
    </row>
    <row r="438" spans="1:20" s="101" customFormat="1" x14ac:dyDescent="0.15">
      <c r="A438" s="11"/>
      <c r="B438" s="10"/>
      <c r="C438" s="102"/>
      <c r="D438" s="10"/>
      <c r="E438" s="10"/>
      <c r="F438" s="102"/>
      <c r="G438" s="10"/>
      <c r="H438" s="10"/>
      <c r="I438" s="55"/>
      <c r="J438" s="55"/>
      <c r="K438" s="55"/>
      <c r="L438" s="55"/>
      <c r="M438" s="55"/>
      <c r="N438" s="10"/>
      <c r="O438" s="96"/>
      <c r="Q438" s="96"/>
      <c r="T438" s="96"/>
    </row>
    <row r="439" spans="1:20" s="101" customFormat="1" x14ac:dyDescent="0.15">
      <c r="A439" s="11"/>
      <c r="B439" s="10"/>
      <c r="C439" s="102"/>
      <c r="D439" s="10"/>
      <c r="E439" s="10"/>
      <c r="F439" s="102"/>
      <c r="G439" s="10"/>
      <c r="H439" s="10"/>
      <c r="I439" s="55"/>
      <c r="J439" s="55"/>
      <c r="K439" s="55"/>
      <c r="L439" s="55"/>
      <c r="M439" s="55"/>
      <c r="N439" s="10"/>
      <c r="O439" s="96"/>
      <c r="Q439" s="96"/>
      <c r="T439" s="96"/>
    </row>
    <row r="440" spans="1:20" s="101" customFormat="1" x14ac:dyDescent="0.15">
      <c r="A440" s="11"/>
      <c r="B440" s="10"/>
      <c r="C440" s="102"/>
      <c r="D440" s="10"/>
      <c r="E440" s="10"/>
      <c r="F440" s="102"/>
      <c r="G440" s="10"/>
      <c r="H440" s="10"/>
      <c r="I440" s="55"/>
      <c r="J440" s="55"/>
      <c r="K440" s="55"/>
      <c r="L440" s="55"/>
      <c r="M440" s="55"/>
      <c r="N440" s="10"/>
      <c r="O440" s="96"/>
      <c r="Q440" s="96"/>
      <c r="T440" s="96"/>
    </row>
    <row r="441" spans="1:20" s="101" customFormat="1" x14ac:dyDescent="0.15">
      <c r="A441" s="11"/>
      <c r="B441" s="10"/>
      <c r="C441" s="102"/>
      <c r="D441" s="10"/>
      <c r="E441" s="10"/>
      <c r="F441" s="102"/>
      <c r="G441" s="10"/>
      <c r="H441" s="10"/>
      <c r="I441" s="55"/>
      <c r="J441" s="55"/>
      <c r="K441" s="55"/>
      <c r="L441" s="55"/>
      <c r="M441" s="55"/>
      <c r="N441" s="10"/>
      <c r="O441" s="96"/>
      <c r="Q441" s="96"/>
      <c r="T441" s="96"/>
    </row>
    <row r="442" spans="1:20" s="101" customFormat="1" x14ac:dyDescent="0.15">
      <c r="A442" s="11"/>
      <c r="B442" s="10"/>
      <c r="C442" s="102"/>
      <c r="D442" s="10"/>
      <c r="E442" s="10"/>
      <c r="F442" s="102"/>
      <c r="G442" s="10"/>
      <c r="H442" s="10"/>
      <c r="I442" s="55"/>
      <c r="J442" s="55"/>
      <c r="K442" s="55"/>
      <c r="L442" s="55"/>
      <c r="M442" s="55"/>
      <c r="N442" s="10"/>
      <c r="O442" s="96"/>
      <c r="Q442" s="96"/>
      <c r="T442" s="96"/>
    </row>
    <row r="443" spans="1:20" s="101" customFormat="1" x14ac:dyDescent="0.15">
      <c r="A443" s="11"/>
      <c r="B443" s="10"/>
      <c r="C443" s="102"/>
      <c r="D443" s="10"/>
      <c r="E443" s="10"/>
      <c r="F443" s="102"/>
      <c r="G443" s="10"/>
      <c r="H443" s="10"/>
      <c r="I443" s="55"/>
      <c r="J443" s="55"/>
      <c r="K443" s="55"/>
      <c r="L443" s="55"/>
      <c r="M443" s="55"/>
      <c r="N443" s="10"/>
      <c r="O443" s="96"/>
      <c r="Q443" s="96"/>
      <c r="T443" s="96"/>
    </row>
    <row r="444" spans="1:20" s="101" customFormat="1" x14ac:dyDescent="0.15">
      <c r="A444" s="11"/>
      <c r="B444" s="10"/>
      <c r="C444" s="102"/>
      <c r="D444" s="10"/>
      <c r="E444" s="10"/>
      <c r="F444" s="102"/>
      <c r="G444" s="10"/>
      <c r="H444" s="10"/>
      <c r="I444" s="55"/>
      <c r="J444" s="55"/>
      <c r="K444" s="55"/>
      <c r="L444" s="55"/>
      <c r="M444" s="55"/>
      <c r="N444" s="10"/>
      <c r="O444" s="96"/>
      <c r="Q444" s="96"/>
      <c r="T444" s="96"/>
    </row>
    <row r="445" spans="1:20" s="101" customFormat="1" x14ac:dyDescent="0.15">
      <c r="A445" s="11"/>
      <c r="B445" s="10"/>
      <c r="C445" s="102"/>
      <c r="D445" s="10"/>
      <c r="E445" s="10"/>
      <c r="F445" s="102"/>
      <c r="G445" s="10"/>
      <c r="H445" s="10"/>
      <c r="I445" s="55"/>
      <c r="J445" s="55"/>
      <c r="K445" s="55"/>
      <c r="L445" s="55"/>
      <c r="M445" s="55"/>
      <c r="N445" s="10"/>
      <c r="O445" s="96"/>
      <c r="Q445" s="96"/>
      <c r="T445" s="96"/>
    </row>
    <row r="446" spans="1:20" s="101" customFormat="1" x14ac:dyDescent="0.15">
      <c r="A446" s="11"/>
      <c r="B446" s="10"/>
      <c r="C446" s="102"/>
      <c r="D446" s="10"/>
      <c r="E446" s="10"/>
      <c r="F446" s="102"/>
      <c r="G446" s="10"/>
      <c r="H446" s="10"/>
      <c r="I446" s="55"/>
      <c r="J446" s="55"/>
      <c r="K446" s="55"/>
      <c r="L446" s="55"/>
      <c r="M446" s="55"/>
      <c r="N446" s="10"/>
      <c r="O446" s="96"/>
      <c r="Q446" s="96"/>
      <c r="T446" s="96"/>
    </row>
    <row r="447" spans="1:20" s="101" customFormat="1" x14ac:dyDescent="0.15">
      <c r="A447" s="11"/>
      <c r="B447" s="10"/>
      <c r="C447" s="102"/>
      <c r="D447" s="10"/>
      <c r="E447" s="10"/>
      <c r="F447" s="102"/>
      <c r="G447" s="10"/>
      <c r="H447" s="10"/>
      <c r="I447" s="55"/>
      <c r="J447" s="55"/>
      <c r="K447" s="55"/>
      <c r="L447" s="55"/>
      <c r="M447" s="55"/>
      <c r="N447" s="10"/>
      <c r="O447" s="96"/>
      <c r="Q447" s="96"/>
      <c r="T447" s="96"/>
    </row>
    <row r="448" spans="1:20" s="101" customFormat="1" x14ac:dyDescent="0.15">
      <c r="A448" s="11"/>
      <c r="B448" s="10"/>
      <c r="C448" s="102"/>
      <c r="D448" s="10"/>
      <c r="E448" s="10"/>
      <c r="F448" s="102"/>
      <c r="G448" s="10"/>
      <c r="H448" s="10"/>
      <c r="I448" s="55"/>
      <c r="J448" s="55"/>
      <c r="K448" s="55"/>
      <c r="L448" s="55"/>
      <c r="M448" s="55"/>
      <c r="N448" s="10"/>
      <c r="O448" s="96"/>
      <c r="Q448" s="96"/>
      <c r="T448" s="96"/>
    </row>
    <row r="449" spans="1:20" s="101" customFormat="1" x14ac:dyDescent="0.15">
      <c r="A449" s="11"/>
      <c r="B449" s="10"/>
      <c r="C449" s="102"/>
      <c r="D449" s="10"/>
      <c r="E449" s="10"/>
      <c r="F449" s="102"/>
      <c r="G449" s="10"/>
      <c r="H449" s="10"/>
      <c r="I449" s="55"/>
      <c r="J449" s="55"/>
      <c r="K449" s="55"/>
      <c r="L449" s="55"/>
      <c r="M449" s="55"/>
      <c r="N449" s="10"/>
      <c r="O449" s="96"/>
      <c r="Q449" s="96"/>
      <c r="T449" s="96"/>
    </row>
    <row r="450" spans="1:20" s="101" customFormat="1" x14ac:dyDescent="0.15">
      <c r="A450" s="11"/>
      <c r="B450" s="10"/>
      <c r="C450" s="102"/>
      <c r="D450" s="10"/>
      <c r="E450" s="10"/>
      <c r="F450" s="102"/>
      <c r="G450" s="10"/>
      <c r="H450" s="10"/>
      <c r="I450" s="55"/>
      <c r="J450" s="55"/>
      <c r="K450" s="55"/>
      <c r="L450" s="55"/>
      <c r="M450" s="55"/>
      <c r="N450" s="10"/>
      <c r="O450" s="96"/>
      <c r="Q450" s="96"/>
      <c r="T450" s="96"/>
    </row>
    <row r="451" spans="1:20" s="101" customFormat="1" x14ac:dyDescent="0.15">
      <c r="A451" s="11"/>
      <c r="B451" s="10"/>
      <c r="C451" s="102"/>
      <c r="D451" s="10"/>
      <c r="E451" s="10"/>
      <c r="F451" s="102"/>
      <c r="G451" s="10"/>
      <c r="H451" s="10"/>
      <c r="I451" s="55"/>
      <c r="J451" s="55"/>
      <c r="K451" s="55"/>
      <c r="L451" s="55"/>
      <c r="M451" s="55"/>
      <c r="N451" s="10"/>
      <c r="O451" s="96"/>
      <c r="Q451" s="96"/>
      <c r="T451" s="96"/>
    </row>
    <row r="452" spans="1:20" s="101" customFormat="1" x14ac:dyDescent="0.15">
      <c r="A452" s="11"/>
      <c r="B452" s="10"/>
      <c r="C452" s="102"/>
      <c r="D452" s="10"/>
      <c r="E452" s="10"/>
      <c r="F452" s="102"/>
      <c r="G452" s="10"/>
      <c r="H452" s="10"/>
      <c r="I452" s="55"/>
      <c r="J452" s="55"/>
      <c r="K452" s="55"/>
      <c r="L452" s="55"/>
      <c r="M452" s="55"/>
      <c r="N452" s="10"/>
      <c r="O452" s="96"/>
      <c r="Q452" s="96"/>
      <c r="T452" s="96"/>
    </row>
    <row r="453" spans="1:20" s="101" customFormat="1" x14ac:dyDescent="0.15">
      <c r="A453" s="11"/>
      <c r="B453" s="10"/>
      <c r="C453" s="102"/>
      <c r="D453" s="10"/>
      <c r="E453" s="10"/>
      <c r="F453" s="102"/>
      <c r="G453" s="10"/>
      <c r="H453" s="10"/>
      <c r="I453" s="55"/>
      <c r="J453" s="55"/>
      <c r="K453" s="55"/>
      <c r="L453" s="55"/>
      <c r="M453" s="55"/>
      <c r="N453" s="10"/>
      <c r="O453" s="96"/>
      <c r="Q453" s="96"/>
      <c r="T453" s="96"/>
    </row>
    <row r="454" spans="1:20" s="101" customFormat="1" x14ac:dyDescent="0.15">
      <c r="A454" s="11"/>
      <c r="B454" s="10"/>
      <c r="C454" s="102"/>
      <c r="D454" s="10"/>
      <c r="E454" s="10"/>
      <c r="F454" s="102"/>
      <c r="G454" s="10"/>
      <c r="H454" s="10"/>
      <c r="I454" s="55"/>
      <c r="J454" s="55"/>
      <c r="K454" s="55"/>
      <c r="L454" s="55"/>
      <c r="M454" s="55"/>
      <c r="N454" s="10"/>
      <c r="O454" s="96"/>
      <c r="Q454" s="96"/>
      <c r="T454" s="96"/>
    </row>
    <row r="455" spans="1:20" s="101" customFormat="1" x14ac:dyDescent="0.15">
      <c r="A455" s="11"/>
      <c r="B455" s="10"/>
      <c r="C455" s="102"/>
      <c r="D455" s="10"/>
      <c r="E455" s="10"/>
      <c r="F455" s="102"/>
      <c r="G455" s="10"/>
      <c r="H455" s="10"/>
      <c r="I455" s="55"/>
      <c r="J455" s="55"/>
      <c r="K455" s="55"/>
      <c r="L455" s="55"/>
      <c r="M455" s="55"/>
      <c r="N455" s="10"/>
      <c r="O455" s="96"/>
      <c r="Q455" s="96"/>
      <c r="T455" s="96"/>
    </row>
    <row r="456" spans="1:20" s="101" customFormat="1" x14ac:dyDescent="0.15">
      <c r="A456" s="11"/>
      <c r="B456" s="10"/>
      <c r="C456" s="102"/>
      <c r="D456" s="10"/>
      <c r="E456" s="10"/>
      <c r="F456" s="102"/>
      <c r="G456" s="10"/>
      <c r="H456" s="10"/>
      <c r="I456" s="55"/>
      <c r="J456" s="55"/>
      <c r="K456" s="55"/>
      <c r="L456" s="55"/>
      <c r="M456" s="55"/>
      <c r="N456" s="10"/>
      <c r="O456" s="96"/>
      <c r="Q456" s="96"/>
      <c r="T456" s="96"/>
    </row>
    <row r="457" spans="1:20" s="101" customFormat="1" x14ac:dyDescent="0.15">
      <c r="A457" s="11"/>
      <c r="B457" s="10"/>
      <c r="C457" s="102"/>
      <c r="D457" s="10"/>
      <c r="E457" s="10"/>
      <c r="F457" s="102"/>
      <c r="G457" s="10"/>
      <c r="H457" s="10"/>
      <c r="I457" s="55"/>
      <c r="J457" s="55"/>
      <c r="K457" s="55"/>
      <c r="L457" s="55"/>
      <c r="M457" s="55"/>
      <c r="N457" s="10"/>
      <c r="O457" s="96"/>
      <c r="Q457" s="96"/>
      <c r="T457" s="96"/>
    </row>
    <row r="458" spans="1:20" s="101" customFormat="1" x14ac:dyDescent="0.15">
      <c r="A458" s="11"/>
      <c r="B458" s="10"/>
      <c r="C458" s="102"/>
      <c r="D458" s="10"/>
      <c r="E458" s="10"/>
      <c r="F458" s="102"/>
      <c r="G458" s="10"/>
      <c r="H458" s="10"/>
      <c r="I458" s="55"/>
      <c r="J458" s="55"/>
      <c r="K458" s="55"/>
      <c r="L458" s="55"/>
      <c r="M458" s="55"/>
      <c r="N458" s="10"/>
      <c r="O458" s="96"/>
      <c r="Q458" s="96"/>
      <c r="T458" s="96"/>
    </row>
    <row r="459" spans="1:20" s="101" customFormat="1" x14ac:dyDescent="0.15">
      <c r="A459" s="11"/>
      <c r="B459" s="10"/>
      <c r="C459" s="102"/>
      <c r="D459" s="10"/>
      <c r="E459" s="10"/>
      <c r="F459" s="102"/>
      <c r="G459" s="10"/>
      <c r="H459" s="10"/>
      <c r="I459" s="55"/>
      <c r="J459" s="55"/>
      <c r="K459" s="55"/>
      <c r="L459" s="55"/>
      <c r="M459" s="55"/>
      <c r="N459" s="10"/>
      <c r="O459" s="96"/>
      <c r="Q459" s="96"/>
      <c r="T459" s="96"/>
    </row>
    <row r="460" spans="1:20" s="101" customFormat="1" x14ac:dyDescent="0.15">
      <c r="A460" s="11"/>
      <c r="B460" s="10"/>
      <c r="C460" s="102"/>
      <c r="D460" s="10"/>
      <c r="E460" s="10"/>
      <c r="F460" s="102"/>
      <c r="G460" s="10"/>
      <c r="H460" s="10"/>
      <c r="I460" s="55"/>
      <c r="J460" s="55"/>
      <c r="K460" s="55"/>
      <c r="L460" s="55"/>
      <c r="M460" s="55"/>
      <c r="N460" s="10"/>
      <c r="O460" s="96"/>
      <c r="Q460" s="96"/>
      <c r="T460" s="96"/>
    </row>
    <row r="461" spans="1:20" s="101" customFormat="1" x14ac:dyDescent="0.15">
      <c r="A461" s="11"/>
      <c r="B461" s="10"/>
      <c r="C461" s="102"/>
      <c r="D461" s="10"/>
      <c r="E461" s="10"/>
      <c r="F461" s="102"/>
      <c r="G461" s="10"/>
      <c r="H461" s="10"/>
      <c r="I461" s="55"/>
      <c r="J461" s="55"/>
      <c r="K461" s="55"/>
      <c r="L461" s="55"/>
      <c r="M461" s="55"/>
      <c r="N461" s="10"/>
      <c r="O461" s="96"/>
      <c r="Q461" s="96"/>
      <c r="T461" s="96"/>
    </row>
    <row r="462" spans="1:20" s="101" customFormat="1" x14ac:dyDescent="0.15">
      <c r="A462" s="11"/>
      <c r="B462" s="10"/>
      <c r="C462" s="102"/>
      <c r="D462" s="10"/>
      <c r="E462" s="10"/>
      <c r="F462" s="102"/>
      <c r="G462" s="10"/>
      <c r="H462" s="10"/>
      <c r="I462" s="55"/>
      <c r="J462" s="55"/>
      <c r="K462" s="55"/>
      <c r="L462" s="55"/>
      <c r="M462" s="55"/>
      <c r="N462" s="10"/>
      <c r="O462" s="96"/>
      <c r="Q462" s="96"/>
      <c r="T462" s="96"/>
    </row>
    <row r="463" spans="1:20" s="101" customFormat="1" x14ac:dyDescent="0.15">
      <c r="A463" s="11"/>
      <c r="B463" s="10"/>
      <c r="C463" s="102"/>
      <c r="D463" s="10"/>
      <c r="E463" s="10"/>
      <c r="F463" s="102"/>
      <c r="G463" s="10"/>
      <c r="H463" s="10"/>
      <c r="I463" s="55"/>
      <c r="J463" s="55"/>
      <c r="K463" s="55"/>
      <c r="L463" s="55"/>
      <c r="M463" s="55"/>
      <c r="N463" s="10"/>
      <c r="O463" s="96"/>
      <c r="Q463" s="96"/>
      <c r="T463" s="96"/>
    </row>
    <row r="464" spans="1:20" s="101" customFormat="1" x14ac:dyDescent="0.15">
      <c r="A464" s="11"/>
      <c r="B464" s="10"/>
      <c r="C464" s="102"/>
      <c r="D464" s="10"/>
      <c r="E464" s="10"/>
      <c r="F464" s="102"/>
      <c r="G464" s="10"/>
      <c r="H464" s="10"/>
      <c r="I464" s="55"/>
      <c r="J464" s="55"/>
      <c r="K464" s="55"/>
      <c r="L464" s="55"/>
      <c r="M464" s="55"/>
      <c r="N464" s="10"/>
      <c r="O464" s="96"/>
      <c r="Q464" s="96"/>
      <c r="T464" s="96"/>
    </row>
    <row r="465" spans="1:20" s="101" customFormat="1" x14ac:dyDescent="0.15">
      <c r="A465" s="11"/>
      <c r="B465" s="10"/>
      <c r="C465" s="102"/>
      <c r="D465" s="10"/>
      <c r="E465" s="10"/>
      <c r="F465" s="102"/>
      <c r="G465" s="10"/>
      <c r="H465" s="10"/>
      <c r="I465" s="55"/>
      <c r="J465" s="55"/>
      <c r="K465" s="55"/>
      <c r="L465" s="55"/>
      <c r="M465" s="55"/>
      <c r="N465" s="10"/>
      <c r="O465" s="96"/>
      <c r="Q465" s="96"/>
      <c r="T465" s="96"/>
    </row>
    <row r="466" spans="1:20" s="101" customFormat="1" x14ac:dyDescent="0.15">
      <c r="A466" s="11"/>
      <c r="B466" s="10"/>
      <c r="C466" s="102"/>
      <c r="D466" s="10"/>
      <c r="E466" s="10"/>
      <c r="F466" s="102"/>
      <c r="G466" s="10"/>
      <c r="H466" s="10"/>
      <c r="I466" s="55"/>
      <c r="J466" s="55"/>
      <c r="K466" s="55"/>
      <c r="L466" s="55"/>
      <c r="M466" s="55"/>
      <c r="N466" s="10"/>
      <c r="O466" s="96"/>
      <c r="Q466" s="96"/>
      <c r="T466" s="96"/>
    </row>
    <row r="467" spans="1:20" s="101" customFormat="1" x14ac:dyDescent="0.15">
      <c r="A467" s="11"/>
      <c r="B467" s="10"/>
      <c r="C467" s="102"/>
      <c r="D467" s="10"/>
      <c r="E467" s="10"/>
      <c r="F467" s="102"/>
      <c r="G467" s="10"/>
      <c r="H467" s="10"/>
      <c r="I467" s="55"/>
      <c r="J467" s="55"/>
      <c r="K467" s="55"/>
      <c r="L467" s="55"/>
      <c r="M467" s="55"/>
      <c r="N467" s="10"/>
      <c r="O467" s="96"/>
      <c r="Q467" s="96"/>
      <c r="T467" s="96"/>
    </row>
    <row r="468" spans="1:20" s="101" customFormat="1" x14ac:dyDescent="0.15">
      <c r="A468" s="11"/>
      <c r="B468" s="10"/>
      <c r="C468" s="102"/>
      <c r="D468" s="10"/>
      <c r="E468" s="10"/>
      <c r="F468" s="102"/>
      <c r="G468" s="10"/>
      <c r="H468" s="10"/>
      <c r="I468" s="55"/>
      <c r="J468" s="55"/>
      <c r="K468" s="55"/>
      <c r="L468" s="55"/>
      <c r="M468" s="55"/>
      <c r="N468" s="10"/>
      <c r="O468" s="96"/>
      <c r="Q468" s="96"/>
      <c r="T468" s="96"/>
    </row>
    <row r="469" spans="1:20" s="101" customFormat="1" x14ac:dyDescent="0.15">
      <c r="A469" s="11"/>
      <c r="B469" s="10"/>
      <c r="C469" s="102"/>
      <c r="D469" s="10"/>
      <c r="E469" s="10"/>
      <c r="F469" s="102"/>
      <c r="G469" s="10"/>
      <c r="H469" s="10"/>
      <c r="I469" s="55"/>
      <c r="J469" s="55"/>
      <c r="K469" s="55"/>
      <c r="L469" s="55"/>
      <c r="M469" s="55"/>
      <c r="N469" s="10"/>
      <c r="O469" s="96"/>
      <c r="Q469" s="96"/>
      <c r="T469" s="96"/>
    </row>
    <row r="470" spans="1:20" s="101" customFormat="1" x14ac:dyDescent="0.15">
      <c r="A470" s="11"/>
      <c r="B470" s="10"/>
      <c r="C470" s="102"/>
      <c r="D470" s="10"/>
      <c r="E470" s="10"/>
      <c r="F470" s="102"/>
      <c r="G470" s="10"/>
      <c r="H470" s="10"/>
      <c r="I470" s="55"/>
      <c r="J470" s="55"/>
      <c r="K470" s="55"/>
      <c r="L470" s="55"/>
      <c r="M470" s="55"/>
      <c r="N470" s="10"/>
      <c r="O470" s="96"/>
      <c r="Q470" s="96"/>
      <c r="T470" s="96"/>
    </row>
    <row r="471" spans="1:20" s="101" customFormat="1" x14ac:dyDescent="0.15">
      <c r="A471" s="11"/>
      <c r="B471" s="10"/>
      <c r="C471" s="102"/>
      <c r="D471" s="10"/>
      <c r="E471" s="10"/>
      <c r="F471" s="102"/>
      <c r="G471" s="10"/>
      <c r="H471" s="10"/>
      <c r="I471" s="55"/>
      <c r="J471" s="55"/>
      <c r="K471" s="55"/>
      <c r="L471" s="55"/>
      <c r="M471" s="55"/>
      <c r="N471" s="10"/>
      <c r="O471" s="96"/>
      <c r="Q471" s="96"/>
      <c r="T471" s="96"/>
    </row>
    <row r="472" spans="1:20" s="101" customFormat="1" x14ac:dyDescent="0.15">
      <c r="A472" s="11"/>
      <c r="B472" s="10"/>
      <c r="C472" s="102"/>
      <c r="D472" s="10"/>
      <c r="E472" s="10"/>
      <c r="F472" s="102"/>
      <c r="G472" s="10"/>
      <c r="H472" s="10"/>
      <c r="I472" s="55"/>
      <c r="J472" s="55"/>
      <c r="K472" s="55"/>
      <c r="L472" s="55"/>
      <c r="M472" s="55"/>
      <c r="N472" s="10"/>
      <c r="O472" s="96"/>
      <c r="Q472" s="96"/>
      <c r="T472" s="96"/>
    </row>
    <row r="473" spans="1:20" s="101" customFormat="1" x14ac:dyDescent="0.15">
      <c r="A473" s="11"/>
      <c r="B473" s="10"/>
      <c r="C473" s="102"/>
      <c r="D473" s="10"/>
      <c r="E473" s="10"/>
      <c r="F473" s="102"/>
      <c r="G473" s="10"/>
      <c r="H473" s="10"/>
      <c r="I473" s="55"/>
      <c r="J473" s="55"/>
      <c r="K473" s="55"/>
      <c r="L473" s="55"/>
      <c r="M473" s="55"/>
      <c r="N473" s="10"/>
      <c r="O473" s="96"/>
      <c r="Q473" s="96"/>
      <c r="T473" s="96"/>
    </row>
    <row r="474" spans="1:20" s="101" customFormat="1" x14ac:dyDescent="0.15">
      <c r="A474" s="11"/>
      <c r="B474" s="10"/>
      <c r="C474" s="102"/>
      <c r="D474" s="10"/>
      <c r="E474" s="10"/>
      <c r="F474" s="102"/>
      <c r="G474" s="10"/>
      <c r="H474" s="10"/>
      <c r="I474" s="55"/>
      <c r="J474" s="55"/>
      <c r="K474" s="55"/>
      <c r="L474" s="55"/>
      <c r="M474" s="55"/>
      <c r="N474" s="10"/>
      <c r="O474" s="96"/>
      <c r="Q474" s="96"/>
      <c r="T474" s="96"/>
    </row>
    <row r="475" spans="1:20" s="101" customFormat="1" x14ac:dyDescent="0.15">
      <c r="A475" s="11"/>
      <c r="B475" s="10"/>
      <c r="C475" s="102"/>
      <c r="D475" s="10"/>
      <c r="E475" s="10"/>
      <c r="F475" s="102"/>
      <c r="G475" s="10"/>
      <c r="H475" s="10"/>
      <c r="I475" s="55"/>
      <c r="J475" s="55"/>
      <c r="K475" s="55"/>
      <c r="L475" s="55"/>
      <c r="M475" s="55"/>
      <c r="N475" s="10"/>
      <c r="O475" s="96"/>
      <c r="Q475" s="96"/>
      <c r="T475" s="96"/>
    </row>
    <row r="476" spans="1:20" s="101" customFormat="1" x14ac:dyDescent="0.15">
      <c r="A476" s="11"/>
      <c r="B476" s="10"/>
      <c r="C476" s="102"/>
      <c r="D476" s="10"/>
      <c r="E476" s="10"/>
      <c r="F476" s="102"/>
      <c r="G476" s="10"/>
      <c r="H476" s="10"/>
      <c r="I476" s="55"/>
      <c r="J476" s="55"/>
      <c r="K476" s="55"/>
      <c r="L476" s="55"/>
      <c r="M476" s="55"/>
      <c r="N476" s="10"/>
      <c r="O476" s="96"/>
      <c r="Q476" s="96"/>
      <c r="T476" s="96"/>
    </row>
    <row r="477" spans="1:20" s="101" customFormat="1" x14ac:dyDescent="0.15">
      <c r="A477" s="11"/>
      <c r="B477" s="10"/>
      <c r="C477" s="102"/>
      <c r="D477" s="10"/>
      <c r="E477" s="10"/>
      <c r="F477" s="102"/>
      <c r="G477" s="10"/>
      <c r="H477" s="10"/>
      <c r="I477" s="55"/>
      <c r="J477" s="55"/>
      <c r="K477" s="55"/>
      <c r="L477" s="55"/>
      <c r="M477" s="55"/>
      <c r="N477" s="10"/>
      <c r="O477" s="96"/>
      <c r="Q477" s="96"/>
      <c r="T477" s="96"/>
    </row>
    <row r="478" spans="1:20" s="101" customFormat="1" x14ac:dyDescent="0.15">
      <c r="A478" s="11"/>
      <c r="B478" s="10"/>
      <c r="C478" s="102"/>
      <c r="D478" s="10"/>
      <c r="E478" s="10"/>
      <c r="F478" s="102"/>
      <c r="G478" s="10"/>
      <c r="H478" s="10"/>
      <c r="I478" s="55"/>
      <c r="J478" s="55"/>
      <c r="K478" s="55"/>
      <c r="L478" s="55"/>
      <c r="M478" s="55"/>
      <c r="N478" s="10"/>
      <c r="O478" s="96"/>
      <c r="Q478" s="96"/>
      <c r="T478" s="96"/>
    </row>
    <row r="479" spans="1:20" s="101" customFormat="1" x14ac:dyDescent="0.15">
      <c r="A479" s="11"/>
      <c r="B479" s="10"/>
      <c r="C479" s="102"/>
      <c r="D479" s="10"/>
      <c r="E479" s="10"/>
      <c r="F479" s="102"/>
      <c r="G479" s="10"/>
      <c r="H479" s="10"/>
      <c r="I479" s="55"/>
      <c r="J479" s="55"/>
      <c r="K479" s="55"/>
      <c r="L479" s="55"/>
      <c r="M479" s="55"/>
      <c r="N479" s="10"/>
      <c r="O479" s="96"/>
      <c r="Q479" s="96"/>
      <c r="T479" s="96"/>
    </row>
    <row r="480" spans="1:20" s="101" customFormat="1" x14ac:dyDescent="0.15">
      <c r="A480" s="11"/>
      <c r="B480" s="10"/>
      <c r="C480" s="102"/>
      <c r="D480" s="10"/>
      <c r="E480" s="10"/>
      <c r="F480" s="102"/>
      <c r="G480" s="10"/>
      <c r="H480" s="10"/>
      <c r="I480" s="55"/>
      <c r="J480" s="55"/>
      <c r="K480" s="55"/>
      <c r="L480" s="55"/>
      <c r="M480" s="55"/>
      <c r="N480" s="10"/>
      <c r="O480" s="96"/>
      <c r="Q480" s="96"/>
      <c r="T480" s="96"/>
    </row>
    <row r="481" spans="1:20" s="101" customFormat="1" x14ac:dyDescent="0.15">
      <c r="A481" s="11"/>
      <c r="B481" s="10"/>
      <c r="C481" s="102"/>
      <c r="D481" s="10"/>
      <c r="E481" s="10"/>
      <c r="F481" s="102"/>
      <c r="G481" s="10"/>
      <c r="H481" s="10"/>
      <c r="I481" s="55"/>
      <c r="J481" s="55"/>
      <c r="K481" s="55"/>
      <c r="L481" s="55"/>
      <c r="M481" s="55"/>
      <c r="N481" s="10"/>
      <c r="O481" s="96"/>
      <c r="Q481" s="96"/>
      <c r="T481" s="96"/>
    </row>
    <row r="482" spans="1:20" s="101" customFormat="1" x14ac:dyDescent="0.15">
      <c r="A482" s="11"/>
      <c r="B482" s="10"/>
      <c r="C482" s="102"/>
      <c r="D482" s="10"/>
      <c r="E482" s="10"/>
      <c r="F482" s="102"/>
      <c r="G482" s="10"/>
      <c r="H482" s="10"/>
      <c r="I482" s="55"/>
      <c r="J482" s="55"/>
      <c r="K482" s="55"/>
      <c r="L482" s="55"/>
      <c r="M482" s="55"/>
      <c r="N482" s="10"/>
      <c r="O482" s="96"/>
      <c r="Q482" s="96"/>
      <c r="T482" s="96"/>
    </row>
    <row r="483" spans="1:20" s="101" customFormat="1" x14ac:dyDescent="0.15">
      <c r="A483" s="11"/>
      <c r="B483" s="10"/>
      <c r="C483" s="102"/>
      <c r="D483" s="10"/>
      <c r="E483" s="10"/>
      <c r="F483" s="102"/>
      <c r="G483" s="10"/>
      <c r="H483" s="10"/>
      <c r="I483" s="55"/>
      <c r="J483" s="55"/>
      <c r="K483" s="55"/>
      <c r="L483" s="55"/>
      <c r="M483" s="55"/>
      <c r="N483" s="10"/>
      <c r="O483" s="96"/>
      <c r="Q483" s="96"/>
      <c r="T483" s="96"/>
    </row>
    <row r="484" spans="1:20" s="101" customFormat="1" x14ac:dyDescent="0.15">
      <c r="A484" s="11"/>
      <c r="B484" s="10"/>
      <c r="C484" s="102"/>
      <c r="D484" s="10"/>
      <c r="E484" s="10"/>
      <c r="F484" s="102"/>
      <c r="G484" s="10"/>
      <c r="H484" s="10"/>
      <c r="I484" s="55"/>
      <c r="J484" s="55"/>
      <c r="K484" s="55"/>
      <c r="L484" s="55"/>
      <c r="M484" s="55"/>
      <c r="N484" s="10"/>
      <c r="O484" s="96"/>
      <c r="Q484" s="96"/>
      <c r="T484" s="96"/>
    </row>
    <row r="485" spans="1:20" s="101" customFormat="1" x14ac:dyDescent="0.15">
      <c r="A485" s="11"/>
      <c r="B485" s="10"/>
      <c r="C485" s="102"/>
      <c r="D485" s="10"/>
      <c r="E485" s="10"/>
      <c r="F485" s="102"/>
      <c r="G485" s="10"/>
      <c r="H485" s="10"/>
      <c r="I485" s="55"/>
      <c r="J485" s="55"/>
      <c r="K485" s="55"/>
      <c r="L485" s="55"/>
      <c r="M485" s="55"/>
      <c r="N485" s="10"/>
      <c r="O485" s="96"/>
      <c r="Q485" s="96"/>
      <c r="T485" s="96"/>
    </row>
    <row r="486" spans="1:20" s="101" customFormat="1" x14ac:dyDescent="0.15">
      <c r="A486" s="11"/>
      <c r="B486" s="10"/>
      <c r="C486" s="102"/>
      <c r="D486" s="10"/>
      <c r="E486" s="10"/>
      <c r="F486" s="102"/>
      <c r="G486" s="10"/>
      <c r="H486" s="10"/>
      <c r="I486" s="55"/>
      <c r="J486" s="55"/>
      <c r="K486" s="55"/>
      <c r="L486" s="55"/>
      <c r="M486" s="55"/>
      <c r="N486" s="10"/>
      <c r="O486" s="96"/>
      <c r="Q486" s="96"/>
      <c r="T486" s="96"/>
    </row>
    <row r="487" spans="1:20" s="101" customFormat="1" x14ac:dyDescent="0.15">
      <c r="A487" s="11"/>
      <c r="B487" s="10"/>
      <c r="C487" s="102"/>
      <c r="D487" s="10"/>
      <c r="E487" s="10"/>
      <c r="F487" s="102"/>
      <c r="G487" s="10"/>
      <c r="H487" s="10"/>
      <c r="I487" s="55"/>
      <c r="J487" s="55"/>
      <c r="K487" s="55"/>
      <c r="L487" s="55"/>
      <c r="M487" s="55"/>
      <c r="N487" s="10"/>
      <c r="O487" s="96"/>
      <c r="Q487" s="96"/>
      <c r="T487" s="96"/>
    </row>
    <row r="488" spans="1:20" s="101" customFormat="1" x14ac:dyDescent="0.15">
      <c r="A488" s="11"/>
      <c r="B488" s="10"/>
      <c r="C488" s="102"/>
      <c r="D488" s="10"/>
      <c r="E488" s="10"/>
      <c r="F488" s="102"/>
      <c r="G488" s="10"/>
      <c r="H488" s="10"/>
      <c r="I488" s="55"/>
      <c r="J488" s="55"/>
      <c r="K488" s="55"/>
      <c r="L488" s="55"/>
      <c r="M488" s="55"/>
      <c r="N488" s="10"/>
      <c r="O488" s="96"/>
      <c r="Q488" s="96"/>
      <c r="T488" s="96"/>
    </row>
    <row r="489" spans="1:20" s="101" customFormat="1" x14ac:dyDescent="0.15">
      <c r="A489" s="11"/>
      <c r="B489" s="10"/>
      <c r="C489" s="102"/>
      <c r="D489" s="10"/>
      <c r="E489" s="10"/>
      <c r="F489" s="102"/>
      <c r="G489" s="10"/>
      <c r="H489" s="10"/>
      <c r="I489" s="55"/>
      <c r="J489" s="55"/>
      <c r="K489" s="55"/>
      <c r="L489" s="55"/>
      <c r="M489" s="55"/>
      <c r="N489" s="10"/>
      <c r="O489" s="96"/>
      <c r="Q489" s="96"/>
      <c r="T489" s="96"/>
    </row>
    <row r="490" spans="1:20" s="101" customFormat="1" x14ac:dyDescent="0.15">
      <c r="A490" s="11"/>
      <c r="B490" s="10"/>
      <c r="C490" s="102"/>
      <c r="D490" s="10"/>
      <c r="E490" s="10"/>
      <c r="F490" s="102"/>
      <c r="G490" s="10"/>
      <c r="H490" s="10"/>
      <c r="I490" s="55"/>
      <c r="J490" s="55"/>
      <c r="K490" s="55"/>
      <c r="L490" s="55"/>
      <c r="M490" s="55"/>
      <c r="N490" s="10"/>
      <c r="O490" s="96"/>
      <c r="Q490" s="96"/>
      <c r="T490" s="96"/>
    </row>
    <row r="491" spans="1:20" s="101" customFormat="1" x14ac:dyDescent="0.15">
      <c r="A491" s="11"/>
      <c r="B491" s="10"/>
      <c r="C491" s="102"/>
      <c r="D491" s="10"/>
      <c r="E491" s="10"/>
      <c r="F491" s="102"/>
      <c r="G491" s="10"/>
      <c r="H491" s="10"/>
      <c r="I491" s="55"/>
      <c r="J491" s="55"/>
      <c r="K491" s="55"/>
      <c r="L491" s="55"/>
      <c r="M491" s="55"/>
      <c r="N491" s="10"/>
      <c r="O491" s="96"/>
      <c r="Q491" s="96"/>
      <c r="T491" s="96"/>
    </row>
    <row r="492" spans="1:20" s="101" customFormat="1" x14ac:dyDescent="0.15">
      <c r="A492" s="11"/>
      <c r="B492" s="10"/>
      <c r="C492" s="102"/>
      <c r="D492" s="10"/>
      <c r="E492" s="10"/>
      <c r="F492" s="102"/>
      <c r="G492" s="10"/>
      <c r="H492" s="10"/>
      <c r="I492" s="55"/>
      <c r="J492" s="55"/>
      <c r="K492" s="55"/>
      <c r="L492" s="55"/>
      <c r="M492" s="55"/>
      <c r="N492" s="10"/>
      <c r="O492" s="96"/>
      <c r="Q492" s="96"/>
      <c r="T492" s="96"/>
    </row>
    <row r="493" spans="1:20" s="101" customFormat="1" x14ac:dyDescent="0.15">
      <c r="A493" s="11"/>
      <c r="B493" s="10"/>
      <c r="C493" s="102"/>
      <c r="D493" s="10"/>
      <c r="E493" s="10"/>
      <c r="F493" s="102"/>
      <c r="G493" s="10"/>
      <c r="H493" s="10"/>
      <c r="I493" s="55"/>
      <c r="J493" s="55"/>
      <c r="K493" s="55"/>
      <c r="L493" s="55"/>
      <c r="M493" s="55"/>
      <c r="N493" s="10"/>
      <c r="O493" s="96"/>
      <c r="Q493" s="96"/>
      <c r="T493" s="96"/>
    </row>
    <row r="494" spans="1:20" s="101" customFormat="1" x14ac:dyDescent="0.15">
      <c r="A494" s="11"/>
      <c r="B494" s="10"/>
      <c r="C494" s="102"/>
      <c r="D494" s="10"/>
      <c r="E494" s="10"/>
      <c r="F494" s="102"/>
      <c r="G494" s="10"/>
      <c r="H494" s="10"/>
      <c r="I494" s="55"/>
      <c r="J494" s="55"/>
      <c r="K494" s="55"/>
      <c r="L494" s="55"/>
      <c r="M494" s="55"/>
      <c r="N494" s="10"/>
      <c r="O494" s="96"/>
      <c r="Q494" s="96"/>
      <c r="T494" s="96"/>
    </row>
    <row r="495" spans="1:20" s="101" customFormat="1" x14ac:dyDescent="0.15">
      <c r="A495" s="11"/>
      <c r="B495" s="10"/>
      <c r="C495" s="102"/>
      <c r="D495" s="10"/>
      <c r="E495" s="10"/>
      <c r="F495" s="102"/>
      <c r="G495" s="10"/>
      <c r="H495" s="10"/>
      <c r="I495" s="55"/>
      <c r="J495" s="55"/>
      <c r="K495" s="55"/>
      <c r="L495" s="55"/>
      <c r="M495" s="55"/>
      <c r="N495" s="10"/>
      <c r="O495" s="96"/>
      <c r="Q495" s="96"/>
      <c r="T495" s="96"/>
    </row>
    <row r="496" spans="1:20" s="101" customFormat="1" x14ac:dyDescent="0.15">
      <c r="A496" s="11"/>
      <c r="B496" s="10"/>
      <c r="C496" s="102"/>
      <c r="D496" s="10"/>
      <c r="E496" s="10"/>
      <c r="F496" s="102"/>
      <c r="G496" s="10"/>
      <c r="H496" s="10"/>
      <c r="I496" s="55"/>
      <c r="J496" s="55"/>
      <c r="K496" s="55"/>
      <c r="L496" s="55"/>
      <c r="M496" s="55"/>
      <c r="N496" s="10"/>
      <c r="O496" s="96"/>
      <c r="Q496" s="96"/>
      <c r="T496" s="96"/>
    </row>
    <row r="497" spans="1:20" s="101" customFormat="1" x14ac:dyDescent="0.15">
      <c r="A497" s="11"/>
      <c r="B497" s="10"/>
      <c r="C497" s="102"/>
      <c r="D497" s="10"/>
      <c r="E497" s="10"/>
      <c r="F497" s="102"/>
      <c r="G497" s="10"/>
      <c r="H497" s="10"/>
      <c r="I497" s="55"/>
      <c r="J497" s="55"/>
      <c r="K497" s="55"/>
      <c r="L497" s="55"/>
      <c r="M497" s="55"/>
      <c r="N497" s="10"/>
      <c r="O497" s="96"/>
      <c r="Q497" s="96"/>
      <c r="T497" s="96"/>
    </row>
    <row r="498" spans="1:20" s="101" customFormat="1" x14ac:dyDescent="0.15">
      <c r="A498" s="11"/>
      <c r="B498" s="10"/>
      <c r="C498" s="102"/>
      <c r="D498" s="10"/>
      <c r="E498" s="10"/>
      <c r="F498" s="102"/>
      <c r="G498" s="10"/>
      <c r="H498" s="10"/>
      <c r="I498" s="55"/>
      <c r="J498" s="55"/>
      <c r="K498" s="55"/>
      <c r="L498" s="55"/>
      <c r="M498" s="55"/>
      <c r="N498" s="10"/>
      <c r="O498" s="96"/>
      <c r="Q498" s="96"/>
      <c r="T498" s="96"/>
    </row>
    <row r="499" spans="1:20" s="101" customFormat="1" x14ac:dyDescent="0.15">
      <c r="A499" s="11"/>
      <c r="B499" s="10"/>
      <c r="C499" s="102"/>
      <c r="D499" s="10"/>
      <c r="E499" s="10"/>
      <c r="F499" s="102"/>
      <c r="G499" s="10"/>
      <c r="H499" s="10"/>
      <c r="I499" s="55"/>
      <c r="J499" s="55"/>
      <c r="K499" s="55"/>
      <c r="L499" s="55"/>
      <c r="M499" s="55"/>
      <c r="N499" s="10"/>
      <c r="O499" s="96"/>
      <c r="Q499" s="96"/>
      <c r="T499" s="96"/>
    </row>
    <row r="500" spans="1:20" s="101" customFormat="1" x14ac:dyDescent="0.15">
      <c r="A500" s="11"/>
      <c r="B500" s="10"/>
      <c r="C500" s="102"/>
      <c r="D500" s="10"/>
      <c r="E500" s="10"/>
      <c r="F500" s="102"/>
      <c r="G500" s="10"/>
      <c r="H500" s="10"/>
      <c r="I500" s="55"/>
      <c r="J500" s="55"/>
      <c r="K500" s="55"/>
      <c r="L500" s="55"/>
      <c r="M500" s="55"/>
      <c r="N500" s="10"/>
      <c r="O500" s="96"/>
      <c r="Q500" s="96"/>
      <c r="T500" s="96"/>
    </row>
    <row r="501" spans="1:20" s="101" customFormat="1" x14ac:dyDescent="0.15">
      <c r="A501" s="11"/>
      <c r="B501" s="10"/>
      <c r="C501" s="102"/>
      <c r="D501" s="10"/>
      <c r="E501" s="10"/>
      <c r="F501" s="102"/>
      <c r="G501" s="10"/>
      <c r="H501" s="10"/>
      <c r="I501" s="55"/>
      <c r="J501" s="55"/>
      <c r="K501" s="55"/>
      <c r="L501" s="55"/>
      <c r="M501" s="55"/>
      <c r="N501" s="10"/>
      <c r="O501" s="96"/>
      <c r="Q501" s="96"/>
      <c r="T501" s="96"/>
    </row>
    <row r="502" spans="1:20" s="101" customFormat="1" x14ac:dyDescent="0.15">
      <c r="A502" s="11"/>
      <c r="B502" s="10"/>
      <c r="C502" s="102"/>
      <c r="D502" s="10"/>
      <c r="E502" s="10"/>
      <c r="F502" s="102"/>
      <c r="G502" s="10"/>
      <c r="H502" s="10"/>
      <c r="I502" s="55"/>
      <c r="J502" s="55"/>
      <c r="K502" s="55"/>
      <c r="L502" s="55"/>
      <c r="M502" s="55"/>
      <c r="N502" s="10"/>
      <c r="O502" s="96"/>
      <c r="Q502" s="96"/>
      <c r="T502" s="96"/>
    </row>
    <row r="503" spans="1:20" s="101" customFormat="1" x14ac:dyDescent="0.15">
      <c r="A503" s="11"/>
      <c r="B503" s="10"/>
      <c r="C503" s="102"/>
      <c r="D503" s="10"/>
      <c r="E503" s="10"/>
      <c r="F503" s="102"/>
      <c r="G503" s="10"/>
      <c r="H503" s="10"/>
      <c r="I503" s="55"/>
      <c r="J503" s="55"/>
      <c r="K503" s="55"/>
      <c r="L503" s="55"/>
      <c r="M503" s="55"/>
      <c r="N503" s="10"/>
      <c r="O503" s="96"/>
      <c r="Q503" s="96"/>
      <c r="T503" s="96"/>
    </row>
    <row r="504" spans="1:20" s="101" customFormat="1" x14ac:dyDescent="0.15">
      <c r="A504" s="11"/>
      <c r="B504" s="10"/>
      <c r="C504" s="102"/>
      <c r="D504" s="10"/>
      <c r="E504" s="10"/>
      <c r="F504" s="102"/>
      <c r="G504" s="10"/>
      <c r="H504" s="10"/>
      <c r="I504" s="55"/>
      <c r="J504" s="55"/>
      <c r="K504" s="55"/>
      <c r="L504" s="55"/>
      <c r="M504" s="55"/>
      <c r="N504" s="10"/>
      <c r="O504" s="96"/>
      <c r="Q504" s="96"/>
      <c r="T504" s="96"/>
    </row>
    <row r="505" spans="1:20" s="101" customFormat="1" x14ac:dyDescent="0.15">
      <c r="A505" s="11"/>
      <c r="B505" s="10"/>
      <c r="C505" s="102"/>
      <c r="D505" s="10"/>
      <c r="E505" s="10"/>
      <c r="F505" s="102"/>
      <c r="G505" s="10"/>
      <c r="H505" s="10"/>
      <c r="I505" s="55"/>
      <c r="J505" s="55"/>
      <c r="K505" s="55"/>
      <c r="L505" s="55"/>
      <c r="M505" s="55"/>
      <c r="N505" s="10"/>
      <c r="O505" s="96"/>
      <c r="Q505" s="96"/>
      <c r="T505" s="96"/>
    </row>
    <row r="506" spans="1:20" s="101" customFormat="1" x14ac:dyDescent="0.15">
      <c r="A506" s="11"/>
      <c r="B506" s="10"/>
      <c r="C506" s="102"/>
      <c r="D506" s="10"/>
      <c r="E506" s="10"/>
      <c r="F506" s="102"/>
      <c r="G506" s="10"/>
      <c r="H506" s="10"/>
      <c r="I506" s="55"/>
      <c r="J506" s="55"/>
      <c r="K506" s="55"/>
      <c r="L506" s="55"/>
      <c r="M506" s="55"/>
      <c r="N506" s="10"/>
      <c r="O506" s="96"/>
      <c r="Q506" s="96"/>
      <c r="T506" s="96"/>
    </row>
    <row r="507" spans="1:20" s="101" customFormat="1" x14ac:dyDescent="0.15">
      <c r="A507" s="11"/>
      <c r="B507" s="10"/>
      <c r="C507" s="102"/>
      <c r="D507" s="10"/>
      <c r="E507" s="10"/>
      <c r="F507" s="102"/>
      <c r="G507" s="10"/>
      <c r="H507" s="10"/>
      <c r="I507" s="55"/>
      <c r="J507" s="55"/>
      <c r="K507" s="55"/>
      <c r="L507" s="55"/>
      <c r="M507" s="55"/>
      <c r="N507" s="10"/>
      <c r="O507" s="96"/>
      <c r="Q507" s="96"/>
      <c r="T507" s="96"/>
    </row>
    <row r="508" spans="1:20" s="101" customFormat="1" x14ac:dyDescent="0.15">
      <c r="A508" s="11"/>
      <c r="B508" s="10"/>
      <c r="C508" s="102"/>
      <c r="D508" s="10"/>
      <c r="E508" s="10"/>
      <c r="F508" s="102"/>
      <c r="G508" s="10"/>
      <c r="H508" s="10"/>
      <c r="I508" s="55"/>
      <c r="J508" s="55"/>
      <c r="K508" s="55"/>
      <c r="L508" s="55"/>
      <c r="M508" s="55"/>
      <c r="N508" s="10"/>
      <c r="O508" s="96"/>
      <c r="Q508" s="96"/>
      <c r="T508" s="96"/>
    </row>
    <row r="509" spans="1:20" s="101" customFormat="1" x14ac:dyDescent="0.15">
      <c r="A509" s="11"/>
      <c r="B509" s="10"/>
      <c r="C509" s="102"/>
      <c r="D509" s="10"/>
      <c r="E509" s="10"/>
      <c r="F509" s="102"/>
      <c r="G509" s="10"/>
      <c r="H509" s="10"/>
      <c r="I509" s="55"/>
      <c r="J509" s="55"/>
      <c r="K509" s="55"/>
      <c r="L509" s="55"/>
      <c r="M509" s="55"/>
      <c r="N509" s="10"/>
      <c r="O509" s="96"/>
      <c r="Q509" s="96"/>
      <c r="T509" s="96"/>
    </row>
    <row r="510" spans="1:20" s="101" customFormat="1" x14ac:dyDescent="0.15">
      <c r="A510" s="11"/>
      <c r="B510" s="10"/>
      <c r="C510" s="102"/>
      <c r="D510" s="10"/>
      <c r="E510" s="10"/>
      <c r="F510" s="102"/>
      <c r="G510" s="10"/>
      <c r="H510" s="10"/>
      <c r="I510" s="55"/>
      <c r="J510" s="55"/>
      <c r="K510" s="55"/>
      <c r="L510" s="55"/>
      <c r="M510" s="55"/>
      <c r="N510" s="10"/>
      <c r="O510" s="96"/>
      <c r="Q510" s="96"/>
      <c r="T510" s="96"/>
    </row>
    <row r="511" spans="1:20" s="101" customFormat="1" x14ac:dyDescent="0.15">
      <c r="A511" s="11"/>
      <c r="B511" s="10"/>
      <c r="C511" s="102"/>
      <c r="D511" s="10"/>
      <c r="E511" s="10"/>
      <c r="F511" s="102"/>
      <c r="G511" s="10"/>
      <c r="H511" s="10"/>
      <c r="I511" s="55"/>
      <c r="J511" s="55"/>
      <c r="K511" s="55"/>
      <c r="L511" s="55"/>
      <c r="M511" s="55"/>
      <c r="N511" s="10"/>
      <c r="O511" s="96"/>
      <c r="Q511" s="96"/>
      <c r="T511" s="96"/>
    </row>
    <row r="512" spans="1:20" s="101" customFormat="1" x14ac:dyDescent="0.15">
      <c r="A512" s="11"/>
      <c r="B512" s="10"/>
      <c r="C512" s="102"/>
      <c r="D512" s="10"/>
      <c r="E512" s="10"/>
      <c r="F512" s="102"/>
      <c r="G512" s="10"/>
      <c r="H512" s="10"/>
      <c r="I512" s="55"/>
      <c r="J512" s="55"/>
      <c r="K512" s="55"/>
      <c r="L512" s="55"/>
      <c r="M512" s="55"/>
      <c r="N512" s="10"/>
      <c r="O512" s="96"/>
      <c r="Q512" s="96"/>
      <c r="T512" s="96"/>
    </row>
    <row r="513" spans="1:20" s="101" customFormat="1" x14ac:dyDescent="0.15">
      <c r="A513" s="11"/>
      <c r="B513" s="10"/>
      <c r="C513" s="102"/>
      <c r="D513" s="10"/>
      <c r="E513" s="10"/>
      <c r="F513" s="102"/>
      <c r="G513" s="10"/>
      <c r="H513" s="10"/>
      <c r="I513" s="55"/>
      <c r="J513" s="55"/>
      <c r="K513" s="55"/>
      <c r="L513" s="55"/>
      <c r="M513" s="55"/>
      <c r="N513" s="10"/>
      <c r="O513" s="96"/>
      <c r="Q513" s="96"/>
      <c r="T513" s="96"/>
    </row>
    <row r="514" spans="1:20" s="101" customFormat="1" x14ac:dyDescent="0.15">
      <c r="A514" s="11"/>
      <c r="B514" s="10"/>
      <c r="C514" s="102"/>
      <c r="D514" s="10"/>
      <c r="E514" s="10"/>
      <c r="F514" s="102"/>
      <c r="G514" s="10"/>
      <c r="H514" s="10"/>
      <c r="I514" s="55"/>
      <c r="J514" s="55"/>
      <c r="K514" s="55"/>
      <c r="L514" s="55"/>
      <c r="M514" s="55"/>
      <c r="N514" s="10"/>
      <c r="O514" s="96"/>
      <c r="Q514" s="96"/>
      <c r="T514" s="96"/>
    </row>
    <row r="515" spans="1:20" s="101" customFormat="1" x14ac:dyDescent="0.15">
      <c r="A515" s="11"/>
      <c r="B515" s="10"/>
      <c r="C515" s="102"/>
      <c r="D515" s="10"/>
      <c r="E515" s="10"/>
      <c r="F515" s="102"/>
      <c r="G515" s="10"/>
      <c r="H515" s="10"/>
      <c r="I515" s="55"/>
      <c r="J515" s="55"/>
      <c r="K515" s="55"/>
      <c r="L515" s="55"/>
      <c r="M515" s="55"/>
      <c r="N515" s="10"/>
      <c r="O515" s="96"/>
      <c r="Q515" s="96"/>
      <c r="T515" s="96"/>
    </row>
    <row r="516" spans="1:20" s="101" customFormat="1" x14ac:dyDescent="0.15">
      <c r="A516" s="11"/>
      <c r="B516" s="10"/>
      <c r="C516" s="102"/>
      <c r="D516" s="10"/>
      <c r="E516" s="10"/>
      <c r="F516" s="102"/>
      <c r="G516" s="10"/>
      <c r="H516" s="10"/>
      <c r="I516" s="55"/>
      <c r="J516" s="55"/>
      <c r="K516" s="55"/>
      <c r="L516" s="55"/>
      <c r="M516" s="55"/>
      <c r="N516" s="10"/>
      <c r="O516" s="96"/>
      <c r="Q516" s="96"/>
      <c r="T516" s="96"/>
    </row>
    <row r="517" spans="1:20" s="101" customFormat="1" x14ac:dyDescent="0.15">
      <c r="A517" s="11"/>
      <c r="B517" s="10"/>
      <c r="C517" s="102"/>
      <c r="D517" s="10"/>
      <c r="E517" s="10"/>
      <c r="F517" s="102"/>
      <c r="G517" s="10"/>
      <c r="H517" s="10"/>
      <c r="I517" s="55"/>
      <c r="J517" s="55"/>
      <c r="K517" s="55"/>
      <c r="L517" s="55"/>
      <c r="M517" s="55"/>
      <c r="N517" s="10"/>
      <c r="O517" s="96"/>
      <c r="Q517" s="96"/>
      <c r="T517" s="96"/>
    </row>
    <row r="518" spans="1:20" s="101" customFormat="1" x14ac:dyDescent="0.15">
      <c r="A518" s="11"/>
      <c r="B518" s="10"/>
      <c r="C518" s="102"/>
      <c r="D518" s="10"/>
      <c r="E518" s="10"/>
      <c r="F518" s="102"/>
      <c r="G518" s="10"/>
      <c r="H518" s="10"/>
      <c r="I518" s="55"/>
      <c r="J518" s="55"/>
      <c r="K518" s="55"/>
      <c r="L518" s="55"/>
      <c r="M518" s="55"/>
      <c r="N518" s="10"/>
      <c r="O518" s="96"/>
      <c r="Q518" s="96"/>
      <c r="T518" s="96"/>
    </row>
    <row r="519" spans="1:20" s="101" customFormat="1" x14ac:dyDescent="0.15">
      <c r="A519" s="11"/>
      <c r="B519" s="10"/>
      <c r="C519" s="102"/>
      <c r="D519" s="10"/>
      <c r="E519" s="10"/>
      <c r="F519" s="102"/>
      <c r="G519" s="10"/>
      <c r="H519" s="10"/>
      <c r="I519" s="55"/>
      <c r="J519" s="55"/>
      <c r="K519" s="55"/>
      <c r="L519" s="55"/>
      <c r="M519" s="55"/>
      <c r="N519" s="10"/>
      <c r="O519" s="96"/>
      <c r="Q519" s="96"/>
      <c r="T519" s="96"/>
    </row>
    <row r="520" spans="1:20" s="101" customFormat="1" x14ac:dyDescent="0.15">
      <c r="A520" s="11"/>
      <c r="B520" s="10"/>
      <c r="C520" s="102"/>
      <c r="D520" s="10"/>
      <c r="E520" s="10"/>
      <c r="F520" s="102"/>
      <c r="G520" s="10"/>
      <c r="H520" s="10"/>
      <c r="I520" s="55"/>
      <c r="J520" s="55"/>
      <c r="K520" s="55"/>
      <c r="L520" s="55"/>
      <c r="M520" s="55"/>
      <c r="N520" s="10"/>
      <c r="O520" s="96"/>
      <c r="Q520" s="96"/>
      <c r="T520" s="96"/>
    </row>
    <row r="521" spans="1:20" s="101" customFormat="1" x14ac:dyDescent="0.15">
      <c r="A521" s="11"/>
      <c r="B521" s="10"/>
      <c r="C521" s="102"/>
      <c r="D521" s="10"/>
      <c r="E521" s="10"/>
      <c r="F521" s="102"/>
      <c r="G521" s="10"/>
      <c r="H521" s="10"/>
      <c r="I521" s="55"/>
      <c r="J521" s="55"/>
      <c r="K521" s="55"/>
      <c r="L521" s="55"/>
      <c r="M521" s="55"/>
      <c r="N521" s="10"/>
      <c r="O521" s="96"/>
      <c r="Q521" s="96"/>
      <c r="T521" s="96"/>
    </row>
    <row r="522" spans="1:20" s="101" customFormat="1" x14ac:dyDescent="0.15">
      <c r="A522" s="11"/>
      <c r="B522" s="10"/>
      <c r="C522" s="102"/>
      <c r="D522" s="10"/>
      <c r="E522" s="10"/>
      <c r="F522" s="102"/>
      <c r="G522" s="10"/>
      <c r="H522" s="10"/>
      <c r="I522" s="55"/>
      <c r="J522" s="55"/>
      <c r="K522" s="55"/>
      <c r="L522" s="55"/>
      <c r="M522" s="55"/>
      <c r="N522" s="10"/>
      <c r="O522" s="96"/>
      <c r="Q522" s="96"/>
      <c r="T522" s="96"/>
    </row>
    <row r="523" spans="1:20" s="101" customFormat="1" x14ac:dyDescent="0.15">
      <c r="A523" s="11"/>
      <c r="B523" s="10"/>
      <c r="C523" s="102"/>
      <c r="D523" s="10"/>
      <c r="E523" s="10"/>
      <c r="F523" s="102"/>
      <c r="G523" s="10"/>
      <c r="H523" s="10"/>
      <c r="I523" s="55"/>
      <c r="J523" s="55"/>
      <c r="K523" s="55"/>
      <c r="L523" s="55"/>
      <c r="M523" s="55"/>
      <c r="N523" s="10"/>
      <c r="O523" s="96"/>
      <c r="Q523" s="96"/>
      <c r="T523" s="96"/>
    </row>
    <row r="524" spans="1:20" s="101" customFormat="1" x14ac:dyDescent="0.15">
      <c r="A524" s="11"/>
      <c r="B524" s="10"/>
      <c r="C524" s="102"/>
      <c r="D524" s="10"/>
      <c r="E524" s="10"/>
      <c r="F524" s="102"/>
      <c r="G524" s="10"/>
      <c r="H524" s="10"/>
      <c r="I524" s="55"/>
      <c r="J524" s="55"/>
      <c r="K524" s="55"/>
      <c r="L524" s="55"/>
      <c r="M524" s="55"/>
      <c r="N524" s="10"/>
      <c r="O524" s="96"/>
      <c r="Q524" s="96"/>
      <c r="T524" s="96"/>
    </row>
    <row r="525" spans="1:20" s="101" customFormat="1" x14ac:dyDescent="0.15">
      <c r="A525" s="11"/>
      <c r="B525" s="10"/>
      <c r="C525" s="102"/>
      <c r="D525" s="10"/>
      <c r="E525" s="10"/>
      <c r="F525" s="102"/>
      <c r="G525" s="10"/>
      <c r="H525" s="10"/>
      <c r="I525" s="55"/>
      <c r="J525" s="55"/>
      <c r="K525" s="55"/>
      <c r="L525" s="55"/>
      <c r="M525" s="55"/>
      <c r="N525" s="10"/>
      <c r="O525" s="96"/>
      <c r="Q525" s="96"/>
      <c r="T525" s="96"/>
    </row>
    <row r="526" spans="1:20" s="101" customFormat="1" x14ac:dyDescent="0.15">
      <c r="A526" s="11"/>
      <c r="B526" s="10"/>
      <c r="C526" s="102"/>
      <c r="D526" s="10"/>
      <c r="E526" s="10"/>
      <c r="F526" s="102"/>
      <c r="G526" s="10"/>
      <c r="H526" s="10"/>
      <c r="I526" s="55"/>
      <c r="J526" s="55"/>
      <c r="K526" s="55"/>
      <c r="L526" s="55"/>
      <c r="M526" s="55"/>
      <c r="N526" s="10"/>
      <c r="O526" s="96"/>
      <c r="Q526" s="96"/>
      <c r="T526" s="96"/>
    </row>
    <row r="527" spans="1:20" s="101" customFormat="1" x14ac:dyDescent="0.15">
      <c r="A527" s="11"/>
      <c r="B527" s="10"/>
      <c r="C527" s="102"/>
      <c r="D527" s="10"/>
      <c r="E527" s="10"/>
      <c r="F527" s="102"/>
      <c r="G527" s="10"/>
      <c r="H527" s="10"/>
      <c r="I527" s="55"/>
      <c r="J527" s="55"/>
      <c r="K527" s="55"/>
      <c r="L527" s="55"/>
      <c r="M527" s="55"/>
      <c r="N527" s="10"/>
      <c r="O527" s="96"/>
      <c r="Q527" s="96"/>
      <c r="T527" s="96"/>
    </row>
    <row r="528" spans="1:20" s="101" customFormat="1" x14ac:dyDescent="0.15">
      <c r="A528" s="11"/>
      <c r="B528" s="10"/>
      <c r="C528" s="102"/>
      <c r="D528" s="10"/>
      <c r="E528" s="10"/>
      <c r="F528" s="102"/>
      <c r="G528" s="10"/>
      <c r="H528" s="10"/>
      <c r="I528" s="55"/>
      <c r="J528" s="55"/>
      <c r="K528" s="55"/>
      <c r="L528" s="55"/>
      <c r="M528" s="55"/>
      <c r="N528" s="10"/>
      <c r="O528" s="96"/>
      <c r="Q528" s="96"/>
      <c r="T528" s="96"/>
    </row>
    <row r="529" spans="1:20" s="101" customFormat="1" x14ac:dyDescent="0.15">
      <c r="A529" s="11"/>
      <c r="B529" s="10"/>
      <c r="C529" s="102"/>
      <c r="D529" s="10"/>
      <c r="E529" s="10"/>
      <c r="F529" s="102"/>
      <c r="G529" s="10"/>
      <c r="H529" s="10"/>
      <c r="I529" s="55"/>
      <c r="J529" s="55"/>
      <c r="K529" s="55"/>
      <c r="L529" s="55"/>
      <c r="M529" s="55"/>
      <c r="N529" s="10"/>
      <c r="O529" s="96"/>
      <c r="Q529" s="96"/>
      <c r="T529" s="96"/>
    </row>
    <row r="530" spans="1:20" s="101" customFormat="1" x14ac:dyDescent="0.15">
      <c r="A530" s="11"/>
      <c r="B530" s="10"/>
      <c r="C530" s="102"/>
      <c r="D530" s="10"/>
      <c r="E530" s="10"/>
      <c r="F530" s="102"/>
      <c r="G530" s="10"/>
      <c r="H530" s="10"/>
      <c r="I530" s="55"/>
      <c r="J530" s="55"/>
      <c r="K530" s="55"/>
      <c r="L530" s="55"/>
      <c r="M530" s="55"/>
      <c r="N530" s="10"/>
      <c r="O530" s="96"/>
      <c r="Q530" s="96"/>
      <c r="T530" s="96"/>
    </row>
    <row r="531" spans="1:20" s="101" customFormat="1" x14ac:dyDescent="0.15">
      <c r="A531" s="11"/>
      <c r="B531" s="10"/>
      <c r="C531" s="102"/>
      <c r="D531" s="10"/>
      <c r="E531" s="10"/>
      <c r="F531" s="102"/>
      <c r="G531" s="10"/>
      <c r="H531" s="10"/>
      <c r="I531" s="55"/>
      <c r="J531" s="55"/>
      <c r="K531" s="55"/>
      <c r="L531" s="55"/>
      <c r="M531" s="55"/>
      <c r="N531" s="10"/>
      <c r="O531" s="96"/>
      <c r="Q531" s="96"/>
      <c r="T531" s="96"/>
    </row>
    <row r="532" spans="1:20" s="101" customFormat="1" x14ac:dyDescent="0.15">
      <c r="A532" s="11"/>
      <c r="B532" s="10"/>
      <c r="C532" s="102"/>
      <c r="D532" s="10"/>
      <c r="E532" s="10"/>
      <c r="F532" s="102"/>
      <c r="G532" s="10"/>
      <c r="H532" s="10"/>
      <c r="I532" s="55"/>
      <c r="J532" s="55"/>
      <c r="K532" s="55"/>
      <c r="L532" s="55"/>
      <c r="M532" s="55"/>
      <c r="N532" s="10"/>
      <c r="O532" s="96"/>
      <c r="Q532" s="96"/>
      <c r="T532" s="96"/>
    </row>
    <row r="533" spans="1:20" s="101" customFormat="1" x14ac:dyDescent="0.15">
      <c r="A533" s="11"/>
      <c r="B533" s="10"/>
      <c r="C533" s="102"/>
      <c r="D533" s="10"/>
      <c r="E533" s="10"/>
      <c r="F533" s="102"/>
      <c r="G533" s="10"/>
      <c r="H533" s="10"/>
      <c r="I533" s="55"/>
      <c r="J533" s="55"/>
      <c r="K533" s="55"/>
      <c r="L533" s="55"/>
      <c r="M533" s="55"/>
      <c r="N533" s="10"/>
      <c r="O533" s="96"/>
      <c r="Q533" s="96"/>
      <c r="T533" s="96"/>
    </row>
    <row r="534" spans="1:20" s="101" customFormat="1" x14ac:dyDescent="0.15">
      <c r="A534" s="11"/>
      <c r="B534" s="10"/>
      <c r="C534" s="102"/>
      <c r="D534" s="10"/>
      <c r="E534" s="10"/>
      <c r="F534" s="102"/>
      <c r="G534" s="10"/>
      <c r="H534" s="10"/>
      <c r="I534" s="55"/>
      <c r="J534" s="55"/>
      <c r="K534" s="55"/>
      <c r="L534" s="55"/>
      <c r="M534" s="55"/>
      <c r="N534" s="10"/>
      <c r="O534" s="96"/>
      <c r="Q534" s="96"/>
      <c r="T534" s="96"/>
    </row>
    <row r="535" spans="1:20" s="101" customFormat="1" x14ac:dyDescent="0.15">
      <c r="A535" s="11"/>
      <c r="B535" s="10"/>
      <c r="C535" s="102"/>
      <c r="D535" s="10"/>
      <c r="E535" s="10"/>
      <c r="F535" s="102"/>
      <c r="G535" s="10"/>
      <c r="H535" s="10"/>
      <c r="I535" s="55"/>
      <c r="J535" s="55"/>
      <c r="K535" s="55"/>
      <c r="L535" s="55"/>
      <c r="M535" s="55"/>
      <c r="N535" s="10"/>
      <c r="O535" s="96"/>
      <c r="Q535" s="96"/>
      <c r="T535" s="96"/>
    </row>
    <row r="536" spans="1:20" s="101" customFormat="1" x14ac:dyDescent="0.15">
      <c r="A536" s="11"/>
      <c r="B536" s="10"/>
      <c r="C536" s="102"/>
      <c r="D536" s="10"/>
      <c r="E536" s="10"/>
      <c r="F536" s="102"/>
      <c r="G536" s="10"/>
      <c r="H536" s="10"/>
      <c r="I536" s="55"/>
      <c r="J536" s="55"/>
      <c r="K536" s="55"/>
      <c r="L536" s="55"/>
      <c r="M536" s="55"/>
      <c r="N536" s="10"/>
      <c r="O536" s="96"/>
      <c r="Q536" s="96"/>
      <c r="T536" s="96"/>
    </row>
    <row r="537" spans="1:20" s="101" customFormat="1" x14ac:dyDescent="0.15">
      <c r="A537" s="11"/>
      <c r="B537" s="10"/>
      <c r="C537" s="102"/>
      <c r="D537" s="10"/>
      <c r="E537" s="10"/>
      <c r="F537" s="102"/>
      <c r="G537" s="10"/>
      <c r="H537" s="10"/>
      <c r="I537" s="55"/>
      <c r="J537" s="55"/>
      <c r="K537" s="55"/>
      <c r="L537" s="55"/>
      <c r="M537" s="55"/>
      <c r="N537" s="10"/>
      <c r="O537" s="96"/>
      <c r="Q537" s="96"/>
      <c r="T537" s="96"/>
    </row>
    <row r="538" spans="1:20" s="101" customFormat="1" x14ac:dyDescent="0.15">
      <c r="A538" s="11"/>
      <c r="B538" s="10"/>
      <c r="C538" s="102"/>
      <c r="D538" s="10"/>
      <c r="E538" s="10"/>
      <c r="F538" s="102"/>
      <c r="G538" s="10"/>
      <c r="H538" s="10"/>
      <c r="I538" s="55"/>
      <c r="J538" s="55"/>
      <c r="K538" s="55"/>
      <c r="L538" s="55"/>
      <c r="M538" s="55"/>
      <c r="N538" s="10"/>
      <c r="O538" s="96"/>
      <c r="Q538" s="96"/>
      <c r="T538" s="96"/>
    </row>
    <row r="539" spans="1:20" s="101" customFormat="1" x14ac:dyDescent="0.15">
      <c r="A539" s="11"/>
      <c r="B539" s="10"/>
      <c r="C539" s="102"/>
      <c r="D539" s="10"/>
      <c r="E539" s="10"/>
      <c r="F539" s="102"/>
      <c r="G539" s="10"/>
      <c r="H539" s="10"/>
      <c r="I539" s="55"/>
      <c r="J539" s="55"/>
      <c r="K539" s="55"/>
      <c r="L539" s="55"/>
      <c r="M539" s="55"/>
      <c r="N539" s="10"/>
      <c r="O539" s="96"/>
      <c r="Q539" s="96"/>
      <c r="T539" s="96"/>
    </row>
    <row r="540" spans="1:20" s="101" customFormat="1" x14ac:dyDescent="0.15">
      <c r="A540" s="11"/>
      <c r="B540" s="10"/>
      <c r="C540" s="102"/>
      <c r="D540" s="10"/>
      <c r="E540" s="10"/>
      <c r="F540" s="102"/>
      <c r="G540" s="10"/>
      <c r="H540" s="10"/>
      <c r="I540" s="55"/>
      <c r="J540" s="55"/>
      <c r="K540" s="55"/>
      <c r="L540" s="55"/>
      <c r="M540" s="55"/>
      <c r="N540" s="10"/>
      <c r="O540" s="96"/>
      <c r="Q540" s="96"/>
      <c r="T540" s="96"/>
    </row>
    <row r="541" spans="1:20" s="101" customFormat="1" x14ac:dyDescent="0.15">
      <c r="A541" s="11"/>
      <c r="B541" s="10"/>
      <c r="C541" s="102"/>
      <c r="D541" s="10"/>
      <c r="E541" s="10"/>
      <c r="F541" s="102"/>
      <c r="G541" s="10"/>
      <c r="H541" s="10"/>
      <c r="I541" s="55"/>
      <c r="J541" s="55"/>
      <c r="K541" s="55"/>
      <c r="L541" s="55"/>
      <c r="M541" s="55"/>
      <c r="N541" s="10"/>
      <c r="O541" s="96"/>
      <c r="Q541" s="96"/>
      <c r="T541" s="96"/>
    </row>
    <row r="542" spans="1:20" s="101" customFormat="1" x14ac:dyDescent="0.15">
      <c r="A542" s="11"/>
      <c r="B542" s="10"/>
      <c r="C542" s="102"/>
      <c r="D542" s="10"/>
      <c r="E542" s="10"/>
      <c r="F542" s="102"/>
      <c r="G542" s="10"/>
      <c r="H542" s="10"/>
      <c r="I542" s="55"/>
      <c r="J542" s="55"/>
      <c r="K542" s="55"/>
      <c r="L542" s="55"/>
      <c r="M542" s="55"/>
      <c r="N542" s="10"/>
      <c r="O542" s="96"/>
      <c r="Q542" s="96"/>
      <c r="T542" s="96"/>
    </row>
    <row r="543" spans="1:20" s="101" customFormat="1" x14ac:dyDescent="0.15">
      <c r="A543" s="11"/>
      <c r="B543" s="10"/>
      <c r="C543" s="102"/>
      <c r="D543" s="10"/>
      <c r="E543" s="10"/>
      <c r="F543" s="102"/>
      <c r="G543" s="10"/>
      <c r="H543" s="10"/>
      <c r="I543" s="55"/>
      <c r="J543" s="55"/>
      <c r="K543" s="55"/>
      <c r="L543" s="55"/>
      <c r="M543" s="55"/>
      <c r="N543" s="10"/>
      <c r="O543" s="96"/>
      <c r="Q543" s="96"/>
      <c r="T543" s="96"/>
    </row>
    <row r="544" spans="1:20" s="101" customFormat="1" x14ac:dyDescent="0.15">
      <c r="A544" s="11"/>
      <c r="B544" s="10"/>
      <c r="C544" s="102"/>
      <c r="D544" s="10"/>
      <c r="E544" s="10"/>
      <c r="F544" s="102"/>
      <c r="G544" s="10"/>
      <c r="H544" s="10"/>
      <c r="I544" s="55"/>
      <c r="J544" s="55"/>
      <c r="K544" s="55"/>
      <c r="L544" s="55"/>
      <c r="M544" s="55"/>
      <c r="N544" s="10"/>
      <c r="O544" s="96"/>
      <c r="Q544" s="96"/>
      <c r="T544" s="96"/>
    </row>
    <row r="545" spans="1:20" s="101" customFormat="1" x14ac:dyDescent="0.15">
      <c r="A545" s="11"/>
      <c r="B545" s="10"/>
      <c r="C545" s="102"/>
      <c r="D545" s="10"/>
      <c r="E545" s="10"/>
      <c r="F545" s="102"/>
      <c r="G545" s="10"/>
      <c r="H545" s="10"/>
      <c r="I545" s="55"/>
      <c r="J545" s="55"/>
      <c r="K545" s="55"/>
      <c r="L545" s="55"/>
      <c r="M545" s="55"/>
      <c r="N545" s="10"/>
      <c r="O545" s="96"/>
      <c r="Q545" s="96"/>
      <c r="T545" s="96"/>
    </row>
    <row r="546" spans="1:20" s="101" customFormat="1" x14ac:dyDescent="0.15">
      <c r="A546" s="11"/>
      <c r="B546" s="10"/>
      <c r="C546" s="102"/>
      <c r="D546" s="10"/>
      <c r="E546" s="10"/>
      <c r="F546" s="102"/>
      <c r="G546" s="10"/>
      <c r="H546" s="10"/>
      <c r="I546" s="55"/>
      <c r="J546" s="55"/>
      <c r="K546" s="55"/>
      <c r="L546" s="55"/>
      <c r="M546" s="55"/>
      <c r="N546" s="10"/>
      <c r="O546" s="96"/>
      <c r="Q546" s="96"/>
      <c r="T546" s="96"/>
    </row>
    <row r="547" spans="1:20" s="101" customFormat="1" x14ac:dyDescent="0.15">
      <c r="A547" s="11"/>
      <c r="B547" s="10"/>
      <c r="C547" s="102"/>
      <c r="D547" s="10"/>
      <c r="E547" s="10"/>
      <c r="F547" s="102"/>
      <c r="G547" s="10"/>
      <c r="H547" s="10"/>
      <c r="I547" s="55"/>
      <c r="J547" s="55"/>
      <c r="K547" s="55"/>
      <c r="L547" s="55"/>
      <c r="M547" s="55"/>
      <c r="N547" s="10"/>
      <c r="O547" s="96"/>
      <c r="Q547" s="96"/>
      <c r="T547" s="96"/>
    </row>
    <row r="548" spans="1:20" s="101" customFormat="1" x14ac:dyDescent="0.15">
      <c r="A548" s="11"/>
      <c r="B548" s="10"/>
      <c r="C548" s="102"/>
      <c r="D548" s="10"/>
      <c r="E548" s="10"/>
      <c r="F548" s="102"/>
      <c r="G548" s="10"/>
      <c r="H548" s="10"/>
      <c r="I548" s="55"/>
      <c r="J548" s="55"/>
      <c r="K548" s="55"/>
      <c r="L548" s="55"/>
      <c r="M548" s="55"/>
      <c r="N548" s="10"/>
      <c r="O548" s="96"/>
      <c r="Q548" s="96"/>
      <c r="T548" s="96"/>
    </row>
    <row r="549" spans="1:20" s="101" customFormat="1" x14ac:dyDescent="0.15">
      <c r="A549" s="11"/>
      <c r="B549" s="10"/>
      <c r="C549" s="102"/>
      <c r="D549" s="10"/>
      <c r="E549" s="10"/>
      <c r="F549" s="102"/>
      <c r="G549" s="10"/>
      <c r="H549" s="10"/>
      <c r="I549" s="55"/>
      <c r="J549" s="55"/>
      <c r="K549" s="55"/>
      <c r="L549" s="55"/>
      <c r="M549" s="55"/>
      <c r="N549" s="10"/>
      <c r="O549" s="96"/>
      <c r="Q549" s="96"/>
      <c r="T549" s="96"/>
    </row>
    <row r="550" spans="1:20" s="101" customFormat="1" x14ac:dyDescent="0.15">
      <c r="A550" s="11"/>
      <c r="B550" s="10"/>
      <c r="C550" s="102"/>
      <c r="D550" s="10"/>
      <c r="E550" s="10"/>
      <c r="F550" s="102"/>
      <c r="G550" s="10"/>
      <c r="H550" s="10"/>
      <c r="I550" s="55"/>
      <c r="J550" s="55"/>
      <c r="K550" s="55"/>
      <c r="L550" s="55"/>
      <c r="M550" s="55"/>
      <c r="N550" s="10"/>
      <c r="O550" s="96"/>
      <c r="Q550" s="96"/>
      <c r="T550" s="96"/>
    </row>
    <row r="551" spans="1:20" s="101" customFormat="1" x14ac:dyDescent="0.15">
      <c r="A551" s="11"/>
      <c r="B551" s="10"/>
      <c r="C551" s="102"/>
      <c r="D551" s="10"/>
      <c r="E551" s="10"/>
      <c r="F551" s="102"/>
      <c r="G551" s="10"/>
      <c r="H551" s="10"/>
      <c r="I551" s="55"/>
      <c r="J551" s="55"/>
      <c r="K551" s="55"/>
      <c r="L551" s="55"/>
      <c r="M551" s="55"/>
      <c r="N551" s="10"/>
      <c r="O551" s="96"/>
      <c r="Q551" s="96"/>
      <c r="T551" s="96"/>
    </row>
    <row r="552" spans="1:20" s="101" customFormat="1" x14ac:dyDescent="0.15">
      <c r="A552" s="11"/>
      <c r="B552" s="10"/>
      <c r="C552" s="102"/>
      <c r="D552" s="10"/>
      <c r="E552" s="10"/>
      <c r="F552" s="102"/>
      <c r="G552" s="10"/>
      <c r="H552" s="10"/>
      <c r="I552" s="55"/>
      <c r="J552" s="55"/>
      <c r="K552" s="55"/>
      <c r="L552" s="55"/>
      <c r="M552" s="55"/>
      <c r="N552" s="10"/>
      <c r="O552" s="96"/>
      <c r="Q552" s="96"/>
      <c r="T552" s="96"/>
    </row>
    <row r="553" spans="1:20" s="101" customFormat="1" x14ac:dyDescent="0.15">
      <c r="A553" s="11"/>
      <c r="B553" s="10"/>
      <c r="C553" s="102"/>
      <c r="D553" s="10"/>
      <c r="E553" s="10"/>
      <c r="F553" s="102"/>
      <c r="G553" s="10"/>
      <c r="H553" s="10"/>
      <c r="I553" s="55"/>
      <c r="J553" s="55"/>
      <c r="K553" s="55"/>
      <c r="L553" s="55"/>
      <c r="M553" s="55"/>
      <c r="N553" s="10"/>
      <c r="O553" s="96"/>
      <c r="Q553" s="96"/>
      <c r="T553" s="96"/>
    </row>
    <row r="554" spans="1:20" s="101" customFormat="1" x14ac:dyDescent="0.15">
      <c r="A554" s="11"/>
      <c r="B554" s="10"/>
      <c r="C554" s="102"/>
      <c r="D554" s="10"/>
      <c r="E554" s="10"/>
      <c r="F554" s="102"/>
      <c r="G554" s="10"/>
      <c r="H554" s="10"/>
      <c r="I554" s="55"/>
      <c r="J554" s="55"/>
      <c r="K554" s="55"/>
      <c r="L554" s="55"/>
      <c r="M554" s="55"/>
      <c r="N554" s="10"/>
      <c r="O554" s="96"/>
      <c r="Q554" s="96"/>
      <c r="T554" s="96"/>
    </row>
    <row r="555" spans="1:20" s="101" customFormat="1" x14ac:dyDescent="0.15">
      <c r="A555" s="11"/>
      <c r="B555" s="10"/>
      <c r="C555" s="102"/>
      <c r="D555" s="10"/>
      <c r="E555" s="10"/>
      <c r="F555" s="102"/>
      <c r="G555" s="10"/>
      <c r="H555" s="10"/>
      <c r="I555" s="55"/>
      <c r="J555" s="55"/>
      <c r="K555" s="55"/>
      <c r="L555" s="55"/>
      <c r="M555" s="55"/>
      <c r="N555" s="10"/>
      <c r="O555" s="96"/>
      <c r="Q555" s="96"/>
      <c r="T555" s="96"/>
    </row>
    <row r="556" spans="1:20" s="101" customFormat="1" x14ac:dyDescent="0.15">
      <c r="A556" s="11"/>
      <c r="B556" s="10"/>
      <c r="C556" s="102"/>
      <c r="D556" s="10"/>
      <c r="E556" s="10"/>
      <c r="F556" s="102"/>
      <c r="G556" s="10"/>
      <c r="H556" s="10"/>
      <c r="I556" s="55"/>
      <c r="J556" s="55"/>
      <c r="K556" s="55"/>
      <c r="L556" s="55"/>
      <c r="M556" s="55"/>
      <c r="N556" s="10"/>
      <c r="O556" s="96"/>
      <c r="Q556" s="96"/>
      <c r="T556" s="96"/>
    </row>
    <row r="557" spans="1:20" s="101" customFormat="1" x14ac:dyDescent="0.15">
      <c r="A557" s="11"/>
      <c r="B557" s="10"/>
      <c r="C557" s="102"/>
      <c r="D557" s="10"/>
      <c r="E557" s="10"/>
      <c r="F557" s="102"/>
      <c r="G557" s="10"/>
      <c r="H557" s="10"/>
      <c r="I557" s="55"/>
      <c r="J557" s="55"/>
      <c r="K557" s="55"/>
      <c r="L557" s="55"/>
      <c r="M557" s="55"/>
      <c r="N557" s="10"/>
      <c r="O557" s="96"/>
      <c r="Q557" s="96"/>
      <c r="T557" s="96"/>
    </row>
    <row r="558" spans="1:20" s="101" customFormat="1" x14ac:dyDescent="0.15">
      <c r="A558" s="11"/>
      <c r="B558" s="10"/>
      <c r="C558" s="102"/>
      <c r="D558" s="10"/>
      <c r="E558" s="10"/>
      <c r="F558" s="102"/>
      <c r="G558" s="10"/>
      <c r="H558" s="10"/>
      <c r="I558" s="55"/>
      <c r="J558" s="55"/>
      <c r="K558" s="55"/>
      <c r="L558" s="55"/>
      <c r="M558" s="55"/>
      <c r="N558" s="10"/>
      <c r="O558" s="96"/>
      <c r="Q558" s="96"/>
      <c r="T558" s="96"/>
    </row>
    <row r="559" spans="1:20" s="101" customFormat="1" x14ac:dyDescent="0.15">
      <c r="A559" s="11"/>
      <c r="B559" s="10"/>
      <c r="C559" s="102"/>
      <c r="D559" s="10"/>
      <c r="E559" s="10"/>
      <c r="F559" s="102"/>
      <c r="G559" s="10"/>
      <c r="H559" s="10"/>
      <c r="I559" s="55"/>
      <c r="J559" s="55"/>
      <c r="K559" s="55"/>
      <c r="L559" s="55"/>
      <c r="M559" s="55"/>
      <c r="N559" s="10"/>
      <c r="O559" s="96"/>
      <c r="Q559" s="96"/>
      <c r="T559" s="96"/>
    </row>
    <row r="560" spans="1:20" s="101" customFormat="1" x14ac:dyDescent="0.15">
      <c r="A560" s="11"/>
      <c r="B560" s="10"/>
      <c r="C560" s="102"/>
      <c r="D560" s="10"/>
      <c r="E560" s="10"/>
      <c r="F560" s="102"/>
      <c r="G560" s="10"/>
      <c r="H560" s="10"/>
      <c r="I560" s="55"/>
      <c r="J560" s="55"/>
      <c r="K560" s="55"/>
      <c r="L560" s="55"/>
      <c r="M560" s="55"/>
      <c r="N560" s="10"/>
      <c r="O560" s="96"/>
      <c r="Q560" s="96"/>
      <c r="T560" s="96"/>
    </row>
    <row r="561" spans="1:20" s="101" customFormat="1" x14ac:dyDescent="0.15">
      <c r="A561" s="11"/>
      <c r="B561" s="10"/>
      <c r="C561" s="102"/>
      <c r="D561" s="10"/>
      <c r="E561" s="10"/>
      <c r="F561" s="102"/>
      <c r="G561" s="10"/>
      <c r="H561" s="10"/>
      <c r="I561" s="55"/>
      <c r="J561" s="55"/>
      <c r="K561" s="55"/>
      <c r="L561" s="55"/>
      <c r="M561" s="55"/>
      <c r="N561" s="10"/>
      <c r="O561" s="96"/>
      <c r="Q561" s="96"/>
      <c r="T561" s="96"/>
    </row>
    <row r="562" spans="1:20" s="101" customFormat="1" x14ac:dyDescent="0.15">
      <c r="A562" s="11"/>
      <c r="B562" s="10"/>
      <c r="C562" s="102"/>
      <c r="D562" s="10"/>
      <c r="E562" s="10"/>
      <c r="F562" s="102"/>
      <c r="G562" s="10"/>
      <c r="H562" s="10"/>
      <c r="I562" s="55"/>
      <c r="J562" s="55"/>
      <c r="K562" s="55"/>
      <c r="L562" s="55"/>
      <c r="M562" s="55"/>
      <c r="N562" s="10"/>
      <c r="O562" s="96"/>
      <c r="Q562" s="96"/>
      <c r="T562" s="96"/>
    </row>
    <row r="563" spans="1:20" s="101" customFormat="1" x14ac:dyDescent="0.15">
      <c r="A563" s="11"/>
      <c r="B563" s="10"/>
      <c r="C563" s="102"/>
      <c r="D563" s="10"/>
      <c r="E563" s="10"/>
      <c r="F563" s="102"/>
      <c r="G563" s="10"/>
      <c r="H563" s="10"/>
      <c r="I563" s="55"/>
      <c r="J563" s="55"/>
      <c r="K563" s="55"/>
      <c r="L563" s="55"/>
      <c r="M563" s="55"/>
      <c r="N563" s="10"/>
      <c r="O563" s="96"/>
      <c r="Q563" s="96"/>
      <c r="T563" s="96"/>
    </row>
    <row r="564" spans="1:20" s="101" customFormat="1" x14ac:dyDescent="0.15">
      <c r="A564" s="11"/>
      <c r="B564" s="10"/>
      <c r="C564" s="102"/>
      <c r="D564" s="10"/>
      <c r="E564" s="10"/>
      <c r="F564" s="102"/>
      <c r="G564" s="10"/>
      <c r="H564" s="10"/>
      <c r="I564" s="55"/>
      <c r="J564" s="55"/>
      <c r="K564" s="55"/>
      <c r="L564" s="55"/>
      <c r="M564" s="55"/>
      <c r="N564" s="10"/>
      <c r="O564" s="96"/>
      <c r="Q564" s="96"/>
      <c r="T564" s="96"/>
    </row>
    <row r="565" spans="1:20" s="101" customFormat="1" x14ac:dyDescent="0.15">
      <c r="A565" s="11"/>
      <c r="B565" s="10"/>
      <c r="C565" s="102"/>
      <c r="D565" s="10"/>
      <c r="E565" s="10"/>
      <c r="F565" s="102"/>
      <c r="G565" s="10"/>
      <c r="H565" s="10"/>
      <c r="I565" s="55"/>
      <c r="J565" s="55"/>
      <c r="K565" s="55"/>
      <c r="L565" s="55"/>
      <c r="M565" s="55"/>
      <c r="N565" s="10"/>
      <c r="O565" s="96"/>
      <c r="Q565" s="96"/>
      <c r="T565" s="96"/>
    </row>
    <row r="566" spans="1:20" s="101" customFormat="1" x14ac:dyDescent="0.15">
      <c r="A566" s="11"/>
      <c r="B566" s="10"/>
      <c r="C566" s="102"/>
      <c r="D566" s="10"/>
      <c r="E566" s="10"/>
      <c r="F566" s="102"/>
      <c r="G566" s="10"/>
      <c r="H566" s="10"/>
      <c r="I566" s="55"/>
      <c r="J566" s="55"/>
      <c r="K566" s="55"/>
      <c r="L566" s="55"/>
      <c r="M566" s="55"/>
      <c r="N566" s="10"/>
      <c r="O566" s="96"/>
      <c r="Q566" s="96"/>
      <c r="T566" s="96"/>
    </row>
    <row r="567" spans="1:20" s="101" customFormat="1" x14ac:dyDescent="0.15">
      <c r="A567" s="11"/>
      <c r="B567" s="10"/>
      <c r="C567" s="102"/>
      <c r="D567" s="10"/>
      <c r="E567" s="10"/>
      <c r="F567" s="102"/>
      <c r="G567" s="10"/>
      <c r="H567" s="10"/>
      <c r="I567" s="55"/>
      <c r="J567" s="55"/>
      <c r="K567" s="55"/>
      <c r="L567" s="55"/>
      <c r="M567" s="55"/>
      <c r="N567" s="10"/>
      <c r="O567" s="96"/>
      <c r="Q567" s="96"/>
      <c r="T567" s="96"/>
    </row>
    <row r="568" spans="1:20" s="101" customFormat="1" x14ac:dyDescent="0.15">
      <c r="A568" s="11"/>
      <c r="B568" s="10"/>
      <c r="C568" s="102"/>
      <c r="D568" s="10"/>
      <c r="E568" s="10"/>
      <c r="F568" s="102"/>
      <c r="G568" s="10"/>
      <c r="H568" s="10"/>
      <c r="I568" s="55"/>
      <c r="J568" s="55"/>
      <c r="K568" s="55"/>
      <c r="L568" s="55"/>
      <c r="M568" s="55"/>
      <c r="N568" s="10"/>
      <c r="O568" s="96"/>
      <c r="Q568" s="96"/>
      <c r="T568" s="96"/>
    </row>
    <row r="569" spans="1:20" s="101" customFormat="1" x14ac:dyDescent="0.15">
      <c r="A569" s="11"/>
      <c r="B569" s="10"/>
      <c r="C569" s="102"/>
      <c r="D569" s="10"/>
      <c r="E569" s="10"/>
      <c r="F569" s="102"/>
      <c r="G569" s="10"/>
      <c r="H569" s="10"/>
      <c r="I569" s="55"/>
      <c r="J569" s="55"/>
      <c r="K569" s="55"/>
      <c r="L569" s="55"/>
      <c r="M569" s="55"/>
      <c r="N569" s="10"/>
      <c r="O569" s="96"/>
      <c r="Q569" s="96"/>
      <c r="T569" s="96"/>
    </row>
    <row r="570" spans="1:20" s="101" customFormat="1" x14ac:dyDescent="0.15">
      <c r="A570" s="11"/>
      <c r="B570" s="10"/>
      <c r="C570" s="102"/>
      <c r="D570" s="10"/>
      <c r="E570" s="10"/>
      <c r="F570" s="102"/>
      <c r="G570" s="10"/>
      <c r="H570" s="10"/>
      <c r="I570" s="55"/>
      <c r="J570" s="55"/>
      <c r="K570" s="55"/>
      <c r="L570" s="55"/>
      <c r="M570" s="55"/>
      <c r="N570" s="10"/>
      <c r="O570" s="96"/>
      <c r="Q570" s="96"/>
      <c r="T570" s="96"/>
    </row>
    <row r="571" spans="1:20" s="101" customFormat="1" x14ac:dyDescent="0.15">
      <c r="A571" s="11"/>
      <c r="B571" s="10"/>
      <c r="C571" s="102"/>
      <c r="D571" s="10"/>
      <c r="E571" s="10"/>
      <c r="F571" s="102"/>
      <c r="G571" s="10"/>
      <c r="H571" s="10"/>
      <c r="I571" s="55"/>
      <c r="J571" s="55"/>
      <c r="K571" s="55"/>
      <c r="L571" s="55"/>
      <c r="M571" s="55"/>
      <c r="N571" s="10"/>
      <c r="O571" s="96"/>
      <c r="Q571" s="96"/>
      <c r="T571" s="96"/>
    </row>
    <row r="572" spans="1:20" s="101" customFormat="1" x14ac:dyDescent="0.15">
      <c r="A572" s="11"/>
      <c r="B572" s="10"/>
      <c r="C572" s="102"/>
      <c r="D572" s="10"/>
      <c r="E572" s="10"/>
      <c r="F572" s="102"/>
      <c r="G572" s="10"/>
      <c r="H572" s="10"/>
      <c r="I572" s="55"/>
      <c r="J572" s="55"/>
      <c r="K572" s="55"/>
      <c r="L572" s="55"/>
      <c r="M572" s="55"/>
      <c r="N572" s="10"/>
      <c r="O572" s="96"/>
      <c r="Q572" s="96"/>
      <c r="T572" s="96"/>
    </row>
    <row r="573" spans="1:20" s="101" customFormat="1" x14ac:dyDescent="0.15">
      <c r="A573" s="11"/>
      <c r="B573" s="10"/>
      <c r="C573" s="102"/>
      <c r="D573" s="10"/>
      <c r="E573" s="10"/>
      <c r="F573" s="102"/>
      <c r="G573" s="10"/>
      <c r="H573" s="10"/>
      <c r="I573" s="55"/>
      <c r="J573" s="55"/>
      <c r="K573" s="55"/>
      <c r="L573" s="55"/>
      <c r="M573" s="55"/>
      <c r="N573" s="10"/>
      <c r="O573" s="96"/>
      <c r="Q573" s="96"/>
      <c r="T573" s="96"/>
    </row>
    <row r="574" spans="1:20" s="101" customFormat="1" x14ac:dyDescent="0.15">
      <c r="A574" s="11"/>
      <c r="B574" s="10"/>
      <c r="C574" s="102"/>
      <c r="D574" s="10"/>
      <c r="E574" s="10"/>
      <c r="F574" s="102"/>
      <c r="G574" s="10"/>
      <c r="H574" s="10"/>
      <c r="I574" s="55"/>
      <c r="J574" s="55"/>
      <c r="K574" s="55"/>
      <c r="L574" s="55"/>
      <c r="M574" s="55"/>
      <c r="N574" s="10"/>
      <c r="O574" s="96"/>
      <c r="Q574" s="96"/>
      <c r="T574" s="96"/>
    </row>
    <row r="575" spans="1:20" s="101" customFormat="1" x14ac:dyDescent="0.15">
      <c r="A575" s="11"/>
      <c r="B575" s="10"/>
      <c r="C575" s="102"/>
      <c r="D575" s="10"/>
      <c r="E575" s="10"/>
      <c r="F575" s="102"/>
      <c r="G575" s="10"/>
      <c r="H575" s="10"/>
      <c r="I575" s="55"/>
      <c r="J575" s="55"/>
      <c r="K575" s="55"/>
      <c r="L575" s="55"/>
      <c r="M575" s="55"/>
      <c r="N575" s="10"/>
      <c r="O575" s="96"/>
      <c r="Q575" s="96"/>
      <c r="T575" s="96"/>
    </row>
    <row r="576" spans="1:20" s="101" customFormat="1" x14ac:dyDescent="0.15">
      <c r="A576" s="11"/>
      <c r="B576" s="10"/>
      <c r="C576" s="102"/>
      <c r="D576" s="10"/>
      <c r="E576" s="10"/>
      <c r="F576" s="102"/>
      <c r="G576" s="10"/>
      <c r="H576" s="10"/>
      <c r="I576" s="55"/>
      <c r="J576" s="55"/>
      <c r="K576" s="55"/>
      <c r="L576" s="55"/>
      <c r="M576" s="55"/>
      <c r="N576" s="10"/>
      <c r="O576" s="96"/>
      <c r="Q576" s="96"/>
      <c r="T576" s="96"/>
    </row>
    <row r="577" spans="1:20" s="101" customFormat="1" x14ac:dyDescent="0.15">
      <c r="A577" s="11"/>
      <c r="B577" s="10"/>
      <c r="C577" s="102"/>
      <c r="D577" s="10"/>
      <c r="E577" s="10"/>
      <c r="F577" s="102"/>
      <c r="G577" s="10"/>
      <c r="H577" s="10"/>
      <c r="I577" s="55"/>
      <c r="J577" s="55"/>
      <c r="K577" s="55"/>
      <c r="L577" s="55"/>
      <c r="M577" s="55"/>
      <c r="N577" s="10"/>
      <c r="O577" s="96"/>
      <c r="Q577" s="96"/>
      <c r="T577" s="96"/>
    </row>
    <row r="578" spans="1:20" s="101" customFormat="1" x14ac:dyDescent="0.15">
      <c r="A578" s="11"/>
      <c r="B578" s="10"/>
      <c r="C578" s="102"/>
      <c r="D578" s="10"/>
      <c r="E578" s="10"/>
      <c r="F578" s="102"/>
      <c r="G578" s="10"/>
      <c r="H578" s="10"/>
      <c r="I578" s="55"/>
      <c r="J578" s="55"/>
      <c r="K578" s="55"/>
      <c r="L578" s="55"/>
      <c r="M578" s="55"/>
      <c r="N578" s="10"/>
      <c r="O578" s="96"/>
      <c r="Q578" s="96"/>
      <c r="T578" s="96"/>
    </row>
    <row r="579" spans="1:20" s="101" customFormat="1" x14ac:dyDescent="0.15">
      <c r="A579" s="11"/>
      <c r="B579" s="10"/>
      <c r="C579" s="102"/>
      <c r="D579" s="10"/>
      <c r="E579" s="10"/>
      <c r="F579" s="102"/>
      <c r="G579" s="10"/>
      <c r="H579" s="10"/>
      <c r="I579" s="55"/>
      <c r="J579" s="55"/>
      <c r="K579" s="55"/>
      <c r="L579" s="55"/>
      <c r="M579" s="55"/>
      <c r="N579" s="10"/>
      <c r="O579" s="96"/>
      <c r="Q579" s="96"/>
      <c r="T579" s="96"/>
    </row>
    <row r="580" spans="1:20" s="101" customFormat="1" x14ac:dyDescent="0.15">
      <c r="A580" s="11"/>
      <c r="B580" s="10"/>
      <c r="C580" s="102"/>
      <c r="D580" s="10"/>
      <c r="E580" s="10"/>
      <c r="F580" s="102"/>
      <c r="G580" s="10"/>
      <c r="H580" s="10"/>
      <c r="I580" s="55"/>
      <c r="J580" s="55"/>
      <c r="K580" s="55"/>
      <c r="L580" s="55"/>
      <c r="M580" s="55"/>
      <c r="N580" s="10"/>
      <c r="O580" s="96"/>
      <c r="Q580" s="96"/>
      <c r="T580" s="96"/>
    </row>
    <row r="581" spans="1:20" s="101" customFormat="1" x14ac:dyDescent="0.15">
      <c r="A581" s="11"/>
      <c r="B581" s="10"/>
      <c r="C581" s="102"/>
      <c r="D581" s="10"/>
      <c r="E581" s="10"/>
      <c r="F581" s="102"/>
      <c r="G581" s="10"/>
      <c r="H581" s="10"/>
      <c r="I581" s="55"/>
      <c r="J581" s="55"/>
      <c r="K581" s="55"/>
      <c r="L581" s="55"/>
      <c r="M581" s="55"/>
      <c r="N581" s="10"/>
      <c r="O581" s="96"/>
      <c r="Q581" s="96"/>
      <c r="T581" s="96"/>
    </row>
    <row r="582" spans="1:20" s="101" customFormat="1" x14ac:dyDescent="0.15">
      <c r="A582" s="11"/>
      <c r="B582" s="10"/>
      <c r="C582" s="102"/>
      <c r="D582" s="10"/>
      <c r="E582" s="10"/>
      <c r="F582" s="102"/>
      <c r="G582" s="10"/>
      <c r="H582" s="10"/>
      <c r="I582" s="55"/>
      <c r="J582" s="55"/>
      <c r="K582" s="55"/>
      <c r="L582" s="55"/>
      <c r="M582" s="55"/>
      <c r="N582" s="10"/>
      <c r="O582" s="96"/>
      <c r="Q582" s="96"/>
      <c r="T582" s="96"/>
    </row>
    <row r="583" spans="1:20" s="101" customFormat="1" x14ac:dyDescent="0.15">
      <c r="A583" s="11"/>
      <c r="B583" s="10"/>
      <c r="C583" s="102"/>
      <c r="D583" s="10"/>
      <c r="E583" s="10"/>
      <c r="F583" s="102"/>
      <c r="G583" s="10"/>
      <c r="H583" s="10"/>
      <c r="I583" s="55"/>
      <c r="J583" s="55"/>
      <c r="K583" s="55"/>
      <c r="L583" s="55"/>
      <c r="M583" s="55"/>
      <c r="N583" s="10"/>
      <c r="O583" s="96"/>
      <c r="Q583" s="96"/>
      <c r="T583" s="96"/>
    </row>
    <row r="584" spans="1:20" s="101" customFormat="1" x14ac:dyDescent="0.15">
      <c r="A584" s="11"/>
      <c r="B584" s="10"/>
      <c r="C584" s="102"/>
      <c r="D584" s="10"/>
      <c r="E584" s="10"/>
      <c r="F584" s="102"/>
      <c r="G584" s="10"/>
      <c r="H584" s="10"/>
      <c r="I584" s="55"/>
      <c r="J584" s="55"/>
      <c r="K584" s="55"/>
      <c r="L584" s="55"/>
      <c r="M584" s="55"/>
      <c r="N584" s="10"/>
      <c r="O584" s="96"/>
      <c r="Q584" s="96"/>
      <c r="T584" s="96"/>
    </row>
    <row r="585" spans="1:20" s="101" customFormat="1" x14ac:dyDescent="0.15">
      <c r="A585" s="11"/>
      <c r="B585" s="10"/>
      <c r="C585" s="102"/>
      <c r="D585" s="10"/>
      <c r="E585" s="10"/>
      <c r="F585" s="102"/>
      <c r="G585" s="10"/>
      <c r="H585" s="10"/>
      <c r="I585" s="55"/>
      <c r="J585" s="55"/>
      <c r="K585" s="55"/>
      <c r="L585" s="55"/>
      <c r="M585" s="55"/>
      <c r="N585" s="10"/>
      <c r="O585" s="96"/>
      <c r="Q585" s="96"/>
      <c r="T585" s="96"/>
    </row>
    <row r="586" spans="1:20" s="101" customFormat="1" x14ac:dyDescent="0.15">
      <c r="A586" s="11"/>
      <c r="B586" s="10"/>
      <c r="C586" s="102"/>
      <c r="D586" s="10"/>
      <c r="E586" s="10"/>
      <c r="F586" s="102"/>
      <c r="G586" s="10"/>
      <c r="H586" s="10"/>
      <c r="I586" s="55"/>
      <c r="J586" s="55"/>
      <c r="K586" s="55"/>
      <c r="L586" s="55"/>
      <c r="M586" s="55"/>
      <c r="N586" s="10"/>
      <c r="O586" s="96"/>
      <c r="Q586" s="96"/>
      <c r="T586" s="96"/>
    </row>
    <row r="587" spans="1:20" s="101" customFormat="1" x14ac:dyDescent="0.15">
      <c r="A587" s="11"/>
      <c r="B587" s="10"/>
      <c r="C587" s="102"/>
      <c r="D587" s="10"/>
      <c r="E587" s="10"/>
      <c r="F587" s="102"/>
      <c r="G587" s="10"/>
      <c r="H587" s="10"/>
      <c r="I587" s="55"/>
      <c r="J587" s="55"/>
      <c r="K587" s="55"/>
      <c r="L587" s="55"/>
      <c r="M587" s="55"/>
      <c r="N587" s="10"/>
      <c r="O587" s="96"/>
      <c r="Q587" s="96"/>
      <c r="T587" s="96"/>
    </row>
    <row r="588" spans="1:20" s="101" customFormat="1" x14ac:dyDescent="0.15">
      <c r="A588" s="11"/>
      <c r="B588" s="10"/>
      <c r="C588" s="102"/>
      <c r="D588" s="10"/>
      <c r="E588" s="10"/>
      <c r="F588" s="102"/>
      <c r="G588" s="10"/>
      <c r="H588" s="10"/>
      <c r="I588" s="55"/>
      <c r="J588" s="55"/>
      <c r="K588" s="55"/>
      <c r="L588" s="55"/>
      <c r="M588" s="55"/>
      <c r="N588" s="10"/>
      <c r="O588" s="96"/>
      <c r="Q588" s="96"/>
      <c r="T588" s="96"/>
    </row>
    <row r="589" spans="1:20" s="101" customFormat="1" x14ac:dyDescent="0.15">
      <c r="A589" s="11"/>
      <c r="B589" s="10"/>
      <c r="C589" s="102"/>
      <c r="D589" s="10"/>
      <c r="E589" s="10"/>
      <c r="F589" s="102"/>
      <c r="G589" s="10"/>
      <c r="H589" s="10"/>
      <c r="I589" s="55"/>
      <c r="J589" s="55"/>
      <c r="K589" s="55"/>
      <c r="L589" s="55"/>
      <c r="M589" s="55"/>
      <c r="N589" s="10"/>
      <c r="O589" s="96"/>
      <c r="Q589" s="96"/>
      <c r="T589" s="96"/>
    </row>
    <row r="590" spans="1:20" s="101" customFormat="1" x14ac:dyDescent="0.15">
      <c r="A590" s="11"/>
      <c r="B590" s="10"/>
      <c r="C590" s="102"/>
      <c r="D590" s="10"/>
      <c r="E590" s="10"/>
      <c r="F590" s="102"/>
      <c r="G590" s="10"/>
      <c r="H590" s="10"/>
      <c r="I590" s="55"/>
      <c r="J590" s="55"/>
      <c r="K590" s="55"/>
      <c r="L590" s="55"/>
      <c r="M590" s="55"/>
      <c r="N590" s="10"/>
      <c r="O590" s="96"/>
      <c r="Q590" s="96"/>
      <c r="T590" s="96"/>
    </row>
    <row r="591" spans="1:20" s="101" customFormat="1" x14ac:dyDescent="0.15">
      <c r="A591" s="11"/>
      <c r="B591" s="10"/>
      <c r="C591" s="102"/>
      <c r="D591" s="10"/>
      <c r="E591" s="10"/>
      <c r="F591" s="102"/>
      <c r="G591" s="10"/>
      <c r="H591" s="10"/>
      <c r="I591" s="55"/>
      <c r="J591" s="55"/>
      <c r="K591" s="55"/>
      <c r="L591" s="55"/>
      <c r="M591" s="55"/>
      <c r="N591" s="10"/>
      <c r="O591" s="96"/>
      <c r="Q591" s="96"/>
      <c r="T591" s="96"/>
    </row>
    <row r="592" spans="1:20" s="101" customFormat="1" x14ac:dyDescent="0.15">
      <c r="A592" s="11"/>
      <c r="B592" s="10"/>
      <c r="C592" s="102"/>
      <c r="D592" s="10"/>
      <c r="E592" s="10"/>
      <c r="F592" s="102"/>
      <c r="G592" s="10"/>
      <c r="H592" s="10"/>
      <c r="I592" s="55"/>
      <c r="J592" s="55"/>
      <c r="K592" s="55"/>
      <c r="L592" s="55"/>
      <c r="M592" s="55"/>
      <c r="N592" s="10"/>
      <c r="O592" s="96"/>
      <c r="Q592" s="96"/>
      <c r="T592" s="96"/>
    </row>
    <row r="593" spans="1:20" s="101" customFormat="1" ht="19.5" customHeight="1" x14ac:dyDescent="0.15">
      <c r="A593" s="11"/>
      <c r="B593" s="10"/>
      <c r="C593" s="102"/>
      <c r="D593" s="10"/>
      <c r="E593" s="10"/>
      <c r="F593" s="102"/>
      <c r="G593" s="10"/>
      <c r="H593" s="10"/>
      <c r="I593" s="55"/>
      <c r="J593" s="55"/>
      <c r="K593" s="55"/>
      <c r="L593" s="55"/>
      <c r="M593" s="55"/>
      <c r="N593" s="10"/>
      <c r="O593" s="96"/>
      <c r="Q593" s="96"/>
      <c r="T593" s="96"/>
    </row>
  </sheetData>
  <phoneticPr fontId="1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G16" sqref="G16"/>
    </sheetView>
  </sheetViews>
  <sheetFormatPr defaultRowHeight="16.5" x14ac:dyDescent="0.15"/>
  <cols>
    <col min="1" max="1" width="9" style="91"/>
    <col min="2" max="2" width="22.5" style="91" customWidth="1"/>
    <col min="3" max="16384" width="9" style="91"/>
  </cols>
  <sheetData>
    <row r="1" spans="1:3" x14ac:dyDescent="0.15">
      <c r="A1" s="91" t="s">
        <v>59</v>
      </c>
      <c r="B1" s="91" t="s">
        <v>60</v>
      </c>
    </row>
    <row r="2" spans="1:3" x14ac:dyDescent="0.15">
      <c r="A2" s="91" t="s">
        <v>61</v>
      </c>
      <c r="B2" s="91" t="s">
        <v>61</v>
      </c>
    </row>
    <row r="3" spans="1:3" x14ac:dyDescent="0.15">
      <c r="A3" s="91" t="s">
        <v>1449</v>
      </c>
      <c r="B3" s="91" t="s">
        <v>1450</v>
      </c>
    </row>
    <row r="4" spans="1:3" ht="45.75" customHeight="1" thickBot="1" x14ac:dyDescent="0.2">
      <c r="A4" s="91" t="s">
        <v>1451</v>
      </c>
      <c r="B4" s="91" t="s">
        <v>1452</v>
      </c>
    </row>
    <row r="5" spans="1:3" s="110" customFormat="1" x14ac:dyDescent="0.15">
      <c r="A5" s="110">
        <v>1</v>
      </c>
      <c r="B5" s="110">
        <f>C5*1000</f>
        <v>17000</v>
      </c>
      <c r="C5" s="110">
        <v>17</v>
      </c>
    </row>
    <row r="6" spans="1:3" x14ac:dyDescent="0.15">
      <c r="A6" s="91">
        <v>2</v>
      </c>
      <c r="B6" s="91">
        <f t="shared" ref="B6:B24" si="0">C6*1000</f>
        <v>12000</v>
      </c>
      <c r="C6" s="91">
        <v>12</v>
      </c>
    </row>
    <row r="7" spans="1:3" x14ac:dyDescent="0.15">
      <c r="A7" s="91">
        <v>3</v>
      </c>
      <c r="B7" s="91">
        <f t="shared" si="0"/>
        <v>8000</v>
      </c>
      <c r="C7" s="91">
        <v>8</v>
      </c>
    </row>
    <row r="8" spans="1:3" x14ac:dyDescent="0.15">
      <c r="A8" s="91">
        <v>4</v>
      </c>
      <c r="B8" s="91">
        <f t="shared" si="0"/>
        <v>5000</v>
      </c>
      <c r="C8" s="91">
        <v>5</v>
      </c>
    </row>
    <row r="9" spans="1:3" x14ac:dyDescent="0.15">
      <c r="A9" s="91">
        <v>5</v>
      </c>
      <c r="B9" s="91">
        <f t="shared" si="0"/>
        <v>4000</v>
      </c>
      <c r="C9" s="91">
        <v>4</v>
      </c>
    </row>
    <row r="10" spans="1:3" x14ac:dyDescent="0.15">
      <c r="A10" s="91">
        <v>6</v>
      </c>
      <c r="B10" s="91">
        <f t="shared" si="0"/>
        <v>3000</v>
      </c>
      <c r="C10" s="91">
        <v>3</v>
      </c>
    </row>
    <row r="11" spans="1:3" x14ac:dyDescent="0.15">
      <c r="A11" s="91">
        <v>7</v>
      </c>
      <c r="B11" s="91">
        <f t="shared" si="0"/>
        <v>1000</v>
      </c>
      <c r="C11" s="91">
        <v>1</v>
      </c>
    </row>
    <row r="12" spans="1:3" x14ac:dyDescent="0.15">
      <c r="A12" s="91">
        <v>8</v>
      </c>
      <c r="B12" s="91">
        <f t="shared" si="0"/>
        <v>500</v>
      </c>
      <c r="C12" s="91">
        <v>0.5</v>
      </c>
    </row>
    <row r="13" spans="1:3" x14ac:dyDescent="0.15">
      <c r="A13" s="91">
        <v>9</v>
      </c>
      <c r="B13" s="91">
        <f t="shared" si="0"/>
        <v>350</v>
      </c>
      <c r="C13" s="91">
        <v>0.35</v>
      </c>
    </row>
    <row r="14" spans="1:3" x14ac:dyDescent="0.15">
      <c r="A14" s="91">
        <v>10</v>
      </c>
      <c r="B14" s="91">
        <f t="shared" si="0"/>
        <v>300</v>
      </c>
      <c r="C14" s="91">
        <v>0.3</v>
      </c>
    </row>
    <row r="15" spans="1:3" x14ac:dyDescent="0.15">
      <c r="A15" s="91">
        <v>11</v>
      </c>
      <c r="B15" s="91">
        <f t="shared" si="0"/>
        <v>280</v>
      </c>
      <c r="C15" s="91">
        <v>0.28000000000000003</v>
      </c>
    </row>
    <row r="16" spans="1:3" x14ac:dyDescent="0.15">
      <c r="A16" s="91">
        <v>12</v>
      </c>
      <c r="B16" s="91">
        <f t="shared" si="0"/>
        <v>270</v>
      </c>
      <c r="C16" s="91">
        <v>0.27</v>
      </c>
    </row>
    <row r="17" spans="1:3" x14ac:dyDescent="0.15">
      <c r="A17" s="91">
        <v>13</v>
      </c>
      <c r="B17" s="91">
        <f t="shared" si="0"/>
        <v>260</v>
      </c>
      <c r="C17" s="91">
        <v>0.26</v>
      </c>
    </row>
    <row r="18" spans="1:3" x14ac:dyDescent="0.15">
      <c r="A18" s="91">
        <v>14</v>
      </c>
      <c r="B18" s="91">
        <f t="shared" si="0"/>
        <v>250</v>
      </c>
      <c r="C18" s="91">
        <v>0.25</v>
      </c>
    </row>
    <row r="19" spans="1:3" x14ac:dyDescent="0.15">
      <c r="A19" s="91">
        <v>15</v>
      </c>
      <c r="B19" s="91">
        <f t="shared" si="0"/>
        <v>240</v>
      </c>
      <c r="C19" s="91">
        <v>0.24</v>
      </c>
    </row>
    <row r="20" spans="1:3" x14ac:dyDescent="0.15">
      <c r="A20" s="91">
        <v>16</v>
      </c>
      <c r="B20" s="91">
        <f t="shared" si="0"/>
        <v>230</v>
      </c>
      <c r="C20" s="91">
        <v>0.23</v>
      </c>
    </row>
    <row r="21" spans="1:3" x14ac:dyDescent="0.15">
      <c r="A21" s="91">
        <v>17</v>
      </c>
      <c r="B21" s="91">
        <f t="shared" si="0"/>
        <v>220</v>
      </c>
      <c r="C21" s="91">
        <v>0.22</v>
      </c>
    </row>
    <row r="22" spans="1:3" x14ac:dyDescent="0.15">
      <c r="A22" s="91">
        <v>18</v>
      </c>
      <c r="B22" s="91">
        <f t="shared" si="0"/>
        <v>210</v>
      </c>
      <c r="C22" s="91">
        <v>0.21</v>
      </c>
    </row>
    <row r="23" spans="1:3" x14ac:dyDescent="0.15">
      <c r="A23" s="91">
        <v>19</v>
      </c>
      <c r="B23" s="91">
        <f t="shared" si="0"/>
        <v>200</v>
      </c>
      <c r="C23" s="91">
        <v>0.2</v>
      </c>
    </row>
    <row r="24" spans="1:3" x14ac:dyDescent="0.15">
      <c r="A24" s="91">
        <v>20</v>
      </c>
      <c r="B24" s="91">
        <f t="shared" si="0"/>
        <v>190</v>
      </c>
      <c r="C24" s="91">
        <v>0.19</v>
      </c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舰队构成规则</vt:lpstr>
      <vt:lpstr>静态数据ID规则</vt:lpstr>
      <vt:lpstr>命名说明</vt:lpstr>
      <vt:lpstr>BUILDING</vt:lpstr>
      <vt:lpstr>ITEM_RES</vt:lpstr>
      <vt:lpstr>PURCHASE_LIM</vt:lpstr>
      <vt:lpstr>MANOR_LEVEL</vt:lpstr>
      <vt:lpstr>PLAYER_LEVEL</vt:lpstr>
      <vt:lpstr>ROB_PROPORTION</vt:lpstr>
      <vt:lpstr>PLAYER_ATTR</vt:lpstr>
      <vt:lpstr>ZOMBIE_ATTR</vt:lpstr>
      <vt:lpstr>WORLD_EVENTS</vt:lpstr>
      <vt:lpstr>ARITHMETIC_COEFFICIENT</vt:lpstr>
      <vt:lpstr>BAR_TIME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2018-09-26T03:21:23Z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