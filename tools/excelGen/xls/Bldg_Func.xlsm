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firstSheet="7" activeTab="20"/>
  </bookViews>
  <sheets>
    <sheet name="全部建筑-属性" sheetId="27" r:id="rId1"/>
    <sheet name="粗算 (5)" sheetId="47" r:id="rId2"/>
    <sheet name="粗算 (4)" sheetId="44" r:id="rId3"/>
    <sheet name="粗算 (2)" sheetId="39" r:id="rId4"/>
    <sheet name="ATTRNAME" sheetId="42" r:id="rId5"/>
    <sheet name="DAMI" sheetId="3" r:id="rId6"/>
    <sheet name="SHUCAI" sheetId="5" r:id="rId7"/>
    <sheet name="HUAFEI" sheetId="33" r:id="rId8"/>
    <sheet name="SHUIGUO" sheetId="6" r:id="rId9"/>
    <sheet name="ZHUJUAN" sheetId="34" r:id="rId10"/>
    <sheet name="SILIAO" sheetId="29" r:id="rId11"/>
    <sheet name="JING" sheetId="2" r:id="rId12"/>
    <sheet name="LUSHUI" sheetId="7" r:id="rId13"/>
    <sheet name="KUANGQUANSHUI" sheetId="35" r:id="rId14"/>
    <sheet name="WUXIANDIAN" sheetId="40" r:id="rId15"/>
    <sheet name="CANGKU" sheetId="31" r:id="rId16"/>
    <sheet name="LEIDA" sheetId="43" r:id="rId17"/>
    <sheet name="DIANCHIZU" sheetId="28" r:id="rId18"/>
    <sheet name="JIANSHENFANG" sheetId="11" r:id="rId19"/>
    <sheet name="CHE1" sheetId="46" r:id="rId20"/>
    <sheet name="TAIYANGNENG" sheetId="13" r:id="rId21"/>
    <sheet name="LIANYOU" sheetId="36" r:id="rId22"/>
    <sheet name="LIANGANG" sheetId="37" r:id="rId23"/>
    <sheet name="HUNNINGTU" sheetId="38" r:id="rId24"/>
    <sheet name="SONGSHU" sheetId="16" r:id="rId25"/>
    <sheet name="MUCAIJIAGONG" sheetId="19" r:id="rId26"/>
    <sheet name="QIANG" sheetId="26" r:id="rId27"/>
    <sheet name="DAMEN" sheetId="25" r:id="rId28"/>
    <sheet name="MAKEQIN" sheetId="20" r:id="rId29"/>
    <sheet name="MG42" sheetId="21" r:id="rId30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25" l="1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5" i="25"/>
  <c r="B15" i="31"/>
  <c r="B16" i="31"/>
  <c r="B17" i="31"/>
  <c r="B18" i="31"/>
  <c r="B19" i="31"/>
  <c r="B20" i="31"/>
  <c r="B21" i="31"/>
  <c r="B22" i="31"/>
  <c r="B23" i="31"/>
  <c r="B24" i="31"/>
  <c r="D5" i="31"/>
  <c r="C5" i="31"/>
  <c r="B5" i="31"/>
  <c r="D6" i="31"/>
  <c r="C6" i="31"/>
  <c r="B6" i="31"/>
  <c r="D7" i="31"/>
  <c r="C7" i="31"/>
  <c r="B7" i="31"/>
  <c r="D8" i="31"/>
  <c r="C8" i="31"/>
  <c r="B8" i="31"/>
  <c r="D9" i="31"/>
  <c r="C9" i="31"/>
  <c r="B9" i="31"/>
  <c r="D10" i="31"/>
  <c r="C10" i="31"/>
  <c r="B10" i="31"/>
  <c r="D11" i="31"/>
  <c r="C11" i="31"/>
  <c r="B11" i="31"/>
  <c r="D12" i="31"/>
  <c r="C12" i="31"/>
  <c r="B12" i="31"/>
  <c r="D13" i="31"/>
  <c r="C13" i="31"/>
  <c r="B13" i="31"/>
  <c r="D14" i="31"/>
  <c r="C14" i="31"/>
  <c r="B14" i="31"/>
  <c r="D15" i="31"/>
  <c r="C15" i="31"/>
  <c r="D16" i="31"/>
  <c r="C16" i="31"/>
  <c r="D17" i="31"/>
  <c r="C17" i="31"/>
  <c r="D18" i="31"/>
  <c r="C18" i="31"/>
  <c r="D19" i="31"/>
  <c r="C19" i="31"/>
  <c r="D20" i="31"/>
  <c r="C20" i="31"/>
  <c r="D21" i="31"/>
  <c r="C21" i="31"/>
  <c r="D22" i="31"/>
  <c r="C22" i="31"/>
  <c r="D23" i="31"/>
  <c r="C23" i="31"/>
  <c r="D24" i="31"/>
  <c r="C24" i="31"/>
  <c r="N3" i="47"/>
  <c r="N4" i="47"/>
  <c r="N2" i="47"/>
  <c r="M3" i="47"/>
  <c r="M4" i="47"/>
  <c r="M2" i="47"/>
  <c r="L3" i="47"/>
  <c r="L4" i="47"/>
  <c r="L2" i="47"/>
  <c r="W3" i="47"/>
  <c r="R3" i="47"/>
  <c r="W21" i="47"/>
  <c r="W20" i="47"/>
  <c r="W19" i="47"/>
  <c r="W18" i="47"/>
  <c r="W17" i="47"/>
  <c r="W16" i="47"/>
  <c r="W15" i="47"/>
  <c r="W14" i="47"/>
  <c r="W13" i="47"/>
  <c r="W12" i="47"/>
  <c r="W11" i="47"/>
  <c r="W10" i="47"/>
  <c r="W9" i="47"/>
  <c r="W8" i="47"/>
  <c r="W7" i="47"/>
  <c r="W6" i="47"/>
  <c r="W5" i="47"/>
  <c r="W4" i="47"/>
  <c r="O4" i="47"/>
  <c r="O5" i="47"/>
  <c r="O6" i="47"/>
  <c r="O7" i="47"/>
  <c r="O8" i="47"/>
  <c r="K4" i="47"/>
  <c r="I4" i="47"/>
  <c r="F4" i="47"/>
  <c r="F5" i="47"/>
  <c r="D4" i="47"/>
  <c r="B4" i="47"/>
  <c r="AB4" i="47"/>
  <c r="AB3" i="47"/>
  <c r="O3" i="47"/>
  <c r="K3" i="47"/>
  <c r="Z3" i="47"/>
  <c r="AA3" i="47"/>
  <c r="C3" i="47"/>
  <c r="B3" i="47"/>
  <c r="AA2" i="47"/>
  <c r="U2" i="47"/>
  <c r="T2" i="47"/>
  <c r="Q2" i="47"/>
  <c r="V2" i="47"/>
  <c r="I2" i="47"/>
  <c r="K2" i="47"/>
  <c r="Z2" i="47"/>
  <c r="J2" i="47"/>
  <c r="B2" i="47"/>
  <c r="E2" i="47"/>
  <c r="AB2" i="47"/>
  <c r="AC2" i="47"/>
  <c r="C2" i="47"/>
  <c r="F6" i="47"/>
  <c r="F7" i="47"/>
  <c r="D7" i="47"/>
  <c r="G5" i="47"/>
  <c r="D5" i="47"/>
  <c r="B5" i="47"/>
  <c r="C5" i="47"/>
  <c r="H3" i="47"/>
  <c r="J3" i="47"/>
  <c r="Q3" i="47"/>
  <c r="V3" i="47"/>
  <c r="R4" i="47"/>
  <c r="AC4" i="47"/>
  <c r="K7" i="47"/>
  <c r="C4" i="47"/>
  <c r="AD2" i="47"/>
  <c r="K6" i="47"/>
  <c r="AD3" i="47"/>
  <c r="K8" i="47"/>
  <c r="O9" i="47"/>
  <c r="AC3" i="47"/>
  <c r="E3" i="47"/>
  <c r="E4" i="47"/>
  <c r="K5" i="47"/>
  <c r="J4" i="47"/>
  <c r="H4" i="47"/>
  <c r="Z4" i="47"/>
  <c r="AA4" i="47"/>
  <c r="I3" i="47"/>
  <c r="C3" i="44"/>
  <c r="C4" i="44"/>
  <c r="C5" i="44"/>
  <c r="C6" i="44"/>
  <c r="C7" i="44"/>
  <c r="C8" i="44"/>
  <c r="C9" i="44"/>
  <c r="C10" i="44"/>
  <c r="C11" i="44"/>
  <c r="C12" i="44"/>
  <c r="C13" i="44"/>
  <c r="C14" i="44"/>
  <c r="C15" i="44"/>
  <c r="C16" i="44"/>
  <c r="C17" i="44"/>
  <c r="C18" i="44"/>
  <c r="C19" i="44"/>
  <c r="C20" i="44"/>
  <c r="C21" i="44"/>
  <c r="C2" i="44"/>
  <c r="W17" i="44"/>
  <c r="W16" i="44"/>
  <c r="W15" i="44"/>
  <c r="W14" i="44"/>
  <c r="W13" i="44"/>
  <c r="W12" i="44"/>
  <c r="W4" i="44"/>
  <c r="W3" i="44"/>
  <c r="W11" i="44"/>
  <c r="W10" i="44"/>
  <c r="W9" i="44"/>
  <c r="W8" i="44"/>
  <c r="W7" i="44"/>
  <c r="W5" i="44"/>
  <c r="W6" i="44"/>
  <c r="W21" i="44"/>
  <c r="W20" i="44"/>
  <c r="W19" i="44"/>
  <c r="W18" i="44"/>
  <c r="M8" i="47"/>
  <c r="N8" i="47"/>
  <c r="L8" i="47"/>
  <c r="M5" i="47"/>
  <c r="N5" i="47"/>
  <c r="L5" i="47"/>
  <c r="H5" i="47"/>
  <c r="M7" i="47"/>
  <c r="N7" i="47"/>
  <c r="L7" i="47"/>
  <c r="L6" i="47"/>
  <c r="N6" i="47"/>
  <c r="M6" i="47"/>
  <c r="G6" i="47"/>
  <c r="F8" i="47"/>
  <c r="F9" i="47"/>
  <c r="X5" i="47"/>
  <c r="E5" i="47"/>
  <c r="D6" i="47"/>
  <c r="B6" i="47"/>
  <c r="AB5" i="47"/>
  <c r="S3" i="47"/>
  <c r="U3" i="47"/>
  <c r="Z6" i="47"/>
  <c r="AA6" i="47"/>
  <c r="AD4" i="47"/>
  <c r="AC5" i="47"/>
  <c r="U4" i="47"/>
  <c r="S4" i="47"/>
  <c r="T4" i="47"/>
  <c r="R5" i="47"/>
  <c r="Q4" i="47"/>
  <c r="V4" i="47"/>
  <c r="B7" i="47"/>
  <c r="X7" i="47"/>
  <c r="H2" i="47"/>
  <c r="S2" i="47"/>
  <c r="G7" i="47"/>
  <c r="Z5" i="47"/>
  <c r="AA5" i="47"/>
  <c r="I5" i="47"/>
  <c r="J5" i="47"/>
  <c r="K9" i="47"/>
  <c r="O10" i="47"/>
  <c r="Z8" i="47"/>
  <c r="AA8" i="47"/>
  <c r="Z7" i="47"/>
  <c r="AA7" i="47"/>
  <c r="T3" i="47"/>
  <c r="F4" i="44"/>
  <c r="F5" i="44"/>
  <c r="R3" i="44"/>
  <c r="O3" i="44"/>
  <c r="O4" i="44"/>
  <c r="K4" i="44"/>
  <c r="B3" i="44"/>
  <c r="AB3" i="44"/>
  <c r="Q2" i="44"/>
  <c r="K2" i="44"/>
  <c r="N2" i="44"/>
  <c r="B2" i="44"/>
  <c r="H6" i="47"/>
  <c r="L9" i="47"/>
  <c r="N9" i="47"/>
  <c r="M9" i="47"/>
  <c r="X6" i="47"/>
  <c r="I6" i="47"/>
  <c r="J6" i="47"/>
  <c r="D8" i="47"/>
  <c r="X8" i="47"/>
  <c r="AD5" i="47"/>
  <c r="E6" i="47"/>
  <c r="E7" i="47"/>
  <c r="AB6" i="47"/>
  <c r="C6" i="47"/>
  <c r="D9" i="47"/>
  <c r="F10" i="47"/>
  <c r="R6" i="47"/>
  <c r="U5" i="47"/>
  <c r="S5" i="47"/>
  <c r="Q5" i="47"/>
  <c r="V5" i="47"/>
  <c r="T5" i="47"/>
  <c r="K10" i="47"/>
  <c r="O11" i="47"/>
  <c r="G8" i="47"/>
  <c r="J7" i="47"/>
  <c r="H7" i="47"/>
  <c r="I7" i="47"/>
  <c r="Z9" i="47"/>
  <c r="AA9" i="47"/>
  <c r="AB7" i="47"/>
  <c r="C7" i="47"/>
  <c r="M2" i="44"/>
  <c r="V2" i="44"/>
  <c r="G5" i="44"/>
  <c r="G6" i="44"/>
  <c r="F6" i="44"/>
  <c r="F7" i="44"/>
  <c r="F8" i="44"/>
  <c r="J2" i="44"/>
  <c r="U2" i="44"/>
  <c r="Q3" i="44"/>
  <c r="L2" i="44"/>
  <c r="Z2" i="44"/>
  <c r="AA2" i="44"/>
  <c r="R4" i="44"/>
  <c r="D4" i="44"/>
  <c r="B4" i="44"/>
  <c r="AB4" i="44"/>
  <c r="N4" i="44"/>
  <c r="J4" i="44"/>
  <c r="L4" i="44"/>
  <c r="H4" i="44"/>
  <c r="M4" i="44"/>
  <c r="I4" i="44"/>
  <c r="AB2" i="44"/>
  <c r="AC3" i="44"/>
  <c r="E2" i="44"/>
  <c r="E3" i="44"/>
  <c r="O5" i="44"/>
  <c r="D5" i="44"/>
  <c r="K3" i="44"/>
  <c r="Z3" i="44"/>
  <c r="AA3" i="44"/>
  <c r="I3" i="39"/>
  <c r="I4" i="39"/>
  <c r="I5" i="39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" i="39"/>
  <c r="M10" i="47"/>
  <c r="L10" i="47"/>
  <c r="N10" i="47"/>
  <c r="B8" i="47"/>
  <c r="C8" i="47"/>
  <c r="F11" i="47"/>
  <c r="D10" i="47"/>
  <c r="X9" i="47"/>
  <c r="B9" i="47"/>
  <c r="Z10" i="47"/>
  <c r="AA10" i="47"/>
  <c r="AD6" i="47"/>
  <c r="AC6" i="47"/>
  <c r="S6" i="47"/>
  <c r="T6" i="47"/>
  <c r="Q6" i="47"/>
  <c r="V6" i="47"/>
  <c r="R7" i="47"/>
  <c r="U6" i="47"/>
  <c r="AD7" i="47"/>
  <c r="AC7" i="47"/>
  <c r="G9" i="47"/>
  <c r="I8" i="47"/>
  <c r="J8" i="47"/>
  <c r="H8" i="47"/>
  <c r="O12" i="47"/>
  <c r="K11" i="47"/>
  <c r="T4" i="44"/>
  <c r="S4" i="44"/>
  <c r="H2" i="44"/>
  <c r="S2" i="44"/>
  <c r="I2" i="44"/>
  <c r="T2" i="44"/>
  <c r="Z4" i="44"/>
  <c r="AA4" i="44"/>
  <c r="R5" i="44"/>
  <c r="U4" i="44"/>
  <c r="Q4" i="44"/>
  <c r="V4" i="44"/>
  <c r="E4" i="44"/>
  <c r="G7" i="44"/>
  <c r="AC4" i="44"/>
  <c r="AD4" i="44"/>
  <c r="L3" i="44"/>
  <c r="N3" i="44"/>
  <c r="M3" i="44"/>
  <c r="O6" i="44"/>
  <c r="K5" i="44"/>
  <c r="Z5" i="44"/>
  <c r="AA5" i="44"/>
  <c r="AC2" i="44"/>
  <c r="AD2" i="44"/>
  <c r="X5" i="44"/>
  <c r="B5" i="44"/>
  <c r="AD3" i="44"/>
  <c r="D6" i="44"/>
  <c r="F9" i="44"/>
  <c r="V3" i="44"/>
  <c r="T19" i="39"/>
  <c r="T20" i="39"/>
  <c r="T21" i="39"/>
  <c r="T18" i="39"/>
  <c r="T16" i="39"/>
  <c r="T17" i="39"/>
  <c r="T15" i="39"/>
  <c r="T14" i="39"/>
  <c r="T11" i="39"/>
  <c r="T12" i="39"/>
  <c r="T13" i="39"/>
  <c r="T10" i="39"/>
  <c r="T4" i="39"/>
  <c r="T5" i="39"/>
  <c r="T6" i="39"/>
  <c r="T7" i="39"/>
  <c r="T8" i="39"/>
  <c r="T9" i="39"/>
  <c r="T3" i="39"/>
  <c r="E4" i="39"/>
  <c r="J2" i="39"/>
  <c r="K2" i="39"/>
  <c r="G2" i="39"/>
  <c r="B3" i="39"/>
  <c r="B2" i="39"/>
  <c r="D2" i="39"/>
  <c r="P2" i="39"/>
  <c r="E8" i="47"/>
  <c r="E9" i="47"/>
  <c r="N11" i="47"/>
  <c r="L11" i="47"/>
  <c r="M11" i="47"/>
  <c r="AB8" i="47"/>
  <c r="X10" i="47"/>
  <c r="B10" i="47"/>
  <c r="Z11" i="47"/>
  <c r="AA11" i="47"/>
  <c r="K12" i="47"/>
  <c r="O13" i="47"/>
  <c r="R8" i="47"/>
  <c r="U7" i="47"/>
  <c r="S7" i="47"/>
  <c r="T7" i="47"/>
  <c r="Q7" i="47"/>
  <c r="V7" i="47"/>
  <c r="H9" i="47"/>
  <c r="I9" i="47"/>
  <c r="J9" i="47"/>
  <c r="G10" i="47"/>
  <c r="AB9" i="47"/>
  <c r="C9" i="47"/>
  <c r="AC8" i="47"/>
  <c r="AD8" i="47"/>
  <c r="F12" i="47"/>
  <c r="D11" i="47"/>
  <c r="Q5" i="44"/>
  <c r="V5" i="44"/>
  <c r="H3" i="44"/>
  <c r="S3" i="44"/>
  <c r="R6" i="44"/>
  <c r="I3" i="44"/>
  <c r="T3" i="44"/>
  <c r="J3" i="44"/>
  <c r="U3" i="44"/>
  <c r="U5" i="44"/>
  <c r="AB5" i="44"/>
  <c r="E5" i="44"/>
  <c r="R7" i="44"/>
  <c r="Q6" i="44"/>
  <c r="F10" i="44"/>
  <c r="N5" i="44"/>
  <c r="J5" i="44"/>
  <c r="L5" i="44"/>
  <c r="H5" i="44"/>
  <c r="M5" i="44"/>
  <c r="I5" i="44"/>
  <c r="G8" i="44"/>
  <c r="B6" i="44"/>
  <c r="X6" i="44"/>
  <c r="O7" i="44"/>
  <c r="K6" i="44"/>
  <c r="Z6" i="44"/>
  <c r="AA6" i="44"/>
  <c r="D7" i="44"/>
  <c r="D3" i="39"/>
  <c r="M12" i="47"/>
  <c r="N12" i="47"/>
  <c r="L12" i="47"/>
  <c r="AD9" i="47"/>
  <c r="AC9" i="47"/>
  <c r="I10" i="47"/>
  <c r="G11" i="47"/>
  <c r="J10" i="47"/>
  <c r="H10" i="47"/>
  <c r="T8" i="47"/>
  <c r="R9" i="47"/>
  <c r="U8" i="47"/>
  <c r="S8" i="47"/>
  <c r="Q8" i="47"/>
  <c r="V8" i="47"/>
  <c r="Z12" i="47"/>
  <c r="AA12" i="47"/>
  <c r="E10" i="47"/>
  <c r="C10" i="47"/>
  <c r="AB10" i="47"/>
  <c r="B11" i="47"/>
  <c r="X11" i="47"/>
  <c r="O14" i="47"/>
  <c r="K13" i="47"/>
  <c r="D12" i="47"/>
  <c r="F13" i="47"/>
  <c r="T5" i="44"/>
  <c r="S5" i="44"/>
  <c r="V6" i="44"/>
  <c r="AB6" i="44"/>
  <c r="E6" i="44"/>
  <c r="G9" i="44"/>
  <c r="F11" i="44"/>
  <c r="B7" i="44"/>
  <c r="X7" i="44"/>
  <c r="R8" i="44"/>
  <c r="Q7" i="44"/>
  <c r="M6" i="44"/>
  <c r="I6" i="44"/>
  <c r="N6" i="44"/>
  <c r="L6" i="44"/>
  <c r="H6" i="44"/>
  <c r="K7" i="44"/>
  <c r="Z7" i="44"/>
  <c r="AA7" i="44"/>
  <c r="O8" i="44"/>
  <c r="D8" i="44"/>
  <c r="AD5" i="44"/>
  <c r="AC5" i="44"/>
  <c r="M13" i="47"/>
  <c r="N13" i="47"/>
  <c r="L13" i="47"/>
  <c r="D13" i="47"/>
  <c r="F14" i="47"/>
  <c r="Q9" i="47"/>
  <c r="V9" i="47"/>
  <c r="R10" i="47"/>
  <c r="U9" i="47"/>
  <c r="S9" i="47"/>
  <c r="T9" i="47"/>
  <c r="X12" i="47"/>
  <c r="B12" i="47"/>
  <c r="Z13" i="47"/>
  <c r="AA13" i="47"/>
  <c r="O15" i="47"/>
  <c r="K14" i="47"/>
  <c r="G12" i="47"/>
  <c r="J11" i="47"/>
  <c r="I11" i="47"/>
  <c r="H11" i="47"/>
  <c r="AB11" i="47"/>
  <c r="C11" i="47"/>
  <c r="E11" i="47"/>
  <c r="AC10" i="47"/>
  <c r="AD10" i="47"/>
  <c r="T6" i="44"/>
  <c r="S6" i="44"/>
  <c r="J6" i="44"/>
  <c r="U6" i="44"/>
  <c r="N7" i="44"/>
  <c r="M7" i="44"/>
  <c r="L7" i="44"/>
  <c r="F12" i="44"/>
  <c r="G10" i="44"/>
  <c r="V7" i="44"/>
  <c r="X8" i="44"/>
  <c r="B8" i="44"/>
  <c r="Q8" i="44"/>
  <c r="R9" i="44"/>
  <c r="K8" i="44"/>
  <c r="Z8" i="44"/>
  <c r="AA8" i="44"/>
  <c r="O9" i="44"/>
  <c r="D9" i="44"/>
  <c r="AB7" i="44"/>
  <c r="E7" i="44"/>
  <c r="AD6" i="44"/>
  <c r="AC6" i="44"/>
  <c r="E5" i="39"/>
  <c r="F5" i="39"/>
  <c r="Y3" i="39"/>
  <c r="Q3" i="39"/>
  <c r="N3" i="39"/>
  <c r="Y2" i="39"/>
  <c r="W2" i="39"/>
  <c r="X2" i="39"/>
  <c r="S2" i="39"/>
  <c r="L14" i="47"/>
  <c r="N14" i="47"/>
  <c r="M14" i="47"/>
  <c r="E12" i="47"/>
  <c r="C12" i="47"/>
  <c r="AB12" i="47"/>
  <c r="H12" i="47"/>
  <c r="I12" i="47"/>
  <c r="G13" i="47"/>
  <c r="J12" i="47"/>
  <c r="O16" i="47"/>
  <c r="K15" i="47"/>
  <c r="F15" i="47"/>
  <c r="D14" i="47"/>
  <c r="Z14" i="47"/>
  <c r="AA14" i="47"/>
  <c r="AC11" i="47"/>
  <c r="AD11" i="47"/>
  <c r="T10" i="47"/>
  <c r="R11" i="47"/>
  <c r="U10" i="47"/>
  <c r="S10" i="47"/>
  <c r="Q10" i="47"/>
  <c r="V10" i="47"/>
  <c r="B13" i="47"/>
  <c r="X13" i="47"/>
  <c r="H7" i="44"/>
  <c r="S7" i="44"/>
  <c r="I7" i="44"/>
  <c r="T7" i="44"/>
  <c r="J7" i="44"/>
  <c r="U7" i="44"/>
  <c r="K9" i="44"/>
  <c r="Z9" i="44"/>
  <c r="AA9" i="44"/>
  <c r="O10" i="44"/>
  <c r="D10" i="44"/>
  <c r="G11" i="44"/>
  <c r="L8" i="44"/>
  <c r="N8" i="44"/>
  <c r="M8" i="44"/>
  <c r="R10" i="44"/>
  <c r="Q9" i="44"/>
  <c r="V8" i="44"/>
  <c r="F13" i="44"/>
  <c r="AB8" i="44"/>
  <c r="E8" i="44"/>
  <c r="AC7" i="44"/>
  <c r="AD7" i="44"/>
  <c r="X9" i="44"/>
  <c r="B9" i="44"/>
  <c r="Q4" i="39"/>
  <c r="P4" i="39"/>
  <c r="P3" i="39"/>
  <c r="AA2" i="39"/>
  <c r="C4" i="39"/>
  <c r="B4" i="39"/>
  <c r="J3" i="39"/>
  <c r="K3" i="39"/>
  <c r="G3" i="39"/>
  <c r="E6" i="39"/>
  <c r="E7" i="39"/>
  <c r="E8" i="39"/>
  <c r="N4" i="39"/>
  <c r="W3" i="39"/>
  <c r="X3" i="39"/>
  <c r="Z3" i="39"/>
  <c r="Z2" i="39"/>
  <c r="M15" i="47"/>
  <c r="N15" i="47"/>
  <c r="L15" i="47"/>
  <c r="K16" i="47"/>
  <c r="O17" i="47"/>
  <c r="C13" i="47"/>
  <c r="AB13" i="47"/>
  <c r="E13" i="47"/>
  <c r="G14" i="47"/>
  <c r="J13" i="47"/>
  <c r="H13" i="47"/>
  <c r="I13" i="47"/>
  <c r="S11" i="47"/>
  <c r="Q11" i="47"/>
  <c r="V11" i="47"/>
  <c r="T11" i="47"/>
  <c r="U11" i="47"/>
  <c r="R12" i="47"/>
  <c r="X14" i="47"/>
  <c r="B14" i="47"/>
  <c r="AC12" i="47"/>
  <c r="AD12" i="47"/>
  <c r="D15" i="47"/>
  <c r="F16" i="47"/>
  <c r="Z15" i="47"/>
  <c r="AA15" i="47"/>
  <c r="I8" i="44"/>
  <c r="T8" i="44"/>
  <c r="H8" i="44"/>
  <c r="S8" i="44"/>
  <c r="J8" i="44"/>
  <c r="U8" i="44"/>
  <c r="F14" i="44"/>
  <c r="E9" i="44"/>
  <c r="AB9" i="44"/>
  <c r="V9" i="44"/>
  <c r="G12" i="44"/>
  <c r="R11" i="44"/>
  <c r="Q10" i="44"/>
  <c r="B10" i="44"/>
  <c r="X10" i="44"/>
  <c r="O11" i="44"/>
  <c r="K10" i="44"/>
  <c r="Z10" i="44"/>
  <c r="AA10" i="44"/>
  <c r="D11" i="44"/>
  <c r="M9" i="44"/>
  <c r="L9" i="44"/>
  <c r="N9" i="44"/>
  <c r="AD8" i="44"/>
  <c r="AC8" i="44"/>
  <c r="AA3" i="39"/>
  <c r="Q5" i="39"/>
  <c r="P5" i="39"/>
  <c r="Y4" i="39"/>
  <c r="D4" i="39"/>
  <c r="W4" i="39"/>
  <c r="X4" i="39"/>
  <c r="J4" i="39"/>
  <c r="K4" i="39"/>
  <c r="G4" i="39"/>
  <c r="F6" i="39"/>
  <c r="S3" i="39"/>
  <c r="N5" i="39"/>
  <c r="J5" i="39"/>
  <c r="K5" i="39"/>
  <c r="G5" i="39"/>
  <c r="C5" i="39"/>
  <c r="E9" i="39"/>
  <c r="L16" i="47"/>
  <c r="M16" i="47"/>
  <c r="N16" i="47"/>
  <c r="Z16" i="47"/>
  <c r="AA16" i="47"/>
  <c r="T12" i="47"/>
  <c r="Q12" i="47"/>
  <c r="V12" i="47"/>
  <c r="R13" i="47"/>
  <c r="U12" i="47"/>
  <c r="S12" i="47"/>
  <c r="I14" i="47"/>
  <c r="G15" i="47"/>
  <c r="J14" i="47"/>
  <c r="H14" i="47"/>
  <c r="K17" i="47"/>
  <c r="O18" i="47"/>
  <c r="E14" i="47"/>
  <c r="AB14" i="47"/>
  <c r="C14" i="47"/>
  <c r="F17" i="47"/>
  <c r="D16" i="47"/>
  <c r="AD13" i="47"/>
  <c r="AC13" i="47"/>
  <c r="B15" i="47"/>
  <c r="X15" i="47"/>
  <c r="H9" i="44"/>
  <c r="S9" i="44"/>
  <c r="I9" i="44"/>
  <c r="T9" i="44"/>
  <c r="J9" i="44"/>
  <c r="U9" i="44"/>
  <c r="R12" i="44"/>
  <c r="Q11" i="44"/>
  <c r="N10" i="44"/>
  <c r="M10" i="44"/>
  <c r="L10" i="44"/>
  <c r="O12" i="44"/>
  <c r="K11" i="44"/>
  <c r="Z11" i="44"/>
  <c r="AA11" i="44"/>
  <c r="D12" i="44"/>
  <c r="G13" i="44"/>
  <c r="E10" i="44"/>
  <c r="AB10" i="44"/>
  <c r="AC9" i="44"/>
  <c r="AD9" i="44"/>
  <c r="V10" i="44"/>
  <c r="F15" i="44"/>
  <c r="X11" i="44"/>
  <c r="B11" i="44"/>
  <c r="S4" i="39"/>
  <c r="Q6" i="39"/>
  <c r="P6" i="39"/>
  <c r="F7" i="39"/>
  <c r="Z4" i="39"/>
  <c r="AA4" i="39"/>
  <c r="B5" i="39"/>
  <c r="Y5" i="39"/>
  <c r="U5" i="39"/>
  <c r="C6" i="39"/>
  <c r="B6" i="39"/>
  <c r="W5" i="39"/>
  <c r="X5" i="39"/>
  <c r="S5" i="39"/>
  <c r="N6" i="39"/>
  <c r="J6" i="39"/>
  <c r="K6" i="39"/>
  <c r="G6" i="39"/>
  <c r="E10" i="39"/>
  <c r="M17" i="47"/>
  <c r="N17" i="47"/>
  <c r="L17" i="47"/>
  <c r="AD14" i="47"/>
  <c r="AC14" i="47"/>
  <c r="E15" i="47"/>
  <c r="AB15" i="47"/>
  <c r="C15" i="47"/>
  <c r="R14" i="47"/>
  <c r="U13" i="47"/>
  <c r="S13" i="47"/>
  <c r="Q13" i="47"/>
  <c r="V13" i="47"/>
  <c r="T13" i="47"/>
  <c r="K18" i="47"/>
  <c r="O19" i="47"/>
  <c r="Z17" i="47"/>
  <c r="AA17" i="47"/>
  <c r="B16" i="47"/>
  <c r="X16" i="47"/>
  <c r="D17" i="47"/>
  <c r="F18" i="47"/>
  <c r="G16" i="47"/>
  <c r="J15" i="47"/>
  <c r="I15" i="47"/>
  <c r="H15" i="47"/>
  <c r="H10" i="44"/>
  <c r="S10" i="44"/>
  <c r="I10" i="44"/>
  <c r="T10" i="44"/>
  <c r="J10" i="44"/>
  <c r="U10" i="44"/>
  <c r="V11" i="44"/>
  <c r="B12" i="44"/>
  <c r="X12" i="44"/>
  <c r="R13" i="44"/>
  <c r="Q12" i="44"/>
  <c r="AB11" i="44"/>
  <c r="E11" i="44"/>
  <c r="O13" i="44"/>
  <c r="K12" i="44"/>
  <c r="Z12" i="44"/>
  <c r="AA12" i="44"/>
  <c r="D13" i="44"/>
  <c r="F16" i="44"/>
  <c r="N11" i="44"/>
  <c r="M11" i="44"/>
  <c r="L11" i="44"/>
  <c r="AD10" i="44"/>
  <c r="AC10" i="44"/>
  <c r="G14" i="44"/>
  <c r="Q7" i="39"/>
  <c r="P7" i="39"/>
  <c r="Z5" i="39"/>
  <c r="AA5" i="39"/>
  <c r="D5" i="39"/>
  <c r="D6" i="39"/>
  <c r="F8" i="39"/>
  <c r="Y6" i="39"/>
  <c r="U6" i="39"/>
  <c r="C7" i="39"/>
  <c r="B7" i="39"/>
  <c r="W6" i="39"/>
  <c r="X6" i="39"/>
  <c r="S6" i="39"/>
  <c r="N7" i="39"/>
  <c r="J7" i="39"/>
  <c r="K7" i="39"/>
  <c r="G7" i="39"/>
  <c r="E11" i="39"/>
  <c r="N18" i="47"/>
  <c r="M18" i="47"/>
  <c r="L18" i="47"/>
  <c r="S14" i="47"/>
  <c r="Q14" i="47"/>
  <c r="V14" i="47"/>
  <c r="T14" i="47"/>
  <c r="R15" i="47"/>
  <c r="U14" i="47"/>
  <c r="G17" i="47"/>
  <c r="I16" i="47"/>
  <c r="J16" i="47"/>
  <c r="H16" i="47"/>
  <c r="D18" i="47"/>
  <c r="F19" i="47"/>
  <c r="AD15" i="47"/>
  <c r="AC15" i="47"/>
  <c r="X17" i="47"/>
  <c r="B17" i="47"/>
  <c r="Z18" i="47"/>
  <c r="AA18" i="47"/>
  <c r="C16" i="47"/>
  <c r="AB16" i="47"/>
  <c r="E16" i="47"/>
  <c r="O20" i="47"/>
  <c r="K19" i="47"/>
  <c r="H11" i="44"/>
  <c r="S11" i="44"/>
  <c r="I11" i="44"/>
  <c r="T11" i="44"/>
  <c r="J11" i="44"/>
  <c r="U11" i="44"/>
  <c r="G15" i="44"/>
  <c r="F17" i="44"/>
  <c r="R14" i="44"/>
  <c r="Q13" i="44"/>
  <c r="X13" i="44"/>
  <c r="B13" i="44"/>
  <c r="N12" i="44"/>
  <c r="M12" i="44"/>
  <c r="L12" i="44"/>
  <c r="O14" i="44"/>
  <c r="K13" i="44"/>
  <c r="Z13" i="44"/>
  <c r="AA13" i="44"/>
  <c r="D14" i="44"/>
  <c r="AD11" i="44"/>
  <c r="AC11" i="44"/>
  <c r="V12" i="44"/>
  <c r="AB12" i="44"/>
  <c r="E12" i="44"/>
  <c r="Q8" i="39"/>
  <c r="P8" i="39"/>
  <c r="D7" i="39"/>
  <c r="F9" i="39"/>
  <c r="Z6" i="39"/>
  <c r="AA6" i="39"/>
  <c r="C8" i="39"/>
  <c r="B8" i="39"/>
  <c r="S7" i="39"/>
  <c r="N8" i="39"/>
  <c r="J8" i="39"/>
  <c r="K8" i="39"/>
  <c r="G8" i="39"/>
  <c r="W7" i="39"/>
  <c r="X7" i="39"/>
  <c r="U7" i="39"/>
  <c r="Y7" i="39"/>
  <c r="E12" i="39"/>
  <c r="N19" i="47"/>
  <c r="L19" i="47"/>
  <c r="M19" i="47"/>
  <c r="AB17" i="47"/>
  <c r="E17" i="47"/>
  <c r="C17" i="47"/>
  <c r="H17" i="47"/>
  <c r="I17" i="47"/>
  <c r="G18" i="47"/>
  <c r="J17" i="47"/>
  <c r="Z19" i="47"/>
  <c r="AA19" i="47"/>
  <c r="AC16" i="47"/>
  <c r="AD16" i="47"/>
  <c r="R16" i="47"/>
  <c r="U15" i="47"/>
  <c r="S15" i="47"/>
  <c r="Q15" i="47"/>
  <c r="V15" i="47"/>
  <c r="T15" i="47"/>
  <c r="F20" i="47"/>
  <c r="D19" i="47"/>
  <c r="K20" i="47"/>
  <c r="O21" i="47"/>
  <c r="K21" i="47"/>
  <c r="X18" i="47"/>
  <c r="B18" i="47"/>
  <c r="H12" i="44"/>
  <c r="S12" i="44"/>
  <c r="I12" i="44"/>
  <c r="T12" i="44"/>
  <c r="J12" i="44"/>
  <c r="U12" i="44"/>
  <c r="AB13" i="44"/>
  <c r="E13" i="44"/>
  <c r="X14" i="44"/>
  <c r="B14" i="44"/>
  <c r="V13" i="44"/>
  <c r="R15" i="44"/>
  <c r="Q14" i="44"/>
  <c r="O15" i="44"/>
  <c r="K14" i="44"/>
  <c r="Z14" i="44"/>
  <c r="AA14" i="44"/>
  <c r="D15" i="44"/>
  <c r="F18" i="44"/>
  <c r="N13" i="44"/>
  <c r="L13" i="44"/>
  <c r="M13" i="44"/>
  <c r="AC12" i="44"/>
  <c r="AD12" i="44"/>
  <c r="G16" i="44"/>
  <c r="Q9" i="39"/>
  <c r="P9" i="39"/>
  <c r="D8" i="39"/>
  <c r="AA7" i="39"/>
  <c r="F10" i="39"/>
  <c r="Z7" i="39"/>
  <c r="C9" i="39"/>
  <c r="B9" i="39"/>
  <c r="S8" i="39"/>
  <c r="N9" i="39"/>
  <c r="J9" i="39"/>
  <c r="K9" i="39"/>
  <c r="G9" i="39"/>
  <c r="W8" i="39"/>
  <c r="X8" i="39"/>
  <c r="Y8" i="39"/>
  <c r="U8" i="39"/>
  <c r="E13" i="39"/>
  <c r="L20" i="47"/>
  <c r="N20" i="47"/>
  <c r="M20" i="47"/>
  <c r="N21" i="47"/>
  <c r="L21" i="47"/>
  <c r="M21" i="47"/>
  <c r="E18" i="47"/>
  <c r="C18" i="47"/>
  <c r="AB18" i="47"/>
  <c r="Z21" i="47"/>
  <c r="AA21" i="47"/>
  <c r="T16" i="47"/>
  <c r="R17" i="47"/>
  <c r="U16" i="47"/>
  <c r="S16" i="47"/>
  <c r="Q16" i="47"/>
  <c r="V16" i="47"/>
  <c r="I18" i="47"/>
  <c r="H18" i="47"/>
  <c r="J18" i="47"/>
  <c r="G19" i="47"/>
  <c r="Z20" i="47"/>
  <c r="AA20" i="47"/>
  <c r="F21" i="47"/>
  <c r="D21" i="47"/>
  <c r="D20" i="47"/>
  <c r="B19" i="47"/>
  <c r="X19" i="47"/>
  <c r="AD17" i="47"/>
  <c r="AC17" i="47"/>
  <c r="I13" i="44"/>
  <c r="T13" i="44"/>
  <c r="H13" i="44"/>
  <c r="S13" i="44"/>
  <c r="J13" i="44"/>
  <c r="U13" i="44"/>
  <c r="B15" i="44"/>
  <c r="X15" i="44"/>
  <c r="V14" i="44"/>
  <c r="G17" i="44"/>
  <c r="Q15" i="44"/>
  <c r="R16" i="44"/>
  <c r="M14" i="44"/>
  <c r="L14" i="44"/>
  <c r="N14" i="44"/>
  <c r="K15" i="44"/>
  <c r="Z15" i="44"/>
  <c r="AA15" i="44"/>
  <c r="O16" i="44"/>
  <c r="D16" i="44"/>
  <c r="AD13" i="44"/>
  <c r="AC13" i="44"/>
  <c r="F19" i="44"/>
  <c r="AB14" i="44"/>
  <c r="E14" i="44"/>
  <c r="Q10" i="39"/>
  <c r="P10" i="39"/>
  <c r="D9" i="39"/>
  <c r="AA8" i="39"/>
  <c r="F11" i="39"/>
  <c r="Z8" i="39"/>
  <c r="C10" i="39"/>
  <c r="B10" i="39"/>
  <c r="S9" i="39"/>
  <c r="N10" i="39"/>
  <c r="J10" i="39"/>
  <c r="K10" i="39"/>
  <c r="G10" i="39"/>
  <c r="W9" i="39"/>
  <c r="X9" i="39"/>
  <c r="Y9" i="39"/>
  <c r="U9" i="39"/>
  <c r="E14" i="39"/>
  <c r="AB19" i="47"/>
  <c r="C19" i="47"/>
  <c r="E19" i="47"/>
  <c r="X20" i="47"/>
  <c r="B20" i="47"/>
  <c r="B21" i="47"/>
  <c r="X21" i="47"/>
  <c r="AD18" i="47"/>
  <c r="AC18" i="47"/>
  <c r="G20" i="47"/>
  <c r="J19" i="47"/>
  <c r="I19" i="47"/>
  <c r="H19" i="47"/>
  <c r="Q17" i="47"/>
  <c r="V17" i="47"/>
  <c r="R18" i="47"/>
  <c r="U17" i="47"/>
  <c r="S17" i="47"/>
  <c r="T17" i="47"/>
  <c r="H14" i="44"/>
  <c r="S14" i="44"/>
  <c r="I14" i="44"/>
  <c r="T14" i="44"/>
  <c r="J14" i="44"/>
  <c r="U14" i="44"/>
  <c r="V15" i="44"/>
  <c r="R17" i="44"/>
  <c r="Q16" i="44"/>
  <c r="X16" i="44"/>
  <c r="B16" i="44"/>
  <c r="K16" i="44"/>
  <c r="Z16" i="44"/>
  <c r="AA16" i="44"/>
  <c r="O17" i="44"/>
  <c r="D17" i="44"/>
  <c r="G18" i="44"/>
  <c r="AD14" i="44"/>
  <c r="AC14" i="44"/>
  <c r="N15" i="44"/>
  <c r="L15" i="44"/>
  <c r="M15" i="44"/>
  <c r="F20" i="44"/>
  <c r="AB15" i="44"/>
  <c r="E15" i="44"/>
  <c r="D10" i="39"/>
  <c r="Q11" i="39"/>
  <c r="P11" i="39"/>
  <c r="Z9" i="39"/>
  <c r="AA9" i="39"/>
  <c r="F12" i="39"/>
  <c r="C11" i="39"/>
  <c r="B11" i="39"/>
  <c r="N11" i="39"/>
  <c r="J11" i="39"/>
  <c r="K11" i="39"/>
  <c r="G11" i="39"/>
  <c r="S10" i="39"/>
  <c r="W10" i="39"/>
  <c r="X10" i="39"/>
  <c r="Y10" i="39"/>
  <c r="U10" i="39"/>
  <c r="E15" i="39"/>
  <c r="H20" i="47"/>
  <c r="J20" i="47"/>
  <c r="I20" i="47"/>
  <c r="G21" i="47"/>
  <c r="R19" i="47"/>
  <c r="U18" i="47"/>
  <c r="T18" i="47"/>
  <c r="S18" i="47"/>
  <c r="Q18" i="47"/>
  <c r="V18" i="47"/>
  <c r="E20" i="47"/>
  <c r="E21" i="47"/>
  <c r="C20" i="47"/>
  <c r="AB20" i="47"/>
  <c r="AC19" i="47"/>
  <c r="AD19" i="47"/>
  <c r="C21" i="47"/>
  <c r="AB21" i="47"/>
  <c r="I15" i="44"/>
  <c r="T15" i="44"/>
  <c r="H15" i="44"/>
  <c r="S15" i="44"/>
  <c r="J15" i="44"/>
  <c r="U15" i="44"/>
  <c r="V16" i="44"/>
  <c r="R18" i="44"/>
  <c r="Q17" i="44"/>
  <c r="X17" i="44"/>
  <c r="B17" i="44"/>
  <c r="K17" i="44"/>
  <c r="Z17" i="44"/>
  <c r="AA17" i="44"/>
  <c r="O18" i="44"/>
  <c r="D18" i="44"/>
  <c r="L16" i="44"/>
  <c r="N16" i="44"/>
  <c r="M16" i="44"/>
  <c r="AD15" i="44"/>
  <c r="AC15" i="44"/>
  <c r="G19" i="44"/>
  <c r="AB16" i="44"/>
  <c r="E16" i="44"/>
  <c r="F21" i="44"/>
  <c r="D11" i="39"/>
  <c r="Q12" i="39"/>
  <c r="P12" i="39"/>
  <c r="Z10" i="39"/>
  <c r="AA10" i="39"/>
  <c r="F13" i="39"/>
  <c r="C12" i="39"/>
  <c r="B12" i="39"/>
  <c r="S11" i="39"/>
  <c r="W11" i="39"/>
  <c r="X11" i="39"/>
  <c r="N12" i="39"/>
  <c r="J12" i="39"/>
  <c r="K12" i="39"/>
  <c r="G12" i="39"/>
  <c r="U11" i="39"/>
  <c r="Y11" i="39"/>
  <c r="E16" i="39"/>
  <c r="S19" i="47"/>
  <c r="Q19" i="47"/>
  <c r="V19" i="47"/>
  <c r="T19" i="47"/>
  <c r="U19" i="47"/>
  <c r="R20" i="47"/>
  <c r="AC20" i="47"/>
  <c r="AD20" i="47"/>
  <c r="J21" i="47"/>
  <c r="H21" i="47"/>
  <c r="I21" i="47"/>
  <c r="AD21" i="47"/>
  <c r="AC21" i="47"/>
  <c r="I16" i="44"/>
  <c r="T16" i="44"/>
  <c r="H16" i="44"/>
  <c r="S16" i="44"/>
  <c r="J16" i="44"/>
  <c r="U16" i="44"/>
  <c r="V17" i="44"/>
  <c r="B18" i="44"/>
  <c r="X18" i="44"/>
  <c r="O19" i="44"/>
  <c r="K18" i="44"/>
  <c r="Z18" i="44"/>
  <c r="AA18" i="44"/>
  <c r="D19" i="44"/>
  <c r="G20" i="44"/>
  <c r="M17" i="44"/>
  <c r="L17" i="44"/>
  <c r="N17" i="44"/>
  <c r="E17" i="44"/>
  <c r="AB17" i="44"/>
  <c r="AD16" i="44"/>
  <c r="AC16" i="44"/>
  <c r="Q18" i="44"/>
  <c r="R19" i="44"/>
  <c r="D12" i="39"/>
  <c r="Q13" i="39"/>
  <c r="P13" i="39"/>
  <c r="Z11" i="39"/>
  <c r="AA11" i="39"/>
  <c r="F14" i="39"/>
  <c r="C13" i="39"/>
  <c r="B13" i="39"/>
  <c r="W12" i="39"/>
  <c r="X12" i="39"/>
  <c r="S12" i="39"/>
  <c r="N13" i="39"/>
  <c r="J13" i="39"/>
  <c r="K13" i="39"/>
  <c r="G13" i="39"/>
  <c r="Y12" i="39"/>
  <c r="U12" i="39"/>
  <c r="E17" i="39"/>
  <c r="T20" i="47"/>
  <c r="Q20" i="47"/>
  <c r="V20" i="47"/>
  <c r="R21" i="47"/>
  <c r="U20" i="47"/>
  <c r="S20" i="47"/>
  <c r="H17" i="44"/>
  <c r="S17" i="44"/>
  <c r="I17" i="44"/>
  <c r="T17" i="44"/>
  <c r="J17" i="44"/>
  <c r="U17" i="44"/>
  <c r="AD17" i="44"/>
  <c r="AC17" i="44"/>
  <c r="G21" i="44"/>
  <c r="X19" i="44"/>
  <c r="B19" i="44"/>
  <c r="Q19" i="44"/>
  <c r="R20" i="44"/>
  <c r="N18" i="44"/>
  <c r="M18" i="44"/>
  <c r="L18" i="44"/>
  <c r="V18" i="44"/>
  <c r="O20" i="44"/>
  <c r="K19" i="44"/>
  <c r="Z19" i="44"/>
  <c r="AA19" i="44"/>
  <c r="D20" i="44"/>
  <c r="E18" i="44"/>
  <c r="AB18" i="44"/>
  <c r="D13" i="39"/>
  <c r="Q14" i="39"/>
  <c r="P14" i="39"/>
  <c r="Z12" i="39"/>
  <c r="AA12" i="39"/>
  <c r="F15" i="39"/>
  <c r="S13" i="39"/>
  <c r="C14" i="39"/>
  <c r="B14" i="39"/>
  <c r="N14" i="39"/>
  <c r="J14" i="39"/>
  <c r="K14" i="39"/>
  <c r="G14" i="39"/>
  <c r="W13" i="39"/>
  <c r="X13" i="39"/>
  <c r="Y13" i="39"/>
  <c r="U13" i="39"/>
  <c r="E18" i="39"/>
  <c r="U21" i="47"/>
  <c r="T21" i="47"/>
  <c r="S21" i="47"/>
  <c r="Q21" i="47"/>
  <c r="V21" i="47"/>
  <c r="I18" i="44"/>
  <c r="T18" i="44"/>
  <c r="H18" i="44"/>
  <c r="S18" i="44"/>
  <c r="J18" i="44"/>
  <c r="U18" i="44"/>
  <c r="V19" i="44"/>
  <c r="X20" i="44"/>
  <c r="B20" i="44"/>
  <c r="R21" i="44"/>
  <c r="Q20" i="44"/>
  <c r="N19" i="44"/>
  <c r="M19" i="44"/>
  <c r="L19" i="44"/>
  <c r="AB19" i="44"/>
  <c r="E19" i="44"/>
  <c r="O21" i="44"/>
  <c r="K20" i="44"/>
  <c r="Z20" i="44"/>
  <c r="AA20" i="44"/>
  <c r="D21" i="44"/>
  <c r="AD18" i="44"/>
  <c r="AC18" i="44"/>
  <c r="D14" i="39"/>
  <c r="Q15" i="39"/>
  <c r="P15" i="39"/>
  <c r="AA13" i="39"/>
  <c r="F16" i="39"/>
  <c r="C15" i="39"/>
  <c r="B15" i="39"/>
  <c r="S14" i="39"/>
  <c r="N15" i="39"/>
  <c r="J15" i="39"/>
  <c r="K15" i="39"/>
  <c r="G15" i="39"/>
  <c r="W14" i="39"/>
  <c r="X14" i="39"/>
  <c r="Z13" i="39"/>
  <c r="U14" i="39"/>
  <c r="Y14" i="39"/>
  <c r="E19" i="39"/>
  <c r="H19" i="44"/>
  <c r="S19" i="44"/>
  <c r="I19" i="44"/>
  <c r="T19" i="44"/>
  <c r="Q21" i="44"/>
  <c r="J19" i="44"/>
  <c r="U19" i="44"/>
  <c r="AB20" i="44"/>
  <c r="E20" i="44"/>
  <c r="AD19" i="44"/>
  <c r="AC19" i="44"/>
  <c r="X21" i="44"/>
  <c r="B21" i="44"/>
  <c r="M20" i="44"/>
  <c r="L20" i="44"/>
  <c r="N20" i="44"/>
  <c r="V20" i="44"/>
  <c r="K21" i="44"/>
  <c r="D15" i="39"/>
  <c r="Q16" i="39"/>
  <c r="P16" i="39"/>
  <c r="AA14" i="39"/>
  <c r="F17" i="39"/>
  <c r="C16" i="39"/>
  <c r="B16" i="39"/>
  <c r="D16" i="39"/>
  <c r="S15" i="39"/>
  <c r="N16" i="39"/>
  <c r="J16" i="39"/>
  <c r="K16" i="39"/>
  <c r="G16" i="39"/>
  <c r="W15" i="39"/>
  <c r="X15" i="39"/>
  <c r="U15" i="39"/>
  <c r="Y15" i="39"/>
  <c r="Z14" i="39"/>
  <c r="E20" i="39"/>
  <c r="I20" i="44"/>
  <c r="T20" i="44"/>
  <c r="H20" i="44"/>
  <c r="S20" i="44"/>
  <c r="J20" i="44"/>
  <c r="U20" i="44"/>
  <c r="V21" i="44"/>
  <c r="Z21" i="44"/>
  <c r="AA21" i="44"/>
  <c r="AC20" i="44"/>
  <c r="AD20" i="44"/>
  <c r="E21" i="44"/>
  <c r="AB21" i="44"/>
  <c r="N21" i="44"/>
  <c r="M21" i="44"/>
  <c r="L21" i="44"/>
  <c r="Q17" i="39"/>
  <c r="P17" i="39"/>
  <c r="AA15" i="39"/>
  <c r="F18" i="39"/>
  <c r="Z15" i="39"/>
  <c r="C17" i="39"/>
  <c r="B17" i="39"/>
  <c r="D17" i="39"/>
  <c r="S16" i="39"/>
  <c r="N17" i="39"/>
  <c r="J17" i="39"/>
  <c r="K17" i="39"/>
  <c r="G17" i="39"/>
  <c r="W16" i="39"/>
  <c r="X16" i="39"/>
  <c r="U16" i="39"/>
  <c r="Y16" i="39"/>
  <c r="E21" i="39"/>
  <c r="H21" i="44"/>
  <c r="S21" i="44"/>
  <c r="I21" i="44"/>
  <c r="T21" i="44"/>
  <c r="J21" i="44"/>
  <c r="U21" i="44"/>
  <c r="AD21" i="44"/>
  <c r="AC21" i="44"/>
  <c r="Q18" i="39"/>
  <c r="P18" i="39"/>
  <c r="AA16" i="39"/>
  <c r="F19" i="39"/>
  <c r="C18" i="39"/>
  <c r="B18" i="39"/>
  <c r="D18" i="39"/>
  <c r="S17" i="39"/>
  <c r="N18" i="39"/>
  <c r="J18" i="39"/>
  <c r="K18" i="39"/>
  <c r="G18" i="39"/>
  <c r="W17" i="39"/>
  <c r="X17" i="39"/>
  <c r="Y17" i="39"/>
  <c r="U17" i="39"/>
  <c r="Z16" i="39"/>
  <c r="Q19" i="39"/>
  <c r="P19" i="39"/>
  <c r="AA17" i="39"/>
  <c r="F20" i="39"/>
  <c r="C19" i="39"/>
  <c r="B19" i="39"/>
  <c r="D19" i="39"/>
  <c r="N19" i="39"/>
  <c r="J19" i="39"/>
  <c r="K19" i="39"/>
  <c r="G19" i="39"/>
  <c r="W18" i="39"/>
  <c r="X18" i="39"/>
  <c r="S18" i="39"/>
  <c r="Y18" i="39"/>
  <c r="U18" i="39"/>
  <c r="Z17" i="39"/>
  <c r="Q20" i="39"/>
  <c r="P20" i="39"/>
  <c r="AA18" i="39"/>
  <c r="F21" i="39"/>
  <c r="Z18" i="39"/>
  <c r="C20" i="39"/>
  <c r="B20" i="39"/>
  <c r="D20" i="39"/>
  <c r="S19" i="39"/>
  <c r="N20" i="39"/>
  <c r="J20" i="39"/>
  <c r="K20" i="39"/>
  <c r="G20" i="39"/>
  <c r="W19" i="39"/>
  <c r="X19" i="39"/>
  <c r="U19" i="39"/>
  <c r="Y19" i="39"/>
  <c r="Q21" i="39"/>
  <c r="P21" i="39"/>
  <c r="AA19" i="39"/>
  <c r="C21" i="39"/>
  <c r="B21" i="39"/>
  <c r="D21" i="39"/>
  <c r="N21" i="39"/>
  <c r="J21" i="39"/>
  <c r="K21" i="39"/>
  <c r="G21" i="39"/>
  <c r="W20" i="39"/>
  <c r="X20" i="39"/>
  <c r="S20" i="39"/>
  <c r="U20" i="39"/>
  <c r="Y20" i="39"/>
  <c r="Z19" i="39"/>
  <c r="Z20" i="39"/>
  <c r="AA20" i="39"/>
  <c r="S21" i="39"/>
  <c r="W21" i="39"/>
  <c r="X21" i="39"/>
  <c r="U21" i="39"/>
  <c r="Y21" i="39"/>
  <c r="Z21" i="39"/>
  <c r="AA21" i="39"/>
</calcChain>
</file>

<file path=xl/sharedStrings.xml><?xml version="1.0" encoding="utf-8"?>
<sst xmlns="http://schemas.openxmlformats.org/spreadsheetml/2006/main" count="635" uniqueCount="264">
  <si>
    <t>索引</t>
  </si>
  <si>
    <t>id</t>
  </si>
  <si>
    <t>int32</t>
  </si>
  <si>
    <t>optional</t>
  </si>
  <si>
    <t>required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</si>
  <si>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</si>
  <si>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</si>
  <si>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</si>
  <si>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</si>
  <si>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</si>
  <si>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</si>
  <si>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</si>
  <si>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</si>
  <si>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</si>
  <si>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</si>
  <si>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炼油厂</t>
  </si>
  <si>
    <t>炼钢厂</t>
  </si>
  <si>
    <t>松木林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</si>
  <si>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</si>
  <si>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</si>
  <si>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</si>
  <si>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</si>
  <si>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</si>
  <si>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</si>
  <si>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</si>
  <si>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</si>
  <si>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</si>
  <si>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</si>
  <si>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</si>
  <si>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</si>
  <si>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</si>
  <si>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</si>
  <si>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</si>
  <si>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</si>
  <si>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耐久度</t>
    <phoneticPr fontId="3" type="noConversion"/>
  </si>
  <si>
    <t>建筑名称</t>
    <phoneticPr fontId="3" type="noConversion"/>
  </si>
  <si>
    <t>能量健身房</t>
    <phoneticPr fontId="3" type="noConversion"/>
  </si>
  <si>
    <t>僵尸发电机</t>
    <phoneticPr fontId="3" type="noConversion"/>
  </si>
  <si>
    <t>电池组</t>
    <phoneticPr fontId="3" type="noConversion"/>
  </si>
  <si>
    <t>庄园大门</t>
    <phoneticPr fontId="3" type="noConversion"/>
  </si>
  <si>
    <t>耐久度</t>
    <phoneticPr fontId="3" type="noConversion"/>
  </si>
  <si>
    <t>建筑消耗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</si>
  <si>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</si>
  <si>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</si>
  <si>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</si>
  <si>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</si>
  <si>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</si>
  <si>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</si>
  <si>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</si>
  <si>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</si>
  <si>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容量加满的时间去后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</si>
  <si>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</si>
  <si>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</si>
  <si>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</si>
  <si>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</si>
  <si>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</si>
  <si>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</si>
  <si>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</si>
  <si>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</si>
  <si>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</si>
  <si>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</si>
  <si>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</si>
  <si>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</si>
  <si>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</si>
  <si>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</si>
  <si>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</si>
  <si>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</si>
  <si>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</si>
  <si>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</si>
  <si>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</si>
  <si>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</si>
  <si>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</si>
  <si>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</si>
  <si>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</si>
  <si>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</si>
  <si>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</si>
  <si>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</si>
  <si>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</si>
  <si>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</si>
  <si>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</si>
  <si>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</si>
  <si>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</si>
  <si>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</si>
  <si>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</si>
  <si>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</si>
  <si>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</si>
  <si>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</si>
  <si>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</si>
  <si>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</si>
  <si>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</si>
  <si>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</si>
  <si>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</si>
  <si>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</si>
  <si>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</si>
  <si>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</si>
  <si>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</si>
  <si>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</si>
  <si>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</si>
  <si>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</si>
  <si>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</si>
  <si>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</si>
  <si>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</si>
  <si>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</si>
  <si>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</si>
  <si>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</si>
  <si>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</si>
  <si>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</si>
  <si>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</si>
  <si>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</si>
  <si>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</si>
  <si>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</si>
  <si>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</si>
  <si>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</si>
  <si>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</si>
  <si>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</si>
  <si>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</si>
  <si>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</si>
  <si>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</si>
  <si>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</si>
  <si>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</si>
  <si>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</si>
  <si>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</si>
  <si>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</si>
  <si>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</si>
  <si>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</si>
  <si>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</si>
  <si>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</si>
  <si>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</si>
  <si>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</si>
  <si>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</si>
  <si>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</si>
  <si>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</si>
  <si>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</si>
  <si>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</si>
  <si>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</si>
  <si>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</si>
  <si>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</si>
  <si>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</si>
  <si>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</si>
  <si>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</si>
  <si>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</si>
  <si>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</si>
  <si>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</si>
  <si>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</si>
  <si>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</si>
  <si>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</si>
  <si>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</si>
  <si>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</si>
  <si>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</si>
  <si>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</si>
  <si>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</si>
  <si>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</si>
  <si>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</si>
  <si>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</si>
  <si>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</si>
  <si>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</si>
  <si>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</si>
  <si>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</si>
  <si>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</si>
  <si>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</si>
  <si>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</si>
  <si>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</si>
  <si>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</si>
  <si>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</si>
  <si>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</si>
  <si>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</si>
  <si>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</si>
  <si>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</si>
  <si>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</si>
  <si>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</si>
  <si>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</si>
  <si>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</si>
  <si>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</si>
  <si>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</si>
  <si>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</si>
  <si>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</si>
  <si>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</si>
  <si>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</si>
  <si>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</si>
  <si>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</si>
  <si>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</si>
  <si>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</si>
  <si>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</si>
  <si>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</si>
  <si>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</si>
  <si>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</si>
  <si>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</si>
  <si>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</si>
  <si>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</si>
  <si>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</si>
  <si>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</si>
  <si>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</si>
  <si>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</si>
  <si>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</si>
  <si>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</si>
  <si>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</si>
  <si>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</si>
  <si>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</si>
  <si>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</si>
  <si>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</si>
  <si>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</si>
  <si>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</si>
  <si>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</si>
  <si>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猪圈 差猪</t>
    <phoneticPr fontId="3" type="noConversion"/>
  </si>
  <si>
    <t>威力</t>
    <phoneticPr fontId="3" type="noConversion"/>
  </si>
  <si>
    <t>产出取整</t>
  </si>
  <si>
    <t>消耗取整</t>
  </si>
  <si>
    <t>庄园等级</t>
    <phoneticPr fontId="3" type="noConversion"/>
  </si>
  <si>
    <t>时间</t>
    <phoneticPr fontId="3" type="noConversion"/>
  </si>
  <si>
    <t>水泥</t>
    <phoneticPr fontId="3" type="noConversion"/>
  </si>
  <si>
    <t>图纸</t>
    <phoneticPr fontId="3" type="noConversion"/>
  </si>
  <si>
    <t>特殊道具</t>
    <phoneticPr fontId="3" type="noConversion"/>
  </si>
  <si>
    <t>铁</t>
    <phoneticPr fontId="3" type="noConversion"/>
  </si>
  <si>
    <t>钢</t>
    <phoneticPr fontId="3" type="noConversion"/>
  </si>
  <si>
    <t>时间</t>
    <phoneticPr fontId="3" type="noConversion"/>
  </si>
  <si>
    <t>1min</t>
    <phoneticPr fontId="3" type="noConversion"/>
  </si>
  <si>
    <t>5min</t>
    <phoneticPr fontId="3" type="noConversion"/>
  </si>
  <si>
    <t>10min</t>
    <phoneticPr fontId="3" type="noConversion"/>
  </si>
  <si>
    <t>30min</t>
    <phoneticPr fontId="3" type="noConversion"/>
  </si>
  <si>
    <t>1h</t>
    <phoneticPr fontId="3" type="noConversion"/>
  </si>
  <si>
    <t>6h</t>
    <phoneticPr fontId="3" type="noConversion"/>
  </si>
  <si>
    <t>12h</t>
    <phoneticPr fontId="3" type="noConversion"/>
  </si>
  <si>
    <t>24h</t>
    <phoneticPr fontId="3" type="noConversion"/>
  </si>
  <si>
    <t>2天</t>
    <phoneticPr fontId="3" type="noConversion"/>
  </si>
  <si>
    <t>解锁建筑</t>
    <phoneticPr fontId="3" type="noConversion"/>
  </si>
  <si>
    <t>井</t>
    <phoneticPr fontId="3" type="noConversion"/>
  </si>
  <si>
    <t>化肥合成器</t>
    <phoneticPr fontId="3" type="noConversion"/>
  </si>
  <si>
    <t>大米种植场</t>
    <phoneticPr fontId="3" type="noConversion"/>
  </si>
  <si>
    <t>松木林</t>
    <phoneticPr fontId="3" type="noConversion"/>
  </si>
  <si>
    <t>风力发电站</t>
    <phoneticPr fontId="3" type="noConversion"/>
  </si>
  <si>
    <t>水果园</t>
    <phoneticPr fontId="3" type="noConversion"/>
  </si>
  <si>
    <t>蔬菜种植场</t>
    <phoneticPr fontId="3" type="noConversion"/>
  </si>
  <si>
    <t>che_spd</t>
    <phoneticPr fontId="3" type="noConversion"/>
  </si>
  <si>
    <t>che_cap</t>
    <phoneticPr fontId="3" type="noConversion"/>
  </si>
  <si>
    <t>可载人数</t>
    <phoneticPr fontId="3" type="noConversion"/>
  </si>
  <si>
    <t>车辆速度</t>
    <phoneticPr fontId="3" type="noConversion"/>
  </si>
  <si>
    <t>che_passenger</t>
    <phoneticPr fontId="3" type="noConversion"/>
  </si>
  <si>
    <t>载货量</t>
    <phoneticPr fontId="3" type="noConversion"/>
  </si>
  <si>
    <t>属性单位</t>
    <phoneticPr fontId="3" type="noConversion"/>
  </si>
  <si>
    <t>attr_name</t>
    <phoneticPr fontId="3" type="noConversion"/>
  </si>
  <si>
    <t>attr_units</t>
    <phoneticPr fontId="3" type="noConversion"/>
  </si>
  <si>
    <t>string</t>
    <phoneticPr fontId="3" type="noConversion"/>
  </si>
  <si>
    <t>optional</t>
    <phoneticPr fontId="3" type="noConversion"/>
  </si>
  <si>
    <t>/h</t>
    <phoneticPr fontId="3" type="noConversion"/>
  </si>
  <si>
    <t>km</t>
    <phoneticPr fontId="3" type="noConversion"/>
  </si>
  <si>
    <t>接收新闻延迟</t>
    <phoneticPr fontId="3" type="noConversion"/>
  </si>
  <si>
    <t>h</t>
    <phoneticPr fontId="3" type="noConversion"/>
  </si>
  <si>
    <t>che_spd</t>
  </si>
  <si>
    <t>che_passenger</t>
  </si>
  <si>
    <t>che_cap</t>
  </si>
  <si>
    <t>车辆速度</t>
    <phoneticPr fontId="3" type="noConversion"/>
  </si>
  <si>
    <t>可载人数</t>
    <phoneticPr fontId="3" type="noConversion"/>
  </si>
  <si>
    <t>载货量</t>
    <phoneticPr fontId="3" type="noConversion"/>
  </si>
  <si>
    <t>2人容量加满的时间</t>
    <phoneticPr fontId="3" type="noConversion"/>
  </si>
  <si>
    <t>3人容量加满的时间</t>
    <phoneticPr fontId="3" type="noConversion"/>
  </si>
  <si>
    <t>4人容量加满的时间</t>
    <phoneticPr fontId="3" type="noConversion"/>
  </si>
  <si>
    <t>临时测试消耗（/5）</t>
    <phoneticPr fontId="3" type="noConversion"/>
  </si>
  <si>
    <t>水纯净水</t>
    <phoneticPr fontId="6" type="noConversion"/>
  </si>
  <si>
    <t>weapon_might</t>
    <phoneticPr fontId="3" type="noConversion"/>
  </si>
  <si>
    <t>理想建筑24h产出</t>
    <phoneticPr fontId="3" type="noConversion"/>
  </si>
  <si>
    <t>每h产出</t>
    <phoneticPr fontId="3" type="noConversion"/>
  </si>
  <si>
    <t>理想容量</t>
    <phoneticPr fontId="3" type="noConversion"/>
  </si>
  <si>
    <t>允许储存多少个建筑24h</t>
    <phoneticPr fontId="3" type="noConversion"/>
  </si>
  <si>
    <t>k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</si>
</sst>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7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rgb="FF9C0006"/>
      <name val="宋体"/>
      <family val="2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4" fillId="8" borderId="0" xfId="0" applyFont="1" applyFill="1"/>
    <xf numFmtId="0" fontId="4" fillId="14" borderId="0" xfId="0" applyFont="1" applyFill="1"/>
    <xf numFmtId="0" fontId="4" fillId="15" borderId="0" xfId="0" applyFont="1" applyFill="1"/>
    <xf numFmtId="0" fontId="4" fillId="15" borderId="0" xfId="0" applyFont="1" applyFill="1" applyAlignment="1">
      <alignment horizontal="center"/>
    </xf>
    <xf numFmtId="0" fontId="4" fillId="16" borderId="0" xfId="0" applyFont="1" applyFill="1"/>
    <xf numFmtId="0" fontId="5" fillId="2" borderId="0" xfId="0" applyFont="1" applyFill="1"/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(5)'!$H$1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7004928"/>
        <c:axId val="457005488"/>
      </c:scatterChart>
      <c:valAx>
        <c:axId val="45700492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7005488"/>
        <c:crosses val="autoZero"/>
        <c:crossBetween val="midCat"/>
      </c:valAx>
      <c:valAx>
        <c:axId val="45700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7004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(5)'!$K$1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xVal>
          <c:yVal>
            <c:numRef>
              <c:f>'粗算 (5)'!$K$2:$K$21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150</c:v>
                </c:pt>
                <c:pt idx="2">
                  <c:v>300</c:v>
                </c:pt>
                <c:pt idx="3">
                  <c:v>900</c:v>
                </c:pt>
                <c:pt idx="4">
                  <c:v>1800</c:v>
                </c:pt>
                <c:pt idx="5">
                  <c:v>2500</c:v>
                </c:pt>
                <c:pt idx="6">
                  <c:v>3500</c:v>
                </c:pt>
                <c:pt idx="7">
                  <c:v>4600</c:v>
                </c:pt>
                <c:pt idx="8">
                  <c:v>5500</c:v>
                </c:pt>
                <c:pt idx="9">
                  <c:v>6600</c:v>
                </c:pt>
                <c:pt idx="10">
                  <c:v>7200</c:v>
                </c:pt>
                <c:pt idx="11">
                  <c:v>8600</c:v>
                </c:pt>
                <c:pt idx="12">
                  <c:v>9500</c:v>
                </c:pt>
                <c:pt idx="13">
                  <c:v>11000</c:v>
                </c:pt>
                <c:pt idx="14">
                  <c:v>13000</c:v>
                </c:pt>
                <c:pt idx="15">
                  <c:v>15000</c:v>
                </c:pt>
                <c:pt idx="16">
                  <c:v>17000</c:v>
                </c:pt>
                <c:pt idx="17">
                  <c:v>19000</c:v>
                </c:pt>
                <c:pt idx="18">
                  <c:v>23000</c:v>
                </c:pt>
                <c:pt idx="19">
                  <c:v>26000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xVal>
          <c:yVal>
            <c:numRef>
              <c:f>'粗算 (5)'!$L$2:$L$21</c:f>
              <c:numCache>
                <c:formatCode>General</c:formatCode>
                <c:ptCount val="20"/>
                <c:pt idx="0">
                  <c:v>70</c:v>
                </c:pt>
                <c:pt idx="1">
                  <c:v>105</c:v>
                </c:pt>
                <c:pt idx="2">
                  <c:v>210</c:v>
                </c:pt>
                <c:pt idx="3">
                  <c:v>630</c:v>
                </c:pt>
                <c:pt idx="4">
                  <c:v>1260</c:v>
                </c:pt>
                <c:pt idx="5">
                  <c:v>1750</c:v>
                </c:pt>
                <c:pt idx="6">
                  <c:v>2450</c:v>
                </c:pt>
                <c:pt idx="7">
                  <c:v>3220</c:v>
                </c:pt>
                <c:pt idx="8">
                  <c:v>3849.9999999999995</c:v>
                </c:pt>
                <c:pt idx="9">
                  <c:v>4620</c:v>
                </c:pt>
                <c:pt idx="10">
                  <c:v>5040</c:v>
                </c:pt>
                <c:pt idx="11">
                  <c:v>6020</c:v>
                </c:pt>
                <c:pt idx="12">
                  <c:v>6650</c:v>
                </c:pt>
                <c:pt idx="13">
                  <c:v>7699.9999999999991</c:v>
                </c:pt>
                <c:pt idx="14">
                  <c:v>9100</c:v>
                </c:pt>
                <c:pt idx="15">
                  <c:v>10500</c:v>
                </c:pt>
                <c:pt idx="16">
                  <c:v>11900</c:v>
                </c:pt>
                <c:pt idx="17">
                  <c:v>13300</c:v>
                </c:pt>
                <c:pt idx="18">
                  <c:v>16099.999999999998</c:v>
                </c:pt>
                <c:pt idx="19">
                  <c:v>18200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xVal>
          <c:yVal>
            <c:numRef>
              <c:f>'粗算 (5)'!$M$2:$M$21</c:f>
              <c:numCache>
                <c:formatCode>0</c:formatCode>
                <c:ptCount val="20"/>
                <c:pt idx="0">
                  <c:v>73.333333333333343</c:v>
                </c:pt>
                <c:pt idx="1">
                  <c:v>110</c:v>
                </c:pt>
                <c:pt idx="2">
                  <c:v>220</c:v>
                </c:pt>
                <c:pt idx="3">
                  <c:v>660.00000000000011</c:v>
                </c:pt>
                <c:pt idx="4">
                  <c:v>1320.0000000000002</c:v>
                </c:pt>
                <c:pt idx="5">
                  <c:v>1833.3333333333333</c:v>
                </c:pt>
                <c:pt idx="6">
                  <c:v>2566.666666666667</c:v>
                </c:pt>
                <c:pt idx="7">
                  <c:v>3373.3333333333335</c:v>
                </c:pt>
                <c:pt idx="8">
                  <c:v>4033.3333333333339</c:v>
                </c:pt>
                <c:pt idx="9">
                  <c:v>4840.0000000000009</c:v>
                </c:pt>
                <c:pt idx="10">
                  <c:v>5280.0000000000009</c:v>
                </c:pt>
                <c:pt idx="11">
                  <c:v>6306.666666666667</c:v>
                </c:pt>
                <c:pt idx="12">
                  <c:v>6966.666666666667</c:v>
                </c:pt>
                <c:pt idx="13">
                  <c:v>8066.6666666666679</c:v>
                </c:pt>
                <c:pt idx="14">
                  <c:v>9533.3333333333339</c:v>
                </c:pt>
                <c:pt idx="15">
                  <c:v>11000</c:v>
                </c:pt>
                <c:pt idx="16">
                  <c:v>12466.666666666666</c:v>
                </c:pt>
                <c:pt idx="17">
                  <c:v>13933.333333333334</c:v>
                </c:pt>
                <c:pt idx="18">
                  <c:v>16866.666666666668</c:v>
                </c:pt>
                <c:pt idx="19">
                  <c:v>19066.666666666668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xVal>
          <c:yVal>
            <c:numRef>
              <c:f>'粗算 (5)'!$N$2:$N$21</c:f>
              <c:numCache>
                <c:formatCode>0</c:formatCode>
                <c:ptCount val="20"/>
                <c:pt idx="0">
                  <c:v>80</c:v>
                </c:pt>
                <c:pt idx="1">
                  <c:v>120</c:v>
                </c:pt>
                <c:pt idx="2">
                  <c:v>240</c:v>
                </c:pt>
                <c:pt idx="3">
                  <c:v>720</c:v>
                </c:pt>
                <c:pt idx="4">
                  <c:v>1440</c:v>
                </c:pt>
                <c:pt idx="5">
                  <c:v>2000</c:v>
                </c:pt>
                <c:pt idx="6">
                  <c:v>2800</c:v>
                </c:pt>
                <c:pt idx="7">
                  <c:v>3680</c:v>
                </c:pt>
                <c:pt idx="8">
                  <c:v>4400</c:v>
                </c:pt>
                <c:pt idx="9">
                  <c:v>5280</c:v>
                </c:pt>
                <c:pt idx="10">
                  <c:v>5760</c:v>
                </c:pt>
                <c:pt idx="11">
                  <c:v>6880</c:v>
                </c:pt>
                <c:pt idx="12">
                  <c:v>7600</c:v>
                </c:pt>
                <c:pt idx="13">
                  <c:v>8800</c:v>
                </c:pt>
                <c:pt idx="14">
                  <c:v>10400</c:v>
                </c:pt>
                <c:pt idx="15">
                  <c:v>12000</c:v>
                </c:pt>
                <c:pt idx="16">
                  <c:v>13600</c:v>
                </c:pt>
                <c:pt idx="17">
                  <c:v>15200</c:v>
                </c:pt>
                <c:pt idx="18">
                  <c:v>18400</c:v>
                </c:pt>
                <c:pt idx="19">
                  <c:v>20800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760608"/>
        <c:axId val="451761168"/>
      </c:scatterChart>
      <c:valAx>
        <c:axId val="451760608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1761168"/>
        <c:crosses val="autoZero"/>
        <c:crossBetween val="midCat"/>
        <c:majorUnit val="125"/>
      </c:valAx>
      <c:valAx>
        <c:axId val="45176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17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(4)'!$H$1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(4)'!$G$2:$G$21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1765648"/>
        <c:axId val="451766208"/>
      </c:scatterChart>
      <c:valAx>
        <c:axId val="45176564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1766208"/>
        <c:crosses val="autoZero"/>
        <c:crossBetween val="midCat"/>
      </c:valAx>
      <c:valAx>
        <c:axId val="45176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1765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(4)'!$K$1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(4)'!$G$2:$G$21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(4)'!$K$2:$K$21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800</c:v>
                </c:pt>
                <c:pt idx="3">
                  <c:v>4000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(4)'!$L$2:$L$21</c:f>
              <c:numCache>
                <c:formatCode>General</c:formatCode>
                <c:ptCount val="20"/>
                <c:pt idx="0">
                  <c:v>62.5</c:v>
                </c:pt>
                <c:pt idx="1">
                  <c:v>125</c:v>
                </c:pt>
                <c:pt idx="2">
                  <c:v>500</c:v>
                </c:pt>
                <c:pt idx="3">
                  <c:v>2500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(4)'!$M$2:$M$21</c:f>
              <c:numCache>
                <c:formatCode>0</c:formatCode>
                <c:ptCount val="20"/>
                <c:pt idx="0">
                  <c:v>66.666666666666671</c:v>
                </c:pt>
                <c:pt idx="1">
                  <c:v>133.33333333333334</c:v>
                </c:pt>
                <c:pt idx="2">
                  <c:v>533.33333333333337</c:v>
                </c:pt>
                <c:pt idx="3">
                  <c:v>2666.6666666666665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(4)'!$J$2:$J$21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(4)'!$N$2:$N$21</c:f>
              <c:numCache>
                <c:formatCode>0</c:formatCode>
                <c:ptCount val="20"/>
                <c:pt idx="0">
                  <c:v>75</c:v>
                </c:pt>
                <c:pt idx="1">
                  <c:v>150</c:v>
                </c:pt>
                <c:pt idx="2">
                  <c:v>600</c:v>
                </c:pt>
                <c:pt idx="3">
                  <c:v>3000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312464"/>
        <c:axId val="458313024"/>
      </c:scatterChart>
      <c:valAx>
        <c:axId val="458312464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8313024"/>
        <c:crosses val="autoZero"/>
        <c:crossBetween val="midCat"/>
        <c:majorUnit val="125"/>
      </c:valAx>
      <c:valAx>
        <c:axId val="45831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8312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8317504"/>
        <c:axId val="458318064"/>
      </c:scatterChart>
      <c:valAx>
        <c:axId val="458317504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8318064"/>
        <c:crosses val="autoZero"/>
        <c:crossBetween val="midCat"/>
      </c:valAx>
      <c:valAx>
        <c:axId val="45831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831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(2)'!$J$1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(2)'!$J$2:$J$21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600</c:v>
                </c:pt>
                <c:pt idx="2">
                  <c:v>3000</c:v>
                </c:pt>
                <c:pt idx="3">
                  <c:v>12000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(2)'!$K$2:$K$21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375</c:v>
                </c:pt>
                <c:pt idx="2">
                  <c:v>1875</c:v>
                </c:pt>
                <c:pt idx="3">
                  <c:v>7500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(2)'!$L$2:$L$21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400</c:v>
                </c:pt>
                <c:pt idx="2">
                  <c:v>2000</c:v>
                </c:pt>
                <c:pt idx="3">
                  <c:v>8000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(2)'!$M$2:$M$21</c:f>
              <c:numCache>
                <c:formatCode>0</c:formatCode>
                <c:ptCount val="20"/>
                <c:pt idx="0">
                  <c:v>75</c:v>
                </c:pt>
                <c:pt idx="1">
                  <c:v>450</c:v>
                </c:pt>
                <c:pt idx="2">
                  <c:v>2250</c:v>
                </c:pt>
                <c:pt idx="3">
                  <c:v>9000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322544"/>
        <c:axId val="458323104"/>
      </c:scatterChart>
      <c:valAx>
        <c:axId val="458322544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8323104"/>
        <c:crosses val="autoZero"/>
        <c:crossBetween val="midCat"/>
        <c:majorUnit val="125"/>
      </c:valAx>
      <c:valAx>
        <c:axId val="45832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8322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57813</xdr:colOff>
      <xdr:row>22</xdr:row>
      <xdr:rowOff>134292</xdr:rowOff>
    </xdr:from>
    <xdr:to>
      <xdr:col>21</xdr:col>
      <xdr:colOff>1323919</xdr:colOff>
      <xdr:row>38</xdr:row>
      <xdr:rowOff>191441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1337982</xdr:colOff>
      <xdr:row>23</xdr:row>
      <xdr:rowOff>68596</xdr:rowOff>
    </xdr:from>
    <xdr:to>
      <xdr:col>22</xdr:col>
      <xdr:colOff>1220480</xdr:colOff>
      <xdr:row>39</xdr:row>
      <xdr:rowOff>125745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86"/>
  <sheetViews>
    <sheetView topLeftCell="A34" zoomScale="115" zoomScaleNormal="115" workbookViewId="0">
      <selection activeCell="P63" sqref="P63"/>
    </sheetView>
  </sheetViews>
  <sheetFormatPr defaultColWidth="10.75" defaultRowHeight="16.5" x14ac:dyDescent="0.35"/>
  <cols>
    <col min="1" max="16384" width="10.75" style="11"/>
  </cols>
  <sheetData>
    <row r="1" spans="1:22" x14ac:dyDescent="0.35">
      <c r="A1" s="25" t="s">
        <v>35</v>
      </c>
      <c r="B1" s="12" t="s">
        <v>60</v>
      </c>
      <c r="C1" s="52" t="s">
        <v>61</v>
      </c>
      <c r="D1" s="52"/>
      <c r="E1" s="52"/>
      <c r="F1" s="52"/>
      <c r="G1" s="53"/>
    </row>
    <row r="2" spans="1:22" x14ac:dyDescent="0.35">
      <c r="A2" s="26" t="s">
        <v>6</v>
      </c>
      <c r="B2" s="13" t="s">
        <v>62</v>
      </c>
      <c r="C2" s="14" t="s">
        <v>63</v>
      </c>
      <c r="D2" s="14"/>
      <c r="E2" s="14" t="s">
        <v>64</v>
      </c>
      <c r="F2" s="15"/>
      <c r="G2" s="16"/>
      <c r="J2" t="s">
        <v>205</v>
      </c>
      <c r="K2" t="s">
        <v>206</v>
      </c>
      <c r="Q2" s="45" t="s">
        <v>14</v>
      </c>
      <c r="R2" s="45" t="s">
        <v>6</v>
      </c>
      <c r="S2" s="45" t="s">
        <v>11</v>
      </c>
      <c r="T2" s="45" t="s">
        <v>66</v>
      </c>
      <c r="U2" s="45" t="s">
        <v>202</v>
      </c>
      <c r="V2" s="26" t="s">
        <v>39</v>
      </c>
    </row>
    <row r="3" spans="1:22" x14ac:dyDescent="0.35">
      <c r="A3" s="26" t="s">
        <v>7</v>
      </c>
      <c r="B3" s="13" t="s">
        <v>65</v>
      </c>
      <c r="C3" s="14" t="s">
        <v>63</v>
      </c>
      <c r="D3" s="14"/>
      <c r="E3" s="14" t="s">
        <v>64</v>
      </c>
      <c r="F3" s="15"/>
      <c r="G3" s="16"/>
      <c r="J3">
        <v>100</v>
      </c>
      <c r="K3">
        <v>100</v>
      </c>
      <c r="Q3" s="45" t="s">
        <v>38</v>
      </c>
      <c r="R3" s="45" t="s">
        <v>201</v>
      </c>
    </row>
    <row r="4" spans="1:22" x14ac:dyDescent="0.35">
      <c r="A4" s="26" t="s">
        <v>8</v>
      </c>
      <c r="B4" s="13" t="s">
        <v>65</v>
      </c>
      <c r="C4" s="14" t="s">
        <v>63</v>
      </c>
      <c r="D4" s="14"/>
      <c r="E4" s="14" t="s">
        <v>64</v>
      </c>
      <c r="F4" s="15"/>
      <c r="G4" s="16"/>
      <c r="J4">
        <v>200</v>
      </c>
      <c r="K4">
        <v>100</v>
      </c>
      <c r="Q4" s="45" t="s">
        <v>17</v>
      </c>
    </row>
    <row r="5" spans="1:22" x14ac:dyDescent="0.35">
      <c r="A5" s="26" t="s">
        <v>66</v>
      </c>
      <c r="B5" s="13" t="s">
        <v>65</v>
      </c>
      <c r="C5" s="14" t="s">
        <v>67</v>
      </c>
      <c r="D5" s="14"/>
      <c r="E5" s="14" t="s">
        <v>68</v>
      </c>
      <c r="F5" s="15"/>
      <c r="G5" s="16"/>
      <c r="J5">
        <v>800</v>
      </c>
      <c r="K5">
        <v>800</v>
      </c>
      <c r="Q5" s="26" t="s">
        <v>79</v>
      </c>
    </row>
    <row r="6" spans="1:22" x14ac:dyDescent="0.35">
      <c r="A6" s="26" t="s">
        <v>9</v>
      </c>
      <c r="B6" s="13" t="s">
        <v>65</v>
      </c>
      <c r="C6" s="14" t="s">
        <v>69</v>
      </c>
      <c r="D6" s="14"/>
      <c r="E6" s="14" t="s">
        <v>70</v>
      </c>
      <c r="F6" s="15"/>
      <c r="G6" s="16"/>
      <c r="J6">
        <v>4000</v>
      </c>
      <c r="K6">
        <v>9600</v>
      </c>
      <c r="Q6" s="45" t="s">
        <v>7</v>
      </c>
    </row>
    <row r="7" spans="1:22" x14ac:dyDescent="0.35">
      <c r="A7" s="26" t="s">
        <v>10</v>
      </c>
      <c r="B7" s="13" t="s">
        <v>71</v>
      </c>
      <c r="C7" s="14" t="s">
        <v>72</v>
      </c>
      <c r="D7" s="14"/>
      <c r="E7" s="14" t="s">
        <v>73</v>
      </c>
      <c r="F7" s="15"/>
      <c r="G7" s="16"/>
      <c r="J7">
        <v>24000</v>
      </c>
      <c r="K7">
        <v>130000</v>
      </c>
      <c r="Q7" s="26" t="s">
        <v>36</v>
      </c>
    </row>
    <row r="8" spans="1:22" x14ac:dyDescent="0.35">
      <c r="A8" s="26" t="s">
        <v>11</v>
      </c>
      <c r="B8" s="13" t="s">
        <v>71</v>
      </c>
      <c r="C8" s="14" t="s">
        <v>74</v>
      </c>
      <c r="D8" s="14"/>
      <c r="E8" s="14" t="s">
        <v>75</v>
      </c>
      <c r="F8" s="15"/>
      <c r="G8" s="16"/>
      <c r="J8">
        <v>34000</v>
      </c>
      <c r="K8">
        <v>1200000</v>
      </c>
      <c r="Q8" s="45" t="s">
        <v>8</v>
      </c>
    </row>
    <row r="9" spans="1:22" x14ac:dyDescent="0.35">
      <c r="A9" s="26" t="s">
        <v>12</v>
      </c>
      <c r="B9" s="13" t="s">
        <v>71</v>
      </c>
      <c r="C9" s="14" t="s">
        <v>76</v>
      </c>
      <c r="D9" s="14"/>
      <c r="E9" s="14" t="s">
        <v>75</v>
      </c>
      <c r="F9" s="15"/>
      <c r="G9" s="16"/>
      <c r="J9">
        <v>47000</v>
      </c>
      <c r="K9">
        <v>2700000</v>
      </c>
    </row>
    <row r="10" spans="1:22" x14ac:dyDescent="0.35">
      <c r="A10" s="26" t="s">
        <v>13</v>
      </c>
      <c r="B10" s="13" t="s">
        <v>71</v>
      </c>
      <c r="C10" s="14" t="s">
        <v>72</v>
      </c>
      <c r="D10" s="14"/>
      <c r="E10" s="14" t="s">
        <v>75</v>
      </c>
      <c r="F10" s="15"/>
      <c r="G10" s="16"/>
      <c r="J10">
        <v>61000</v>
      </c>
      <c r="K10">
        <v>5000000</v>
      </c>
      <c r="Q10" s="45" t="s">
        <v>12</v>
      </c>
    </row>
    <row r="11" spans="1:22" x14ac:dyDescent="0.35">
      <c r="A11" s="26" t="s">
        <v>14</v>
      </c>
      <c r="B11" s="27" t="s">
        <v>77</v>
      </c>
      <c r="C11" s="14" t="s">
        <v>78</v>
      </c>
      <c r="D11" s="14"/>
      <c r="E11" s="14"/>
      <c r="F11" s="15"/>
      <c r="G11" s="16"/>
      <c r="J11">
        <v>73000</v>
      </c>
      <c r="K11">
        <v>7900000</v>
      </c>
      <c r="Q11" s="45" t="s">
        <v>100</v>
      </c>
    </row>
    <row r="12" spans="1:22" x14ac:dyDescent="0.35">
      <c r="A12" s="26" t="s">
        <v>79</v>
      </c>
      <c r="B12" s="13" t="s">
        <v>71</v>
      </c>
      <c r="C12" s="14" t="s">
        <v>80</v>
      </c>
      <c r="D12" s="14"/>
      <c r="E12" s="14" t="s">
        <v>81</v>
      </c>
      <c r="F12" s="15"/>
      <c r="G12" s="16"/>
      <c r="J12">
        <v>88000</v>
      </c>
      <c r="K12">
        <v>11000000</v>
      </c>
      <c r="Q12" s="45" t="s">
        <v>13</v>
      </c>
    </row>
    <row r="13" spans="1:22" x14ac:dyDescent="0.35">
      <c r="A13" s="26" t="s">
        <v>201</v>
      </c>
      <c r="B13" s="13" t="s">
        <v>62</v>
      </c>
      <c r="C13" s="14" t="s">
        <v>24</v>
      </c>
      <c r="D13" s="14"/>
      <c r="E13" s="14" t="s">
        <v>82</v>
      </c>
      <c r="F13" s="15"/>
      <c r="G13" s="16"/>
      <c r="J13">
        <v>96000</v>
      </c>
      <c r="K13">
        <v>22000000</v>
      </c>
      <c r="Q13" s="45" t="s">
        <v>18</v>
      </c>
    </row>
    <row r="14" spans="1:22" x14ac:dyDescent="0.35">
      <c r="A14" s="26" t="s">
        <v>83</v>
      </c>
      <c r="B14" s="27" t="s">
        <v>84</v>
      </c>
      <c r="C14" s="14" t="s">
        <v>85</v>
      </c>
      <c r="D14" s="14"/>
      <c r="E14" s="14"/>
      <c r="F14" s="15"/>
      <c r="G14" s="16"/>
      <c r="J14">
        <v>120000</v>
      </c>
      <c r="K14">
        <v>26000000</v>
      </c>
      <c r="Q14" s="45" t="s">
        <v>10</v>
      </c>
      <c r="R14" s="26" t="s">
        <v>203</v>
      </c>
    </row>
    <row r="15" spans="1:22" x14ac:dyDescent="0.35">
      <c r="A15" s="26" t="s">
        <v>15</v>
      </c>
      <c r="B15" s="28" t="s">
        <v>86</v>
      </c>
      <c r="C15" s="14" t="s">
        <v>87</v>
      </c>
      <c r="D15" s="14"/>
      <c r="E15" s="14" t="s">
        <v>88</v>
      </c>
      <c r="F15" s="15"/>
      <c r="G15" s="16"/>
      <c r="J15">
        <v>130000</v>
      </c>
      <c r="K15">
        <v>43000000</v>
      </c>
      <c r="Q15" s="26" t="s">
        <v>93</v>
      </c>
    </row>
    <row r="16" spans="1:22" x14ac:dyDescent="0.35">
      <c r="A16" s="26" t="s">
        <v>16</v>
      </c>
      <c r="B16" s="28" t="s">
        <v>86</v>
      </c>
      <c r="C16" s="14" t="s">
        <v>89</v>
      </c>
      <c r="D16" s="14"/>
      <c r="E16" s="14" t="s">
        <v>90</v>
      </c>
      <c r="F16" s="15"/>
      <c r="G16" s="16"/>
      <c r="J16">
        <v>150000</v>
      </c>
      <c r="K16">
        <v>66000000</v>
      </c>
      <c r="Q16" s="45" t="s">
        <v>15</v>
      </c>
    </row>
    <row r="17" spans="1:17" x14ac:dyDescent="0.35">
      <c r="A17" s="26" t="s">
        <v>17</v>
      </c>
      <c r="B17" s="13" t="s">
        <v>62</v>
      </c>
      <c r="C17" s="14" t="s">
        <v>91</v>
      </c>
      <c r="D17" s="14"/>
      <c r="E17" s="14" t="s">
        <v>92</v>
      </c>
      <c r="F17" s="15"/>
      <c r="G17" s="16"/>
      <c r="J17">
        <v>170000</v>
      </c>
      <c r="K17">
        <v>110000000</v>
      </c>
      <c r="Q17" s="45" t="s">
        <v>16</v>
      </c>
    </row>
    <row r="18" spans="1:17" x14ac:dyDescent="0.35">
      <c r="A18" s="26" t="s">
        <v>93</v>
      </c>
      <c r="B18" s="28" t="s">
        <v>86</v>
      </c>
      <c r="C18" s="14" t="s">
        <v>94</v>
      </c>
      <c r="D18" s="14"/>
      <c r="E18" s="14" t="s">
        <v>95</v>
      </c>
      <c r="F18" s="15"/>
      <c r="G18" s="16"/>
      <c r="J18">
        <v>200000</v>
      </c>
      <c r="K18">
        <v>150000000</v>
      </c>
    </row>
    <row r="19" spans="1:17" x14ac:dyDescent="0.35">
      <c r="A19" s="26" t="s">
        <v>18</v>
      </c>
      <c r="B19" s="28" t="s">
        <v>86</v>
      </c>
      <c r="C19" s="14" t="s">
        <v>96</v>
      </c>
      <c r="D19" s="14"/>
      <c r="E19" s="14" t="s">
        <v>97</v>
      </c>
      <c r="F19" s="15"/>
      <c r="G19" s="16"/>
      <c r="J19">
        <v>230000</v>
      </c>
      <c r="K19">
        <v>230000000</v>
      </c>
    </row>
    <row r="20" spans="1:17" x14ac:dyDescent="0.35">
      <c r="A20" s="26" t="s">
        <v>99</v>
      </c>
      <c r="B20" s="13" t="s">
        <v>98</v>
      </c>
      <c r="C20" s="14" t="s">
        <v>40</v>
      </c>
      <c r="D20" s="14"/>
      <c r="E20" s="14"/>
      <c r="F20" s="15"/>
      <c r="G20" s="16"/>
      <c r="J20">
        <v>250000</v>
      </c>
      <c r="K20">
        <v>350000000</v>
      </c>
    </row>
    <row r="21" spans="1:17" x14ac:dyDescent="0.35">
      <c r="A21" s="26" t="s">
        <v>100</v>
      </c>
      <c r="B21" s="27" t="s">
        <v>101</v>
      </c>
      <c r="C21" s="14" t="s">
        <v>102</v>
      </c>
      <c r="D21" s="14"/>
      <c r="E21" s="14" t="s">
        <v>103</v>
      </c>
      <c r="F21" s="15"/>
      <c r="G21" s="16"/>
      <c r="J21">
        <v>300000</v>
      </c>
      <c r="K21">
        <v>480000000</v>
      </c>
    </row>
    <row r="22" spans="1:17" x14ac:dyDescent="0.35">
      <c r="A22" s="26" t="s">
        <v>19</v>
      </c>
      <c r="B22" s="28" t="s">
        <v>104</v>
      </c>
      <c r="C22" s="14"/>
      <c r="D22" s="14"/>
      <c r="E22" s="14"/>
      <c r="F22" s="15"/>
      <c r="G22" s="16"/>
      <c r="J22">
        <v>350000</v>
      </c>
      <c r="K22">
        <v>760000000</v>
      </c>
    </row>
    <row r="23" spans="1:17" x14ac:dyDescent="0.35">
      <c r="A23" s="26" t="s">
        <v>20</v>
      </c>
      <c r="B23" s="28" t="s">
        <v>104</v>
      </c>
      <c r="C23" s="14"/>
      <c r="D23" s="14"/>
      <c r="E23" s="14"/>
      <c r="F23" s="15"/>
      <c r="G23" s="16"/>
    </row>
    <row r="24" spans="1:17" x14ac:dyDescent="0.35">
      <c r="A24" s="26" t="s">
        <v>21</v>
      </c>
      <c r="B24" s="28" t="s">
        <v>104</v>
      </c>
      <c r="C24" s="14"/>
      <c r="D24" s="14"/>
      <c r="E24" s="14"/>
      <c r="F24" s="15"/>
      <c r="G24" s="16"/>
    </row>
    <row r="25" spans="1:17" x14ac:dyDescent="0.35">
      <c r="A25" s="26" t="s">
        <v>105</v>
      </c>
      <c r="B25" s="28" t="s">
        <v>104</v>
      </c>
      <c r="C25" s="14"/>
      <c r="D25" s="14"/>
      <c r="E25" s="14"/>
      <c r="F25" s="15"/>
      <c r="G25" s="16"/>
    </row>
    <row r="26" spans="1:17" x14ac:dyDescent="0.35">
      <c r="A26" s="26"/>
      <c r="B26" s="28" t="s">
        <v>104</v>
      </c>
      <c r="C26" s="14"/>
      <c r="D26" s="14"/>
      <c r="E26" s="14"/>
      <c r="F26" s="15"/>
      <c r="G26" s="16"/>
    </row>
    <row r="27" spans="1:17" x14ac:dyDescent="0.35">
      <c r="A27" s="26"/>
      <c r="B27" s="28" t="s">
        <v>104</v>
      </c>
      <c r="C27" s="14"/>
      <c r="D27" s="14"/>
      <c r="E27" s="14"/>
      <c r="F27" s="15"/>
      <c r="G27" s="16"/>
    </row>
    <row r="28" spans="1:17" x14ac:dyDescent="0.35">
      <c r="A28" s="29"/>
      <c r="B28" s="28" t="s">
        <v>104</v>
      </c>
      <c r="C28" s="17"/>
      <c r="D28" s="17"/>
      <c r="E28" s="17"/>
      <c r="F28" s="18"/>
      <c r="G28" s="19"/>
    </row>
    <row r="32" spans="1:17" x14ac:dyDescent="0.35">
      <c r="A32" s="11" t="s">
        <v>208</v>
      </c>
    </row>
    <row r="33" spans="1:21" x14ac:dyDescent="0.35">
      <c r="A33" s="11" t="s">
        <v>207</v>
      </c>
      <c r="B33" s="11">
        <v>1</v>
      </c>
      <c r="C33" s="11">
        <v>2</v>
      </c>
      <c r="D33" s="11">
        <v>3</v>
      </c>
      <c r="E33" s="11">
        <v>4</v>
      </c>
      <c r="F33" s="11">
        <v>5</v>
      </c>
      <c r="G33" s="11">
        <v>6</v>
      </c>
      <c r="H33" s="11">
        <v>7</v>
      </c>
      <c r="I33" s="11">
        <v>8</v>
      </c>
      <c r="J33" s="11">
        <v>9</v>
      </c>
      <c r="K33" s="11">
        <v>10</v>
      </c>
      <c r="L33" s="11">
        <v>11</v>
      </c>
      <c r="M33" s="11">
        <v>12</v>
      </c>
      <c r="N33" s="11">
        <v>13</v>
      </c>
      <c r="O33" s="11">
        <v>14</v>
      </c>
      <c r="P33" s="11">
        <v>15</v>
      </c>
      <c r="Q33" s="11">
        <v>16</v>
      </c>
      <c r="R33" s="11">
        <v>17</v>
      </c>
      <c r="S33" s="11">
        <v>18</v>
      </c>
      <c r="T33" s="11">
        <v>19</v>
      </c>
      <c r="U33" s="11">
        <v>20</v>
      </c>
    </row>
    <row r="50" spans="2:14" x14ac:dyDescent="0.35">
      <c r="N50" s="26" t="s">
        <v>9</v>
      </c>
    </row>
    <row r="51" spans="2:14" x14ac:dyDescent="0.35">
      <c r="N51" s="26" t="s">
        <v>10</v>
      </c>
    </row>
    <row r="55" spans="2:14" x14ac:dyDescent="0.35">
      <c r="E55" s="26" t="s">
        <v>66</v>
      </c>
      <c r="H55" s="26" t="s">
        <v>37</v>
      </c>
    </row>
    <row r="56" spans="2:14" x14ac:dyDescent="0.35">
      <c r="B56" s="26" t="s">
        <v>6</v>
      </c>
      <c r="E56" s="26" t="s">
        <v>11</v>
      </c>
      <c r="H56" s="26" t="s">
        <v>201</v>
      </c>
      <c r="K56" t="s">
        <v>205</v>
      </c>
      <c r="L56" t="s">
        <v>206</v>
      </c>
    </row>
    <row r="57" spans="2:14" x14ac:dyDescent="0.35">
      <c r="B57" s="26" t="s">
        <v>7</v>
      </c>
      <c r="E57" s="26" t="s">
        <v>12</v>
      </c>
      <c r="K57">
        <v>100</v>
      </c>
      <c r="L57">
        <v>100</v>
      </c>
      <c r="M57" s="11">
        <v>0</v>
      </c>
    </row>
    <row r="58" spans="2:14" x14ac:dyDescent="0.35">
      <c r="B58" s="26" t="s">
        <v>8</v>
      </c>
      <c r="K58">
        <v>200</v>
      </c>
      <c r="L58">
        <v>100</v>
      </c>
      <c r="M58" s="11">
        <v>0</v>
      </c>
    </row>
    <row r="59" spans="2:14" x14ac:dyDescent="0.35">
      <c r="B59" s="26" t="s">
        <v>17</v>
      </c>
      <c r="H59" s="11" t="s">
        <v>209</v>
      </c>
      <c r="K59">
        <v>800</v>
      </c>
      <c r="L59">
        <v>800</v>
      </c>
      <c r="M59" s="11">
        <v>0.4</v>
      </c>
    </row>
    <row r="60" spans="2:14" x14ac:dyDescent="0.35">
      <c r="K60">
        <v>4000</v>
      </c>
      <c r="L60">
        <v>9600</v>
      </c>
      <c r="M60" s="11">
        <v>5.2</v>
      </c>
    </row>
    <row r="61" spans="2:14" x14ac:dyDescent="0.35">
      <c r="H61" s="11" t="s">
        <v>210</v>
      </c>
      <c r="K61">
        <v>24000</v>
      </c>
      <c r="L61">
        <v>130000</v>
      </c>
      <c r="M61" s="11">
        <v>18</v>
      </c>
    </row>
    <row r="62" spans="2:14" x14ac:dyDescent="0.35">
      <c r="H62" s="11" t="s">
        <v>211</v>
      </c>
      <c r="K62">
        <v>34000</v>
      </c>
      <c r="L62">
        <v>1200000</v>
      </c>
      <c r="M62" s="11">
        <v>38.799999999999997</v>
      </c>
    </row>
    <row r="63" spans="2:14" x14ac:dyDescent="0.35">
      <c r="K63">
        <v>47000</v>
      </c>
      <c r="L63">
        <v>2700000</v>
      </c>
      <c r="M63" s="11">
        <v>70.8</v>
      </c>
    </row>
    <row r="64" spans="2:14" x14ac:dyDescent="0.35">
      <c r="H64" s="11" t="s">
        <v>212</v>
      </c>
      <c r="K64">
        <v>61000</v>
      </c>
      <c r="L64">
        <v>5000000</v>
      </c>
      <c r="M64" s="11">
        <v>113.2</v>
      </c>
    </row>
    <row r="65" spans="1:13" x14ac:dyDescent="0.35">
      <c r="H65" s="11" t="s">
        <v>213</v>
      </c>
      <c r="K65">
        <v>73000</v>
      </c>
      <c r="L65">
        <v>7900000</v>
      </c>
      <c r="M65" s="11">
        <v>165.2</v>
      </c>
    </row>
    <row r="66" spans="1:13" x14ac:dyDescent="0.35">
      <c r="K66">
        <v>88000</v>
      </c>
      <c r="L66">
        <v>11000000</v>
      </c>
      <c r="M66" s="11">
        <v>226</v>
      </c>
    </row>
    <row r="67" spans="1:13" x14ac:dyDescent="0.35">
      <c r="K67">
        <v>96000</v>
      </c>
      <c r="L67">
        <v>22000000</v>
      </c>
      <c r="M67" s="11">
        <v>326.8</v>
      </c>
    </row>
    <row r="68" spans="1:13" x14ac:dyDescent="0.35">
      <c r="K68">
        <v>120000</v>
      </c>
      <c r="L68">
        <v>26000000</v>
      </c>
      <c r="M68" s="11">
        <v>434.8</v>
      </c>
    </row>
    <row r="69" spans="1:13" x14ac:dyDescent="0.35">
      <c r="K69">
        <v>130000</v>
      </c>
      <c r="L69">
        <v>43000000</v>
      </c>
      <c r="M69" s="11">
        <v>582.79999999999995</v>
      </c>
    </row>
    <row r="70" spans="1:13" x14ac:dyDescent="0.35">
      <c r="K70">
        <v>150000</v>
      </c>
      <c r="L70">
        <v>66000000</v>
      </c>
      <c r="M70" s="11">
        <v>790.8</v>
      </c>
    </row>
    <row r="71" spans="1:13" x14ac:dyDescent="0.35">
      <c r="K71">
        <v>170000</v>
      </c>
      <c r="L71">
        <v>110000000</v>
      </c>
      <c r="M71" s="11">
        <v>1078.8</v>
      </c>
    </row>
    <row r="72" spans="1:13" x14ac:dyDescent="0.35">
      <c r="K72">
        <v>200000</v>
      </c>
      <c r="L72">
        <v>150000000</v>
      </c>
      <c r="M72" s="11">
        <v>1426.8</v>
      </c>
    </row>
    <row r="73" spans="1:13" x14ac:dyDescent="0.35">
      <c r="K73">
        <v>230000</v>
      </c>
      <c r="L73">
        <v>230000000</v>
      </c>
      <c r="M73" s="11">
        <v>1894.8</v>
      </c>
    </row>
    <row r="74" spans="1:13" x14ac:dyDescent="0.35">
      <c r="K74">
        <v>250000</v>
      </c>
      <c r="L74">
        <v>350000000</v>
      </c>
      <c r="M74" s="11">
        <v>2502.8000000000002</v>
      </c>
    </row>
    <row r="75" spans="1:13" x14ac:dyDescent="0.35">
      <c r="K75">
        <v>300000</v>
      </c>
      <c r="L75">
        <v>480000000</v>
      </c>
      <c r="M75" s="11">
        <v>3270.8</v>
      </c>
    </row>
    <row r="76" spans="1:13" x14ac:dyDescent="0.35">
      <c r="B76" s="11" t="s">
        <v>224</v>
      </c>
      <c r="K76">
        <v>350000</v>
      </c>
      <c r="L76">
        <v>760000000</v>
      </c>
      <c r="M76" s="11">
        <v>4278.8</v>
      </c>
    </row>
    <row r="77" spans="1:13" x14ac:dyDescent="0.35">
      <c r="A77" s="11" t="s">
        <v>214</v>
      </c>
    </row>
    <row r="78" spans="1:13" x14ac:dyDescent="0.35">
      <c r="A78" s="11" t="s">
        <v>215</v>
      </c>
      <c r="B78" s="11" t="s">
        <v>225</v>
      </c>
      <c r="C78" s="11" t="s">
        <v>226</v>
      </c>
      <c r="E78" s="11" t="s">
        <v>227</v>
      </c>
    </row>
    <row r="79" spans="1:13" x14ac:dyDescent="0.35">
      <c r="A79" s="11" t="s">
        <v>216</v>
      </c>
      <c r="B79" s="11" t="s">
        <v>228</v>
      </c>
    </row>
    <row r="80" spans="1:13" x14ac:dyDescent="0.35">
      <c r="A80" s="11" t="s">
        <v>217</v>
      </c>
    </row>
    <row r="81" spans="1:2" x14ac:dyDescent="0.35">
      <c r="A81" s="11" t="s">
        <v>218</v>
      </c>
      <c r="B81" s="11" t="s">
        <v>229</v>
      </c>
    </row>
    <row r="82" spans="1:2" x14ac:dyDescent="0.35">
      <c r="A82" s="11" t="s">
        <v>219</v>
      </c>
      <c r="B82" s="11" t="s">
        <v>231</v>
      </c>
    </row>
    <row r="83" spans="1:2" x14ac:dyDescent="0.35">
      <c r="A83" s="11" t="s">
        <v>220</v>
      </c>
    </row>
    <row r="84" spans="1:2" x14ac:dyDescent="0.35">
      <c r="A84" s="11" t="s">
        <v>221</v>
      </c>
      <c r="B84" s="11" t="s">
        <v>230</v>
      </c>
    </row>
    <row r="85" spans="1:2" x14ac:dyDescent="0.35">
      <c r="A85" s="11" t="s">
        <v>222</v>
      </c>
    </row>
    <row r="86" spans="1:2" x14ac:dyDescent="0.35">
      <c r="A86" s="11" t="s">
        <v>223</v>
      </c>
    </row>
  </sheetData>
  <mergeCells count="1">
    <mergeCell ref="C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topLeftCell="O1" zoomScale="85" zoomScaleNormal="85" workbookViewId="0">
      <selection activeCell="Y2" sqref="Y2:Y21"/>
    </sheetView>
  </sheetViews>
  <sheetFormatPr defaultRowHeight="16.5" x14ac:dyDescent="0.35"/>
  <cols>
    <col min="1" max="1" width="9.125" style="20" bestFit="1" customWidth="1"/>
    <col min="2" max="3" width="14.125" style="20" customWidth="1"/>
    <col min="4" max="4" width="10.75" style="20" bestFit="1" customWidth="1"/>
    <col min="5" max="5" width="10.75" style="20" customWidth="1"/>
    <col min="6" max="6" width="17.875" style="20" customWidth="1"/>
    <col min="7" max="7" width="13.5" style="20" customWidth="1"/>
    <col min="8" max="10" width="14.25" style="20" customWidth="1"/>
    <col min="11" max="12" width="18.75" style="20" customWidth="1"/>
    <col min="13" max="14" width="18.75" style="39" customWidth="1"/>
    <col min="15" max="15" width="14.5" style="20" customWidth="1"/>
    <col min="16" max="23" width="18.625" style="20" customWidth="1"/>
    <col min="24" max="24" width="11" style="20" customWidth="1"/>
    <col min="25" max="25" width="10.75" style="20" customWidth="1"/>
    <col min="26" max="16384" width="9" style="20"/>
  </cols>
  <sheetData>
    <row r="1" spans="1:30" x14ac:dyDescent="0.35">
      <c r="B1" s="50" t="s">
        <v>155</v>
      </c>
      <c r="C1" s="50" t="s">
        <v>256</v>
      </c>
      <c r="D1" s="20" t="s">
        <v>41</v>
      </c>
      <c r="E1" s="20" t="s">
        <v>144</v>
      </c>
      <c r="F1" s="20" t="s">
        <v>46</v>
      </c>
      <c r="G1" s="46" t="s">
        <v>154</v>
      </c>
      <c r="H1" s="46" t="s">
        <v>148</v>
      </c>
      <c r="I1" s="46" t="s">
        <v>157</v>
      </c>
      <c r="J1" s="46" t="s">
        <v>159</v>
      </c>
      <c r="K1" s="50" t="s">
        <v>146</v>
      </c>
      <c r="L1" s="48" t="s">
        <v>145</v>
      </c>
      <c r="M1" s="49" t="s">
        <v>156</v>
      </c>
      <c r="N1" s="49" t="s">
        <v>158</v>
      </c>
      <c r="O1" s="20" t="s">
        <v>42</v>
      </c>
      <c r="P1" s="20" t="s">
        <v>43</v>
      </c>
      <c r="Q1" s="50" t="s">
        <v>147</v>
      </c>
      <c r="R1" s="20" t="s">
        <v>47</v>
      </c>
      <c r="S1" s="47" t="s">
        <v>255</v>
      </c>
      <c r="T1" s="47" t="s">
        <v>254</v>
      </c>
      <c r="U1" s="47" t="s">
        <v>253</v>
      </c>
      <c r="V1" s="47" t="s">
        <v>49</v>
      </c>
      <c r="W1" s="20" t="s">
        <v>48</v>
      </c>
      <c r="X1" s="20" t="s">
        <v>44</v>
      </c>
      <c r="Y1" s="20" t="s">
        <v>45</v>
      </c>
      <c r="Z1" s="20" t="s">
        <v>138</v>
      </c>
      <c r="AA1" s="20" t="s">
        <v>143</v>
      </c>
      <c r="AB1" s="20" t="s">
        <v>139</v>
      </c>
      <c r="AC1" s="20" t="s">
        <v>141</v>
      </c>
      <c r="AD1" s="20" t="s">
        <v>140</v>
      </c>
    </row>
    <row r="2" spans="1:30" x14ac:dyDescent="0.35">
      <c r="A2" s="20">
        <v>1</v>
      </c>
      <c r="B2" s="20">
        <f>IF(D2&lt;100,ROUND(D2,1-LEN(ROUND(D2,0))),ROUND(D2,2-LEN(ROUND(D2,0))))</f>
        <v>50</v>
      </c>
      <c r="C2" s="20">
        <f>B2/5</f>
        <v>10</v>
      </c>
      <c r="D2" s="23">
        <v>50</v>
      </c>
      <c r="E2" s="21">
        <f>B2</f>
        <v>50</v>
      </c>
      <c r="F2" s="20">
        <v>0</v>
      </c>
      <c r="H2" s="22">
        <f>G2/((L2*4)/K2)</f>
        <v>0</v>
      </c>
      <c r="I2" s="22">
        <f>G2/((M2*3)/K2)</f>
        <v>0</v>
      </c>
      <c r="J2" s="20">
        <f>G2/((N2*2/K2))</f>
        <v>0</v>
      </c>
      <c r="K2" s="20">
        <f>IF(O2&lt;100,ROUND(O2,1-LEN(ROUND(O2,0))),ROUND(O2,2-LEN(ROUND(O2,0))))</f>
        <v>100</v>
      </c>
      <c r="L2" s="20">
        <f>K2*2.8/4</f>
        <v>70</v>
      </c>
      <c r="M2" s="21">
        <f>K2*2.2/3</f>
        <v>73.333333333333343</v>
      </c>
      <c r="N2" s="21">
        <f>K2*1.6/2</f>
        <v>80</v>
      </c>
      <c r="O2" s="24">
        <v>100</v>
      </c>
      <c r="Q2" s="20">
        <f>IF(R2&lt;100,ROUND(R2,1-LEN(ROUND(R2,0))),ROUND(R2,2-LEN(ROUND(R2,0))))</f>
        <v>500</v>
      </c>
      <c r="R2" s="23">
        <v>500</v>
      </c>
      <c r="S2" s="21">
        <f>(R2/4)/L2</f>
        <v>1.7857142857142858</v>
      </c>
      <c r="T2" s="21">
        <f>(R2/3)/M2</f>
        <v>2.2727272727272725</v>
      </c>
      <c r="U2" s="21">
        <f t="shared" ref="U2:U21" si="0">(R2/2)/N2</f>
        <v>3.125</v>
      </c>
      <c r="V2" s="21">
        <f t="shared" ref="V2:V21" si="1">Q2/K2</f>
        <v>5</v>
      </c>
      <c r="Z2" s="21">
        <f>K2</f>
        <v>100</v>
      </c>
      <c r="AA2" s="21">
        <f>Z2*2.5</f>
        <v>250</v>
      </c>
      <c r="AB2" s="20">
        <f t="shared" ref="AB2:AB21" si="2">B2</f>
        <v>50</v>
      </c>
      <c r="AC2" s="20">
        <f>AB2</f>
        <v>50</v>
      </c>
      <c r="AD2" s="20">
        <f>AB2/Z2</f>
        <v>0.5</v>
      </c>
    </row>
    <row r="3" spans="1:30" x14ac:dyDescent="0.35">
      <c r="A3" s="20">
        <v>2</v>
      </c>
      <c r="B3" s="20">
        <f t="shared" ref="B3:B21" si="3">IF(D3&lt;100,ROUND(D3,1-LEN(ROUND(D3,0))),ROUND(D3,2-LEN(ROUND(D3,0))))</f>
        <v>100</v>
      </c>
      <c r="C3" s="20">
        <f t="shared" ref="C3:C21" si="4">B3/5</f>
        <v>20</v>
      </c>
      <c r="D3" s="24">
        <v>100</v>
      </c>
      <c r="E3" s="21">
        <f t="shared" ref="E3:E21" si="5">B3+E2</f>
        <v>150</v>
      </c>
      <c r="F3" s="22">
        <v>0</v>
      </c>
      <c r="G3" s="22"/>
      <c r="H3" s="22">
        <f t="shared" ref="H3:H21" si="6">G3/((L3*4)/K3)</f>
        <v>0</v>
      </c>
      <c r="I3" s="22">
        <f t="shared" ref="I3:I21" si="7">G3/((M3*3)/K3)</f>
        <v>0</v>
      </c>
      <c r="J3" s="20">
        <f t="shared" ref="J3:J21" si="8">G3/((N3*2/K3))</f>
        <v>0</v>
      </c>
      <c r="K3" s="20">
        <f t="shared" ref="K3:K21" si="9">IF(O3&lt;100,ROUND(O3,1-LEN(ROUND(O3,0))),ROUND(O3,2-LEN(ROUND(O3,0))))</f>
        <v>150</v>
      </c>
      <c r="L3" s="20">
        <f t="shared" ref="L3:L21" si="10">K3*2.8/4</f>
        <v>105</v>
      </c>
      <c r="M3" s="21">
        <f t="shared" ref="M3:M21" si="11">K3*2.2/3</f>
        <v>110</v>
      </c>
      <c r="N3" s="21">
        <f t="shared" ref="N3:N21" si="12">K3*1.6/2</f>
        <v>120</v>
      </c>
      <c r="O3" s="21">
        <f t="shared" ref="O3:O21" si="13">O2*Y3</f>
        <v>150</v>
      </c>
      <c r="Q3" s="20">
        <f t="shared" ref="Q3:Q21" si="14">IF(R3&lt;100,ROUND(R3,1-LEN(ROUND(R3,0))),ROUND(R3,2-LEN(ROUND(R3,0))))</f>
        <v>900</v>
      </c>
      <c r="R3" s="20">
        <f t="shared" ref="R3:R21" si="15">R2*W3</f>
        <v>900</v>
      </c>
      <c r="S3" s="21">
        <f t="shared" ref="S3:S21" si="16">(R3/4)/L3</f>
        <v>2.1428571428571428</v>
      </c>
      <c r="T3" s="21">
        <f t="shared" ref="T3:T21" si="17">(R3/3)/M3</f>
        <v>2.7272727272727271</v>
      </c>
      <c r="U3" s="21">
        <f t="shared" si="0"/>
        <v>3.75</v>
      </c>
      <c r="V3" s="21">
        <f t="shared" si="1"/>
        <v>6</v>
      </c>
      <c r="W3" s="23">
        <f>Y3+0.3</f>
        <v>1.8</v>
      </c>
      <c r="Y3" s="23">
        <v>1.5</v>
      </c>
      <c r="Z3" s="21">
        <f>K3-K2</f>
        <v>50</v>
      </c>
      <c r="AA3" s="21">
        <f t="shared" ref="AA3:AA21" si="18">Z3*2.5</f>
        <v>125</v>
      </c>
      <c r="AB3" s="20">
        <f t="shared" si="2"/>
        <v>100</v>
      </c>
      <c r="AC3" s="20">
        <f>AB3+AB2</f>
        <v>150</v>
      </c>
      <c r="AD3" s="20">
        <f t="shared" ref="AD3:AD21" si="19">AB3/Z3</f>
        <v>2</v>
      </c>
    </row>
    <row r="4" spans="1:30" x14ac:dyDescent="0.35">
      <c r="A4" s="20">
        <v>3</v>
      </c>
      <c r="B4" s="20">
        <f t="shared" si="3"/>
        <v>150</v>
      </c>
      <c r="C4" s="20">
        <f t="shared" si="4"/>
        <v>30</v>
      </c>
      <c r="D4" s="21">
        <f t="shared" ref="D4:D21" si="20">F4*O3</f>
        <v>150</v>
      </c>
      <c r="E4" s="21">
        <f t="shared" si="5"/>
        <v>300</v>
      </c>
      <c r="F4" s="22">
        <f>P4</f>
        <v>1</v>
      </c>
      <c r="G4" s="22">
        <v>1</v>
      </c>
      <c r="H4" s="22">
        <f t="shared" si="6"/>
        <v>0.35714285714285715</v>
      </c>
      <c r="I4" s="22">
        <f t="shared" si="7"/>
        <v>0.45454545454545453</v>
      </c>
      <c r="J4" s="20">
        <f t="shared" si="8"/>
        <v>0.625</v>
      </c>
      <c r="K4" s="20">
        <f t="shared" si="9"/>
        <v>300</v>
      </c>
      <c r="L4" s="20">
        <f t="shared" si="10"/>
        <v>210</v>
      </c>
      <c r="M4" s="21">
        <f t="shared" si="11"/>
        <v>220</v>
      </c>
      <c r="N4" s="21">
        <f t="shared" si="12"/>
        <v>240</v>
      </c>
      <c r="O4" s="21">
        <f t="shared" si="13"/>
        <v>300</v>
      </c>
      <c r="P4" s="23">
        <v>1</v>
      </c>
      <c r="Q4" s="20">
        <f t="shared" si="14"/>
        <v>2500</v>
      </c>
      <c r="R4" s="20">
        <f t="shared" si="15"/>
        <v>2520</v>
      </c>
      <c r="S4" s="21">
        <f t="shared" si="16"/>
        <v>3</v>
      </c>
      <c r="T4" s="21">
        <f t="shared" si="17"/>
        <v>3.8181818181818183</v>
      </c>
      <c r="U4" s="21">
        <f t="shared" si="0"/>
        <v>5.25</v>
      </c>
      <c r="V4" s="21">
        <f t="shared" si="1"/>
        <v>8.3333333333333339</v>
      </c>
      <c r="W4" s="23">
        <f>Y4+0.8</f>
        <v>2.8</v>
      </c>
      <c r="Y4" s="23">
        <v>2</v>
      </c>
      <c r="Z4" s="21">
        <f t="shared" ref="Z4:Z21" si="21">K4-K3</f>
        <v>150</v>
      </c>
      <c r="AA4" s="21">
        <f t="shared" si="18"/>
        <v>375</v>
      </c>
      <c r="AB4" s="20">
        <f t="shared" si="2"/>
        <v>150</v>
      </c>
      <c r="AC4" s="20">
        <f t="shared" ref="AC4:AC21" si="22">AB4+AB3</f>
        <v>250</v>
      </c>
      <c r="AD4" s="20">
        <f t="shared" si="19"/>
        <v>1</v>
      </c>
    </row>
    <row r="5" spans="1:30" x14ac:dyDescent="0.35">
      <c r="A5" s="20">
        <v>4</v>
      </c>
      <c r="B5" s="20">
        <f t="shared" si="3"/>
        <v>600</v>
      </c>
      <c r="C5" s="20">
        <f t="shared" si="4"/>
        <v>120</v>
      </c>
      <c r="D5" s="21">
        <f t="shared" si="20"/>
        <v>600</v>
      </c>
      <c r="E5" s="21">
        <f t="shared" si="5"/>
        <v>900</v>
      </c>
      <c r="F5" s="22">
        <f t="shared" ref="F5:F21" si="23">F4+P5</f>
        <v>2</v>
      </c>
      <c r="G5" s="22">
        <f>G4+F5</f>
        <v>3</v>
      </c>
      <c r="H5" s="22">
        <f t="shared" si="6"/>
        <v>1.0714285714285714</v>
      </c>
      <c r="I5" s="22">
        <f t="shared" si="7"/>
        <v>1.3636363636363633</v>
      </c>
      <c r="J5" s="20">
        <f t="shared" si="8"/>
        <v>1.875</v>
      </c>
      <c r="K5" s="20">
        <f t="shared" si="9"/>
        <v>900</v>
      </c>
      <c r="L5" s="20">
        <f t="shared" si="10"/>
        <v>630</v>
      </c>
      <c r="M5" s="21">
        <f t="shared" si="11"/>
        <v>660.00000000000011</v>
      </c>
      <c r="N5" s="21">
        <f t="shared" si="12"/>
        <v>720</v>
      </c>
      <c r="O5" s="21">
        <f t="shared" si="13"/>
        <v>900</v>
      </c>
      <c r="P5" s="23">
        <v>1</v>
      </c>
      <c r="Q5" s="20">
        <f t="shared" si="14"/>
        <v>8600</v>
      </c>
      <c r="R5" s="20">
        <f t="shared" si="15"/>
        <v>8568</v>
      </c>
      <c r="S5" s="21">
        <f t="shared" si="16"/>
        <v>3.4</v>
      </c>
      <c r="T5" s="21">
        <f t="shared" si="17"/>
        <v>4.3272727272727263</v>
      </c>
      <c r="U5" s="21">
        <f t="shared" si="0"/>
        <v>5.95</v>
      </c>
      <c r="V5" s="21">
        <f t="shared" si="1"/>
        <v>9.5555555555555554</v>
      </c>
      <c r="W5" s="23">
        <f t="shared" ref="W5:W6" si="24">Y5+0.4</f>
        <v>3.4</v>
      </c>
      <c r="X5" s="22">
        <f t="shared" ref="X5:X21" si="25">D5/D4</f>
        <v>4</v>
      </c>
      <c r="Y5" s="23">
        <v>3</v>
      </c>
      <c r="Z5" s="21">
        <f t="shared" si="21"/>
        <v>600</v>
      </c>
      <c r="AA5" s="21">
        <f t="shared" si="18"/>
        <v>1500</v>
      </c>
      <c r="AB5" s="20">
        <f t="shared" si="2"/>
        <v>600</v>
      </c>
      <c r="AC5" s="20">
        <f t="shared" si="22"/>
        <v>750</v>
      </c>
      <c r="AD5" s="20">
        <f t="shared" si="19"/>
        <v>1</v>
      </c>
    </row>
    <row r="6" spans="1:30" x14ac:dyDescent="0.35">
      <c r="A6" s="20">
        <v>5</v>
      </c>
      <c r="B6" s="20">
        <f t="shared" si="3"/>
        <v>2700</v>
      </c>
      <c r="C6" s="20">
        <f t="shared" si="4"/>
        <v>540</v>
      </c>
      <c r="D6" s="21">
        <f t="shared" si="20"/>
        <v>2700</v>
      </c>
      <c r="E6" s="21">
        <f t="shared" si="5"/>
        <v>3600</v>
      </c>
      <c r="F6" s="22">
        <f t="shared" si="23"/>
        <v>3</v>
      </c>
      <c r="G6" s="22">
        <f t="shared" ref="G6:G21" si="26">G5+F6</f>
        <v>6</v>
      </c>
      <c r="H6" s="22">
        <f t="shared" si="6"/>
        <v>2.1428571428571428</v>
      </c>
      <c r="I6" s="22">
        <f t="shared" si="7"/>
        <v>2.7272727272727266</v>
      </c>
      <c r="J6" s="20">
        <f t="shared" si="8"/>
        <v>3.75</v>
      </c>
      <c r="K6" s="20">
        <f t="shared" si="9"/>
        <v>1800</v>
      </c>
      <c r="L6" s="20">
        <f t="shared" si="10"/>
        <v>1260</v>
      </c>
      <c r="M6" s="21">
        <f t="shared" si="11"/>
        <v>1320.0000000000002</v>
      </c>
      <c r="N6" s="21">
        <f t="shared" si="12"/>
        <v>1440</v>
      </c>
      <c r="O6" s="21">
        <f t="shared" si="13"/>
        <v>1800</v>
      </c>
      <c r="P6" s="23">
        <v>1</v>
      </c>
      <c r="Q6" s="20">
        <f t="shared" si="14"/>
        <v>21000</v>
      </c>
      <c r="R6" s="20">
        <f t="shared" si="15"/>
        <v>20563.2</v>
      </c>
      <c r="S6" s="21">
        <f t="shared" si="16"/>
        <v>4.08</v>
      </c>
      <c r="T6" s="21">
        <f t="shared" si="17"/>
        <v>5.1927272727272724</v>
      </c>
      <c r="U6" s="21">
        <f t="shared" si="0"/>
        <v>7.1400000000000006</v>
      </c>
      <c r="V6" s="21">
        <f t="shared" si="1"/>
        <v>11.666666666666666</v>
      </c>
      <c r="W6" s="23">
        <f t="shared" si="24"/>
        <v>2.4</v>
      </c>
      <c r="X6" s="22">
        <f t="shared" si="25"/>
        <v>4.5</v>
      </c>
      <c r="Y6" s="23">
        <v>2</v>
      </c>
      <c r="Z6" s="21">
        <f t="shared" si="21"/>
        <v>900</v>
      </c>
      <c r="AA6" s="21">
        <f t="shared" si="18"/>
        <v>2250</v>
      </c>
      <c r="AB6" s="20">
        <f t="shared" si="2"/>
        <v>2700</v>
      </c>
      <c r="AC6" s="20">
        <f t="shared" si="22"/>
        <v>3300</v>
      </c>
      <c r="AD6" s="20">
        <f t="shared" si="19"/>
        <v>3</v>
      </c>
    </row>
    <row r="7" spans="1:30" s="30" customFormat="1" x14ac:dyDescent="0.35">
      <c r="A7" s="30">
        <v>6</v>
      </c>
      <c r="B7" s="30">
        <f t="shared" si="3"/>
        <v>9000</v>
      </c>
      <c r="C7" s="30">
        <f t="shared" si="4"/>
        <v>1800</v>
      </c>
      <c r="D7" s="31">
        <f t="shared" si="20"/>
        <v>9000</v>
      </c>
      <c r="E7" s="31">
        <f t="shared" si="5"/>
        <v>12600</v>
      </c>
      <c r="F7" s="32">
        <f t="shared" si="23"/>
        <v>5</v>
      </c>
      <c r="G7" s="32">
        <f t="shared" si="26"/>
        <v>11</v>
      </c>
      <c r="H7" s="32">
        <f t="shared" si="6"/>
        <v>3.9285714285714288</v>
      </c>
      <c r="I7" s="32">
        <f t="shared" si="7"/>
        <v>5</v>
      </c>
      <c r="J7" s="30">
        <f t="shared" si="8"/>
        <v>6.875</v>
      </c>
      <c r="K7" s="30">
        <f t="shared" si="9"/>
        <v>2500</v>
      </c>
      <c r="L7" s="30">
        <f t="shared" si="10"/>
        <v>1750</v>
      </c>
      <c r="M7" s="31">
        <f t="shared" si="11"/>
        <v>1833.3333333333333</v>
      </c>
      <c r="N7" s="31">
        <f t="shared" si="12"/>
        <v>2000</v>
      </c>
      <c r="O7" s="31">
        <f t="shared" si="13"/>
        <v>2520</v>
      </c>
      <c r="P7" s="30">
        <v>2</v>
      </c>
      <c r="Q7" s="30">
        <f t="shared" si="14"/>
        <v>37000</v>
      </c>
      <c r="R7" s="30">
        <f t="shared" si="15"/>
        <v>37013.759999999995</v>
      </c>
      <c r="S7" s="31">
        <f t="shared" si="16"/>
        <v>5.287679999999999</v>
      </c>
      <c r="T7" s="31">
        <f t="shared" si="17"/>
        <v>6.7297745454545446</v>
      </c>
      <c r="U7" s="31">
        <f t="shared" si="0"/>
        <v>9.2534399999999994</v>
      </c>
      <c r="V7" s="31">
        <f t="shared" si="1"/>
        <v>14.8</v>
      </c>
      <c r="W7" s="30">
        <f>Y7+0.4</f>
        <v>1.7999999999999998</v>
      </c>
      <c r="X7" s="32">
        <f t="shared" si="25"/>
        <v>3.3333333333333335</v>
      </c>
      <c r="Y7" s="30">
        <v>1.4</v>
      </c>
      <c r="Z7" s="31">
        <f t="shared" si="21"/>
        <v>700</v>
      </c>
      <c r="AA7" s="31">
        <f t="shared" si="18"/>
        <v>1750</v>
      </c>
      <c r="AB7" s="30">
        <f t="shared" si="2"/>
        <v>9000</v>
      </c>
      <c r="AC7" s="30">
        <f t="shared" si="22"/>
        <v>11700</v>
      </c>
      <c r="AD7" s="30">
        <f t="shared" si="19"/>
        <v>12.857142857142858</v>
      </c>
    </row>
    <row r="8" spans="1:30" x14ac:dyDescent="0.35">
      <c r="A8" s="20">
        <v>7</v>
      </c>
      <c r="B8" s="20">
        <f t="shared" si="3"/>
        <v>20000</v>
      </c>
      <c r="C8" s="20">
        <f t="shared" si="4"/>
        <v>4000</v>
      </c>
      <c r="D8" s="21">
        <f t="shared" si="20"/>
        <v>20160</v>
      </c>
      <c r="E8" s="21">
        <f t="shared" si="5"/>
        <v>32600</v>
      </c>
      <c r="F8" s="22">
        <f t="shared" si="23"/>
        <v>8</v>
      </c>
      <c r="G8" s="22">
        <f t="shared" si="26"/>
        <v>19</v>
      </c>
      <c r="H8" s="22">
        <f t="shared" si="6"/>
        <v>6.7857142857142865</v>
      </c>
      <c r="I8" s="22">
        <f t="shared" si="7"/>
        <v>8.6363636363636349</v>
      </c>
      <c r="J8" s="20">
        <f t="shared" si="8"/>
        <v>11.875</v>
      </c>
      <c r="K8" s="20">
        <f t="shared" si="9"/>
        <v>3500</v>
      </c>
      <c r="L8" s="20">
        <f t="shared" si="10"/>
        <v>2450</v>
      </c>
      <c r="M8" s="21">
        <f t="shared" si="11"/>
        <v>2566.666666666667</v>
      </c>
      <c r="N8" s="21">
        <f t="shared" si="12"/>
        <v>2800</v>
      </c>
      <c r="O8" s="21">
        <f t="shared" si="13"/>
        <v>3528</v>
      </c>
      <c r="P8" s="23">
        <v>3</v>
      </c>
      <c r="Q8" s="20">
        <f t="shared" si="14"/>
        <v>67000</v>
      </c>
      <c r="R8" s="20">
        <f t="shared" si="15"/>
        <v>66624.767999999982</v>
      </c>
      <c r="S8" s="21">
        <f t="shared" si="16"/>
        <v>6.7984457142857124</v>
      </c>
      <c r="T8" s="21">
        <f t="shared" si="17"/>
        <v>8.6525672727272696</v>
      </c>
      <c r="U8" s="21">
        <f t="shared" si="0"/>
        <v>11.897279999999997</v>
      </c>
      <c r="V8" s="21">
        <f t="shared" si="1"/>
        <v>19.142857142857142</v>
      </c>
      <c r="W8" s="23">
        <f>Y8+0.4</f>
        <v>1.7999999999999998</v>
      </c>
      <c r="X8" s="22">
        <f t="shared" si="25"/>
        <v>2.2400000000000002</v>
      </c>
      <c r="Y8" s="23">
        <v>1.4</v>
      </c>
      <c r="Z8" s="21">
        <f t="shared" si="21"/>
        <v>1000</v>
      </c>
      <c r="AA8" s="21">
        <f t="shared" si="18"/>
        <v>2500</v>
      </c>
      <c r="AB8" s="20">
        <f t="shared" si="2"/>
        <v>20000</v>
      </c>
      <c r="AC8" s="20">
        <f t="shared" si="22"/>
        <v>29000</v>
      </c>
      <c r="AD8" s="20">
        <f t="shared" si="19"/>
        <v>20</v>
      </c>
    </row>
    <row r="9" spans="1:30" s="30" customFormat="1" x14ac:dyDescent="0.35">
      <c r="A9" s="30">
        <v>8</v>
      </c>
      <c r="B9" s="30">
        <f t="shared" si="3"/>
        <v>42000</v>
      </c>
      <c r="C9" s="30">
        <f t="shared" si="4"/>
        <v>8400</v>
      </c>
      <c r="D9" s="31">
        <f t="shared" si="20"/>
        <v>42336</v>
      </c>
      <c r="E9" s="31">
        <f t="shared" si="5"/>
        <v>74600</v>
      </c>
      <c r="F9" s="32">
        <f t="shared" si="23"/>
        <v>12</v>
      </c>
      <c r="G9" s="32">
        <f t="shared" si="26"/>
        <v>31</v>
      </c>
      <c r="H9" s="32">
        <f t="shared" si="6"/>
        <v>11.071428571428573</v>
      </c>
      <c r="I9" s="32">
        <f t="shared" si="7"/>
        <v>14.09090909090909</v>
      </c>
      <c r="J9" s="30">
        <f t="shared" si="8"/>
        <v>19.375</v>
      </c>
      <c r="K9" s="30">
        <f t="shared" si="9"/>
        <v>4600</v>
      </c>
      <c r="L9" s="30">
        <f t="shared" si="10"/>
        <v>3220</v>
      </c>
      <c r="M9" s="31">
        <f t="shared" si="11"/>
        <v>3373.3333333333335</v>
      </c>
      <c r="N9" s="31">
        <f t="shared" si="12"/>
        <v>3680</v>
      </c>
      <c r="O9" s="31">
        <f t="shared" si="13"/>
        <v>4586.4000000000005</v>
      </c>
      <c r="P9" s="30">
        <v>4</v>
      </c>
      <c r="Q9" s="30">
        <f t="shared" si="14"/>
        <v>110000</v>
      </c>
      <c r="R9" s="30">
        <f t="shared" si="15"/>
        <v>113262.10559999998</v>
      </c>
      <c r="S9" s="31">
        <f t="shared" si="16"/>
        <v>8.7936417391304325</v>
      </c>
      <c r="T9" s="31">
        <f t="shared" si="17"/>
        <v>11.191907667984186</v>
      </c>
      <c r="U9" s="31">
        <f t="shared" si="0"/>
        <v>15.388873043478258</v>
      </c>
      <c r="V9" s="31">
        <f t="shared" si="1"/>
        <v>23.913043478260871</v>
      </c>
      <c r="W9" s="30">
        <f>Y9+0.4</f>
        <v>1.7000000000000002</v>
      </c>
      <c r="X9" s="32">
        <f t="shared" si="25"/>
        <v>2.1</v>
      </c>
      <c r="Y9" s="30">
        <v>1.3</v>
      </c>
      <c r="Z9" s="31">
        <f t="shared" si="21"/>
        <v>1100</v>
      </c>
      <c r="AA9" s="31">
        <f t="shared" si="18"/>
        <v>2750</v>
      </c>
      <c r="AB9" s="30">
        <f t="shared" si="2"/>
        <v>42000</v>
      </c>
      <c r="AC9" s="30">
        <f t="shared" si="22"/>
        <v>62000</v>
      </c>
      <c r="AD9" s="30">
        <f t="shared" si="19"/>
        <v>38.18181818181818</v>
      </c>
    </row>
    <row r="10" spans="1:30" s="36" customFormat="1" x14ac:dyDescent="0.35">
      <c r="A10" s="36">
        <v>9</v>
      </c>
      <c r="B10" s="36">
        <f t="shared" si="3"/>
        <v>78000</v>
      </c>
      <c r="C10" s="36">
        <f t="shared" si="4"/>
        <v>15600</v>
      </c>
      <c r="D10" s="37">
        <f t="shared" si="20"/>
        <v>77968.800000000003</v>
      </c>
      <c r="E10" s="37">
        <f t="shared" si="5"/>
        <v>152600</v>
      </c>
      <c r="F10" s="38">
        <f t="shared" si="23"/>
        <v>17</v>
      </c>
      <c r="G10" s="38">
        <f t="shared" si="26"/>
        <v>48</v>
      </c>
      <c r="H10" s="38">
        <f t="shared" si="6"/>
        <v>17.142857142857142</v>
      </c>
      <c r="I10" s="38">
        <f t="shared" si="7"/>
        <v>21.818181818181817</v>
      </c>
      <c r="J10" s="36">
        <f t="shared" si="8"/>
        <v>30</v>
      </c>
      <c r="K10" s="36">
        <f t="shared" si="9"/>
        <v>5500</v>
      </c>
      <c r="L10" s="36">
        <f t="shared" si="10"/>
        <v>3849.9999999999995</v>
      </c>
      <c r="M10" s="37">
        <f t="shared" si="11"/>
        <v>4033.3333333333339</v>
      </c>
      <c r="N10" s="37">
        <f t="shared" si="12"/>
        <v>4400</v>
      </c>
      <c r="O10" s="37">
        <f t="shared" si="13"/>
        <v>5503.68</v>
      </c>
      <c r="P10" s="36">
        <v>5</v>
      </c>
      <c r="Q10" s="36">
        <f t="shared" si="14"/>
        <v>170000</v>
      </c>
      <c r="R10" s="36">
        <f t="shared" si="15"/>
        <v>169893.15839999996</v>
      </c>
      <c r="S10" s="37">
        <f t="shared" si="16"/>
        <v>11.032023272727271</v>
      </c>
      <c r="T10" s="37">
        <f t="shared" si="17"/>
        <v>14.040756892561976</v>
      </c>
      <c r="U10" s="37">
        <f t="shared" si="0"/>
        <v>19.306040727272723</v>
      </c>
      <c r="V10" s="37">
        <f t="shared" si="1"/>
        <v>30.90909090909091</v>
      </c>
      <c r="W10" s="36">
        <f>Y10+0.3</f>
        <v>1.5</v>
      </c>
      <c r="X10" s="38">
        <f t="shared" si="25"/>
        <v>1.8416666666666668</v>
      </c>
      <c r="Y10" s="36">
        <v>1.2</v>
      </c>
      <c r="Z10" s="37">
        <f t="shared" si="21"/>
        <v>900</v>
      </c>
      <c r="AA10" s="37">
        <f t="shared" si="18"/>
        <v>2250</v>
      </c>
      <c r="AB10" s="36">
        <f t="shared" si="2"/>
        <v>78000</v>
      </c>
      <c r="AC10" s="36">
        <f t="shared" si="22"/>
        <v>120000</v>
      </c>
      <c r="AD10" s="36">
        <f t="shared" si="19"/>
        <v>86.666666666666671</v>
      </c>
    </row>
    <row r="11" spans="1:30" x14ac:dyDescent="0.35">
      <c r="A11" s="20">
        <v>10</v>
      </c>
      <c r="B11" s="20">
        <f t="shared" si="3"/>
        <v>130000</v>
      </c>
      <c r="C11" s="20">
        <f t="shared" si="4"/>
        <v>26000</v>
      </c>
      <c r="D11" s="21">
        <f t="shared" si="20"/>
        <v>132088.32000000001</v>
      </c>
      <c r="E11" s="21">
        <f t="shared" si="5"/>
        <v>282600</v>
      </c>
      <c r="F11" s="22">
        <f t="shared" si="23"/>
        <v>24</v>
      </c>
      <c r="G11" s="22">
        <f t="shared" si="26"/>
        <v>72</v>
      </c>
      <c r="H11" s="22">
        <f t="shared" si="6"/>
        <v>25.714285714285715</v>
      </c>
      <c r="I11" s="22">
        <f t="shared" si="7"/>
        <v>32.72727272727272</v>
      </c>
      <c r="J11" s="20">
        <f t="shared" si="8"/>
        <v>45</v>
      </c>
      <c r="K11" s="20">
        <f t="shared" si="9"/>
        <v>6600</v>
      </c>
      <c r="L11" s="20">
        <f t="shared" si="10"/>
        <v>4620</v>
      </c>
      <c r="M11" s="21">
        <f t="shared" si="11"/>
        <v>4840.0000000000009</v>
      </c>
      <c r="N11" s="21">
        <f t="shared" si="12"/>
        <v>5280</v>
      </c>
      <c r="O11" s="21">
        <f t="shared" si="13"/>
        <v>6604.4160000000002</v>
      </c>
      <c r="P11" s="23">
        <v>7</v>
      </c>
      <c r="Q11" s="20">
        <f t="shared" si="14"/>
        <v>250000</v>
      </c>
      <c r="R11" s="20">
        <f t="shared" si="15"/>
        <v>254839.73759999993</v>
      </c>
      <c r="S11" s="21">
        <f t="shared" si="16"/>
        <v>13.790029090909087</v>
      </c>
      <c r="T11" s="21">
        <f t="shared" si="17"/>
        <v>17.550946115702473</v>
      </c>
      <c r="U11" s="21">
        <f t="shared" si="0"/>
        <v>24.132550909090902</v>
      </c>
      <c r="V11" s="21">
        <f t="shared" si="1"/>
        <v>37.878787878787875</v>
      </c>
      <c r="W11" s="23">
        <f>Y11+0.3</f>
        <v>1.5</v>
      </c>
      <c r="X11" s="22">
        <f t="shared" si="25"/>
        <v>1.6941176470588235</v>
      </c>
      <c r="Y11" s="23">
        <v>1.2</v>
      </c>
      <c r="Z11" s="21">
        <f t="shared" si="21"/>
        <v>1100</v>
      </c>
      <c r="AA11" s="21">
        <f t="shared" si="18"/>
        <v>2750</v>
      </c>
      <c r="AB11" s="20">
        <f t="shared" si="2"/>
        <v>130000</v>
      </c>
      <c r="AC11" s="20">
        <f t="shared" si="22"/>
        <v>208000</v>
      </c>
      <c r="AD11" s="20">
        <f t="shared" si="19"/>
        <v>118.18181818181819</v>
      </c>
    </row>
    <row r="12" spans="1:30" x14ac:dyDescent="0.35">
      <c r="A12" s="20">
        <v>11</v>
      </c>
      <c r="B12" s="20">
        <f t="shared" si="3"/>
        <v>220000</v>
      </c>
      <c r="C12" s="20">
        <f t="shared" si="4"/>
        <v>44000</v>
      </c>
      <c r="D12" s="21">
        <f t="shared" si="20"/>
        <v>224550.144</v>
      </c>
      <c r="E12" s="21">
        <f t="shared" si="5"/>
        <v>502600</v>
      </c>
      <c r="F12" s="22">
        <f t="shared" si="23"/>
        <v>34</v>
      </c>
      <c r="G12" s="22">
        <f t="shared" si="26"/>
        <v>106</v>
      </c>
      <c r="H12" s="22">
        <f t="shared" si="6"/>
        <v>37.857142857142861</v>
      </c>
      <c r="I12" s="22">
        <f t="shared" si="7"/>
        <v>48.181818181818166</v>
      </c>
      <c r="J12" s="20">
        <f t="shared" si="8"/>
        <v>66.25</v>
      </c>
      <c r="K12" s="20">
        <f t="shared" si="9"/>
        <v>7200</v>
      </c>
      <c r="L12" s="20">
        <f t="shared" si="10"/>
        <v>5040</v>
      </c>
      <c r="M12" s="21">
        <f t="shared" si="11"/>
        <v>5280.0000000000009</v>
      </c>
      <c r="N12" s="21">
        <f t="shared" si="12"/>
        <v>5760</v>
      </c>
      <c r="O12" s="21">
        <f t="shared" si="13"/>
        <v>7198.8134400000008</v>
      </c>
      <c r="P12" s="23">
        <v>10</v>
      </c>
      <c r="Q12" s="20">
        <f t="shared" si="14"/>
        <v>330000</v>
      </c>
      <c r="R12" s="20">
        <f t="shared" si="15"/>
        <v>328743.26150399994</v>
      </c>
      <c r="S12" s="21">
        <f t="shared" si="16"/>
        <v>16.306709399999995</v>
      </c>
      <c r="T12" s="21">
        <f t="shared" si="17"/>
        <v>20.753993781818174</v>
      </c>
      <c r="U12" s="21">
        <f t="shared" si="0"/>
        <v>28.536741449999994</v>
      </c>
      <c r="V12" s="21">
        <f t="shared" si="1"/>
        <v>45.833333333333336</v>
      </c>
      <c r="W12" s="23">
        <f>Y12+0.2</f>
        <v>1.29</v>
      </c>
      <c r="X12" s="22">
        <f t="shared" si="25"/>
        <v>1.7</v>
      </c>
      <c r="Y12" s="23">
        <v>1.0900000000000001</v>
      </c>
      <c r="Z12" s="21">
        <f t="shared" si="21"/>
        <v>600</v>
      </c>
      <c r="AA12" s="21">
        <f t="shared" si="18"/>
        <v>1500</v>
      </c>
      <c r="AB12" s="20">
        <f t="shared" si="2"/>
        <v>220000</v>
      </c>
      <c r="AC12" s="20">
        <f t="shared" si="22"/>
        <v>350000</v>
      </c>
      <c r="AD12" s="20">
        <f t="shared" si="19"/>
        <v>366.66666666666669</v>
      </c>
    </row>
    <row r="13" spans="1:30" s="36" customFormat="1" x14ac:dyDescent="0.35">
      <c r="A13" s="36">
        <v>12</v>
      </c>
      <c r="B13" s="36">
        <f t="shared" si="3"/>
        <v>370000</v>
      </c>
      <c r="C13" s="36">
        <f t="shared" si="4"/>
        <v>74000</v>
      </c>
      <c r="D13" s="37">
        <f t="shared" si="20"/>
        <v>374338.29888000002</v>
      </c>
      <c r="E13" s="37">
        <f t="shared" si="5"/>
        <v>872600</v>
      </c>
      <c r="F13" s="38">
        <f t="shared" si="23"/>
        <v>52</v>
      </c>
      <c r="G13" s="38">
        <f t="shared" si="26"/>
        <v>158</v>
      </c>
      <c r="H13" s="38">
        <f t="shared" si="6"/>
        <v>56.428571428571431</v>
      </c>
      <c r="I13" s="38">
        <f t="shared" si="7"/>
        <v>71.818181818181813</v>
      </c>
      <c r="J13" s="36">
        <f t="shared" si="8"/>
        <v>98.75</v>
      </c>
      <c r="K13" s="36">
        <f t="shared" si="9"/>
        <v>8600</v>
      </c>
      <c r="L13" s="36">
        <f t="shared" si="10"/>
        <v>6020</v>
      </c>
      <c r="M13" s="37">
        <f t="shared" si="11"/>
        <v>6306.666666666667</v>
      </c>
      <c r="N13" s="37">
        <f t="shared" si="12"/>
        <v>6880</v>
      </c>
      <c r="O13" s="37">
        <f t="shared" si="13"/>
        <v>8638.5761280000006</v>
      </c>
      <c r="P13" s="36">
        <v>18</v>
      </c>
      <c r="Q13" s="36">
        <f t="shared" si="14"/>
        <v>460000</v>
      </c>
      <c r="R13" s="36">
        <f t="shared" si="15"/>
        <v>460240.56610559986</v>
      </c>
      <c r="S13" s="37">
        <f t="shared" si="16"/>
        <v>19.112980319999995</v>
      </c>
      <c r="T13" s="37">
        <f t="shared" si="17"/>
        <v>24.325611316363627</v>
      </c>
      <c r="U13" s="37">
        <f t="shared" si="0"/>
        <v>33.447715559999992</v>
      </c>
      <c r="V13" s="37">
        <f t="shared" si="1"/>
        <v>53.488372093023258</v>
      </c>
      <c r="W13" s="36">
        <f>Y13+0.2</f>
        <v>1.4</v>
      </c>
      <c r="X13" s="38">
        <f t="shared" si="25"/>
        <v>1.6670588235294119</v>
      </c>
      <c r="Y13" s="36">
        <v>1.2</v>
      </c>
      <c r="Z13" s="37">
        <f t="shared" si="21"/>
        <v>1400</v>
      </c>
      <c r="AA13" s="37">
        <f t="shared" si="18"/>
        <v>3500</v>
      </c>
      <c r="AB13" s="36">
        <f t="shared" si="2"/>
        <v>370000</v>
      </c>
      <c r="AC13" s="36">
        <f t="shared" si="22"/>
        <v>590000</v>
      </c>
      <c r="AD13" s="36">
        <f t="shared" si="19"/>
        <v>264.28571428571428</v>
      </c>
    </row>
    <row r="14" spans="1:30" x14ac:dyDescent="0.35">
      <c r="A14" s="20">
        <v>13</v>
      </c>
      <c r="B14" s="20">
        <f t="shared" si="3"/>
        <v>620000</v>
      </c>
      <c r="C14" s="20">
        <f t="shared" si="4"/>
        <v>124000</v>
      </c>
      <c r="D14" s="21">
        <f t="shared" si="20"/>
        <v>621977.48121600004</v>
      </c>
      <c r="E14" s="21">
        <f t="shared" si="5"/>
        <v>1492600</v>
      </c>
      <c r="F14" s="22">
        <f t="shared" si="23"/>
        <v>72</v>
      </c>
      <c r="G14" s="22">
        <f t="shared" si="26"/>
        <v>230</v>
      </c>
      <c r="H14" s="22">
        <f t="shared" si="6"/>
        <v>82.142857142857153</v>
      </c>
      <c r="I14" s="22">
        <f t="shared" si="7"/>
        <v>104.54545454545453</v>
      </c>
      <c r="J14" s="20">
        <f t="shared" si="8"/>
        <v>143.75</v>
      </c>
      <c r="K14" s="20">
        <f t="shared" si="9"/>
        <v>9500</v>
      </c>
      <c r="L14" s="20">
        <f t="shared" si="10"/>
        <v>6650</v>
      </c>
      <c r="M14" s="21">
        <f t="shared" si="11"/>
        <v>6966.666666666667</v>
      </c>
      <c r="N14" s="21">
        <f t="shared" si="12"/>
        <v>7600</v>
      </c>
      <c r="O14" s="21">
        <f t="shared" si="13"/>
        <v>9502.433740800001</v>
      </c>
      <c r="P14" s="23">
        <v>20</v>
      </c>
      <c r="Q14" s="20">
        <f t="shared" si="14"/>
        <v>600000</v>
      </c>
      <c r="R14" s="20">
        <f t="shared" si="15"/>
        <v>598312.73593727988</v>
      </c>
      <c r="S14" s="21">
        <f t="shared" si="16"/>
        <v>22.4929599976421</v>
      </c>
      <c r="T14" s="21">
        <f t="shared" si="17"/>
        <v>28.627403633362672</v>
      </c>
      <c r="U14" s="21">
        <f t="shared" si="0"/>
        <v>39.362679995873677</v>
      </c>
      <c r="V14" s="21">
        <f t="shared" si="1"/>
        <v>63.157894736842103</v>
      </c>
      <c r="W14" s="23">
        <f>Y14+0.2</f>
        <v>1.3</v>
      </c>
      <c r="X14" s="22">
        <f t="shared" si="25"/>
        <v>1.6615384615384616</v>
      </c>
      <c r="Y14" s="23">
        <v>1.1000000000000001</v>
      </c>
      <c r="Z14" s="21">
        <f t="shared" si="21"/>
        <v>900</v>
      </c>
      <c r="AA14" s="21">
        <f t="shared" si="18"/>
        <v>2250</v>
      </c>
      <c r="AB14" s="20">
        <f t="shared" si="2"/>
        <v>620000</v>
      </c>
      <c r="AC14" s="20">
        <f t="shared" si="22"/>
        <v>990000</v>
      </c>
      <c r="AD14" s="20">
        <f t="shared" si="19"/>
        <v>688.88888888888891</v>
      </c>
    </row>
    <row r="15" spans="1:30" s="33" customFormat="1" x14ac:dyDescent="0.35">
      <c r="A15" s="33">
        <v>14</v>
      </c>
      <c r="B15" s="33">
        <f t="shared" si="3"/>
        <v>970000</v>
      </c>
      <c r="C15" s="33">
        <f t="shared" si="4"/>
        <v>194000</v>
      </c>
      <c r="D15" s="34">
        <f t="shared" si="20"/>
        <v>969248.24156160012</v>
      </c>
      <c r="E15" s="34">
        <f t="shared" si="5"/>
        <v>2462600</v>
      </c>
      <c r="F15" s="35">
        <f t="shared" si="23"/>
        <v>102</v>
      </c>
      <c r="G15" s="35">
        <f t="shared" si="26"/>
        <v>332</v>
      </c>
      <c r="H15" s="35">
        <f t="shared" si="6"/>
        <v>118.57142857142858</v>
      </c>
      <c r="I15" s="35">
        <f t="shared" si="7"/>
        <v>150.90909090909091</v>
      </c>
      <c r="J15" s="35">
        <f t="shared" si="8"/>
        <v>207.5</v>
      </c>
      <c r="K15" s="33">
        <f t="shared" si="9"/>
        <v>11000</v>
      </c>
      <c r="L15" s="33">
        <f t="shared" si="10"/>
        <v>7699.9999999999991</v>
      </c>
      <c r="M15" s="34">
        <f t="shared" si="11"/>
        <v>8066.6666666666679</v>
      </c>
      <c r="N15" s="34">
        <f t="shared" si="12"/>
        <v>8800</v>
      </c>
      <c r="O15" s="34">
        <f t="shared" si="13"/>
        <v>11402.920488960001</v>
      </c>
      <c r="P15" s="33">
        <v>30</v>
      </c>
      <c r="Q15" s="33">
        <f t="shared" si="14"/>
        <v>810000</v>
      </c>
      <c r="R15" s="33">
        <f t="shared" si="15"/>
        <v>807722.19351532776</v>
      </c>
      <c r="S15" s="34">
        <f t="shared" si="16"/>
        <v>26.22474654270545</v>
      </c>
      <c r="T15" s="34">
        <f t="shared" si="17"/>
        <v>33.376950145261468</v>
      </c>
      <c r="U15" s="34">
        <f t="shared" si="0"/>
        <v>45.893306449734531</v>
      </c>
      <c r="V15" s="34">
        <f t="shared" si="1"/>
        <v>73.63636363636364</v>
      </c>
      <c r="W15" s="33">
        <f>Y15+0.15</f>
        <v>1.3499999999999999</v>
      </c>
      <c r="X15" s="35">
        <f t="shared" si="25"/>
        <v>1.5583333333333333</v>
      </c>
      <c r="Y15" s="33">
        <v>1.2</v>
      </c>
      <c r="Z15" s="34">
        <f t="shared" si="21"/>
        <v>1500</v>
      </c>
      <c r="AA15" s="34">
        <f t="shared" si="18"/>
        <v>3750</v>
      </c>
      <c r="AB15" s="33">
        <f t="shared" si="2"/>
        <v>970000</v>
      </c>
      <c r="AC15" s="33">
        <f t="shared" si="22"/>
        <v>1590000</v>
      </c>
      <c r="AD15" s="33">
        <f t="shared" si="19"/>
        <v>646.66666666666663</v>
      </c>
    </row>
    <row r="16" spans="1:30" x14ac:dyDescent="0.35">
      <c r="A16" s="20">
        <v>15</v>
      </c>
      <c r="B16" s="20">
        <f t="shared" si="3"/>
        <v>2100000</v>
      </c>
      <c r="C16" s="20">
        <f t="shared" si="4"/>
        <v>420000</v>
      </c>
      <c r="D16" s="21">
        <f t="shared" si="20"/>
        <v>2075331.5289907202</v>
      </c>
      <c r="E16" s="21">
        <f t="shared" si="5"/>
        <v>4562600</v>
      </c>
      <c r="F16" s="22">
        <f t="shared" si="23"/>
        <v>182</v>
      </c>
      <c r="G16" s="22">
        <f t="shared" si="26"/>
        <v>514</v>
      </c>
      <c r="H16" s="22">
        <f t="shared" si="6"/>
        <v>183.57142857142858</v>
      </c>
      <c r="I16" s="22">
        <f t="shared" si="7"/>
        <v>233.63636363636363</v>
      </c>
      <c r="J16" s="20">
        <f t="shared" si="8"/>
        <v>321.25</v>
      </c>
      <c r="K16" s="20">
        <f t="shared" si="9"/>
        <v>13000</v>
      </c>
      <c r="L16" s="20">
        <f t="shared" si="10"/>
        <v>9100</v>
      </c>
      <c r="M16" s="21">
        <f t="shared" si="11"/>
        <v>9533.3333333333339</v>
      </c>
      <c r="N16" s="21">
        <f t="shared" si="12"/>
        <v>10400</v>
      </c>
      <c r="O16" s="21">
        <f t="shared" si="13"/>
        <v>12999.329357414399</v>
      </c>
      <c r="P16" s="23">
        <v>80</v>
      </c>
      <c r="Q16" s="20">
        <f t="shared" si="14"/>
        <v>1000000</v>
      </c>
      <c r="R16" s="20">
        <f t="shared" si="15"/>
        <v>1001575.5199590065</v>
      </c>
      <c r="S16" s="21">
        <f t="shared" si="16"/>
        <v>27.515810987884795</v>
      </c>
      <c r="T16" s="21">
        <f t="shared" si="17"/>
        <v>35.020123075489735</v>
      </c>
      <c r="U16" s="21">
        <f t="shared" si="0"/>
        <v>48.152669228798388</v>
      </c>
      <c r="V16" s="21">
        <f t="shared" si="1"/>
        <v>76.92307692307692</v>
      </c>
      <c r="W16" s="23">
        <f t="shared" ref="W16:W21" si="27">Y16+0.1</f>
        <v>1.24</v>
      </c>
      <c r="X16" s="22">
        <f t="shared" si="25"/>
        <v>2.1411764705882352</v>
      </c>
      <c r="Y16" s="23">
        <v>1.1399999999999999</v>
      </c>
      <c r="Z16" s="21">
        <f t="shared" si="21"/>
        <v>2000</v>
      </c>
      <c r="AA16" s="21">
        <f t="shared" si="18"/>
        <v>5000</v>
      </c>
      <c r="AB16" s="20">
        <f t="shared" si="2"/>
        <v>2100000</v>
      </c>
      <c r="AC16" s="20">
        <f t="shared" si="22"/>
        <v>3070000</v>
      </c>
      <c r="AD16" s="20">
        <f t="shared" si="19"/>
        <v>1050</v>
      </c>
    </row>
    <row r="17" spans="1:30" x14ac:dyDescent="0.35">
      <c r="A17" s="20">
        <v>16</v>
      </c>
      <c r="B17" s="20">
        <f t="shared" si="3"/>
        <v>4300000</v>
      </c>
      <c r="C17" s="20">
        <f t="shared" si="4"/>
        <v>860000</v>
      </c>
      <c r="D17" s="21">
        <f t="shared" si="20"/>
        <v>4315777.3466615807</v>
      </c>
      <c r="E17" s="21">
        <f t="shared" si="5"/>
        <v>8862600</v>
      </c>
      <c r="F17" s="22">
        <f t="shared" si="23"/>
        <v>332</v>
      </c>
      <c r="G17" s="22">
        <f t="shared" si="26"/>
        <v>846</v>
      </c>
      <c r="H17" s="22">
        <f t="shared" si="6"/>
        <v>302.14285714285717</v>
      </c>
      <c r="I17" s="22">
        <f t="shared" si="7"/>
        <v>384.5454545454545</v>
      </c>
      <c r="J17" s="20">
        <f t="shared" si="8"/>
        <v>528.75</v>
      </c>
      <c r="K17" s="20">
        <f t="shared" si="9"/>
        <v>15000</v>
      </c>
      <c r="L17" s="20">
        <f t="shared" si="10"/>
        <v>10500</v>
      </c>
      <c r="M17" s="21">
        <f t="shared" si="11"/>
        <v>11000</v>
      </c>
      <c r="N17" s="21">
        <f t="shared" si="12"/>
        <v>12000</v>
      </c>
      <c r="O17" s="21">
        <f t="shared" si="13"/>
        <v>14949.228761026558</v>
      </c>
      <c r="P17" s="23">
        <v>150</v>
      </c>
      <c r="Q17" s="20">
        <f t="shared" si="14"/>
        <v>1300000</v>
      </c>
      <c r="R17" s="20">
        <f t="shared" si="15"/>
        <v>1251969.3999487581</v>
      </c>
      <c r="S17" s="21">
        <f t="shared" si="16"/>
        <v>29.808795236875191</v>
      </c>
      <c r="T17" s="21">
        <f t="shared" si="17"/>
        <v>37.938466665113879</v>
      </c>
      <c r="U17" s="21">
        <f t="shared" si="0"/>
        <v>52.165391664531583</v>
      </c>
      <c r="V17" s="21">
        <f t="shared" si="1"/>
        <v>86.666666666666671</v>
      </c>
      <c r="W17" s="23">
        <f t="shared" si="27"/>
        <v>1.25</v>
      </c>
      <c r="X17" s="22">
        <f t="shared" si="25"/>
        <v>2.0795604395604395</v>
      </c>
      <c r="Y17" s="23">
        <v>1.1499999999999999</v>
      </c>
      <c r="Z17" s="21">
        <f t="shared" si="21"/>
        <v>2000</v>
      </c>
      <c r="AA17" s="21">
        <f t="shared" si="18"/>
        <v>5000</v>
      </c>
      <c r="AB17" s="20">
        <f t="shared" si="2"/>
        <v>4300000</v>
      </c>
      <c r="AC17" s="20">
        <f t="shared" si="22"/>
        <v>6400000</v>
      </c>
      <c r="AD17" s="20">
        <f t="shared" si="19"/>
        <v>2150</v>
      </c>
    </row>
    <row r="18" spans="1:30" x14ac:dyDescent="0.35">
      <c r="A18" s="20">
        <v>17</v>
      </c>
      <c r="B18" s="20">
        <f t="shared" si="3"/>
        <v>8000000</v>
      </c>
      <c r="C18" s="20">
        <f t="shared" si="4"/>
        <v>1600000</v>
      </c>
      <c r="D18" s="21">
        <f t="shared" si="20"/>
        <v>7952989.7008661283</v>
      </c>
      <c r="E18" s="21">
        <f t="shared" si="5"/>
        <v>16862600</v>
      </c>
      <c r="F18" s="22">
        <f t="shared" si="23"/>
        <v>532</v>
      </c>
      <c r="G18" s="22">
        <f t="shared" si="26"/>
        <v>1378</v>
      </c>
      <c r="H18" s="22">
        <f t="shared" si="6"/>
        <v>492.14285714285717</v>
      </c>
      <c r="I18" s="22">
        <f t="shared" si="7"/>
        <v>626.36363636363626</v>
      </c>
      <c r="J18" s="20">
        <f t="shared" si="8"/>
        <v>861.25</v>
      </c>
      <c r="K18" s="20">
        <f t="shared" si="9"/>
        <v>17000</v>
      </c>
      <c r="L18" s="20">
        <f t="shared" si="10"/>
        <v>11900</v>
      </c>
      <c r="M18" s="21">
        <f t="shared" si="11"/>
        <v>12466.666666666666</v>
      </c>
      <c r="N18" s="21">
        <f t="shared" si="12"/>
        <v>13600</v>
      </c>
      <c r="O18" s="21">
        <f t="shared" si="13"/>
        <v>17191.613075180539</v>
      </c>
      <c r="P18" s="23">
        <v>200</v>
      </c>
      <c r="Q18" s="20">
        <f t="shared" si="14"/>
        <v>1600000</v>
      </c>
      <c r="R18" s="20">
        <f t="shared" si="15"/>
        <v>1564961.7499359476</v>
      </c>
      <c r="S18" s="21">
        <f t="shared" si="16"/>
        <v>32.877347687729994</v>
      </c>
      <c r="T18" s="21">
        <f t="shared" si="17"/>
        <v>41.843897057110901</v>
      </c>
      <c r="U18" s="21">
        <f t="shared" si="0"/>
        <v>57.535358453527486</v>
      </c>
      <c r="V18" s="21">
        <f t="shared" si="1"/>
        <v>94.117647058823536</v>
      </c>
      <c r="W18" s="23">
        <f t="shared" si="27"/>
        <v>1.25</v>
      </c>
      <c r="X18" s="22">
        <f t="shared" si="25"/>
        <v>1.842771084337349</v>
      </c>
      <c r="Y18" s="23">
        <v>1.1499999999999999</v>
      </c>
      <c r="Z18" s="21">
        <f t="shared" si="21"/>
        <v>2000</v>
      </c>
      <c r="AA18" s="21">
        <f t="shared" si="18"/>
        <v>5000</v>
      </c>
      <c r="AB18" s="20">
        <f t="shared" si="2"/>
        <v>8000000</v>
      </c>
      <c r="AC18" s="20">
        <f t="shared" si="22"/>
        <v>12300000</v>
      </c>
      <c r="AD18" s="20">
        <f t="shared" si="19"/>
        <v>4000</v>
      </c>
    </row>
    <row r="19" spans="1:30" x14ac:dyDescent="0.35">
      <c r="A19" s="20">
        <v>18</v>
      </c>
      <c r="B19" s="20">
        <f t="shared" si="3"/>
        <v>13000000</v>
      </c>
      <c r="C19" s="20">
        <f t="shared" si="4"/>
        <v>2600000</v>
      </c>
      <c r="D19" s="21">
        <f t="shared" si="20"/>
        <v>13443841.424791181</v>
      </c>
      <c r="E19" s="21">
        <f t="shared" si="5"/>
        <v>29862600</v>
      </c>
      <c r="F19" s="22">
        <f t="shared" si="23"/>
        <v>782</v>
      </c>
      <c r="G19" s="22">
        <f t="shared" si="26"/>
        <v>2160</v>
      </c>
      <c r="H19" s="22">
        <f t="shared" si="6"/>
        <v>771.42857142857144</v>
      </c>
      <c r="I19" s="22">
        <f t="shared" si="7"/>
        <v>981.81818181818176</v>
      </c>
      <c r="J19" s="20">
        <f t="shared" si="8"/>
        <v>1350</v>
      </c>
      <c r="K19" s="20">
        <f t="shared" si="9"/>
        <v>19000</v>
      </c>
      <c r="L19" s="20">
        <f t="shared" si="10"/>
        <v>13300</v>
      </c>
      <c r="M19" s="21">
        <f t="shared" si="11"/>
        <v>13933.333333333334</v>
      </c>
      <c r="N19" s="21">
        <f t="shared" si="12"/>
        <v>15200</v>
      </c>
      <c r="O19" s="21">
        <f t="shared" si="13"/>
        <v>18910.774382698593</v>
      </c>
      <c r="P19" s="23">
        <v>250</v>
      </c>
      <c r="Q19" s="20">
        <f t="shared" si="14"/>
        <v>1900000</v>
      </c>
      <c r="R19" s="20">
        <f t="shared" si="15"/>
        <v>1877954.0999231373</v>
      </c>
      <c r="S19" s="21">
        <f t="shared" si="16"/>
        <v>35.299889096299573</v>
      </c>
      <c r="T19" s="21">
        <f t="shared" si="17"/>
        <v>44.927131577108547</v>
      </c>
      <c r="U19" s="21">
        <f t="shared" si="0"/>
        <v>61.774805918524258</v>
      </c>
      <c r="V19" s="21">
        <f t="shared" si="1"/>
        <v>100</v>
      </c>
      <c r="W19" s="23">
        <f t="shared" si="27"/>
        <v>1.2000000000000002</v>
      </c>
      <c r="X19" s="22">
        <f t="shared" si="25"/>
        <v>1.6904135338345863</v>
      </c>
      <c r="Y19" s="23">
        <v>1.1000000000000001</v>
      </c>
      <c r="Z19" s="21">
        <f t="shared" si="21"/>
        <v>2000</v>
      </c>
      <c r="AA19" s="21">
        <f t="shared" si="18"/>
        <v>5000</v>
      </c>
      <c r="AB19" s="20">
        <f t="shared" si="2"/>
        <v>13000000</v>
      </c>
      <c r="AC19" s="20">
        <f t="shared" si="22"/>
        <v>21000000</v>
      </c>
      <c r="AD19" s="20">
        <f t="shared" si="19"/>
        <v>6500</v>
      </c>
    </row>
    <row r="20" spans="1:30" s="33" customFormat="1" x14ac:dyDescent="0.35">
      <c r="A20" s="33">
        <v>19</v>
      </c>
      <c r="B20" s="33">
        <f t="shared" si="3"/>
        <v>20000000</v>
      </c>
      <c r="C20" s="33">
        <f t="shared" si="4"/>
        <v>4000000</v>
      </c>
      <c r="D20" s="34">
        <f t="shared" si="20"/>
        <v>20461457.882079877</v>
      </c>
      <c r="E20" s="34">
        <f t="shared" si="5"/>
        <v>49862600</v>
      </c>
      <c r="F20" s="35">
        <f t="shared" si="23"/>
        <v>1082</v>
      </c>
      <c r="G20" s="35">
        <f t="shared" si="26"/>
        <v>3242</v>
      </c>
      <c r="H20" s="35">
        <f t="shared" si="6"/>
        <v>1157.8571428571429</v>
      </c>
      <c r="I20" s="35">
        <f t="shared" si="7"/>
        <v>1473.6363636363635</v>
      </c>
      <c r="J20" s="35">
        <f t="shared" si="8"/>
        <v>2026.25</v>
      </c>
      <c r="K20" s="33">
        <f t="shared" si="9"/>
        <v>23000</v>
      </c>
      <c r="L20" s="33">
        <f t="shared" si="10"/>
        <v>16099.999999999998</v>
      </c>
      <c r="M20" s="34">
        <f t="shared" si="11"/>
        <v>16866.666666666668</v>
      </c>
      <c r="N20" s="34">
        <f t="shared" si="12"/>
        <v>18400</v>
      </c>
      <c r="O20" s="34">
        <f t="shared" si="13"/>
        <v>22692.92925923831</v>
      </c>
      <c r="P20" s="33">
        <v>300</v>
      </c>
      <c r="Q20" s="33">
        <f t="shared" si="14"/>
        <v>2400000</v>
      </c>
      <c r="R20" s="33">
        <f t="shared" si="15"/>
        <v>2441340.3299000785</v>
      </c>
      <c r="S20" s="34">
        <f t="shared" si="16"/>
        <v>37.909011333852156</v>
      </c>
      <c r="T20" s="34">
        <f t="shared" si="17"/>
        <v>48.24783260672092</v>
      </c>
      <c r="U20" s="34">
        <f t="shared" si="0"/>
        <v>66.340769834241257</v>
      </c>
      <c r="V20" s="34">
        <f t="shared" si="1"/>
        <v>104.34782608695652</v>
      </c>
      <c r="W20" s="33">
        <f t="shared" si="27"/>
        <v>1.3</v>
      </c>
      <c r="X20" s="35">
        <f t="shared" si="25"/>
        <v>1.5219948849104858</v>
      </c>
      <c r="Y20" s="33">
        <v>1.2</v>
      </c>
      <c r="Z20" s="34">
        <f t="shared" si="21"/>
        <v>4000</v>
      </c>
      <c r="AA20" s="34">
        <f t="shared" si="18"/>
        <v>10000</v>
      </c>
      <c r="AB20" s="33">
        <f t="shared" si="2"/>
        <v>20000000</v>
      </c>
      <c r="AC20" s="33">
        <f t="shared" si="22"/>
        <v>33000000</v>
      </c>
      <c r="AD20" s="33">
        <f t="shared" si="19"/>
        <v>5000</v>
      </c>
    </row>
    <row r="21" spans="1:30" x14ac:dyDescent="0.35">
      <c r="A21" s="20">
        <v>20</v>
      </c>
      <c r="B21" s="20">
        <f t="shared" si="3"/>
        <v>32000000</v>
      </c>
      <c r="C21" s="20">
        <f t="shared" si="4"/>
        <v>6400000</v>
      </c>
      <c r="D21" s="21">
        <f t="shared" si="20"/>
        <v>32496274.699229259</v>
      </c>
      <c r="E21" s="21">
        <f t="shared" si="5"/>
        <v>81862600</v>
      </c>
      <c r="F21" s="22">
        <f t="shared" si="23"/>
        <v>1432</v>
      </c>
      <c r="G21" s="22">
        <f t="shared" si="26"/>
        <v>4674</v>
      </c>
      <c r="H21" s="22">
        <f t="shared" si="6"/>
        <v>1669.2857142857144</v>
      </c>
      <c r="I21" s="22">
        <f t="shared" si="7"/>
        <v>2124.5454545454545</v>
      </c>
      <c r="J21" s="20">
        <f t="shared" si="8"/>
        <v>2921.25</v>
      </c>
      <c r="K21" s="20">
        <f t="shared" si="9"/>
        <v>26000</v>
      </c>
      <c r="L21" s="20">
        <f t="shared" si="10"/>
        <v>18200</v>
      </c>
      <c r="M21" s="21">
        <f t="shared" si="11"/>
        <v>19066.666666666668</v>
      </c>
      <c r="N21" s="21">
        <f t="shared" si="12"/>
        <v>20800</v>
      </c>
      <c r="O21" s="21">
        <f t="shared" si="13"/>
        <v>26096.868648124055</v>
      </c>
      <c r="P21" s="23">
        <v>350</v>
      </c>
      <c r="Q21" s="20">
        <f t="shared" si="14"/>
        <v>3100000</v>
      </c>
      <c r="R21" s="20">
        <f t="shared" si="15"/>
        <v>3051675.4123750981</v>
      </c>
      <c r="S21" s="21">
        <f t="shared" si="16"/>
        <v>41.918618301855744</v>
      </c>
      <c r="T21" s="21">
        <f t="shared" si="17"/>
        <v>53.350968747816395</v>
      </c>
      <c r="U21" s="21">
        <f t="shared" si="0"/>
        <v>73.357582028247549</v>
      </c>
      <c r="V21" s="21">
        <f t="shared" si="1"/>
        <v>119.23076923076923</v>
      </c>
      <c r="W21" s="23">
        <f t="shared" si="27"/>
        <v>1.25</v>
      </c>
      <c r="X21" s="22">
        <f t="shared" si="25"/>
        <v>1.588170055452865</v>
      </c>
      <c r="Y21" s="23">
        <v>1.1499999999999999</v>
      </c>
      <c r="Z21" s="21">
        <f t="shared" si="21"/>
        <v>3000</v>
      </c>
      <c r="AA21" s="21">
        <f t="shared" si="18"/>
        <v>7500</v>
      </c>
      <c r="AB21" s="20">
        <f t="shared" si="2"/>
        <v>32000000</v>
      </c>
      <c r="AC21" s="20">
        <f t="shared" si="22"/>
        <v>52000000</v>
      </c>
      <c r="AD21" s="20">
        <f t="shared" si="19"/>
        <v>10666.666666666666</v>
      </c>
    </row>
    <row r="22" spans="1:30" x14ac:dyDescent="0.35">
      <c r="I22" s="22"/>
    </row>
    <row r="25" spans="1:30" x14ac:dyDescent="0.35">
      <c r="X25" s="23">
        <v>6</v>
      </c>
      <c r="AA25" s="23">
        <v>1.5</v>
      </c>
    </row>
    <row r="26" spans="1:30" x14ac:dyDescent="0.35">
      <c r="X26" s="23">
        <v>5</v>
      </c>
      <c r="AA26" s="23">
        <v>1.5</v>
      </c>
    </row>
    <row r="27" spans="1:30" x14ac:dyDescent="0.35">
      <c r="X27" s="23">
        <v>4</v>
      </c>
      <c r="AA27" s="23">
        <v>1.5</v>
      </c>
    </row>
    <row r="28" spans="1:30" x14ac:dyDescent="0.35">
      <c r="X28" s="23">
        <v>3</v>
      </c>
      <c r="AA28" s="23">
        <v>1.5</v>
      </c>
    </row>
    <row r="29" spans="1:30" x14ac:dyDescent="0.35">
      <c r="X29" s="23">
        <v>2</v>
      </c>
      <c r="AA29" s="23">
        <v>1.4</v>
      </c>
    </row>
    <row r="30" spans="1:30" x14ac:dyDescent="0.35">
      <c r="X30" s="30">
        <v>2</v>
      </c>
      <c r="AA30" s="23">
        <v>1.4</v>
      </c>
    </row>
    <row r="31" spans="1:30" x14ac:dyDescent="0.35">
      <c r="X31" s="23">
        <v>1.8</v>
      </c>
      <c r="AA31" s="23">
        <v>1.4</v>
      </c>
    </row>
    <row r="32" spans="1:30" x14ac:dyDescent="0.35">
      <c r="X32" s="23">
        <v>1.1000000000000001</v>
      </c>
      <c r="AA32" s="23">
        <v>1.4</v>
      </c>
    </row>
    <row r="33" spans="22:27" x14ac:dyDescent="0.35">
      <c r="X33" s="23">
        <v>1.0900000000000001</v>
      </c>
      <c r="AA33" s="23">
        <v>1.3</v>
      </c>
    </row>
    <row r="34" spans="22:27" x14ac:dyDescent="0.35">
      <c r="X34" s="30">
        <v>1.0900000000000001</v>
      </c>
      <c r="AA34" s="23">
        <v>1.3</v>
      </c>
    </row>
    <row r="35" spans="22:27" x14ac:dyDescent="0.35">
      <c r="X35" s="23">
        <v>1.0900000000000001</v>
      </c>
      <c r="AA35" s="23">
        <v>1.3</v>
      </c>
    </row>
    <row r="36" spans="22:27" x14ac:dyDescent="0.35">
      <c r="X36" s="23">
        <v>1.1000000000000001</v>
      </c>
      <c r="AA36" s="23">
        <v>1.3</v>
      </c>
    </row>
    <row r="37" spans="22:27" x14ac:dyDescent="0.35">
      <c r="X37" s="23">
        <v>1.1599999999999999</v>
      </c>
      <c r="AA37" s="23">
        <v>1.3</v>
      </c>
    </row>
    <row r="38" spans="22:27" x14ac:dyDescent="0.35">
      <c r="X38" s="23">
        <v>1.1399999999999999</v>
      </c>
      <c r="AA38" s="23">
        <v>1.3</v>
      </c>
    </row>
    <row r="39" spans="22:27" x14ac:dyDescent="0.35">
      <c r="X39" s="23">
        <v>1.1200000000000001</v>
      </c>
      <c r="AA39" s="23">
        <v>1.3</v>
      </c>
    </row>
    <row r="40" spans="22:27" x14ac:dyDescent="0.35">
      <c r="X40" s="23">
        <v>1.1000000000000001</v>
      </c>
      <c r="AA40" s="23">
        <v>1.3</v>
      </c>
    </row>
    <row r="41" spans="22:27" x14ac:dyDescent="0.35">
      <c r="X41" s="23">
        <v>1.0900000000000001</v>
      </c>
      <c r="AA41" s="23">
        <v>1.3</v>
      </c>
    </row>
    <row r="42" spans="22:27" x14ac:dyDescent="0.35">
      <c r="X42" s="23">
        <v>1.0900000000000001</v>
      </c>
      <c r="AA42" s="23">
        <v>1.3</v>
      </c>
    </row>
    <row r="43" spans="22:27" x14ac:dyDescent="0.35">
      <c r="X43" s="23">
        <v>1.0900000000000001</v>
      </c>
      <c r="AA43" s="23">
        <v>1.3</v>
      </c>
    </row>
    <row r="45" spans="22:27" x14ac:dyDescent="0.35">
      <c r="V45" s="20">
        <v>6</v>
      </c>
    </row>
    <row r="46" spans="22:27" x14ac:dyDescent="0.35">
      <c r="V46" s="20">
        <v>5</v>
      </c>
    </row>
    <row r="47" spans="22:27" x14ac:dyDescent="0.35">
      <c r="V47" s="20">
        <v>4</v>
      </c>
    </row>
    <row r="48" spans="22:27" x14ac:dyDescent="0.35">
      <c r="V48" s="20">
        <v>2</v>
      </c>
    </row>
    <row r="49" spans="22:22" x14ac:dyDescent="0.35">
      <c r="V49" s="20">
        <v>1.3</v>
      </c>
    </row>
    <row r="50" spans="22:22" x14ac:dyDescent="0.35">
      <c r="V50" s="20">
        <v>1.4</v>
      </c>
    </row>
    <row r="51" spans="22:22" x14ac:dyDescent="0.35">
      <c r="V51" s="20">
        <v>1.1000000000000001</v>
      </c>
    </row>
    <row r="52" spans="22:22" x14ac:dyDescent="0.35">
      <c r="V52" s="20">
        <v>1.1000000000000001</v>
      </c>
    </row>
    <row r="53" spans="22:22" x14ac:dyDescent="0.35">
      <c r="V53" s="20">
        <v>1.0900000000000001</v>
      </c>
    </row>
    <row r="54" spans="22:22" x14ac:dyDescent="0.35">
      <c r="V54" s="20">
        <v>1.0900000000000001</v>
      </c>
    </row>
    <row r="55" spans="22:22" x14ac:dyDescent="0.35">
      <c r="V55" s="20">
        <v>1.0900000000000001</v>
      </c>
    </row>
    <row r="56" spans="22:22" x14ac:dyDescent="0.35">
      <c r="V56" s="20">
        <v>1.1000000000000001</v>
      </c>
    </row>
    <row r="57" spans="22:22" x14ac:dyDescent="0.35">
      <c r="V57" s="20">
        <v>1.1599999999999999</v>
      </c>
    </row>
    <row r="58" spans="22:22" x14ac:dyDescent="0.35">
      <c r="V58" s="20">
        <v>1.1399999999999999</v>
      </c>
    </row>
    <row r="59" spans="22:22" x14ac:dyDescent="0.35">
      <c r="V59" s="20">
        <v>1.1200000000000001</v>
      </c>
    </row>
    <row r="60" spans="22:22" x14ac:dyDescent="0.35">
      <c r="V60" s="20">
        <v>1.1000000000000001</v>
      </c>
    </row>
    <row r="61" spans="22:22" x14ac:dyDescent="0.35">
      <c r="V61" s="20">
        <v>1.0900000000000001</v>
      </c>
    </row>
    <row r="62" spans="22:22" x14ac:dyDescent="0.35">
      <c r="V62" s="20">
        <v>1.05</v>
      </c>
    </row>
    <row r="63" spans="22:22" x14ac:dyDescent="0.35">
      <c r="V63" s="20">
        <v>1.1499999999999999</v>
      </c>
    </row>
    <row r="125" spans="48:48" x14ac:dyDescent="0.35">
      <c r="AV125" s="51" t="s">
        <v>257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zoomScale="115" zoomScaleNormal="115" workbookViewId="0">
      <selection activeCell="B21" sqref="B21"/>
    </sheetView>
  </sheetViews>
  <sheetFormatPr defaultRowHeight="16.5" x14ac:dyDescent="0.35"/>
  <cols>
    <col min="1" max="1" width="9.125" style="20" bestFit="1" customWidth="1"/>
    <col min="2" max="3" width="14.125" style="20" customWidth="1"/>
    <col min="4" max="4" width="10.75" style="20" bestFit="1" customWidth="1"/>
    <col min="5" max="5" width="10.75" style="20" customWidth="1"/>
    <col min="6" max="6" width="17.875" style="20" customWidth="1"/>
    <col min="7" max="7" width="13.5" style="20" customWidth="1"/>
    <col min="8" max="10" width="14.25" style="20" customWidth="1"/>
    <col min="11" max="12" width="18.75" style="20" customWidth="1"/>
    <col min="13" max="14" width="18.75" style="39" customWidth="1"/>
    <col min="15" max="15" width="14.5" style="20" customWidth="1"/>
    <col min="16" max="23" width="18.625" style="20" customWidth="1"/>
    <col min="24" max="24" width="11" style="20" customWidth="1"/>
    <col min="25" max="25" width="10.75" style="20" customWidth="1"/>
    <col min="26" max="16384" width="9" style="20"/>
  </cols>
  <sheetData>
    <row r="1" spans="1:30" x14ac:dyDescent="0.35">
      <c r="B1" s="50" t="s">
        <v>155</v>
      </c>
      <c r="C1" s="50" t="s">
        <v>256</v>
      </c>
      <c r="D1" s="20" t="s">
        <v>41</v>
      </c>
      <c r="E1" s="20" t="s">
        <v>144</v>
      </c>
      <c r="F1" s="20" t="s">
        <v>46</v>
      </c>
      <c r="G1" s="46" t="s">
        <v>154</v>
      </c>
      <c r="H1" s="46" t="s">
        <v>148</v>
      </c>
      <c r="I1" s="46" t="s">
        <v>157</v>
      </c>
      <c r="J1" s="46" t="s">
        <v>159</v>
      </c>
      <c r="K1" s="50" t="s">
        <v>146</v>
      </c>
      <c r="L1" s="48" t="s">
        <v>145</v>
      </c>
      <c r="M1" s="49" t="s">
        <v>156</v>
      </c>
      <c r="N1" s="49" t="s">
        <v>158</v>
      </c>
      <c r="O1" s="20" t="s">
        <v>42</v>
      </c>
      <c r="P1" s="20" t="s">
        <v>43</v>
      </c>
      <c r="Q1" s="50" t="s">
        <v>147</v>
      </c>
      <c r="R1" s="20" t="s">
        <v>47</v>
      </c>
      <c r="S1" s="47" t="s">
        <v>255</v>
      </c>
      <c r="T1" s="47" t="s">
        <v>254</v>
      </c>
      <c r="U1" s="47" t="s">
        <v>253</v>
      </c>
      <c r="V1" s="47" t="s">
        <v>49</v>
      </c>
      <c r="W1" s="20" t="s">
        <v>48</v>
      </c>
      <c r="X1" s="20" t="s">
        <v>44</v>
      </c>
      <c r="Y1" s="20" t="s">
        <v>45</v>
      </c>
      <c r="Z1" s="20" t="s">
        <v>138</v>
      </c>
      <c r="AA1" s="20" t="s">
        <v>143</v>
      </c>
      <c r="AB1" s="20" t="s">
        <v>139</v>
      </c>
      <c r="AC1" s="20" t="s">
        <v>141</v>
      </c>
      <c r="AD1" s="20" t="s">
        <v>140</v>
      </c>
    </row>
    <row r="2" spans="1:30" x14ac:dyDescent="0.35">
      <c r="A2" s="20">
        <v>1</v>
      </c>
      <c r="B2" s="20">
        <f>IF(D2&lt;100,ROUND(D2,1-LEN(ROUND(D2,0))),ROUND(D2,2-LEN(ROUND(D2,0))))</f>
        <v>100</v>
      </c>
      <c r="C2" s="20">
        <f>B2/5</f>
        <v>20</v>
      </c>
      <c r="D2" s="23">
        <v>100</v>
      </c>
      <c r="E2" s="21">
        <f>B2</f>
        <v>100</v>
      </c>
      <c r="F2" s="20">
        <v>0</v>
      </c>
      <c r="H2" s="20">
        <f>G2/((L2*4)/K2)</f>
        <v>0</v>
      </c>
      <c r="I2" s="20">
        <f>G2/((M2*3)/K2)</f>
        <v>0</v>
      </c>
      <c r="J2" s="20">
        <f>G2/((N2*2/K2))</f>
        <v>0</v>
      </c>
      <c r="K2" s="20">
        <f>IF(O2&lt;100,ROUND(O2,1-LEN(ROUND(O2,0))),ROUND(O2,2-LEN(ROUND(O2,0))))</f>
        <v>100</v>
      </c>
      <c r="L2" s="20">
        <f>K2*2.5/4</f>
        <v>62.5</v>
      </c>
      <c r="M2" s="21">
        <f>K2*2/3</f>
        <v>66.666666666666671</v>
      </c>
      <c r="N2" s="21">
        <f>K2*1.5/2</f>
        <v>75</v>
      </c>
      <c r="O2" s="24">
        <v>100</v>
      </c>
      <c r="Q2" s="20">
        <f>IF(R2&lt;100,ROUND(R2,1-LEN(ROUND(R2,0))),ROUND(R2,2-LEN(ROUND(R2,0))))</f>
        <v>500</v>
      </c>
      <c r="R2" s="23">
        <v>500</v>
      </c>
      <c r="S2" s="21">
        <f>(R2/4)/L2</f>
        <v>2</v>
      </c>
      <c r="T2" s="21">
        <f>(R2/3)/M2</f>
        <v>2.4999999999999996</v>
      </c>
      <c r="U2" s="21">
        <f t="shared" ref="U2:U21" si="0">(R2/2)/N2</f>
        <v>3.3333333333333335</v>
      </c>
      <c r="V2" s="21">
        <f t="shared" ref="V2:V21" si="1">Q2/K2</f>
        <v>5</v>
      </c>
      <c r="Z2" s="21">
        <f>K2</f>
        <v>100</v>
      </c>
      <c r="AA2" s="21">
        <f>Z2*2.5</f>
        <v>250</v>
      </c>
      <c r="AB2" s="20">
        <f t="shared" ref="AB2:AB21" si="2">B2</f>
        <v>100</v>
      </c>
      <c r="AC2" s="20">
        <f>AB2</f>
        <v>100</v>
      </c>
      <c r="AD2" s="20">
        <f>AB2/Z2</f>
        <v>1</v>
      </c>
    </row>
    <row r="3" spans="1:30" x14ac:dyDescent="0.35">
      <c r="A3" s="20">
        <v>2</v>
      </c>
      <c r="B3" s="20">
        <f t="shared" ref="B3:B21" si="3">IF(D3&lt;100,ROUND(D3,1-LEN(ROUND(D3,0))),ROUND(D3,2-LEN(ROUND(D3,0))))</f>
        <v>100</v>
      </c>
      <c r="C3" s="20">
        <f t="shared" ref="C3:C21" si="4">B3/5</f>
        <v>20</v>
      </c>
      <c r="D3" s="24">
        <v>100</v>
      </c>
      <c r="E3" s="21">
        <f t="shared" ref="E3:E21" si="5">B3+E2</f>
        <v>200</v>
      </c>
      <c r="F3" s="22">
        <v>0</v>
      </c>
      <c r="G3" s="22"/>
      <c r="H3" s="20">
        <f t="shared" ref="H3:H21" si="6">G3/((L3*4)/K3)</f>
        <v>0</v>
      </c>
      <c r="I3" s="20">
        <f t="shared" ref="I3:I21" si="7">G3/((M3*3)/K3)</f>
        <v>0</v>
      </c>
      <c r="J3" s="20">
        <f t="shared" ref="J3:J21" si="8">G3/((N3*2/K3))</f>
        <v>0</v>
      </c>
      <c r="K3" s="20">
        <f t="shared" ref="K3:K21" si="9">IF(O3&lt;100,ROUND(O3,1-LEN(ROUND(O3,0))),ROUND(O3,2-LEN(ROUND(O3,0))))</f>
        <v>200</v>
      </c>
      <c r="L3" s="20">
        <f t="shared" ref="L3:L21" si="10">K3*2.5/4</f>
        <v>125</v>
      </c>
      <c r="M3" s="21">
        <f t="shared" ref="M3:M21" si="11">K3*2/3</f>
        <v>133.33333333333334</v>
      </c>
      <c r="N3" s="21">
        <f t="shared" ref="N3:N21" si="12">K3*1.5/2</f>
        <v>150</v>
      </c>
      <c r="O3" s="21">
        <f t="shared" ref="O3:O21" si="13">O2*Y3</f>
        <v>200</v>
      </c>
      <c r="Q3" s="20">
        <f t="shared" ref="Q3:Q21" si="14">IF(R3&lt;100,ROUND(R3,1-LEN(ROUND(R3,0))),ROUND(R3,2-LEN(ROUND(R3,0))))</f>
        <v>1500</v>
      </c>
      <c r="R3" s="20">
        <f t="shared" ref="R3:R21" si="15">R2*W3</f>
        <v>1500</v>
      </c>
      <c r="S3" s="21">
        <f t="shared" ref="S3:S21" si="16">(R3/4)/L3</f>
        <v>3</v>
      </c>
      <c r="T3" s="21">
        <f t="shared" ref="T3:T21" si="17">(R3/3)/M3</f>
        <v>3.7499999999999996</v>
      </c>
      <c r="U3" s="21">
        <f t="shared" si="0"/>
        <v>5</v>
      </c>
      <c r="V3" s="21">
        <f t="shared" si="1"/>
        <v>7.5</v>
      </c>
      <c r="W3" s="23">
        <f>Y3+1</f>
        <v>3</v>
      </c>
      <c r="Y3" s="23">
        <v>2</v>
      </c>
      <c r="Z3" s="21">
        <f>K3-K2</f>
        <v>100</v>
      </c>
      <c r="AA3" s="21">
        <f t="shared" ref="AA3:AA21" si="18">Z3*2.5</f>
        <v>250</v>
      </c>
      <c r="AB3" s="20">
        <f t="shared" si="2"/>
        <v>100</v>
      </c>
      <c r="AC3" s="20">
        <f>AB3+AB2</f>
        <v>200</v>
      </c>
      <c r="AD3" s="20">
        <f t="shared" ref="AD3:AD21" si="19">AB3/Z3</f>
        <v>1</v>
      </c>
    </row>
    <row r="4" spans="1:30" x14ac:dyDescent="0.35">
      <c r="A4" s="20">
        <v>3</v>
      </c>
      <c r="B4" s="20">
        <f t="shared" si="3"/>
        <v>800</v>
      </c>
      <c r="C4" s="20">
        <f t="shared" si="4"/>
        <v>160</v>
      </c>
      <c r="D4" s="21">
        <f t="shared" ref="D4:D21" si="20">F4*O3</f>
        <v>800</v>
      </c>
      <c r="E4" s="21">
        <f t="shared" si="5"/>
        <v>1000</v>
      </c>
      <c r="F4" s="22">
        <f>P4</f>
        <v>4</v>
      </c>
      <c r="G4" s="22">
        <v>1</v>
      </c>
      <c r="H4" s="20">
        <f t="shared" si="6"/>
        <v>0.4</v>
      </c>
      <c r="I4" s="20">
        <f t="shared" si="7"/>
        <v>0.5</v>
      </c>
      <c r="J4" s="20">
        <f t="shared" si="8"/>
        <v>0.66666666666666663</v>
      </c>
      <c r="K4" s="20">
        <f t="shared" si="9"/>
        <v>800</v>
      </c>
      <c r="L4" s="20">
        <f t="shared" si="10"/>
        <v>500</v>
      </c>
      <c r="M4" s="21">
        <f t="shared" si="11"/>
        <v>533.33333333333337</v>
      </c>
      <c r="N4" s="21">
        <f t="shared" si="12"/>
        <v>600</v>
      </c>
      <c r="O4" s="21">
        <f t="shared" si="13"/>
        <v>800</v>
      </c>
      <c r="P4" s="23">
        <v>4</v>
      </c>
      <c r="Q4" s="20">
        <f t="shared" si="14"/>
        <v>7200</v>
      </c>
      <c r="R4" s="20">
        <f t="shared" si="15"/>
        <v>7200</v>
      </c>
      <c r="S4" s="21">
        <f t="shared" si="16"/>
        <v>3.6</v>
      </c>
      <c r="T4" s="21">
        <f t="shared" si="17"/>
        <v>4.5</v>
      </c>
      <c r="U4" s="21">
        <f t="shared" si="0"/>
        <v>6</v>
      </c>
      <c r="V4" s="21">
        <f t="shared" si="1"/>
        <v>9</v>
      </c>
      <c r="W4" s="23">
        <f>Y4+0.8</f>
        <v>4.8</v>
      </c>
      <c r="Y4" s="23">
        <v>4</v>
      </c>
      <c r="Z4" s="21">
        <f t="shared" ref="Z4:Z21" si="21">K4-K3</f>
        <v>600</v>
      </c>
      <c r="AA4" s="21">
        <f t="shared" si="18"/>
        <v>1500</v>
      </c>
      <c r="AB4" s="20">
        <f t="shared" si="2"/>
        <v>800</v>
      </c>
      <c r="AC4" s="20">
        <f t="shared" ref="AC4:AC21" si="22">AB4+AB3</f>
        <v>900</v>
      </c>
      <c r="AD4" s="20">
        <f t="shared" si="19"/>
        <v>1.3333333333333333</v>
      </c>
    </row>
    <row r="5" spans="1:30" x14ac:dyDescent="0.35">
      <c r="A5" s="20">
        <v>4</v>
      </c>
      <c r="B5" s="20">
        <f t="shared" si="3"/>
        <v>9600</v>
      </c>
      <c r="C5" s="20">
        <f t="shared" si="4"/>
        <v>1920</v>
      </c>
      <c r="D5" s="21">
        <f t="shared" si="20"/>
        <v>9600</v>
      </c>
      <c r="E5" s="21">
        <f t="shared" si="5"/>
        <v>10600</v>
      </c>
      <c r="F5" s="22">
        <f t="shared" ref="F5:F21" si="23">F4+P5</f>
        <v>12</v>
      </c>
      <c r="G5" s="22">
        <f>G4+F5</f>
        <v>13</v>
      </c>
      <c r="H5" s="20">
        <f t="shared" si="6"/>
        <v>5.2</v>
      </c>
      <c r="I5" s="20">
        <f t="shared" si="7"/>
        <v>6.5</v>
      </c>
      <c r="J5" s="20">
        <f t="shared" si="8"/>
        <v>8.6666666666666661</v>
      </c>
      <c r="K5" s="20">
        <f t="shared" si="9"/>
        <v>4000</v>
      </c>
      <c r="L5" s="20">
        <f t="shared" si="10"/>
        <v>2500</v>
      </c>
      <c r="M5" s="21">
        <f t="shared" si="11"/>
        <v>2666.6666666666665</v>
      </c>
      <c r="N5" s="21">
        <f t="shared" si="12"/>
        <v>3000</v>
      </c>
      <c r="O5" s="21">
        <f t="shared" si="13"/>
        <v>4000</v>
      </c>
      <c r="P5" s="23">
        <v>8</v>
      </c>
      <c r="Q5" s="20">
        <f t="shared" si="14"/>
        <v>39000</v>
      </c>
      <c r="R5" s="20">
        <f t="shared" si="15"/>
        <v>38880</v>
      </c>
      <c r="S5" s="21">
        <f t="shared" si="16"/>
        <v>3.8879999999999999</v>
      </c>
      <c r="T5" s="21">
        <f t="shared" si="17"/>
        <v>4.8600000000000003</v>
      </c>
      <c r="U5" s="21">
        <f t="shared" si="0"/>
        <v>6.48</v>
      </c>
      <c r="V5" s="21">
        <f t="shared" si="1"/>
        <v>9.75</v>
      </c>
      <c r="W5" s="23">
        <f t="shared" ref="W5:W6" si="24">Y5+0.4</f>
        <v>5.4</v>
      </c>
      <c r="X5" s="22">
        <f t="shared" ref="X5:X21" si="25">D5/D4</f>
        <v>12</v>
      </c>
      <c r="Y5" s="23">
        <v>5</v>
      </c>
      <c r="Z5" s="21">
        <f t="shared" si="21"/>
        <v>3200</v>
      </c>
      <c r="AA5" s="21">
        <f t="shared" si="18"/>
        <v>8000</v>
      </c>
      <c r="AB5" s="20">
        <f t="shared" si="2"/>
        <v>9600</v>
      </c>
      <c r="AC5" s="20">
        <f t="shared" si="22"/>
        <v>10400</v>
      </c>
      <c r="AD5" s="20">
        <f t="shared" si="19"/>
        <v>3</v>
      </c>
    </row>
    <row r="6" spans="1:30" x14ac:dyDescent="0.35">
      <c r="A6" s="20">
        <v>5</v>
      </c>
      <c r="B6" s="20">
        <f t="shared" si="3"/>
        <v>130000</v>
      </c>
      <c r="C6" s="20">
        <f t="shared" si="4"/>
        <v>26000</v>
      </c>
      <c r="D6" s="21">
        <f t="shared" si="20"/>
        <v>128000</v>
      </c>
      <c r="E6" s="21">
        <f t="shared" si="5"/>
        <v>140600</v>
      </c>
      <c r="F6" s="22">
        <f t="shared" si="23"/>
        <v>32</v>
      </c>
      <c r="G6" s="22">
        <f t="shared" ref="G6:G21" si="26">G5+F6</f>
        <v>45</v>
      </c>
      <c r="H6" s="20">
        <f t="shared" si="6"/>
        <v>18</v>
      </c>
      <c r="I6" s="20">
        <f t="shared" si="7"/>
        <v>22.5</v>
      </c>
      <c r="J6" s="20">
        <f t="shared" si="8"/>
        <v>30</v>
      </c>
      <c r="K6" s="20">
        <f t="shared" si="9"/>
        <v>24000</v>
      </c>
      <c r="L6" s="20">
        <f t="shared" si="10"/>
        <v>15000</v>
      </c>
      <c r="M6" s="21">
        <f t="shared" si="11"/>
        <v>16000</v>
      </c>
      <c r="N6" s="21">
        <f t="shared" si="12"/>
        <v>18000</v>
      </c>
      <c r="O6" s="21">
        <f t="shared" si="13"/>
        <v>24000</v>
      </c>
      <c r="P6" s="23">
        <v>20</v>
      </c>
      <c r="Q6" s="20">
        <f t="shared" si="14"/>
        <v>250000</v>
      </c>
      <c r="R6" s="20">
        <f t="shared" si="15"/>
        <v>248832</v>
      </c>
      <c r="S6" s="21">
        <f t="shared" si="16"/>
        <v>4.1471999999999998</v>
      </c>
      <c r="T6" s="21">
        <f t="shared" si="17"/>
        <v>5.1840000000000002</v>
      </c>
      <c r="U6" s="21">
        <f t="shared" si="0"/>
        <v>6.9119999999999999</v>
      </c>
      <c r="V6" s="21">
        <f t="shared" si="1"/>
        <v>10.416666666666666</v>
      </c>
      <c r="W6" s="23">
        <f t="shared" si="24"/>
        <v>6.4</v>
      </c>
      <c r="X6" s="22">
        <f t="shared" si="25"/>
        <v>13.333333333333334</v>
      </c>
      <c r="Y6" s="23">
        <v>6</v>
      </c>
      <c r="Z6" s="21">
        <f t="shared" si="21"/>
        <v>20000</v>
      </c>
      <c r="AA6" s="21">
        <f t="shared" si="18"/>
        <v>50000</v>
      </c>
      <c r="AB6" s="20">
        <f t="shared" si="2"/>
        <v>130000</v>
      </c>
      <c r="AC6" s="20">
        <f t="shared" si="22"/>
        <v>139600</v>
      </c>
      <c r="AD6" s="20">
        <f t="shared" si="19"/>
        <v>6.5</v>
      </c>
    </row>
    <row r="7" spans="1:30" s="30" customFormat="1" x14ac:dyDescent="0.35">
      <c r="A7" s="30">
        <v>6</v>
      </c>
      <c r="B7" s="30">
        <f t="shared" si="3"/>
        <v>1200000</v>
      </c>
      <c r="C7" s="30">
        <f t="shared" si="4"/>
        <v>240000</v>
      </c>
      <c r="D7" s="31">
        <f t="shared" si="20"/>
        <v>1248000</v>
      </c>
      <c r="E7" s="31">
        <f t="shared" si="5"/>
        <v>1340600</v>
      </c>
      <c r="F7" s="32">
        <f t="shared" si="23"/>
        <v>52</v>
      </c>
      <c r="G7" s="32">
        <f t="shared" si="26"/>
        <v>97</v>
      </c>
      <c r="H7" s="30">
        <f t="shared" si="6"/>
        <v>38.799999999999997</v>
      </c>
      <c r="I7" s="30">
        <f t="shared" si="7"/>
        <v>48.5</v>
      </c>
      <c r="J7" s="30">
        <f t="shared" si="8"/>
        <v>64.666666666666671</v>
      </c>
      <c r="K7" s="30">
        <f t="shared" si="9"/>
        <v>34000</v>
      </c>
      <c r="L7" s="30">
        <f t="shared" si="10"/>
        <v>21250</v>
      </c>
      <c r="M7" s="31">
        <f t="shared" si="11"/>
        <v>22666.666666666668</v>
      </c>
      <c r="N7" s="31">
        <f t="shared" si="12"/>
        <v>25500</v>
      </c>
      <c r="O7" s="31">
        <f t="shared" si="13"/>
        <v>33600</v>
      </c>
      <c r="P7" s="30">
        <v>20</v>
      </c>
      <c r="Q7" s="30">
        <f t="shared" si="14"/>
        <v>450000</v>
      </c>
      <c r="R7" s="30">
        <f t="shared" si="15"/>
        <v>447897.59999999998</v>
      </c>
      <c r="S7" s="31">
        <f t="shared" si="16"/>
        <v>5.2693835294117646</v>
      </c>
      <c r="T7" s="31">
        <f t="shared" si="17"/>
        <v>6.5867294117647051</v>
      </c>
      <c r="U7" s="31">
        <f t="shared" si="0"/>
        <v>8.7823058823529401</v>
      </c>
      <c r="V7" s="31">
        <f t="shared" si="1"/>
        <v>13.235294117647058</v>
      </c>
      <c r="W7" s="30">
        <f>Y7+0.4</f>
        <v>1.7999999999999998</v>
      </c>
      <c r="X7" s="32">
        <f t="shared" si="25"/>
        <v>9.75</v>
      </c>
      <c r="Y7" s="30">
        <v>1.4</v>
      </c>
      <c r="Z7" s="31">
        <f t="shared" si="21"/>
        <v>10000</v>
      </c>
      <c r="AA7" s="31">
        <f t="shared" si="18"/>
        <v>25000</v>
      </c>
      <c r="AB7" s="30">
        <f t="shared" si="2"/>
        <v>1200000</v>
      </c>
      <c r="AC7" s="30">
        <f t="shared" si="22"/>
        <v>1330000</v>
      </c>
      <c r="AD7" s="30">
        <f t="shared" si="19"/>
        <v>120</v>
      </c>
    </row>
    <row r="8" spans="1:30" x14ac:dyDescent="0.35">
      <c r="A8" s="20">
        <v>7</v>
      </c>
      <c r="B8" s="20">
        <f t="shared" si="3"/>
        <v>2700000</v>
      </c>
      <c r="C8" s="20">
        <f t="shared" si="4"/>
        <v>540000</v>
      </c>
      <c r="D8" s="21">
        <f t="shared" si="20"/>
        <v>2688000</v>
      </c>
      <c r="E8" s="21">
        <f t="shared" si="5"/>
        <v>4040600</v>
      </c>
      <c r="F8" s="22">
        <f t="shared" si="23"/>
        <v>80</v>
      </c>
      <c r="G8" s="22">
        <f t="shared" si="26"/>
        <v>177</v>
      </c>
      <c r="H8" s="20">
        <f t="shared" si="6"/>
        <v>70.8</v>
      </c>
      <c r="I8" s="20">
        <f t="shared" si="7"/>
        <v>88.5</v>
      </c>
      <c r="J8" s="20">
        <f t="shared" si="8"/>
        <v>118</v>
      </c>
      <c r="K8" s="20">
        <f t="shared" si="9"/>
        <v>47000</v>
      </c>
      <c r="L8" s="20">
        <f t="shared" si="10"/>
        <v>29375</v>
      </c>
      <c r="M8" s="21">
        <f t="shared" si="11"/>
        <v>31333.333333333332</v>
      </c>
      <c r="N8" s="21">
        <f t="shared" si="12"/>
        <v>35250</v>
      </c>
      <c r="O8" s="21">
        <f t="shared" si="13"/>
        <v>47040</v>
      </c>
      <c r="P8" s="23">
        <v>28</v>
      </c>
      <c r="Q8" s="20">
        <f t="shared" si="14"/>
        <v>810000</v>
      </c>
      <c r="R8" s="20">
        <f t="shared" si="15"/>
        <v>806215.67999999993</v>
      </c>
      <c r="S8" s="21">
        <f t="shared" si="16"/>
        <v>6.8614100425531905</v>
      </c>
      <c r="T8" s="21">
        <f t="shared" si="17"/>
        <v>8.5767625531914895</v>
      </c>
      <c r="U8" s="21">
        <f t="shared" si="0"/>
        <v>11.435683404255318</v>
      </c>
      <c r="V8" s="21">
        <f t="shared" si="1"/>
        <v>17.23404255319149</v>
      </c>
      <c r="W8" s="23">
        <f>Y8+0.4</f>
        <v>1.7999999999999998</v>
      </c>
      <c r="X8" s="22">
        <f t="shared" si="25"/>
        <v>2.1538461538461537</v>
      </c>
      <c r="Y8" s="23">
        <v>1.4</v>
      </c>
      <c r="Z8" s="21">
        <f t="shared" si="21"/>
        <v>13000</v>
      </c>
      <c r="AA8" s="21">
        <f t="shared" si="18"/>
        <v>32500</v>
      </c>
      <c r="AB8" s="20">
        <f t="shared" si="2"/>
        <v>2700000</v>
      </c>
      <c r="AC8" s="20">
        <f t="shared" si="22"/>
        <v>3900000</v>
      </c>
      <c r="AD8" s="20">
        <f t="shared" si="19"/>
        <v>207.69230769230768</v>
      </c>
    </row>
    <row r="9" spans="1:30" s="30" customFormat="1" x14ac:dyDescent="0.35">
      <c r="A9" s="30">
        <v>8</v>
      </c>
      <c r="B9" s="30">
        <f t="shared" si="3"/>
        <v>5000000</v>
      </c>
      <c r="C9" s="30">
        <f t="shared" si="4"/>
        <v>1000000</v>
      </c>
      <c r="D9" s="31">
        <f t="shared" si="20"/>
        <v>4986240</v>
      </c>
      <c r="E9" s="31">
        <f t="shared" si="5"/>
        <v>9040600</v>
      </c>
      <c r="F9" s="32">
        <f t="shared" si="23"/>
        <v>106</v>
      </c>
      <c r="G9" s="32">
        <f t="shared" si="26"/>
        <v>283</v>
      </c>
      <c r="H9" s="30">
        <f t="shared" si="6"/>
        <v>113.2</v>
      </c>
      <c r="I9" s="30">
        <f t="shared" si="7"/>
        <v>141.5</v>
      </c>
      <c r="J9" s="30">
        <f t="shared" si="8"/>
        <v>188.66666666666666</v>
      </c>
      <c r="K9" s="30">
        <f t="shared" si="9"/>
        <v>61000</v>
      </c>
      <c r="L9" s="30">
        <f t="shared" si="10"/>
        <v>38125</v>
      </c>
      <c r="M9" s="31">
        <f t="shared" si="11"/>
        <v>40666.666666666664</v>
      </c>
      <c r="N9" s="31">
        <f t="shared" si="12"/>
        <v>45750</v>
      </c>
      <c r="O9" s="31">
        <f t="shared" si="13"/>
        <v>61152</v>
      </c>
      <c r="P9" s="30">
        <v>26</v>
      </c>
      <c r="Q9" s="30">
        <f t="shared" si="14"/>
        <v>1400000</v>
      </c>
      <c r="R9" s="30">
        <f t="shared" si="15"/>
        <v>1370566.656</v>
      </c>
      <c r="S9" s="31">
        <f t="shared" si="16"/>
        <v>8.9873223344262296</v>
      </c>
      <c r="T9" s="31">
        <f t="shared" si="17"/>
        <v>11.234152918032787</v>
      </c>
      <c r="U9" s="31">
        <f t="shared" si="0"/>
        <v>14.978870557377048</v>
      </c>
      <c r="V9" s="31">
        <f t="shared" si="1"/>
        <v>22.950819672131146</v>
      </c>
      <c r="W9" s="30">
        <f>Y9+0.4</f>
        <v>1.7000000000000002</v>
      </c>
      <c r="X9" s="32">
        <f t="shared" si="25"/>
        <v>1.855</v>
      </c>
      <c r="Y9" s="30">
        <v>1.3</v>
      </c>
      <c r="Z9" s="31">
        <f t="shared" si="21"/>
        <v>14000</v>
      </c>
      <c r="AA9" s="31">
        <f t="shared" si="18"/>
        <v>35000</v>
      </c>
      <c r="AB9" s="30">
        <f t="shared" si="2"/>
        <v>5000000</v>
      </c>
      <c r="AC9" s="30">
        <f t="shared" si="22"/>
        <v>7700000</v>
      </c>
      <c r="AD9" s="30">
        <f t="shared" si="19"/>
        <v>357.14285714285717</v>
      </c>
    </row>
    <row r="10" spans="1:30" s="36" customFormat="1" x14ac:dyDescent="0.35">
      <c r="A10" s="36">
        <v>9</v>
      </c>
      <c r="B10" s="36">
        <f t="shared" si="3"/>
        <v>7900000</v>
      </c>
      <c r="C10" s="36">
        <f t="shared" si="4"/>
        <v>1580000</v>
      </c>
      <c r="D10" s="37">
        <f t="shared" si="20"/>
        <v>7949760</v>
      </c>
      <c r="E10" s="37">
        <f t="shared" si="5"/>
        <v>16940600</v>
      </c>
      <c r="F10" s="38">
        <f t="shared" si="23"/>
        <v>130</v>
      </c>
      <c r="G10" s="38">
        <f t="shared" si="26"/>
        <v>413</v>
      </c>
      <c r="H10" s="36">
        <f t="shared" si="6"/>
        <v>165.2</v>
      </c>
      <c r="I10" s="36">
        <f t="shared" si="7"/>
        <v>206.5</v>
      </c>
      <c r="J10" s="36">
        <f t="shared" si="8"/>
        <v>275.33333333333331</v>
      </c>
      <c r="K10" s="36">
        <f t="shared" si="9"/>
        <v>73000</v>
      </c>
      <c r="L10" s="36">
        <f t="shared" si="10"/>
        <v>45625</v>
      </c>
      <c r="M10" s="37">
        <f t="shared" si="11"/>
        <v>48666.666666666664</v>
      </c>
      <c r="N10" s="37">
        <f t="shared" si="12"/>
        <v>54750</v>
      </c>
      <c r="O10" s="37">
        <f t="shared" si="13"/>
        <v>73382.399999999994</v>
      </c>
      <c r="P10" s="36">
        <v>24</v>
      </c>
      <c r="Q10" s="36">
        <f t="shared" si="14"/>
        <v>2100000</v>
      </c>
      <c r="R10" s="36">
        <f t="shared" si="15"/>
        <v>2055849.9839999999</v>
      </c>
      <c r="S10" s="37">
        <f t="shared" si="16"/>
        <v>11.264931419178081</v>
      </c>
      <c r="T10" s="37">
        <f t="shared" si="17"/>
        <v>14.081164273972602</v>
      </c>
      <c r="U10" s="37">
        <f t="shared" si="0"/>
        <v>18.774885698630136</v>
      </c>
      <c r="V10" s="37">
        <f t="shared" si="1"/>
        <v>28.767123287671232</v>
      </c>
      <c r="W10" s="36">
        <f>Y10+0.3</f>
        <v>1.5</v>
      </c>
      <c r="X10" s="38">
        <f t="shared" si="25"/>
        <v>1.5943396226415094</v>
      </c>
      <c r="Y10" s="36">
        <v>1.2</v>
      </c>
      <c r="Z10" s="37">
        <f t="shared" si="21"/>
        <v>12000</v>
      </c>
      <c r="AA10" s="37">
        <f t="shared" si="18"/>
        <v>30000</v>
      </c>
      <c r="AB10" s="36">
        <f t="shared" si="2"/>
        <v>7900000</v>
      </c>
      <c r="AC10" s="36">
        <f t="shared" si="22"/>
        <v>12900000</v>
      </c>
      <c r="AD10" s="36">
        <f t="shared" si="19"/>
        <v>658.33333333333337</v>
      </c>
    </row>
    <row r="11" spans="1:30" x14ac:dyDescent="0.35">
      <c r="A11" s="20">
        <v>10</v>
      </c>
      <c r="B11" s="20">
        <f t="shared" si="3"/>
        <v>11000000</v>
      </c>
      <c r="C11" s="20">
        <f t="shared" si="4"/>
        <v>2200000</v>
      </c>
      <c r="D11" s="21">
        <f t="shared" si="20"/>
        <v>11154124.799999999</v>
      </c>
      <c r="E11" s="21">
        <f t="shared" si="5"/>
        <v>27940600</v>
      </c>
      <c r="F11" s="22">
        <f t="shared" si="23"/>
        <v>152</v>
      </c>
      <c r="G11" s="22">
        <f t="shared" si="26"/>
        <v>565</v>
      </c>
      <c r="H11" s="20">
        <f t="shared" si="6"/>
        <v>226</v>
      </c>
      <c r="I11" s="20">
        <f t="shared" si="7"/>
        <v>282.5</v>
      </c>
      <c r="J11" s="20">
        <f t="shared" si="8"/>
        <v>376.66666666666669</v>
      </c>
      <c r="K11" s="20">
        <f t="shared" si="9"/>
        <v>88000</v>
      </c>
      <c r="L11" s="20">
        <f t="shared" si="10"/>
        <v>55000</v>
      </c>
      <c r="M11" s="21">
        <f t="shared" si="11"/>
        <v>58666.666666666664</v>
      </c>
      <c r="N11" s="21">
        <f t="shared" si="12"/>
        <v>66000</v>
      </c>
      <c r="O11" s="21">
        <f t="shared" si="13"/>
        <v>88058.87999999999</v>
      </c>
      <c r="P11" s="23">
        <v>22</v>
      </c>
      <c r="Q11" s="20">
        <f t="shared" si="14"/>
        <v>3100000</v>
      </c>
      <c r="R11" s="20">
        <f t="shared" si="15"/>
        <v>3083774.9759999998</v>
      </c>
      <c r="S11" s="21">
        <f t="shared" si="16"/>
        <v>14.017158981818181</v>
      </c>
      <c r="T11" s="21">
        <f t="shared" si="17"/>
        <v>17.521448727272727</v>
      </c>
      <c r="U11" s="21">
        <f t="shared" si="0"/>
        <v>23.361931636363636</v>
      </c>
      <c r="V11" s="21">
        <f t="shared" si="1"/>
        <v>35.227272727272727</v>
      </c>
      <c r="W11" s="23">
        <f>Y11+0.3</f>
        <v>1.5</v>
      </c>
      <c r="X11" s="22">
        <f t="shared" si="25"/>
        <v>1.4030769230769229</v>
      </c>
      <c r="Y11" s="23">
        <v>1.2</v>
      </c>
      <c r="Z11" s="21">
        <f t="shared" si="21"/>
        <v>15000</v>
      </c>
      <c r="AA11" s="21">
        <f t="shared" si="18"/>
        <v>37500</v>
      </c>
      <c r="AB11" s="20">
        <f t="shared" si="2"/>
        <v>11000000</v>
      </c>
      <c r="AC11" s="20">
        <f t="shared" si="22"/>
        <v>18900000</v>
      </c>
      <c r="AD11" s="20">
        <f t="shared" si="19"/>
        <v>733.33333333333337</v>
      </c>
    </row>
    <row r="12" spans="1:30" x14ac:dyDescent="0.35">
      <c r="A12" s="20">
        <v>11</v>
      </c>
      <c r="B12" s="20">
        <f t="shared" si="3"/>
        <v>22000000</v>
      </c>
      <c r="C12" s="20">
        <f t="shared" si="4"/>
        <v>4400000</v>
      </c>
      <c r="D12" s="21">
        <f t="shared" si="20"/>
        <v>22190837.759999998</v>
      </c>
      <c r="E12" s="21">
        <f t="shared" si="5"/>
        <v>49940600</v>
      </c>
      <c r="F12" s="22">
        <f t="shared" si="23"/>
        <v>252</v>
      </c>
      <c r="G12" s="22">
        <f t="shared" si="26"/>
        <v>817</v>
      </c>
      <c r="H12" s="20">
        <f t="shared" si="6"/>
        <v>326.8</v>
      </c>
      <c r="I12" s="20">
        <f t="shared" si="7"/>
        <v>408.5</v>
      </c>
      <c r="J12" s="20">
        <f t="shared" si="8"/>
        <v>544.66666666666663</v>
      </c>
      <c r="K12" s="20">
        <f t="shared" si="9"/>
        <v>96000</v>
      </c>
      <c r="L12" s="20">
        <f t="shared" si="10"/>
        <v>60000</v>
      </c>
      <c r="M12" s="21">
        <f t="shared" si="11"/>
        <v>64000</v>
      </c>
      <c r="N12" s="21">
        <f t="shared" si="12"/>
        <v>72000</v>
      </c>
      <c r="O12" s="21">
        <f t="shared" si="13"/>
        <v>95984.179199999999</v>
      </c>
      <c r="P12" s="23">
        <v>100</v>
      </c>
      <c r="Q12" s="20">
        <f t="shared" si="14"/>
        <v>4000000</v>
      </c>
      <c r="R12" s="20">
        <f t="shared" si="15"/>
        <v>3978069.7190399999</v>
      </c>
      <c r="S12" s="21">
        <f t="shared" si="16"/>
        <v>16.575290496000001</v>
      </c>
      <c r="T12" s="21">
        <f t="shared" si="17"/>
        <v>20.719113119999999</v>
      </c>
      <c r="U12" s="21">
        <f t="shared" si="0"/>
        <v>27.625484159999999</v>
      </c>
      <c r="V12" s="21">
        <f t="shared" si="1"/>
        <v>41.666666666666664</v>
      </c>
      <c r="W12" s="23">
        <f>Y12+0.2</f>
        <v>1.29</v>
      </c>
      <c r="X12" s="22">
        <f t="shared" si="25"/>
        <v>1.9894736842105263</v>
      </c>
      <c r="Y12" s="23">
        <v>1.0900000000000001</v>
      </c>
      <c r="Z12" s="21">
        <f t="shared" si="21"/>
        <v>8000</v>
      </c>
      <c r="AA12" s="21">
        <f t="shared" si="18"/>
        <v>20000</v>
      </c>
      <c r="AB12" s="20">
        <f t="shared" si="2"/>
        <v>22000000</v>
      </c>
      <c r="AC12" s="20">
        <f t="shared" si="22"/>
        <v>33000000</v>
      </c>
      <c r="AD12" s="20">
        <f t="shared" si="19"/>
        <v>2750</v>
      </c>
    </row>
    <row r="13" spans="1:30" s="36" customFormat="1" x14ac:dyDescent="0.35">
      <c r="A13" s="36">
        <v>12</v>
      </c>
      <c r="B13" s="36">
        <f t="shared" si="3"/>
        <v>26000000</v>
      </c>
      <c r="C13" s="36">
        <f t="shared" si="4"/>
        <v>5200000</v>
      </c>
      <c r="D13" s="37">
        <f t="shared" si="20"/>
        <v>25915728.384</v>
      </c>
      <c r="E13" s="37">
        <f t="shared" si="5"/>
        <v>75940600</v>
      </c>
      <c r="F13" s="38">
        <f t="shared" si="23"/>
        <v>270</v>
      </c>
      <c r="G13" s="38">
        <f t="shared" si="26"/>
        <v>1087</v>
      </c>
      <c r="H13" s="36">
        <f t="shared" si="6"/>
        <v>434.8</v>
      </c>
      <c r="I13" s="36">
        <f t="shared" si="7"/>
        <v>543.5</v>
      </c>
      <c r="J13" s="36">
        <f t="shared" si="8"/>
        <v>724.66666666666663</v>
      </c>
      <c r="K13" s="36">
        <f t="shared" si="9"/>
        <v>120000</v>
      </c>
      <c r="L13" s="36">
        <f t="shared" si="10"/>
        <v>75000</v>
      </c>
      <c r="M13" s="37">
        <f t="shared" si="11"/>
        <v>80000</v>
      </c>
      <c r="N13" s="37">
        <f t="shared" si="12"/>
        <v>90000</v>
      </c>
      <c r="O13" s="37">
        <f t="shared" si="13"/>
        <v>115181.01504</v>
      </c>
      <c r="P13" s="36">
        <v>18</v>
      </c>
      <c r="Q13" s="36">
        <f t="shared" si="14"/>
        <v>5600000</v>
      </c>
      <c r="R13" s="36">
        <f t="shared" si="15"/>
        <v>5569297.6066559991</v>
      </c>
      <c r="S13" s="37">
        <f t="shared" si="16"/>
        <v>18.564325355519998</v>
      </c>
      <c r="T13" s="37">
        <f t="shared" si="17"/>
        <v>23.205406694399997</v>
      </c>
      <c r="U13" s="37">
        <f t="shared" si="0"/>
        <v>30.940542259199994</v>
      </c>
      <c r="V13" s="37">
        <f t="shared" si="1"/>
        <v>46.666666666666664</v>
      </c>
      <c r="W13" s="36">
        <f>Y13+0.2</f>
        <v>1.4</v>
      </c>
      <c r="X13" s="38">
        <f t="shared" si="25"/>
        <v>1.1678571428571429</v>
      </c>
      <c r="Y13" s="36">
        <v>1.2</v>
      </c>
      <c r="Z13" s="37">
        <f t="shared" si="21"/>
        <v>24000</v>
      </c>
      <c r="AA13" s="37">
        <f t="shared" si="18"/>
        <v>60000</v>
      </c>
      <c r="AB13" s="36">
        <f t="shared" si="2"/>
        <v>26000000</v>
      </c>
      <c r="AC13" s="36">
        <f t="shared" si="22"/>
        <v>48000000</v>
      </c>
      <c r="AD13" s="36">
        <f t="shared" si="19"/>
        <v>1083.3333333333333</v>
      </c>
    </row>
    <row r="14" spans="1:30" x14ac:dyDescent="0.35">
      <c r="A14" s="20">
        <v>13</v>
      </c>
      <c r="B14" s="20">
        <f t="shared" si="3"/>
        <v>43000000</v>
      </c>
      <c r="C14" s="20">
        <f t="shared" si="4"/>
        <v>8600000</v>
      </c>
      <c r="D14" s="21">
        <f t="shared" si="20"/>
        <v>42616975.564800002</v>
      </c>
      <c r="E14" s="21">
        <f t="shared" si="5"/>
        <v>118940600</v>
      </c>
      <c r="F14" s="22">
        <f t="shared" si="23"/>
        <v>370</v>
      </c>
      <c r="G14" s="22">
        <f t="shared" si="26"/>
        <v>1457</v>
      </c>
      <c r="H14" s="20">
        <f t="shared" si="6"/>
        <v>582.79999999999995</v>
      </c>
      <c r="I14" s="20">
        <f t="shared" si="7"/>
        <v>728.5</v>
      </c>
      <c r="J14" s="20">
        <f t="shared" si="8"/>
        <v>971.33333333333337</v>
      </c>
      <c r="K14" s="20">
        <f t="shared" si="9"/>
        <v>130000</v>
      </c>
      <c r="L14" s="20">
        <f t="shared" si="10"/>
        <v>81250</v>
      </c>
      <c r="M14" s="21">
        <f t="shared" si="11"/>
        <v>86666.666666666672</v>
      </c>
      <c r="N14" s="21">
        <f t="shared" si="12"/>
        <v>97500</v>
      </c>
      <c r="O14" s="21">
        <f t="shared" si="13"/>
        <v>126699.116544</v>
      </c>
      <c r="P14" s="23">
        <v>100</v>
      </c>
      <c r="Q14" s="20">
        <f t="shared" si="14"/>
        <v>7200000</v>
      </c>
      <c r="R14" s="20">
        <f t="shared" si="15"/>
        <v>7240086.8886527987</v>
      </c>
      <c r="S14" s="21">
        <f t="shared" si="16"/>
        <v>22.277190426623996</v>
      </c>
      <c r="T14" s="21">
        <f t="shared" si="17"/>
        <v>27.846488033279993</v>
      </c>
      <c r="U14" s="21">
        <f t="shared" si="0"/>
        <v>37.128650711039995</v>
      </c>
      <c r="V14" s="21">
        <f t="shared" si="1"/>
        <v>55.384615384615387</v>
      </c>
      <c r="W14" s="23">
        <f>Y14+0.2</f>
        <v>1.3</v>
      </c>
      <c r="X14" s="22">
        <f t="shared" si="25"/>
        <v>1.6444444444444446</v>
      </c>
      <c r="Y14" s="23">
        <v>1.1000000000000001</v>
      </c>
      <c r="Z14" s="21">
        <f t="shared" si="21"/>
        <v>10000</v>
      </c>
      <c r="AA14" s="21">
        <f t="shared" si="18"/>
        <v>25000</v>
      </c>
      <c r="AB14" s="20">
        <f t="shared" si="2"/>
        <v>43000000</v>
      </c>
      <c r="AC14" s="20">
        <f t="shared" si="22"/>
        <v>69000000</v>
      </c>
      <c r="AD14" s="20">
        <f t="shared" si="19"/>
        <v>4300</v>
      </c>
    </row>
    <row r="15" spans="1:30" s="33" customFormat="1" x14ac:dyDescent="0.35">
      <c r="A15" s="33">
        <v>14</v>
      </c>
      <c r="B15" s="33">
        <f t="shared" si="3"/>
        <v>66000000</v>
      </c>
      <c r="C15" s="33">
        <f t="shared" si="4"/>
        <v>13200000</v>
      </c>
      <c r="D15" s="34">
        <f t="shared" si="20"/>
        <v>65883540.602880001</v>
      </c>
      <c r="E15" s="34">
        <f t="shared" si="5"/>
        <v>184940600</v>
      </c>
      <c r="F15" s="35">
        <f t="shared" si="23"/>
        <v>520</v>
      </c>
      <c r="G15" s="35">
        <f t="shared" si="26"/>
        <v>1977</v>
      </c>
      <c r="H15" s="35">
        <f t="shared" si="6"/>
        <v>790.8</v>
      </c>
      <c r="I15" s="35">
        <f t="shared" si="7"/>
        <v>988.5</v>
      </c>
      <c r="J15" s="35">
        <f t="shared" si="8"/>
        <v>1318</v>
      </c>
      <c r="K15" s="33">
        <f t="shared" si="9"/>
        <v>150000</v>
      </c>
      <c r="L15" s="33">
        <f t="shared" si="10"/>
        <v>93750</v>
      </c>
      <c r="M15" s="34">
        <f t="shared" si="11"/>
        <v>100000</v>
      </c>
      <c r="N15" s="34">
        <f t="shared" si="12"/>
        <v>112500</v>
      </c>
      <c r="O15" s="34">
        <f t="shared" si="13"/>
        <v>152038.93985279999</v>
      </c>
      <c r="P15" s="33">
        <v>150</v>
      </c>
      <c r="Q15" s="33">
        <f t="shared" si="14"/>
        <v>9800000</v>
      </c>
      <c r="R15" s="33">
        <f t="shared" si="15"/>
        <v>9774117.2996812779</v>
      </c>
      <c r="S15" s="34">
        <f t="shared" si="16"/>
        <v>26.064312799150073</v>
      </c>
      <c r="T15" s="34">
        <f t="shared" si="17"/>
        <v>32.580390998937595</v>
      </c>
      <c r="U15" s="34">
        <f t="shared" si="0"/>
        <v>43.440521331916791</v>
      </c>
      <c r="V15" s="34">
        <f t="shared" si="1"/>
        <v>65.333333333333329</v>
      </c>
      <c r="W15" s="33">
        <f>Y15+0.15</f>
        <v>1.3499999999999999</v>
      </c>
      <c r="X15" s="35">
        <f t="shared" si="25"/>
        <v>1.5459459459459459</v>
      </c>
      <c r="Y15" s="33">
        <v>1.2</v>
      </c>
      <c r="Z15" s="34">
        <f t="shared" si="21"/>
        <v>20000</v>
      </c>
      <c r="AA15" s="34">
        <f t="shared" si="18"/>
        <v>50000</v>
      </c>
      <c r="AB15" s="33">
        <f t="shared" si="2"/>
        <v>66000000</v>
      </c>
      <c r="AC15" s="33">
        <f t="shared" si="22"/>
        <v>109000000</v>
      </c>
      <c r="AD15" s="33">
        <f t="shared" si="19"/>
        <v>3300</v>
      </c>
    </row>
    <row r="16" spans="1:30" x14ac:dyDescent="0.35">
      <c r="A16" s="20">
        <v>15</v>
      </c>
      <c r="B16" s="20">
        <f t="shared" si="3"/>
        <v>110000000</v>
      </c>
      <c r="C16" s="20">
        <f t="shared" si="4"/>
        <v>22000000</v>
      </c>
      <c r="D16" s="21">
        <f t="shared" si="20"/>
        <v>109468036.69401599</v>
      </c>
      <c r="E16" s="21">
        <f t="shared" si="5"/>
        <v>294940600</v>
      </c>
      <c r="F16" s="22">
        <f t="shared" si="23"/>
        <v>720</v>
      </c>
      <c r="G16" s="22">
        <f t="shared" si="26"/>
        <v>2697</v>
      </c>
      <c r="H16" s="20">
        <f t="shared" si="6"/>
        <v>1078.8</v>
      </c>
      <c r="I16" s="20">
        <f t="shared" si="7"/>
        <v>1348.5</v>
      </c>
      <c r="J16" s="20">
        <f t="shared" si="8"/>
        <v>1798</v>
      </c>
      <c r="K16" s="20">
        <f t="shared" si="9"/>
        <v>170000</v>
      </c>
      <c r="L16" s="20">
        <f t="shared" si="10"/>
        <v>106250</v>
      </c>
      <c r="M16" s="21">
        <f t="shared" si="11"/>
        <v>113333.33333333333</v>
      </c>
      <c r="N16" s="21">
        <f t="shared" si="12"/>
        <v>127500</v>
      </c>
      <c r="O16" s="21">
        <f t="shared" si="13"/>
        <v>173324.39143219197</v>
      </c>
      <c r="P16" s="23">
        <v>200</v>
      </c>
      <c r="Q16" s="20">
        <f t="shared" si="14"/>
        <v>12000000</v>
      </c>
      <c r="R16" s="20">
        <f t="shared" si="15"/>
        <v>12119905.451604785</v>
      </c>
      <c r="S16" s="21">
        <f t="shared" si="16"/>
        <v>28.51742459201126</v>
      </c>
      <c r="T16" s="21">
        <f t="shared" si="17"/>
        <v>35.646780740014073</v>
      </c>
      <c r="U16" s="21">
        <f t="shared" si="0"/>
        <v>47.52904098668543</v>
      </c>
      <c r="V16" s="21">
        <f t="shared" si="1"/>
        <v>70.588235294117652</v>
      </c>
      <c r="W16" s="23">
        <f t="shared" ref="W16:W21" si="27">Y16+0.1</f>
        <v>1.24</v>
      </c>
      <c r="X16" s="22">
        <f t="shared" si="25"/>
        <v>1.6615384615384614</v>
      </c>
      <c r="Y16" s="23">
        <v>1.1399999999999999</v>
      </c>
      <c r="Z16" s="21">
        <f t="shared" si="21"/>
        <v>20000</v>
      </c>
      <c r="AA16" s="21">
        <f t="shared" si="18"/>
        <v>50000</v>
      </c>
      <c r="AB16" s="20">
        <f t="shared" si="2"/>
        <v>110000000</v>
      </c>
      <c r="AC16" s="20">
        <f t="shared" si="22"/>
        <v>176000000</v>
      </c>
      <c r="AD16" s="20">
        <f t="shared" si="19"/>
        <v>5500</v>
      </c>
    </row>
    <row r="17" spans="1:30" x14ac:dyDescent="0.35">
      <c r="A17" s="20">
        <v>16</v>
      </c>
      <c r="B17" s="20">
        <f t="shared" si="3"/>
        <v>150000000</v>
      </c>
      <c r="C17" s="20">
        <f t="shared" si="4"/>
        <v>30000000</v>
      </c>
      <c r="D17" s="21">
        <f t="shared" si="20"/>
        <v>150792220.54600701</v>
      </c>
      <c r="E17" s="21">
        <f t="shared" si="5"/>
        <v>444940600</v>
      </c>
      <c r="F17" s="22">
        <f t="shared" si="23"/>
        <v>870</v>
      </c>
      <c r="G17" s="22">
        <f t="shared" si="26"/>
        <v>3567</v>
      </c>
      <c r="H17" s="20">
        <f t="shared" si="6"/>
        <v>1426.8</v>
      </c>
      <c r="I17" s="20">
        <f t="shared" si="7"/>
        <v>1783.5</v>
      </c>
      <c r="J17" s="20">
        <f t="shared" si="8"/>
        <v>2378</v>
      </c>
      <c r="K17" s="20">
        <f t="shared" si="9"/>
        <v>200000</v>
      </c>
      <c r="L17" s="20">
        <f t="shared" si="10"/>
        <v>125000</v>
      </c>
      <c r="M17" s="21">
        <f t="shared" si="11"/>
        <v>133333.33333333334</v>
      </c>
      <c r="N17" s="21">
        <f t="shared" si="12"/>
        <v>150000</v>
      </c>
      <c r="O17" s="21">
        <f t="shared" si="13"/>
        <v>199323.05014702075</v>
      </c>
      <c r="P17" s="23">
        <v>150</v>
      </c>
      <c r="Q17" s="20">
        <f t="shared" si="14"/>
        <v>15000000</v>
      </c>
      <c r="R17" s="20">
        <f t="shared" si="15"/>
        <v>15149881.814505981</v>
      </c>
      <c r="S17" s="21">
        <f t="shared" si="16"/>
        <v>30.299763629011963</v>
      </c>
      <c r="T17" s="21">
        <f t="shared" si="17"/>
        <v>37.87470453626495</v>
      </c>
      <c r="U17" s="21">
        <f t="shared" si="0"/>
        <v>50.499606048353272</v>
      </c>
      <c r="V17" s="21">
        <f t="shared" si="1"/>
        <v>75</v>
      </c>
      <c r="W17" s="23">
        <f t="shared" si="27"/>
        <v>1.25</v>
      </c>
      <c r="X17" s="22">
        <f t="shared" si="25"/>
        <v>1.3774999999999997</v>
      </c>
      <c r="Y17" s="23">
        <v>1.1499999999999999</v>
      </c>
      <c r="Z17" s="21">
        <f t="shared" si="21"/>
        <v>30000</v>
      </c>
      <c r="AA17" s="21">
        <f t="shared" si="18"/>
        <v>75000</v>
      </c>
      <c r="AB17" s="20">
        <f t="shared" si="2"/>
        <v>150000000</v>
      </c>
      <c r="AC17" s="20">
        <f t="shared" si="22"/>
        <v>260000000</v>
      </c>
      <c r="AD17" s="20">
        <f t="shared" si="19"/>
        <v>5000</v>
      </c>
    </row>
    <row r="18" spans="1:30" x14ac:dyDescent="0.35">
      <c r="A18" s="20">
        <v>17</v>
      </c>
      <c r="B18" s="20">
        <f t="shared" si="3"/>
        <v>230000000</v>
      </c>
      <c r="C18" s="20">
        <f t="shared" si="4"/>
        <v>46000000</v>
      </c>
      <c r="D18" s="21">
        <f t="shared" si="20"/>
        <v>233207968.67201427</v>
      </c>
      <c r="E18" s="21">
        <f t="shared" si="5"/>
        <v>674940600</v>
      </c>
      <c r="F18" s="22">
        <f t="shared" si="23"/>
        <v>1170</v>
      </c>
      <c r="G18" s="22">
        <f t="shared" si="26"/>
        <v>4737</v>
      </c>
      <c r="H18" s="20">
        <f t="shared" si="6"/>
        <v>1894.8</v>
      </c>
      <c r="I18" s="20">
        <f t="shared" si="7"/>
        <v>2368.5</v>
      </c>
      <c r="J18" s="20">
        <f t="shared" si="8"/>
        <v>3158</v>
      </c>
      <c r="K18" s="20">
        <f t="shared" si="9"/>
        <v>230000</v>
      </c>
      <c r="L18" s="20">
        <f t="shared" si="10"/>
        <v>143750</v>
      </c>
      <c r="M18" s="21">
        <f t="shared" si="11"/>
        <v>153333.33333333334</v>
      </c>
      <c r="N18" s="21">
        <f t="shared" si="12"/>
        <v>172500</v>
      </c>
      <c r="O18" s="21">
        <f t="shared" si="13"/>
        <v>229221.50766907385</v>
      </c>
      <c r="P18" s="23">
        <v>300</v>
      </c>
      <c r="Q18" s="20">
        <f t="shared" si="14"/>
        <v>19000000</v>
      </c>
      <c r="R18" s="20">
        <f t="shared" si="15"/>
        <v>18937352.268132478</v>
      </c>
      <c r="S18" s="21">
        <f t="shared" si="16"/>
        <v>32.934525683708657</v>
      </c>
      <c r="T18" s="21">
        <f t="shared" si="17"/>
        <v>41.168157104635824</v>
      </c>
      <c r="U18" s="21">
        <f t="shared" si="0"/>
        <v>54.890876139514432</v>
      </c>
      <c r="V18" s="21">
        <f t="shared" si="1"/>
        <v>82.608695652173907</v>
      </c>
      <c r="W18" s="23">
        <f t="shared" si="27"/>
        <v>1.25</v>
      </c>
      <c r="X18" s="22">
        <f t="shared" si="25"/>
        <v>1.546551724137931</v>
      </c>
      <c r="Y18" s="23">
        <v>1.1499999999999999</v>
      </c>
      <c r="Z18" s="21">
        <f t="shared" si="21"/>
        <v>30000</v>
      </c>
      <c r="AA18" s="21">
        <f t="shared" si="18"/>
        <v>75000</v>
      </c>
      <c r="AB18" s="20">
        <f t="shared" si="2"/>
        <v>230000000</v>
      </c>
      <c r="AC18" s="20">
        <f t="shared" si="22"/>
        <v>380000000</v>
      </c>
      <c r="AD18" s="20">
        <f t="shared" si="19"/>
        <v>7666.666666666667</v>
      </c>
    </row>
    <row r="19" spans="1:30" x14ac:dyDescent="0.35">
      <c r="A19" s="20">
        <v>18</v>
      </c>
      <c r="B19" s="20">
        <f t="shared" si="3"/>
        <v>350000000</v>
      </c>
      <c r="C19" s="20">
        <f t="shared" si="4"/>
        <v>70000000</v>
      </c>
      <c r="D19" s="21">
        <f t="shared" si="20"/>
        <v>348416691.65699226</v>
      </c>
      <c r="E19" s="21">
        <f t="shared" si="5"/>
        <v>1024940600</v>
      </c>
      <c r="F19" s="22">
        <f t="shared" si="23"/>
        <v>1520</v>
      </c>
      <c r="G19" s="22">
        <f t="shared" si="26"/>
        <v>6257</v>
      </c>
      <c r="H19" s="20">
        <f t="shared" si="6"/>
        <v>2502.8000000000002</v>
      </c>
      <c r="I19" s="20">
        <f t="shared" si="7"/>
        <v>3128.5</v>
      </c>
      <c r="J19" s="20">
        <f t="shared" si="8"/>
        <v>4171.333333333333</v>
      </c>
      <c r="K19" s="20">
        <f t="shared" si="9"/>
        <v>250000</v>
      </c>
      <c r="L19" s="20">
        <f t="shared" si="10"/>
        <v>156250</v>
      </c>
      <c r="M19" s="21">
        <f t="shared" si="11"/>
        <v>166666.66666666666</v>
      </c>
      <c r="N19" s="21">
        <f t="shared" si="12"/>
        <v>187500</v>
      </c>
      <c r="O19" s="21">
        <f t="shared" si="13"/>
        <v>252143.65843598126</v>
      </c>
      <c r="P19" s="23">
        <v>350</v>
      </c>
      <c r="Q19" s="20">
        <f t="shared" si="14"/>
        <v>23000000</v>
      </c>
      <c r="R19" s="20">
        <f t="shared" si="15"/>
        <v>22724822.721758977</v>
      </c>
      <c r="S19" s="21">
        <f t="shared" si="16"/>
        <v>36.35971635481436</v>
      </c>
      <c r="T19" s="21">
        <f t="shared" si="17"/>
        <v>45.449645443517959</v>
      </c>
      <c r="U19" s="21">
        <f t="shared" si="0"/>
        <v>60.59952725802394</v>
      </c>
      <c r="V19" s="21">
        <f t="shared" si="1"/>
        <v>92</v>
      </c>
      <c r="W19" s="23">
        <f t="shared" si="27"/>
        <v>1.2000000000000002</v>
      </c>
      <c r="X19" s="22">
        <f t="shared" si="25"/>
        <v>1.494017094017094</v>
      </c>
      <c r="Y19" s="23">
        <v>1.1000000000000001</v>
      </c>
      <c r="Z19" s="21">
        <f t="shared" si="21"/>
        <v>20000</v>
      </c>
      <c r="AA19" s="21">
        <f t="shared" si="18"/>
        <v>50000</v>
      </c>
      <c r="AB19" s="20">
        <f t="shared" si="2"/>
        <v>350000000</v>
      </c>
      <c r="AC19" s="20">
        <f t="shared" si="22"/>
        <v>580000000</v>
      </c>
      <c r="AD19" s="20">
        <f t="shared" si="19"/>
        <v>17500</v>
      </c>
    </row>
    <row r="20" spans="1:30" s="33" customFormat="1" x14ac:dyDescent="0.35">
      <c r="A20" s="33">
        <v>19</v>
      </c>
      <c r="B20" s="33">
        <f t="shared" si="3"/>
        <v>480000000</v>
      </c>
      <c r="C20" s="33">
        <f t="shared" si="4"/>
        <v>96000000</v>
      </c>
      <c r="D20" s="34">
        <f t="shared" si="20"/>
        <v>484115824.19708401</v>
      </c>
      <c r="E20" s="34">
        <f t="shared" si="5"/>
        <v>1504940600</v>
      </c>
      <c r="F20" s="35">
        <f t="shared" si="23"/>
        <v>1920</v>
      </c>
      <c r="G20" s="35">
        <f t="shared" si="26"/>
        <v>8177</v>
      </c>
      <c r="H20" s="35">
        <f t="shared" si="6"/>
        <v>3270.8</v>
      </c>
      <c r="I20" s="35">
        <f t="shared" si="7"/>
        <v>4088.5</v>
      </c>
      <c r="J20" s="35">
        <f t="shared" si="8"/>
        <v>5451.333333333333</v>
      </c>
      <c r="K20" s="33">
        <f t="shared" si="9"/>
        <v>300000</v>
      </c>
      <c r="L20" s="33">
        <f t="shared" si="10"/>
        <v>187500</v>
      </c>
      <c r="M20" s="34">
        <f t="shared" si="11"/>
        <v>200000</v>
      </c>
      <c r="N20" s="34">
        <f t="shared" si="12"/>
        <v>225000</v>
      </c>
      <c r="O20" s="34">
        <f t="shared" si="13"/>
        <v>302572.39012317749</v>
      </c>
      <c r="P20" s="33">
        <v>400</v>
      </c>
      <c r="Q20" s="33">
        <f t="shared" si="14"/>
        <v>30000000</v>
      </c>
      <c r="R20" s="33">
        <f t="shared" si="15"/>
        <v>29542269.538286671</v>
      </c>
      <c r="S20" s="34">
        <f t="shared" si="16"/>
        <v>39.389692717715562</v>
      </c>
      <c r="T20" s="34">
        <f t="shared" si="17"/>
        <v>49.237115897144449</v>
      </c>
      <c r="U20" s="34">
        <f t="shared" si="0"/>
        <v>65.649487862859274</v>
      </c>
      <c r="V20" s="34">
        <f t="shared" si="1"/>
        <v>100</v>
      </c>
      <c r="W20" s="33">
        <f t="shared" si="27"/>
        <v>1.3</v>
      </c>
      <c r="X20" s="35">
        <f t="shared" si="25"/>
        <v>1.3894736842105264</v>
      </c>
      <c r="Y20" s="33">
        <v>1.2</v>
      </c>
      <c r="Z20" s="34">
        <f t="shared" si="21"/>
        <v>50000</v>
      </c>
      <c r="AA20" s="34">
        <f t="shared" si="18"/>
        <v>125000</v>
      </c>
      <c r="AB20" s="33">
        <f t="shared" si="2"/>
        <v>480000000</v>
      </c>
      <c r="AC20" s="33">
        <f t="shared" si="22"/>
        <v>830000000</v>
      </c>
      <c r="AD20" s="33">
        <f t="shared" si="19"/>
        <v>9600</v>
      </c>
    </row>
    <row r="21" spans="1:30" x14ac:dyDescent="0.35">
      <c r="A21" s="20">
        <v>20</v>
      </c>
      <c r="B21" s="20">
        <f t="shared" si="3"/>
        <v>760000000</v>
      </c>
      <c r="C21" s="20">
        <f t="shared" si="4"/>
        <v>152000000</v>
      </c>
      <c r="D21" s="21">
        <f t="shared" si="20"/>
        <v>762482423.11040723</v>
      </c>
      <c r="E21" s="21">
        <f t="shared" si="5"/>
        <v>2264940600</v>
      </c>
      <c r="F21" s="22">
        <f t="shared" si="23"/>
        <v>2520</v>
      </c>
      <c r="G21" s="22">
        <f t="shared" si="26"/>
        <v>10697</v>
      </c>
      <c r="H21" s="20">
        <f t="shared" si="6"/>
        <v>4278.8</v>
      </c>
      <c r="I21" s="20">
        <f t="shared" si="7"/>
        <v>5348.5</v>
      </c>
      <c r="J21" s="20">
        <f t="shared" si="8"/>
        <v>7131.333333333333</v>
      </c>
      <c r="K21" s="20">
        <f t="shared" si="9"/>
        <v>350000</v>
      </c>
      <c r="L21" s="20">
        <f t="shared" si="10"/>
        <v>218750</v>
      </c>
      <c r="M21" s="21">
        <f t="shared" si="11"/>
        <v>233333.33333333334</v>
      </c>
      <c r="N21" s="21">
        <f t="shared" si="12"/>
        <v>262500</v>
      </c>
      <c r="O21" s="21">
        <f t="shared" si="13"/>
        <v>347958.24864165409</v>
      </c>
      <c r="P21" s="23">
        <v>600</v>
      </c>
      <c r="Q21" s="20">
        <f t="shared" si="14"/>
        <v>37000000</v>
      </c>
      <c r="R21" s="20">
        <f t="shared" si="15"/>
        <v>36927836.922858343</v>
      </c>
      <c r="S21" s="21">
        <f t="shared" si="16"/>
        <v>42.203242197552392</v>
      </c>
      <c r="T21" s="21">
        <f t="shared" si="17"/>
        <v>52.754052746940488</v>
      </c>
      <c r="U21" s="21">
        <f t="shared" si="0"/>
        <v>70.338736995920655</v>
      </c>
      <c r="V21" s="21">
        <f t="shared" si="1"/>
        <v>105.71428571428571</v>
      </c>
      <c r="W21" s="23">
        <f t="shared" si="27"/>
        <v>1.25</v>
      </c>
      <c r="X21" s="22">
        <f t="shared" si="25"/>
        <v>1.5749999999999997</v>
      </c>
      <c r="Y21" s="23">
        <v>1.1499999999999999</v>
      </c>
      <c r="Z21" s="21">
        <f t="shared" si="21"/>
        <v>50000</v>
      </c>
      <c r="AA21" s="21">
        <f t="shared" si="18"/>
        <v>125000</v>
      </c>
      <c r="AB21" s="20">
        <f t="shared" si="2"/>
        <v>760000000</v>
      </c>
      <c r="AC21" s="20">
        <f t="shared" si="22"/>
        <v>1240000000</v>
      </c>
      <c r="AD21" s="20">
        <f t="shared" si="19"/>
        <v>15200</v>
      </c>
    </row>
    <row r="25" spans="1:30" x14ac:dyDescent="0.35">
      <c r="X25" s="23">
        <v>6</v>
      </c>
      <c r="AA25" s="23">
        <v>1.5</v>
      </c>
    </row>
    <row r="26" spans="1:30" x14ac:dyDescent="0.35">
      <c r="X26" s="23">
        <v>5</v>
      </c>
      <c r="AA26" s="23">
        <v>1.5</v>
      </c>
    </row>
    <row r="27" spans="1:30" x14ac:dyDescent="0.35">
      <c r="X27" s="23">
        <v>4</v>
      </c>
      <c r="AA27" s="23">
        <v>1.5</v>
      </c>
    </row>
    <row r="28" spans="1:30" x14ac:dyDescent="0.35">
      <c r="X28" s="23">
        <v>3</v>
      </c>
      <c r="AA28" s="23">
        <v>1.5</v>
      </c>
    </row>
    <row r="29" spans="1:30" x14ac:dyDescent="0.35">
      <c r="X29" s="23">
        <v>2</v>
      </c>
      <c r="AA29" s="23">
        <v>1.4</v>
      </c>
    </row>
    <row r="30" spans="1:30" x14ac:dyDescent="0.35">
      <c r="X30" s="30">
        <v>2</v>
      </c>
      <c r="AA30" s="23">
        <v>1.4</v>
      </c>
    </row>
    <row r="31" spans="1:30" x14ac:dyDescent="0.35">
      <c r="X31" s="23">
        <v>1.8</v>
      </c>
      <c r="AA31" s="23">
        <v>1.4</v>
      </c>
    </row>
    <row r="32" spans="1:30" x14ac:dyDescent="0.35">
      <c r="X32" s="23">
        <v>1.1000000000000001</v>
      </c>
      <c r="AA32" s="23">
        <v>1.4</v>
      </c>
    </row>
    <row r="33" spans="22:27" x14ac:dyDescent="0.35">
      <c r="X33" s="23">
        <v>1.0900000000000001</v>
      </c>
      <c r="AA33" s="23">
        <v>1.3</v>
      </c>
    </row>
    <row r="34" spans="22:27" x14ac:dyDescent="0.35">
      <c r="X34" s="30">
        <v>1.0900000000000001</v>
      </c>
      <c r="AA34" s="23">
        <v>1.3</v>
      </c>
    </row>
    <row r="35" spans="22:27" x14ac:dyDescent="0.35">
      <c r="X35" s="23">
        <v>1.0900000000000001</v>
      </c>
      <c r="AA35" s="23">
        <v>1.3</v>
      </c>
    </row>
    <row r="36" spans="22:27" x14ac:dyDescent="0.35">
      <c r="X36" s="23">
        <v>1.1000000000000001</v>
      </c>
      <c r="AA36" s="23">
        <v>1.3</v>
      </c>
    </row>
    <row r="37" spans="22:27" x14ac:dyDescent="0.35">
      <c r="X37" s="23">
        <v>1.1599999999999999</v>
      </c>
      <c r="AA37" s="23">
        <v>1.3</v>
      </c>
    </row>
    <row r="38" spans="22:27" x14ac:dyDescent="0.35">
      <c r="X38" s="23">
        <v>1.1399999999999999</v>
      </c>
      <c r="AA38" s="23">
        <v>1.3</v>
      </c>
    </row>
    <row r="39" spans="22:27" x14ac:dyDescent="0.35">
      <c r="X39" s="23">
        <v>1.1200000000000001</v>
      </c>
      <c r="AA39" s="23">
        <v>1.3</v>
      </c>
    </row>
    <row r="40" spans="22:27" x14ac:dyDescent="0.35">
      <c r="X40" s="23">
        <v>1.1000000000000001</v>
      </c>
      <c r="AA40" s="23">
        <v>1.3</v>
      </c>
    </row>
    <row r="41" spans="22:27" x14ac:dyDescent="0.35">
      <c r="X41" s="23">
        <v>1.0900000000000001</v>
      </c>
      <c r="AA41" s="23">
        <v>1.3</v>
      </c>
    </row>
    <row r="42" spans="22:27" x14ac:dyDescent="0.35">
      <c r="X42" s="23">
        <v>1.0900000000000001</v>
      </c>
      <c r="AA42" s="23">
        <v>1.3</v>
      </c>
    </row>
    <row r="43" spans="22:27" x14ac:dyDescent="0.35">
      <c r="X43" s="23">
        <v>1.0900000000000001</v>
      </c>
      <c r="AA43" s="23">
        <v>1.3</v>
      </c>
    </row>
    <row r="45" spans="22:27" x14ac:dyDescent="0.35">
      <c r="V45" s="20">
        <v>6</v>
      </c>
    </row>
    <row r="46" spans="22:27" x14ac:dyDescent="0.35">
      <c r="V46" s="20">
        <v>5</v>
      </c>
    </row>
    <row r="47" spans="22:27" x14ac:dyDescent="0.35">
      <c r="V47" s="20">
        <v>4</v>
      </c>
    </row>
    <row r="48" spans="22:27" x14ac:dyDescent="0.35">
      <c r="V48" s="20">
        <v>2</v>
      </c>
    </row>
    <row r="49" spans="22:22" x14ac:dyDescent="0.35">
      <c r="V49" s="20">
        <v>1.3</v>
      </c>
    </row>
    <row r="50" spans="22:22" x14ac:dyDescent="0.35">
      <c r="V50" s="20">
        <v>1.4</v>
      </c>
    </row>
    <row r="51" spans="22:22" x14ac:dyDescent="0.35">
      <c r="V51" s="20">
        <v>1.1000000000000001</v>
      </c>
    </row>
    <row r="52" spans="22:22" x14ac:dyDescent="0.35">
      <c r="V52" s="20">
        <v>1.1000000000000001</v>
      </c>
    </row>
    <row r="53" spans="22:22" x14ac:dyDescent="0.35">
      <c r="V53" s="20">
        <v>1.0900000000000001</v>
      </c>
    </row>
    <row r="54" spans="22:22" x14ac:dyDescent="0.35">
      <c r="V54" s="20">
        <v>1.0900000000000001</v>
      </c>
    </row>
    <row r="55" spans="22:22" x14ac:dyDescent="0.35">
      <c r="V55" s="20">
        <v>1.0900000000000001</v>
      </c>
    </row>
    <row r="56" spans="22:22" x14ac:dyDescent="0.35">
      <c r="V56" s="20">
        <v>1.1000000000000001</v>
      </c>
    </row>
    <row r="57" spans="22:22" x14ac:dyDescent="0.35">
      <c r="V57" s="20">
        <v>1.1599999999999999</v>
      </c>
    </row>
    <row r="58" spans="22:22" x14ac:dyDescent="0.35">
      <c r="V58" s="20">
        <v>1.1399999999999999</v>
      </c>
    </row>
    <row r="59" spans="22:22" x14ac:dyDescent="0.35">
      <c r="V59" s="20">
        <v>1.1200000000000001</v>
      </c>
    </row>
    <row r="60" spans="22:22" x14ac:dyDescent="0.35">
      <c r="V60" s="20">
        <v>1.1000000000000001</v>
      </c>
    </row>
    <row r="61" spans="22:22" x14ac:dyDescent="0.35">
      <c r="V61" s="20">
        <v>1.0900000000000001</v>
      </c>
    </row>
    <row r="62" spans="22:22" x14ac:dyDescent="0.35">
      <c r="V62" s="20">
        <v>1.05</v>
      </c>
    </row>
    <row r="63" spans="22:22" x14ac:dyDescent="0.35">
      <c r="V63" s="20">
        <v>1.1499999999999999</v>
      </c>
    </row>
    <row r="125" spans="48:48" x14ac:dyDescent="0.35">
      <c r="AV125" s="51" t="s">
        <v>257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topLeftCell="O1" zoomScale="115" zoomScaleNormal="115" workbookViewId="0">
      <selection activeCell="J2" sqref="J2:J21"/>
    </sheetView>
  </sheetViews>
  <sheetFormatPr defaultRowHeight="16.5" x14ac:dyDescent="0.35"/>
  <cols>
    <col min="1" max="1" width="9.125" style="20" bestFit="1" customWidth="1"/>
    <col min="2" max="2" width="14.125" style="20" customWidth="1"/>
    <col min="3" max="3" width="10.75" style="20" bestFit="1" customWidth="1"/>
    <col min="4" max="4" width="10.75" style="20" customWidth="1"/>
    <col min="5" max="5" width="17.875" style="20" customWidth="1"/>
    <col min="6" max="6" width="13.5" style="20" customWidth="1"/>
    <col min="7" max="9" width="14.25" style="20" customWidth="1"/>
    <col min="10" max="11" width="18.75" style="20" customWidth="1"/>
    <col min="12" max="13" width="18.75" style="39" customWidth="1"/>
    <col min="14" max="14" width="14.5" style="20" customWidth="1"/>
    <col min="15" max="20" width="18.625" style="20" customWidth="1"/>
    <col min="21" max="21" width="11" style="20" customWidth="1"/>
    <col min="22" max="22" width="10.75" style="20" customWidth="1"/>
    <col min="23" max="16384" width="9" style="20"/>
  </cols>
  <sheetData>
    <row r="1" spans="1:27" x14ac:dyDescent="0.35">
      <c r="B1" s="20" t="s">
        <v>155</v>
      </c>
      <c r="C1" s="20" t="s">
        <v>41</v>
      </c>
      <c r="D1" s="20" t="s">
        <v>144</v>
      </c>
      <c r="E1" s="20" t="s">
        <v>46</v>
      </c>
      <c r="F1" s="20" t="s">
        <v>154</v>
      </c>
      <c r="G1" s="20" t="s">
        <v>148</v>
      </c>
      <c r="H1" s="20" t="s">
        <v>157</v>
      </c>
      <c r="I1" s="20" t="s">
        <v>159</v>
      </c>
      <c r="J1" s="20" t="s">
        <v>146</v>
      </c>
      <c r="K1" s="20" t="s">
        <v>145</v>
      </c>
      <c r="L1" s="39" t="s">
        <v>156</v>
      </c>
      <c r="M1" s="39" t="s">
        <v>158</v>
      </c>
      <c r="N1" s="20" t="s">
        <v>42</v>
      </c>
      <c r="O1" s="20" t="s">
        <v>43</v>
      </c>
      <c r="P1" s="20" t="s">
        <v>147</v>
      </c>
      <c r="Q1" s="20" t="s">
        <v>47</v>
      </c>
      <c r="R1" s="20" t="s">
        <v>50</v>
      </c>
      <c r="S1" s="20" t="s">
        <v>49</v>
      </c>
      <c r="T1" s="20" t="s">
        <v>48</v>
      </c>
      <c r="U1" s="20" t="s">
        <v>44</v>
      </c>
      <c r="V1" s="20" t="s">
        <v>45</v>
      </c>
      <c r="W1" s="20" t="s">
        <v>138</v>
      </c>
      <c r="X1" s="20" t="s">
        <v>143</v>
      </c>
      <c r="Y1" s="20" t="s">
        <v>139</v>
      </c>
      <c r="Z1" s="20" t="s">
        <v>141</v>
      </c>
      <c r="AA1" s="20" t="s">
        <v>140</v>
      </c>
    </row>
    <row r="2" spans="1:27" x14ac:dyDescent="0.35">
      <c r="A2" s="20">
        <v>1</v>
      </c>
      <c r="B2" s="20">
        <f>IF(C2&lt;100,ROUND(C2,1-LEN(ROUND(C2,0))),ROUND(C2,2-LEN(ROUND(C2,0))))</f>
        <v>100</v>
      </c>
      <c r="C2" s="23">
        <v>100</v>
      </c>
      <c r="D2" s="21">
        <f>B2</f>
        <v>100</v>
      </c>
      <c r="E2" s="20">
        <v>0</v>
      </c>
      <c r="G2" s="20">
        <f>F2/((K2*4)/J2)</f>
        <v>0</v>
      </c>
      <c r="H2" s="20">
        <f>F2/((L2*3)/J2)</f>
        <v>0</v>
      </c>
      <c r="I2" s="20">
        <f>F2/((M2*2/J2))</f>
        <v>0</v>
      </c>
      <c r="J2" s="20">
        <f>IF(N2&lt;100,ROUND(N2,1-LEN(ROUND(N2,0))),ROUND(N2,2-LEN(ROUND(N2,0))))</f>
        <v>100</v>
      </c>
      <c r="K2" s="20">
        <f>J2*2.5/4</f>
        <v>62.5</v>
      </c>
      <c r="L2" s="21">
        <f>J2*2/3</f>
        <v>66.666666666666671</v>
      </c>
      <c r="M2" s="21">
        <f>J2*1.5/2</f>
        <v>75</v>
      </c>
      <c r="N2" s="24">
        <v>100</v>
      </c>
      <c r="P2" s="20">
        <f>IF(Q2&lt;100,ROUND(Q2,1-LEN(ROUND(Q2,0))),ROUND(Q2,2-LEN(ROUND(Q2,0))))</f>
        <v>500</v>
      </c>
      <c r="Q2" s="23">
        <v>500</v>
      </c>
      <c r="S2" s="21">
        <f t="shared" ref="S2:S21" si="0">P2/J2</f>
        <v>5</v>
      </c>
      <c r="W2" s="21">
        <f>N2</f>
        <v>100</v>
      </c>
      <c r="X2" s="21">
        <f>W2*4</f>
        <v>400</v>
      </c>
      <c r="Y2" s="20">
        <f t="shared" ref="Y2:Y21" si="1">B2</f>
        <v>100</v>
      </c>
      <c r="Z2" s="20">
        <f>Y2</f>
        <v>100</v>
      </c>
      <c r="AA2" s="20">
        <f>Y2/W2</f>
        <v>1</v>
      </c>
    </row>
    <row r="3" spans="1:27" x14ac:dyDescent="0.35">
      <c r="A3" s="20">
        <v>2</v>
      </c>
      <c r="B3" s="20">
        <f t="shared" ref="B3:B21" si="2">IF(C3&lt;100,ROUND(C3,1-LEN(ROUND(C3,0))),ROUND(C3,2-LEN(ROUND(C3,0))))</f>
        <v>100</v>
      </c>
      <c r="C3" s="24">
        <v>100</v>
      </c>
      <c r="D3" s="21">
        <f>B3+D2</f>
        <v>200</v>
      </c>
      <c r="E3" s="22">
        <v>0</v>
      </c>
      <c r="F3" s="22"/>
      <c r="G3" s="20">
        <f t="shared" ref="G3:G21" si="3">F3/((K3*4)/J3)</f>
        <v>0</v>
      </c>
      <c r="H3" s="20">
        <f t="shared" ref="H3:H21" si="4">F3/((L3*3)/J3)</f>
        <v>0</v>
      </c>
      <c r="I3" s="20">
        <f t="shared" ref="I3:I21" si="5">F3/((M3*2/J3))</f>
        <v>0</v>
      </c>
      <c r="J3" s="20">
        <f t="shared" ref="J3:J21" si="6">IF(N3&lt;100,ROUND(N3,1-LEN(ROUND(N3,0))),ROUND(N3,2-LEN(ROUND(N3,0))))</f>
        <v>600</v>
      </c>
      <c r="K3" s="20">
        <f t="shared" ref="K3:K21" si="7">J3*2.5/4</f>
        <v>375</v>
      </c>
      <c r="L3" s="21">
        <f t="shared" ref="L3:L21" si="8">J3*2/3</f>
        <v>400</v>
      </c>
      <c r="M3" s="21">
        <f t="shared" ref="M3:M21" si="9">J3*1.5/2</f>
        <v>450</v>
      </c>
      <c r="N3" s="21">
        <f t="shared" ref="N3:N21" si="10">N2*V3</f>
        <v>600</v>
      </c>
      <c r="P3" s="20">
        <f t="shared" ref="P3:P21" si="11">IF(Q3&lt;100,ROUND(Q3,1-LEN(ROUND(Q3,0))),ROUND(Q3,2-LEN(ROUND(Q3,0))))</f>
        <v>3100</v>
      </c>
      <c r="Q3" s="20">
        <f>Q2*T3</f>
        <v>3100</v>
      </c>
      <c r="S3" s="21">
        <f t="shared" si="0"/>
        <v>5.166666666666667</v>
      </c>
      <c r="T3" s="23">
        <f>V3+0.2</f>
        <v>6.2</v>
      </c>
      <c r="V3" s="23">
        <v>6</v>
      </c>
      <c r="W3" s="21">
        <f>N3-N2</f>
        <v>500</v>
      </c>
      <c r="X3" s="21">
        <f t="shared" ref="X3:X21" si="12">W3*4</f>
        <v>2000</v>
      </c>
      <c r="Y3" s="20">
        <f t="shared" si="1"/>
        <v>100</v>
      </c>
      <c r="Z3" s="20">
        <f>Y3+Y2</f>
        <v>200</v>
      </c>
      <c r="AA3" s="20">
        <f t="shared" ref="AA3:AA21" si="13">Y3/W3</f>
        <v>0.2</v>
      </c>
    </row>
    <row r="4" spans="1:27" x14ac:dyDescent="0.35">
      <c r="A4" s="20">
        <v>3</v>
      </c>
      <c r="B4" s="20">
        <f t="shared" si="2"/>
        <v>2400</v>
      </c>
      <c r="C4" s="21">
        <f t="shared" ref="C4:C21" si="14">E4*N3</f>
        <v>2400</v>
      </c>
      <c r="D4" s="21">
        <f t="shared" ref="D4:D21" si="15">B4+D3</f>
        <v>2600</v>
      </c>
      <c r="E4" s="22">
        <f>O4</f>
        <v>4</v>
      </c>
      <c r="F4" s="22">
        <v>1</v>
      </c>
      <c r="G4" s="20">
        <f t="shared" si="3"/>
        <v>0.4</v>
      </c>
      <c r="H4" s="20">
        <f t="shared" si="4"/>
        <v>0.5</v>
      </c>
      <c r="I4" s="20">
        <f t="shared" si="5"/>
        <v>0.66666666666666663</v>
      </c>
      <c r="J4" s="20">
        <f t="shared" si="6"/>
        <v>3000</v>
      </c>
      <c r="K4" s="20">
        <f t="shared" si="7"/>
        <v>1875</v>
      </c>
      <c r="L4" s="21">
        <f t="shared" si="8"/>
        <v>2000</v>
      </c>
      <c r="M4" s="21">
        <f t="shared" si="9"/>
        <v>2250</v>
      </c>
      <c r="N4" s="21">
        <f t="shared" si="10"/>
        <v>3000</v>
      </c>
      <c r="O4" s="23">
        <v>4</v>
      </c>
      <c r="P4" s="20">
        <f t="shared" si="11"/>
        <v>16000</v>
      </c>
      <c r="Q4" s="20">
        <f t="shared" ref="Q4:Q21" si="16">Q3*T4</f>
        <v>16120</v>
      </c>
      <c r="S4" s="21">
        <f t="shared" si="0"/>
        <v>5.333333333333333</v>
      </c>
      <c r="T4" s="23">
        <f t="shared" ref="T4:T9" si="17">V4+0.2</f>
        <v>5.2</v>
      </c>
      <c r="V4" s="23">
        <v>5</v>
      </c>
      <c r="W4" s="21">
        <f t="shared" ref="W4:W21" si="18">N4-N3</f>
        <v>2400</v>
      </c>
      <c r="X4" s="21">
        <f t="shared" si="12"/>
        <v>9600</v>
      </c>
      <c r="Y4" s="20">
        <f t="shared" si="1"/>
        <v>2400</v>
      </c>
      <c r="Z4" s="20">
        <f t="shared" ref="Z4:Z21" si="19">Y4+Y3</f>
        <v>2500</v>
      </c>
      <c r="AA4" s="20">
        <f t="shared" si="13"/>
        <v>1</v>
      </c>
    </row>
    <row r="5" spans="1:27" x14ac:dyDescent="0.35">
      <c r="A5" s="20">
        <v>4</v>
      </c>
      <c r="B5" s="20">
        <f t="shared" si="2"/>
        <v>36000</v>
      </c>
      <c r="C5" s="21">
        <f t="shared" si="14"/>
        <v>36000</v>
      </c>
      <c r="D5" s="21">
        <f t="shared" si="15"/>
        <v>38600</v>
      </c>
      <c r="E5" s="22">
        <f t="shared" ref="E5:E21" si="20">E4+O5</f>
        <v>12</v>
      </c>
      <c r="F5" s="22">
        <f>F4+E5</f>
        <v>13</v>
      </c>
      <c r="G5" s="20">
        <f t="shared" si="3"/>
        <v>5.2</v>
      </c>
      <c r="H5" s="20">
        <f t="shared" si="4"/>
        <v>6.5</v>
      </c>
      <c r="I5" s="20">
        <f t="shared" si="5"/>
        <v>8.6666666666666661</v>
      </c>
      <c r="J5" s="20">
        <f t="shared" si="6"/>
        <v>12000</v>
      </c>
      <c r="K5" s="20">
        <f t="shared" si="7"/>
        <v>7500</v>
      </c>
      <c r="L5" s="21">
        <f t="shared" si="8"/>
        <v>8000</v>
      </c>
      <c r="M5" s="21">
        <f t="shared" si="9"/>
        <v>9000</v>
      </c>
      <c r="N5" s="21">
        <f t="shared" si="10"/>
        <v>12000</v>
      </c>
      <c r="O5" s="23">
        <v>8</v>
      </c>
      <c r="P5" s="20">
        <f t="shared" si="11"/>
        <v>68000</v>
      </c>
      <c r="Q5" s="20">
        <f t="shared" si="16"/>
        <v>67704</v>
      </c>
      <c r="S5" s="21">
        <f t="shared" si="0"/>
        <v>5.666666666666667</v>
      </c>
      <c r="T5" s="23">
        <f t="shared" si="17"/>
        <v>4.2</v>
      </c>
      <c r="U5" s="22">
        <f t="shared" ref="U5:U21" si="21">C5/C4</f>
        <v>15</v>
      </c>
      <c r="V5" s="23">
        <v>4</v>
      </c>
      <c r="W5" s="21">
        <f t="shared" si="18"/>
        <v>9000</v>
      </c>
      <c r="X5" s="21">
        <f t="shared" si="12"/>
        <v>36000</v>
      </c>
      <c r="Y5" s="20">
        <f t="shared" si="1"/>
        <v>36000</v>
      </c>
      <c r="Z5" s="20">
        <f t="shared" si="19"/>
        <v>38400</v>
      </c>
      <c r="AA5" s="20">
        <f t="shared" si="13"/>
        <v>4</v>
      </c>
    </row>
    <row r="6" spans="1:27" x14ac:dyDescent="0.35">
      <c r="A6" s="20">
        <v>5</v>
      </c>
      <c r="B6" s="20">
        <f t="shared" si="2"/>
        <v>380000</v>
      </c>
      <c r="C6" s="21">
        <f t="shared" si="14"/>
        <v>384000</v>
      </c>
      <c r="D6" s="21">
        <f t="shared" si="15"/>
        <v>418600</v>
      </c>
      <c r="E6" s="22">
        <f t="shared" si="20"/>
        <v>32</v>
      </c>
      <c r="F6" s="22">
        <f t="shared" ref="F6:F21" si="22">F5+E6</f>
        <v>45</v>
      </c>
      <c r="G6" s="20">
        <f t="shared" si="3"/>
        <v>18</v>
      </c>
      <c r="H6" s="20">
        <f t="shared" si="4"/>
        <v>22.5</v>
      </c>
      <c r="I6" s="20">
        <f t="shared" si="5"/>
        <v>30</v>
      </c>
      <c r="J6" s="20">
        <f t="shared" si="6"/>
        <v>24000</v>
      </c>
      <c r="K6" s="20">
        <f t="shared" si="7"/>
        <v>15000</v>
      </c>
      <c r="L6" s="21">
        <f t="shared" si="8"/>
        <v>16000</v>
      </c>
      <c r="M6" s="21">
        <f t="shared" si="9"/>
        <v>18000</v>
      </c>
      <c r="N6" s="21">
        <f t="shared" si="10"/>
        <v>24000</v>
      </c>
      <c r="O6" s="23">
        <v>20</v>
      </c>
      <c r="P6" s="20">
        <f t="shared" si="11"/>
        <v>150000</v>
      </c>
      <c r="Q6" s="20">
        <f t="shared" si="16"/>
        <v>148948.80000000002</v>
      </c>
      <c r="S6" s="21">
        <f t="shared" si="0"/>
        <v>6.25</v>
      </c>
      <c r="T6" s="23">
        <f t="shared" si="17"/>
        <v>2.2000000000000002</v>
      </c>
      <c r="U6" s="22">
        <f t="shared" si="21"/>
        <v>10.666666666666666</v>
      </c>
      <c r="V6" s="23">
        <v>2</v>
      </c>
      <c r="W6" s="21">
        <f t="shared" si="18"/>
        <v>12000</v>
      </c>
      <c r="X6" s="21">
        <f t="shared" si="12"/>
        <v>48000</v>
      </c>
      <c r="Y6" s="20">
        <f t="shared" si="1"/>
        <v>380000</v>
      </c>
      <c r="Z6" s="20">
        <f t="shared" si="19"/>
        <v>416000</v>
      </c>
      <c r="AA6" s="20">
        <f t="shared" si="13"/>
        <v>31.666666666666668</v>
      </c>
    </row>
    <row r="7" spans="1:27" s="30" customFormat="1" x14ac:dyDescent="0.35">
      <c r="A7" s="30">
        <v>6</v>
      </c>
      <c r="B7" s="30">
        <f t="shared" si="2"/>
        <v>1200000</v>
      </c>
      <c r="C7" s="31">
        <f t="shared" si="14"/>
        <v>1248000</v>
      </c>
      <c r="D7" s="31">
        <f t="shared" si="15"/>
        <v>1618600</v>
      </c>
      <c r="E7" s="32">
        <f t="shared" si="20"/>
        <v>52</v>
      </c>
      <c r="F7" s="32">
        <f t="shared" si="22"/>
        <v>97</v>
      </c>
      <c r="G7" s="30">
        <f t="shared" si="3"/>
        <v>38.799999999999997</v>
      </c>
      <c r="H7" s="30">
        <f t="shared" si="4"/>
        <v>48.5</v>
      </c>
      <c r="I7" s="30">
        <f t="shared" si="5"/>
        <v>64.666666666666671</v>
      </c>
      <c r="J7" s="30">
        <f t="shared" si="6"/>
        <v>34000</v>
      </c>
      <c r="K7" s="30">
        <f t="shared" si="7"/>
        <v>21250</v>
      </c>
      <c r="L7" s="31">
        <f t="shared" si="8"/>
        <v>22666.666666666668</v>
      </c>
      <c r="M7" s="31">
        <f t="shared" si="9"/>
        <v>25500</v>
      </c>
      <c r="N7" s="31">
        <f t="shared" si="10"/>
        <v>33600</v>
      </c>
      <c r="O7" s="30">
        <v>20</v>
      </c>
      <c r="P7" s="30">
        <f t="shared" si="11"/>
        <v>240000</v>
      </c>
      <c r="Q7" s="30">
        <f t="shared" si="16"/>
        <v>238318.08000000002</v>
      </c>
      <c r="S7" s="31">
        <f t="shared" si="0"/>
        <v>7.0588235294117645</v>
      </c>
      <c r="T7" s="30">
        <f t="shared" si="17"/>
        <v>1.5999999999999999</v>
      </c>
      <c r="U7" s="32">
        <f t="shared" si="21"/>
        <v>3.25</v>
      </c>
      <c r="V7" s="30">
        <v>1.4</v>
      </c>
      <c r="W7" s="31">
        <f t="shared" si="18"/>
        <v>9600</v>
      </c>
      <c r="X7" s="31">
        <f t="shared" si="12"/>
        <v>38400</v>
      </c>
      <c r="Y7" s="30">
        <f t="shared" si="1"/>
        <v>1200000</v>
      </c>
      <c r="Z7" s="30">
        <f t="shared" si="19"/>
        <v>1580000</v>
      </c>
      <c r="AA7" s="30">
        <f t="shared" si="13"/>
        <v>125</v>
      </c>
    </row>
    <row r="8" spans="1:27" x14ac:dyDescent="0.35">
      <c r="A8" s="20">
        <v>7</v>
      </c>
      <c r="B8" s="20">
        <f t="shared" si="2"/>
        <v>2700000</v>
      </c>
      <c r="C8" s="21">
        <f t="shared" si="14"/>
        <v>2688000</v>
      </c>
      <c r="D8" s="21">
        <f t="shared" si="15"/>
        <v>4318600</v>
      </c>
      <c r="E8" s="22">
        <f t="shared" si="20"/>
        <v>80</v>
      </c>
      <c r="F8" s="22">
        <f t="shared" si="22"/>
        <v>177</v>
      </c>
      <c r="G8" s="20">
        <f t="shared" si="3"/>
        <v>70.8</v>
      </c>
      <c r="H8" s="20">
        <f t="shared" si="4"/>
        <v>88.5</v>
      </c>
      <c r="I8" s="20">
        <f t="shared" si="5"/>
        <v>118</v>
      </c>
      <c r="J8" s="20">
        <f t="shared" si="6"/>
        <v>47000</v>
      </c>
      <c r="K8" s="20">
        <f t="shared" si="7"/>
        <v>29375</v>
      </c>
      <c r="L8" s="21">
        <f t="shared" si="8"/>
        <v>31333.333333333332</v>
      </c>
      <c r="M8" s="21">
        <f t="shared" si="9"/>
        <v>35250</v>
      </c>
      <c r="N8" s="21">
        <f t="shared" si="10"/>
        <v>47040</v>
      </c>
      <c r="O8" s="23">
        <v>28</v>
      </c>
      <c r="P8" s="20">
        <f t="shared" si="11"/>
        <v>380000</v>
      </c>
      <c r="Q8" s="20">
        <f t="shared" si="16"/>
        <v>381308.92800000001</v>
      </c>
      <c r="S8" s="21">
        <f t="shared" si="0"/>
        <v>8.085106382978724</v>
      </c>
      <c r="T8" s="23">
        <f t="shared" si="17"/>
        <v>1.5999999999999999</v>
      </c>
      <c r="U8" s="22">
        <f t="shared" si="21"/>
        <v>2.1538461538461537</v>
      </c>
      <c r="V8" s="23">
        <v>1.4</v>
      </c>
      <c r="W8" s="21">
        <f t="shared" si="18"/>
        <v>13440</v>
      </c>
      <c r="X8" s="21">
        <f t="shared" si="12"/>
        <v>53760</v>
      </c>
      <c r="Y8" s="20">
        <f t="shared" si="1"/>
        <v>2700000</v>
      </c>
      <c r="Z8" s="20">
        <f t="shared" si="19"/>
        <v>3900000</v>
      </c>
      <c r="AA8" s="20">
        <f t="shared" si="13"/>
        <v>200.89285714285714</v>
      </c>
    </row>
    <row r="9" spans="1:27" s="30" customFormat="1" x14ac:dyDescent="0.35">
      <c r="A9" s="30">
        <v>8</v>
      </c>
      <c r="B9" s="30">
        <f t="shared" si="2"/>
        <v>5000000</v>
      </c>
      <c r="C9" s="31">
        <f t="shared" si="14"/>
        <v>4986240</v>
      </c>
      <c r="D9" s="31">
        <f t="shared" si="15"/>
        <v>9318600</v>
      </c>
      <c r="E9" s="32">
        <f t="shared" si="20"/>
        <v>106</v>
      </c>
      <c r="F9" s="32">
        <f t="shared" si="22"/>
        <v>283</v>
      </c>
      <c r="G9" s="30">
        <f t="shared" si="3"/>
        <v>113.2</v>
      </c>
      <c r="H9" s="30">
        <f t="shared" si="4"/>
        <v>141.5</v>
      </c>
      <c r="I9" s="30">
        <f t="shared" si="5"/>
        <v>188.66666666666666</v>
      </c>
      <c r="J9" s="30">
        <f t="shared" si="6"/>
        <v>61000</v>
      </c>
      <c r="K9" s="30">
        <f t="shared" si="7"/>
        <v>38125</v>
      </c>
      <c r="L9" s="31">
        <f t="shared" si="8"/>
        <v>40666.666666666664</v>
      </c>
      <c r="M9" s="31">
        <f t="shared" si="9"/>
        <v>45750</v>
      </c>
      <c r="N9" s="31">
        <f t="shared" si="10"/>
        <v>61152</v>
      </c>
      <c r="O9" s="30">
        <v>26</v>
      </c>
      <c r="P9" s="30">
        <f t="shared" si="11"/>
        <v>570000</v>
      </c>
      <c r="Q9" s="30">
        <f t="shared" si="16"/>
        <v>571963.39199999999</v>
      </c>
      <c r="S9" s="31">
        <f t="shared" si="0"/>
        <v>9.3442622950819665</v>
      </c>
      <c r="T9" s="30">
        <f t="shared" si="17"/>
        <v>1.5</v>
      </c>
      <c r="U9" s="32">
        <f t="shared" si="21"/>
        <v>1.855</v>
      </c>
      <c r="V9" s="30">
        <v>1.3</v>
      </c>
      <c r="W9" s="31">
        <f t="shared" si="18"/>
        <v>14112</v>
      </c>
      <c r="X9" s="31">
        <f t="shared" si="12"/>
        <v>56448</v>
      </c>
      <c r="Y9" s="30">
        <f t="shared" si="1"/>
        <v>5000000</v>
      </c>
      <c r="Z9" s="30">
        <f t="shared" si="19"/>
        <v>7700000</v>
      </c>
      <c r="AA9" s="30">
        <f t="shared" si="13"/>
        <v>354.30839002267572</v>
      </c>
    </row>
    <row r="10" spans="1:27" s="36" customFormat="1" x14ac:dyDescent="0.35">
      <c r="A10" s="36">
        <v>9</v>
      </c>
      <c r="B10" s="36">
        <f t="shared" si="2"/>
        <v>7900000</v>
      </c>
      <c r="C10" s="37">
        <f t="shared" si="14"/>
        <v>7949760</v>
      </c>
      <c r="D10" s="37">
        <f t="shared" si="15"/>
        <v>17218600</v>
      </c>
      <c r="E10" s="38">
        <f t="shared" si="20"/>
        <v>130</v>
      </c>
      <c r="F10" s="38">
        <f t="shared" si="22"/>
        <v>413</v>
      </c>
      <c r="G10" s="36">
        <f t="shared" si="3"/>
        <v>165.2</v>
      </c>
      <c r="H10" s="36">
        <f t="shared" si="4"/>
        <v>206.5</v>
      </c>
      <c r="I10" s="36">
        <f t="shared" si="5"/>
        <v>275.33333333333331</v>
      </c>
      <c r="J10" s="36">
        <f t="shared" si="6"/>
        <v>73000</v>
      </c>
      <c r="K10" s="36">
        <f t="shared" si="7"/>
        <v>45625</v>
      </c>
      <c r="L10" s="37">
        <f t="shared" si="8"/>
        <v>48666.666666666664</v>
      </c>
      <c r="M10" s="37">
        <f t="shared" si="9"/>
        <v>54750</v>
      </c>
      <c r="N10" s="37">
        <f t="shared" si="10"/>
        <v>73382.399999999994</v>
      </c>
      <c r="O10" s="36">
        <v>24</v>
      </c>
      <c r="P10" s="36">
        <f t="shared" si="11"/>
        <v>770000</v>
      </c>
      <c r="Q10" s="36">
        <f t="shared" si="16"/>
        <v>772150.57919999992</v>
      </c>
      <c r="S10" s="37">
        <f t="shared" si="0"/>
        <v>10.547945205479452</v>
      </c>
      <c r="T10" s="36">
        <f>V10+0.15</f>
        <v>1.3499999999999999</v>
      </c>
      <c r="U10" s="38">
        <f t="shared" si="21"/>
        <v>1.5943396226415094</v>
      </c>
      <c r="V10" s="36">
        <v>1.2</v>
      </c>
      <c r="W10" s="37">
        <f t="shared" si="18"/>
        <v>12230.399999999994</v>
      </c>
      <c r="X10" s="37">
        <f t="shared" si="12"/>
        <v>48921.599999999977</v>
      </c>
      <c r="Y10" s="36">
        <f t="shared" si="1"/>
        <v>7900000</v>
      </c>
      <c r="Z10" s="36">
        <f t="shared" si="19"/>
        <v>12900000</v>
      </c>
      <c r="AA10" s="36">
        <f t="shared" si="13"/>
        <v>645.93144950287842</v>
      </c>
    </row>
    <row r="11" spans="1:27" x14ac:dyDescent="0.35">
      <c r="A11" s="20">
        <v>10</v>
      </c>
      <c r="B11" s="20">
        <f t="shared" si="2"/>
        <v>11000000</v>
      </c>
      <c r="C11" s="21">
        <f t="shared" si="14"/>
        <v>11154124.799999999</v>
      </c>
      <c r="D11" s="21">
        <f t="shared" si="15"/>
        <v>28218600</v>
      </c>
      <c r="E11" s="22">
        <f t="shared" si="20"/>
        <v>152</v>
      </c>
      <c r="F11" s="22">
        <f t="shared" si="22"/>
        <v>565</v>
      </c>
      <c r="G11" s="20">
        <f t="shared" si="3"/>
        <v>226</v>
      </c>
      <c r="H11" s="20">
        <f t="shared" si="4"/>
        <v>282.5</v>
      </c>
      <c r="I11" s="20">
        <f t="shared" si="5"/>
        <v>376.66666666666669</v>
      </c>
      <c r="J11" s="20">
        <f t="shared" si="6"/>
        <v>88000</v>
      </c>
      <c r="K11" s="20">
        <f t="shared" si="7"/>
        <v>55000</v>
      </c>
      <c r="L11" s="21">
        <f t="shared" si="8"/>
        <v>58666.666666666664</v>
      </c>
      <c r="M11" s="21">
        <f t="shared" si="9"/>
        <v>66000</v>
      </c>
      <c r="N11" s="21">
        <f t="shared" si="10"/>
        <v>88058.87999999999</v>
      </c>
      <c r="O11" s="23">
        <v>22</v>
      </c>
      <c r="P11" s="20">
        <f t="shared" si="11"/>
        <v>1000000</v>
      </c>
      <c r="Q11" s="20">
        <f t="shared" si="16"/>
        <v>1042403.2819199997</v>
      </c>
      <c r="S11" s="21">
        <f t="shared" si="0"/>
        <v>11.363636363636363</v>
      </c>
      <c r="T11" s="23">
        <f t="shared" ref="T11:T14" si="23">V11+0.15</f>
        <v>1.3499999999999999</v>
      </c>
      <c r="U11" s="22">
        <f t="shared" si="21"/>
        <v>1.4030769230769229</v>
      </c>
      <c r="V11" s="23">
        <v>1.2</v>
      </c>
      <c r="W11" s="21">
        <f t="shared" si="18"/>
        <v>14676.479999999996</v>
      </c>
      <c r="X11" s="21">
        <f t="shared" si="12"/>
        <v>58705.919999999984</v>
      </c>
      <c r="Y11" s="20">
        <f t="shared" si="1"/>
        <v>11000000</v>
      </c>
      <c r="Z11" s="20">
        <f t="shared" si="19"/>
        <v>18900000</v>
      </c>
      <c r="AA11" s="20">
        <f t="shared" si="13"/>
        <v>749.4985173556604</v>
      </c>
    </row>
    <row r="12" spans="1:27" x14ac:dyDescent="0.35">
      <c r="A12" s="20">
        <v>11</v>
      </c>
      <c r="B12" s="20">
        <f t="shared" si="2"/>
        <v>22000000</v>
      </c>
      <c r="C12" s="21">
        <f t="shared" si="14"/>
        <v>22190837.759999998</v>
      </c>
      <c r="D12" s="21">
        <f t="shared" si="15"/>
        <v>50218600</v>
      </c>
      <c r="E12" s="22">
        <f t="shared" si="20"/>
        <v>252</v>
      </c>
      <c r="F12" s="22">
        <f t="shared" si="22"/>
        <v>817</v>
      </c>
      <c r="G12" s="20">
        <f t="shared" si="3"/>
        <v>326.8</v>
      </c>
      <c r="H12" s="20">
        <f t="shared" si="4"/>
        <v>408.5</v>
      </c>
      <c r="I12" s="20">
        <f t="shared" si="5"/>
        <v>544.66666666666663</v>
      </c>
      <c r="J12" s="20">
        <f t="shared" si="6"/>
        <v>96000</v>
      </c>
      <c r="K12" s="20">
        <f t="shared" si="7"/>
        <v>60000</v>
      </c>
      <c r="L12" s="21">
        <f t="shared" si="8"/>
        <v>64000</v>
      </c>
      <c r="M12" s="21">
        <f t="shared" si="9"/>
        <v>72000</v>
      </c>
      <c r="N12" s="21">
        <f t="shared" si="10"/>
        <v>95984.179199999999</v>
      </c>
      <c r="O12" s="23">
        <v>100</v>
      </c>
      <c r="P12" s="20">
        <f t="shared" si="11"/>
        <v>1300000</v>
      </c>
      <c r="Q12" s="20">
        <f t="shared" si="16"/>
        <v>1292580.0695807997</v>
      </c>
      <c r="S12" s="21">
        <f t="shared" si="0"/>
        <v>13.541666666666666</v>
      </c>
      <c r="T12" s="23">
        <f t="shared" si="23"/>
        <v>1.24</v>
      </c>
      <c r="U12" s="22">
        <f t="shared" si="21"/>
        <v>1.9894736842105263</v>
      </c>
      <c r="V12" s="23">
        <v>1.0900000000000001</v>
      </c>
      <c r="W12" s="21">
        <f t="shared" si="18"/>
        <v>7925.2992000000086</v>
      </c>
      <c r="X12" s="21">
        <f t="shared" si="12"/>
        <v>31701.196800000034</v>
      </c>
      <c r="Y12" s="20">
        <f t="shared" si="1"/>
        <v>22000000</v>
      </c>
      <c r="Z12" s="20">
        <f t="shared" si="19"/>
        <v>33000000</v>
      </c>
      <c r="AA12" s="20">
        <f t="shared" si="13"/>
        <v>2775.9204346505903</v>
      </c>
    </row>
    <row r="13" spans="1:27" s="36" customFormat="1" x14ac:dyDescent="0.35">
      <c r="A13" s="36">
        <v>12</v>
      </c>
      <c r="B13" s="36">
        <f t="shared" si="2"/>
        <v>26000000</v>
      </c>
      <c r="C13" s="37">
        <f t="shared" si="14"/>
        <v>25915728.384</v>
      </c>
      <c r="D13" s="37">
        <f t="shared" si="15"/>
        <v>76218600</v>
      </c>
      <c r="E13" s="38">
        <f t="shared" si="20"/>
        <v>270</v>
      </c>
      <c r="F13" s="38">
        <f t="shared" si="22"/>
        <v>1087</v>
      </c>
      <c r="G13" s="36">
        <f t="shared" si="3"/>
        <v>434.8</v>
      </c>
      <c r="H13" s="36">
        <f t="shared" si="4"/>
        <v>543.5</v>
      </c>
      <c r="I13" s="36">
        <f t="shared" si="5"/>
        <v>724.66666666666663</v>
      </c>
      <c r="J13" s="36">
        <f t="shared" si="6"/>
        <v>120000</v>
      </c>
      <c r="K13" s="36">
        <f t="shared" si="7"/>
        <v>75000</v>
      </c>
      <c r="L13" s="37">
        <f t="shared" si="8"/>
        <v>80000</v>
      </c>
      <c r="M13" s="37">
        <f t="shared" si="9"/>
        <v>90000</v>
      </c>
      <c r="N13" s="37">
        <f t="shared" si="10"/>
        <v>115181.01504</v>
      </c>
      <c r="O13" s="36">
        <v>18</v>
      </c>
      <c r="P13" s="36">
        <f t="shared" si="11"/>
        <v>1700000</v>
      </c>
      <c r="Q13" s="36">
        <f t="shared" si="16"/>
        <v>1744983.0939340794</v>
      </c>
      <c r="S13" s="37">
        <f t="shared" si="0"/>
        <v>14.166666666666666</v>
      </c>
      <c r="T13" s="36">
        <f t="shared" si="23"/>
        <v>1.3499999999999999</v>
      </c>
      <c r="U13" s="38">
        <f t="shared" si="21"/>
        <v>1.1678571428571429</v>
      </c>
      <c r="V13" s="36">
        <v>1.2</v>
      </c>
      <c r="W13" s="37">
        <f t="shared" si="18"/>
        <v>19196.83584</v>
      </c>
      <c r="X13" s="37">
        <f t="shared" si="12"/>
        <v>76787.343359999999</v>
      </c>
      <c r="Y13" s="36">
        <f t="shared" si="1"/>
        <v>26000000</v>
      </c>
      <c r="Z13" s="36">
        <f t="shared" si="19"/>
        <v>48000000</v>
      </c>
      <c r="AA13" s="36">
        <f t="shared" si="13"/>
        <v>1354.389870117262</v>
      </c>
    </row>
    <row r="14" spans="1:27" x14ac:dyDescent="0.35">
      <c r="A14" s="20">
        <v>13</v>
      </c>
      <c r="B14" s="20">
        <f t="shared" si="2"/>
        <v>43000000</v>
      </c>
      <c r="C14" s="21">
        <f t="shared" si="14"/>
        <v>42616975.564800002</v>
      </c>
      <c r="D14" s="21">
        <f t="shared" si="15"/>
        <v>119218600</v>
      </c>
      <c r="E14" s="22">
        <f t="shared" si="20"/>
        <v>370</v>
      </c>
      <c r="F14" s="22">
        <f t="shared" si="22"/>
        <v>1457</v>
      </c>
      <c r="G14" s="20">
        <f t="shared" si="3"/>
        <v>582.79999999999995</v>
      </c>
      <c r="H14" s="20">
        <f t="shared" si="4"/>
        <v>728.5</v>
      </c>
      <c r="I14" s="20">
        <f t="shared" si="5"/>
        <v>971.33333333333337</v>
      </c>
      <c r="J14" s="20">
        <f t="shared" si="6"/>
        <v>130000</v>
      </c>
      <c r="K14" s="20">
        <f t="shared" si="7"/>
        <v>81250</v>
      </c>
      <c r="L14" s="21">
        <f t="shared" si="8"/>
        <v>86666.666666666672</v>
      </c>
      <c r="M14" s="21">
        <f t="shared" si="9"/>
        <v>97500</v>
      </c>
      <c r="N14" s="21">
        <f t="shared" si="10"/>
        <v>126699.116544</v>
      </c>
      <c r="O14" s="23">
        <v>100</v>
      </c>
      <c r="P14" s="20">
        <f t="shared" si="11"/>
        <v>2200000</v>
      </c>
      <c r="Q14" s="20">
        <f t="shared" si="16"/>
        <v>2181228.8674175991</v>
      </c>
      <c r="S14" s="21">
        <f t="shared" si="0"/>
        <v>16.923076923076923</v>
      </c>
      <c r="T14" s="23">
        <f t="shared" si="23"/>
        <v>1.25</v>
      </c>
      <c r="U14" s="22">
        <f t="shared" si="21"/>
        <v>1.6444444444444446</v>
      </c>
      <c r="V14" s="23">
        <v>1.1000000000000001</v>
      </c>
      <c r="W14" s="21">
        <f t="shared" si="18"/>
        <v>11518.101504000006</v>
      </c>
      <c r="X14" s="21">
        <f t="shared" si="12"/>
        <v>46072.406016000023</v>
      </c>
      <c r="Y14" s="20">
        <f t="shared" si="1"/>
        <v>43000000</v>
      </c>
      <c r="Z14" s="20">
        <f t="shared" si="19"/>
        <v>69000000</v>
      </c>
      <c r="AA14" s="20">
        <f t="shared" si="13"/>
        <v>3733.2541291693742</v>
      </c>
    </row>
    <row r="15" spans="1:27" s="33" customFormat="1" x14ac:dyDescent="0.35">
      <c r="A15" s="33">
        <v>14</v>
      </c>
      <c r="B15" s="33">
        <f t="shared" si="2"/>
        <v>66000000</v>
      </c>
      <c r="C15" s="34">
        <f t="shared" si="14"/>
        <v>65883540.602880001</v>
      </c>
      <c r="D15" s="34">
        <f t="shared" si="15"/>
        <v>185218600</v>
      </c>
      <c r="E15" s="35">
        <f t="shared" si="20"/>
        <v>520</v>
      </c>
      <c r="F15" s="35">
        <f t="shared" si="22"/>
        <v>1977</v>
      </c>
      <c r="G15" s="35">
        <f t="shared" si="3"/>
        <v>790.8</v>
      </c>
      <c r="H15" s="35">
        <f t="shared" si="4"/>
        <v>988.5</v>
      </c>
      <c r="I15" s="35">
        <f t="shared" si="5"/>
        <v>1318</v>
      </c>
      <c r="J15" s="33">
        <f t="shared" si="6"/>
        <v>150000</v>
      </c>
      <c r="K15" s="33">
        <f t="shared" si="7"/>
        <v>93750</v>
      </c>
      <c r="L15" s="34">
        <f t="shared" si="8"/>
        <v>100000</v>
      </c>
      <c r="M15" s="34">
        <f t="shared" si="9"/>
        <v>112500</v>
      </c>
      <c r="N15" s="34">
        <f t="shared" si="10"/>
        <v>152038.93985279999</v>
      </c>
      <c r="O15" s="33">
        <v>150</v>
      </c>
      <c r="P15" s="33">
        <f t="shared" si="11"/>
        <v>2800000</v>
      </c>
      <c r="Q15" s="33">
        <f t="shared" si="16"/>
        <v>2835597.5276428787</v>
      </c>
      <c r="S15" s="34">
        <f t="shared" si="0"/>
        <v>18.666666666666668</v>
      </c>
      <c r="T15" s="33">
        <f>V15+0.1</f>
        <v>1.3</v>
      </c>
      <c r="U15" s="35">
        <f t="shared" si="21"/>
        <v>1.5459459459459459</v>
      </c>
      <c r="V15" s="33">
        <v>1.2</v>
      </c>
      <c r="W15" s="34">
        <f t="shared" si="18"/>
        <v>25339.823308799983</v>
      </c>
      <c r="X15" s="34">
        <f t="shared" si="12"/>
        <v>101359.29323519993</v>
      </c>
      <c r="Y15" s="33">
        <f t="shared" si="1"/>
        <v>66000000</v>
      </c>
      <c r="Z15" s="33">
        <f t="shared" si="19"/>
        <v>109000000</v>
      </c>
      <c r="AA15" s="33">
        <f t="shared" si="13"/>
        <v>2604.5959040716593</v>
      </c>
    </row>
    <row r="16" spans="1:27" x14ac:dyDescent="0.35">
      <c r="A16" s="20">
        <v>15</v>
      </c>
      <c r="B16" s="20">
        <f t="shared" si="2"/>
        <v>110000000</v>
      </c>
      <c r="C16" s="21">
        <f t="shared" si="14"/>
        <v>109468036.69401599</v>
      </c>
      <c r="D16" s="21">
        <f t="shared" si="15"/>
        <v>295218600</v>
      </c>
      <c r="E16" s="22">
        <f t="shared" si="20"/>
        <v>720</v>
      </c>
      <c r="F16" s="22">
        <f t="shared" si="22"/>
        <v>2697</v>
      </c>
      <c r="G16" s="20">
        <f t="shared" si="3"/>
        <v>1078.8</v>
      </c>
      <c r="H16" s="20">
        <f t="shared" si="4"/>
        <v>1348.5</v>
      </c>
      <c r="I16" s="20">
        <f t="shared" si="5"/>
        <v>1798</v>
      </c>
      <c r="J16" s="20">
        <f t="shared" si="6"/>
        <v>170000</v>
      </c>
      <c r="K16" s="20">
        <f t="shared" si="7"/>
        <v>106250</v>
      </c>
      <c r="L16" s="21">
        <f t="shared" si="8"/>
        <v>113333.33333333333</v>
      </c>
      <c r="M16" s="21">
        <f t="shared" si="9"/>
        <v>127500</v>
      </c>
      <c r="N16" s="21">
        <f t="shared" si="10"/>
        <v>173324.39143219197</v>
      </c>
      <c r="O16" s="23">
        <v>200</v>
      </c>
      <c r="P16" s="20">
        <f t="shared" si="11"/>
        <v>3500000</v>
      </c>
      <c r="Q16" s="20">
        <f t="shared" si="16"/>
        <v>3516140.9342771694</v>
      </c>
      <c r="S16" s="21">
        <f t="shared" si="0"/>
        <v>20.588235294117649</v>
      </c>
      <c r="T16" s="23">
        <f t="shared" ref="T16:T17" si="24">V16+0.1</f>
        <v>1.24</v>
      </c>
      <c r="U16" s="22">
        <f t="shared" si="21"/>
        <v>1.6615384615384614</v>
      </c>
      <c r="V16" s="23">
        <v>1.1399999999999999</v>
      </c>
      <c r="W16" s="21">
        <f t="shared" si="18"/>
        <v>21285.451579391985</v>
      </c>
      <c r="X16" s="21">
        <f t="shared" si="12"/>
        <v>85141.806317567942</v>
      </c>
      <c r="Y16" s="20">
        <f t="shared" si="1"/>
        <v>110000000</v>
      </c>
      <c r="Z16" s="20">
        <f t="shared" si="19"/>
        <v>176000000</v>
      </c>
      <c r="AA16" s="20">
        <f t="shared" si="13"/>
        <v>5167.8490160151978</v>
      </c>
    </row>
    <row r="17" spans="1:27" x14ac:dyDescent="0.35">
      <c r="A17" s="20">
        <v>16</v>
      </c>
      <c r="B17" s="20">
        <f t="shared" si="2"/>
        <v>150000000</v>
      </c>
      <c r="C17" s="21">
        <f t="shared" si="14"/>
        <v>150792220.54600701</v>
      </c>
      <c r="D17" s="21">
        <f t="shared" si="15"/>
        <v>445218600</v>
      </c>
      <c r="E17" s="22">
        <f t="shared" si="20"/>
        <v>870</v>
      </c>
      <c r="F17" s="22">
        <f t="shared" si="22"/>
        <v>3567</v>
      </c>
      <c r="G17" s="20">
        <f t="shared" si="3"/>
        <v>1426.8</v>
      </c>
      <c r="H17" s="20">
        <f t="shared" si="4"/>
        <v>1783.5</v>
      </c>
      <c r="I17" s="20">
        <f t="shared" si="5"/>
        <v>2378</v>
      </c>
      <c r="J17" s="20">
        <f t="shared" si="6"/>
        <v>200000</v>
      </c>
      <c r="K17" s="20">
        <f t="shared" si="7"/>
        <v>125000</v>
      </c>
      <c r="L17" s="21">
        <f t="shared" si="8"/>
        <v>133333.33333333334</v>
      </c>
      <c r="M17" s="21">
        <f t="shared" si="9"/>
        <v>150000</v>
      </c>
      <c r="N17" s="21">
        <f t="shared" si="10"/>
        <v>199323.05014702075</v>
      </c>
      <c r="O17" s="23">
        <v>150</v>
      </c>
      <c r="P17" s="20">
        <f t="shared" si="11"/>
        <v>4400000</v>
      </c>
      <c r="Q17" s="20">
        <f t="shared" si="16"/>
        <v>4395176.1678464618</v>
      </c>
      <c r="S17" s="21">
        <f t="shared" si="0"/>
        <v>22</v>
      </c>
      <c r="T17" s="23">
        <f t="shared" si="24"/>
        <v>1.25</v>
      </c>
      <c r="U17" s="22">
        <f t="shared" si="21"/>
        <v>1.3774999999999997</v>
      </c>
      <c r="V17" s="23">
        <v>1.1499999999999999</v>
      </c>
      <c r="W17" s="21">
        <f t="shared" si="18"/>
        <v>25998.65871482878</v>
      </c>
      <c r="X17" s="21">
        <f t="shared" si="12"/>
        <v>103994.63485931512</v>
      </c>
      <c r="Y17" s="20">
        <f t="shared" si="1"/>
        <v>150000000</v>
      </c>
      <c r="Z17" s="20">
        <f t="shared" si="19"/>
        <v>260000000</v>
      </c>
      <c r="AA17" s="20">
        <f t="shared" si="13"/>
        <v>5769.5284070345115</v>
      </c>
    </row>
    <row r="18" spans="1:27" x14ac:dyDescent="0.35">
      <c r="A18" s="20">
        <v>17</v>
      </c>
      <c r="B18" s="20">
        <f t="shared" si="2"/>
        <v>230000000</v>
      </c>
      <c r="C18" s="21">
        <f t="shared" si="14"/>
        <v>233207968.67201427</v>
      </c>
      <c r="D18" s="21">
        <f t="shared" si="15"/>
        <v>675218600</v>
      </c>
      <c r="E18" s="22">
        <f t="shared" si="20"/>
        <v>1170</v>
      </c>
      <c r="F18" s="22">
        <f t="shared" si="22"/>
        <v>4737</v>
      </c>
      <c r="G18" s="20">
        <f t="shared" si="3"/>
        <v>1894.8</v>
      </c>
      <c r="H18" s="20">
        <f t="shared" si="4"/>
        <v>2368.5</v>
      </c>
      <c r="I18" s="20">
        <f t="shared" si="5"/>
        <v>3158</v>
      </c>
      <c r="J18" s="20">
        <f t="shared" si="6"/>
        <v>230000</v>
      </c>
      <c r="K18" s="20">
        <f t="shared" si="7"/>
        <v>143750</v>
      </c>
      <c r="L18" s="21">
        <f t="shared" si="8"/>
        <v>153333.33333333334</v>
      </c>
      <c r="M18" s="21">
        <f t="shared" si="9"/>
        <v>172500</v>
      </c>
      <c r="N18" s="21">
        <f t="shared" si="10"/>
        <v>229221.50766907385</v>
      </c>
      <c r="O18" s="23">
        <v>300</v>
      </c>
      <c r="P18" s="20">
        <f t="shared" si="11"/>
        <v>5400000</v>
      </c>
      <c r="Q18" s="20">
        <f t="shared" si="16"/>
        <v>5406066.6864511482</v>
      </c>
      <c r="S18" s="21">
        <f t="shared" si="0"/>
        <v>23.478260869565219</v>
      </c>
      <c r="T18" s="23">
        <f>V18+0.08</f>
        <v>1.23</v>
      </c>
      <c r="U18" s="22">
        <f t="shared" si="21"/>
        <v>1.546551724137931</v>
      </c>
      <c r="V18" s="23">
        <v>1.1499999999999999</v>
      </c>
      <c r="W18" s="21">
        <f t="shared" si="18"/>
        <v>29898.457522053097</v>
      </c>
      <c r="X18" s="21">
        <f t="shared" si="12"/>
        <v>119593.83008821239</v>
      </c>
      <c r="Y18" s="20">
        <f t="shared" si="1"/>
        <v>230000000</v>
      </c>
      <c r="Z18" s="20">
        <f t="shared" si="19"/>
        <v>380000000</v>
      </c>
      <c r="AA18" s="20">
        <f t="shared" si="13"/>
        <v>7692.7045427126814</v>
      </c>
    </row>
    <row r="19" spans="1:27" x14ac:dyDescent="0.35">
      <c r="A19" s="20">
        <v>18</v>
      </c>
      <c r="B19" s="20">
        <f t="shared" si="2"/>
        <v>350000000</v>
      </c>
      <c r="C19" s="21">
        <f t="shared" si="14"/>
        <v>348416691.65699226</v>
      </c>
      <c r="D19" s="21">
        <f t="shared" si="15"/>
        <v>1025218600</v>
      </c>
      <c r="E19" s="22">
        <f t="shared" si="20"/>
        <v>1520</v>
      </c>
      <c r="F19" s="22">
        <f t="shared" si="22"/>
        <v>6257</v>
      </c>
      <c r="G19" s="20">
        <f t="shared" si="3"/>
        <v>2502.8000000000002</v>
      </c>
      <c r="H19" s="20">
        <f t="shared" si="4"/>
        <v>3128.5</v>
      </c>
      <c r="I19" s="20">
        <f t="shared" si="5"/>
        <v>4171.333333333333</v>
      </c>
      <c r="J19" s="20">
        <f t="shared" si="6"/>
        <v>250000</v>
      </c>
      <c r="K19" s="20">
        <f t="shared" si="7"/>
        <v>156250</v>
      </c>
      <c r="L19" s="21">
        <f t="shared" si="8"/>
        <v>166666.66666666666</v>
      </c>
      <c r="M19" s="21">
        <f t="shared" si="9"/>
        <v>187500</v>
      </c>
      <c r="N19" s="21">
        <f t="shared" si="10"/>
        <v>252143.65843598126</v>
      </c>
      <c r="O19" s="23">
        <v>350</v>
      </c>
      <c r="P19" s="20">
        <f t="shared" si="11"/>
        <v>6400000</v>
      </c>
      <c r="Q19" s="20">
        <f t="shared" si="16"/>
        <v>6379158.6900123553</v>
      </c>
      <c r="S19" s="21">
        <f t="shared" si="0"/>
        <v>25.6</v>
      </c>
      <c r="T19" s="23">
        <f t="shared" ref="T19:T21" si="25">V19+0.08</f>
        <v>1.1800000000000002</v>
      </c>
      <c r="U19" s="22">
        <f t="shared" si="21"/>
        <v>1.494017094017094</v>
      </c>
      <c r="V19" s="23">
        <v>1.1000000000000001</v>
      </c>
      <c r="W19" s="21">
        <f t="shared" si="18"/>
        <v>22922.150766907405</v>
      </c>
      <c r="X19" s="21">
        <f t="shared" si="12"/>
        <v>91688.603067629621</v>
      </c>
      <c r="Y19" s="20">
        <f t="shared" si="1"/>
        <v>350000000</v>
      </c>
      <c r="Z19" s="20">
        <f t="shared" si="19"/>
        <v>580000000</v>
      </c>
      <c r="AA19" s="20">
        <f t="shared" si="13"/>
        <v>15269.073288938194</v>
      </c>
    </row>
    <row r="20" spans="1:27" s="33" customFormat="1" x14ac:dyDescent="0.35">
      <c r="A20" s="33">
        <v>19</v>
      </c>
      <c r="B20" s="33">
        <f t="shared" si="2"/>
        <v>480000000</v>
      </c>
      <c r="C20" s="34">
        <f t="shared" si="14"/>
        <v>484115824.19708401</v>
      </c>
      <c r="D20" s="34">
        <f t="shared" si="15"/>
        <v>1505218600</v>
      </c>
      <c r="E20" s="35">
        <f t="shared" si="20"/>
        <v>1920</v>
      </c>
      <c r="F20" s="35">
        <f t="shared" si="22"/>
        <v>8177</v>
      </c>
      <c r="G20" s="35">
        <f t="shared" si="3"/>
        <v>3270.8</v>
      </c>
      <c r="H20" s="35">
        <f t="shared" si="4"/>
        <v>4088.5</v>
      </c>
      <c r="I20" s="35">
        <f t="shared" si="5"/>
        <v>5451.333333333333</v>
      </c>
      <c r="J20" s="33">
        <f t="shared" si="6"/>
        <v>300000</v>
      </c>
      <c r="K20" s="33">
        <f t="shared" si="7"/>
        <v>187500</v>
      </c>
      <c r="L20" s="34">
        <f t="shared" si="8"/>
        <v>200000</v>
      </c>
      <c r="M20" s="34">
        <f t="shared" si="9"/>
        <v>225000</v>
      </c>
      <c r="N20" s="34">
        <f t="shared" si="10"/>
        <v>302572.39012317749</v>
      </c>
      <c r="O20" s="33">
        <v>400</v>
      </c>
      <c r="P20" s="33">
        <f t="shared" si="11"/>
        <v>8200000</v>
      </c>
      <c r="Q20" s="33">
        <f t="shared" si="16"/>
        <v>8165323.1232158151</v>
      </c>
      <c r="S20" s="34">
        <f t="shared" si="0"/>
        <v>27.333333333333332</v>
      </c>
      <c r="T20" s="33">
        <f t="shared" si="25"/>
        <v>1.28</v>
      </c>
      <c r="U20" s="35">
        <f t="shared" si="21"/>
        <v>1.3894736842105264</v>
      </c>
      <c r="V20" s="33">
        <v>1.2</v>
      </c>
      <c r="W20" s="34">
        <f t="shared" si="18"/>
        <v>50428.731687196239</v>
      </c>
      <c r="X20" s="34">
        <f t="shared" si="12"/>
        <v>201714.92674878496</v>
      </c>
      <c r="Y20" s="33">
        <f t="shared" si="1"/>
        <v>480000000</v>
      </c>
      <c r="Z20" s="33">
        <f t="shared" si="19"/>
        <v>830000000</v>
      </c>
      <c r="AA20" s="33">
        <f t="shared" si="13"/>
        <v>9518.383348948495</v>
      </c>
    </row>
    <row r="21" spans="1:27" x14ac:dyDescent="0.35">
      <c r="A21" s="20">
        <v>20</v>
      </c>
      <c r="B21" s="20">
        <f t="shared" si="2"/>
        <v>760000000</v>
      </c>
      <c r="C21" s="21">
        <f t="shared" si="14"/>
        <v>762482423.11040723</v>
      </c>
      <c r="D21" s="21">
        <f t="shared" si="15"/>
        <v>2265218600</v>
      </c>
      <c r="E21" s="22">
        <f t="shared" si="20"/>
        <v>2520</v>
      </c>
      <c r="F21" s="22">
        <f t="shared" si="22"/>
        <v>10697</v>
      </c>
      <c r="G21" s="20">
        <f t="shared" si="3"/>
        <v>4278.8</v>
      </c>
      <c r="H21" s="20">
        <f t="shared" si="4"/>
        <v>5348.5</v>
      </c>
      <c r="I21" s="20">
        <f t="shared" si="5"/>
        <v>7131.333333333333</v>
      </c>
      <c r="J21" s="20">
        <f t="shared" si="6"/>
        <v>350000</v>
      </c>
      <c r="K21" s="20">
        <f t="shared" si="7"/>
        <v>218750</v>
      </c>
      <c r="L21" s="21">
        <f t="shared" si="8"/>
        <v>233333.33333333334</v>
      </c>
      <c r="M21" s="21">
        <f t="shared" si="9"/>
        <v>262500</v>
      </c>
      <c r="N21" s="21">
        <f t="shared" si="10"/>
        <v>347958.24864165409</v>
      </c>
      <c r="O21" s="23">
        <v>600</v>
      </c>
      <c r="P21" s="20">
        <f t="shared" si="11"/>
        <v>10000000</v>
      </c>
      <c r="Q21" s="20">
        <f t="shared" si="16"/>
        <v>10043347.441555452</v>
      </c>
      <c r="S21" s="21">
        <f t="shared" si="0"/>
        <v>28.571428571428573</v>
      </c>
      <c r="T21" s="23">
        <f t="shared" si="25"/>
        <v>1.23</v>
      </c>
      <c r="U21" s="22">
        <f t="shared" si="21"/>
        <v>1.5749999999999997</v>
      </c>
      <c r="V21" s="23">
        <v>1.1499999999999999</v>
      </c>
      <c r="W21" s="21">
        <f t="shared" si="18"/>
        <v>45385.858518476598</v>
      </c>
      <c r="X21" s="21">
        <f t="shared" si="12"/>
        <v>181543.43407390639</v>
      </c>
      <c r="Y21" s="20">
        <f t="shared" si="1"/>
        <v>760000000</v>
      </c>
      <c r="Z21" s="20">
        <f t="shared" si="19"/>
        <v>1240000000</v>
      </c>
      <c r="AA21" s="20">
        <f t="shared" si="13"/>
        <v>16745.304039816801</v>
      </c>
    </row>
    <row r="25" spans="1:27" x14ac:dyDescent="0.35">
      <c r="U25" s="23">
        <v>6</v>
      </c>
      <c r="X25" s="23">
        <v>1.5</v>
      </c>
    </row>
    <row r="26" spans="1:27" x14ac:dyDescent="0.35">
      <c r="U26" s="23">
        <v>5</v>
      </c>
      <c r="X26" s="23">
        <v>1.5</v>
      </c>
    </row>
    <row r="27" spans="1:27" x14ac:dyDescent="0.35">
      <c r="U27" s="23">
        <v>4</v>
      </c>
      <c r="X27" s="23">
        <v>1.5</v>
      </c>
    </row>
    <row r="28" spans="1:27" x14ac:dyDescent="0.35">
      <c r="U28" s="23">
        <v>3</v>
      </c>
      <c r="X28" s="23">
        <v>1.5</v>
      </c>
    </row>
    <row r="29" spans="1:27" x14ac:dyDescent="0.35">
      <c r="U29" s="23">
        <v>2</v>
      </c>
      <c r="X29" s="23">
        <v>1.4</v>
      </c>
    </row>
    <row r="30" spans="1:27" x14ac:dyDescent="0.35">
      <c r="U30" s="30">
        <v>2</v>
      </c>
      <c r="X30" s="23">
        <v>1.4</v>
      </c>
    </row>
    <row r="31" spans="1:27" x14ac:dyDescent="0.35">
      <c r="U31" s="23">
        <v>1.8</v>
      </c>
      <c r="X31" s="23">
        <v>1.4</v>
      </c>
    </row>
    <row r="32" spans="1:27" x14ac:dyDescent="0.35">
      <c r="U32" s="23">
        <v>1.1000000000000001</v>
      </c>
      <c r="X32" s="23">
        <v>1.4</v>
      </c>
    </row>
    <row r="33" spans="19:24" x14ac:dyDescent="0.35">
      <c r="U33" s="23">
        <v>1.0900000000000001</v>
      </c>
      <c r="X33" s="23">
        <v>1.3</v>
      </c>
    </row>
    <row r="34" spans="19:24" x14ac:dyDescent="0.35">
      <c r="U34" s="30">
        <v>1.0900000000000001</v>
      </c>
      <c r="X34" s="23">
        <v>1.3</v>
      </c>
    </row>
    <row r="35" spans="19:24" x14ac:dyDescent="0.35">
      <c r="U35" s="23">
        <v>1.0900000000000001</v>
      </c>
      <c r="X35" s="23">
        <v>1.3</v>
      </c>
    </row>
    <row r="36" spans="19:24" x14ac:dyDescent="0.35">
      <c r="U36" s="23">
        <v>1.1000000000000001</v>
      </c>
      <c r="X36" s="23">
        <v>1.3</v>
      </c>
    </row>
    <row r="37" spans="19:24" x14ac:dyDescent="0.35">
      <c r="U37" s="23">
        <v>1.1599999999999999</v>
      </c>
      <c r="X37" s="23">
        <v>1.3</v>
      </c>
    </row>
    <row r="38" spans="19:24" x14ac:dyDescent="0.35">
      <c r="U38" s="23">
        <v>1.1399999999999999</v>
      </c>
      <c r="X38" s="23">
        <v>1.3</v>
      </c>
    </row>
    <row r="39" spans="19:24" x14ac:dyDescent="0.35">
      <c r="U39" s="23">
        <v>1.1200000000000001</v>
      </c>
      <c r="X39" s="23">
        <v>1.3</v>
      </c>
    </row>
    <row r="40" spans="19:24" x14ac:dyDescent="0.35">
      <c r="U40" s="23">
        <v>1.1000000000000001</v>
      </c>
      <c r="X40" s="23">
        <v>1.3</v>
      </c>
    </row>
    <row r="41" spans="19:24" x14ac:dyDescent="0.35">
      <c r="U41" s="23">
        <v>1.0900000000000001</v>
      </c>
      <c r="X41" s="23">
        <v>1.3</v>
      </c>
    </row>
    <row r="42" spans="19:24" x14ac:dyDescent="0.35">
      <c r="U42" s="23">
        <v>1.0900000000000001</v>
      </c>
      <c r="X42" s="23">
        <v>1.3</v>
      </c>
    </row>
    <row r="43" spans="19:24" x14ac:dyDescent="0.35">
      <c r="U43" s="23">
        <v>1.0900000000000001</v>
      </c>
      <c r="X43" s="23">
        <v>1.3</v>
      </c>
    </row>
    <row r="45" spans="19:24" x14ac:dyDescent="0.35">
      <c r="S45" s="20">
        <v>6</v>
      </c>
    </row>
    <row r="46" spans="19:24" x14ac:dyDescent="0.35">
      <c r="S46" s="20">
        <v>5</v>
      </c>
    </row>
    <row r="47" spans="19:24" x14ac:dyDescent="0.35">
      <c r="S47" s="20">
        <v>4</v>
      </c>
    </row>
    <row r="48" spans="19:24" x14ac:dyDescent="0.35">
      <c r="S48" s="20">
        <v>2</v>
      </c>
    </row>
    <row r="49" spans="19:19" x14ac:dyDescent="0.35">
      <c r="S49" s="20">
        <v>1.3</v>
      </c>
    </row>
    <row r="50" spans="19:19" x14ac:dyDescent="0.35">
      <c r="S50" s="20">
        <v>1.4</v>
      </c>
    </row>
    <row r="51" spans="19:19" x14ac:dyDescent="0.35">
      <c r="S51" s="20">
        <v>1.1000000000000001</v>
      </c>
    </row>
    <row r="52" spans="19:19" x14ac:dyDescent="0.35">
      <c r="S52" s="20">
        <v>1.1000000000000001</v>
      </c>
    </row>
    <row r="53" spans="19:19" x14ac:dyDescent="0.35">
      <c r="S53" s="20">
        <v>1.0900000000000001</v>
      </c>
    </row>
    <row r="54" spans="19:19" x14ac:dyDescent="0.35">
      <c r="S54" s="20">
        <v>1.0900000000000001</v>
      </c>
    </row>
    <row r="55" spans="19:19" x14ac:dyDescent="0.35">
      <c r="S55" s="20">
        <v>1.0900000000000001</v>
      </c>
    </row>
    <row r="56" spans="19:19" x14ac:dyDescent="0.35">
      <c r="S56" s="20">
        <v>1.1000000000000001</v>
      </c>
    </row>
    <row r="57" spans="19:19" x14ac:dyDescent="0.35">
      <c r="S57" s="20">
        <v>1.1599999999999999</v>
      </c>
    </row>
    <row r="58" spans="19:19" x14ac:dyDescent="0.35">
      <c r="S58" s="20">
        <v>1.1399999999999999</v>
      </c>
    </row>
    <row r="59" spans="19:19" x14ac:dyDescent="0.35">
      <c r="S59" s="20">
        <v>1.1200000000000001</v>
      </c>
    </row>
    <row r="60" spans="19:19" x14ac:dyDescent="0.35">
      <c r="S60" s="20">
        <v>1.1000000000000001</v>
      </c>
    </row>
    <row r="61" spans="19:19" x14ac:dyDescent="0.35">
      <c r="S61" s="20">
        <v>1.0900000000000001</v>
      </c>
    </row>
    <row r="62" spans="19:19" x14ac:dyDescent="0.35">
      <c r="S62" s="20">
        <v>1.05</v>
      </c>
    </row>
    <row r="63" spans="19:19" x14ac:dyDescent="0.35">
      <c r="S63" s="20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E47"/>
  <sheetViews>
    <sheetView workbookViewId="0">
      <selection activeCell="I22" sqref="I22"/>
    </sheetView>
  </sheetViews>
  <sheetFormatPr defaultColWidth="9.125" defaultRowHeight="16.5" x14ac:dyDescent="0.15"/>
  <cols>
    <col min="1" max="1" width="9.125" style="40"/>
    <col min="2" max="2" width="10.25" style="2" bestFit="1" customWidth="1"/>
    <col min="3" max="3" width="17" style="2" bestFit="1" customWidth="1"/>
    <col min="4" max="4" width="17" style="2" customWidth="1"/>
    <col min="5" max="5" width="9.125" style="43"/>
    <col min="6" max="16384" width="9.125" style="1"/>
  </cols>
  <sheetData>
    <row r="1" spans="1:5" x14ac:dyDescent="0.15">
      <c r="B1" s="2" t="s">
        <v>4</v>
      </c>
      <c r="C1" s="2" t="s">
        <v>242</v>
      </c>
      <c r="D1" s="2" t="s">
        <v>242</v>
      </c>
    </row>
    <row r="2" spans="1:5" x14ac:dyDescent="0.15">
      <c r="B2" s="2" t="s">
        <v>161</v>
      </c>
      <c r="C2" s="2" t="s">
        <v>161</v>
      </c>
      <c r="D2" s="2" t="s">
        <v>241</v>
      </c>
    </row>
    <row r="3" spans="1:5" x14ac:dyDescent="0.15">
      <c r="B3" s="2" t="s">
        <v>199</v>
      </c>
      <c r="C3" s="2" t="s">
        <v>239</v>
      </c>
      <c r="D3" s="2" t="s">
        <v>240</v>
      </c>
    </row>
    <row r="4" spans="1:5" s="3" customFormat="1" ht="17.25" thickBot="1" x14ac:dyDescent="0.2">
      <c r="A4" s="41" t="s">
        <v>162</v>
      </c>
      <c r="B4" s="6" t="s">
        <v>198</v>
      </c>
      <c r="C4" s="6" t="s">
        <v>163</v>
      </c>
      <c r="D4" s="6" t="s">
        <v>238</v>
      </c>
      <c r="E4" s="41" t="s">
        <v>185</v>
      </c>
    </row>
    <row r="5" spans="1:5" s="5" customFormat="1" x14ac:dyDescent="0.15">
      <c r="A5" s="42"/>
      <c r="B5" s="2" t="s">
        <v>160</v>
      </c>
      <c r="C5" s="2" t="s">
        <v>165</v>
      </c>
      <c r="D5" s="2" t="s">
        <v>243</v>
      </c>
      <c r="E5" s="44"/>
    </row>
    <row r="6" spans="1:5" s="5" customFormat="1" x14ac:dyDescent="0.15">
      <c r="A6" s="42"/>
      <c r="B6" s="7" t="s">
        <v>107</v>
      </c>
      <c r="C6" s="2" t="s">
        <v>166</v>
      </c>
      <c r="D6" s="2"/>
      <c r="E6" s="44"/>
    </row>
    <row r="7" spans="1:5" s="5" customFormat="1" x14ac:dyDescent="0.15">
      <c r="A7" s="42"/>
      <c r="B7" s="2" t="s">
        <v>106</v>
      </c>
      <c r="C7" s="2" t="s">
        <v>167</v>
      </c>
      <c r="D7" s="2" t="s">
        <v>243</v>
      </c>
      <c r="E7" s="44"/>
    </row>
    <row r="8" spans="1:5" s="5" customFormat="1" x14ac:dyDescent="0.15">
      <c r="A8" s="42"/>
      <c r="B8" s="2" t="s">
        <v>108</v>
      </c>
      <c r="C8" s="2" t="s">
        <v>168</v>
      </c>
      <c r="D8" s="2"/>
      <c r="E8" s="44"/>
    </row>
    <row r="9" spans="1:5" s="5" customFormat="1" x14ac:dyDescent="0.15">
      <c r="A9" s="42"/>
      <c r="B9" s="2" t="s">
        <v>109</v>
      </c>
      <c r="C9" s="2" t="s">
        <v>169</v>
      </c>
      <c r="D9" s="2" t="s">
        <v>243</v>
      </c>
      <c r="E9" s="44"/>
    </row>
    <row r="10" spans="1:5" s="5" customFormat="1" x14ac:dyDescent="0.15">
      <c r="A10" s="42"/>
      <c r="B10" s="2" t="s">
        <v>110</v>
      </c>
      <c r="C10" s="2" t="s">
        <v>168</v>
      </c>
      <c r="D10" s="2"/>
      <c r="E10" s="44"/>
    </row>
    <row r="11" spans="1:5" s="5" customFormat="1" x14ac:dyDescent="0.15">
      <c r="A11" s="42"/>
      <c r="B11" s="2" t="s">
        <v>111</v>
      </c>
      <c r="C11" s="2" t="s">
        <v>170</v>
      </c>
      <c r="D11" s="2" t="s">
        <v>243</v>
      </c>
      <c r="E11" s="44"/>
    </row>
    <row r="12" spans="1:5" s="5" customFormat="1" x14ac:dyDescent="0.15">
      <c r="A12" s="42"/>
      <c r="B12" s="2" t="s">
        <v>112</v>
      </c>
      <c r="C12" s="2" t="s">
        <v>168</v>
      </c>
      <c r="D12" s="2"/>
      <c r="E12" s="44"/>
    </row>
    <row r="13" spans="1:5" s="5" customFormat="1" x14ac:dyDescent="0.15">
      <c r="A13" s="42"/>
      <c r="B13" s="2" t="s">
        <v>113</v>
      </c>
      <c r="C13" s="2" t="s">
        <v>171</v>
      </c>
      <c r="D13" s="2" t="s">
        <v>243</v>
      </c>
      <c r="E13" s="44"/>
    </row>
    <row r="14" spans="1:5" s="5" customFormat="1" x14ac:dyDescent="0.15">
      <c r="A14" s="42"/>
      <c r="B14" s="2" t="s">
        <v>114</v>
      </c>
      <c r="C14" s="2" t="s">
        <v>172</v>
      </c>
      <c r="D14" s="2"/>
      <c r="E14" s="44"/>
    </row>
    <row r="15" spans="1:5" s="5" customFormat="1" x14ac:dyDescent="0.15">
      <c r="A15" s="42"/>
      <c r="B15" s="2" t="s">
        <v>149</v>
      </c>
      <c r="C15" s="2" t="s">
        <v>173</v>
      </c>
      <c r="D15" s="2" t="s">
        <v>243</v>
      </c>
      <c r="E15" s="44"/>
    </row>
    <row r="16" spans="1:5" s="5" customFormat="1" x14ac:dyDescent="0.15">
      <c r="A16" s="42"/>
      <c r="B16" s="2" t="s">
        <v>115</v>
      </c>
      <c r="C16" s="2" t="s">
        <v>174</v>
      </c>
      <c r="D16" s="2"/>
      <c r="E16" s="44"/>
    </row>
    <row r="17" spans="1:5" s="5" customFormat="1" x14ac:dyDescent="0.15">
      <c r="A17" s="42"/>
      <c r="B17" s="2" t="s">
        <v>116</v>
      </c>
      <c r="C17" s="2" t="s">
        <v>175</v>
      </c>
      <c r="D17" s="2" t="s">
        <v>243</v>
      </c>
      <c r="E17" s="44"/>
    </row>
    <row r="18" spans="1:5" s="5" customFormat="1" x14ac:dyDescent="0.15">
      <c r="A18" s="42"/>
      <c r="B18" s="8" t="s">
        <v>117</v>
      </c>
      <c r="C18" s="2" t="s">
        <v>176</v>
      </c>
      <c r="D18" s="2"/>
      <c r="E18" s="44"/>
    </row>
    <row r="19" spans="1:5" s="5" customFormat="1" x14ac:dyDescent="0.15">
      <c r="A19" s="42"/>
      <c r="B19" s="8" t="s">
        <v>118</v>
      </c>
      <c r="C19" s="2" t="s">
        <v>177</v>
      </c>
      <c r="D19" s="2" t="s">
        <v>243</v>
      </c>
      <c r="E19" s="44"/>
    </row>
    <row r="20" spans="1:5" s="5" customFormat="1" x14ac:dyDescent="0.15">
      <c r="A20" s="42"/>
      <c r="B20" s="8" t="s">
        <v>119</v>
      </c>
      <c r="C20" s="2" t="s">
        <v>178</v>
      </c>
      <c r="D20" s="2"/>
      <c r="E20" s="44"/>
    </row>
    <row r="21" spans="1:5" s="5" customFormat="1" x14ac:dyDescent="0.15">
      <c r="A21" s="42"/>
      <c r="B21" s="2" t="s">
        <v>120</v>
      </c>
      <c r="C21" s="2" t="s">
        <v>179</v>
      </c>
      <c r="D21" s="2" t="s">
        <v>243</v>
      </c>
      <c r="E21" s="44"/>
    </row>
    <row r="22" spans="1:5" s="5" customFormat="1" x14ac:dyDescent="0.15">
      <c r="A22" s="42"/>
      <c r="B22" s="2" t="s">
        <v>121</v>
      </c>
      <c r="C22" s="2" t="s">
        <v>174</v>
      </c>
      <c r="D22" s="2"/>
      <c r="E22" s="44"/>
    </row>
    <row r="23" spans="1:5" s="5" customFormat="1" x14ac:dyDescent="0.15">
      <c r="A23" s="42"/>
      <c r="B23" s="8" t="s">
        <v>142</v>
      </c>
      <c r="C23" s="2" t="s">
        <v>245</v>
      </c>
      <c r="D23" s="2" t="s">
        <v>246</v>
      </c>
      <c r="E23" s="44"/>
    </row>
    <row r="24" spans="1:5" x14ac:dyDescent="0.15">
      <c r="B24" s="8" t="s">
        <v>164</v>
      </c>
      <c r="C24" s="2" t="s">
        <v>180</v>
      </c>
      <c r="D24" s="2" t="s">
        <v>244</v>
      </c>
    </row>
    <row r="25" spans="1:5" x14ac:dyDescent="0.15">
      <c r="B25" s="8" t="s">
        <v>122</v>
      </c>
      <c r="C25" s="2" t="s">
        <v>181</v>
      </c>
    </row>
    <row r="26" spans="1:5" x14ac:dyDescent="0.15">
      <c r="B26" s="8" t="s">
        <v>123</v>
      </c>
      <c r="C26" s="2" t="s">
        <v>182</v>
      </c>
    </row>
    <row r="27" spans="1:5" x14ac:dyDescent="0.15">
      <c r="B27" s="8" t="s">
        <v>124</v>
      </c>
      <c r="C27" s="2" t="s">
        <v>183</v>
      </c>
    </row>
    <row r="28" spans="1:5" ht="17.25" customHeight="1" x14ac:dyDescent="0.15">
      <c r="B28" s="8" t="s">
        <v>125</v>
      </c>
      <c r="C28" s="2" t="s">
        <v>184</v>
      </c>
    </row>
    <row r="29" spans="1:5" ht="17.25" customHeight="1" x14ac:dyDescent="0.15">
      <c r="B29" s="8" t="s">
        <v>247</v>
      </c>
      <c r="C29" s="2" t="s">
        <v>250</v>
      </c>
    </row>
    <row r="30" spans="1:5" ht="17.25" customHeight="1" x14ac:dyDescent="0.15">
      <c r="B30" s="8" t="s">
        <v>248</v>
      </c>
      <c r="C30" s="2" t="s">
        <v>251</v>
      </c>
    </row>
    <row r="31" spans="1:5" ht="17.25" customHeight="1" x14ac:dyDescent="0.15">
      <c r="B31" s="8" t="s">
        <v>249</v>
      </c>
      <c r="C31" s="2" t="s">
        <v>252</v>
      </c>
    </row>
    <row r="32" spans="1:5" x14ac:dyDescent="0.15">
      <c r="B32" s="8" t="s">
        <v>150</v>
      </c>
      <c r="C32" s="2" t="s">
        <v>183</v>
      </c>
      <c r="E32" s="43" t="s">
        <v>186</v>
      </c>
    </row>
    <row r="33" spans="2:4" x14ac:dyDescent="0.15">
      <c r="B33" s="8" t="s">
        <v>151</v>
      </c>
      <c r="C33" s="2" t="s">
        <v>187</v>
      </c>
    </row>
    <row r="34" spans="2:4" x14ac:dyDescent="0.15">
      <c r="B34" s="8" t="s">
        <v>126</v>
      </c>
      <c r="C34" s="2" t="s">
        <v>188</v>
      </c>
      <c r="D34" s="2" t="s">
        <v>243</v>
      </c>
    </row>
    <row r="35" spans="2:4" ht="15.75" customHeight="1" x14ac:dyDescent="0.15">
      <c r="B35" s="8" t="s">
        <v>127</v>
      </c>
      <c r="C35" s="2" t="s">
        <v>187</v>
      </c>
    </row>
    <row r="36" spans="2:4" x14ac:dyDescent="0.15">
      <c r="B36" s="2" t="s">
        <v>128</v>
      </c>
      <c r="C36" s="2" t="s">
        <v>189</v>
      </c>
      <c r="D36" s="2" t="s">
        <v>243</v>
      </c>
    </row>
    <row r="37" spans="2:4" x14ac:dyDescent="0.15">
      <c r="B37" s="2" t="s">
        <v>129</v>
      </c>
      <c r="C37" s="2" t="s">
        <v>190</v>
      </c>
    </row>
    <row r="38" spans="2:4" x14ac:dyDescent="0.15">
      <c r="B38" s="2" t="s">
        <v>130</v>
      </c>
      <c r="C38" s="2" t="s">
        <v>191</v>
      </c>
      <c r="D38" s="2" t="s">
        <v>243</v>
      </c>
    </row>
    <row r="39" spans="2:4" x14ac:dyDescent="0.15">
      <c r="B39" s="2" t="s">
        <v>131</v>
      </c>
      <c r="C39" s="2" t="s">
        <v>192</v>
      </c>
    </row>
    <row r="40" spans="2:4" x14ac:dyDescent="0.15">
      <c r="B40" s="2" t="s">
        <v>132</v>
      </c>
      <c r="C40" s="2" t="s">
        <v>193</v>
      </c>
      <c r="D40" s="2" t="s">
        <v>243</v>
      </c>
    </row>
    <row r="41" spans="2:4" x14ac:dyDescent="0.15">
      <c r="B41" s="2" t="s">
        <v>133</v>
      </c>
      <c r="C41" s="2" t="s">
        <v>194</v>
      </c>
    </row>
    <row r="42" spans="2:4" x14ac:dyDescent="0.15">
      <c r="B42" s="8" t="s">
        <v>134</v>
      </c>
      <c r="C42" s="2" t="s">
        <v>195</v>
      </c>
      <c r="D42" s="2" t="s">
        <v>243</v>
      </c>
    </row>
    <row r="43" spans="2:4" x14ac:dyDescent="0.15">
      <c r="B43" s="8" t="s">
        <v>135</v>
      </c>
      <c r="C43" s="2" t="s">
        <v>168</v>
      </c>
    </row>
    <row r="44" spans="2:4" x14ac:dyDescent="0.15">
      <c r="B44" s="8" t="s">
        <v>152</v>
      </c>
      <c r="C44" s="2" t="s">
        <v>179</v>
      </c>
      <c r="D44" s="2" t="s">
        <v>243</v>
      </c>
    </row>
    <row r="45" spans="2:4" x14ac:dyDescent="0.15">
      <c r="B45" s="8" t="s">
        <v>153</v>
      </c>
      <c r="C45" s="2" t="s">
        <v>174</v>
      </c>
    </row>
    <row r="46" spans="2:4" x14ac:dyDescent="0.15">
      <c r="B46" s="8" t="s">
        <v>136</v>
      </c>
      <c r="C46" s="2" t="s">
        <v>196</v>
      </c>
    </row>
    <row r="47" spans="2:4" x14ac:dyDescent="0.15">
      <c r="B47" s="8" t="s">
        <v>137</v>
      </c>
      <c r="C47" s="2" t="s">
        <v>197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160</v>
      </c>
      <c r="C3" s="7" t="s">
        <v>107</v>
      </c>
    </row>
    <row r="4" spans="1:3" s="3" customFormat="1" ht="17.2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106</v>
      </c>
      <c r="C3" s="2" t="s">
        <v>108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109</v>
      </c>
      <c r="C3" s="2" t="s">
        <v>110</v>
      </c>
    </row>
    <row r="4" spans="1:3" s="3" customFormat="1" ht="17.25" thickBot="1" x14ac:dyDescent="0.2">
      <c r="A4" s="6" t="s">
        <v>0</v>
      </c>
      <c r="B4" s="6" t="s">
        <v>51</v>
      </c>
      <c r="C4" s="6" t="s">
        <v>52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111</v>
      </c>
      <c r="C3" s="2" t="s">
        <v>112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113</v>
      </c>
      <c r="C3" s="2" t="s">
        <v>114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149</v>
      </c>
      <c r="C3" s="2" t="s">
        <v>115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H23" sqref="H23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116</v>
      </c>
      <c r="C3" s="8" t="s">
        <v>117</v>
      </c>
    </row>
    <row r="4" spans="1:3" s="3" customFormat="1" ht="17.25" thickBot="1" x14ac:dyDescent="0.2">
      <c r="A4" s="6" t="s">
        <v>0</v>
      </c>
      <c r="B4" s="6" t="s">
        <v>31</v>
      </c>
      <c r="C4" s="10" t="s">
        <v>32</v>
      </c>
    </row>
    <row r="5" spans="1:3" s="5" customFormat="1" x14ac:dyDescent="0.15">
      <c r="A5" s="2">
        <v>1</v>
      </c>
      <c r="B5" s="2">
        <v>100</v>
      </c>
      <c r="C5" s="9">
        <v>500</v>
      </c>
    </row>
    <row r="6" spans="1:3" s="5" customFormat="1" x14ac:dyDescent="0.15">
      <c r="A6" s="2">
        <v>2</v>
      </c>
      <c r="B6" s="2">
        <v>150</v>
      </c>
      <c r="C6" s="9">
        <v>900</v>
      </c>
    </row>
    <row r="7" spans="1:3" s="5" customFormat="1" x14ac:dyDescent="0.15">
      <c r="A7" s="2">
        <v>3</v>
      </c>
      <c r="B7" s="2">
        <v>300</v>
      </c>
      <c r="C7" s="9">
        <v>2500</v>
      </c>
    </row>
    <row r="8" spans="1:3" s="5" customFormat="1" x14ac:dyDescent="0.15">
      <c r="A8" s="2">
        <v>4</v>
      </c>
      <c r="B8" s="2">
        <v>900</v>
      </c>
      <c r="C8" s="9">
        <v>8600</v>
      </c>
    </row>
    <row r="9" spans="1:3" s="5" customFormat="1" x14ac:dyDescent="0.15">
      <c r="A9" s="2">
        <v>5</v>
      </c>
      <c r="B9" s="2">
        <v>1800</v>
      </c>
      <c r="C9" s="9">
        <v>21000</v>
      </c>
    </row>
    <row r="10" spans="1:3" s="5" customFormat="1" x14ac:dyDescent="0.15">
      <c r="A10" s="2">
        <v>6</v>
      </c>
      <c r="B10" s="2">
        <v>2500</v>
      </c>
      <c r="C10" s="9">
        <v>37000</v>
      </c>
    </row>
    <row r="11" spans="1:3" s="5" customFormat="1" x14ac:dyDescent="0.15">
      <c r="A11" s="2">
        <v>7</v>
      </c>
      <c r="B11" s="2">
        <v>3500</v>
      </c>
      <c r="C11" s="9">
        <v>67000</v>
      </c>
    </row>
    <row r="12" spans="1:3" s="5" customFormat="1" x14ac:dyDescent="0.15">
      <c r="A12" s="2">
        <v>8</v>
      </c>
      <c r="B12" s="2">
        <v>4600</v>
      </c>
      <c r="C12" s="9">
        <v>110000</v>
      </c>
    </row>
    <row r="13" spans="1:3" s="5" customFormat="1" x14ac:dyDescent="0.15">
      <c r="A13" s="2">
        <v>9</v>
      </c>
      <c r="B13" s="2">
        <v>5500</v>
      </c>
      <c r="C13" s="9">
        <v>170000</v>
      </c>
    </row>
    <row r="14" spans="1:3" s="5" customFormat="1" x14ac:dyDescent="0.15">
      <c r="A14" s="2">
        <v>10</v>
      </c>
      <c r="B14" s="2">
        <v>6600</v>
      </c>
      <c r="C14" s="9">
        <v>250000</v>
      </c>
    </row>
    <row r="15" spans="1:3" s="5" customFormat="1" x14ac:dyDescent="0.15">
      <c r="A15" s="2">
        <v>11</v>
      </c>
      <c r="B15" s="2">
        <v>7200</v>
      </c>
      <c r="C15" s="9">
        <v>330000</v>
      </c>
    </row>
    <row r="16" spans="1:3" s="5" customFormat="1" x14ac:dyDescent="0.15">
      <c r="A16" s="2">
        <v>12</v>
      </c>
      <c r="B16" s="2">
        <v>8600</v>
      </c>
      <c r="C16" s="9">
        <v>460000</v>
      </c>
    </row>
    <row r="17" spans="1:3" s="5" customFormat="1" x14ac:dyDescent="0.15">
      <c r="A17" s="2">
        <v>13</v>
      </c>
      <c r="B17" s="2">
        <v>9500</v>
      </c>
      <c r="C17" s="9">
        <v>600000</v>
      </c>
    </row>
    <row r="18" spans="1:3" s="5" customFormat="1" x14ac:dyDescent="0.15">
      <c r="A18" s="2">
        <v>14</v>
      </c>
      <c r="B18" s="2">
        <v>11000</v>
      </c>
      <c r="C18" s="9">
        <v>810000</v>
      </c>
    </row>
    <row r="19" spans="1:3" s="5" customFormat="1" x14ac:dyDescent="0.15">
      <c r="A19" s="2">
        <v>15</v>
      </c>
      <c r="B19" s="2">
        <v>13000</v>
      </c>
      <c r="C19" s="9">
        <v>1000000</v>
      </c>
    </row>
    <row r="20" spans="1:3" s="5" customFormat="1" x14ac:dyDescent="0.15">
      <c r="A20" s="2">
        <v>16</v>
      </c>
      <c r="B20" s="2">
        <v>15000</v>
      </c>
      <c r="C20" s="9">
        <v>1300000</v>
      </c>
    </row>
    <row r="21" spans="1:3" s="5" customFormat="1" x14ac:dyDescent="0.15">
      <c r="A21" s="2">
        <v>17</v>
      </c>
      <c r="B21" s="2">
        <v>17000</v>
      </c>
      <c r="C21" s="9">
        <v>1600000</v>
      </c>
    </row>
    <row r="22" spans="1:3" s="5" customFormat="1" x14ac:dyDescent="0.15">
      <c r="A22" s="2">
        <v>18</v>
      </c>
      <c r="B22" s="2">
        <v>19000</v>
      </c>
      <c r="C22" s="9">
        <v>1900000</v>
      </c>
    </row>
    <row r="23" spans="1:3" s="5" customFormat="1" x14ac:dyDescent="0.15">
      <c r="A23" s="2">
        <v>19</v>
      </c>
      <c r="B23" s="2">
        <v>23000</v>
      </c>
      <c r="C23" s="9">
        <v>2400000</v>
      </c>
    </row>
    <row r="24" spans="1:3" s="5" customFormat="1" x14ac:dyDescent="0.15">
      <c r="A24" s="2">
        <v>20</v>
      </c>
      <c r="B24" s="2">
        <v>26000</v>
      </c>
      <c r="C24" s="9">
        <v>3100000</v>
      </c>
    </row>
    <row r="25" spans="1:3" s="5" customFormat="1" x14ac:dyDescent="0.15">
      <c r="A25" s="2"/>
      <c r="B25" s="2"/>
      <c r="C25" s="9"/>
    </row>
    <row r="26" spans="1:3" s="5" customFormat="1" x14ac:dyDescent="0.15">
      <c r="A26" s="2"/>
      <c r="B26" s="2"/>
      <c r="C26" s="9"/>
    </row>
    <row r="27" spans="1:3" s="5" customFormat="1" x14ac:dyDescent="0.15">
      <c r="A27" s="2"/>
      <c r="B27" s="2"/>
      <c r="C27" s="9"/>
    </row>
    <row r="28" spans="1:3" s="5" customFormat="1" x14ac:dyDescent="0.15">
      <c r="A28" s="2"/>
      <c r="B28" s="2"/>
      <c r="C28" s="9"/>
    </row>
    <row r="29" spans="1:3" s="5" customFormat="1" x14ac:dyDescent="0.15">
      <c r="A29" s="2"/>
      <c r="B29" s="2"/>
      <c r="C29" s="9"/>
    </row>
    <row r="30" spans="1:3" s="5" customFormat="1" x14ac:dyDescent="0.15">
      <c r="A30" s="2"/>
      <c r="B30" s="2"/>
      <c r="C30" s="9"/>
    </row>
    <row r="31" spans="1:3" s="5" customFormat="1" x14ac:dyDescent="0.15">
      <c r="A31" s="2"/>
      <c r="B31" s="2"/>
      <c r="C31" s="9"/>
    </row>
    <row r="32" spans="1:3" s="5" customFormat="1" x14ac:dyDescent="0.15">
      <c r="A32" s="2"/>
      <c r="B32" s="2"/>
      <c r="C32" s="9"/>
    </row>
    <row r="33" spans="1:3" s="5" customFormat="1" x14ac:dyDescent="0.15">
      <c r="A33" s="2"/>
      <c r="B33" s="2"/>
      <c r="C33" s="9"/>
    </row>
    <row r="34" spans="1:3" s="3" customFormat="1" ht="17.25" thickBot="1" x14ac:dyDescent="0.2">
      <c r="A34" s="4"/>
      <c r="B34" s="4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118</v>
      </c>
      <c r="C3" s="8" t="s">
        <v>119</v>
      </c>
    </row>
    <row r="4" spans="1:3" s="3" customFormat="1" ht="17.25" thickBot="1" x14ac:dyDescent="0.2">
      <c r="A4" s="6" t="s">
        <v>0</v>
      </c>
      <c r="B4" s="10" t="s">
        <v>29</v>
      </c>
      <c r="C4" s="10" t="s">
        <v>22</v>
      </c>
    </row>
    <row r="5" spans="1:3" s="5" customFormat="1" x14ac:dyDescent="0.15">
      <c r="A5" s="2">
        <v>1</v>
      </c>
      <c r="B5" s="9">
        <v>100</v>
      </c>
      <c r="C5" s="9">
        <v>500</v>
      </c>
    </row>
    <row r="6" spans="1:3" s="5" customFormat="1" x14ac:dyDescent="0.15">
      <c r="A6" s="2">
        <v>2</v>
      </c>
      <c r="B6" s="9">
        <v>150</v>
      </c>
      <c r="C6" s="9">
        <v>900</v>
      </c>
    </row>
    <row r="7" spans="1:3" s="5" customFormat="1" x14ac:dyDescent="0.15">
      <c r="A7" s="2">
        <v>3</v>
      </c>
      <c r="B7" s="9">
        <v>300</v>
      </c>
      <c r="C7" s="9">
        <v>2500</v>
      </c>
    </row>
    <row r="8" spans="1:3" s="5" customFormat="1" x14ac:dyDescent="0.15">
      <c r="A8" s="2">
        <v>4</v>
      </c>
      <c r="B8" s="9">
        <v>900</v>
      </c>
      <c r="C8" s="9">
        <v>8600</v>
      </c>
    </row>
    <row r="9" spans="1:3" s="5" customFormat="1" x14ac:dyDescent="0.15">
      <c r="A9" s="2">
        <v>5</v>
      </c>
      <c r="B9" s="9">
        <v>1800</v>
      </c>
      <c r="C9" s="9">
        <v>21000</v>
      </c>
    </row>
    <row r="10" spans="1:3" x14ac:dyDescent="0.15">
      <c r="A10" s="2">
        <v>6</v>
      </c>
      <c r="B10" s="9">
        <v>2500</v>
      </c>
      <c r="C10" s="8">
        <v>37000</v>
      </c>
    </row>
    <row r="11" spans="1:3" x14ac:dyDescent="0.15">
      <c r="A11" s="2">
        <v>7</v>
      </c>
      <c r="B11" s="9">
        <v>3500</v>
      </c>
      <c r="C11" s="8">
        <v>67000</v>
      </c>
    </row>
    <row r="12" spans="1:3" x14ac:dyDescent="0.15">
      <c r="A12" s="2">
        <v>8</v>
      </c>
      <c r="B12" s="9">
        <v>4600</v>
      </c>
      <c r="C12" s="8">
        <v>110000</v>
      </c>
    </row>
    <row r="13" spans="1:3" x14ac:dyDescent="0.15">
      <c r="A13" s="2">
        <v>9</v>
      </c>
      <c r="B13" s="9">
        <v>5500</v>
      </c>
      <c r="C13" s="8">
        <v>170000</v>
      </c>
    </row>
    <row r="14" spans="1:3" x14ac:dyDescent="0.15">
      <c r="A14" s="2">
        <v>10</v>
      </c>
      <c r="B14" s="9">
        <v>6600</v>
      </c>
      <c r="C14" s="8">
        <v>250000</v>
      </c>
    </row>
    <row r="15" spans="1:3" x14ac:dyDescent="0.15">
      <c r="A15" s="2">
        <v>11</v>
      </c>
      <c r="B15" s="9">
        <v>7200</v>
      </c>
      <c r="C15" s="8">
        <v>330000</v>
      </c>
    </row>
    <row r="16" spans="1:3" x14ac:dyDescent="0.15">
      <c r="A16" s="2">
        <v>12</v>
      </c>
      <c r="B16" s="9">
        <v>8600</v>
      </c>
      <c r="C16" s="8">
        <v>460000</v>
      </c>
    </row>
    <row r="17" spans="1:3" x14ac:dyDescent="0.15">
      <c r="A17" s="2">
        <v>13</v>
      </c>
      <c r="B17" s="9">
        <v>9500</v>
      </c>
      <c r="C17" s="8">
        <v>600000</v>
      </c>
    </row>
    <row r="18" spans="1:3" x14ac:dyDescent="0.15">
      <c r="A18" s="2">
        <v>14</v>
      </c>
      <c r="B18" s="9">
        <v>11000</v>
      </c>
      <c r="C18" s="8">
        <v>810000</v>
      </c>
    </row>
    <row r="19" spans="1:3" x14ac:dyDescent="0.15">
      <c r="A19" s="2">
        <v>15</v>
      </c>
      <c r="B19" s="9">
        <v>13000</v>
      </c>
      <c r="C19" s="8">
        <v>1000000</v>
      </c>
    </row>
    <row r="20" spans="1:3" x14ac:dyDescent="0.15">
      <c r="A20" s="2">
        <v>16</v>
      </c>
      <c r="B20" s="9">
        <v>15000</v>
      </c>
      <c r="C20" s="8">
        <v>1300000</v>
      </c>
    </row>
    <row r="21" spans="1:3" x14ac:dyDescent="0.15">
      <c r="A21" s="2">
        <v>17</v>
      </c>
      <c r="B21" s="9">
        <v>17000</v>
      </c>
      <c r="C21" s="8">
        <v>1600000</v>
      </c>
    </row>
    <row r="22" spans="1:3" x14ac:dyDescent="0.15">
      <c r="A22" s="2">
        <v>18</v>
      </c>
      <c r="B22" s="9">
        <v>19000</v>
      </c>
      <c r="C22" s="8">
        <v>1900000</v>
      </c>
    </row>
    <row r="23" spans="1:3" x14ac:dyDescent="0.15">
      <c r="A23" s="2">
        <v>19</v>
      </c>
      <c r="B23" s="9">
        <v>23000</v>
      </c>
      <c r="C23" s="8">
        <v>2400000</v>
      </c>
    </row>
    <row r="24" spans="1:3" x14ac:dyDescent="0.15">
      <c r="A24" s="2">
        <v>20</v>
      </c>
      <c r="B24" s="9">
        <v>26000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120</v>
      </c>
      <c r="C3" s="2" t="s">
        <v>121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B5" sqref="B5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142</v>
      </c>
    </row>
    <row r="4" spans="1:7" s="3" customFormat="1" ht="17.25" thickBot="1" x14ac:dyDescent="0.2">
      <c r="A4" s="6" t="s">
        <v>0</v>
      </c>
      <c r="B4" s="10" t="s">
        <v>200</v>
      </c>
    </row>
    <row r="5" spans="1:7" s="5" customFormat="1" x14ac:dyDescent="0.15">
      <c r="A5" s="2">
        <v>1</v>
      </c>
      <c r="B5" s="9">
        <v>900</v>
      </c>
    </row>
    <row r="6" spans="1:7" s="5" customFormat="1" x14ac:dyDescent="0.15">
      <c r="A6" s="2">
        <v>2</v>
      </c>
      <c r="B6" s="9">
        <v>1800</v>
      </c>
    </row>
    <row r="7" spans="1:7" s="5" customFormat="1" x14ac:dyDescent="0.15">
      <c r="A7" s="2">
        <v>3</v>
      </c>
      <c r="B7" s="9">
        <v>2700</v>
      </c>
    </row>
    <row r="8" spans="1:7" s="5" customFormat="1" x14ac:dyDescent="0.15">
      <c r="A8" s="2">
        <v>4</v>
      </c>
      <c r="B8" s="9">
        <v>3600</v>
      </c>
    </row>
    <row r="9" spans="1:7" s="5" customFormat="1" x14ac:dyDescent="0.15">
      <c r="A9" s="2">
        <v>5</v>
      </c>
      <c r="B9" s="9">
        <v>4500</v>
      </c>
    </row>
    <row r="10" spans="1:7" x14ac:dyDescent="0.15">
      <c r="A10" s="2">
        <v>6</v>
      </c>
      <c r="B10" s="9">
        <v>5400</v>
      </c>
      <c r="F10" s="5"/>
      <c r="G10" s="5"/>
    </row>
    <row r="11" spans="1:7" x14ac:dyDescent="0.15">
      <c r="A11" s="2">
        <v>7</v>
      </c>
      <c r="B11" s="9">
        <v>6300</v>
      </c>
      <c r="F11" s="5"/>
      <c r="G11" s="5"/>
    </row>
    <row r="12" spans="1:7" x14ac:dyDescent="0.15">
      <c r="A12" s="2">
        <v>8</v>
      </c>
      <c r="B12" s="9">
        <v>7200</v>
      </c>
      <c r="F12" s="5"/>
      <c r="G12" s="5"/>
    </row>
    <row r="13" spans="1:7" x14ac:dyDescent="0.15">
      <c r="A13" s="2">
        <v>9</v>
      </c>
      <c r="B13" s="9">
        <v>8100</v>
      </c>
      <c r="F13" s="5"/>
      <c r="G13" s="5"/>
    </row>
    <row r="14" spans="1:7" x14ac:dyDescent="0.15">
      <c r="A14" s="2">
        <v>10</v>
      </c>
      <c r="B14" s="9">
        <v>9000</v>
      </c>
      <c r="F14" s="5"/>
      <c r="G14" s="5"/>
    </row>
    <row r="15" spans="1:7" x14ac:dyDescent="0.15">
      <c r="A15" s="2">
        <v>11</v>
      </c>
      <c r="B15" s="9">
        <v>9900</v>
      </c>
      <c r="F15" s="5"/>
      <c r="G15" s="5"/>
    </row>
    <row r="16" spans="1:7" x14ac:dyDescent="0.15">
      <c r="A16" s="2">
        <v>12</v>
      </c>
      <c r="B16" s="9">
        <v>10800</v>
      </c>
      <c r="F16" s="5"/>
      <c r="G16" s="5"/>
    </row>
    <row r="17" spans="1:7" x14ac:dyDescent="0.15">
      <c r="A17" s="2">
        <v>13</v>
      </c>
      <c r="B17" s="9">
        <v>11700</v>
      </c>
      <c r="F17" s="5"/>
      <c r="G17" s="5"/>
    </row>
    <row r="18" spans="1:7" x14ac:dyDescent="0.15">
      <c r="A18" s="2">
        <v>14</v>
      </c>
      <c r="B18" s="9">
        <v>12600</v>
      </c>
      <c r="F18" s="5"/>
      <c r="G18" s="5"/>
    </row>
    <row r="19" spans="1:7" x14ac:dyDescent="0.15">
      <c r="A19" s="2">
        <v>15</v>
      </c>
      <c r="B19" s="9">
        <v>13500</v>
      </c>
      <c r="F19" s="5"/>
      <c r="G19" s="5"/>
    </row>
    <row r="20" spans="1:7" x14ac:dyDescent="0.15">
      <c r="A20" s="2">
        <v>16</v>
      </c>
      <c r="B20" s="9">
        <v>14400</v>
      </c>
      <c r="F20" s="5"/>
      <c r="G20" s="5"/>
    </row>
    <row r="21" spans="1:7" x14ac:dyDescent="0.15">
      <c r="A21" s="2">
        <v>17</v>
      </c>
      <c r="B21" s="9">
        <v>15300</v>
      </c>
      <c r="F21" s="5"/>
      <c r="G21" s="5"/>
    </row>
    <row r="22" spans="1:7" x14ac:dyDescent="0.15">
      <c r="A22" s="2">
        <v>18</v>
      </c>
      <c r="B22" s="9">
        <v>16200</v>
      </c>
      <c r="F22" s="5"/>
      <c r="G22" s="5"/>
    </row>
    <row r="23" spans="1:7" x14ac:dyDescent="0.15">
      <c r="A23" s="2">
        <v>19</v>
      </c>
      <c r="B23" s="9">
        <v>17100</v>
      </c>
      <c r="F23" s="5"/>
      <c r="G23" s="5"/>
    </row>
    <row r="24" spans="1:7" x14ac:dyDescent="0.15">
      <c r="A24" s="2">
        <v>20</v>
      </c>
      <c r="B24" s="9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G6" sqref="G6"/>
    </sheetView>
  </sheetViews>
  <sheetFormatPr defaultColWidth="9.125" defaultRowHeight="16.5" x14ac:dyDescent="0.15"/>
  <cols>
    <col min="1" max="1" width="10.25" style="2" bestFit="1" customWidth="1"/>
    <col min="2" max="2" width="22.375" style="1" bestFit="1" customWidth="1"/>
    <col min="3" max="3" width="16.625" style="40" customWidth="1"/>
    <col min="4" max="4" width="18" style="40" customWidth="1"/>
    <col min="5" max="5" width="22.75" style="40" customWidth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1" t="s">
        <v>3</v>
      </c>
    </row>
    <row r="2" spans="1:7" x14ac:dyDescent="0.15">
      <c r="A2" s="2" t="s">
        <v>2</v>
      </c>
      <c r="B2" s="1" t="s">
        <v>2</v>
      </c>
    </row>
    <row r="3" spans="1:7" x14ac:dyDescent="0.15">
      <c r="A3" s="2" t="s">
        <v>1</v>
      </c>
      <c r="B3" s="1" t="s">
        <v>122</v>
      </c>
    </row>
    <row r="4" spans="1:7" s="3" customFormat="1" ht="17.25" thickBot="1" x14ac:dyDescent="0.2">
      <c r="A4" s="6" t="s">
        <v>0</v>
      </c>
      <c r="B4" s="3" t="s">
        <v>23</v>
      </c>
      <c r="C4" s="41" t="s">
        <v>23</v>
      </c>
      <c r="D4" s="41" t="s">
        <v>259</v>
      </c>
      <c r="E4" s="41" t="s">
        <v>262</v>
      </c>
      <c r="F4" s="3" t="s">
        <v>260</v>
      </c>
      <c r="G4" s="3" t="s">
        <v>261</v>
      </c>
    </row>
    <row r="5" spans="1:7" s="5" customFormat="1" x14ac:dyDescent="0.15">
      <c r="A5" s="2">
        <v>1</v>
      </c>
      <c r="B5" s="5">
        <f>ROUND(C5,2-LEN(ROUND(C5,0)))</f>
        <v>14000</v>
      </c>
      <c r="C5" s="42">
        <f>D5*E5</f>
        <v>14400</v>
      </c>
      <c r="D5" s="42">
        <f>F5*24</f>
        <v>2400</v>
      </c>
      <c r="E5" s="42">
        <v>6</v>
      </c>
      <c r="F5" s="5">
        <v>100</v>
      </c>
      <c r="G5" s="5">
        <v>500</v>
      </c>
    </row>
    <row r="6" spans="1:7" s="5" customFormat="1" x14ac:dyDescent="0.15">
      <c r="A6" s="2">
        <v>2</v>
      </c>
      <c r="B6" s="5">
        <f t="shared" ref="B6:B24" si="0">ROUND(C6,2-LEN(ROUND(C6,0)))</f>
        <v>25000</v>
      </c>
      <c r="C6" s="42">
        <f t="shared" ref="C6:C24" si="1">D6*E6</f>
        <v>25200</v>
      </c>
      <c r="D6" s="42">
        <f t="shared" ref="D6:D24" si="2">F6*24</f>
        <v>3600</v>
      </c>
      <c r="E6" s="42">
        <v>7</v>
      </c>
      <c r="F6" s="5">
        <v>150</v>
      </c>
      <c r="G6" s="5">
        <v>900</v>
      </c>
    </row>
    <row r="7" spans="1:7" s="5" customFormat="1" x14ac:dyDescent="0.15">
      <c r="A7" s="2">
        <v>3</v>
      </c>
      <c r="B7" s="5">
        <f t="shared" si="0"/>
        <v>50000</v>
      </c>
      <c r="C7" s="42">
        <f t="shared" si="1"/>
        <v>50400</v>
      </c>
      <c r="D7" s="42">
        <f t="shared" si="2"/>
        <v>7200</v>
      </c>
      <c r="E7" s="42">
        <v>7</v>
      </c>
      <c r="F7" s="5">
        <v>300</v>
      </c>
      <c r="G7" s="5">
        <v>2500</v>
      </c>
    </row>
    <row r="8" spans="1:7" s="5" customFormat="1" x14ac:dyDescent="0.15">
      <c r="A8" s="2">
        <v>4</v>
      </c>
      <c r="B8" s="5">
        <f t="shared" si="0"/>
        <v>150000</v>
      </c>
      <c r="C8" s="42">
        <f t="shared" si="1"/>
        <v>151200</v>
      </c>
      <c r="D8" s="42">
        <f t="shared" si="2"/>
        <v>21600</v>
      </c>
      <c r="E8" s="42">
        <v>7</v>
      </c>
      <c r="F8" s="5">
        <v>900</v>
      </c>
      <c r="G8" s="5">
        <v>8600</v>
      </c>
    </row>
    <row r="9" spans="1:7" s="5" customFormat="1" x14ac:dyDescent="0.15">
      <c r="A9" s="2">
        <v>5</v>
      </c>
      <c r="B9" s="5">
        <f t="shared" si="0"/>
        <v>300000</v>
      </c>
      <c r="C9" s="42">
        <f t="shared" si="1"/>
        <v>302400</v>
      </c>
      <c r="D9" s="42">
        <f t="shared" si="2"/>
        <v>43200</v>
      </c>
      <c r="E9" s="42">
        <v>7</v>
      </c>
      <c r="F9" s="5">
        <v>1800</v>
      </c>
      <c r="G9" s="5">
        <v>21000</v>
      </c>
    </row>
    <row r="10" spans="1:7" x14ac:dyDescent="0.15">
      <c r="A10" s="2">
        <v>6</v>
      </c>
      <c r="B10" s="5">
        <f t="shared" si="0"/>
        <v>420000</v>
      </c>
      <c r="C10" s="42">
        <f t="shared" si="1"/>
        <v>420000</v>
      </c>
      <c r="D10" s="42">
        <f t="shared" si="2"/>
        <v>60000</v>
      </c>
      <c r="E10" s="40">
        <v>7</v>
      </c>
      <c r="F10" s="5">
        <v>2500</v>
      </c>
      <c r="G10" s="5">
        <v>37000</v>
      </c>
    </row>
    <row r="11" spans="1:7" x14ac:dyDescent="0.15">
      <c r="A11" s="2">
        <v>7</v>
      </c>
      <c r="B11" s="5">
        <f t="shared" si="0"/>
        <v>590000</v>
      </c>
      <c r="C11" s="42">
        <f t="shared" si="1"/>
        <v>588000</v>
      </c>
      <c r="D11" s="42">
        <f t="shared" si="2"/>
        <v>84000</v>
      </c>
      <c r="E11" s="40">
        <v>7</v>
      </c>
      <c r="F11" s="5">
        <v>3500</v>
      </c>
      <c r="G11" s="5">
        <v>67000</v>
      </c>
    </row>
    <row r="12" spans="1:7" x14ac:dyDescent="0.15">
      <c r="A12" s="2">
        <v>8</v>
      </c>
      <c r="B12" s="5">
        <f t="shared" si="0"/>
        <v>880000</v>
      </c>
      <c r="C12" s="42">
        <f t="shared" si="1"/>
        <v>883200</v>
      </c>
      <c r="D12" s="42">
        <f t="shared" si="2"/>
        <v>110400</v>
      </c>
      <c r="E12" s="40">
        <v>8</v>
      </c>
      <c r="F12" s="5">
        <v>4600</v>
      </c>
      <c r="G12" s="5">
        <v>110000</v>
      </c>
    </row>
    <row r="13" spans="1:7" x14ac:dyDescent="0.15">
      <c r="A13" s="2">
        <v>9</v>
      </c>
      <c r="B13" s="5">
        <f t="shared" si="0"/>
        <v>1100000</v>
      </c>
      <c r="C13" s="42">
        <f t="shared" si="1"/>
        <v>1056000</v>
      </c>
      <c r="D13" s="42">
        <f t="shared" si="2"/>
        <v>132000</v>
      </c>
      <c r="E13" s="40">
        <v>8</v>
      </c>
      <c r="F13" s="5">
        <v>5500</v>
      </c>
      <c r="G13" s="5">
        <v>170000</v>
      </c>
    </row>
    <row r="14" spans="1:7" x14ac:dyDescent="0.15">
      <c r="A14" s="2">
        <v>10</v>
      </c>
      <c r="B14" s="5">
        <f t="shared" si="0"/>
        <v>1300000</v>
      </c>
      <c r="C14" s="42">
        <f t="shared" si="1"/>
        <v>1267200</v>
      </c>
      <c r="D14" s="42">
        <f t="shared" si="2"/>
        <v>158400</v>
      </c>
      <c r="E14" s="40">
        <v>8</v>
      </c>
      <c r="F14" s="5">
        <v>6600</v>
      </c>
      <c r="G14" s="5">
        <v>250000</v>
      </c>
    </row>
    <row r="15" spans="1:7" x14ac:dyDescent="0.15">
      <c r="A15" s="2">
        <v>11</v>
      </c>
      <c r="B15" s="5">
        <f t="shared" si="0"/>
        <v>1400000</v>
      </c>
      <c r="C15" s="42">
        <f t="shared" si="1"/>
        <v>1382400</v>
      </c>
      <c r="D15" s="42">
        <f t="shared" si="2"/>
        <v>172800</v>
      </c>
      <c r="E15" s="40">
        <v>8</v>
      </c>
      <c r="F15" s="5">
        <v>7200</v>
      </c>
      <c r="G15" s="5">
        <v>330000</v>
      </c>
    </row>
    <row r="16" spans="1:7" x14ac:dyDescent="0.15">
      <c r="A16" s="2">
        <v>12</v>
      </c>
      <c r="B16" s="5">
        <f t="shared" si="0"/>
        <v>1900000</v>
      </c>
      <c r="C16" s="42">
        <f t="shared" si="1"/>
        <v>1857600</v>
      </c>
      <c r="D16" s="42">
        <f t="shared" si="2"/>
        <v>206400</v>
      </c>
      <c r="E16" s="40">
        <v>9</v>
      </c>
      <c r="F16" s="5">
        <v>8600</v>
      </c>
      <c r="G16" s="5">
        <v>460000</v>
      </c>
    </row>
    <row r="17" spans="1:7" x14ac:dyDescent="0.15">
      <c r="A17" s="2">
        <v>13</v>
      </c>
      <c r="B17" s="5">
        <f t="shared" si="0"/>
        <v>2300000</v>
      </c>
      <c r="C17" s="42">
        <f t="shared" si="1"/>
        <v>2280000</v>
      </c>
      <c r="D17" s="42">
        <f t="shared" si="2"/>
        <v>228000</v>
      </c>
      <c r="E17" s="40">
        <v>10</v>
      </c>
      <c r="F17" s="5">
        <v>9500</v>
      </c>
      <c r="G17" s="5">
        <v>600000</v>
      </c>
    </row>
    <row r="18" spans="1:7" x14ac:dyDescent="0.15">
      <c r="A18" s="2">
        <v>14</v>
      </c>
      <c r="B18" s="5">
        <f t="shared" si="0"/>
        <v>3200000</v>
      </c>
      <c r="C18" s="42">
        <f t="shared" si="1"/>
        <v>3168000</v>
      </c>
      <c r="D18" s="42">
        <f t="shared" si="2"/>
        <v>264000</v>
      </c>
      <c r="E18" s="40">
        <v>12</v>
      </c>
      <c r="F18" s="5">
        <v>11000</v>
      </c>
      <c r="G18" s="5">
        <v>810000</v>
      </c>
    </row>
    <row r="19" spans="1:7" x14ac:dyDescent="0.15">
      <c r="A19" s="2">
        <v>15</v>
      </c>
      <c r="B19" s="5">
        <f t="shared" si="0"/>
        <v>4400000</v>
      </c>
      <c r="C19" s="42">
        <f t="shared" si="1"/>
        <v>4368000</v>
      </c>
      <c r="D19" s="42">
        <f t="shared" si="2"/>
        <v>312000</v>
      </c>
      <c r="E19" s="40">
        <v>14</v>
      </c>
      <c r="F19" s="5">
        <v>13000</v>
      </c>
      <c r="G19" s="5">
        <v>1000000</v>
      </c>
    </row>
    <row r="20" spans="1:7" x14ac:dyDescent="0.15">
      <c r="A20" s="2">
        <v>16</v>
      </c>
      <c r="B20" s="5">
        <f t="shared" si="0"/>
        <v>5800000</v>
      </c>
      <c r="C20" s="42">
        <f t="shared" si="1"/>
        <v>5760000</v>
      </c>
      <c r="D20" s="42">
        <f t="shared" si="2"/>
        <v>360000</v>
      </c>
      <c r="E20" s="40">
        <v>16</v>
      </c>
      <c r="F20" s="5">
        <v>15000</v>
      </c>
      <c r="G20" s="5">
        <v>1300000</v>
      </c>
    </row>
    <row r="21" spans="1:7" x14ac:dyDescent="0.15">
      <c r="A21" s="2">
        <v>17</v>
      </c>
      <c r="B21" s="5">
        <f t="shared" si="0"/>
        <v>7300000</v>
      </c>
      <c r="C21" s="42">
        <f t="shared" si="1"/>
        <v>7344000</v>
      </c>
      <c r="D21" s="42">
        <f t="shared" si="2"/>
        <v>408000</v>
      </c>
      <c r="E21" s="40">
        <v>18</v>
      </c>
      <c r="F21" s="5">
        <v>17000</v>
      </c>
      <c r="G21" s="5">
        <v>1600000</v>
      </c>
    </row>
    <row r="22" spans="1:7" x14ac:dyDescent="0.15">
      <c r="A22" s="2">
        <v>18</v>
      </c>
      <c r="B22" s="5">
        <f t="shared" si="0"/>
        <v>9100000</v>
      </c>
      <c r="C22" s="42">
        <f t="shared" si="1"/>
        <v>9120000</v>
      </c>
      <c r="D22" s="42">
        <f t="shared" si="2"/>
        <v>456000</v>
      </c>
      <c r="E22" s="40">
        <v>20</v>
      </c>
      <c r="F22" s="5">
        <v>19000</v>
      </c>
      <c r="G22" s="5">
        <v>1900000</v>
      </c>
    </row>
    <row r="23" spans="1:7" x14ac:dyDescent="0.15">
      <c r="A23" s="2">
        <v>19</v>
      </c>
      <c r="B23" s="5">
        <f t="shared" si="0"/>
        <v>12000000</v>
      </c>
      <c r="C23" s="42">
        <f t="shared" si="1"/>
        <v>11592000</v>
      </c>
      <c r="D23" s="42">
        <f t="shared" si="2"/>
        <v>552000</v>
      </c>
      <c r="E23" s="40">
        <v>21</v>
      </c>
      <c r="F23" s="5">
        <v>23000</v>
      </c>
      <c r="G23" s="5">
        <v>2400000</v>
      </c>
    </row>
    <row r="24" spans="1:7" x14ac:dyDescent="0.15">
      <c r="A24" s="2">
        <v>20</v>
      </c>
      <c r="B24" s="5">
        <f t="shared" si="0"/>
        <v>14000000</v>
      </c>
      <c r="C24" s="42">
        <f t="shared" si="1"/>
        <v>13728000</v>
      </c>
      <c r="D24" s="42">
        <f t="shared" si="2"/>
        <v>624000</v>
      </c>
      <c r="E24" s="40">
        <v>22</v>
      </c>
      <c r="F24" s="5">
        <v>26000</v>
      </c>
      <c r="G24" s="5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164</v>
      </c>
    </row>
    <row r="4" spans="1:7" s="3" customFormat="1" ht="17.25" thickBot="1" x14ac:dyDescent="0.2">
      <c r="A4" s="6" t="s">
        <v>0</v>
      </c>
      <c r="B4" s="10" t="s">
        <v>200</v>
      </c>
    </row>
    <row r="5" spans="1:7" s="5" customFormat="1" x14ac:dyDescent="0.15">
      <c r="A5" s="2">
        <v>1</v>
      </c>
      <c r="B5" s="9">
        <v>60</v>
      </c>
    </row>
    <row r="6" spans="1:7" s="5" customFormat="1" x14ac:dyDescent="0.15">
      <c r="A6" s="2">
        <v>2</v>
      </c>
      <c r="B6" s="9">
        <v>120</v>
      </c>
    </row>
    <row r="7" spans="1:7" s="5" customFormat="1" x14ac:dyDescent="0.15">
      <c r="A7" s="2">
        <v>3</v>
      </c>
      <c r="B7" s="9">
        <v>180</v>
      </c>
    </row>
    <row r="8" spans="1:7" s="5" customFormat="1" x14ac:dyDescent="0.15">
      <c r="A8" s="2">
        <v>4</v>
      </c>
      <c r="B8" s="9">
        <v>240</v>
      </c>
    </row>
    <row r="9" spans="1:7" s="5" customFormat="1" x14ac:dyDescent="0.15">
      <c r="A9" s="2">
        <v>5</v>
      </c>
      <c r="B9" s="9">
        <v>300</v>
      </c>
    </row>
    <row r="10" spans="1:7" x14ac:dyDescent="0.15">
      <c r="A10" s="2">
        <v>6</v>
      </c>
      <c r="B10" s="9">
        <v>360</v>
      </c>
      <c r="F10" s="5"/>
      <c r="G10" s="5"/>
    </row>
    <row r="11" spans="1:7" x14ac:dyDescent="0.15">
      <c r="A11" s="2">
        <v>7</v>
      </c>
      <c r="B11" s="9">
        <v>420</v>
      </c>
      <c r="F11" s="5"/>
      <c r="G11" s="5"/>
    </row>
    <row r="12" spans="1:7" x14ac:dyDescent="0.15">
      <c r="A12" s="2">
        <v>8</v>
      </c>
      <c r="B12" s="9">
        <v>480</v>
      </c>
      <c r="F12" s="5"/>
      <c r="G12" s="5"/>
    </row>
    <row r="13" spans="1:7" x14ac:dyDescent="0.15">
      <c r="A13" s="2">
        <v>9</v>
      </c>
      <c r="B13" s="9">
        <v>540</v>
      </c>
      <c r="F13" s="5"/>
      <c r="G13" s="5"/>
    </row>
    <row r="14" spans="1:7" x14ac:dyDescent="0.15">
      <c r="A14" s="2">
        <v>10</v>
      </c>
      <c r="B14" s="9">
        <v>600</v>
      </c>
      <c r="F14" s="5"/>
      <c r="G14" s="5"/>
    </row>
    <row r="15" spans="1:7" x14ac:dyDescent="0.15">
      <c r="A15" s="2">
        <v>11</v>
      </c>
      <c r="B15" s="9">
        <v>660</v>
      </c>
      <c r="F15" s="5"/>
      <c r="G15" s="5"/>
    </row>
    <row r="16" spans="1:7" x14ac:dyDescent="0.15">
      <c r="A16" s="2">
        <v>12</v>
      </c>
      <c r="B16" s="9">
        <v>720</v>
      </c>
      <c r="F16" s="5"/>
      <c r="G16" s="5"/>
    </row>
    <row r="17" spans="1:7" x14ac:dyDescent="0.15">
      <c r="A17" s="2">
        <v>13</v>
      </c>
      <c r="B17" s="9">
        <v>780</v>
      </c>
      <c r="F17" s="5"/>
      <c r="G17" s="5"/>
    </row>
    <row r="18" spans="1:7" x14ac:dyDescent="0.15">
      <c r="A18" s="2">
        <v>14</v>
      </c>
      <c r="B18" s="9">
        <v>840</v>
      </c>
      <c r="F18" s="5"/>
      <c r="G18" s="5"/>
    </row>
    <row r="19" spans="1:7" x14ac:dyDescent="0.15">
      <c r="A19" s="2">
        <v>15</v>
      </c>
      <c r="B19" s="9">
        <v>900</v>
      </c>
      <c r="F19" s="5"/>
      <c r="G19" s="5"/>
    </row>
    <row r="20" spans="1:7" x14ac:dyDescent="0.15">
      <c r="A20" s="2">
        <v>16</v>
      </c>
      <c r="B20" s="9">
        <v>960</v>
      </c>
      <c r="F20" s="5"/>
      <c r="G20" s="5"/>
    </row>
    <row r="21" spans="1:7" x14ac:dyDescent="0.15">
      <c r="A21" s="2">
        <v>17</v>
      </c>
      <c r="B21" s="9">
        <v>1020</v>
      </c>
      <c r="F21" s="5"/>
      <c r="G21" s="5"/>
    </row>
    <row r="22" spans="1:7" x14ac:dyDescent="0.15">
      <c r="A22" s="2">
        <v>18</v>
      </c>
      <c r="B22" s="9">
        <v>1080</v>
      </c>
      <c r="F22" s="5"/>
      <c r="G22" s="5"/>
    </row>
    <row r="23" spans="1:7" x14ac:dyDescent="0.15">
      <c r="A23" s="2">
        <v>19</v>
      </c>
      <c r="B23" s="9">
        <v>1140</v>
      </c>
      <c r="F23" s="5"/>
      <c r="G23" s="5"/>
    </row>
    <row r="24" spans="1:7" x14ac:dyDescent="0.15">
      <c r="A24" s="2">
        <v>20</v>
      </c>
      <c r="B24" s="9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B1" sqref="B1:B1048576"/>
    </sheetView>
  </sheetViews>
  <sheetFormatPr defaultColWidth="9.125" defaultRowHeight="16.5" x14ac:dyDescent="0.15"/>
  <cols>
    <col min="1" max="1" width="10.25" style="2" bestFit="1" customWidth="1"/>
    <col min="2" max="2" width="25.375" style="1" bestFit="1" customWidth="1"/>
    <col min="3" max="4" width="9.125" style="1" customWidth="1"/>
    <col min="5" max="16384" width="9.125" style="1"/>
  </cols>
  <sheetData>
    <row r="1" spans="1:8" x14ac:dyDescent="0.15">
      <c r="A1" s="2" t="s">
        <v>4</v>
      </c>
      <c r="B1" s="1" t="s">
        <v>3</v>
      </c>
    </row>
    <row r="2" spans="1:8" x14ac:dyDescent="0.15">
      <c r="A2" s="2" t="s">
        <v>2</v>
      </c>
      <c r="B2" s="1" t="s">
        <v>2</v>
      </c>
    </row>
    <row r="3" spans="1:8" x14ac:dyDescent="0.15">
      <c r="A3" s="2" t="s">
        <v>1</v>
      </c>
      <c r="B3" s="1" t="s">
        <v>123</v>
      </c>
    </row>
    <row r="4" spans="1:8" s="3" customFormat="1" ht="17.25" thickBot="1" x14ac:dyDescent="0.2">
      <c r="A4" s="6" t="s">
        <v>0</v>
      </c>
      <c r="B4" s="3" t="s">
        <v>30</v>
      </c>
    </row>
    <row r="5" spans="1:8" s="5" customFormat="1" x14ac:dyDescent="0.15">
      <c r="A5" s="2">
        <v>1</v>
      </c>
      <c r="B5" s="5">
        <v>7200</v>
      </c>
    </row>
    <row r="6" spans="1:8" s="5" customFormat="1" x14ac:dyDescent="0.15">
      <c r="A6" s="2">
        <v>2</v>
      </c>
      <c r="B6" s="5">
        <v>11000</v>
      </c>
    </row>
    <row r="7" spans="1:8" s="5" customFormat="1" x14ac:dyDescent="0.15">
      <c r="A7" s="2">
        <v>3</v>
      </c>
      <c r="B7" s="5">
        <v>29000</v>
      </c>
    </row>
    <row r="8" spans="1:8" s="5" customFormat="1" x14ac:dyDescent="0.15">
      <c r="A8" s="2">
        <v>4</v>
      </c>
      <c r="B8" s="5">
        <v>86000</v>
      </c>
    </row>
    <row r="9" spans="1:8" s="5" customFormat="1" x14ac:dyDescent="0.15">
      <c r="A9" s="2">
        <v>5</v>
      </c>
      <c r="B9" s="5">
        <v>220000</v>
      </c>
    </row>
    <row r="10" spans="1:8" x14ac:dyDescent="0.15">
      <c r="A10" s="2">
        <v>6</v>
      </c>
      <c r="B10" s="5">
        <v>360000</v>
      </c>
      <c r="G10" s="5"/>
      <c r="H10" s="5"/>
    </row>
    <row r="11" spans="1:8" x14ac:dyDescent="0.15">
      <c r="A11" s="2">
        <v>7</v>
      </c>
      <c r="B11" s="5">
        <v>500000</v>
      </c>
      <c r="G11" s="5"/>
      <c r="H11" s="5"/>
    </row>
    <row r="12" spans="1:8" x14ac:dyDescent="0.15">
      <c r="A12" s="2">
        <v>8</v>
      </c>
      <c r="B12" s="5">
        <v>770000</v>
      </c>
      <c r="G12" s="5"/>
      <c r="H12" s="5"/>
    </row>
    <row r="13" spans="1:8" x14ac:dyDescent="0.15">
      <c r="A13" s="2">
        <v>9</v>
      </c>
      <c r="B13" s="5">
        <v>920000</v>
      </c>
      <c r="G13" s="5"/>
      <c r="H13" s="5"/>
    </row>
    <row r="14" spans="1:8" x14ac:dyDescent="0.15">
      <c r="A14" s="2">
        <v>10</v>
      </c>
      <c r="B14" s="5">
        <v>1300000</v>
      </c>
      <c r="G14" s="5"/>
      <c r="H14" s="5"/>
    </row>
    <row r="15" spans="1:8" x14ac:dyDescent="0.15">
      <c r="A15" s="2">
        <v>11</v>
      </c>
      <c r="B15" s="5">
        <v>1400000</v>
      </c>
      <c r="G15" s="5"/>
      <c r="H15" s="5"/>
    </row>
    <row r="16" spans="1:8" x14ac:dyDescent="0.15">
      <c r="A16" s="2">
        <v>12</v>
      </c>
      <c r="B16" s="5">
        <v>1900000</v>
      </c>
      <c r="G16" s="5"/>
      <c r="H16" s="5"/>
    </row>
    <row r="17" spans="1:8" x14ac:dyDescent="0.15">
      <c r="A17" s="2">
        <v>13</v>
      </c>
      <c r="B17" s="5">
        <v>2300000</v>
      </c>
      <c r="G17" s="5"/>
      <c r="H17" s="5"/>
    </row>
    <row r="18" spans="1:8" x14ac:dyDescent="0.15">
      <c r="A18" s="2">
        <v>14</v>
      </c>
      <c r="B18" s="5">
        <v>3200000</v>
      </c>
      <c r="G18" s="5"/>
      <c r="H18" s="5"/>
    </row>
    <row r="19" spans="1:8" x14ac:dyDescent="0.15">
      <c r="A19" s="2">
        <v>15</v>
      </c>
      <c r="B19" s="5">
        <v>4400000</v>
      </c>
      <c r="G19" s="5"/>
      <c r="H19" s="5"/>
    </row>
    <row r="20" spans="1:8" x14ac:dyDescent="0.15">
      <c r="A20" s="2">
        <v>16</v>
      </c>
      <c r="B20" s="5">
        <v>5800000</v>
      </c>
      <c r="G20" s="5"/>
      <c r="H20" s="5"/>
    </row>
    <row r="21" spans="1:8" x14ac:dyDescent="0.15">
      <c r="A21" s="2">
        <v>17</v>
      </c>
      <c r="B21" s="5">
        <v>7300000</v>
      </c>
      <c r="G21" s="5"/>
      <c r="H21" s="5"/>
    </row>
    <row r="22" spans="1:8" x14ac:dyDescent="0.15">
      <c r="A22" s="2">
        <v>18</v>
      </c>
      <c r="B22" s="5">
        <v>9100000</v>
      </c>
      <c r="G22" s="5"/>
      <c r="H22" s="5"/>
    </row>
    <row r="23" spans="1:8" x14ac:dyDescent="0.15">
      <c r="A23" s="2">
        <v>19</v>
      </c>
      <c r="B23" s="5">
        <v>12000000</v>
      </c>
      <c r="G23" s="5"/>
      <c r="H23" s="5"/>
    </row>
    <row r="24" spans="1:8" x14ac:dyDescent="0.15">
      <c r="A24" s="2">
        <v>20</v>
      </c>
      <c r="B24" s="5">
        <v>14000000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G13" sqref="G1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124</v>
      </c>
      <c r="C3" s="8" t="s">
        <v>125</v>
      </c>
    </row>
    <row r="4" spans="1:10" s="3" customFormat="1" ht="17.25" thickBot="1" x14ac:dyDescent="0.2">
      <c r="A4" s="6" t="s">
        <v>0</v>
      </c>
      <c r="B4" s="10" t="s">
        <v>53</v>
      </c>
      <c r="C4" s="10" t="s">
        <v>33</v>
      </c>
    </row>
    <row r="5" spans="1:10" s="5" customFormat="1" x14ac:dyDescent="0.15">
      <c r="A5" s="2">
        <v>1</v>
      </c>
      <c r="B5" s="9">
        <v>100</v>
      </c>
      <c r="C5" s="9">
        <v>500</v>
      </c>
    </row>
    <row r="6" spans="1:10" s="5" customFormat="1" x14ac:dyDescent="0.15">
      <c r="A6" s="2">
        <v>2</v>
      </c>
      <c r="B6" s="9">
        <v>150</v>
      </c>
      <c r="C6" s="9">
        <v>900</v>
      </c>
    </row>
    <row r="7" spans="1:10" s="5" customFormat="1" x14ac:dyDescent="0.15">
      <c r="A7" s="2">
        <v>3</v>
      </c>
      <c r="B7" s="9">
        <v>300</v>
      </c>
      <c r="C7" s="9">
        <v>2500</v>
      </c>
    </row>
    <row r="8" spans="1:10" s="5" customFormat="1" x14ac:dyDescent="0.15">
      <c r="A8" s="2">
        <v>4</v>
      </c>
      <c r="B8" s="9">
        <v>900</v>
      </c>
      <c r="C8" s="9">
        <v>8600</v>
      </c>
    </row>
    <row r="9" spans="1:10" s="5" customFormat="1" x14ac:dyDescent="0.15">
      <c r="A9" s="2">
        <v>5</v>
      </c>
      <c r="B9" s="9">
        <v>1800</v>
      </c>
      <c r="C9" s="9">
        <v>21000</v>
      </c>
    </row>
    <row r="10" spans="1:10" x14ac:dyDescent="0.15">
      <c r="A10" s="2">
        <v>6</v>
      </c>
      <c r="B10" s="9">
        <v>2500</v>
      </c>
      <c r="C10" s="8">
        <v>37000</v>
      </c>
      <c r="J10" s="5"/>
    </row>
    <row r="11" spans="1:10" x14ac:dyDescent="0.15">
      <c r="A11" s="2">
        <v>7</v>
      </c>
      <c r="B11" s="9">
        <v>3500</v>
      </c>
      <c r="C11" s="8">
        <v>67000</v>
      </c>
      <c r="J11" s="5"/>
    </row>
    <row r="12" spans="1:10" x14ac:dyDescent="0.15">
      <c r="A12" s="2">
        <v>8</v>
      </c>
      <c r="B12" s="9">
        <v>4600</v>
      </c>
      <c r="C12" s="8">
        <v>110000</v>
      </c>
      <c r="J12" s="5"/>
    </row>
    <row r="13" spans="1:10" x14ac:dyDescent="0.15">
      <c r="A13" s="2">
        <v>9</v>
      </c>
      <c r="B13" s="9">
        <v>5500</v>
      </c>
      <c r="C13" s="8">
        <v>170000</v>
      </c>
      <c r="J13" s="5"/>
    </row>
    <row r="14" spans="1:10" x14ac:dyDescent="0.15">
      <c r="A14" s="2">
        <v>10</v>
      </c>
      <c r="B14" s="9">
        <v>6600</v>
      </c>
      <c r="C14" s="8">
        <v>250000</v>
      </c>
      <c r="J14" s="5"/>
    </row>
    <row r="15" spans="1:10" x14ac:dyDescent="0.15">
      <c r="A15" s="2">
        <v>11</v>
      </c>
      <c r="B15" s="9">
        <v>7200</v>
      </c>
      <c r="C15" s="8">
        <v>330000</v>
      </c>
      <c r="J15" s="5"/>
    </row>
    <row r="16" spans="1:10" x14ac:dyDescent="0.15">
      <c r="A16" s="2">
        <v>12</v>
      </c>
      <c r="B16" s="9">
        <v>8600</v>
      </c>
      <c r="C16" s="8">
        <v>460000</v>
      </c>
      <c r="J16" s="5"/>
    </row>
    <row r="17" spans="1:10" x14ac:dyDescent="0.15">
      <c r="A17" s="2">
        <v>13</v>
      </c>
      <c r="B17" s="9">
        <v>9500</v>
      </c>
      <c r="C17" s="8">
        <v>600000</v>
      </c>
      <c r="J17" s="5"/>
    </row>
    <row r="18" spans="1:10" x14ac:dyDescent="0.15">
      <c r="A18" s="2">
        <v>14</v>
      </c>
      <c r="B18" s="9">
        <v>11000</v>
      </c>
      <c r="C18" s="8">
        <v>810000</v>
      </c>
      <c r="J18" s="5"/>
    </row>
    <row r="19" spans="1:10" x14ac:dyDescent="0.15">
      <c r="A19" s="2">
        <v>15</v>
      </c>
      <c r="B19" s="9">
        <v>13000</v>
      </c>
      <c r="C19" s="8">
        <v>1000000</v>
      </c>
      <c r="J19" s="5"/>
    </row>
    <row r="20" spans="1:10" x14ac:dyDescent="0.15">
      <c r="A20" s="2">
        <v>16</v>
      </c>
      <c r="B20" s="9">
        <v>15000</v>
      </c>
      <c r="C20" s="8">
        <v>1300000</v>
      </c>
      <c r="J20" s="5"/>
    </row>
    <row r="21" spans="1:10" x14ac:dyDescent="0.15">
      <c r="A21" s="2">
        <v>17</v>
      </c>
      <c r="B21" s="9">
        <v>17000</v>
      </c>
      <c r="C21" s="8">
        <v>1600000</v>
      </c>
      <c r="J21" s="5"/>
    </row>
    <row r="22" spans="1:10" x14ac:dyDescent="0.15">
      <c r="A22" s="2">
        <v>18</v>
      </c>
      <c r="B22" s="9">
        <v>19000</v>
      </c>
      <c r="C22" s="8">
        <v>1900000</v>
      </c>
      <c r="J22" s="5"/>
    </row>
    <row r="23" spans="1:10" x14ac:dyDescent="0.15">
      <c r="A23" s="2">
        <v>19</v>
      </c>
      <c r="B23" s="9">
        <v>23000</v>
      </c>
      <c r="C23" s="8">
        <v>2400000</v>
      </c>
      <c r="J23" s="5"/>
    </row>
    <row r="24" spans="1:10" x14ac:dyDescent="0.15">
      <c r="A24" s="2">
        <v>20</v>
      </c>
      <c r="B24" s="9">
        <v>26000</v>
      </c>
      <c r="C24" s="8">
        <v>3100000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23" sqref="K2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20.125" style="8" bestFit="1" customWidth="1"/>
    <col min="5" max="10" width="9.125" style="1"/>
    <col min="11" max="11" width="9.625" style="1" bestFit="1" customWidth="1"/>
    <col min="12" max="16384" width="9.125" style="1"/>
  </cols>
  <sheetData>
    <row r="1" spans="1:11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11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11" x14ac:dyDescent="0.15">
      <c r="A3" s="2" t="s">
        <v>1</v>
      </c>
      <c r="B3" s="8" t="s">
        <v>232</v>
      </c>
      <c r="C3" s="8" t="s">
        <v>236</v>
      </c>
      <c r="D3" s="8" t="s">
        <v>233</v>
      </c>
    </row>
    <row r="4" spans="1:11" s="3" customFormat="1" ht="17.25" thickBot="1" x14ac:dyDescent="0.2">
      <c r="A4" s="6" t="s">
        <v>0</v>
      </c>
      <c r="B4" s="10" t="s">
        <v>235</v>
      </c>
      <c r="C4" s="10" t="s">
        <v>234</v>
      </c>
      <c r="D4" s="10" t="s">
        <v>237</v>
      </c>
    </row>
    <row r="5" spans="1:11" s="5" customFormat="1" x14ac:dyDescent="0.15">
      <c r="A5" s="2">
        <v>1</v>
      </c>
      <c r="B5" s="9">
        <v>200</v>
      </c>
      <c r="C5" s="9">
        <v>1</v>
      </c>
      <c r="D5" s="9">
        <v>1000</v>
      </c>
    </row>
    <row r="6" spans="1:11" s="5" customFormat="1" x14ac:dyDescent="0.15">
      <c r="A6" s="2">
        <v>2</v>
      </c>
      <c r="B6" s="9">
        <v>210</v>
      </c>
      <c r="C6" s="9">
        <v>2</v>
      </c>
      <c r="D6" s="9">
        <v>2000</v>
      </c>
    </row>
    <row r="7" spans="1:11" s="5" customFormat="1" x14ac:dyDescent="0.15">
      <c r="A7" s="2">
        <v>3</v>
      </c>
      <c r="B7" s="9">
        <v>210</v>
      </c>
      <c r="C7" s="9">
        <v>2</v>
      </c>
      <c r="D7" s="9">
        <v>3000</v>
      </c>
    </row>
    <row r="8" spans="1:11" s="5" customFormat="1" x14ac:dyDescent="0.15">
      <c r="A8" s="2">
        <v>4</v>
      </c>
      <c r="B8" s="9">
        <v>220</v>
      </c>
      <c r="C8" s="9">
        <v>2</v>
      </c>
      <c r="D8" s="9">
        <v>4000</v>
      </c>
    </row>
    <row r="9" spans="1:11" s="5" customFormat="1" x14ac:dyDescent="0.15">
      <c r="A9" s="2">
        <v>5</v>
      </c>
      <c r="B9" s="9">
        <v>230</v>
      </c>
      <c r="C9" s="9">
        <v>2</v>
      </c>
      <c r="D9" s="9">
        <v>5000</v>
      </c>
    </row>
    <row r="10" spans="1:11" x14ac:dyDescent="0.15">
      <c r="A10" s="2">
        <v>6</v>
      </c>
      <c r="B10" s="9">
        <v>240</v>
      </c>
      <c r="C10" s="9">
        <v>2</v>
      </c>
      <c r="D10" s="9">
        <v>6000</v>
      </c>
      <c r="I10" s="5"/>
      <c r="K10" s="5"/>
    </row>
    <row r="11" spans="1:11" x14ac:dyDescent="0.15">
      <c r="A11" s="2">
        <v>7</v>
      </c>
      <c r="B11" s="9">
        <v>260</v>
      </c>
      <c r="C11" s="9">
        <v>2</v>
      </c>
      <c r="D11" s="9">
        <v>7000</v>
      </c>
      <c r="I11" s="5"/>
      <c r="K11" s="5"/>
    </row>
    <row r="12" spans="1:11" x14ac:dyDescent="0.15">
      <c r="A12" s="2">
        <v>8</v>
      </c>
      <c r="B12" s="9">
        <v>270</v>
      </c>
      <c r="C12" s="8">
        <v>2</v>
      </c>
      <c r="D12" s="9">
        <v>8000</v>
      </c>
      <c r="I12" s="5"/>
      <c r="K12" s="5"/>
    </row>
    <row r="13" spans="1:11" x14ac:dyDescent="0.15">
      <c r="A13" s="2">
        <v>9</v>
      </c>
      <c r="B13" s="9">
        <v>270</v>
      </c>
      <c r="C13" s="8">
        <v>3</v>
      </c>
      <c r="D13" s="9">
        <v>9000</v>
      </c>
      <c r="I13" s="5"/>
      <c r="K13" s="5"/>
    </row>
    <row r="14" spans="1:11" x14ac:dyDescent="0.15">
      <c r="A14" s="2">
        <v>10</v>
      </c>
      <c r="B14" s="9">
        <v>280</v>
      </c>
      <c r="C14" s="8">
        <v>3</v>
      </c>
      <c r="D14" s="9">
        <v>10000</v>
      </c>
      <c r="I14" s="5"/>
      <c r="K14" s="5"/>
    </row>
    <row r="15" spans="1:11" x14ac:dyDescent="0.15">
      <c r="A15" s="2">
        <v>11</v>
      </c>
      <c r="B15" s="9">
        <v>290</v>
      </c>
      <c r="C15" s="8">
        <v>3</v>
      </c>
      <c r="D15" s="9">
        <v>11000</v>
      </c>
      <c r="I15" s="5"/>
      <c r="K15" s="5"/>
    </row>
    <row r="16" spans="1:11" x14ac:dyDescent="0.15">
      <c r="A16" s="2">
        <v>12</v>
      </c>
      <c r="B16" s="9">
        <v>300</v>
      </c>
      <c r="C16" s="8">
        <v>3</v>
      </c>
      <c r="D16" s="9">
        <v>12000</v>
      </c>
      <c r="I16" s="5"/>
      <c r="K16" s="5"/>
    </row>
    <row r="17" spans="1:11" x14ac:dyDescent="0.15">
      <c r="A17" s="2">
        <v>13</v>
      </c>
      <c r="B17" s="9">
        <v>310</v>
      </c>
      <c r="C17" s="8">
        <v>3</v>
      </c>
      <c r="D17" s="9">
        <v>13000</v>
      </c>
      <c r="I17" s="5"/>
      <c r="K17" s="5"/>
    </row>
    <row r="18" spans="1:11" x14ac:dyDescent="0.15">
      <c r="A18" s="2">
        <v>14</v>
      </c>
      <c r="B18" s="9">
        <v>320</v>
      </c>
      <c r="C18" s="8">
        <v>3</v>
      </c>
      <c r="D18" s="9">
        <v>14000</v>
      </c>
      <c r="I18" s="5"/>
      <c r="K18" s="5"/>
    </row>
    <row r="19" spans="1:11" x14ac:dyDescent="0.15">
      <c r="A19" s="2">
        <v>15</v>
      </c>
      <c r="B19" s="9">
        <v>320</v>
      </c>
      <c r="C19" s="8">
        <v>4</v>
      </c>
      <c r="D19" s="9">
        <v>15000</v>
      </c>
      <c r="I19" s="5"/>
      <c r="K19" s="5"/>
    </row>
    <row r="20" spans="1:11" x14ac:dyDescent="0.15">
      <c r="A20" s="2">
        <v>16</v>
      </c>
      <c r="B20" s="9">
        <v>330</v>
      </c>
      <c r="C20" s="8">
        <v>4</v>
      </c>
      <c r="D20" s="9">
        <v>16000</v>
      </c>
      <c r="I20" s="5"/>
      <c r="K20" s="5"/>
    </row>
    <row r="21" spans="1:11" x14ac:dyDescent="0.15">
      <c r="A21" s="2">
        <v>17</v>
      </c>
      <c r="B21" s="9">
        <v>340</v>
      </c>
      <c r="C21" s="8">
        <v>4</v>
      </c>
      <c r="D21" s="9">
        <v>17000</v>
      </c>
      <c r="I21" s="5"/>
      <c r="K21" s="5"/>
    </row>
    <row r="22" spans="1:11" x14ac:dyDescent="0.15">
      <c r="A22" s="2">
        <v>18</v>
      </c>
      <c r="B22" s="9">
        <v>350</v>
      </c>
      <c r="C22" s="8">
        <v>4</v>
      </c>
      <c r="D22" s="9">
        <v>18000</v>
      </c>
      <c r="I22" s="5"/>
      <c r="K22" s="5"/>
    </row>
    <row r="23" spans="1:11" x14ac:dyDescent="0.15">
      <c r="A23" s="2">
        <v>19</v>
      </c>
      <c r="B23" s="9">
        <v>360</v>
      </c>
      <c r="C23" s="8">
        <v>4</v>
      </c>
      <c r="D23" s="9">
        <v>19000</v>
      </c>
      <c r="I23" s="5"/>
      <c r="K23" s="5"/>
    </row>
    <row r="24" spans="1:11" x14ac:dyDescent="0.15">
      <c r="A24" s="2">
        <v>20</v>
      </c>
      <c r="B24" s="9">
        <v>380</v>
      </c>
      <c r="C24" s="8">
        <v>4</v>
      </c>
      <c r="D24" s="9">
        <v>20000</v>
      </c>
      <c r="I24" s="5"/>
      <c r="K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tabSelected="1"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126</v>
      </c>
      <c r="C3" s="8" t="s">
        <v>127</v>
      </c>
    </row>
    <row r="4" spans="1:3" s="3" customFormat="1" ht="17.25" thickBot="1" x14ac:dyDescent="0.2">
      <c r="A4" s="6" t="s">
        <v>0</v>
      </c>
      <c r="B4" s="10" t="s">
        <v>24</v>
      </c>
      <c r="C4" s="10" t="s">
        <v>25</v>
      </c>
    </row>
    <row r="5" spans="1:3" s="5" customFormat="1" x14ac:dyDescent="0.15">
      <c r="A5" s="2">
        <v>1</v>
      </c>
      <c r="B5" s="9">
        <v>100</v>
      </c>
      <c r="C5" s="9">
        <v>500</v>
      </c>
    </row>
    <row r="6" spans="1:3" s="5" customFormat="1" x14ac:dyDescent="0.15">
      <c r="A6" s="2">
        <v>2</v>
      </c>
      <c r="B6" s="9">
        <v>150</v>
      </c>
      <c r="C6" s="9">
        <v>900</v>
      </c>
    </row>
    <row r="7" spans="1:3" s="5" customFormat="1" x14ac:dyDescent="0.15">
      <c r="A7" s="2">
        <v>3</v>
      </c>
      <c r="B7" s="9">
        <v>300</v>
      </c>
      <c r="C7" s="9">
        <v>2500</v>
      </c>
    </row>
    <row r="8" spans="1:3" s="5" customFormat="1" x14ac:dyDescent="0.15">
      <c r="A8" s="2">
        <v>4</v>
      </c>
      <c r="B8" s="9">
        <v>900</v>
      </c>
      <c r="C8" s="9">
        <v>8600</v>
      </c>
    </row>
    <row r="9" spans="1:3" s="5" customFormat="1" x14ac:dyDescent="0.15">
      <c r="A9" s="2">
        <v>5</v>
      </c>
      <c r="B9" s="9">
        <v>1800</v>
      </c>
      <c r="C9" s="9">
        <v>21000</v>
      </c>
    </row>
    <row r="10" spans="1:3" x14ac:dyDescent="0.15">
      <c r="A10" s="2">
        <v>6</v>
      </c>
      <c r="B10" s="9">
        <v>2500</v>
      </c>
      <c r="C10" s="8">
        <v>37000</v>
      </c>
    </row>
    <row r="11" spans="1:3" x14ac:dyDescent="0.15">
      <c r="A11" s="2">
        <v>7</v>
      </c>
      <c r="B11" s="9">
        <v>3500</v>
      </c>
      <c r="C11" s="8">
        <v>67000</v>
      </c>
    </row>
    <row r="12" spans="1:3" x14ac:dyDescent="0.15">
      <c r="A12" s="2">
        <v>8</v>
      </c>
      <c r="B12" s="9">
        <v>4600</v>
      </c>
      <c r="C12" s="8">
        <v>110000</v>
      </c>
    </row>
    <row r="13" spans="1:3" x14ac:dyDescent="0.15">
      <c r="A13" s="2">
        <v>9</v>
      </c>
      <c r="B13" s="9">
        <v>5500</v>
      </c>
      <c r="C13" s="8">
        <v>170000</v>
      </c>
    </row>
    <row r="14" spans="1:3" x14ac:dyDescent="0.15">
      <c r="A14" s="2">
        <v>10</v>
      </c>
      <c r="B14" s="9">
        <v>6600</v>
      </c>
      <c r="C14" s="8">
        <v>250000</v>
      </c>
    </row>
    <row r="15" spans="1:3" x14ac:dyDescent="0.15">
      <c r="A15" s="2">
        <v>11</v>
      </c>
      <c r="B15" s="9">
        <v>7200</v>
      </c>
      <c r="C15" s="8">
        <v>330000</v>
      </c>
    </row>
    <row r="16" spans="1:3" x14ac:dyDescent="0.15">
      <c r="A16" s="2">
        <v>12</v>
      </c>
      <c r="B16" s="9">
        <v>8600</v>
      </c>
      <c r="C16" s="8">
        <v>460000</v>
      </c>
    </row>
    <row r="17" spans="1:3" x14ac:dyDescent="0.15">
      <c r="A17" s="2">
        <v>13</v>
      </c>
      <c r="B17" s="9">
        <v>9500</v>
      </c>
      <c r="C17" s="8">
        <v>600000</v>
      </c>
    </row>
    <row r="18" spans="1:3" x14ac:dyDescent="0.15">
      <c r="A18" s="2">
        <v>14</v>
      </c>
      <c r="B18" s="9">
        <v>11000</v>
      </c>
      <c r="C18" s="8">
        <v>810000</v>
      </c>
    </row>
    <row r="19" spans="1:3" x14ac:dyDescent="0.15">
      <c r="A19" s="2">
        <v>15</v>
      </c>
      <c r="B19" s="9">
        <v>13000</v>
      </c>
      <c r="C19" s="8">
        <v>1000000</v>
      </c>
    </row>
    <row r="20" spans="1:3" x14ac:dyDescent="0.15">
      <c r="A20" s="2">
        <v>16</v>
      </c>
      <c r="B20" s="9">
        <v>15000</v>
      </c>
      <c r="C20" s="8">
        <v>1300000</v>
      </c>
    </row>
    <row r="21" spans="1:3" x14ac:dyDescent="0.15">
      <c r="A21" s="2">
        <v>17</v>
      </c>
      <c r="B21" s="9">
        <v>17000</v>
      </c>
      <c r="C21" s="8">
        <v>1600000</v>
      </c>
    </row>
    <row r="22" spans="1:3" x14ac:dyDescent="0.15">
      <c r="A22" s="2">
        <v>18</v>
      </c>
      <c r="B22" s="9">
        <v>19000</v>
      </c>
      <c r="C22" s="8">
        <v>1900000</v>
      </c>
    </row>
    <row r="23" spans="1:3" x14ac:dyDescent="0.15">
      <c r="A23" s="2">
        <v>19</v>
      </c>
      <c r="B23" s="9">
        <v>23000</v>
      </c>
      <c r="C23" s="8">
        <v>2400000</v>
      </c>
    </row>
    <row r="24" spans="1:3" x14ac:dyDescent="0.15">
      <c r="A24" s="2">
        <v>20</v>
      </c>
      <c r="B24" s="9">
        <v>26000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128</v>
      </c>
      <c r="C3" s="2" t="s">
        <v>129</v>
      </c>
    </row>
    <row r="4" spans="1:3" s="3" customFormat="1" ht="17.25" thickBot="1" x14ac:dyDescent="0.2">
      <c r="A4" s="6" t="s">
        <v>0</v>
      </c>
      <c r="B4" s="6" t="s">
        <v>54</v>
      </c>
      <c r="C4" s="6" t="s">
        <v>55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130</v>
      </c>
      <c r="C3" s="2" t="s">
        <v>131</v>
      </c>
    </row>
    <row r="4" spans="1:3" s="3" customFormat="1" ht="17.25" thickBot="1" x14ac:dyDescent="0.2">
      <c r="A4" s="6" t="s">
        <v>0</v>
      </c>
      <c r="B4" s="6" t="s">
        <v>56</v>
      </c>
      <c r="C4" s="6" t="s">
        <v>57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132</v>
      </c>
      <c r="C3" s="2" t="s">
        <v>133</v>
      </c>
    </row>
    <row r="4" spans="1:3" s="3" customFormat="1" ht="17.25" thickBot="1" x14ac:dyDescent="0.2">
      <c r="A4" s="6" t="s">
        <v>0</v>
      </c>
      <c r="B4" s="6" t="s">
        <v>58</v>
      </c>
      <c r="C4" s="6" t="s">
        <v>59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134</v>
      </c>
      <c r="C3" s="8" t="s">
        <v>135</v>
      </c>
    </row>
    <row r="4" spans="1:3" s="3" customFormat="1" ht="17.25" thickBot="1" x14ac:dyDescent="0.2">
      <c r="A4" s="6" t="s">
        <v>0</v>
      </c>
      <c r="B4" s="10" t="s">
        <v>26</v>
      </c>
      <c r="C4" s="10" t="s">
        <v>5</v>
      </c>
    </row>
    <row r="5" spans="1:3" s="5" customFormat="1" x14ac:dyDescent="0.15">
      <c r="A5" s="2">
        <v>1</v>
      </c>
      <c r="B5" s="9">
        <v>100</v>
      </c>
      <c r="C5" s="9">
        <v>500</v>
      </c>
    </row>
    <row r="6" spans="1:3" s="5" customFormat="1" x14ac:dyDescent="0.15">
      <c r="A6" s="2">
        <v>2</v>
      </c>
      <c r="B6" s="9">
        <v>150</v>
      </c>
      <c r="C6" s="9">
        <v>900</v>
      </c>
    </row>
    <row r="7" spans="1:3" s="5" customFormat="1" x14ac:dyDescent="0.15">
      <c r="A7" s="2">
        <v>3</v>
      </c>
      <c r="B7" s="9">
        <v>300</v>
      </c>
      <c r="C7" s="9">
        <v>2500</v>
      </c>
    </row>
    <row r="8" spans="1:3" s="5" customFormat="1" x14ac:dyDescent="0.15">
      <c r="A8" s="2">
        <v>4</v>
      </c>
      <c r="B8" s="9">
        <v>900</v>
      </c>
      <c r="C8" s="9">
        <v>8600</v>
      </c>
    </row>
    <row r="9" spans="1:3" s="5" customFormat="1" x14ac:dyDescent="0.15">
      <c r="A9" s="2">
        <v>5</v>
      </c>
      <c r="B9" s="9">
        <v>1800</v>
      </c>
      <c r="C9" s="9">
        <v>21000</v>
      </c>
    </row>
    <row r="10" spans="1:3" x14ac:dyDescent="0.15">
      <c r="A10" s="2">
        <v>6</v>
      </c>
      <c r="B10" s="9">
        <v>2500</v>
      </c>
      <c r="C10" s="8">
        <v>37000</v>
      </c>
    </row>
    <row r="11" spans="1:3" x14ac:dyDescent="0.15">
      <c r="A11" s="2">
        <v>7</v>
      </c>
      <c r="B11" s="9">
        <v>3500</v>
      </c>
      <c r="C11" s="8">
        <v>67000</v>
      </c>
    </row>
    <row r="12" spans="1:3" x14ac:dyDescent="0.15">
      <c r="A12" s="2">
        <v>8</v>
      </c>
      <c r="B12" s="9">
        <v>4600</v>
      </c>
      <c r="C12" s="8">
        <v>110000</v>
      </c>
    </row>
    <row r="13" spans="1:3" x14ac:dyDescent="0.15">
      <c r="A13" s="2">
        <v>9</v>
      </c>
      <c r="B13" s="9">
        <v>5500</v>
      </c>
      <c r="C13" s="8">
        <v>170000</v>
      </c>
    </row>
    <row r="14" spans="1:3" x14ac:dyDescent="0.15">
      <c r="A14" s="2">
        <v>10</v>
      </c>
      <c r="B14" s="9">
        <v>6600</v>
      </c>
      <c r="C14" s="8">
        <v>250000</v>
      </c>
    </row>
    <row r="15" spans="1:3" x14ac:dyDescent="0.15">
      <c r="A15" s="2">
        <v>11</v>
      </c>
      <c r="B15" s="9">
        <v>7200</v>
      </c>
      <c r="C15" s="8">
        <v>330000</v>
      </c>
    </row>
    <row r="16" spans="1:3" x14ac:dyDescent="0.15">
      <c r="A16" s="2">
        <v>12</v>
      </c>
      <c r="B16" s="9">
        <v>8600</v>
      </c>
      <c r="C16" s="8">
        <v>460000</v>
      </c>
    </row>
    <row r="17" spans="1:3" x14ac:dyDescent="0.15">
      <c r="A17" s="2">
        <v>13</v>
      </c>
      <c r="B17" s="9">
        <v>9500</v>
      </c>
      <c r="C17" s="8">
        <v>600000</v>
      </c>
    </row>
    <row r="18" spans="1:3" x14ac:dyDescent="0.15">
      <c r="A18" s="2">
        <v>14</v>
      </c>
      <c r="B18" s="9">
        <v>11000</v>
      </c>
      <c r="C18" s="8">
        <v>810000</v>
      </c>
    </row>
    <row r="19" spans="1:3" x14ac:dyDescent="0.15">
      <c r="A19" s="2">
        <v>15</v>
      </c>
      <c r="B19" s="9">
        <v>13000</v>
      </c>
      <c r="C19" s="8">
        <v>1000000</v>
      </c>
    </row>
    <row r="20" spans="1:3" x14ac:dyDescent="0.15">
      <c r="A20" s="2">
        <v>16</v>
      </c>
      <c r="B20" s="9">
        <v>15000</v>
      </c>
      <c r="C20" s="8">
        <v>1300000</v>
      </c>
    </row>
    <row r="21" spans="1:3" x14ac:dyDescent="0.15">
      <c r="A21" s="2">
        <v>17</v>
      </c>
      <c r="B21" s="9">
        <v>17000</v>
      </c>
      <c r="C21" s="8">
        <v>1600000</v>
      </c>
    </row>
    <row r="22" spans="1:3" x14ac:dyDescent="0.15">
      <c r="A22" s="2">
        <v>18</v>
      </c>
      <c r="B22" s="9">
        <v>19000</v>
      </c>
      <c r="C22" s="8">
        <v>1900000</v>
      </c>
    </row>
    <row r="23" spans="1:3" x14ac:dyDescent="0.15">
      <c r="A23" s="2">
        <v>19</v>
      </c>
      <c r="B23" s="9">
        <v>23000</v>
      </c>
      <c r="C23" s="8">
        <v>2400000</v>
      </c>
    </row>
    <row r="24" spans="1:3" x14ac:dyDescent="0.15">
      <c r="A24" s="2">
        <v>20</v>
      </c>
      <c r="B24" s="9">
        <v>26000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M40" sqref="M4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152</v>
      </c>
      <c r="C3" s="8" t="s">
        <v>153</v>
      </c>
    </row>
    <row r="4" spans="1:3" s="3" customFormat="1" ht="17.25" thickBot="1" x14ac:dyDescent="0.2">
      <c r="A4" s="6" t="s">
        <v>0</v>
      </c>
      <c r="B4" s="10" t="s">
        <v>27</v>
      </c>
      <c r="C4" s="10" t="s">
        <v>28</v>
      </c>
    </row>
    <row r="5" spans="1:3" s="5" customFormat="1" x14ac:dyDescent="0.15">
      <c r="A5" s="2">
        <v>1</v>
      </c>
      <c r="B5" s="9">
        <v>100</v>
      </c>
      <c r="C5" s="9">
        <v>500</v>
      </c>
    </row>
    <row r="6" spans="1:3" s="5" customFormat="1" x14ac:dyDescent="0.15">
      <c r="A6" s="2">
        <v>2</v>
      </c>
      <c r="B6" s="9">
        <v>150</v>
      </c>
      <c r="C6" s="9">
        <v>900</v>
      </c>
    </row>
    <row r="7" spans="1:3" s="5" customFormat="1" x14ac:dyDescent="0.15">
      <c r="A7" s="2">
        <v>3</v>
      </c>
      <c r="B7" s="9">
        <v>300</v>
      </c>
      <c r="C7" s="9">
        <v>2500</v>
      </c>
    </row>
    <row r="8" spans="1:3" s="5" customFormat="1" x14ac:dyDescent="0.15">
      <c r="A8" s="2">
        <v>4</v>
      </c>
      <c r="B8" s="9">
        <v>900</v>
      </c>
      <c r="C8" s="9">
        <v>8600</v>
      </c>
    </row>
    <row r="9" spans="1:3" s="5" customFormat="1" x14ac:dyDescent="0.15">
      <c r="A9" s="2">
        <v>5</v>
      </c>
      <c r="B9" s="9">
        <v>1800</v>
      </c>
      <c r="C9" s="9">
        <v>21000</v>
      </c>
    </row>
    <row r="10" spans="1:3" x14ac:dyDescent="0.15">
      <c r="A10" s="2">
        <v>6</v>
      </c>
      <c r="B10" s="9">
        <v>2500</v>
      </c>
      <c r="C10" s="8">
        <v>37000</v>
      </c>
    </row>
    <row r="11" spans="1:3" x14ac:dyDescent="0.15">
      <c r="A11" s="2">
        <v>7</v>
      </c>
      <c r="B11" s="9">
        <v>3500</v>
      </c>
      <c r="C11" s="8">
        <v>67000</v>
      </c>
    </row>
    <row r="12" spans="1:3" x14ac:dyDescent="0.15">
      <c r="A12" s="2">
        <v>8</v>
      </c>
      <c r="B12" s="9">
        <v>4600</v>
      </c>
      <c r="C12" s="8">
        <v>110000</v>
      </c>
    </row>
    <row r="13" spans="1:3" x14ac:dyDescent="0.15">
      <c r="A13" s="2">
        <v>9</v>
      </c>
      <c r="B13" s="9">
        <v>5500</v>
      </c>
      <c r="C13" s="8">
        <v>170000</v>
      </c>
    </row>
    <row r="14" spans="1:3" x14ac:dyDescent="0.15">
      <c r="A14" s="2">
        <v>10</v>
      </c>
      <c r="B14" s="9">
        <v>6600</v>
      </c>
      <c r="C14" s="8">
        <v>250000</v>
      </c>
    </row>
    <row r="15" spans="1:3" x14ac:dyDescent="0.15">
      <c r="A15" s="2">
        <v>11</v>
      </c>
      <c r="B15" s="9">
        <v>7200</v>
      </c>
      <c r="C15" s="8">
        <v>330000</v>
      </c>
    </row>
    <row r="16" spans="1:3" x14ac:dyDescent="0.15">
      <c r="A16" s="2">
        <v>12</v>
      </c>
      <c r="B16" s="9">
        <v>8600</v>
      </c>
      <c r="C16" s="8">
        <v>460000</v>
      </c>
    </row>
    <row r="17" spans="1:3" x14ac:dyDescent="0.15">
      <c r="A17" s="2">
        <v>13</v>
      </c>
      <c r="B17" s="9">
        <v>9500</v>
      </c>
      <c r="C17" s="8">
        <v>600000</v>
      </c>
    </row>
    <row r="18" spans="1:3" x14ac:dyDescent="0.15">
      <c r="A18" s="2">
        <v>14</v>
      </c>
      <c r="B18" s="9">
        <v>11000</v>
      </c>
      <c r="C18" s="8">
        <v>810000</v>
      </c>
    </row>
    <row r="19" spans="1:3" x14ac:dyDescent="0.15">
      <c r="A19" s="2">
        <v>15</v>
      </c>
      <c r="B19" s="9">
        <v>13000</v>
      </c>
      <c r="C19" s="8">
        <v>1000000</v>
      </c>
    </row>
    <row r="20" spans="1:3" x14ac:dyDescent="0.15">
      <c r="A20" s="2">
        <v>16</v>
      </c>
      <c r="B20" s="9">
        <v>15000</v>
      </c>
      <c r="C20" s="8">
        <v>1300000</v>
      </c>
    </row>
    <row r="21" spans="1:3" x14ac:dyDescent="0.15">
      <c r="A21" s="2">
        <v>17</v>
      </c>
      <c r="B21" s="9">
        <v>17000</v>
      </c>
      <c r="C21" s="8">
        <v>1600000</v>
      </c>
    </row>
    <row r="22" spans="1:3" x14ac:dyDescent="0.15">
      <c r="A22" s="2">
        <v>18</v>
      </c>
      <c r="B22" s="9">
        <v>19000</v>
      </c>
      <c r="C22" s="8">
        <v>1900000</v>
      </c>
    </row>
    <row r="23" spans="1:3" x14ac:dyDescent="0.15">
      <c r="A23" s="2">
        <v>19</v>
      </c>
      <c r="B23" s="9">
        <v>23000</v>
      </c>
      <c r="C23" s="8">
        <v>2400000</v>
      </c>
    </row>
    <row r="24" spans="1:3" x14ac:dyDescent="0.15">
      <c r="A24" s="2">
        <v>20</v>
      </c>
      <c r="B24" s="9">
        <v>26000</v>
      </c>
      <c r="C24" s="8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J14" sqref="J1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136</v>
      </c>
    </row>
    <row r="4" spans="1:2" s="3" customFormat="1" ht="17.25" thickBot="1" x14ac:dyDescent="0.2">
      <c r="A4" s="6" t="s">
        <v>0</v>
      </c>
      <c r="B4" s="10" t="s">
        <v>34</v>
      </c>
    </row>
    <row r="5" spans="1:2" s="5" customFormat="1" x14ac:dyDescent="0.15">
      <c r="A5" s="2">
        <v>1</v>
      </c>
      <c r="B5" s="9">
        <v>200</v>
      </c>
    </row>
    <row r="6" spans="1:2" s="5" customFormat="1" x14ac:dyDescent="0.15">
      <c r="A6" s="2">
        <v>2</v>
      </c>
      <c r="B6" s="9">
        <v>400</v>
      </c>
    </row>
    <row r="7" spans="1:2" s="5" customFormat="1" x14ac:dyDescent="0.15">
      <c r="A7" s="2">
        <v>3</v>
      </c>
      <c r="B7" s="9">
        <v>600</v>
      </c>
    </row>
    <row r="8" spans="1:2" s="5" customFormat="1" x14ac:dyDescent="0.15">
      <c r="A8" s="2">
        <v>4</v>
      </c>
      <c r="B8" s="9">
        <v>800</v>
      </c>
    </row>
    <row r="9" spans="1:2" s="5" customFormat="1" x14ac:dyDescent="0.15">
      <c r="A9" s="2">
        <v>5</v>
      </c>
      <c r="B9" s="9">
        <v>1000</v>
      </c>
    </row>
    <row r="10" spans="1:2" x14ac:dyDescent="0.15">
      <c r="A10" s="2">
        <v>6</v>
      </c>
      <c r="B10" s="9">
        <v>1200</v>
      </c>
    </row>
    <row r="11" spans="1:2" x14ac:dyDescent="0.15">
      <c r="A11" s="2">
        <v>7</v>
      </c>
      <c r="B11" s="9">
        <v>1400</v>
      </c>
    </row>
    <row r="12" spans="1:2" x14ac:dyDescent="0.15">
      <c r="A12" s="2">
        <v>8</v>
      </c>
      <c r="B12" s="9">
        <v>1600</v>
      </c>
    </row>
    <row r="13" spans="1:2" x14ac:dyDescent="0.15">
      <c r="A13" s="2">
        <v>9</v>
      </c>
      <c r="B13" s="9">
        <v>1800</v>
      </c>
    </row>
    <row r="14" spans="1:2" x14ac:dyDescent="0.15">
      <c r="A14" s="2">
        <v>10</v>
      </c>
      <c r="B14" s="9">
        <v>2000</v>
      </c>
    </row>
    <row r="15" spans="1:2" x14ac:dyDescent="0.15">
      <c r="A15" s="2">
        <v>11</v>
      </c>
      <c r="B15" s="9">
        <v>2200</v>
      </c>
    </row>
    <row r="16" spans="1:2" x14ac:dyDescent="0.15">
      <c r="A16" s="2">
        <v>12</v>
      </c>
      <c r="B16" s="9">
        <v>2400</v>
      </c>
    </row>
    <row r="17" spans="1:2" x14ac:dyDescent="0.15">
      <c r="A17" s="2">
        <v>13</v>
      </c>
      <c r="B17" s="9">
        <v>2600</v>
      </c>
    </row>
    <row r="18" spans="1:2" x14ac:dyDescent="0.15">
      <c r="A18" s="2">
        <v>14</v>
      </c>
      <c r="B18" s="9">
        <v>2800</v>
      </c>
    </row>
    <row r="19" spans="1:2" x14ac:dyDescent="0.15">
      <c r="A19" s="2">
        <v>15</v>
      </c>
      <c r="B19" s="9">
        <v>3000</v>
      </c>
    </row>
    <row r="20" spans="1:2" x14ac:dyDescent="0.15">
      <c r="A20" s="2">
        <v>16</v>
      </c>
      <c r="B20" s="9">
        <v>3200</v>
      </c>
    </row>
    <row r="21" spans="1:2" x14ac:dyDescent="0.15">
      <c r="A21" s="2">
        <v>17</v>
      </c>
      <c r="B21" s="9">
        <v>3400</v>
      </c>
    </row>
    <row r="22" spans="1:2" x14ac:dyDescent="0.15">
      <c r="A22" s="2">
        <v>18</v>
      </c>
      <c r="B22" s="9">
        <v>3600</v>
      </c>
    </row>
    <row r="23" spans="1:2" x14ac:dyDescent="0.15">
      <c r="A23" s="2">
        <v>19</v>
      </c>
      <c r="B23" s="9">
        <v>3800</v>
      </c>
    </row>
    <row r="24" spans="1:2" x14ac:dyDescent="0.15">
      <c r="A24" s="2">
        <v>20</v>
      </c>
      <c r="B24" s="9">
        <v>4000</v>
      </c>
    </row>
    <row r="25" spans="1:2" x14ac:dyDescent="0.15">
      <c r="B25" s="9"/>
    </row>
    <row r="26" spans="1:2" x14ac:dyDescent="0.15">
      <c r="B26" s="9"/>
    </row>
    <row r="27" spans="1:2" x14ac:dyDescent="0.15">
      <c r="B27" s="9"/>
    </row>
    <row r="28" spans="1:2" x14ac:dyDescent="0.15">
      <c r="B28" s="9"/>
    </row>
    <row r="29" spans="1:2" x14ac:dyDescent="0.15">
      <c r="B29" s="9"/>
    </row>
    <row r="30" spans="1:2" x14ac:dyDescent="0.15">
      <c r="B30" s="9"/>
    </row>
    <row r="31" spans="1:2" x14ac:dyDescent="0.15">
      <c r="B31" s="9"/>
    </row>
    <row r="32" spans="1:2" x14ac:dyDescent="0.15">
      <c r="B32" s="9"/>
    </row>
    <row r="33" spans="1:2" x14ac:dyDescent="0.15">
      <c r="B33" s="9"/>
    </row>
    <row r="34" spans="1:2" s="3" customFormat="1" ht="17.25" thickBot="1" x14ac:dyDescent="0.2">
      <c r="A34" s="4"/>
      <c r="B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G4" sqref="G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9.125" style="1"/>
    <col min="5" max="8" width="9.125" style="40"/>
    <col min="9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137</v>
      </c>
    </row>
    <row r="4" spans="1:8" s="3" customFormat="1" ht="17.25" thickBot="1" x14ac:dyDescent="0.2">
      <c r="A4" s="6" t="s">
        <v>0</v>
      </c>
      <c r="B4" s="10" t="s">
        <v>34</v>
      </c>
      <c r="E4" s="41" t="s">
        <v>263</v>
      </c>
      <c r="F4" s="41"/>
      <c r="G4" s="41"/>
      <c r="H4" s="41"/>
    </row>
    <row r="5" spans="1:8" s="5" customFormat="1" x14ac:dyDescent="0.15">
      <c r="A5" s="2">
        <v>1</v>
      </c>
      <c r="B5" s="9">
        <v>300</v>
      </c>
      <c r="E5" s="42">
        <v>0.01</v>
      </c>
      <c r="F5" s="42">
        <f>E5*B5*(A5*0.9)^3</f>
        <v>2.1870000000000003</v>
      </c>
      <c r="G5" s="42">
        <f>ROUNDUP(F5,0)</f>
        <v>3</v>
      </c>
      <c r="H5" s="42">
        <v>2400</v>
      </c>
    </row>
    <row r="6" spans="1:8" s="5" customFormat="1" x14ac:dyDescent="0.15">
      <c r="A6" s="2">
        <v>2</v>
      </c>
      <c r="B6" s="9">
        <v>600</v>
      </c>
      <c r="E6" s="42">
        <v>0.01</v>
      </c>
      <c r="F6" s="42">
        <f t="shared" ref="F6:F24" si="0">E6*B6*(A6*0.9)^3</f>
        <v>34.992000000000004</v>
      </c>
      <c r="G6" s="42">
        <f t="shared" ref="G6:G24" si="1">ROUNDUP(F6,0)</f>
        <v>35</v>
      </c>
      <c r="H6" s="42">
        <v>3600</v>
      </c>
    </row>
    <row r="7" spans="1:8" s="5" customFormat="1" x14ac:dyDescent="0.15">
      <c r="A7" s="2">
        <v>3</v>
      </c>
      <c r="B7" s="9">
        <v>900</v>
      </c>
      <c r="E7" s="42">
        <v>0.01</v>
      </c>
      <c r="F7" s="42">
        <f t="shared" si="0"/>
        <v>177.14700000000002</v>
      </c>
      <c r="G7" s="42">
        <f t="shared" si="1"/>
        <v>178</v>
      </c>
      <c r="H7" s="42">
        <v>7200</v>
      </c>
    </row>
    <row r="8" spans="1:8" s="5" customFormat="1" x14ac:dyDescent="0.15">
      <c r="A8" s="2">
        <v>4</v>
      </c>
      <c r="B8" s="9">
        <v>1200</v>
      </c>
      <c r="E8" s="42">
        <v>0.01</v>
      </c>
      <c r="F8" s="42">
        <f t="shared" si="0"/>
        <v>559.87200000000007</v>
      </c>
      <c r="G8" s="42">
        <f t="shared" si="1"/>
        <v>560</v>
      </c>
      <c r="H8" s="42">
        <v>21600</v>
      </c>
    </row>
    <row r="9" spans="1:8" s="5" customFormat="1" x14ac:dyDescent="0.15">
      <c r="A9" s="2">
        <v>5</v>
      </c>
      <c r="B9" s="9">
        <v>1500</v>
      </c>
      <c r="E9" s="42">
        <v>0.01</v>
      </c>
      <c r="F9" s="42">
        <f t="shared" si="0"/>
        <v>1366.875</v>
      </c>
      <c r="G9" s="42">
        <f t="shared" si="1"/>
        <v>1367</v>
      </c>
      <c r="H9" s="42">
        <v>43200</v>
      </c>
    </row>
    <row r="10" spans="1:8" x14ac:dyDescent="0.15">
      <c r="A10" s="2">
        <v>6</v>
      </c>
      <c r="B10" s="9">
        <v>1800</v>
      </c>
      <c r="E10" s="42">
        <v>0.01</v>
      </c>
      <c r="F10" s="42">
        <f t="shared" si="0"/>
        <v>2834.3520000000003</v>
      </c>
      <c r="G10" s="40">
        <f t="shared" si="1"/>
        <v>2835</v>
      </c>
      <c r="H10" s="40">
        <v>60000</v>
      </c>
    </row>
    <row r="11" spans="1:8" x14ac:dyDescent="0.15">
      <c r="A11" s="2">
        <v>7</v>
      </c>
      <c r="B11" s="9">
        <v>2100</v>
      </c>
      <c r="E11" s="42">
        <v>0.01</v>
      </c>
      <c r="F11" s="42">
        <f t="shared" si="0"/>
        <v>5250.9869999999992</v>
      </c>
      <c r="G11" s="40">
        <f t="shared" si="1"/>
        <v>5251</v>
      </c>
      <c r="H11" s="40">
        <v>84000</v>
      </c>
    </row>
    <row r="12" spans="1:8" x14ac:dyDescent="0.15">
      <c r="A12" s="2">
        <v>8</v>
      </c>
      <c r="B12" s="9">
        <v>2400</v>
      </c>
      <c r="E12" s="42">
        <v>0.01</v>
      </c>
      <c r="F12" s="42">
        <f t="shared" si="0"/>
        <v>8957.9520000000011</v>
      </c>
      <c r="G12" s="40">
        <f t="shared" si="1"/>
        <v>8958</v>
      </c>
      <c r="H12" s="40">
        <v>110400</v>
      </c>
    </row>
    <row r="13" spans="1:8" x14ac:dyDescent="0.15">
      <c r="A13" s="2">
        <v>9</v>
      </c>
      <c r="B13" s="9">
        <v>2700</v>
      </c>
      <c r="E13" s="42">
        <v>0.01</v>
      </c>
      <c r="F13" s="42">
        <f t="shared" si="0"/>
        <v>14348.906999999997</v>
      </c>
      <c r="G13" s="40">
        <f t="shared" si="1"/>
        <v>14349</v>
      </c>
      <c r="H13" s="40">
        <v>132000</v>
      </c>
    </row>
    <row r="14" spans="1:8" x14ac:dyDescent="0.15">
      <c r="A14" s="2">
        <v>10</v>
      </c>
      <c r="B14" s="9">
        <v>3000</v>
      </c>
      <c r="E14" s="42">
        <v>0.01</v>
      </c>
      <c r="F14" s="42">
        <f t="shared" si="0"/>
        <v>21870</v>
      </c>
      <c r="G14" s="40">
        <f t="shared" si="1"/>
        <v>21870</v>
      </c>
      <c r="H14" s="40">
        <v>158400</v>
      </c>
    </row>
    <row r="15" spans="1:8" x14ac:dyDescent="0.15">
      <c r="A15" s="2">
        <v>11</v>
      </c>
      <c r="B15" s="9">
        <v>3300</v>
      </c>
      <c r="E15" s="42">
        <v>0.01</v>
      </c>
      <c r="F15" s="42">
        <f t="shared" si="0"/>
        <v>32019.867000000002</v>
      </c>
      <c r="G15" s="40">
        <f t="shared" si="1"/>
        <v>32020</v>
      </c>
      <c r="H15" s="40">
        <v>172800</v>
      </c>
    </row>
    <row r="16" spans="1:8" x14ac:dyDescent="0.15">
      <c r="A16" s="2">
        <v>12</v>
      </c>
      <c r="B16" s="9">
        <v>3600</v>
      </c>
      <c r="E16" s="42">
        <v>0.01</v>
      </c>
      <c r="F16" s="42">
        <f t="shared" si="0"/>
        <v>45349.632000000005</v>
      </c>
      <c r="G16" s="40">
        <f t="shared" si="1"/>
        <v>45350</v>
      </c>
      <c r="H16" s="40">
        <v>206400</v>
      </c>
    </row>
    <row r="17" spans="1:8" x14ac:dyDescent="0.15">
      <c r="A17" s="2">
        <v>13</v>
      </c>
      <c r="B17" s="9">
        <v>3900</v>
      </c>
      <c r="E17" s="42">
        <v>0.01</v>
      </c>
      <c r="F17" s="42">
        <f t="shared" si="0"/>
        <v>62462.907000000014</v>
      </c>
      <c r="G17" s="40">
        <f t="shared" si="1"/>
        <v>62463</v>
      </c>
      <c r="H17" s="40">
        <v>228000</v>
      </c>
    </row>
    <row r="18" spans="1:8" x14ac:dyDescent="0.15">
      <c r="A18" s="2">
        <v>14</v>
      </c>
      <c r="B18" s="9">
        <v>4200</v>
      </c>
      <c r="E18" s="42">
        <v>0.01</v>
      </c>
      <c r="F18" s="42">
        <f t="shared" si="0"/>
        <v>84015.791999999987</v>
      </c>
      <c r="G18" s="40">
        <f t="shared" si="1"/>
        <v>84016</v>
      </c>
      <c r="H18" s="40">
        <v>264000</v>
      </c>
    </row>
    <row r="19" spans="1:8" x14ac:dyDescent="0.15">
      <c r="A19" s="2">
        <v>15</v>
      </c>
      <c r="B19" s="9">
        <v>4500</v>
      </c>
      <c r="E19" s="42">
        <v>0.01</v>
      </c>
      <c r="F19" s="42">
        <f t="shared" si="0"/>
        <v>110716.875</v>
      </c>
      <c r="G19" s="40">
        <f t="shared" si="1"/>
        <v>110717</v>
      </c>
      <c r="H19" s="40">
        <v>312000</v>
      </c>
    </row>
    <row r="20" spans="1:8" x14ac:dyDescent="0.15">
      <c r="A20" s="2">
        <v>16</v>
      </c>
      <c r="B20" s="9">
        <v>4800</v>
      </c>
      <c r="E20" s="42">
        <v>0.01</v>
      </c>
      <c r="F20" s="42">
        <f t="shared" si="0"/>
        <v>143327.23200000002</v>
      </c>
      <c r="G20" s="40">
        <f t="shared" si="1"/>
        <v>143328</v>
      </c>
      <c r="H20" s="40">
        <v>360000</v>
      </c>
    </row>
    <row r="21" spans="1:8" x14ac:dyDescent="0.15">
      <c r="A21" s="2">
        <v>17</v>
      </c>
      <c r="B21" s="9">
        <v>5100</v>
      </c>
      <c r="E21" s="42">
        <v>0.01</v>
      </c>
      <c r="F21" s="42">
        <f t="shared" si="0"/>
        <v>182660.42700000003</v>
      </c>
      <c r="G21" s="40">
        <f t="shared" si="1"/>
        <v>182661</v>
      </c>
      <c r="H21" s="40">
        <v>408000</v>
      </c>
    </row>
    <row r="22" spans="1:8" x14ac:dyDescent="0.15">
      <c r="A22" s="2">
        <v>18</v>
      </c>
      <c r="B22" s="9">
        <v>5400</v>
      </c>
      <c r="E22" s="42">
        <v>0.01</v>
      </c>
      <c r="F22" s="42">
        <f t="shared" si="0"/>
        <v>229582.51199999996</v>
      </c>
      <c r="G22" s="40">
        <f t="shared" si="1"/>
        <v>229583</v>
      </c>
      <c r="H22" s="40">
        <v>456000</v>
      </c>
    </row>
    <row r="23" spans="1:8" x14ac:dyDescent="0.15">
      <c r="A23" s="2">
        <v>19</v>
      </c>
      <c r="B23" s="9">
        <v>5700</v>
      </c>
      <c r="E23" s="42">
        <v>0.01</v>
      </c>
      <c r="F23" s="42">
        <f t="shared" si="0"/>
        <v>285012.02700000006</v>
      </c>
      <c r="G23" s="40">
        <f t="shared" si="1"/>
        <v>285013</v>
      </c>
      <c r="H23" s="40">
        <v>552000</v>
      </c>
    </row>
    <row r="24" spans="1:8" x14ac:dyDescent="0.15">
      <c r="A24" s="2">
        <v>20</v>
      </c>
      <c r="B24" s="9">
        <v>6000</v>
      </c>
      <c r="E24" s="42">
        <v>0.01</v>
      </c>
      <c r="F24" s="42">
        <f t="shared" si="0"/>
        <v>349920</v>
      </c>
      <c r="G24" s="40">
        <f t="shared" si="1"/>
        <v>349920</v>
      </c>
      <c r="H24" s="40">
        <v>624000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Q29" sqref="Q29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258</v>
      </c>
    </row>
    <row r="4" spans="1:2" s="3" customFormat="1" ht="17.25" thickBot="1" x14ac:dyDescent="0.2">
      <c r="A4" s="6" t="s">
        <v>0</v>
      </c>
      <c r="B4" s="10" t="s">
        <v>204</v>
      </c>
    </row>
    <row r="5" spans="1:2" s="5" customFormat="1" x14ac:dyDescent="0.15">
      <c r="A5" s="2">
        <v>1</v>
      </c>
      <c r="B5" s="9">
        <v>50</v>
      </c>
    </row>
    <row r="6" spans="1:2" s="5" customFormat="1" x14ac:dyDescent="0.15">
      <c r="A6" s="2">
        <v>2</v>
      </c>
      <c r="B6" s="9">
        <v>60</v>
      </c>
    </row>
    <row r="7" spans="1:2" s="5" customFormat="1" x14ac:dyDescent="0.15">
      <c r="A7" s="2">
        <v>3</v>
      </c>
      <c r="B7" s="9">
        <v>70</v>
      </c>
    </row>
    <row r="8" spans="1:2" s="5" customFormat="1" x14ac:dyDescent="0.15">
      <c r="A8" s="2">
        <v>4</v>
      </c>
      <c r="B8" s="9">
        <v>80</v>
      </c>
    </row>
    <row r="9" spans="1:2" s="5" customFormat="1" x14ac:dyDescent="0.15">
      <c r="A9" s="2">
        <v>5</v>
      </c>
      <c r="B9" s="9">
        <v>90</v>
      </c>
    </row>
    <row r="10" spans="1:2" x14ac:dyDescent="0.15">
      <c r="A10" s="2">
        <v>6</v>
      </c>
      <c r="B10" s="9">
        <v>100</v>
      </c>
    </row>
    <row r="11" spans="1:2" x14ac:dyDescent="0.15">
      <c r="A11" s="2">
        <v>7</v>
      </c>
      <c r="B11" s="9">
        <v>110</v>
      </c>
    </row>
    <row r="12" spans="1:2" x14ac:dyDescent="0.15">
      <c r="A12" s="2">
        <v>8</v>
      </c>
      <c r="B12" s="9">
        <v>120</v>
      </c>
    </row>
    <row r="13" spans="1:2" x14ac:dyDescent="0.15">
      <c r="A13" s="2">
        <v>9</v>
      </c>
      <c r="B13" s="9">
        <v>130</v>
      </c>
    </row>
    <row r="14" spans="1:2" x14ac:dyDescent="0.15">
      <c r="A14" s="2">
        <v>10</v>
      </c>
      <c r="B14" s="9">
        <v>140</v>
      </c>
    </row>
    <row r="15" spans="1:2" x14ac:dyDescent="0.15">
      <c r="A15" s="2">
        <v>11</v>
      </c>
      <c r="B15" s="9">
        <v>150</v>
      </c>
    </row>
    <row r="16" spans="1:2" x14ac:dyDescent="0.15">
      <c r="A16" s="2">
        <v>12</v>
      </c>
      <c r="B16" s="9">
        <v>160</v>
      </c>
    </row>
    <row r="17" spans="1:2" x14ac:dyDescent="0.15">
      <c r="A17" s="2">
        <v>13</v>
      </c>
      <c r="B17" s="9">
        <v>170</v>
      </c>
    </row>
    <row r="18" spans="1:2" x14ac:dyDescent="0.15">
      <c r="A18" s="2">
        <v>14</v>
      </c>
      <c r="B18" s="9">
        <v>180</v>
      </c>
    </row>
    <row r="19" spans="1:2" x14ac:dyDescent="0.15">
      <c r="A19" s="2">
        <v>15</v>
      </c>
      <c r="B19" s="9">
        <v>190</v>
      </c>
    </row>
    <row r="20" spans="1:2" x14ac:dyDescent="0.15">
      <c r="A20" s="2">
        <v>16</v>
      </c>
      <c r="B20" s="9">
        <v>200</v>
      </c>
    </row>
    <row r="21" spans="1:2" x14ac:dyDescent="0.15">
      <c r="A21" s="2">
        <v>17</v>
      </c>
      <c r="B21" s="9">
        <v>210</v>
      </c>
    </row>
    <row r="22" spans="1:2" x14ac:dyDescent="0.15">
      <c r="A22" s="2">
        <v>18</v>
      </c>
      <c r="B22" s="9">
        <v>220</v>
      </c>
    </row>
    <row r="23" spans="1:2" x14ac:dyDescent="0.15">
      <c r="A23" s="2">
        <v>19</v>
      </c>
      <c r="B23" s="9">
        <v>230</v>
      </c>
    </row>
    <row r="24" spans="1:2" x14ac:dyDescent="0.15">
      <c r="A24" s="2">
        <v>20</v>
      </c>
      <c r="B24" s="9">
        <v>240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A34" sqref="A25:XFD3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258</v>
      </c>
    </row>
    <row r="4" spans="1:2" s="3" customFormat="1" ht="17.25" thickBot="1" x14ac:dyDescent="0.2">
      <c r="A4" s="6" t="s">
        <v>0</v>
      </c>
      <c r="B4" s="10" t="s">
        <v>204</v>
      </c>
    </row>
    <row r="5" spans="1:2" s="5" customFormat="1" x14ac:dyDescent="0.15">
      <c r="A5" s="2">
        <v>1</v>
      </c>
      <c r="B5" s="9">
        <v>50</v>
      </c>
    </row>
    <row r="6" spans="1:2" s="5" customFormat="1" x14ac:dyDescent="0.15">
      <c r="A6" s="2">
        <v>2</v>
      </c>
      <c r="B6" s="9">
        <v>60</v>
      </c>
    </row>
    <row r="7" spans="1:2" s="5" customFormat="1" x14ac:dyDescent="0.15">
      <c r="A7" s="2">
        <v>3</v>
      </c>
      <c r="B7" s="9">
        <v>70</v>
      </c>
    </row>
    <row r="8" spans="1:2" s="5" customFormat="1" x14ac:dyDescent="0.15">
      <c r="A8" s="2">
        <v>4</v>
      </c>
      <c r="B8" s="9">
        <v>80</v>
      </c>
    </row>
    <row r="9" spans="1:2" s="5" customFormat="1" x14ac:dyDescent="0.15">
      <c r="A9" s="2">
        <v>5</v>
      </c>
      <c r="B9" s="9">
        <v>90</v>
      </c>
    </row>
    <row r="10" spans="1:2" x14ac:dyDescent="0.15">
      <c r="A10" s="2">
        <v>6</v>
      </c>
      <c r="B10" s="9">
        <v>100</v>
      </c>
    </row>
    <row r="11" spans="1:2" x14ac:dyDescent="0.15">
      <c r="A11" s="2">
        <v>7</v>
      </c>
      <c r="B11" s="9">
        <v>110</v>
      </c>
    </row>
    <row r="12" spans="1:2" x14ac:dyDescent="0.15">
      <c r="A12" s="2">
        <v>8</v>
      </c>
      <c r="B12" s="9">
        <v>120</v>
      </c>
    </row>
    <row r="13" spans="1:2" x14ac:dyDescent="0.15">
      <c r="A13" s="2">
        <v>9</v>
      </c>
      <c r="B13" s="9">
        <v>130</v>
      </c>
    </row>
    <row r="14" spans="1:2" x14ac:dyDescent="0.15">
      <c r="A14" s="2">
        <v>10</v>
      </c>
      <c r="B14" s="9">
        <v>140</v>
      </c>
    </row>
    <row r="15" spans="1:2" x14ac:dyDescent="0.15">
      <c r="A15" s="2">
        <v>11</v>
      </c>
      <c r="B15" s="9">
        <v>150</v>
      </c>
    </row>
    <row r="16" spans="1:2" x14ac:dyDescent="0.15">
      <c r="A16" s="2">
        <v>12</v>
      </c>
      <c r="B16" s="9">
        <v>160</v>
      </c>
    </row>
    <row r="17" spans="1:2" x14ac:dyDescent="0.15">
      <c r="A17" s="2">
        <v>13</v>
      </c>
      <c r="B17" s="9">
        <v>170</v>
      </c>
    </row>
    <row r="18" spans="1:2" x14ac:dyDescent="0.15">
      <c r="A18" s="2">
        <v>14</v>
      </c>
      <c r="B18" s="9">
        <v>180</v>
      </c>
    </row>
    <row r="19" spans="1:2" x14ac:dyDescent="0.15">
      <c r="A19" s="2">
        <v>15</v>
      </c>
      <c r="B19" s="9">
        <v>190</v>
      </c>
    </row>
    <row r="20" spans="1:2" x14ac:dyDescent="0.15">
      <c r="A20" s="2">
        <v>16</v>
      </c>
      <c r="B20" s="9">
        <v>200</v>
      </c>
    </row>
    <row r="21" spans="1:2" x14ac:dyDescent="0.15">
      <c r="A21" s="2">
        <v>17</v>
      </c>
      <c r="B21" s="9">
        <v>210</v>
      </c>
    </row>
    <row r="22" spans="1:2" x14ac:dyDescent="0.15">
      <c r="A22" s="2">
        <v>18</v>
      </c>
      <c r="B22" s="9">
        <v>220</v>
      </c>
    </row>
    <row r="23" spans="1:2" x14ac:dyDescent="0.15">
      <c r="A23" s="2">
        <v>19</v>
      </c>
      <c r="B23" s="9">
        <v>230</v>
      </c>
    </row>
    <row r="24" spans="1:2" x14ac:dyDescent="0.15">
      <c r="A24" s="2">
        <v>20</v>
      </c>
      <c r="B24" s="9">
        <v>240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30</vt:i4>
      </vt:variant>
    </vt:vector>
  </HeadingPairs>
  <TitlesOfParts>
    <vt:vector size="30" baseType="lpstr">
      <vt:lpstr>全部建筑-属性</vt:lpstr>
      <vt:lpstr>粗算 (5)</vt:lpstr>
      <vt:lpstr>粗算 (4)</vt:lpstr>
      <vt:lpstr>粗算 (2)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CANGKU</vt:lpstr>
      <vt:lpstr>LEIDA</vt:lpstr>
      <vt:lpstr>DIANCHIZU</vt:lpstr>
      <vt:lpstr>JIANSHENFANG</vt:lpstr>
      <vt:lpstr>CHE1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2018-09-18T08:37:13Z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