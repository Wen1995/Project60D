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EVENTS" sheetId="43" r:id="rId6"/>
    <sheet name="PLAYER_LEVEL" sheetId="44" r:id="rId7"/>
    <sheet name="MANOR_LEVEL" sheetId="45" r:id="rId8"/>
    <sheet name="ROB_PROPORTION" sheetId="46" r:id="rId9"/>
  </sheets>
  <calcPr calcId="152511"/>
</workbook>
</file>

<file path=xl/calcChain.xml><?xml version="1.0" encoding="utf-8"?>
<calcChain xmlns="http://schemas.openxmlformats.org/spreadsheetml/2006/main">
  <c r="BL224" i="9" l="1"/>
  <c r="AE224" i="9" s="1"/>
  <c r="BJ224" i="9"/>
  <c r="BE224" i="9"/>
  <c r="AZ224" i="9"/>
  <c r="AU224" i="9"/>
  <c r="AP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U223" i="9"/>
  <c r="AP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U222" i="9"/>
  <c r="AP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U221" i="9"/>
  <c r="AP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U220" i="9"/>
  <c r="AP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U219" i="9"/>
  <c r="AP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U218" i="9"/>
  <c r="AP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U217" i="9"/>
  <c r="AP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U216" i="9"/>
  <c r="AP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P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BE214" i="9"/>
  <c r="AZ214" i="9"/>
  <c r="AU214" i="9"/>
  <c r="AP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P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P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P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P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P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P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P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P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Z205" i="9"/>
  <c r="AU205" i="9"/>
  <c r="AP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424" i="9"/>
  <c r="U423" i="9"/>
  <c r="U422" i="9"/>
  <c r="U421" i="9"/>
  <c r="U420" i="9"/>
  <c r="U419" i="9"/>
  <c r="U418" i="9"/>
  <c r="U417" i="9"/>
  <c r="U416" i="9"/>
  <c r="U415" i="9"/>
  <c r="U414" i="9"/>
  <c r="U413" i="9"/>
  <c r="U412" i="9"/>
  <c r="U411" i="9"/>
  <c r="U410" i="9"/>
  <c r="U409" i="9"/>
  <c r="U408" i="9"/>
  <c r="U407" i="9"/>
  <c r="U406" i="9"/>
  <c r="U405" i="9"/>
  <c r="U404" i="9"/>
  <c r="U403" i="9"/>
  <c r="U402" i="9"/>
  <c r="U401" i="9"/>
  <c r="U400" i="9"/>
  <c r="U399" i="9"/>
  <c r="U398" i="9"/>
  <c r="U397" i="9"/>
  <c r="U396" i="9"/>
  <c r="U395" i="9"/>
  <c r="U394" i="9"/>
  <c r="U393" i="9"/>
  <c r="U392" i="9"/>
  <c r="U391" i="9"/>
  <c r="U390" i="9"/>
  <c r="U389" i="9"/>
  <c r="U388" i="9"/>
  <c r="U387" i="9"/>
  <c r="U386" i="9"/>
  <c r="U38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64" i="9"/>
  <c r="U363" i="9"/>
  <c r="U362" i="9"/>
  <c r="U361" i="9"/>
  <c r="U360" i="9"/>
  <c r="U359" i="9"/>
  <c r="U358" i="9"/>
  <c r="U357" i="9"/>
  <c r="U356" i="9"/>
  <c r="U355" i="9"/>
  <c r="U354" i="9"/>
  <c r="U353" i="9"/>
  <c r="U352" i="9"/>
  <c r="U351" i="9"/>
  <c r="U350" i="9"/>
  <c r="U349" i="9"/>
  <c r="U348" i="9"/>
  <c r="U347" i="9"/>
  <c r="U346" i="9"/>
  <c r="U345" i="9"/>
  <c r="U344" i="9"/>
  <c r="U343" i="9"/>
  <c r="U342" i="9"/>
  <c r="U341" i="9"/>
  <c r="U340" i="9"/>
  <c r="U339" i="9"/>
  <c r="U338" i="9"/>
  <c r="U337" i="9"/>
  <c r="U336" i="9"/>
  <c r="U335" i="9"/>
  <c r="U334" i="9"/>
  <c r="U333" i="9"/>
  <c r="U332" i="9"/>
  <c r="U331" i="9"/>
  <c r="U330" i="9"/>
  <c r="U329" i="9"/>
  <c r="U328" i="9"/>
  <c r="U327" i="9"/>
  <c r="U326" i="9"/>
  <c r="U32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84" i="9"/>
  <c r="U183" i="9"/>
  <c r="U182" i="9"/>
  <c r="U181" i="9"/>
  <c r="U180" i="9"/>
  <c r="U179" i="9"/>
  <c r="U178" i="9"/>
  <c r="U177" i="9"/>
  <c r="U176" i="9"/>
  <c r="U175" i="9"/>
  <c r="U174" i="9"/>
  <c r="U173" i="9"/>
  <c r="U172" i="9"/>
  <c r="U171" i="9"/>
  <c r="U170" i="9"/>
  <c r="U169" i="9"/>
  <c r="U168" i="9"/>
  <c r="U167" i="9"/>
  <c r="U166" i="9"/>
  <c r="U16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124" i="9"/>
  <c r="U123" i="9"/>
  <c r="U122" i="9"/>
  <c r="U121" i="9"/>
  <c r="U120" i="9"/>
  <c r="U119" i="9"/>
  <c r="U118" i="9"/>
  <c r="U117" i="9"/>
  <c r="U116" i="9"/>
  <c r="U115" i="9"/>
  <c r="U114" i="9"/>
  <c r="U113" i="9"/>
  <c r="U112" i="9"/>
  <c r="U111" i="9"/>
  <c r="U110" i="9"/>
  <c r="U109" i="9"/>
  <c r="U108" i="9"/>
  <c r="U107" i="9"/>
  <c r="U106" i="9"/>
  <c r="U105" i="9"/>
  <c r="U104" i="9"/>
  <c r="U103" i="9"/>
  <c r="U102" i="9"/>
  <c r="U101" i="9"/>
  <c r="U100" i="9"/>
  <c r="U99" i="9"/>
  <c r="U98" i="9"/>
  <c r="U97" i="9"/>
  <c r="U96" i="9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325" i="9"/>
  <c r="X326" i="9"/>
  <c r="X327" i="9"/>
  <c r="X328" i="9"/>
  <c r="X329" i="9"/>
  <c r="X330" i="9"/>
  <c r="X331" i="9"/>
  <c r="X332" i="9"/>
  <c r="X333" i="9"/>
  <c r="X334" i="9"/>
  <c r="X335" i="9"/>
  <c r="X336" i="9"/>
  <c r="X337" i="9"/>
  <c r="X338" i="9"/>
  <c r="X339" i="9"/>
  <c r="X340" i="9"/>
  <c r="X341" i="9"/>
  <c r="X342" i="9"/>
  <c r="X343" i="9"/>
  <c r="X344" i="9"/>
  <c r="X345" i="9"/>
  <c r="X346" i="9"/>
  <c r="X347" i="9"/>
  <c r="X348" i="9"/>
  <c r="X349" i="9"/>
  <c r="X350" i="9"/>
  <c r="X351" i="9"/>
  <c r="X352" i="9"/>
  <c r="X353" i="9"/>
  <c r="X354" i="9"/>
  <c r="X355" i="9"/>
  <c r="X356" i="9"/>
  <c r="X357" i="9"/>
  <c r="X358" i="9"/>
  <c r="X359" i="9"/>
  <c r="X360" i="9"/>
  <c r="X361" i="9"/>
  <c r="X362" i="9"/>
  <c r="X363" i="9"/>
  <c r="X364" i="9"/>
  <c r="X365" i="9"/>
  <c r="X366" i="9"/>
  <c r="X367" i="9"/>
  <c r="X368" i="9"/>
  <c r="X369" i="9"/>
  <c r="X370" i="9"/>
  <c r="X371" i="9"/>
  <c r="X372" i="9"/>
  <c r="X373" i="9"/>
  <c r="X374" i="9"/>
  <c r="X375" i="9"/>
  <c r="X376" i="9"/>
  <c r="X377" i="9"/>
  <c r="X378" i="9"/>
  <c r="X379" i="9"/>
  <c r="X380" i="9"/>
  <c r="X381" i="9"/>
  <c r="X382" i="9"/>
  <c r="X383" i="9"/>
  <c r="X384" i="9"/>
  <c r="X385" i="9"/>
  <c r="X386" i="9"/>
  <c r="X387" i="9"/>
  <c r="X388" i="9"/>
  <c r="X389" i="9"/>
  <c r="X390" i="9"/>
  <c r="X391" i="9"/>
  <c r="X392" i="9"/>
  <c r="X393" i="9"/>
  <c r="X394" i="9"/>
  <c r="X395" i="9"/>
  <c r="X396" i="9"/>
  <c r="X397" i="9"/>
  <c r="X398" i="9"/>
  <c r="X399" i="9"/>
  <c r="X400" i="9"/>
  <c r="X401" i="9"/>
  <c r="X402" i="9"/>
  <c r="X403" i="9"/>
  <c r="X404" i="9"/>
  <c r="X405" i="9"/>
  <c r="X406" i="9"/>
  <c r="X407" i="9"/>
  <c r="X408" i="9"/>
  <c r="X409" i="9"/>
  <c r="X410" i="9"/>
  <c r="X411" i="9"/>
  <c r="X412" i="9"/>
  <c r="X413" i="9"/>
  <c r="X414" i="9"/>
  <c r="X415" i="9"/>
  <c r="X416" i="9"/>
  <c r="X417" i="9"/>
  <c r="X418" i="9"/>
  <c r="X419" i="9"/>
  <c r="X420" i="9"/>
  <c r="X421" i="9"/>
  <c r="X422" i="9"/>
  <c r="X423" i="9"/>
  <c r="X4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X5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7" i="30"/>
  <c r="A17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8" i="30"/>
  <c r="F29" i="30"/>
  <c r="F30" i="30"/>
  <c r="F31" i="30"/>
  <c r="F32" i="30"/>
  <c r="F33" i="30"/>
  <c r="F34" i="30"/>
  <c r="F35" i="30"/>
  <c r="F36" i="30"/>
  <c r="F37" i="30"/>
  <c r="A37" i="30" s="1"/>
  <c r="F38" i="30"/>
  <c r="A38" i="30" s="1"/>
  <c r="F39" i="30"/>
  <c r="A39" i="30" s="1"/>
  <c r="F40" i="30"/>
  <c r="F41" i="30"/>
  <c r="F42" i="30"/>
  <c r="F43" i="30"/>
  <c r="F44" i="30"/>
  <c r="F45" i="30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A51" i="30" s="1"/>
  <c r="F52" i="30"/>
  <c r="F53" i="30"/>
  <c r="F54" i="30"/>
  <c r="F55" i="30"/>
  <c r="F56" i="30"/>
  <c r="F57" i="30"/>
  <c r="F58" i="30"/>
  <c r="F59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F49" i="43"/>
  <c r="A49" i="43"/>
  <c r="F48" i="43"/>
  <c r="A48" i="43" s="1"/>
  <c r="F47" i="43"/>
  <c r="A47" i="43"/>
  <c r="F46" i="43"/>
  <c r="A46" i="43"/>
  <c r="F45" i="43"/>
  <c r="A45" i="43"/>
  <c r="F44" i="43"/>
  <c r="A44" i="43" s="1"/>
  <c r="F43" i="43"/>
  <c r="A43" i="43"/>
  <c r="F42" i="43"/>
  <c r="A42" i="43"/>
  <c r="F41" i="43"/>
  <c r="A41" i="43"/>
  <c r="F40" i="43"/>
  <c r="A40" i="43" s="1"/>
  <c r="F39" i="43"/>
  <c r="A39" i="43"/>
  <c r="F38" i="43"/>
  <c r="A38" i="43"/>
  <c r="F37" i="43"/>
  <c r="A37" i="43"/>
  <c r="F36" i="43"/>
  <c r="A36" i="43" s="1"/>
  <c r="F35" i="43"/>
  <c r="A35" i="43"/>
  <c r="F34" i="43"/>
  <c r="A34" i="43"/>
  <c r="F33" i="43"/>
  <c r="A33" i="43"/>
  <c r="F32" i="43"/>
  <c r="A32" i="43" s="1"/>
  <c r="F31" i="43"/>
  <c r="A31" i="43"/>
  <c r="F30" i="43"/>
  <c r="A30" i="43"/>
  <c r="F29" i="43"/>
  <c r="A29" i="43"/>
  <c r="F28" i="43"/>
  <c r="A28" i="43" s="1"/>
  <c r="F27" i="43"/>
  <c r="A27" i="43"/>
  <c r="F26" i="43"/>
  <c r="A26" i="43"/>
  <c r="F25" i="43"/>
  <c r="A25" i="43"/>
  <c r="F24" i="43"/>
  <c r="A24" i="43" s="1"/>
  <c r="F23" i="43"/>
  <c r="A23" i="43"/>
  <c r="F22" i="43"/>
  <c r="A22" i="43"/>
  <c r="F21" i="43"/>
  <c r="A21" i="43"/>
  <c r="F20" i="43"/>
  <c r="A20" i="43" s="1"/>
  <c r="F19" i="43"/>
  <c r="A19" i="43"/>
  <c r="F18" i="43"/>
  <c r="A18" i="43"/>
  <c r="F17" i="43"/>
  <c r="A17" i="43"/>
  <c r="F16" i="43"/>
  <c r="A16" i="43" s="1"/>
  <c r="F15" i="43"/>
  <c r="A15" i="43"/>
  <c r="F14" i="43"/>
  <c r="A14" i="43"/>
  <c r="F13" i="43"/>
  <c r="A13" i="43"/>
  <c r="F12" i="43"/>
  <c r="A12" i="43" s="1"/>
  <c r="F11" i="43"/>
  <c r="A11" i="43"/>
  <c r="F10" i="43"/>
  <c r="A10" i="43"/>
  <c r="O9" i="43"/>
  <c r="F9" i="43"/>
  <c r="A9" i="43"/>
  <c r="F8" i="43"/>
  <c r="A8" i="43"/>
  <c r="O7" i="43"/>
  <c r="F7" i="43"/>
  <c r="A7" i="43"/>
  <c r="O6" i="43"/>
  <c r="F6" i="43"/>
  <c r="A6" i="43"/>
  <c r="O5" i="43"/>
  <c r="F5" i="43"/>
  <c r="A5" i="43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AU10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3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3" i="30"/>
  <c r="A23" i="30" s="1"/>
  <c r="BE75" i="9" s="1"/>
  <c r="F24" i="30"/>
  <c r="A24" i="30" s="1"/>
  <c r="BE96" i="9" s="1"/>
  <c r="F25" i="30"/>
  <c r="A25" i="30" s="1"/>
  <c r="F26" i="30"/>
  <c r="A26" i="30" s="1"/>
  <c r="BE298" i="9" s="1"/>
  <c r="F27" i="30"/>
  <c r="A27" i="30" s="1"/>
  <c r="BE332" i="9" s="1"/>
  <c r="A28" i="30"/>
  <c r="BE351" i="9" s="1"/>
  <c r="A29" i="30"/>
  <c r="BE415" i="9" s="1"/>
  <c r="A30" i="30"/>
  <c r="BE437" i="9" s="1"/>
  <c r="A36" i="30"/>
  <c r="BE562" i="9" s="1"/>
  <c r="F22" i="30"/>
  <c r="A22" i="30" s="1"/>
  <c r="BE14" i="9" s="1"/>
  <c r="A31" i="30"/>
  <c r="BE456" i="9" s="1"/>
  <c r="A32" i="30"/>
  <c r="BE474" i="9" s="1"/>
  <c r="A34" i="30"/>
  <c r="BE536" i="9" s="1"/>
  <c r="A35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AF579" i="9" l="1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2" i="30"/>
  <c r="A12" i="30" s="1"/>
  <c r="F11" i="30"/>
  <c r="A11" i="30" s="1"/>
  <c r="AU418" i="9" s="1"/>
  <c r="F13" i="30"/>
  <c r="A13" i="30" s="1"/>
  <c r="F14" i="30"/>
  <c r="A14" i="30" s="1"/>
  <c r="F15" i="30"/>
  <c r="A15" i="30" s="1"/>
  <c r="F16" i="30"/>
  <c r="A16" i="30" s="1"/>
  <c r="F18" i="30"/>
  <c r="A18" i="30" s="1"/>
  <c r="AZ185" i="9" s="1"/>
  <c r="F19" i="30"/>
  <c r="A19" i="30" s="1"/>
  <c r="F20" i="30"/>
  <c r="A20" i="30" s="1"/>
  <c r="F21" i="30"/>
  <c r="A21" i="30" s="1"/>
  <c r="BE525" i="9" s="1"/>
  <c r="A40" i="30"/>
  <c r="A41" i="30"/>
  <c r="A43" i="30"/>
  <c r="A45" i="30"/>
  <c r="A53" i="30"/>
  <c r="A54" i="30"/>
  <c r="A55" i="30"/>
  <c r="A56" i="30"/>
  <c r="A57" i="30"/>
  <c r="A58" i="30"/>
  <c r="A59" i="30"/>
  <c r="F5" i="30"/>
  <c r="A42" i="30"/>
  <c r="A44" i="30"/>
  <c r="A52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X170" i="9" l="1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AP10" i="9" s="1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AF20" i="9" l="1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<sst xmlns="http://schemas.openxmlformats.org/spreadsheetml/2006/main" count="3635" uniqueCount="649">
  <si>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</si>
  <si>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</si>
  <si>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</si>
  <si>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</si>
  <si>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</si>
  <si>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</si>
  <si>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</si>
  <si>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</si>
  <si>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</si>
  <si>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</si>
  <si>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</si>
  <si>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</si>
  <si>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</si>
  <si>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</si>
  <si>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</si>
  <si>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</si>
  <si>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</si>
  <si>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</si>
  <si>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</si>
  <si>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</si>
  <si>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</si>
  <si>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</si>
  <si>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</si>
  <si>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</si>
  <si>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</si>
  <si>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</si>
  <si>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</si>
  <si>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</si>
  <si>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</si>
  <si>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</si>
  <si>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</si>
  <si>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</si>
  <si>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</si>
  <si>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</si>
  <si>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</si>
  <si>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</si>
  <si>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</si>
  <si>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</si>
  <si>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</si>
  <si>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</si>
  <si>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</si>
  <si>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</si>
  <si>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</si>
  <si>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</si>
  <si>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</si>
  <si>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</si>
  <si>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</si>
  <si>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</si>
  <si>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</si>
  <si>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</si>
  <si>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</si>
  <si>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</si>
  <si>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</si>
  <si>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</si>
  <si>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</si>
  <si>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</si>
  <si>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</si>
  <si>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</si>
  <si>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</si>
  <si>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</si>
  <si>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</si>
  <si>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</si>
  <si>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</si>
  <si>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</si>
  <si>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</si>
  <si>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</si>
  <si>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</si>
  <si>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</si>
  <si>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</si>
  <si>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</si>
  <si>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</si>
  <si>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</si>
  <si>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</si>
  <si>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</si>
  <si>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</si>
  <si>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</si>
  <si>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</si>
  <si>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</si>
  <si>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</si>
  <si>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</si>
  <si>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</si>
  <si>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</si>
  <si>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</si>
  <si>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</si>
  <si>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</si>
  <si>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</si>
  <si>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</si>
  <si>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</si>
  <si>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</si>
  <si>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</si>
  <si>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</si>
  <si>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</si>
  <si>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</si>
  <si>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</si>
  <si>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</si>
  <si>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</si>
  <si>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</si>
  <si>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</si>
  <si>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</si>
  <si>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</si>
  <si>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</si>
  <si>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</si>
  <si>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</si>
  <si>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</si>
  <si>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</si>
  <si>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</si>
  <si>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</si>
  <si>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</si>
  <si>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</si>
  <si>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</si>
  <si>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</si>
  <si>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</si>
  <si>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</si>
  <si>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</si>
  <si>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</si>
  <si>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</si>
  <si>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</si>
  <si>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</si>
  <si>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</si>
  <si>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</si>
  <si>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</si>
  <si>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</si>
  <si>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</si>
  <si>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</si>
  <si>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</si>
  <si>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</si>
  <si>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</si>
  <si>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</si>
  <si>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</si>
  <si>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</si>
  <si>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</si>
  <si>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</si>
  <si>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</si>
  <si>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</si>
  <si>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</si>
  <si>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</si>
  <si>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</si>
  <si>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</si>
  <si>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</si>
  <si>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</si>
  <si>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</si>
  <si>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</si>
  <si>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</si>
  <si>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</si>
  <si>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</si>
  <si>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</si>
  <si>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</si>
  <si>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</si>
  <si>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</si>
  <si>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</si>
  <si>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</si>
  <si>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</si>
  <si>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</si>
  <si>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</si>
  <si>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</si>
  <si>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</si>
  <si>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</si>
  <si>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</si>
  <si>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</si>
  <si>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</si>
  <si>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</si>
  <si>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</si>
  <si>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</si>
  <si>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</si>
  <si>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</si>
  <si>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</si>
  <si>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</si>
  <si>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</si>
  <si>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</si>
  <si>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</si>
  <si>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</si>
  <si>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</si>
  <si>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</si>
  <si>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</si>
  <si>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</si>
  <si>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</si>
  <si>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</si>
  <si>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</si>
  <si>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</si>
  <si>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</si>
  <si>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</si>
  <si>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</si>
  <si>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</si>
  <si>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</si>
  <si>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</si>
  <si>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</si>
  <si>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</si>
  <si>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</si>
  <si>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</si>
  <si>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</si>
  <si>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</si>
  <si>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</si>
  <si>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</si>
  <si>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</si>
  <si>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</si>
  <si>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</si>
  <si>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</si>
  <si>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</si>
  <si>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</si>
  <si>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</si>
  <si>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</si>
  <si>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</si>
  <si>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</si>
  <si>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</si>
  <si>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</si>
  <si>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</si>
  <si>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</si>
  <si>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</si>
  <si>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</si>
  <si>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</si>
  <si>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</si>
  <si>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</si>
  <si>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</si>
  <si>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</si>
  <si>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</si>
  <si>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</si>
  <si>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</si>
  <si>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</si>
  <si>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</si>
  <si>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</si>
  <si>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</si>
  <si>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</si>
  <si>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</si>
  <si>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</si>
  <si>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</si>
  <si>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</si>
  <si>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</si>
  <si>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</si>
  <si>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</si>
  <si>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</si>
  <si>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</si>
  <si>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</si>
  <si>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</si>
  <si>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</si>
  <si>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</si>
  <si>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</si>
  <si>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</si>
  <si>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</si>
  <si>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</si>
  <si>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</si>
  <si>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</si>
  <si>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</si>
  <si>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</si>
  <si>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</si>
  <si>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</si>
  <si>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</si>
  <si>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</si>
  <si>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</si>
  <si>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</si>
  <si>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</si>
  <si>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</si>
  <si>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</si>
  <si>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</si>
  <si>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</si>
  <si>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</si>
  <si>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</si>
  <si>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</si>
  <si>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</si>
  <si>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</si>
  <si>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</si>
  <si>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</si>
  <si>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</si>
  <si>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</si>
  <si>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</si>
  <si>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</si>
  <si>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</si>
  <si>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</si>
  <si>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</si>
  <si>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</si>
  <si>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</si>
  <si>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</si>
  <si>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</si>
  <si>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</si>
  <si>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</si>
  <si>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</si>
  <si>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</si>
  <si>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</si>
  <si>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</si>
  <si>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</si>
  <si>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</si>
  <si>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</si>
  <si>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</si>
  <si>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</si>
  <si>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</si>
  <si>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</si>
  <si>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</si>
  <si>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</si>
  <si>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</si>
  <si>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</si>
  <si>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</si>
  <si>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</si>
  <si>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</si>
  <si>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</si>
  <si>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</si>
  <si>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</si>
  <si>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</si>
  <si>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</si>
  <si>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</si>
  <si>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</si>
  <si>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</si>
  <si>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</si>
  <si>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</si>
  <si>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</si>
  <si>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</si>
  <si>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</si>
  <si>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</si>
  <si>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</si>
  <si>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</si>
  <si>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</si>
  <si>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</si>
  <si>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</si>
  <si>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</si>
  <si>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</si>
  <si>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</si>
  <si>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</si>
  <si>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</si>
  <si>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</si>
  <si>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</si>
  <si>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</si>
  <si>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</si>
  <si>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</si>
  <si>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</si>
  <si>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</si>
  <si>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</si>
  <si>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</si>
  <si>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</si>
  <si>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</si>
  <si>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</si>
  <si>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</si>
  <si>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</si>
  <si>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</si>
  <si>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</si>
  <si>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</si>
  <si>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</si>
  <si>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</si>
  <si>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</si>
  <si>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</si>
  <si>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</si>
  <si>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</si>
  <si>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</si>
  <si>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</si>
  <si>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</si>
  <si>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</si>
  <si>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</si>
  <si>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</si>
  <si>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</si>
  <si>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</si>
  <si>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</si>
  <si>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</si>
  <si>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</si>
  <si>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</si>
  <si>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</si>
  <si>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</si>
  <si>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</si>
  <si>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</si>
  <si>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</si>
  <si>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</si>
  <si>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</si>
  <si>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</si>
  <si>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</si>
  <si>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</si>
  <si>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</si>
  <si>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</si>
  <si>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</si>
  <si>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</si>
  <si>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</si>
  <si>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</si>
  <si>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</si>
  <si>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</si>
  <si>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</si>
  <si>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</si>
  <si>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</si>
  <si>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</si>
  <si>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</si>
  <si>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</si>
  <si>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</si>
  <si>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</si>
  <si>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</si>
  <si>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</si>
  <si>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</si>
  <si>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</si>
  <si>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</si>
  <si>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</si>
  <si>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</si>
  <si>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</si>
  <si>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</si>
  <si>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</si>
  <si>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</si>
  <si>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</si>
  <si>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</si>
  <si>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</si>
  <si>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</si>
  <si>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</si>
  <si>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</si>
  <si>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</si>
  <si>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</si>
  <si>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</si>
  <si>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</si>
  <si>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</si>
  <si>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</si>
  <si>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</si>
  <si>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</si>
  <si>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</si>
  <si>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</si>
  <si>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</si>
  <si>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</si>
  <si>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</si>
  <si>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</si>
  <si>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</si>
  <si>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</si>
  <si>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</si>
  <si>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</si>
  <si>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</si>
  <si>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</si>
  <si>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</si>
  <si>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</si>
  <si>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</si>
  <si>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</si>
  <si>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</si>
  <si>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</si>
  <si>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</si>
  <si>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</si>
  <si>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</si>
  <si>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</si>
  <si>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</si>
  <si>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</si>
  <si>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</si>
  <si>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</si>
  <si>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</si>
  <si>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</si>
  <si>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</si>
  <si>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</si>
  <si>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</si>
  <si>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</si>
  <si>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</si>
  <si>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</si>
  <si>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</si>
  <si>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</si>
  <si>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</si>
  <si>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</si>
  <si>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资源类型</t>
    <phoneticPr fontId="12" type="noConversion"/>
  </si>
  <si>
    <t>自定义1</t>
    <phoneticPr fontId="12" type="noConversion"/>
  </si>
  <si>
    <t>自定义2</t>
    <phoneticPr fontId="12" type="noConversion"/>
  </si>
  <si>
    <t>资源等级</t>
    <phoneticPr fontId="12" type="noConversion"/>
  </si>
  <si>
    <t>加工1</t>
    <phoneticPr fontId="12" type="noConversion"/>
  </si>
  <si>
    <t>结果ID2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</si>
  <si>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</si>
  <si>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</si>
  <si>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</si>
  <si>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</si>
  <si>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</si>
  <si>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</si>
  <si>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对黄金兑换比例</t>
    <phoneticPr fontId="12" type="noConversion"/>
  </si>
  <si>
    <t>gold_conv</t>
    <phoneticPr fontId="12" type="noConversion"/>
  </si>
  <si>
    <t>加工2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</si>
  <si>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</si>
  <si>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</si>
  <si>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</si>
  <si>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</si>
  <si>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</si>
  <si>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</si>
  <si>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</si>
  <si>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</si>
  <si>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</si>
  <si>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</si>
  <si>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</si>
  <si>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</si>
  <si>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</si>
  <si>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</si>
  <si>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</si>
  <si>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</si>
  <si>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</si>
  <si>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</si>
  <si>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</si>
  <si>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</si>
  <si>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</si>
  <si>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</si>
  <si>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</si>
  <si>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</si>
  <si>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</si>
  <si>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</si>
  <si>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</si>
  <si>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</si>
  <si>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</si>
  <si>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</si>
  <si>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</si>
  <si>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</si>
  <si>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</si>
  <si>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</si>
  <si>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</si>
  <si>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</si>
  <si>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</si>
  <si>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</si>
  <si>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</si>
  <si>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</si>
  <si>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</si>
  <si>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</si>
  <si>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</si>
  <si>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</si>
  <si>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</si>
  <si>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</si>
  <si>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</si>
  <si>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</si>
  <si>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</si>
  <si>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</si>
  <si>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</si>
  <si>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</si>
  <si>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</si>
  <si>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</si>
  <si>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</si>
  <si>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</si>
  <si>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</si>
  <si>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</si>
  <si>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</si>
  <si>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</si>
  <si>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</si>
  <si>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</si>
  <si>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</si>
  <si>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</si>
  <si>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</si>
  <si>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</si>
  <si>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</si>
  <si>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</si>
  <si>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</si>
  <si>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</si>
  <si>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</si>
  <si>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</si>
  <si>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</si>
  <si>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</si>
  <si>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</si>
  <si>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</si>
  <si>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</si>
  <si>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</si>
  <si>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</si>
  <si>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每级消耗资源价值</t>
    <phoneticPr fontId="12" type="noConversion"/>
  </si>
  <si>
    <t>x/黄金
未来读表</t>
    <phoneticPr fontId="12" type="noConversion"/>
  </si>
  <si>
    <t>time_cost1</t>
    <phoneticPr fontId="12" type="noConversion"/>
  </si>
  <si>
    <t>ele_cost1</t>
    <phoneticPr fontId="12" type="noConversion"/>
  </si>
  <si>
    <t>cost_qty1</t>
    <phoneticPr fontId="12" type="noConversion"/>
  </si>
  <si>
    <t>result_id1</t>
    <phoneticPr fontId="12" type="noConversion"/>
  </si>
  <si>
    <t>time_cost2</t>
    <phoneticPr fontId="12" type="noConversion"/>
  </si>
  <si>
    <t>ele_cost2</t>
    <phoneticPr fontId="12" type="noConversion"/>
  </si>
  <si>
    <t>cost_qty2</t>
    <phoneticPr fontId="12" type="noConversion"/>
  </si>
  <si>
    <t>result_id2</t>
    <phoneticPr fontId="12" type="noConversion"/>
  </si>
  <si>
    <t>消耗时间1
(秒)</t>
    <phoneticPr fontId="12" type="noConversion"/>
  </si>
  <si>
    <t>消耗电力1</t>
    <phoneticPr fontId="12" type="noConversion"/>
  </si>
  <si>
    <t>消耗数量1</t>
    <phoneticPr fontId="12" type="noConversion"/>
  </si>
  <si>
    <t>结果ID1</t>
    <phoneticPr fontId="12" type="noConversion"/>
  </si>
  <si>
    <t>消耗时间2
(秒)</t>
    <phoneticPr fontId="12" type="noConversion"/>
  </si>
  <si>
    <t>消耗电力2</t>
    <phoneticPr fontId="12" type="noConversion"/>
  </si>
  <si>
    <t>消耗数量2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</si>
  <si>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</si>
  <si>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</si>
  <si>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</si>
  <si>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</si>
  <si>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</si>
  <si>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</si>
  <si>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</si>
  <si>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</si>
  <si>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</si>
  <si>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</si>
  <si>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</si>
  <si>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</si>
  <si>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</si>
  <si>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</si>
  <si>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</si>
  <si>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</si>
  <si>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</si>
  <si>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</si>
  <si>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</si>
  <si>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</si>
  <si>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</si>
  <si>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</si>
  <si>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</si>
  <si>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</si>
  <si>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</si>
  <si>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</si>
  <si>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</si>
  <si>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</si>
  <si>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</si>
  <si>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</si>
  <si>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</si>
  <si>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</si>
  <si>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</si>
  <si>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</si>
  <si>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</si>
  <si>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</si>
  <si>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</si>
  <si>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</si>
  <si>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</si>
  <si>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</si>
  <si>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</si>
  <si>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</si>
  <si>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</si>
  <si>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</si>
  <si>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</si>
  <si>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</si>
  <si>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</si>
  <si>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</si>
  <si>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</si>
  <si>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</si>
  <si>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</si>
  <si>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</si>
  <si>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</si>
  <si>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</si>
  <si>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</si>
  <si>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</si>
  <si>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</si>
  <si>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</si>
  <si>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</si>
  <si>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</si>
  <si>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</si>
  <si>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</si>
  <si>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</si>
  <si>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</si>
  <si>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</si>
  <si>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</si>
  <si>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</si>
  <si>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</si>
  <si>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</si>
  <si>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</si>
  <si>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</si>
  <si>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</si>
  <si>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</si>
  <si>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庄园势力限制</t>
    <phoneticPr fontId="12" type="noConversion"/>
  </si>
  <si>
    <t>增加庄园势力</t>
    <phoneticPr fontId="12" type="noConversion"/>
  </si>
  <si>
    <t>x/黄金
未来读表</t>
    <phoneticPr fontId="12" type="noConversion"/>
  </si>
  <si>
    <t>player_level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</si>
  <si>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</si>
  <si>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</si>
  <si>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</si>
  <si>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</si>
  <si>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</si>
  <si>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manor_level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</si>
  <si>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</si>
  <si>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</si>
  <si>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</si>
  <si>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</si>
  <si>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</si>
  <si>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</si>
  <si>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manor_level</t>
    <phoneticPr fontId="12" type="noConversion"/>
  </si>
  <si>
    <t>required</t>
    <phoneticPr fontId="12" type="noConversion"/>
  </si>
  <si>
    <t>上限对应资源</t>
    <phoneticPr fontId="14" type="noConversion"/>
  </si>
  <si>
    <t>黄金</t>
    <phoneticPr fontId="14" type="noConversion"/>
  </si>
  <si>
    <t>上限</t>
    <phoneticPr fontId="14" type="noConversion"/>
  </si>
  <si>
    <t>领取类仓库</t>
    <phoneticPr fontId="14" type="noConversion"/>
  </si>
  <si>
    <t>大仓库资源</t>
    <phoneticPr fontId="14" type="noConversion"/>
  </si>
  <si>
    <t>雷达站</t>
    <phoneticPr fontId="12" type="noConversion"/>
  </si>
  <si>
    <t>LEIDA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</si>
</sst>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9"/>
      <name val="宋体"/>
      <family val="2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01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4" fillId="12" borderId="0" xfId="2" applyFont="1" applyFill="1" applyAlignment="1">
      <alignment horizontal="center" vertical="center"/>
    </xf>
    <xf numFmtId="0" fontId="4" fillId="12" borderId="2" xfId="2" applyFont="1" applyFill="1" applyBorder="1" applyAlignment="1">
      <alignment horizontal="center" vertical="center" wrapText="1"/>
    </xf>
    <xf numFmtId="0" fontId="4" fillId="12" borderId="0" xfId="2" applyFont="1" applyFill="1" applyBorder="1" applyAlignment="1">
      <alignment horizontal="center" vertical="center"/>
    </xf>
    <xf numFmtId="0" fontId="4" fillId="12" borderId="0" xfId="3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0" fillId="7" borderId="0" xfId="0" applyFill="1" applyAlignment="1">
      <alignment horizontal="center" vertical="center"/>
    </xf>
    <xf numFmtId="0" fontId="4" fillId="7" borderId="12" xfId="1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topLeftCell="A4" zoomScale="90" zoomScaleNormal="90" workbookViewId="0">
      <selection activeCell="D45" sqref="D45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</row>
    <row r="16" spans="1:7" x14ac:dyDescent="0.15">
      <c r="B16" s="44">
        <v>2</v>
      </c>
      <c r="D16" s="44" t="s">
        <v>258</v>
      </c>
    </row>
    <row r="17" spans="2:4" x14ac:dyDescent="0.15">
      <c r="B17" s="44">
        <v>3</v>
      </c>
      <c r="D17" s="44" t="s">
        <v>257</v>
      </c>
    </row>
    <row r="18" spans="2:4" x14ac:dyDescent="0.15">
      <c r="B18" s="44">
        <v>4</v>
      </c>
      <c r="D18" s="44" t="s">
        <v>256</v>
      </c>
    </row>
    <row r="19" spans="2:4" x14ac:dyDescent="0.15">
      <c r="B19" s="44">
        <v>5</v>
      </c>
    </row>
    <row r="20" spans="2:4" x14ac:dyDescent="0.15">
      <c r="B20" s="44">
        <v>6</v>
      </c>
      <c r="D20" s="44" t="s">
        <v>255</v>
      </c>
    </row>
    <row r="21" spans="2:4" x14ac:dyDescent="0.15">
      <c r="B21" s="44">
        <v>7</v>
      </c>
    </row>
    <row r="22" spans="2:4" x14ac:dyDescent="0.15">
      <c r="B22" s="44">
        <v>8</v>
      </c>
    </row>
    <row r="23" spans="2:4" x14ac:dyDescent="0.15">
      <c r="B23" s="44">
        <v>9</v>
      </c>
    </row>
    <row r="24" spans="2:4" x14ac:dyDescent="0.15">
      <c r="B24" s="44">
        <v>10</v>
      </c>
    </row>
    <row r="25" spans="2:4" x14ac:dyDescent="0.15">
      <c r="B25" s="44">
        <v>11</v>
      </c>
      <c r="D25" s="44" t="s">
        <v>1</v>
      </c>
    </row>
    <row r="26" spans="2:4" x14ac:dyDescent="0.15">
      <c r="B26" s="44">
        <v>12</v>
      </c>
      <c r="D26" s="44" t="s">
        <v>345</v>
      </c>
    </row>
    <row r="27" spans="2:4" x14ac:dyDescent="0.15">
      <c r="B27" s="44">
        <v>13</v>
      </c>
    </row>
    <row r="28" spans="2:4" x14ac:dyDescent="0.15">
      <c r="B28" s="44">
        <v>14</v>
      </c>
    </row>
    <row r="29" spans="2:4" x14ac:dyDescent="0.15">
      <c r="B29" s="44">
        <v>15</v>
      </c>
    </row>
    <row r="30" spans="2:4" x14ac:dyDescent="0.15">
      <c r="B30" s="44">
        <v>16</v>
      </c>
    </row>
    <row r="31" spans="2:4" x14ac:dyDescent="0.15">
      <c r="B31" s="44">
        <v>17</v>
      </c>
    </row>
    <row r="32" spans="2:4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552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tabSelected="1" zoomScale="85" zoomScaleNormal="85" workbookViewId="0">
      <selection activeCell="Z214" sqref="Z21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531</v>
      </c>
      <c r="U2" s="9" t="s">
        <v>571</v>
      </c>
      <c r="V2" s="11" t="s">
        <v>61</v>
      </c>
      <c r="X2" s="9" t="s">
        <v>571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533</v>
      </c>
      <c r="U3" s="9" t="s">
        <v>598</v>
      </c>
      <c r="V3" s="11" t="s">
        <v>622</v>
      </c>
      <c r="X3" s="9" t="s">
        <v>572</v>
      </c>
      <c r="Z3" s="9" t="s">
        <v>335</v>
      </c>
      <c r="AA3" s="9" t="s">
        <v>340</v>
      </c>
      <c r="AC3" s="9" t="s">
        <v>448</v>
      </c>
      <c r="AE3" s="56" t="s">
        <v>477</v>
      </c>
      <c r="AH3" s="31" t="s">
        <v>246</v>
      </c>
      <c r="AI3" s="30"/>
      <c r="AJ3" s="31" t="s">
        <v>450</v>
      </c>
      <c r="AK3" s="30"/>
      <c r="AL3" s="31" t="s">
        <v>551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623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532</v>
      </c>
      <c r="S4" s="79" t="s">
        <v>620</v>
      </c>
      <c r="T4" s="87" t="s">
        <v>602</v>
      </c>
      <c r="U4" s="27" t="s">
        <v>600</v>
      </c>
      <c r="V4" s="94" t="s">
        <v>635</v>
      </c>
      <c r="W4" s="87" t="s">
        <v>601</v>
      </c>
      <c r="X4" s="27" t="s">
        <v>599</v>
      </c>
      <c r="Y4" s="79" t="s">
        <v>619</v>
      </c>
      <c r="Z4" s="27" t="s">
        <v>334</v>
      </c>
      <c r="AA4" s="27" t="s">
        <v>339</v>
      </c>
      <c r="AB4" s="79" t="s">
        <v>446</v>
      </c>
      <c r="AC4" s="27" t="s">
        <v>624</v>
      </c>
      <c r="AD4" s="79" t="s">
        <v>621</v>
      </c>
      <c r="AE4" s="95" t="s">
        <v>534</v>
      </c>
      <c r="AF4" s="96" t="s">
        <v>625</v>
      </c>
      <c r="AG4" s="79" t="s">
        <v>171</v>
      </c>
      <c r="AH4" s="66" t="s">
        <v>318</v>
      </c>
      <c r="AI4" s="65" t="s">
        <v>447</v>
      </c>
      <c r="AJ4" s="66" t="s">
        <v>449</v>
      </c>
      <c r="AK4" s="65" t="s">
        <v>451</v>
      </c>
      <c r="AL4" s="66" t="s">
        <v>459</v>
      </c>
      <c r="AM4" s="65" t="s">
        <v>460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636</v>
      </c>
      <c r="L5" s="16">
        <v>1</v>
      </c>
      <c r="M5" s="16">
        <v>15</v>
      </c>
      <c r="N5" s="16"/>
      <c r="O5" s="17"/>
      <c r="P5" s="17"/>
      <c r="Q5" s="18"/>
      <c r="R5" s="16" t="s">
        <v>393</v>
      </c>
      <c r="S5" s="80"/>
      <c r="T5" s="88"/>
      <c r="U5" s="16">
        <f ca="1">IFERROR(OFFSET(ITEM_RES!$A$5,MATCH(BUILDING!T5,ITEM_RES!$J$5:$J$231,0)-1,0),0)</f>
        <v>0</v>
      </c>
      <c r="V5" s="18"/>
      <c r="W5" s="88" t="s">
        <v>603</v>
      </c>
      <c r="X5" s="16">
        <f ca="1">IFERROR(OFFSET(ITEM_RES!$A$5,MATCH(BUILDING!W5,ITEM_RES!$J$5:$J$231,0)-1,0),0)</f>
        <v>211010001</v>
      </c>
      <c r="Y5" s="80"/>
      <c r="Z5" s="16" t="s">
        <v>573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211050001</v>
      </c>
      <c r="AQ5" s="17" t="s">
        <v>461</v>
      </c>
      <c r="AR5" s="18">
        <v>25</v>
      </c>
      <c r="AS5" s="17"/>
      <c r="AT5" s="18"/>
      <c r="AU5" s="18">
        <f ca="1">IFERROR(OFFSET(ITEM_RES!$A$1,MATCH(AV5,ITEM_RES!$J:$J,0)-1,0),0)</f>
        <v>211040001</v>
      </c>
      <c r="AV5" s="17" t="s">
        <v>488</v>
      </c>
      <c r="AW5" s="18">
        <v>25</v>
      </c>
      <c r="AX5" s="17"/>
      <c r="AY5" s="18"/>
      <c r="AZ5" s="18">
        <f ca="1">IFERROR(OFFSET(ITEM_RES!$A$1,MATCH(BA5,ITEM_RES!$J:$J,0)-1,0),0)</f>
        <v>213010001</v>
      </c>
      <c r="BA5" s="17" t="s">
        <v>495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636</v>
      </c>
      <c r="L6" s="9">
        <v>1</v>
      </c>
      <c r="M6" s="9">
        <v>15</v>
      </c>
      <c r="R6" s="9" t="s">
        <v>393</v>
      </c>
      <c r="U6" s="9">
        <f ca="1">IFERROR(OFFSET(ITEM_RES!$A$5,MATCH(BUILDING!T6,ITEM_RES!$J$5:$J$231,0)-1,0),0)</f>
        <v>0</v>
      </c>
      <c r="W6" s="86" t="s">
        <v>603</v>
      </c>
      <c r="X6" s="9">
        <f ca="1">IFERROR(OFFSET(ITEM_RES!$A$5,MATCH(BUILDING!W6,ITEM_RES!$J$5:$J$231,0)-1,0),0)</f>
        <v>211010001</v>
      </c>
      <c r="Z6" s="9" t="s">
        <v>573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211050001</v>
      </c>
      <c r="AQ6" s="10" t="s">
        <v>461</v>
      </c>
      <c r="AR6" s="11">
        <v>50</v>
      </c>
      <c r="AU6" s="11">
        <f ca="1">IFERROR(OFFSET(ITEM_RES!$A$1,MATCH(AV6,ITEM_RES!$J:$J,0)-1,0),0)</f>
        <v>211040001</v>
      </c>
      <c r="AV6" s="10" t="s">
        <v>488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636</v>
      </c>
      <c r="L7" s="9">
        <v>1</v>
      </c>
      <c r="M7" s="9">
        <v>15</v>
      </c>
      <c r="R7" s="9" t="s">
        <v>393</v>
      </c>
      <c r="U7" s="9">
        <f ca="1">IFERROR(OFFSET(ITEM_RES!$A$5,MATCH(BUILDING!T7,ITEM_RES!$J$5:$J$231,0)-1,0),0)</f>
        <v>0</v>
      </c>
      <c r="W7" s="86" t="s">
        <v>603</v>
      </c>
      <c r="X7" s="9">
        <f ca="1">IFERROR(OFFSET(ITEM_RES!$A$5,MATCH(BUILDING!W7,ITEM_RES!$J$5:$J$231,0)-1,0),0)</f>
        <v>211010001</v>
      </c>
      <c r="Z7" s="9" t="s">
        <v>573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211050001</v>
      </c>
      <c r="AQ7" s="10" t="s">
        <v>461</v>
      </c>
      <c r="AR7" s="11">
        <v>75</v>
      </c>
      <c r="AU7" s="11">
        <f ca="1">IFERROR(OFFSET(ITEM_RES!$A$1,MATCH(AV7,ITEM_RES!$J:$J,0)-1,0),0)</f>
        <v>211040001</v>
      </c>
      <c r="AV7" s="10" t="s">
        <v>488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636</v>
      </c>
      <c r="L8" s="9">
        <v>1</v>
      </c>
      <c r="M8" s="9">
        <v>15</v>
      </c>
      <c r="R8" s="9" t="s">
        <v>393</v>
      </c>
      <c r="U8" s="9">
        <f ca="1">IFERROR(OFFSET(ITEM_RES!$A$5,MATCH(BUILDING!T8,ITEM_RES!$J$5:$J$231,0)-1,0),0)</f>
        <v>0</v>
      </c>
      <c r="W8" s="86" t="s">
        <v>603</v>
      </c>
      <c r="X8" s="9">
        <f ca="1">IFERROR(OFFSET(ITEM_RES!$A$5,MATCH(BUILDING!W8,ITEM_RES!$J$5:$J$231,0)-1,0),0)</f>
        <v>211010001</v>
      </c>
      <c r="Z8" s="9" t="s">
        <v>573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211050001</v>
      </c>
      <c r="AQ8" s="10" t="s">
        <v>461</v>
      </c>
      <c r="AR8" s="11">
        <v>125</v>
      </c>
      <c r="AU8" s="11">
        <f ca="1">IFERROR(OFFSET(ITEM_RES!$A$1,MATCH(AV8,ITEM_RES!$J:$J,0)-1,0),0)</f>
        <v>211040001</v>
      </c>
      <c r="AV8" s="10" t="s">
        <v>488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636</v>
      </c>
      <c r="L9" s="9">
        <v>1</v>
      </c>
      <c r="M9" s="9">
        <v>15</v>
      </c>
      <c r="R9" s="9" t="s">
        <v>393</v>
      </c>
      <c r="U9" s="9">
        <f ca="1">IFERROR(OFFSET(ITEM_RES!$A$5,MATCH(BUILDING!T9,ITEM_RES!$J$5:$J$231,0)-1,0),0)</f>
        <v>0</v>
      </c>
      <c r="W9" s="86" t="s">
        <v>603</v>
      </c>
      <c r="X9" s="9">
        <f ca="1">IFERROR(OFFSET(ITEM_RES!$A$5,MATCH(BUILDING!W9,ITEM_RES!$J$5:$J$231,0)-1,0),0)</f>
        <v>211010001</v>
      </c>
      <c r="Z9" s="9" t="s">
        <v>573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211050001</v>
      </c>
      <c r="AQ9" s="10" t="s">
        <v>461</v>
      </c>
      <c r="AR9" s="11">
        <v>200</v>
      </c>
      <c r="AU9" s="11">
        <f ca="1">IFERROR(OFFSET(ITEM_RES!$A$1,MATCH(AV9,ITEM_RES!$J:$J,0)-1,0),0)</f>
        <v>211040001</v>
      </c>
      <c r="AV9" s="10" t="s">
        <v>488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636</v>
      </c>
      <c r="L10" s="9">
        <v>1</v>
      </c>
      <c r="M10" s="9">
        <v>15</v>
      </c>
      <c r="R10" s="9" t="s">
        <v>393</v>
      </c>
      <c r="U10" s="9">
        <f ca="1">IFERROR(OFFSET(ITEM_RES!$A$5,MATCH(BUILDING!T10,ITEM_RES!$J$5:$J$231,0)-1,0),0)</f>
        <v>0</v>
      </c>
      <c r="W10" s="86" t="s">
        <v>603</v>
      </c>
      <c r="X10" s="9">
        <f ca="1">IFERROR(OFFSET(ITEM_RES!$A$5,MATCH(BUILDING!W10,ITEM_RES!$J$5:$J$231,0)-1,0),0)</f>
        <v>211010001</v>
      </c>
      <c r="Z10" s="9" t="s">
        <v>573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211050001</v>
      </c>
      <c r="AQ10" s="10" t="s">
        <v>461</v>
      </c>
      <c r="AR10" s="11">
        <v>250</v>
      </c>
      <c r="AU10" s="11">
        <f ca="1">IFERROR(OFFSET(ITEM_RES!$A$1,MATCH(AV10,ITEM_RES!$J:$J,0)-1,0),0)</f>
        <v>211040001</v>
      </c>
      <c r="AV10" s="10" t="s">
        <v>488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636</v>
      </c>
      <c r="L11" s="9">
        <v>1</v>
      </c>
      <c r="M11" s="9">
        <v>15</v>
      </c>
      <c r="R11" s="9" t="s">
        <v>393</v>
      </c>
      <c r="U11" s="9">
        <f ca="1">IFERROR(OFFSET(ITEM_RES!$A$5,MATCH(BUILDING!T11,ITEM_RES!$J$5:$J$231,0)-1,0),0)</f>
        <v>0</v>
      </c>
      <c r="W11" s="86" t="s">
        <v>603</v>
      </c>
      <c r="X11" s="9">
        <f ca="1">IFERROR(OFFSET(ITEM_RES!$A$5,MATCH(BUILDING!W11,ITEM_RES!$J$5:$J$231,0)-1,0),0)</f>
        <v>211010001</v>
      </c>
      <c r="Z11" s="9" t="s">
        <v>573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211050001</v>
      </c>
      <c r="AQ11" s="10" t="s">
        <v>461</v>
      </c>
      <c r="AR11" s="11">
        <v>500</v>
      </c>
      <c r="AU11" s="11">
        <f ca="1">IFERROR(OFFSET(ITEM_RES!$A$1,MATCH(AV11,ITEM_RES!$J:$J,0)-1,0),0)</f>
        <v>211040001</v>
      </c>
      <c r="AV11" s="10" t="s">
        <v>488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636</v>
      </c>
      <c r="L12" s="9">
        <v>1</v>
      </c>
      <c r="M12" s="9">
        <v>15</v>
      </c>
      <c r="R12" s="9" t="s">
        <v>393</v>
      </c>
      <c r="U12" s="9">
        <f ca="1">IFERROR(OFFSET(ITEM_RES!$A$5,MATCH(BUILDING!T12,ITEM_RES!$J$5:$J$231,0)-1,0),0)</f>
        <v>0</v>
      </c>
      <c r="W12" s="86" t="s">
        <v>603</v>
      </c>
      <c r="X12" s="9">
        <f ca="1">IFERROR(OFFSET(ITEM_RES!$A$5,MATCH(BUILDING!W12,ITEM_RES!$J$5:$J$231,0)-1,0),0)</f>
        <v>211010001</v>
      </c>
      <c r="Z12" s="9" t="s">
        <v>573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211050001</v>
      </c>
      <c r="AQ12" s="10" t="s">
        <v>461</v>
      </c>
      <c r="AR12" s="11">
        <v>500</v>
      </c>
      <c r="AU12" s="11">
        <f ca="1">IFERROR(OFFSET(ITEM_RES!$A$1,MATCH(AV12,ITEM_RES!$J:$J,0)-1,0),0)</f>
        <v>211040001</v>
      </c>
      <c r="AV12" s="10" t="s">
        <v>488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636</v>
      </c>
      <c r="L13" s="9">
        <v>1</v>
      </c>
      <c r="M13" s="9">
        <v>15</v>
      </c>
      <c r="R13" s="9" t="s">
        <v>393</v>
      </c>
      <c r="U13" s="9">
        <f ca="1">IFERROR(OFFSET(ITEM_RES!$A$5,MATCH(BUILDING!T13,ITEM_RES!$J$5:$J$231,0)-1,0),0)</f>
        <v>0</v>
      </c>
      <c r="W13" s="86" t="s">
        <v>603</v>
      </c>
      <c r="X13" s="9">
        <f ca="1">IFERROR(OFFSET(ITEM_RES!$A$5,MATCH(BUILDING!W13,ITEM_RES!$J$5:$J$231,0)-1,0),0)</f>
        <v>211010001</v>
      </c>
      <c r="Z13" s="9" t="s">
        <v>573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211050001</v>
      </c>
      <c r="AQ13" s="10" t="s">
        <v>461</v>
      </c>
      <c r="AR13" s="11">
        <v>750</v>
      </c>
      <c r="AU13" s="11">
        <f ca="1">IFERROR(OFFSET(ITEM_RES!$A$1,MATCH(AV13,ITEM_RES!$J:$J,0)-1,0),0)</f>
        <v>211040001</v>
      </c>
      <c r="AV13" s="10" t="s">
        <v>488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636</v>
      </c>
      <c r="L14" s="9">
        <v>1</v>
      </c>
      <c r="M14" s="9">
        <v>15</v>
      </c>
      <c r="R14" s="9" t="s">
        <v>393</v>
      </c>
      <c r="U14" s="9">
        <f ca="1">IFERROR(OFFSET(ITEM_RES!$A$5,MATCH(BUILDING!T14,ITEM_RES!$J$5:$J$231,0)-1,0),0)</f>
        <v>0</v>
      </c>
      <c r="W14" s="86" t="s">
        <v>603</v>
      </c>
      <c r="X14" s="9">
        <f ca="1">IFERROR(OFFSET(ITEM_RES!$A$5,MATCH(BUILDING!W14,ITEM_RES!$J$5:$J$231,0)-1,0),0)</f>
        <v>211010001</v>
      </c>
      <c r="Z14" s="9" t="s">
        <v>573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211050001</v>
      </c>
      <c r="AQ14" s="10" t="s">
        <v>461</v>
      </c>
      <c r="AR14" s="11">
        <v>1000</v>
      </c>
      <c r="AU14" s="11">
        <f ca="1">IFERROR(OFFSET(ITEM_RES!$A$1,MATCH(AV14,ITEM_RES!$J:$J,0)-1,0),0)</f>
        <v>211040001</v>
      </c>
      <c r="AV14" s="10" t="s">
        <v>488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213050001</v>
      </c>
      <c r="BF14" s="10" t="s">
        <v>502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636</v>
      </c>
      <c r="L15" s="9">
        <v>1</v>
      </c>
      <c r="M15" s="9">
        <v>15</v>
      </c>
      <c r="R15" s="9" t="s">
        <v>393</v>
      </c>
      <c r="U15" s="9">
        <f ca="1">IFERROR(OFFSET(ITEM_RES!$A$5,MATCH(BUILDING!T15,ITEM_RES!$J$5:$J$231,0)-1,0),0)</f>
        <v>0</v>
      </c>
      <c r="W15" s="86" t="s">
        <v>603</v>
      </c>
      <c r="X15" s="9">
        <f ca="1">IFERROR(OFFSET(ITEM_RES!$A$5,MATCH(BUILDING!W15,ITEM_RES!$J$5:$J$231,0)-1,0),0)</f>
        <v>211010001</v>
      </c>
      <c r="Z15" s="9" t="s">
        <v>573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211050001</v>
      </c>
      <c r="AQ15" s="10" t="s">
        <v>461</v>
      </c>
      <c r="AR15" s="11">
        <v>1250</v>
      </c>
      <c r="AU15" s="11">
        <f ca="1">IFERROR(OFFSET(ITEM_RES!$A$1,MATCH(AV15,ITEM_RES!$J:$J,0)-1,0),0)</f>
        <v>211040001</v>
      </c>
      <c r="AV15" s="10" t="s">
        <v>488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636</v>
      </c>
      <c r="L16" s="9">
        <v>1</v>
      </c>
      <c r="M16" s="9">
        <v>15</v>
      </c>
      <c r="R16" s="9" t="s">
        <v>393</v>
      </c>
      <c r="U16" s="9">
        <f ca="1">IFERROR(OFFSET(ITEM_RES!$A$5,MATCH(BUILDING!T16,ITEM_RES!$J$5:$J$231,0)-1,0),0)</f>
        <v>0</v>
      </c>
      <c r="W16" s="86" t="s">
        <v>603</v>
      </c>
      <c r="X16" s="9">
        <f ca="1">IFERROR(OFFSET(ITEM_RES!$A$5,MATCH(BUILDING!W16,ITEM_RES!$J$5:$J$231,0)-1,0),0)</f>
        <v>211010001</v>
      </c>
      <c r="Z16" s="9" t="s">
        <v>573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211050001</v>
      </c>
      <c r="AQ16" s="10" t="s">
        <v>461</v>
      </c>
      <c r="AR16" s="11">
        <v>1500</v>
      </c>
      <c r="AU16" s="11">
        <f ca="1">IFERROR(OFFSET(ITEM_RES!$A$1,MATCH(AV16,ITEM_RES!$J:$J,0)-1,0),0)</f>
        <v>211040001</v>
      </c>
      <c r="AV16" s="10" t="s">
        <v>488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636</v>
      </c>
      <c r="L17" s="9">
        <v>1</v>
      </c>
      <c r="M17" s="9">
        <v>15</v>
      </c>
      <c r="R17" s="9" t="s">
        <v>393</v>
      </c>
      <c r="U17" s="9">
        <f ca="1">IFERROR(OFFSET(ITEM_RES!$A$5,MATCH(BUILDING!T17,ITEM_RES!$J$5:$J$231,0)-1,0),0)</f>
        <v>0</v>
      </c>
      <c r="W17" s="86" t="s">
        <v>603</v>
      </c>
      <c r="X17" s="9">
        <f ca="1">IFERROR(OFFSET(ITEM_RES!$A$5,MATCH(BUILDING!W17,ITEM_RES!$J$5:$J$231,0)-1,0),0)</f>
        <v>211010001</v>
      </c>
      <c r="Z17" s="9" t="s">
        <v>573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211050001</v>
      </c>
      <c r="AQ17" s="10" t="s">
        <v>461</v>
      </c>
      <c r="AR17" s="11">
        <v>1750</v>
      </c>
      <c r="AU17" s="11">
        <f ca="1">IFERROR(OFFSET(ITEM_RES!$A$1,MATCH(AV17,ITEM_RES!$J:$J,0)-1,0),0)</f>
        <v>211040001</v>
      </c>
      <c r="AV17" s="10" t="s">
        <v>488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636</v>
      </c>
      <c r="L18" s="9">
        <v>1</v>
      </c>
      <c r="M18" s="9">
        <v>15</v>
      </c>
      <c r="R18" s="9" t="s">
        <v>393</v>
      </c>
      <c r="U18" s="9">
        <f ca="1">IFERROR(OFFSET(ITEM_RES!$A$5,MATCH(BUILDING!T18,ITEM_RES!$J$5:$J$231,0)-1,0),0)</f>
        <v>0</v>
      </c>
      <c r="W18" s="86" t="s">
        <v>603</v>
      </c>
      <c r="X18" s="9">
        <f ca="1">IFERROR(OFFSET(ITEM_RES!$A$5,MATCH(BUILDING!W18,ITEM_RES!$J$5:$J$231,0)-1,0),0)</f>
        <v>211010001</v>
      </c>
      <c r="Z18" s="9" t="s">
        <v>573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211050001</v>
      </c>
      <c r="AQ18" s="10" t="s">
        <v>461</v>
      </c>
      <c r="AR18" s="11">
        <v>2250</v>
      </c>
      <c r="AU18" s="11">
        <f ca="1">IFERROR(OFFSET(ITEM_RES!$A$1,MATCH(AV18,ITEM_RES!$J:$J,0)-1,0),0)</f>
        <v>211040001</v>
      </c>
      <c r="AV18" s="10" t="s">
        <v>488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636</v>
      </c>
      <c r="L19" s="9">
        <v>1</v>
      </c>
      <c r="M19" s="9">
        <v>15</v>
      </c>
      <c r="R19" s="9" t="s">
        <v>393</v>
      </c>
      <c r="U19" s="9">
        <f ca="1">IFERROR(OFFSET(ITEM_RES!$A$5,MATCH(BUILDING!T19,ITEM_RES!$J$5:$J$231,0)-1,0),0)</f>
        <v>0</v>
      </c>
      <c r="W19" s="86" t="s">
        <v>603</v>
      </c>
      <c r="X19" s="9">
        <f ca="1">IFERROR(OFFSET(ITEM_RES!$A$5,MATCH(BUILDING!W19,ITEM_RES!$J$5:$J$231,0)-1,0),0)</f>
        <v>211010001</v>
      </c>
      <c r="Z19" s="9" t="s">
        <v>573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211050001</v>
      </c>
      <c r="AQ19" s="10" t="s">
        <v>461</v>
      </c>
      <c r="AR19" s="11">
        <v>2750</v>
      </c>
      <c r="AU19" s="11">
        <f ca="1">IFERROR(OFFSET(ITEM_RES!$A$1,MATCH(AV19,ITEM_RES!$J:$J,0)-1,0),0)</f>
        <v>211040001</v>
      </c>
      <c r="AV19" s="10" t="s">
        <v>488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636</v>
      </c>
      <c r="L20" s="9">
        <v>0</v>
      </c>
      <c r="M20" s="9">
        <v>15</v>
      </c>
      <c r="R20" s="9" t="s">
        <v>393</v>
      </c>
      <c r="U20" s="9">
        <f ca="1">IFERROR(OFFSET(ITEM_RES!$A$5,MATCH(BUILDING!T20,ITEM_RES!$J$5:$J$231,0)-1,0),0)</f>
        <v>0</v>
      </c>
      <c r="W20" s="86" t="s">
        <v>603</v>
      </c>
      <c r="X20" s="9">
        <f ca="1">IFERROR(OFFSET(ITEM_RES!$A$5,MATCH(BUILDING!W20,ITEM_RES!$J$5:$J$231,0)-1,0),0)</f>
        <v>211010001</v>
      </c>
      <c r="Z20" s="9" t="s">
        <v>573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215010001</v>
      </c>
      <c r="AQ20" s="10" t="s">
        <v>478</v>
      </c>
      <c r="AR20" s="11">
        <v>3500</v>
      </c>
      <c r="AU20" s="11">
        <f ca="1">IFERROR(OFFSET(ITEM_RES!$A$1,MATCH(AV20,ITEM_RES!$J:$J,0)-1,0),0)</f>
        <v>211040001</v>
      </c>
      <c r="AV20" s="10" t="s">
        <v>488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636</v>
      </c>
      <c r="L21" s="9">
        <v>0</v>
      </c>
      <c r="M21" s="9">
        <v>15</v>
      </c>
      <c r="R21" s="9" t="s">
        <v>393</v>
      </c>
      <c r="U21" s="9">
        <f ca="1">IFERROR(OFFSET(ITEM_RES!$A$5,MATCH(BUILDING!T21,ITEM_RES!$J$5:$J$231,0)-1,0),0)</f>
        <v>0</v>
      </c>
      <c r="W21" s="86" t="s">
        <v>603</v>
      </c>
      <c r="X21" s="9">
        <f ca="1">IFERROR(OFFSET(ITEM_RES!$A$5,MATCH(BUILDING!W21,ITEM_RES!$J$5:$J$231,0)-1,0),0)</f>
        <v>211010001</v>
      </c>
      <c r="Z21" s="9" t="s">
        <v>573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215010001</v>
      </c>
      <c r="AQ21" s="10" t="s">
        <v>478</v>
      </c>
      <c r="AR21" s="11">
        <v>4250</v>
      </c>
      <c r="AU21" s="11">
        <f ca="1">IFERROR(OFFSET(ITEM_RES!$A$1,MATCH(AV21,ITEM_RES!$J:$J,0)-1,0),0)</f>
        <v>211040001</v>
      </c>
      <c r="AV21" s="10" t="s">
        <v>488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636</v>
      </c>
      <c r="L22" s="9">
        <v>0</v>
      </c>
      <c r="M22" s="9">
        <v>15</v>
      </c>
      <c r="R22" s="9" t="s">
        <v>393</v>
      </c>
      <c r="U22" s="9">
        <f ca="1">IFERROR(OFFSET(ITEM_RES!$A$5,MATCH(BUILDING!T22,ITEM_RES!$J$5:$J$231,0)-1,0),0)</f>
        <v>0</v>
      </c>
      <c r="W22" s="86" t="s">
        <v>603</v>
      </c>
      <c r="X22" s="9">
        <f ca="1">IFERROR(OFFSET(ITEM_RES!$A$5,MATCH(BUILDING!W22,ITEM_RES!$J$5:$J$231,0)-1,0),0)</f>
        <v>211010001</v>
      </c>
      <c r="Z22" s="9" t="s">
        <v>573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215010001</v>
      </c>
      <c r="AQ22" s="10" t="s">
        <v>478</v>
      </c>
      <c r="AR22" s="11">
        <v>5250</v>
      </c>
      <c r="AU22" s="11">
        <f ca="1">IFERROR(OFFSET(ITEM_RES!$A$1,MATCH(AV22,ITEM_RES!$J:$J,0)-1,0),0)</f>
        <v>211040001</v>
      </c>
      <c r="AV22" s="10" t="s">
        <v>488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636</v>
      </c>
      <c r="L23" s="9">
        <v>0</v>
      </c>
      <c r="M23" s="9">
        <v>15</v>
      </c>
      <c r="R23" s="9" t="s">
        <v>393</v>
      </c>
      <c r="U23" s="9">
        <f ca="1">IFERROR(OFFSET(ITEM_RES!$A$5,MATCH(BUILDING!T23,ITEM_RES!$J$5:$J$231,0)-1,0),0)</f>
        <v>0</v>
      </c>
      <c r="W23" s="86" t="s">
        <v>603</v>
      </c>
      <c r="X23" s="9">
        <f ca="1">IFERROR(OFFSET(ITEM_RES!$A$5,MATCH(BUILDING!W23,ITEM_RES!$J$5:$J$231,0)-1,0),0)</f>
        <v>211010001</v>
      </c>
      <c r="Z23" s="9" t="s">
        <v>573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215010001</v>
      </c>
      <c r="AQ23" s="10" t="s">
        <v>478</v>
      </c>
      <c r="AR23" s="11">
        <v>6250</v>
      </c>
      <c r="AU23" s="11">
        <f ca="1">IFERROR(OFFSET(ITEM_RES!$A$1,MATCH(AV23,ITEM_RES!$J:$J,0)-1,0),0)</f>
        <v>211040001</v>
      </c>
      <c r="AV23" s="10" t="s">
        <v>488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636</v>
      </c>
      <c r="L24" s="9">
        <v>0</v>
      </c>
      <c r="M24" s="9">
        <v>15</v>
      </c>
      <c r="R24" s="9" t="s">
        <v>393</v>
      </c>
      <c r="U24" s="9">
        <f ca="1">IFERROR(OFFSET(ITEM_RES!$A$5,MATCH(BUILDING!T24,ITEM_RES!$J$5:$J$231,0)-1,0),0)</f>
        <v>0</v>
      </c>
      <c r="W24" s="86" t="s">
        <v>603</v>
      </c>
      <c r="X24" s="9">
        <f ca="1">IFERROR(OFFSET(ITEM_RES!$A$5,MATCH(BUILDING!W24,ITEM_RES!$J$5:$J$231,0)-1,0),0)</f>
        <v>211010001</v>
      </c>
      <c r="Z24" s="9" t="s">
        <v>573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215010001</v>
      </c>
      <c r="AQ24" s="10" t="s">
        <v>478</v>
      </c>
      <c r="AR24" s="11">
        <v>7500</v>
      </c>
      <c r="AU24" s="11">
        <f ca="1">IFERROR(OFFSET(ITEM_RES!$A$1,MATCH(AV24,ITEM_RES!$J:$J,0)-1,0),0)</f>
        <v>211040001</v>
      </c>
      <c r="AV24" s="10" t="s">
        <v>488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637</v>
      </c>
      <c r="L25" s="16">
        <v>1</v>
      </c>
      <c r="M25" s="16">
        <v>15</v>
      </c>
      <c r="N25" s="16"/>
      <c r="O25" s="17"/>
      <c r="P25" s="17"/>
      <c r="Q25" s="18"/>
      <c r="R25" s="16" t="s">
        <v>381</v>
      </c>
      <c r="S25" s="80"/>
      <c r="T25" s="88"/>
      <c r="U25" s="16">
        <f ca="1">IFERROR(OFFSET(ITEM_RES!$A$5,MATCH(BUILDING!T25,ITEM_RES!$J$5:$J$231,0)-1,0),0)</f>
        <v>0</v>
      </c>
      <c r="V25" s="18"/>
      <c r="W25" s="88" t="s">
        <v>604</v>
      </c>
      <c r="X25" s="16">
        <f ca="1">IFERROR(OFFSET(ITEM_RES!$A$5,MATCH(BUILDING!W25,ITEM_RES!$J$5:$J$231,0)-1,0),0)</f>
        <v>211020001</v>
      </c>
      <c r="Y25" s="80"/>
      <c r="Z25" s="16" t="s">
        <v>574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211050001</v>
      </c>
      <c r="AQ25" s="17" t="s">
        <v>462</v>
      </c>
      <c r="AR25" s="18">
        <v>25</v>
      </c>
      <c r="AS25" s="17"/>
      <c r="AT25" s="18"/>
      <c r="AU25" s="18">
        <f ca="1">IFERROR(OFFSET(ITEM_RES!$A$1,MATCH(AV25,ITEM_RES!$J:$J,0)-1,0),0)</f>
        <v>211040001</v>
      </c>
      <c r="AV25" s="17" t="s">
        <v>488</v>
      </c>
      <c r="AW25" s="18">
        <v>25</v>
      </c>
      <c r="AX25" s="17"/>
      <c r="AY25" s="18"/>
      <c r="AZ25" s="18">
        <f ca="1">IFERROR(OFFSET(ITEM_RES!$A$1,MATCH(BA25,ITEM_RES!$J:$J,0)-1,0),0)</f>
        <v>213010001</v>
      </c>
      <c r="BA25" s="17" t="s">
        <v>495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359</v>
      </c>
      <c r="L26" s="9">
        <v>1</v>
      </c>
      <c r="M26" s="9">
        <v>15</v>
      </c>
      <c r="R26" s="9" t="s">
        <v>381</v>
      </c>
      <c r="U26" s="9">
        <f ca="1">IFERROR(OFFSET(ITEM_RES!$A$5,MATCH(BUILDING!T26,ITEM_RES!$J$5:$J$231,0)-1,0),0)</f>
        <v>0</v>
      </c>
      <c r="W26" s="86" t="s">
        <v>604</v>
      </c>
      <c r="X26" s="9">
        <f ca="1">IFERROR(OFFSET(ITEM_RES!$A$5,MATCH(BUILDING!W26,ITEM_RES!$J$5:$J$231,0)-1,0),0)</f>
        <v>211020001</v>
      </c>
      <c r="Z26" s="9" t="s">
        <v>574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211050001</v>
      </c>
      <c r="AQ26" s="10" t="s">
        <v>462</v>
      </c>
      <c r="AR26" s="11">
        <v>50</v>
      </c>
      <c r="AU26" s="11">
        <f ca="1">IFERROR(OFFSET(ITEM_RES!$A$1,MATCH(AV26,ITEM_RES!$J:$J,0)-1,0),0)</f>
        <v>211040001</v>
      </c>
      <c r="AV26" s="10" t="s">
        <v>488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359</v>
      </c>
      <c r="L27" s="9">
        <v>1</v>
      </c>
      <c r="M27" s="9">
        <v>15</v>
      </c>
      <c r="R27" s="9" t="s">
        <v>381</v>
      </c>
      <c r="U27" s="9">
        <f ca="1">IFERROR(OFFSET(ITEM_RES!$A$5,MATCH(BUILDING!T27,ITEM_RES!$J$5:$J$231,0)-1,0),0)</f>
        <v>0</v>
      </c>
      <c r="W27" s="86" t="s">
        <v>604</v>
      </c>
      <c r="X27" s="9">
        <f ca="1">IFERROR(OFFSET(ITEM_RES!$A$5,MATCH(BUILDING!W27,ITEM_RES!$J$5:$J$231,0)-1,0),0)</f>
        <v>211020001</v>
      </c>
      <c r="Z27" s="9" t="s">
        <v>574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211050001</v>
      </c>
      <c r="AQ27" s="10" t="s">
        <v>462</v>
      </c>
      <c r="AR27" s="11">
        <v>75</v>
      </c>
      <c r="AU27" s="11">
        <f ca="1">IFERROR(OFFSET(ITEM_RES!$A$1,MATCH(AV27,ITEM_RES!$J:$J,0)-1,0),0)</f>
        <v>211040001</v>
      </c>
      <c r="AV27" s="10" t="s">
        <v>488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359</v>
      </c>
      <c r="L28" s="9">
        <v>1</v>
      </c>
      <c r="M28" s="9">
        <v>15</v>
      </c>
      <c r="R28" s="9" t="s">
        <v>381</v>
      </c>
      <c r="U28" s="9">
        <f ca="1">IFERROR(OFFSET(ITEM_RES!$A$5,MATCH(BUILDING!T28,ITEM_RES!$J$5:$J$231,0)-1,0),0)</f>
        <v>0</v>
      </c>
      <c r="W28" s="86" t="s">
        <v>604</v>
      </c>
      <c r="X28" s="9">
        <f ca="1">IFERROR(OFFSET(ITEM_RES!$A$5,MATCH(BUILDING!W28,ITEM_RES!$J$5:$J$231,0)-1,0),0)</f>
        <v>211020001</v>
      </c>
      <c r="Z28" s="9" t="s">
        <v>574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211050001</v>
      </c>
      <c r="AQ28" s="10" t="s">
        <v>462</v>
      </c>
      <c r="AR28" s="11">
        <v>125</v>
      </c>
      <c r="AU28" s="11">
        <f ca="1">IFERROR(OFFSET(ITEM_RES!$A$1,MATCH(AV28,ITEM_RES!$J:$J,0)-1,0),0)</f>
        <v>211040001</v>
      </c>
      <c r="AV28" s="10" t="s">
        <v>488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359</v>
      </c>
      <c r="L29" s="9">
        <v>1</v>
      </c>
      <c r="M29" s="9">
        <v>15</v>
      </c>
      <c r="R29" s="9" t="s">
        <v>381</v>
      </c>
      <c r="U29" s="9">
        <f ca="1">IFERROR(OFFSET(ITEM_RES!$A$5,MATCH(BUILDING!T29,ITEM_RES!$J$5:$J$231,0)-1,0),0)</f>
        <v>0</v>
      </c>
      <c r="W29" s="86" t="s">
        <v>604</v>
      </c>
      <c r="X29" s="9">
        <f ca="1">IFERROR(OFFSET(ITEM_RES!$A$5,MATCH(BUILDING!W29,ITEM_RES!$J$5:$J$231,0)-1,0),0)</f>
        <v>211020001</v>
      </c>
      <c r="Z29" s="9" t="s">
        <v>574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211050001</v>
      </c>
      <c r="AQ29" s="10" t="s">
        <v>462</v>
      </c>
      <c r="AR29" s="11">
        <v>200</v>
      </c>
      <c r="AU29" s="11">
        <f ca="1">IFERROR(OFFSET(ITEM_RES!$A$1,MATCH(AV29,ITEM_RES!$J:$J,0)-1,0),0)</f>
        <v>211040001</v>
      </c>
      <c r="AV29" s="10" t="s">
        <v>488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359</v>
      </c>
      <c r="L30" s="9">
        <v>1</v>
      </c>
      <c r="M30" s="9">
        <v>15</v>
      </c>
      <c r="R30" s="9" t="s">
        <v>381</v>
      </c>
      <c r="U30" s="9">
        <f ca="1">IFERROR(OFFSET(ITEM_RES!$A$5,MATCH(BUILDING!T30,ITEM_RES!$J$5:$J$231,0)-1,0),0)</f>
        <v>0</v>
      </c>
      <c r="W30" s="86" t="s">
        <v>604</v>
      </c>
      <c r="X30" s="9">
        <f ca="1">IFERROR(OFFSET(ITEM_RES!$A$5,MATCH(BUILDING!W30,ITEM_RES!$J$5:$J$231,0)-1,0),0)</f>
        <v>211020001</v>
      </c>
      <c r="Z30" s="9" t="s">
        <v>574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211050001</v>
      </c>
      <c r="AQ30" s="10" t="s">
        <v>462</v>
      </c>
      <c r="AR30" s="11">
        <v>250</v>
      </c>
      <c r="AU30" s="11">
        <f ca="1">IFERROR(OFFSET(ITEM_RES!$A$1,MATCH(AV30,ITEM_RES!$J:$J,0)-1,0),0)</f>
        <v>211040001</v>
      </c>
      <c r="AV30" s="10" t="s">
        <v>488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359</v>
      </c>
      <c r="L31" s="9">
        <v>1</v>
      </c>
      <c r="M31" s="9">
        <v>15</v>
      </c>
      <c r="R31" s="9" t="s">
        <v>381</v>
      </c>
      <c r="U31" s="9">
        <f ca="1">IFERROR(OFFSET(ITEM_RES!$A$5,MATCH(BUILDING!T31,ITEM_RES!$J$5:$J$231,0)-1,0),0)</f>
        <v>0</v>
      </c>
      <c r="W31" s="86" t="s">
        <v>604</v>
      </c>
      <c r="X31" s="9">
        <f ca="1">IFERROR(OFFSET(ITEM_RES!$A$5,MATCH(BUILDING!W31,ITEM_RES!$J$5:$J$231,0)-1,0),0)</f>
        <v>211020001</v>
      </c>
      <c r="Z31" s="9" t="s">
        <v>574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211050001</v>
      </c>
      <c r="AQ31" s="10" t="s">
        <v>462</v>
      </c>
      <c r="AR31" s="11">
        <v>500</v>
      </c>
      <c r="AU31" s="11">
        <f ca="1">IFERROR(OFFSET(ITEM_RES!$A$1,MATCH(AV31,ITEM_RES!$J:$J,0)-1,0),0)</f>
        <v>211040001</v>
      </c>
      <c r="AV31" s="10" t="s">
        <v>488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359</v>
      </c>
      <c r="L32" s="9">
        <v>1</v>
      </c>
      <c r="M32" s="9">
        <v>15</v>
      </c>
      <c r="R32" s="9" t="s">
        <v>381</v>
      </c>
      <c r="U32" s="9">
        <f ca="1">IFERROR(OFFSET(ITEM_RES!$A$5,MATCH(BUILDING!T32,ITEM_RES!$J$5:$J$231,0)-1,0),0)</f>
        <v>0</v>
      </c>
      <c r="W32" s="86" t="s">
        <v>604</v>
      </c>
      <c r="X32" s="9">
        <f ca="1">IFERROR(OFFSET(ITEM_RES!$A$5,MATCH(BUILDING!W32,ITEM_RES!$J$5:$J$231,0)-1,0),0)</f>
        <v>211020001</v>
      </c>
      <c r="Z32" s="9" t="s">
        <v>574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211050001</v>
      </c>
      <c r="AQ32" s="10" t="s">
        <v>462</v>
      </c>
      <c r="AR32" s="11">
        <v>500</v>
      </c>
      <c r="AU32" s="11">
        <f ca="1">IFERROR(OFFSET(ITEM_RES!$A$1,MATCH(AV32,ITEM_RES!$J:$J,0)-1,0),0)</f>
        <v>211040001</v>
      </c>
      <c r="AV32" s="10" t="s">
        <v>488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359</v>
      </c>
      <c r="L33" s="9">
        <v>1</v>
      </c>
      <c r="M33" s="9">
        <v>15</v>
      </c>
      <c r="R33" s="9" t="s">
        <v>381</v>
      </c>
      <c r="U33" s="9">
        <f ca="1">IFERROR(OFFSET(ITEM_RES!$A$5,MATCH(BUILDING!T33,ITEM_RES!$J$5:$J$231,0)-1,0),0)</f>
        <v>0</v>
      </c>
      <c r="W33" s="86" t="s">
        <v>604</v>
      </c>
      <c r="X33" s="9">
        <f ca="1">IFERROR(OFFSET(ITEM_RES!$A$5,MATCH(BUILDING!W33,ITEM_RES!$J$5:$J$231,0)-1,0),0)</f>
        <v>211020001</v>
      </c>
      <c r="Z33" s="9" t="s">
        <v>574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211050001</v>
      </c>
      <c r="AQ33" s="10" t="s">
        <v>462</v>
      </c>
      <c r="AR33" s="11">
        <v>750</v>
      </c>
      <c r="AU33" s="11">
        <f ca="1">IFERROR(OFFSET(ITEM_RES!$A$1,MATCH(AV33,ITEM_RES!$J:$J,0)-1,0),0)</f>
        <v>211040001</v>
      </c>
      <c r="AV33" s="10" t="s">
        <v>488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359</v>
      </c>
      <c r="L34" s="9">
        <v>1</v>
      </c>
      <c r="M34" s="9">
        <v>15</v>
      </c>
      <c r="R34" s="9" t="s">
        <v>381</v>
      </c>
      <c r="U34" s="9">
        <f ca="1">IFERROR(OFFSET(ITEM_RES!$A$5,MATCH(BUILDING!T34,ITEM_RES!$J$5:$J$231,0)-1,0),0)</f>
        <v>0</v>
      </c>
      <c r="W34" s="86" t="s">
        <v>604</v>
      </c>
      <c r="X34" s="9">
        <f ca="1">IFERROR(OFFSET(ITEM_RES!$A$5,MATCH(BUILDING!W34,ITEM_RES!$J$5:$J$231,0)-1,0),0)</f>
        <v>211020001</v>
      </c>
      <c r="Z34" s="9" t="s">
        <v>574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211050001</v>
      </c>
      <c r="AQ34" s="10" t="s">
        <v>462</v>
      </c>
      <c r="AR34" s="11">
        <v>1000</v>
      </c>
      <c r="AU34" s="11">
        <f ca="1">IFERROR(OFFSET(ITEM_RES!$A$1,MATCH(AV34,ITEM_RES!$J:$J,0)-1,0),0)</f>
        <v>211040001</v>
      </c>
      <c r="AV34" s="10" t="s">
        <v>488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386</v>
      </c>
      <c r="L35" s="9">
        <v>1</v>
      </c>
      <c r="M35" s="9">
        <v>15</v>
      </c>
      <c r="R35" s="9" t="s">
        <v>381</v>
      </c>
      <c r="U35" s="9">
        <f ca="1">IFERROR(OFFSET(ITEM_RES!$A$5,MATCH(BUILDING!T35,ITEM_RES!$J$5:$J$231,0)-1,0),0)</f>
        <v>0</v>
      </c>
      <c r="W35" s="86" t="s">
        <v>604</v>
      </c>
      <c r="X35" s="9">
        <f ca="1">IFERROR(OFFSET(ITEM_RES!$A$5,MATCH(BUILDING!W35,ITEM_RES!$J$5:$J$231,0)-1,0),0)</f>
        <v>211020001</v>
      </c>
      <c r="Z35" s="9" t="s">
        <v>574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211050001</v>
      </c>
      <c r="AQ35" s="10" t="s">
        <v>462</v>
      </c>
      <c r="AR35" s="11">
        <v>1250</v>
      </c>
      <c r="AU35" s="11">
        <f ca="1">IFERROR(OFFSET(ITEM_RES!$A$1,MATCH(AV35,ITEM_RES!$J:$J,0)-1,0),0)</f>
        <v>211040001</v>
      </c>
      <c r="AV35" s="10" t="s">
        <v>488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359</v>
      </c>
      <c r="L36" s="9">
        <v>1</v>
      </c>
      <c r="M36" s="9">
        <v>15</v>
      </c>
      <c r="R36" s="9" t="s">
        <v>381</v>
      </c>
      <c r="U36" s="9">
        <f ca="1">IFERROR(OFFSET(ITEM_RES!$A$5,MATCH(BUILDING!T36,ITEM_RES!$J$5:$J$231,0)-1,0),0)</f>
        <v>0</v>
      </c>
      <c r="W36" s="86" t="s">
        <v>604</v>
      </c>
      <c r="X36" s="9">
        <f ca="1">IFERROR(OFFSET(ITEM_RES!$A$5,MATCH(BUILDING!W36,ITEM_RES!$J$5:$J$231,0)-1,0),0)</f>
        <v>211020001</v>
      </c>
      <c r="Z36" s="9" t="s">
        <v>574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211050001</v>
      </c>
      <c r="AQ36" s="10" t="s">
        <v>462</v>
      </c>
      <c r="AR36" s="11">
        <v>1500</v>
      </c>
      <c r="AU36" s="11">
        <f ca="1">IFERROR(OFFSET(ITEM_RES!$A$1,MATCH(AV36,ITEM_RES!$J:$J,0)-1,0),0)</f>
        <v>211040001</v>
      </c>
      <c r="AV36" s="10" t="s">
        <v>488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359</v>
      </c>
      <c r="L37" s="9">
        <v>1</v>
      </c>
      <c r="M37" s="9">
        <v>15</v>
      </c>
      <c r="R37" s="9" t="s">
        <v>381</v>
      </c>
      <c r="U37" s="9">
        <f ca="1">IFERROR(OFFSET(ITEM_RES!$A$5,MATCH(BUILDING!T37,ITEM_RES!$J$5:$J$231,0)-1,0),0)</f>
        <v>0</v>
      </c>
      <c r="W37" s="86" t="s">
        <v>604</v>
      </c>
      <c r="X37" s="9">
        <f ca="1">IFERROR(OFFSET(ITEM_RES!$A$5,MATCH(BUILDING!W37,ITEM_RES!$J$5:$J$231,0)-1,0),0)</f>
        <v>211020001</v>
      </c>
      <c r="Z37" s="9" t="s">
        <v>574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211050001</v>
      </c>
      <c r="AQ37" s="10" t="s">
        <v>462</v>
      </c>
      <c r="AR37" s="11">
        <v>1750</v>
      </c>
      <c r="AU37" s="11">
        <f ca="1">IFERROR(OFFSET(ITEM_RES!$A$1,MATCH(AV37,ITEM_RES!$J:$J,0)-1,0),0)</f>
        <v>211040001</v>
      </c>
      <c r="AV37" s="10" t="s">
        <v>488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359</v>
      </c>
      <c r="L38" s="9">
        <v>1</v>
      </c>
      <c r="M38" s="9">
        <v>15</v>
      </c>
      <c r="R38" s="9" t="s">
        <v>381</v>
      </c>
      <c r="U38" s="9">
        <f ca="1">IFERROR(OFFSET(ITEM_RES!$A$5,MATCH(BUILDING!T38,ITEM_RES!$J$5:$J$231,0)-1,0),0)</f>
        <v>0</v>
      </c>
      <c r="W38" s="86" t="s">
        <v>604</v>
      </c>
      <c r="X38" s="9">
        <f ca="1">IFERROR(OFFSET(ITEM_RES!$A$5,MATCH(BUILDING!W38,ITEM_RES!$J$5:$J$231,0)-1,0),0)</f>
        <v>211020001</v>
      </c>
      <c r="Z38" s="9" t="s">
        <v>574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211050001</v>
      </c>
      <c r="AQ38" s="10" t="s">
        <v>462</v>
      </c>
      <c r="AR38" s="11">
        <v>2250</v>
      </c>
      <c r="AU38" s="11">
        <f ca="1">IFERROR(OFFSET(ITEM_RES!$A$1,MATCH(AV38,ITEM_RES!$J:$J,0)-1,0),0)</f>
        <v>211040001</v>
      </c>
      <c r="AV38" s="10" t="s">
        <v>488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359</v>
      </c>
      <c r="L39" s="9">
        <v>1</v>
      </c>
      <c r="M39" s="9">
        <v>15</v>
      </c>
      <c r="R39" s="9" t="s">
        <v>381</v>
      </c>
      <c r="U39" s="9">
        <f ca="1">IFERROR(OFFSET(ITEM_RES!$A$5,MATCH(BUILDING!T39,ITEM_RES!$J$5:$J$231,0)-1,0),0)</f>
        <v>0</v>
      </c>
      <c r="W39" s="86" t="s">
        <v>604</v>
      </c>
      <c r="X39" s="9">
        <f ca="1">IFERROR(OFFSET(ITEM_RES!$A$5,MATCH(BUILDING!W39,ITEM_RES!$J$5:$J$231,0)-1,0),0)</f>
        <v>211020001</v>
      </c>
      <c r="Z39" s="9" t="s">
        <v>574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215010001</v>
      </c>
      <c r="AQ39" s="10" t="s">
        <v>478</v>
      </c>
      <c r="AR39" s="11">
        <v>2750</v>
      </c>
      <c r="AU39" s="11">
        <f ca="1">IFERROR(OFFSET(ITEM_RES!$A$1,MATCH(AV39,ITEM_RES!$J:$J,0)-1,0),0)</f>
        <v>211040001</v>
      </c>
      <c r="AV39" s="10" t="s">
        <v>488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359</v>
      </c>
      <c r="L40" s="9">
        <v>0</v>
      </c>
      <c r="M40" s="9">
        <v>15</v>
      </c>
      <c r="R40" s="9" t="s">
        <v>381</v>
      </c>
      <c r="U40" s="9">
        <f ca="1">IFERROR(OFFSET(ITEM_RES!$A$5,MATCH(BUILDING!T40,ITEM_RES!$J$5:$J$231,0)-1,0),0)</f>
        <v>0</v>
      </c>
      <c r="W40" s="86" t="s">
        <v>604</v>
      </c>
      <c r="X40" s="9">
        <f ca="1">IFERROR(OFFSET(ITEM_RES!$A$5,MATCH(BUILDING!W40,ITEM_RES!$J$5:$J$231,0)-1,0),0)</f>
        <v>211020001</v>
      </c>
      <c r="Z40" s="9" t="s">
        <v>574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215010001</v>
      </c>
      <c r="AQ40" s="10" t="s">
        <v>478</v>
      </c>
      <c r="AR40" s="11">
        <v>3500</v>
      </c>
      <c r="AU40" s="11">
        <f ca="1">IFERROR(OFFSET(ITEM_RES!$A$1,MATCH(AV40,ITEM_RES!$J:$J,0)-1,0),0)</f>
        <v>211040001</v>
      </c>
      <c r="AV40" s="10" t="s">
        <v>488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359</v>
      </c>
      <c r="L41" s="9">
        <v>0</v>
      </c>
      <c r="M41" s="9">
        <v>15</v>
      </c>
      <c r="R41" s="9" t="s">
        <v>381</v>
      </c>
      <c r="U41" s="9">
        <f ca="1">IFERROR(OFFSET(ITEM_RES!$A$5,MATCH(BUILDING!T41,ITEM_RES!$J$5:$J$231,0)-1,0),0)</f>
        <v>0</v>
      </c>
      <c r="W41" s="86" t="s">
        <v>604</v>
      </c>
      <c r="X41" s="9">
        <f ca="1">IFERROR(OFFSET(ITEM_RES!$A$5,MATCH(BUILDING!W41,ITEM_RES!$J$5:$J$231,0)-1,0),0)</f>
        <v>211020001</v>
      </c>
      <c r="Z41" s="9" t="s">
        <v>574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215010001</v>
      </c>
      <c r="AQ41" s="10" t="s">
        <v>478</v>
      </c>
      <c r="AR41" s="11">
        <v>4250</v>
      </c>
      <c r="AU41" s="11">
        <f ca="1">IFERROR(OFFSET(ITEM_RES!$A$1,MATCH(AV41,ITEM_RES!$J:$J,0)-1,0),0)</f>
        <v>211040001</v>
      </c>
      <c r="AV41" s="10" t="s">
        <v>488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359</v>
      </c>
      <c r="L42" s="9">
        <v>0</v>
      </c>
      <c r="M42" s="9">
        <v>15</v>
      </c>
      <c r="R42" s="9" t="s">
        <v>381</v>
      </c>
      <c r="U42" s="9">
        <f ca="1">IFERROR(OFFSET(ITEM_RES!$A$5,MATCH(BUILDING!T42,ITEM_RES!$J$5:$J$231,0)-1,0),0)</f>
        <v>0</v>
      </c>
      <c r="W42" s="86" t="s">
        <v>604</v>
      </c>
      <c r="X42" s="9">
        <f ca="1">IFERROR(OFFSET(ITEM_RES!$A$5,MATCH(BUILDING!W42,ITEM_RES!$J$5:$J$231,0)-1,0),0)</f>
        <v>211020001</v>
      </c>
      <c r="Z42" s="9" t="s">
        <v>574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215010001</v>
      </c>
      <c r="AQ42" s="10" t="s">
        <v>478</v>
      </c>
      <c r="AR42" s="11">
        <v>5250</v>
      </c>
      <c r="AU42" s="11">
        <f ca="1">IFERROR(OFFSET(ITEM_RES!$A$1,MATCH(AV42,ITEM_RES!$J:$J,0)-1,0),0)</f>
        <v>211040001</v>
      </c>
      <c r="AV42" s="10" t="s">
        <v>488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359</v>
      </c>
      <c r="L43" s="9">
        <v>0</v>
      </c>
      <c r="M43" s="9">
        <v>15</v>
      </c>
      <c r="R43" s="9" t="s">
        <v>381</v>
      </c>
      <c r="U43" s="9">
        <f ca="1">IFERROR(OFFSET(ITEM_RES!$A$5,MATCH(BUILDING!T43,ITEM_RES!$J$5:$J$231,0)-1,0),0)</f>
        <v>0</v>
      </c>
      <c r="W43" s="86" t="s">
        <v>604</v>
      </c>
      <c r="X43" s="9">
        <f ca="1">IFERROR(OFFSET(ITEM_RES!$A$5,MATCH(BUILDING!W43,ITEM_RES!$J$5:$J$231,0)-1,0),0)</f>
        <v>211020001</v>
      </c>
      <c r="Z43" s="9" t="s">
        <v>574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215010001</v>
      </c>
      <c r="AQ43" s="10" t="s">
        <v>478</v>
      </c>
      <c r="AR43" s="11">
        <v>6250</v>
      </c>
      <c r="AU43" s="11">
        <f ca="1">IFERROR(OFFSET(ITEM_RES!$A$1,MATCH(AV43,ITEM_RES!$J:$J,0)-1,0),0)</f>
        <v>211040001</v>
      </c>
      <c r="AV43" s="10" t="s">
        <v>488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359</v>
      </c>
      <c r="L44" s="9">
        <v>0</v>
      </c>
      <c r="M44" s="9">
        <v>15</v>
      </c>
      <c r="R44" s="9" t="s">
        <v>381</v>
      </c>
      <c r="U44" s="9">
        <f ca="1">IFERROR(OFFSET(ITEM_RES!$A$5,MATCH(BUILDING!T44,ITEM_RES!$J$5:$J$231,0)-1,0),0)</f>
        <v>0</v>
      </c>
      <c r="W44" s="86" t="s">
        <v>604</v>
      </c>
      <c r="X44" s="9">
        <f ca="1">IFERROR(OFFSET(ITEM_RES!$A$5,MATCH(BUILDING!W44,ITEM_RES!$J$5:$J$231,0)-1,0),0)</f>
        <v>211020001</v>
      </c>
      <c r="Z44" s="9" t="s">
        <v>574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215010001</v>
      </c>
      <c r="AQ44" s="10" t="s">
        <v>478</v>
      </c>
      <c r="AR44" s="11">
        <v>7500</v>
      </c>
      <c r="AU44" s="11">
        <f ca="1">IFERROR(OFFSET(ITEM_RES!$A$1,MATCH(AV44,ITEM_RES!$J:$J,0)-1,0),0)</f>
        <v>211040001</v>
      </c>
      <c r="AV44" s="10" t="s">
        <v>488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360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IFERROR(OFFSET(ITEM_RES!$A$5,MATCH(BUILDING!T45,ITEM_RES!$J$5:$J$231,0)-1,0),0)</f>
        <v>0</v>
      </c>
      <c r="V45" s="18"/>
      <c r="W45" s="88" t="s">
        <v>605</v>
      </c>
      <c r="X45" s="16">
        <f ca="1">IFERROR(OFFSET(ITEM_RES!$A$5,MATCH(BUILDING!W45,ITEM_RES!$J$5:$J$231,0)-1,0),0)</f>
        <v>211030001</v>
      </c>
      <c r="Y45" s="80"/>
      <c r="Z45" s="16" t="s">
        <v>575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211050001</v>
      </c>
      <c r="AQ45" s="17" t="s">
        <v>463</v>
      </c>
      <c r="AR45" s="18">
        <v>25</v>
      </c>
      <c r="AS45" s="17"/>
      <c r="AT45" s="18"/>
      <c r="AU45" s="18">
        <f ca="1">IFERROR(OFFSET(ITEM_RES!$A$1,MATCH(AV45,ITEM_RES!$J:$J,0)-1,0),0)</f>
        <v>211040001</v>
      </c>
      <c r="AV45" s="17" t="s">
        <v>488</v>
      </c>
      <c r="AW45" s="18">
        <v>25</v>
      </c>
      <c r="AX45" s="17"/>
      <c r="AY45" s="18"/>
      <c r="AZ45" s="18">
        <f ca="1">IFERROR(OFFSET(ITEM_RES!$A$1,MATCH(BA45,ITEM_RES!$J:$J,0)-1,0),0)</f>
        <v>213010001</v>
      </c>
      <c r="BA45" s="17" t="s">
        <v>495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360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IFERROR(OFFSET(ITEM_RES!$A$5,MATCH(BUILDING!T46,ITEM_RES!$J$5:$J$231,0)-1,0),0)</f>
        <v>0</v>
      </c>
      <c r="W46" s="86" t="s">
        <v>605</v>
      </c>
      <c r="X46" s="9">
        <f ca="1">IFERROR(OFFSET(ITEM_RES!$A$5,MATCH(BUILDING!W46,ITEM_RES!$J$5:$J$231,0)-1,0),0)</f>
        <v>211030001</v>
      </c>
      <c r="Z46" s="9" t="s">
        <v>575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211050001</v>
      </c>
      <c r="AQ46" s="10" t="s">
        <v>463</v>
      </c>
      <c r="AR46" s="11">
        <v>50</v>
      </c>
      <c r="AU46" s="11">
        <f ca="1">IFERROR(OFFSET(ITEM_RES!$A$1,MATCH(AV46,ITEM_RES!$J:$J,0)-1,0),0)</f>
        <v>211040001</v>
      </c>
      <c r="AV46" s="10" t="s">
        <v>488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360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IFERROR(OFFSET(ITEM_RES!$A$5,MATCH(BUILDING!T47,ITEM_RES!$J$5:$J$231,0)-1,0),0)</f>
        <v>0</v>
      </c>
      <c r="W47" s="86" t="s">
        <v>605</v>
      </c>
      <c r="X47" s="9">
        <f ca="1">IFERROR(OFFSET(ITEM_RES!$A$5,MATCH(BUILDING!W47,ITEM_RES!$J$5:$J$231,0)-1,0),0)</f>
        <v>211030001</v>
      </c>
      <c r="Z47" s="9" t="s">
        <v>575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211050001</v>
      </c>
      <c r="AQ47" s="10" t="s">
        <v>463</v>
      </c>
      <c r="AR47" s="11">
        <v>75</v>
      </c>
      <c r="AU47" s="11">
        <f ca="1">IFERROR(OFFSET(ITEM_RES!$A$1,MATCH(AV47,ITEM_RES!$J:$J,0)-1,0),0)</f>
        <v>211040001</v>
      </c>
      <c r="AV47" s="10" t="s">
        <v>488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360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IFERROR(OFFSET(ITEM_RES!$A$5,MATCH(BUILDING!T48,ITEM_RES!$J$5:$J$231,0)-1,0),0)</f>
        <v>0</v>
      </c>
      <c r="W48" s="86" t="s">
        <v>605</v>
      </c>
      <c r="X48" s="9">
        <f ca="1">IFERROR(OFFSET(ITEM_RES!$A$5,MATCH(BUILDING!W48,ITEM_RES!$J$5:$J$231,0)-1,0),0)</f>
        <v>211030001</v>
      </c>
      <c r="Z48" s="9" t="s">
        <v>575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211050001</v>
      </c>
      <c r="AQ48" s="10" t="s">
        <v>463</v>
      </c>
      <c r="AR48" s="11">
        <v>125</v>
      </c>
      <c r="AU48" s="11">
        <f ca="1">IFERROR(OFFSET(ITEM_RES!$A$1,MATCH(AV48,ITEM_RES!$J:$J,0)-1,0),0)</f>
        <v>211040001</v>
      </c>
      <c r="AV48" s="10" t="s">
        <v>488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360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IFERROR(OFFSET(ITEM_RES!$A$5,MATCH(BUILDING!T49,ITEM_RES!$J$5:$J$231,0)-1,0),0)</f>
        <v>0</v>
      </c>
      <c r="W49" s="86" t="s">
        <v>605</v>
      </c>
      <c r="X49" s="9">
        <f ca="1">IFERROR(OFFSET(ITEM_RES!$A$5,MATCH(BUILDING!W49,ITEM_RES!$J$5:$J$231,0)-1,0),0)</f>
        <v>211030001</v>
      </c>
      <c r="Z49" s="9" t="s">
        <v>575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211050001</v>
      </c>
      <c r="AQ49" s="10" t="s">
        <v>463</v>
      </c>
      <c r="AR49" s="11">
        <v>200</v>
      </c>
      <c r="AU49" s="11">
        <f ca="1">IFERROR(OFFSET(ITEM_RES!$A$1,MATCH(AV49,ITEM_RES!$J:$J,0)-1,0),0)</f>
        <v>211040001</v>
      </c>
      <c r="AV49" s="10" t="s">
        <v>488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360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IFERROR(OFFSET(ITEM_RES!$A$5,MATCH(BUILDING!T50,ITEM_RES!$J$5:$J$231,0)-1,0),0)</f>
        <v>0</v>
      </c>
      <c r="W50" s="86" t="s">
        <v>605</v>
      </c>
      <c r="X50" s="9">
        <f ca="1">IFERROR(OFFSET(ITEM_RES!$A$5,MATCH(BUILDING!W50,ITEM_RES!$J$5:$J$231,0)-1,0),0)</f>
        <v>211030001</v>
      </c>
      <c r="Z50" s="9" t="s">
        <v>575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211050001</v>
      </c>
      <c r="AQ50" s="10" t="s">
        <v>463</v>
      </c>
      <c r="AR50" s="11">
        <v>250</v>
      </c>
      <c r="AU50" s="11">
        <f ca="1">IFERROR(OFFSET(ITEM_RES!$A$1,MATCH(AV50,ITEM_RES!$J:$J,0)-1,0),0)</f>
        <v>211040001</v>
      </c>
      <c r="AV50" s="10" t="s">
        <v>488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360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IFERROR(OFFSET(ITEM_RES!$A$5,MATCH(BUILDING!T51,ITEM_RES!$J$5:$J$231,0)-1,0),0)</f>
        <v>0</v>
      </c>
      <c r="W51" s="86" t="s">
        <v>605</v>
      </c>
      <c r="X51" s="9">
        <f ca="1">IFERROR(OFFSET(ITEM_RES!$A$5,MATCH(BUILDING!W51,ITEM_RES!$J$5:$J$231,0)-1,0),0)</f>
        <v>211030001</v>
      </c>
      <c r="Z51" s="9" t="s">
        <v>575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211050001</v>
      </c>
      <c r="AQ51" s="10" t="s">
        <v>463</v>
      </c>
      <c r="AR51" s="11">
        <v>500</v>
      </c>
      <c r="AU51" s="11">
        <f ca="1">IFERROR(OFFSET(ITEM_RES!$A$1,MATCH(AV51,ITEM_RES!$J:$J,0)-1,0),0)</f>
        <v>211040001</v>
      </c>
      <c r="AV51" s="10" t="s">
        <v>488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360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IFERROR(OFFSET(ITEM_RES!$A$5,MATCH(BUILDING!T52,ITEM_RES!$J$5:$J$231,0)-1,0),0)</f>
        <v>0</v>
      </c>
      <c r="W52" s="86" t="s">
        <v>605</v>
      </c>
      <c r="X52" s="9">
        <f ca="1">IFERROR(OFFSET(ITEM_RES!$A$5,MATCH(BUILDING!W52,ITEM_RES!$J$5:$J$231,0)-1,0),0)</f>
        <v>211030001</v>
      </c>
      <c r="Z52" s="9" t="s">
        <v>575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211050001</v>
      </c>
      <c r="AQ52" s="10" t="s">
        <v>463</v>
      </c>
      <c r="AR52" s="11">
        <v>500</v>
      </c>
      <c r="AU52" s="11">
        <f ca="1">IFERROR(OFFSET(ITEM_RES!$A$1,MATCH(AV52,ITEM_RES!$J:$J,0)-1,0),0)</f>
        <v>211040001</v>
      </c>
      <c r="AV52" s="10" t="s">
        <v>488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387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IFERROR(OFFSET(ITEM_RES!$A$5,MATCH(BUILDING!T53,ITEM_RES!$J$5:$J$231,0)-1,0),0)</f>
        <v>0</v>
      </c>
      <c r="W53" s="86" t="s">
        <v>605</v>
      </c>
      <c r="X53" s="9">
        <f ca="1">IFERROR(OFFSET(ITEM_RES!$A$5,MATCH(BUILDING!W53,ITEM_RES!$J$5:$J$231,0)-1,0),0)</f>
        <v>211030001</v>
      </c>
      <c r="Z53" s="9" t="s">
        <v>575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211050001</v>
      </c>
      <c r="AQ53" s="10" t="s">
        <v>463</v>
      </c>
      <c r="AR53" s="11">
        <v>750</v>
      </c>
      <c r="AU53" s="11">
        <f ca="1">IFERROR(OFFSET(ITEM_RES!$A$1,MATCH(AV53,ITEM_RES!$J:$J,0)-1,0),0)</f>
        <v>211040001</v>
      </c>
      <c r="AV53" s="10" t="s">
        <v>488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360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IFERROR(OFFSET(ITEM_RES!$A$5,MATCH(BUILDING!T54,ITEM_RES!$J$5:$J$231,0)-1,0),0)</f>
        <v>0</v>
      </c>
      <c r="W54" s="86" t="s">
        <v>605</v>
      </c>
      <c r="X54" s="9">
        <f ca="1">IFERROR(OFFSET(ITEM_RES!$A$5,MATCH(BUILDING!W54,ITEM_RES!$J$5:$J$231,0)-1,0),0)</f>
        <v>211030001</v>
      </c>
      <c r="Z54" s="9" t="s">
        <v>575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211050001</v>
      </c>
      <c r="AQ54" s="10" t="s">
        <v>463</v>
      </c>
      <c r="AR54" s="11">
        <v>1000</v>
      </c>
      <c r="AU54" s="11">
        <f ca="1">IFERROR(OFFSET(ITEM_RES!$A$1,MATCH(AV54,ITEM_RES!$J:$J,0)-1,0),0)</f>
        <v>211040001</v>
      </c>
      <c r="AV54" s="10" t="s">
        <v>488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360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IFERROR(OFFSET(ITEM_RES!$A$5,MATCH(BUILDING!T55,ITEM_RES!$J$5:$J$231,0)-1,0),0)</f>
        <v>0</v>
      </c>
      <c r="W55" s="86" t="s">
        <v>605</v>
      </c>
      <c r="X55" s="9">
        <f ca="1">IFERROR(OFFSET(ITEM_RES!$A$5,MATCH(BUILDING!W55,ITEM_RES!$J$5:$J$231,0)-1,0),0)</f>
        <v>211030001</v>
      </c>
      <c r="Z55" s="9" t="s">
        <v>575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211050001</v>
      </c>
      <c r="AQ55" s="10" t="s">
        <v>463</v>
      </c>
      <c r="AR55" s="11">
        <v>1250</v>
      </c>
      <c r="AU55" s="11">
        <f ca="1">IFERROR(OFFSET(ITEM_RES!$A$1,MATCH(AV55,ITEM_RES!$J:$J,0)-1,0),0)</f>
        <v>211040001</v>
      </c>
      <c r="AV55" s="10" t="s">
        <v>488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360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IFERROR(OFFSET(ITEM_RES!$A$5,MATCH(BUILDING!T56,ITEM_RES!$J$5:$J$231,0)-1,0),0)</f>
        <v>0</v>
      </c>
      <c r="W56" s="86" t="s">
        <v>605</v>
      </c>
      <c r="X56" s="9">
        <f ca="1">IFERROR(OFFSET(ITEM_RES!$A$5,MATCH(BUILDING!W56,ITEM_RES!$J$5:$J$231,0)-1,0),0)</f>
        <v>211030001</v>
      </c>
      <c r="Z56" s="9" t="s">
        <v>575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211050001</v>
      </c>
      <c r="AQ56" s="10" t="s">
        <v>463</v>
      </c>
      <c r="AR56" s="11">
        <v>1500</v>
      </c>
      <c r="AU56" s="11">
        <f ca="1">IFERROR(OFFSET(ITEM_RES!$A$1,MATCH(AV56,ITEM_RES!$J:$J,0)-1,0),0)</f>
        <v>211040001</v>
      </c>
      <c r="AV56" s="10" t="s">
        <v>488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360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IFERROR(OFFSET(ITEM_RES!$A$5,MATCH(BUILDING!T57,ITEM_RES!$J$5:$J$231,0)-1,0),0)</f>
        <v>0</v>
      </c>
      <c r="W57" s="86" t="s">
        <v>605</v>
      </c>
      <c r="X57" s="9">
        <f ca="1">IFERROR(OFFSET(ITEM_RES!$A$5,MATCH(BUILDING!W57,ITEM_RES!$J$5:$J$231,0)-1,0),0)</f>
        <v>211030001</v>
      </c>
      <c r="Z57" s="9" t="s">
        <v>575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211050001</v>
      </c>
      <c r="AQ57" s="10" t="s">
        <v>463</v>
      </c>
      <c r="AR57" s="11">
        <v>1750</v>
      </c>
      <c r="AU57" s="11">
        <f ca="1">IFERROR(OFFSET(ITEM_RES!$A$1,MATCH(AV57,ITEM_RES!$J:$J,0)-1,0),0)</f>
        <v>211040001</v>
      </c>
      <c r="AV57" s="10" t="s">
        <v>488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360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IFERROR(OFFSET(ITEM_RES!$A$5,MATCH(BUILDING!T58,ITEM_RES!$J$5:$J$231,0)-1,0),0)</f>
        <v>0</v>
      </c>
      <c r="W58" s="86" t="s">
        <v>605</v>
      </c>
      <c r="X58" s="9">
        <f ca="1">IFERROR(OFFSET(ITEM_RES!$A$5,MATCH(BUILDING!W58,ITEM_RES!$J$5:$J$231,0)-1,0),0)</f>
        <v>211030001</v>
      </c>
      <c r="Z58" s="9" t="s">
        <v>575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215010001</v>
      </c>
      <c r="AQ58" s="10" t="s">
        <v>478</v>
      </c>
      <c r="AR58" s="11">
        <v>2250</v>
      </c>
      <c r="AU58" s="11">
        <f ca="1">IFERROR(OFFSET(ITEM_RES!$A$1,MATCH(AV58,ITEM_RES!$J:$J,0)-1,0),0)</f>
        <v>211040001</v>
      </c>
      <c r="AV58" s="10" t="s">
        <v>488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360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IFERROR(OFFSET(ITEM_RES!$A$5,MATCH(BUILDING!T59,ITEM_RES!$J$5:$J$231,0)-1,0),0)</f>
        <v>0</v>
      </c>
      <c r="W59" s="86" t="s">
        <v>605</v>
      </c>
      <c r="X59" s="9">
        <f ca="1">IFERROR(OFFSET(ITEM_RES!$A$5,MATCH(BUILDING!W59,ITEM_RES!$J$5:$J$231,0)-1,0),0)</f>
        <v>211030001</v>
      </c>
      <c r="Z59" s="9" t="s">
        <v>575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215010001</v>
      </c>
      <c r="AQ59" s="10" t="s">
        <v>478</v>
      </c>
      <c r="AR59" s="11">
        <v>2750</v>
      </c>
      <c r="AU59" s="11">
        <f ca="1">IFERROR(OFFSET(ITEM_RES!$A$1,MATCH(AV59,ITEM_RES!$J:$J,0)-1,0),0)</f>
        <v>211040001</v>
      </c>
      <c r="AV59" s="10" t="s">
        <v>488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360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IFERROR(OFFSET(ITEM_RES!$A$5,MATCH(BUILDING!T60,ITEM_RES!$J$5:$J$231,0)-1,0),0)</f>
        <v>0</v>
      </c>
      <c r="W60" s="86" t="s">
        <v>605</v>
      </c>
      <c r="X60" s="9">
        <f ca="1">IFERROR(OFFSET(ITEM_RES!$A$5,MATCH(BUILDING!W60,ITEM_RES!$J$5:$J$231,0)-1,0),0)</f>
        <v>211030001</v>
      </c>
      <c r="Z60" s="9" t="s">
        <v>575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215010001</v>
      </c>
      <c r="AQ60" s="10" t="s">
        <v>478</v>
      </c>
      <c r="AR60" s="11">
        <v>3500</v>
      </c>
      <c r="AU60" s="11">
        <f ca="1">IFERROR(OFFSET(ITEM_RES!$A$1,MATCH(AV60,ITEM_RES!$J:$J,0)-1,0),0)</f>
        <v>211040001</v>
      </c>
      <c r="AV60" s="10" t="s">
        <v>488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360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IFERROR(OFFSET(ITEM_RES!$A$5,MATCH(BUILDING!T61,ITEM_RES!$J$5:$J$231,0)-1,0),0)</f>
        <v>0</v>
      </c>
      <c r="W61" s="86" t="s">
        <v>605</v>
      </c>
      <c r="X61" s="9">
        <f ca="1">IFERROR(OFFSET(ITEM_RES!$A$5,MATCH(BUILDING!W61,ITEM_RES!$J$5:$J$231,0)-1,0),0)</f>
        <v>211030001</v>
      </c>
      <c r="Z61" s="9" t="s">
        <v>575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215010001</v>
      </c>
      <c r="AQ61" s="10" t="s">
        <v>478</v>
      </c>
      <c r="AR61" s="11">
        <v>4250</v>
      </c>
      <c r="AU61" s="11">
        <f ca="1">IFERROR(OFFSET(ITEM_RES!$A$1,MATCH(AV61,ITEM_RES!$J:$J,0)-1,0),0)</f>
        <v>211040001</v>
      </c>
      <c r="AV61" s="10" t="s">
        <v>488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360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IFERROR(OFFSET(ITEM_RES!$A$5,MATCH(BUILDING!T62,ITEM_RES!$J$5:$J$231,0)-1,0),0)</f>
        <v>0</v>
      </c>
      <c r="W62" s="86" t="s">
        <v>605</v>
      </c>
      <c r="X62" s="9">
        <f ca="1">IFERROR(OFFSET(ITEM_RES!$A$5,MATCH(BUILDING!W62,ITEM_RES!$J$5:$J$231,0)-1,0),0)</f>
        <v>211030001</v>
      </c>
      <c r="Z62" s="9" t="s">
        <v>575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215010001</v>
      </c>
      <c r="AQ62" s="10" t="s">
        <v>478</v>
      </c>
      <c r="AR62" s="11">
        <v>5250</v>
      </c>
      <c r="AU62" s="11">
        <f ca="1">IFERROR(OFFSET(ITEM_RES!$A$1,MATCH(AV62,ITEM_RES!$J:$J,0)-1,0),0)</f>
        <v>211040001</v>
      </c>
      <c r="AV62" s="10" t="s">
        <v>488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360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IFERROR(OFFSET(ITEM_RES!$A$5,MATCH(BUILDING!T63,ITEM_RES!$J$5:$J$231,0)-1,0),0)</f>
        <v>0</v>
      </c>
      <c r="W63" s="86" t="s">
        <v>605</v>
      </c>
      <c r="X63" s="9">
        <f ca="1">IFERROR(OFFSET(ITEM_RES!$A$5,MATCH(BUILDING!W63,ITEM_RES!$J$5:$J$231,0)-1,0),0)</f>
        <v>211030001</v>
      </c>
      <c r="Z63" s="9" t="s">
        <v>575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215010001</v>
      </c>
      <c r="AQ63" s="10" t="s">
        <v>478</v>
      </c>
      <c r="AR63" s="11">
        <v>6250</v>
      </c>
      <c r="AU63" s="11">
        <f ca="1">IFERROR(OFFSET(ITEM_RES!$A$1,MATCH(AV63,ITEM_RES!$J:$J,0)-1,0),0)</f>
        <v>211040001</v>
      </c>
      <c r="AV63" s="10" t="s">
        <v>488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360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IFERROR(OFFSET(ITEM_RES!$A$5,MATCH(BUILDING!T64,ITEM_RES!$J$5:$J$231,0)-1,0),0)</f>
        <v>0</v>
      </c>
      <c r="W64" s="86" t="s">
        <v>605</v>
      </c>
      <c r="X64" s="9">
        <f ca="1">IFERROR(OFFSET(ITEM_RES!$A$5,MATCH(BUILDING!W64,ITEM_RES!$J$5:$J$231,0)-1,0),0)</f>
        <v>211030001</v>
      </c>
      <c r="Z64" s="9" t="s">
        <v>575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215010001</v>
      </c>
      <c r="AQ64" s="10" t="s">
        <v>478</v>
      </c>
      <c r="AR64" s="11">
        <v>7500</v>
      </c>
      <c r="AU64" s="11">
        <f ca="1">IFERROR(OFFSET(ITEM_RES!$A$1,MATCH(AV64,ITEM_RES!$J:$J,0)-1,0),0)</f>
        <v>211040001</v>
      </c>
      <c r="AV64" s="10" t="s">
        <v>488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475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IFERROR(OFFSET(ITEM_RES!$A$5,MATCH(BUILDING!T65,ITEM_RES!$J$5:$J$231,0)-1,0),0)</f>
        <v>0</v>
      </c>
      <c r="V65" s="18"/>
      <c r="W65" s="88" t="s">
        <v>606</v>
      </c>
      <c r="X65" s="16">
        <f ca="1">IFERROR(OFFSET(ITEM_RES!$A$5,MATCH(BUILDING!W65,ITEM_RES!$J$5:$J$231,0)-1,0),0)</f>
        <v>211040001</v>
      </c>
      <c r="Y65" s="80"/>
      <c r="Z65" s="16" t="s">
        <v>576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211050001</v>
      </c>
      <c r="AQ65" s="17" t="s">
        <v>461</v>
      </c>
      <c r="AR65" s="18">
        <v>25</v>
      </c>
      <c r="AS65" s="17"/>
      <c r="AT65" s="18"/>
      <c r="AU65" s="18">
        <f ca="1">IFERROR(OFFSET(ITEM_RES!$A$1,MATCH(AV65,ITEM_RES!$J:$J,0)-1,0),0)</f>
        <v>212040001</v>
      </c>
      <c r="AV65" s="17" t="s">
        <v>472</v>
      </c>
      <c r="AW65" s="18">
        <v>25</v>
      </c>
      <c r="AX65" s="17"/>
      <c r="AY65" s="18"/>
      <c r="AZ65" s="18">
        <f ca="1">IFERROR(OFFSET(ITEM_RES!$A$1,MATCH(BA65,ITEM_RES!$J:$J,0)-1,0),0)</f>
        <v>213010001</v>
      </c>
      <c r="BA65" s="17" t="s">
        <v>495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475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IFERROR(OFFSET(ITEM_RES!$A$5,MATCH(BUILDING!T66,ITEM_RES!$J$5:$J$231,0)-1,0),0)</f>
        <v>0</v>
      </c>
      <c r="W66" s="86" t="s">
        <v>606</v>
      </c>
      <c r="X66" s="9">
        <f ca="1">IFERROR(OFFSET(ITEM_RES!$A$5,MATCH(BUILDING!W66,ITEM_RES!$J$5:$J$231,0)-1,0),0)</f>
        <v>211040001</v>
      </c>
      <c r="Z66" s="9" t="s">
        <v>576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211050001</v>
      </c>
      <c r="AQ66" s="10" t="s">
        <v>463</v>
      </c>
      <c r="AR66" s="11">
        <v>50</v>
      </c>
      <c r="AU66" s="11">
        <f ca="1">IFERROR(OFFSET(ITEM_RES!$A$1,MATCH(AV66,ITEM_RES!$J:$J,0)-1,0),0)</f>
        <v>212040001</v>
      </c>
      <c r="AV66" s="10" t="s">
        <v>472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475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IFERROR(OFFSET(ITEM_RES!$A$5,MATCH(BUILDING!T67,ITEM_RES!$J$5:$J$231,0)-1,0),0)</f>
        <v>0</v>
      </c>
      <c r="W67" s="86" t="s">
        <v>606</v>
      </c>
      <c r="X67" s="9">
        <f ca="1">IFERROR(OFFSET(ITEM_RES!$A$5,MATCH(BUILDING!W67,ITEM_RES!$J$5:$J$231,0)-1,0),0)</f>
        <v>211040001</v>
      </c>
      <c r="Z67" s="9" t="s">
        <v>576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211050001</v>
      </c>
      <c r="AQ67" s="10" t="s">
        <v>463</v>
      </c>
      <c r="AR67" s="11">
        <v>75</v>
      </c>
      <c r="AU67" s="11">
        <f ca="1">IFERROR(OFFSET(ITEM_RES!$A$1,MATCH(AV67,ITEM_RES!$J:$J,0)-1,0),0)</f>
        <v>212040001</v>
      </c>
      <c r="AV67" s="10" t="s">
        <v>472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475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IFERROR(OFFSET(ITEM_RES!$A$5,MATCH(BUILDING!T68,ITEM_RES!$J$5:$J$231,0)-1,0),0)</f>
        <v>0</v>
      </c>
      <c r="W68" s="86" t="s">
        <v>606</v>
      </c>
      <c r="X68" s="9">
        <f ca="1">IFERROR(OFFSET(ITEM_RES!$A$5,MATCH(BUILDING!W68,ITEM_RES!$J$5:$J$231,0)-1,0),0)</f>
        <v>211040001</v>
      </c>
      <c r="Z68" s="9" t="s">
        <v>576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211050001</v>
      </c>
      <c r="AQ68" s="10" t="s">
        <v>463</v>
      </c>
      <c r="AR68" s="11">
        <v>125</v>
      </c>
      <c r="AU68" s="11">
        <f ca="1">IFERROR(OFFSET(ITEM_RES!$A$1,MATCH(AV68,ITEM_RES!$J:$J,0)-1,0),0)</f>
        <v>212040001</v>
      </c>
      <c r="AV68" s="10" t="s">
        <v>472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475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IFERROR(OFFSET(ITEM_RES!$A$5,MATCH(BUILDING!T69,ITEM_RES!$J$5:$J$231,0)-1,0),0)</f>
        <v>0</v>
      </c>
      <c r="W69" s="86" t="s">
        <v>606</v>
      </c>
      <c r="X69" s="9">
        <f ca="1">IFERROR(OFFSET(ITEM_RES!$A$5,MATCH(BUILDING!W69,ITEM_RES!$J$5:$J$231,0)-1,0),0)</f>
        <v>211040001</v>
      </c>
      <c r="Z69" s="9" t="s">
        <v>576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211050001</v>
      </c>
      <c r="AQ69" s="10" t="s">
        <v>463</v>
      </c>
      <c r="AR69" s="11">
        <v>200</v>
      </c>
      <c r="AU69" s="11">
        <f ca="1">IFERROR(OFFSET(ITEM_RES!$A$1,MATCH(AV69,ITEM_RES!$J:$J,0)-1,0),0)</f>
        <v>212040001</v>
      </c>
      <c r="AV69" s="10" t="s">
        <v>472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475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IFERROR(OFFSET(ITEM_RES!$A$5,MATCH(BUILDING!T70,ITEM_RES!$J$5:$J$231,0)-1,0),0)</f>
        <v>0</v>
      </c>
      <c r="W70" s="86" t="s">
        <v>606</v>
      </c>
      <c r="X70" s="9">
        <f ca="1">IFERROR(OFFSET(ITEM_RES!$A$5,MATCH(BUILDING!W70,ITEM_RES!$J$5:$J$231,0)-1,0),0)</f>
        <v>211040001</v>
      </c>
      <c r="Z70" s="9" t="s">
        <v>576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211050001</v>
      </c>
      <c r="AQ70" s="10" t="s">
        <v>463</v>
      </c>
      <c r="AR70" s="11">
        <v>250</v>
      </c>
      <c r="AU70" s="11">
        <f ca="1">IFERROR(OFFSET(ITEM_RES!$A$1,MATCH(AV70,ITEM_RES!$J:$J,0)-1,0),0)</f>
        <v>212040001</v>
      </c>
      <c r="AV70" s="10" t="s">
        <v>472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475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IFERROR(OFFSET(ITEM_RES!$A$5,MATCH(BUILDING!T71,ITEM_RES!$J$5:$J$231,0)-1,0),0)</f>
        <v>0</v>
      </c>
      <c r="W71" s="86" t="s">
        <v>606</v>
      </c>
      <c r="X71" s="9">
        <f ca="1">IFERROR(OFFSET(ITEM_RES!$A$5,MATCH(BUILDING!W71,ITEM_RES!$J$5:$J$231,0)-1,0),0)</f>
        <v>211040001</v>
      </c>
      <c r="Z71" s="9" t="s">
        <v>576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211050001</v>
      </c>
      <c r="AQ71" s="10" t="s">
        <v>463</v>
      </c>
      <c r="AR71" s="11">
        <v>500</v>
      </c>
      <c r="AU71" s="11">
        <f ca="1">IFERROR(OFFSET(ITEM_RES!$A$1,MATCH(AV71,ITEM_RES!$J:$J,0)-1,0),0)</f>
        <v>212040001</v>
      </c>
      <c r="AV71" s="10" t="s">
        <v>472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475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IFERROR(OFFSET(ITEM_RES!$A$5,MATCH(BUILDING!T72,ITEM_RES!$J$5:$J$231,0)-1,0),0)</f>
        <v>0</v>
      </c>
      <c r="W72" s="86" t="s">
        <v>606</v>
      </c>
      <c r="X72" s="9">
        <f ca="1">IFERROR(OFFSET(ITEM_RES!$A$5,MATCH(BUILDING!W72,ITEM_RES!$J$5:$J$231,0)-1,0),0)</f>
        <v>211040001</v>
      </c>
      <c r="Z72" s="9" t="s">
        <v>576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211050001</v>
      </c>
      <c r="AQ72" s="10" t="s">
        <v>463</v>
      </c>
      <c r="AR72" s="11">
        <v>500</v>
      </c>
      <c r="AU72" s="11">
        <f ca="1">IFERROR(OFFSET(ITEM_RES!$A$1,MATCH(AV72,ITEM_RES!$J:$J,0)-1,0),0)</f>
        <v>212040001</v>
      </c>
      <c r="AV72" s="10" t="s">
        <v>472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475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IFERROR(OFFSET(ITEM_RES!$A$5,MATCH(BUILDING!T73,ITEM_RES!$J$5:$J$231,0)-1,0),0)</f>
        <v>0</v>
      </c>
      <c r="W73" s="86" t="s">
        <v>606</v>
      </c>
      <c r="X73" s="9">
        <f ca="1">IFERROR(OFFSET(ITEM_RES!$A$5,MATCH(BUILDING!W73,ITEM_RES!$J$5:$J$231,0)-1,0),0)</f>
        <v>211040001</v>
      </c>
      <c r="Z73" s="9" t="s">
        <v>576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211050001</v>
      </c>
      <c r="AQ73" s="10" t="s">
        <v>463</v>
      </c>
      <c r="AR73" s="11">
        <v>750</v>
      </c>
      <c r="AU73" s="11">
        <f ca="1">IFERROR(OFFSET(ITEM_RES!$A$1,MATCH(AV73,ITEM_RES!$J:$J,0)-1,0),0)</f>
        <v>212040001</v>
      </c>
      <c r="AV73" s="10" t="s">
        <v>472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475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IFERROR(OFFSET(ITEM_RES!$A$5,MATCH(BUILDING!T74,ITEM_RES!$J$5:$J$231,0)-1,0),0)</f>
        <v>0</v>
      </c>
      <c r="W74" s="86" t="s">
        <v>606</v>
      </c>
      <c r="X74" s="9">
        <f ca="1">IFERROR(OFFSET(ITEM_RES!$A$5,MATCH(BUILDING!W74,ITEM_RES!$J$5:$J$231,0)-1,0),0)</f>
        <v>211040001</v>
      </c>
      <c r="Z74" s="9" t="s">
        <v>576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211050001</v>
      </c>
      <c r="AQ74" s="10" t="s">
        <v>463</v>
      </c>
      <c r="AR74" s="11">
        <v>1000</v>
      </c>
      <c r="AU74" s="11">
        <f ca="1">IFERROR(OFFSET(ITEM_RES!$A$1,MATCH(AV74,ITEM_RES!$J:$J,0)-1,0),0)</f>
        <v>212040001</v>
      </c>
      <c r="AV74" s="10" t="s">
        <v>472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475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IFERROR(OFFSET(ITEM_RES!$A$5,MATCH(BUILDING!T75,ITEM_RES!$J$5:$J$231,0)-1,0),0)</f>
        <v>0</v>
      </c>
      <c r="W75" s="86" t="s">
        <v>606</v>
      </c>
      <c r="X75" s="9">
        <f ca="1">IFERROR(OFFSET(ITEM_RES!$A$5,MATCH(BUILDING!W75,ITEM_RES!$J$5:$J$231,0)-1,0),0)</f>
        <v>211040001</v>
      </c>
      <c r="Z75" s="9" t="s">
        <v>576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211050001</v>
      </c>
      <c r="AQ75" s="10" t="s">
        <v>463</v>
      </c>
      <c r="AR75" s="11">
        <v>1250</v>
      </c>
      <c r="AU75" s="11">
        <f ca="1">IFERROR(OFFSET(ITEM_RES!$A$1,MATCH(AV75,ITEM_RES!$J:$J,0)-1,0),0)</f>
        <v>212040001</v>
      </c>
      <c r="AV75" s="10" t="s">
        <v>472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213060001</v>
      </c>
      <c r="BF75" s="10" t="s">
        <v>503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475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IFERROR(OFFSET(ITEM_RES!$A$5,MATCH(BUILDING!T76,ITEM_RES!$J$5:$J$231,0)-1,0),0)</f>
        <v>0</v>
      </c>
      <c r="W76" s="86" t="s">
        <v>606</v>
      </c>
      <c r="X76" s="9">
        <f ca="1">IFERROR(OFFSET(ITEM_RES!$A$5,MATCH(BUILDING!W76,ITEM_RES!$J$5:$J$231,0)-1,0),0)</f>
        <v>211040001</v>
      </c>
      <c r="Z76" s="9" t="s">
        <v>576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211050001</v>
      </c>
      <c r="AQ76" s="10" t="s">
        <v>463</v>
      </c>
      <c r="AR76" s="11">
        <v>1500</v>
      </c>
      <c r="AU76" s="11">
        <f ca="1">IFERROR(OFFSET(ITEM_RES!$A$1,MATCH(AV76,ITEM_RES!$J:$J,0)-1,0),0)</f>
        <v>212040001</v>
      </c>
      <c r="AV76" s="10" t="s">
        <v>472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475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IFERROR(OFFSET(ITEM_RES!$A$5,MATCH(BUILDING!T77,ITEM_RES!$J$5:$J$231,0)-1,0),0)</f>
        <v>0</v>
      </c>
      <c r="W77" s="86" t="s">
        <v>606</v>
      </c>
      <c r="X77" s="9">
        <f ca="1">IFERROR(OFFSET(ITEM_RES!$A$5,MATCH(BUILDING!W77,ITEM_RES!$J$5:$J$231,0)-1,0),0)</f>
        <v>211040001</v>
      </c>
      <c r="Z77" s="9" t="s">
        <v>576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211050001</v>
      </c>
      <c r="AQ77" s="10" t="s">
        <v>463</v>
      </c>
      <c r="AR77" s="11">
        <v>1750</v>
      </c>
      <c r="AU77" s="11">
        <f ca="1">IFERROR(OFFSET(ITEM_RES!$A$1,MATCH(AV77,ITEM_RES!$J:$J,0)-1,0),0)</f>
        <v>212040001</v>
      </c>
      <c r="AV77" s="10" t="s">
        <v>472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475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IFERROR(OFFSET(ITEM_RES!$A$5,MATCH(BUILDING!T78,ITEM_RES!$J$5:$J$231,0)-1,0),0)</f>
        <v>0</v>
      </c>
      <c r="W78" s="86" t="s">
        <v>606</v>
      </c>
      <c r="X78" s="9">
        <f ca="1">IFERROR(OFFSET(ITEM_RES!$A$5,MATCH(BUILDING!W78,ITEM_RES!$J$5:$J$231,0)-1,0),0)</f>
        <v>211040001</v>
      </c>
      <c r="Z78" s="9" t="s">
        <v>576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211050001</v>
      </c>
      <c r="AQ78" s="10" t="s">
        <v>463</v>
      </c>
      <c r="AR78" s="11">
        <v>2250</v>
      </c>
      <c r="AU78" s="11">
        <f ca="1">IFERROR(OFFSET(ITEM_RES!$A$1,MATCH(AV78,ITEM_RES!$J:$J,0)-1,0),0)</f>
        <v>215050001</v>
      </c>
      <c r="AV78" s="10" t="s">
        <v>484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475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IFERROR(OFFSET(ITEM_RES!$A$5,MATCH(BUILDING!T79,ITEM_RES!$J$5:$J$231,0)-1,0),0)</f>
        <v>0</v>
      </c>
      <c r="W79" s="86" t="s">
        <v>606</v>
      </c>
      <c r="X79" s="9">
        <f ca="1">IFERROR(OFFSET(ITEM_RES!$A$5,MATCH(BUILDING!W79,ITEM_RES!$J$5:$J$231,0)-1,0),0)</f>
        <v>211040001</v>
      </c>
      <c r="Z79" s="9" t="s">
        <v>576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211050001</v>
      </c>
      <c r="AQ79" s="10" t="s">
        <v>463</v>
      </c>
      <c r="AR79" s="11">
        <v>2750</v>
      </c>
      <c r="AU79" s="11">
        <f ca="1">IFERROR(OFFSET(ITEM_RES!$A$1,MATCH(AV79,ITEM_RES!$J:$J,0)-1,0),0)</f>
        <v>215050001</v>
      </c>
      <c r="AV79" s="10" t="s">
        <v>484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475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IFERROR(OFFSET(ITEM_RES!$A$5,MATCH(BUILDING!T80,ITEM_RES!$J$5:$J$231,0)-1,0),0)</f>
        <v>0</v>
      </c>
      <c r="W80" s="86" t="s">
        <v>606</v>
      </c>
      <c r="X80" s="9">
        <f ca="1">IFERROR(OFFSET(ITEM_RES!$A$5,MATCH(BUILDING!W80,ITEM_RES!$J$5:$J$231,0)-1,0),0)</f>
        <v>211040001</v>
      </c>
      <c r="Z80" s="9" t="s">
        <v>576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211050001</v>
      </c>
      <c r="AQ80" s="10" t="s">
        <v>463</v>
      </c>
      <c r="AR80" s="11">
        <v>3500</v>
      </c>
      <c r="AU80" s="11">
        <f ca="1">IFERROR(OFFSET(ITEM_RES!$A$1,MATCH(AV80,ITEM_RES!$J:$J,0)-1,0),0)</f>
        <v>215050001</v>
      </c>
      <c r="AV80" s="10" t="s">
        <v>484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475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IFERROR(OFFSET(ITEM_RES!$A$5,MATCH(BUILDING!T81,ITEM_RES!$J$5:$J$231,0)-1,0),0)</f>
        <v>0</v>
      </c>
      <c r="W81" s="86" t="s">
        <v>606</v>
      </c>
      <c r="X81" s="9">
        <f ca="1">IFERROR(OFFSET(ITEM_RES!$A$5,MATCH(BUILDING!W81,ITEM_RES!$J$5:$J$231,0)-1,0),0)</f>
        <v>211040001</v>
      </c>
      <c r="Z81" s="9" t="s">
        <v>576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211050001</v>
      </c>
      <c r="AQ81" s="10" t="s">
        <v>463</v>
      </c>
      <c r="AR81" s="11">
        <v>4250</v>
      </c>
      <c r="AU81" s="11">
        <f ca="1">IFERROR(OFFSET(ITEM_RES!$A$1,MATCH(AV81,ITEM_RES!$J:$J,0)-1,0),0)</f>
        <v>215050001</v>
      </c>
      <c r="AV81" s="10" t="s">
        <v>484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475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IFERROR(OFFSET(ITEM_RES!$A$5,MATCH(BUILDING!T82,ITEM_RES!$J$5:$J$231,0)-1,0),0)</f>
        <v>0</v>
      </c>
      <c r="W82" s="86" t="s">
        <v>606</v>
      </c>
      <c r="X82" s="9">
        <f ca="1">IFERROR(OFFSET(ITEM_RES!$A$5,MATCH(BUILDING!W82,ITEM_RES!$J$5:$J$231,0)-1,0),0)</f>
        <v>211040001</v>
      </c>
      <c r="Z82" s="9" t="s">
        <v>576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211050001</v>
      </c>
      <c r="AQ82" s="10" t="s">
        <v>463</v>
      </c>
      <c r="AR82" s="11">
        <v>5250</v>
      </c>
      <c r="AU82" s="11">
        <f ca="1">IFERROR(OFFSET(ITEM_RES!$A$1,MATCH(AV82,ITEM_RES!$J:$J,0)-1,0),0)</f>
        <v>215050001</v>
      </c>
      <c r="AV82" s="10" t="s">
        <v>484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475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IFERROR(OFFSET(ITEM_RES!$A$5,MATCH(BUILDING!T83,ITEM_RES!$J$5:$J$231,0)-1,0),0)</f>
        <v>0</v>
      </c>
      <c r="W83" s="86" t="s">
        <v>606</v>
      </c>
      <c r="X83" s="9">
        <f ca="1">IFERROR(OFFSET(ITEM_RES!$A$5,MATCH(BUILDING!W83,ITEM_RES!$J$5:$J$231,0)-1,0),0)</f>
        <v>211040001</v>
      </c>
      <c r="Z83" s="9" t="s">
        <v>576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211050001</v>
      </c>
      <c r="AQ83" s="10" t="s">
        <v>463</v>
      </c>
      <c r="AR83" s="11">
        <v>6250</v>
      </c>
      <c r="AU83" s="11">
        <f ca="1">IFERROR(OFFSET(ITEM_RES!$A$1,MATCH(AV83,ITEM_RES!$J:$J,0)-1,0),0)</f>
        <v>215050001</v>
      </c>
      <c r="AV83" s="10" t="s">
        <v>484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475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IFERROR(OFFSET(ITEM_RES!$A$5,MATCH(BUILDING!T84,ITEM_RES!$J$5:$J$231,0)-1,0),0)</f>
        <v>0</v>
      </c>
      <c r="W84" s="86" t="s">
        <v>606</v>
      </c>
      <c r="X84" s="9">
        <f ca="1">IFERROR(OFFSET(ITEM_RES!$A$5,MATCH(BUILDING!W84,ITEM_RES!$J$5:$J$231,0)-1,0),0)</f>
        <v>211040001</v>
      </c>
      <c r="Z84" s="9" t="s">
        <v>576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211050001</v>
      </c>
      <c r="AQ84" s="10" t="s">
        <v>461</v>
      </c>
      <c r="AR84" s="11">
        <v>7500</v>
      </c>
      <c r="AU84" s="11">
        <f ca="1">IFERROR(OFFSET(ITEM_RES!$A$1,MATCH(AV84,ITEM_RES!$J:$J,0)-1,0),0)</f>
        <v>215050001</v>
      </c>
      <c r="AV84" s="10" t="s">
        <v>484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382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608</v>
      </c>
      <c r="U85" s="16">
        <f ca="1">IFERROR(OFFSET(ITEM_RES!$A$5,MATCH(BUILDING!T85,ITEM_RES!$J$5:$J$231,0)-1,0),0)</f>
        <v>215020001</v>
      </c>
      <c r="V85" s="18">
        <v>100</v>
      </c>
      <c r="W85" s="88" t="s">
        <v>607</v>
      </c>
      <c r="X85" s="16">
        <f ca="1">IFERROR(OFFSET(ITEM_RES!$A$5,MATCH(BUILDING!W85,ITEM_RES!$J$5:$J$231,0)-1,0),0)</f>
        <v>215030001</v>
      </c>
      <c r="Y85" s="80"/>
      <c r="Z85" s="16" t="s">
        <v>577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211060001</v>
      </c>
      <c r="AQ85" s="17" t="s">
        <v>465</v>
      </c>
      <c r="AR85" s="18">
        <v>25</v>
      </c>
      <c r="AS85" s="17"/>
      <c r="AT85" s="18"/>
      <c r="AU85" s="18">
        <f ca="1">IFERROR(OFFSET(ITEM_RES!$A$1,MATCH(AV85,ITEM_RES!$J:$J,0)-1,0),0)</f>
        <v>212010001</v>
      </c>
      <c r="AV85" s="17" t="s">
        <v>471</v>
      </c>
      <c r="AW85" s="18">
        <v>25</v>
      </c>
      <c r="AX85" s="17"/>
      <c r="AY85" s="18"/>
      <c r="AZ85" s="18">
        <f ca="1">IFERROR(OFFSET(ITEM_RES!$A$1,MATCH(BA85,ITEM_RES!$J:$J,0)-1,0),0)</f>
        <v>213010001</v>
      </c>
      <c r="BA85" s="17" t="s">
        <v>495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382</v>
      </c>
      <c r="L86" s="9">
        <v>1</v>
      </c>
      <c r="M86" s="9">
        <v>15</v>
      </c>
      <c r="R86" s="9">
        <v>22</v>
      </c>
      <c r="T86" s="86" t="s">
        <v>608</v>
      </c>
      <c r="U86" s="9">
        <f ca="1">IFERROR(OFFSET(ITEM_RES!$A$5,MATCH(BUILDING!T86,ITEM_RES!$J$5:$J$231,0)-1,0),0)</f>
        <v>215020001</v>
      </c>
      <c r="V86" s="11">
        <v>100</v>
      </c>
      <c r="W86" s="86" t="s">
        <v>607</v>
      </c>
      <c r="X86" s="9">
        <f ca="1">IFERROR(OFFSET(ITEM_RES!$A$5,MATCH(BUILDING!W86,ITEM_RES!$J$5:$J$231,0)-1,0),0)</f>
        <v>215030001</v>
      </c>
      <c r="Z86" s="9" t="s">
        <v>577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211060001</v>
      </c>
      <c r="AQ86" s="10" t="s">
        <v>466</v>
      </c>
      <c r="AR86" s="11">
        <v>50</v>
      </c>
      <c r="AU86" s="11">
        <f ca="1">IFERROR(OFFSET(ITEM_RES!$A$1,MATCH(AV86,ITEM_RES!$J:$J,0)-1,0),0)</f>
        <v>212010001</v>
      </c>
      <c r="AV86" s="10" t="s">
        <v>471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382</v>
      </c>
      <c r="L87" s="9">
        <v>1</v>
      </c>
      <c r="M87" s="9">
        <v>15</v>
      </c>
      <c r="R87" s="9">
        <v>22</v>
      </c>
      <c r="T87" s="86" t="s">
        <v>608</v>
      </c>
      <c r="U87" s="9">
        <f ca="1">IFERROR(OFFSET(ITEM_RES!$A$5,MATCH(BUILDING!T87,ITEM_RES!$J$5:$J$231,0)-1,0),0)</f>
        <v>215020001</v>
      </c>
      <c r="V87" s="11">
        <v>100</v>
      </c>
      <c r="W87" s="86" t="s">
        <v>607</v>
      </c>
      <c r="X87" s="9">
        <f ca="1">IFERROR(OFFSET(ITEM_RES!$A$5,MATCH(BUILDING!W87,ITEM_RES!$J$5:$J$231,0)-1,0),0)</f>
        <v>215030001</v>
      </c>
      <c r="Z87" s="9" t="s">
        <v>577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211060001</v>
      </c>
      <c r="AQ87" s="10" t="s">
        <v>465</v>
      </c>
      <c r="AR87" s="11">
        <v>75</v>
      </c>
      <c r="AU87" s="11">
        <f ca="1">IFERROR(OFFSET(ITEM_RES!$A$1,MATCH(AV87,ITEM_RES!$J:$J,0)-1,0),0)</f>
        <v>212010001</v>
      </c>
      <c r="AV87" s="10" t="s">
        <v>471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382</v>
      </c>
      <c r="L88" s="9">
        <v>1</v>
      </c>
      <c r="M88" s="9">
        <v>15</v>
      </c>
      <c r="R88" s="9">
        <v>22</v>
      </c>
      <c r="T88" s="86" t="s">
        <v>608</v>
      </c>
      <c r="U88" s="9">
        <f ca="1">IFERROR(OFFSET(ITEM_RES!$A$5,MATCH(BUILDING!T88,ITEM_RES!$J$5:$J$231,0)-1,0),0)</f>
        <v>215020001</v>
      </c>
      <c r="V88" s="11">
        <v>100</v>
      </c>
      <c r="W88" s="86" t="s">
        <v>607</v>
      </c>
      <c r="X88" s="9">
        <f ca="1">IFERROR(OFFSET(ITEM_RES!$A$5,MATCH(BUILDING!W88,ITEM_RES!$J$5:$J$231,0)-1,0),0)</f>
        <v>215030001</v>
      </c>
      <c r="Z88" s="9" t="s">
        <v>577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211060001</v>
      </c>
      <c r="AQ88" s="10" t="s">
        <v>466</v>
      </c>
      <c r="AR88" s="11">
        <v>125</v>
      </c>
      <c r="AU88" s="11">
        <f ca="1">IFERROR(OFFSET(ITEM_RES!$A$1,MATCH(AV88,ITEM_RES!$J:$J,0)-1,0),0)</f>
        <v>212010001</v>
      </c>
      <c r="AV88" s="10" t="s">
        <v>471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382</v>
      </c>
      <c r="L89" s="9">
        <v>1</v>
      </c>
      <c r="M89" s="9">
        <v>15</v>
      </c>
      <c r="R89" s="9">
        <v>22</v>
      </c>
      <c r="T89" s="86" t="s">
        <v>608</v>
      </c>
      <c r="U89" s="9">
        <f ca="1">IFERROR(OFFSET(ITEM_RES!$A$5,MATCH(BUILDING!T89,ITEM_RES!$J$5:$J$231,0)-1,0),0)</f>
        <v>215020001</v>
      </c>
      <c r="V89" s="11">
        <v>100</v>
      </c>
      <c r="W89" s="86" t="s">
        <v>607</v>
      </c>
      <c r="X89" s="9">
        <f ca="1">IFERROR(OFFSET(ITEM_RES!$A$5,MATCH(BUILDING!W89,ITEM_RES!$J$5:$J$231,0)-1,0),0)</f>
        <v>215030001</v>
      </c>
      <c r="Z89" s="9" t="s">
        <v>577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211060001</v>
      </c>
      <c r="AQ89" s="10" t="s">
        <v>465</v>
      </c>
      <c r="AR89" s="11">
        <v>200</v>
      </c>
      <c r="AU89" s="11">
        <f ca="1">IFERROR(OFFSET(ITEM_RES!$A$1,MATCH(AV89,ITEM_RES!$J:$J,0)-1,0),0)</f>
        <v>212010001</v>
      </c>
      <c r="AV89" s="10" t="s">
        <v>471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382</v>
      </c>
      <c r="L90" s="9">
        <v>1</v>
      </c>
      <c r="M90" s="9">
        <v>15</v>
      </c>
      <c r="R90" s="9">
        <v>22</v>
      </c>
      <c r="T90" s="86" t="s">
        <v>608</v>
      </c>
      <c r="U90" s="9">
        <f ca="1">IFERROR(OFFSET(ITEM_RES!$A$5,MATCH(BUILDING!T90,ITEM_RES!$J$5:$J$231,0)-1,0),0)</f>
        <v>215020001</v>
      </c>
      <c r="V90" s="11">
        <v>100</v>
      </c>
      <c r="W90" s="86" t="s">
        <v>607</v>
      </c>
      <c r="X90" s="9">
        <f ca="1">IFERROR(OFFSET(ITEM_RES!$A$5,MATCH(BUILDING!W90,ITEM_RES!$J$5:$J$231,0)-1,0),0)</f>
        <v>215030001</v>
      </c>
      <c r="Z90" s="9" t="s">
        <v>577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211060001</v>
      </c>
      <c r="AQ90" s="10" t="s">
        <v>466</v>
      </c>
      <c r="AR90" s="11">
        <v>250</v>
      </c>
      <c r="AU90" s="11">
        <f ca="1">IFERROR(OFFSET(ITEM_RES!$A$1,MATCH(AV90,ITEM_RES!$J:$J,0)-1,0),0)</f>
        <v>212010001</v>
      </c>
      <c r="AV90" s="10" t="s">
        <v>471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382</v>
      </c>
      <c r="L91" s="9">
        <v>1</v>
      </c>
      <c r="M91" s="9">
        <v>15</v>
      </c>
      <c r="R91" s="9">
        <v>22</v>
      </c>
      <c r="T91" s="86" t="s">
        <v>608</v>
      </c>
      <c r="U91" s="9">
        <f ca="1">IFERROR(OFFSET(ITEM_RES!$A$5,MATCH(BUILDING!T91,ITEM_RES!$J$5:$J$231,0)-1,0),0)</f>
        <v>215020001</v>
      </c>
      <c r="V91" s="11">
        <v>100</v>
      </c>
      <c r="W91" s="86" t="s">
        <v>607</v>
      </c>
      <c r="X91" s="9">
        <f ca="1">IFERROR(OFFSET(ITEM_RES!$A$5,MATCH(BUILDING!W91,ITEM_RES!$J$5:$J$231,0)-1,0),0)</f>
        <v>215030001</v>
      </c>
      <c r="Z91" s="9" t="s">
        <v>577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211060001</v>
      </c>
      <c r="AQ91" s="10" t="s">
        <v>466</v>
      </c>
      <c r="AR91" s="11">
        <v>500</v>
      </c>
      <c r="AU91" s="11">
        <f ca="1">IFERROR(OFFSET(ITEM_RES!$A$1,MATCH(AV91,ITEM_RES!$J:$J,0)-1,0),0)</f>
        <v>212010001</v>
      </c>
      <c r="AV91" s="10" t="s">
        <v>471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382</v>
      </c>
      <c r="L92" s="9">
        <v>1</v>
      </c>
      <c r="M92" s="9">
        <v>15</v>
      </c>
      <c r="R92" s="9">
        <v>22</v>
      </c>
      <c r="T92" s="86" t="s">
        <v>608</v>
      </c>
      <c r="U92" s="9">
        <f ca="1">IFERROR(OFFSET(ITEM_RES!$A$5,MATCH(BUILDING!T92,ITEM_RES!$J$5:$J$231,0)-1,0),0)</f>
        <v>215020001</v>
      </c>
      <c r="V92" s="11">
        <v>100</v>
      </c>
      <c r="W92" s="86" t="s">
        <v>607</v>
      </c>
      <c r="X92" s="9">
        <f ca="1">IFERROR(OFFSET(ITEM_RES!$A$5,MATCH(BUILDING!W92,ITEM_RES!$J$5:$J$231,0)-1,0),0)</f>
        <v>215030001</v>
      </c>
      <c r="Z92" s="9" t="s">
        <v>577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215060001</v>
      </c>
      <c r="AQ92" s="10" t="s">
        <v>492</v>
      </c>
      <c r="AR92" s="11">
        <v>500</v>
      </c>
      <c r="AU92" s="11">
        <f ca="1">IFERROR(OFFSET(ITEM_RES!$A$1,MATCH(AV92,ITEM_RES!$J:$J,0)-1,0),0)</f>
        <v>212010001</v>
      </c>
      <c r="AV92" s="10" t="s">
        <v>471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382</v>
      </c>
      <c r="L93" s="9">
        <v>1</v>
      </c>
      <c r="M93" s="9">
        <v>15</v>
      </c>
      <c r="R93" s="9">
        <v>22</v>
      </c>
      <c r="T93" s="86" t="s">
        <v>608</v>
      </c>
      <c r="U93" s="9">
        <f ca="1">IFERROR(OFFSET(ITEM_RES!$A$5,MATCH(BUILDING!T93,ITEM_RES!$J$5:$J$231,0)-1,0),0)</f>
        <v>215020001</v>
      </c>
      <c r="V93" s="11">
        <v>100</v>
      </c>
      <c r="W93" s="86" t="s">
        <v>607</v>
      </c>
      <c r="X93" s="9">
        <f ca="1">IFERROR(OFFSET(ITEM_RES!$A$5,MATCH(BUILDING!W93,ITEM_RES!$J$5:$J$231,0)-1,0),0)</f>
        <v>215030001</v>
      </c>
      <c r="Z93" s="9" t="s">
        <v>577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215060001</v>
      </c>
      <c r="AQ93" s="10" t="s">
        <v>492</v>
      </c>
      <c r="AR93" s="11">
        <v>750</v>
      </c>
      <c r="AU93" s="11">
        <f ca="1">IFERROR(OFFSET(ITEM_RES!$A$1,MATCH(AV93,ITEM_RES!$J:$J,0)-1,0),0)</f>
        <v>212010001</v>
      </c>
      <c r="AV93" s="10" t="s">
        <v>471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382</v>
      </c>
      <c r="L94" s="9">
        <v>1</v>
      </c>
      <c r="M94" s="9">
        <v>15</v>
      </c>
      <c r="R94" s="9">
        <v>22</v>
      </c>
      <c r="T94" s="86" t="s">
        <v>608</v>
      </c>
      <c r="U94" s="9">
        <f ca="1">IFERROR(OFFSET(ITEM_RES!$A$5,MATCH(BUILDING!T94,ITEM_RES!$J$5:$J$231,0)-1,0),0)</f>
        <v>215020001</v>
      </c>
      <c r="V94" s="11">
        <v>100</v>
      </c>
      <c r="W94" s="86" t="s">
        <v>607</v>
      </c>
      <c r="X94" s="9">
        <f ca="1">IFERROR(OFFSET(ITEM_RES!$A$5,MATCH(BUILDING!W94,ITEM_RES!$J$5:$J$231,0)-1,0),0)</f>
        <v>215030001</v>
      </c>
      <c r="Z94" s="9" t="s">
        <v>577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215060001</v>
      </c>
      <c r="AQ94" s="10" t="s">
        <v>492</v>
      </c>
      <c r="AR94" s="11">
        <v>1000</v>
      </c>
      <c r="AU94" s="11">
        <f ca="1">IFERROR(OFFSET(ITEM_RES!$A$1,MATCH(AV94,ITEM_RES!$J:$J,0)-1,0),0)</f>
        <v>212010001</v>
      </c>
      <c r="AV94" s="10" t="s">
        <v>471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382</v>
      </c>
      <c r="L95" s="9">
        <v>1</v>
      </c>
      <c r="M95" s="9">
        <v>15</v>
      </c>
      <c r="R95" s="9">
        <v>22</v>
      </c>
      <c r="T95" s="86" t="s">
        <v>608</v>
      </c>
      <c r="U95" s="9">
        <f ca="1">IFERROR(OFFSET(ITEM_RES!$A$5,MATCH(BUILDING!T95,ITEM_RES!$J$5:$J$231,0)-1,0),0)</f>
        <v>215020001</v>
      </c>
      <c r="V95" s="11">
        <v>100</v>
      </c>
      <c r="W95" s="86" t="s">
        <v>607</v>
      </c>
      <c r="X95" s="9">
        <f ca="1">IFERROR(OFFSET(ITEM_RES!$A$5,MATCH(BUILDING!W95,ITEM_RES!$J$5:$J$231,0)-1,0),0)</f>
        <v>215030001</v>
      </c>
      <c r="Z95" s="9" t="s">
        <v>577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211070001</v>
      </c>
      <c r="AQ95" s="10" t="s">
        <v>480</v>
      </c>
      <c r="AR95" s="11">
        <v>1250</v>
      </c>
      <c r="AU95" s="11">
        <f ca="1">IFERROR(OFFSET(ITEM_RES!$A$1,MATCH(AV95,ITEM_RES!$J:$J,0)-1,0),0)</f>
        <v>212010001</v>
      </c>
      <c r="AV95" s="10" t="s">
        <v>471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382</v>
      </c>
      <c r="L96" s="9">
        <v>1</v>
      </c>
      <c r="M96" s="9">
        <v>15</v>
      </c>
      <c r="R96" s="9">
        <v>22</v>
      </c>
      <c r="T96" s="86" t="s">
        <v>608</v>
      </c>
      <c r="U96" s="9">
        <f ca="1">IFERROR(OFFSET(ITEM_RES!$A$5,MATCH(BUILDING!T96,ITEM_RES!$J$5:$J$231,0)-1,0),0)</f>
        <v>215020001</v>
      </c>
      <c r="V96" s="11">
        <v>100</v>
      </c>
      <c r="W96" s="86" t="s">
        <v>607</v>
      </c>
      <c r="X96" s="9">
        <f ca="1">IFERROR(OFFSET(ITEM_RES!$A$5,MATCH(BUILDING!W96,ITEM_RES!$J$5:$J$231,0)-1,0),0)</f>
        <v>215030001</v>
      </c>
      <c r="Z96" s="9" t="s">
        <v>577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211070001</v>
      </c>
      <c r="AQ96" s="10" t="s">
        <v>480</v>
      </c>
      <c r="AR96" s="11">
        <v>1500</v>
      </c>
      <c r="AU96" s="11">
        <f ca="1">IFERROR(OFFSET(ITEM_RES!$A$1,MATCH(AV96,ITEM_RES!$J:$J,0)-1,0),0)</f>
        <v>212010001</v>
      </c>
      <c r="AV96" s="10" t="s">
        <v>471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213070001</v>
      </c>
      <c r="BF96" s="10" t="s">
        <v>504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382</v>
      </c>
      <c r="L97" s="9">
        <v>1</v>
      </c>
      <c r="M97" s="9">
        <v>15</v>
      </c>
      <c r="R97" s="9">
        <v>22</v>
      </c>
      <c r="T97" s="86" t="s">
        <v>608</v>
      </c>
      <c r="U97" s="9">
        <f ca="1">IFERROR(OFFSET(ITEM_RES!$A$5,MATCH(BUILDING!T97,ITEM_RES!$J$5:$J$231,0)-1,0),0)</f>
        <v>215020001</v>
      </c>
      <c r="V97" s="11">
        <v>100</v>
      </c>
      <c r="W97" s="86" t="s">
        <v>607</v>
      </c>
      <c r="X97" s="9">
        <f ca="1">IFERROR(OFFSET(ITEM_RES!$A$5,MATCH(BUILDING!W97,ITEM_RES!$J$5:$J$231,0)-1,0),0)</f>
        <v>215030001</v>
      </c>
      <c r="Z97" s="9" t="s">
        <v>577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211070001</v>
      </c>
      <c r="AQ97" s="10" t="s">
        <v>480</v>
      </c>
      <c r="AR97" s="11">
        <v>1750</v>
      </c>
      <c r="AU97" s="11">
        <f ca="1">IFERROR(OFFSET(ITEM_RES!$A$1,MATCH(AV97,ITEM_RES!$J:$J,0)-1,0),0)</f>
        <v>212010001</v>
      </c>
      <c r="AV97" s="10" t="s">
        <v>471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382</v>
      </c>
      <c r="L98" s="9">
        <v>1</v>
      </c>
      <c r="M98" s="9">
        <v>15</v>
      </c>
      <c r="R98" s="9">
        <v>22</v>
      </c>
      <c r="T98" s="86" t="s">
        <v>608</v>
      </c>
      <c r="U98" s="9">
        <f ca="1">IFERROR(OFFSET(ITEM_RES!$A$5,MATCH(BUILDING!T98,ITEM_RES!$J$5:$J$231,0)-1,0),0)</f>
        <v>215020001</v>
      </c>
      <c r="V98" s="11">
        <v>100</v>
      </c>
      <c r="W98" s="86" t="s">
        <v>607</v>
      </c>
      <c r="X98" s="9">
        <f ca="1">IFERROR(OFFSET(ITEM_RES!$A$5,MATCH(BUILDING!W98,ITEM_RES!$J$5:$J$231,0)-1,0),0)</f>
        <v>215030001</v>
      </c>
      <c r="Z98" s="9" t="s">
        <v>577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211070001</v>
      </c>
      <c r="AQ98" s="10" t="s">
        <v>480</v>
      </c>
      <c r="AR98" s="11">
        <v>2250</v>
      </c>
      <c r="AU98" s="11">
        <f ca="1">IFERROR(OFFSET(ITEM_RES!$A$1,MATCH(AV98,ITEM_RES!$J:$J,0)-1,0),0)</f>
        <v>212010001</v>
      </c>
      <c r="AV98" s="10" t="s">
        <v>471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382</v>
      </c>
      <c r="L99" s="9">
        <v>1</v>
      </c>
      <c r="M99" s="9">
        <v>15</v>
      </c>
      <c r="R99" s="9">
        <v>22</v>
      </c>
      <c r="T99" s="86" t="s">
        <v>608</v>
      </c>
      <c r="U99" s="9">
        <f ca="1">IFERROR(OFFSET(ITEM_RES!$A$5,MATCH(BUILDING!T99,ITEM_RES!$J$5:$J$231,0)-1,0),0)</f>
        <v>215020001</v>
      </c>
      <c r="V99" s="11">
        <v>100</v>
      </c>
      <c r="W99" s="86" t="s">
        <v>607</v>
      </c>
      <c r="X99" s="9">
        <f ca="1">IFERROR(OFFSET(ITEM_RES!$A$5,MATCH(BUILDING!W99,ITEM_RES!$J$5:$J$231,0)-1,0),0)</f>
        <v>215030001</v>
      </c>
      <c r="Z99" s="9" t="s">
        <v>577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211070001</v>
      </c>
      <c r="AQ99" s="10" t="s">
        <v>480</v>
      </c>
      <c r="AR99" s="11">
        <v>2750</v>
      </c>
      <c r="AU99" s="11">
        <f ca="1">IFERROR(OFFSET(ITEM_RES!$A$1,MATCH(AV99,ITEM_RES!$J:$J,0)-1,0),0)</f>
        <v>215070001</v>
      </c>
      <c r="AV99" s="10" t="s">
        <v>467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382</v>
      </c>
      <c r="L100" s="9">
        <v>0</v>
      </c>
      <c r="M100" s="9">
        <v>15</v>
      </c>
      <c r="R100" s="9">
        <v>22</v>
      </c>
      <c r="T100" s="86" t="s">
        <v>608</v>
      </c>
      <c r="U100" s="9">
        <f ca="1">IFERROR(OFFSET(ITEM_RES!$A$5,MATCH(BUILDING!T100,ITEM_RES!$J$5:$J$231,0)-1,0),0)</f>
        <v>215020001</v>
      </c>
      <c r="V100" s="11">
        <v>100</v>
      </c>
      <c r="W100" s="86" t="s">
        <v>607</v>
      </c>
      <c r="X100" s="9">
        <f ca="1">IFERROR(OFFSET(ITEM_RES!$A$5,MATCH(BUILDING!W100,ITEM_RES!$J$5:$J$231,0)-1,0),0)</f>
        <v>215030001</v>
      </c>
      <c r="Z100" s="9" t="s">
        <v>577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211070001</v>
      </c>
      <c r="AQ100" s="10" t="s">
        <v>480</v>
      </c>
      <c r="AR100" s="11">
        <v>3500</v>
      </c>
      <c r="AU100" s="11">
        <f ca="1">IFERROR(OFFSET(ITEM_RES!$A$1,MATCH(AV100,ITEM_RES!$J:$J,0)-1,0),0)</f>
        <v>215070001</v>
      </c>
      <c r="AV100" s="10" t="s">
        <v>467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382</v>
      </c>
      <c r="L101" s="9">
        <v>0</v>
      </c>
      <c r="M101" s="9">
        <v>15</v>
      </c>
      <c r="R101" s="9">
        <v>22</v>
      </c>
      <c r="T101" s="86" t="s">
        <v>608</v>
      </c>
      <c r="U101" s="9">
        <f ca="1">IFERROR(OFFSET(ITEM_RES!$A$5,MATCH(BUILDING!T101,ITEM_RES!$J$5:$J$231,0)-1,0),0)</f>
        <v>215020001</v>
      </c>
      <c r="V101" s="11">
        <v>100</v>
      </c>
      <c r="W101" s="86" t="s">
        <v>607</v>
      </c>
      <c r="X101" s="9">
        <f ca="1">IFERROR(OFFSET(ITEM_RES!$A$5,MATCH(BUILDING!W101,ITEM_RES!$J$5:$J$231,0)-1,0),0)</f>
        <v>215030001</v>
      </c>
      <c r="Z101" s="9" t="s">
        <v>577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211070001</v>
      </c>
      <c r="AQ101" s="10" t="s">
        <v>480</v>
      </c>
      <c r="AR101" s="11">
        <v>4250</v>
      </c>
      <c r="AU101" s="11">
        <f ca="1">IFERROR(OFFSET(ITEM_RES!$A$1,MATCH(AV101,ITEM_RES!$J:$J,0)-1,0),0)</f>
        <v>215070001</v>
      </c>
      <c r="AV101" s="10" t="s">
        <v>467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382</v>
      </c>
      <c r="L102" s="9">
        <v>0</v>
      </c>
      <c r="M102" s="9">
        <v>15</v>
      </c>
      <c r="R102" s="9">
        <v>22</v>
      </c>
      <c r="T102" s="86" t="s">
        <v>608</v>
      </c>
      <c r="U102" s="9">
        <f ca="1">IFERROR(OFFSET(ITEM_RES!$A$5,MATCH(BUILDING!T102,ITEM_RES!$J$5:$J$231,0)-1,0),0)</f>
        <v>215020001</v>
      </c>
      <c r="V102" s="11">
        <v>100</v>
      </c>
      <c r="W102" s="86" t="s">
        <v>607</v>
      </c>
      <c r="X102" s="9">
        <f ca="1">IFERROR(OFFSET(ITEM_RES!$A$5,MATCH(BUILDING!W102,ITEM_RES!$J$5:$J$231,0)-1,0),0)</f>
        <v>215030001</v>
      </c>
      <c r="Z102" s="9" t="s">
        <v>577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215080001</v>
      </c>
      <c r="AQ102" s="10" t="s">
        <v>493</v>
      </c>
      <c r="AR102" s="11">
        <v>5250</v>
      </c>
      <c r="AU102" s="11">
        <f ca="1">IFERROR(OFFSET(ITEM_RES!$A$1,MATCH(AV102,ITEM_RES!$J:$J,0)-1,0),0)</f>
        <v>215070001</v>
      </c>
      <c r="AV102" s="10" t="s">
        <v>467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382</v>
      </c>
      <c r="L103" s="9">
        <v>0</v>
      </c>
      <c r="M103" s="9">
        <v>15</v>
      </c>
      <c r="R103" s="9">
        <v>22</v>
      </c>
      <c r="T103" s="86" t="s">
        <v>608</v>
      </c>
      <c r="U103" s="9">
        <f ca="1">IFERROR(OFFSET(ITEM_RES!$A$5,MATCH(BUILDING!T103,ITEM_RES!$J$5:$J$231,0)-1,0),0)</f>
        <v>215020001</v>
      </c>
      <c r="V103" s="11">
        <v>100</v>
      </c>
      <c r="W103" s="86" t="s">
        <v>607</v>
      </c>
      <c r="X103" s="9">
        <f ca="1">IFERROR(OFFSET(ITEM_RES!$A$5,MATCH(BUILDING!W103,ITEM_RES!$J$5:$J$231,0)-1,0),0)</f>
        <v>215030001</v>
      </c>
      <c r="Z103" s="9" t="s">
        <v>577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215080001</v>
      </c>
      <c r="AQ103" s="10" t="s">
        <v>493</v>
      </c>
      <c r="AR103" s="11">
        <v>6250</v>
      </c>
      <c r="AU103" s="11">
        <f ca="1">IFERROR(OFFSET(ITEM_RES!$A$1,MATCH(AV103,ITEM_RES!$J:$J,0)-1,0),0)</f>
        <v>215070001</v>
      </c>
      <c r="AV103" s="10" t="s">
        <v>467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382</v>
      </c>
      <c r="L104" s="9">
        <v>0</v>
      </c>
      <c r="M104" s="9">
        <v>15</v>
      </c>
      <c r="R104" s="9">
        <v>22</v>
      </c>
      <c r="T104" s="86" t="s">
        <v>608</v>
      </c>
      <c r="U104" s="9">
        <f ca="1">IFERROR(OFFSET(ITEM_RES!$A$5,MATCH(BUILDING!T104,ITEM_RES!$J$5:$J$231,0)-1,0),0)</f>
        <v>215020001</v>
      </c>
      <c r="V104" s="11">
        <v>100</v>
      </c>
      <c r="W104" s="86" t="s">
        <v>607</v>
      </c>
      <c r="X104" s="9">
        <f ca="1">IFERROR(OFFSET(ITEM_RES!$A$5,MATCH(BUILDING!W104,ITEM_RES!$J$5:$J$231,0)-1,0),0)</f>
        <v>215030001</v>
      </c>
      <c r="Z104" s="9" t="s">
        <v>577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215080001</v>
      </c>
      <c r="AQ104" s="10" t="s">
        <v>493</v>
      </c>
      <c r="AR104" s="11">
        <v>7500</v>
      </c>
      <c r="AU104" s="11">
        <f ca="1">IFERROR(OFFSET(ITEM_RES!$A$1,MATCH(AV104,ITEM_RES!$J:$J,0)-1,0),0)</f>
        <v>215070001</v>
      </c>
      <c r="AV104" s="10" t="s">
        <v>467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380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615</v>
      </c>
      <c r="U105" s="16">
        <f ca="1">IFERROR(OFFSET(ITEM_RES!$A$5,MATCH(BUILDING!T105,ITEM_RES!$J$5:$J$231,0)-1,0),0)</f>
        <v>212020001</v>
      </c>
      <c r="V105" s="18">
        <v>10</v>
      </c>
      <c r="W105" s="88" t="s">
        <v>608</v>
      </c>
      <c r="X105" s="16">
        <f ca="1">IFERROR(OFFSET(ITEM_RES!$A$5,MATCH(BUILDING!W105,ITEM_RES!$J$5:$J$231,0)-1,0),0)</f>
        <v>215020001</v>
      </c>
      <c r="Y105" s="80"/>
      <c r="Z105" s="16" t="s">
        <v>578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211060001</v>
      </c>
      <c r="AQ105" s="17" t="s">
        <v>465</v>
      </c>
      <c r="AR105" s="18">
        <v>25</v>
      </c>
      <c r="AS105" s="17"/>
      <c r="AT105" s="18"/>
      <c r="AU105" s="18">
        <f ca="1">IFERROR(OFFSET(ITEM_RES!$A$1,MATCH(AV105,ITEM_RES!$J:$J,0)-1,0),0)</f>
        <v>212010001</v>
      </c>
      <c r="AV105" s="17" t="s">
        <v>456</v>
      </c>
      <c r="AW105" s="18">
        <v>25</v>
      </c>
      <c r="AX105" s="17"/>
      <c r="AY105" s="18"/>
      <c r="AZ105" s="18">
        <f ca="1">IFERROR(OFFSET(ITEM_RES!$A$1,MATCH(BA105,ITEM_RES!$J:$J,0)-1,0),0)</f>
        <v>213010001</v>
      </c>
      <c r="BA105" s="17" t="s">
        <v>495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380</v>
      </c>
      <c r="L106" s="9">
        <v>1</v>
      </c>
      <c r="M106" s="9">
        <v>15</v>
      </c>
      <c r="R106" s="9">
        <v>33</v>
      </c>
      <c r="T106" s="86" t="s">
        <v>429</v>
      </c>
      <c r="U106" s="9">
        <f ca="1">IFERROR(OFFSET(ITEM_RES!$A$5,MATCH(BUILDING!T106,ITEM_RES!$J$5:$J$231,0)-1,0),0)</f>
        <v>212020001</v>
      </c>
      <c r="V106" s="11">
        <v>10</v>
      </c>
      <c r="W106" s="86" t="s">
        <v>608</v>
      </c>
      <c r="X106" s="9">
        <f ca="1">IFERROR(OFFSET(ITEM_RES!$A$5,MATCH(BUILDING!W106,ITEM_RES!$J$5:$J$231,0)-1,0),0)</f>
        <v>215020001</v>
      </c>
      <c r="Z106" s="9" t="s">
        <v>578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211060001</v>
      </c>
      <c r="AQ106" s="10" t="s">
        <v>466</v>
      </c>
      <c r="AR106" s="11">
        <v>50</v>
      </c>
      <c r="AU106" s="11">
        <f ca="1">IFERROR(OFFSET(ITEM_RES!$A$1,MATCH(AV106,ITEM_RES!$J:$J,0)-1,0),0)</f>
        <v>212010001</v>
      </c>
      <c r="AV106" s="10" t="s">
        <v>456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380</v>
      </c>
      <c r="L107" s="9">
        <v>1</v>
      </c>
      <c r="M107" s="9">
        <v>15</v>
      </c>
      <c r="R107" s="9">
        <v>33</v>
      </c>
      <c r="T107" s="86" t="s">
        <v>429</v>
      </c>
      <c r="U107" s="9">
        <f ca="1">IFERROR(OFFSET(ITEM_RES!$A$5,MATCH(BUILDING!T107,ITEM_RES!$J$5:$J$231,0)-1,0),0)</f>
        <v>212020001</v>
      </c>
      <c r="V107" s="11">
        <v>10</v>
      </c>
      <c r="W107" s="86" t="s">
        <v>608</v>
      </c>
      <c r="X107" s="9">
        <f ca="1">IFERROR(OFFSET(ITEM_RES!$A$5,MATCH(BUILDING!W107,ITEM_RES!$J$5:$J$231,0)-1,0),0)</f>
        <v>215020001</v>
      </c>
      <c r="Z107" s="9" t="s">
        <v>578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211060001</v>
      </c>
      <c r="AQ107" s="10" t="s">
        <v>465</v>
      </c>
      <c r="AR107" s="11">
        <v>75</v>
      </c>
      <c r="AU107" s="11">
        <f ca="1">IFERROR(OFFSET(ITEM_RES!$A$1,MATCH(AV107,ITEM_RES!$J:$J,0)-1,0),0)</f>
        <v>212010001</v>
      </c>
      <c r="AV107" s="10" t="s">
        <v>456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380</v>
      </c>
      <c r="L108" s="9">
        <v>1</v>
      </c>
      <c r="M108" s="9">
        <v>15</v>
      </c>
      <c r="R108" s="9">
        <v>33</v>
      </c>
      <c r="T108" s="86" t="s">
        <v>429</v>
      </c>
      <c r="U108" s="9">
        <f ca="1">IFERROR(OFFSET(ITEM_RES!$A$5,MATCH(BUILDING!T108,ITEM_RES!$J$5:$J$231,0)-1,0),0)</f>
        <v>212020001</v>
      </c>
      <c r="V108" s="11">
        <v>10</v>
      </c>
      <c r="W108" s="86" t="s">
        <v>608</v>
      </c>
      <c r="X108" s="9">
        <f ca="1">IFERROR(OFFSET(ITEM_RES!$A$5,MATCH(BUILDING!W108,ITEM_RES!$J$5:$J$231,0)-1,0),0)</f>
        <v>215020001</v>
      </c>
      <c r="Z108" s="9" t="s">
        <v>578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211060001</v>
      </c>
      <c r="AQ108" s="10" t="s">
        <v>466</v>
      </c>
      <c r="AR108" s="11">
        <v>125</v>
      </c>
      <c r="AU108" s="11">
        <f ca="1">IFERROR(OFFSET(ITEM_RES!$A$1,MATCH(AV108,ITEM_RES!$J:$J,0)-1,0),0)</f>
        <v>212010001</v>
      </c>
      <c r="AV108" s="10" t="s">
        <v>456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380</v>
      </c>
      <c r="L109" s="9">
        <v>1</v>
      </c>
      <c r="M109" s="9">
        <v>15</v>
      </c>
      <c r="R109" s="9">
        <v>33</v>
      </c>
      <c r="T109" s="86" t="s">
        <v>429</v>
      </c>
      <c r="U109" s="9">
        <f ca="1">IFERROR(OFFSET(ITEM_RES!$A$5,MATCH(BUILDING!T109,ITEM_RES!$J$5:$J$231,0)-1,0),0)</f>
        <v>212020001</v>
      </c>
      <c r="V109" s="11">
        <v>10</v>
      </c>
      <c r="W109" s="86" t="s">
        <v>608</v>
      </c>
      <c r="X109" s="9">
        <f ca="1">IFERROR(OFFSET(ITEM_RES!$A$5,MATCH(BUILDING!W109,ITEM_RES!$J$5:$J$231,0)-1,0),0)</f>
        <v>215020001</v>
      </c>
      <c r="Z109" s="9" t="s">
        <v>578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211060001</v>
      </c>
      <c r="AQ109" s="10" t="s">
        <v>465</v>
      </c>
      <c r="AR109" s="11">
        <v>200</v>
      </c>
      <c r="AU109" s="11">
        <f ca="1">IFERROR(OFFSET(ITEM_RES!$A$1,MATCH(AV109,ITEM_RES!$J:$J,0)-1,0),0)</f>
        <v>212010001</v>
      </c>
      <c r="AV109" s="10" t="s">
        <v>456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380</v>
      </c>
      <c r="L110" s="9">
        <v>1</v>
      </c>
      <c r="M110" s="9">
        <v>15</v>
      </c>
      <c r="R110" s="9">
        <v>33</v>
      </c>
      <c r="T110" s="86" t="s">
        <v>429</v>
      </c>
      <c r="U110" s="9">
        <f ca="1">IFERROR(OFFSET(ITEM_RES!$A$5,MATCH(BUILDING!T110,ITEM_RES!$J$5:$J$231,0)-1,0),0)</f>
        <v>212020001</v>
      </c>
      <c r="V110" s="11">
        <v>10</v>
      </c>
      <c r="W110" s="86" t="s">
        <v>608</v>
      </c>
      <c r="X110" s="9">
        <f ca="1">IFERROR(OFFSET(ITEM_RES!$A$5,MATCH(BUILDING!W110,ITEM_RES!$J$5:$J$231,0)-1,0),0)</f>
        <v>215020001</v>
      </c>
      <c r="Z110" s="9" t="s">
        <v>578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211060001</v>
      </c>
      <c r="AQ110" s="10" t="s">
        <v>466</v>
      </c>
      <c r="AR110" s="11">
        <v>250</v>
      </c>
      <c r="AU110" s="11">
        <f ca="1">IFERROR(OFFSET(ITEM_RES!$A$1,MATCH(AV110,ITEM_RES!$J:$J,0)-1,0),0)</f>
        <v>212010001</v>
      </c>
      <c r="AV110" s="10" t="s">
        <v>456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380</v>
      </c>
      <c r="L111" s="9">
        <v>1</v>
      </c>
      <c r="M111" s="9">
        <v>15</v>
      </c>
      <c r="R111" s="9">
        <v>33</v>
      </c>
      <c r="T111" s="86" t="s">
        <v>429</v>
      </c>
      <c r="U111" s="9">
        <f ca="1">IFERROR(OFFSET(ITEM_RES!$A$5,MATCH(BUILDING!T111,ITEM_RES!$J$5:$J$231,0)-1,0),0)</f>
        <v>212020001</v>
      </c>
      <c r="V111" s="11">
        <v>10</v>
      </c>
      <c r="W111" s="86" t="s">
        <v>608</v>
      </c>
      <c r="X111" s="9">
        <f ca="1">IFERROR(OFFSET(ITEM_RES!$A$5,MATCH(BUILDING!W111,ITEM_RES!$J$5:$J$231,0)-1,0),0)</f>
        <v>215020001</v>
      </c>
      <c r="Z111" s="9" t="s">
        <v>578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211060001</v>
      </c>
      <c r="AQ111" s="10" t="s">
        <v>465</v>
      </c>
      <c r="AR111" s="11">
        <v>500</v>
      </c>
      <c r="AU111" s="11">
        <f ca="1">IFERROR(OFFSET(ITEM_RES!$A$1,MATCH(AV111,ITEM_RES!$J:$J,0)-1,0),0)</f>
        <v>212010001</v>
      </c>
      <c r="AV111" s="10" t="s">
        <v>456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380</v>
      </c>
      <c r="L112" s="9">
        <v>1</v>
      </c>
      <c r="M112" s="9">
        <v>15</v>
      </c>
      <c r="R112" s="9">
        <v>33</v>
      </c>
      <c r="T112" s="86" t="s">
        <v>429</v>
      </c>
      <c r="U112" s="9">
        <f ca="1">IFERROR(OFFSET(ITEM_RES!$A$5,MATCH(BUILDING!T112,ITEM_RES!$J$5:$J$231,0)-1,0),0)</f>
        <v>212020001</v>
      </c>
      <c r="V112" s="11">
        <v>10</v>
      </c>
      <c r="W112" s="86" t="s">
        <v>608</v>
      </c>
      <c r="X112" s="9">
        <f ca="1">IFERROR(OFFSET(ITEM_RES!$A$5,MATCH(BUILDING!W112,ITEM_RES!$J$5:$J$231,0)-1,0),0)</f>
        <v>215020001</v>
      </c>
      <c r="Z112" s="9" t="s">
        <v>578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211060001</v>
      </c>
      <c r="AQ112" s="10" t="s">
        <v>466</v>
      </c>
      <c r="AR112" s="11">
        <v>500</v>
      </c>
      <c r="AU112" s="11">
        <f ca="1">IFERROR(OFFSET(ITEM_RES!$A$1,MATCH(AV112,ITEM_RES!$J:$J,0)-1,0),0)</f>
        <v>212010001</v>
      </c>
      <c r="AV112" s="10" t="s">
        <v>456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380</v>
      </c>
      <c r="L113" s="9">
        <v>1</v>
      </c>
      <c r="M113" s="9">
        <v>15</v>
      </c>
      <c r="R113" s="9">
        <v>33</v>
      </c>
      <c r="T113" s="86" t="s">
        <v>429</v>
      </c>
      <c r="U113" s="9">
        <f ca="1">IFERROR(OFFSET(ITEM_RES!$A$5,MATCH(BUILDING!T113,ITEM_RES!$J$5:$J$231,0)-1,0),0)</f>
        <v>212020001</v>
      </c>
      <c r="V113" s="11">
        <v>10</v>
      </c>
      <c r="W113" s="86" t="s">
        <v>608</v>
      </c>
      <c r="X113" s="9">
        <f ca="1">IFERROR(OFFSET(ITEM_RES!$A$5,MATCH(BUILDING!W113,ITEM_RES!$J$5:$J$231,0)-1,0),0)</f>
        <v>215020001</v>
      </c>
      <c r="Z113" s="9" t="s">
        <v>578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211060001</v>
      </c>
      <c r="AQ113" s="10" t="s">
        <v>465</v>
      </c>
      <c r="AR113" s="11">
        <v>750</v>
      </c>
      <c r="AU113" s="11">
        <f ca="1">IFERROR(OFFSET(ITEM_RES!$A$1,MATCH(AV113,ITEM_RES!$J:$J,0)-1,0),0)</f>
        <v>212010001</v>
      </c>
      <c r="AV113" s="10" t="s">
        <v>456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380</v>
      </c>
      <c r="L114" s="9">
        <v>1</v>
      </c>
      <c r="M114" s="9">
        <v>15</v>
      </c>
      <c r="R114" s="9">
        <v>33</v>
      </c>
      <c r="T114" s="86" t="s">
        <v>429</v>
      </c>
      <c r="U114" s="9">
        <f ca="1">IFERROR(OFFSET(ITEM_RES!$A$5,MATCH(BUILDING!T114,ITEM_RES!$J$5:$J$231,0)-1,0),0)</f>
        <v>212020001</v>
      </c>
      <c r="V114" s="11">
        <v>10</v>
      </c>
      <c r="W114" s="86" t="s">
        <v>608</v>
      </c>
      <c r="X114" s="9">
        <f ca="1">IFERROR(OFFSET(ITEM_RES!$A$5,MATCH(BUILDING!W114,ITEM_RES!$J$5:$J$231,0)-1,0),0)</f>
        <v>215020001</v>
      </c>
      <c r="Z114" s="9" t="s">
        <v>578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211060001</v>
      </c>
      <c r="AQ114" s="10" t="s">
        <v>466</v>
      </c>
      <c r="AR114" s="11">
        <v>1000</v>
      </c>
      <c r="AU114" s="11">
        <f ca="1">IFERROR(OFFSET(ITEM_RES!$A$1,MATCH(AV114,ITEM_RES!$J:$J,0)-1,0),0)</f>
        <v>212010001</v>
      </c>
      <c r="AV114" s="10" t="s">
        <v>456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380</v>
      </c>
      <c r="L115" s="9">
        <v>1</v>
      </c>
      <c r="M115" s="9">
        <v>15</v>
      </c>
      <c r="R115" s="9">
        <v>33</v>
      </c>
      <c r="T115" s="86" t="s">
        <v>429</v>
      </c>
      <c r="U115" s="9">
        <f ca="1">IFERROR(OFFSET(ITEM_RES!$A$5,MATCH(BUILDING!T115,ITEM_RES!$J$5:$J$231,0)-1,0),0)</f>
        <v>212020001</v>
      </c>
      <c r="V115" s="11">
        <v>10</v>
      </c>
      <c r="W115" s="86" t="s">
        <v>608</v>
      </c>
      <c r="X115" s="9">
        <f ca="1">IFERROR(OFFSET(ITEM_RES!$A$5,MATCH(BUILDING!W115,ITEM_RES!$J$5:$J$231,0)-1,0),0)</f>
        <v>215020001</v>
      </c>
      <c r="Z115" s="9" t="s">
        <v>578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215060001</v>
      </c>
      <c r="AQ115" s="10" t="s">
        <v>492</v>
      </c>
      <c r="AR115" s="11">
        <v>1250</v>
      </c>
      <c r="AU115" s="11">
        <f ca="1">IFERROR(OFFSET(ITEM_RES!$A$1,MATCH(AV115,ITEM_RES!$J:$J,0)-1,0),0)</f>
        <v>212010001</v>
      </c>
      <c r="AV115" s="10" t="s">
        <v>456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380</v>
      </c>
      <c r="L116" s="9">
        <v>1</v>
      </c>
      <c r="M116" s="9">
        <v>15</v>
      </c>
      <c r="R116" s="9">
        <v>33</v>
      </c>
      <c r="T116" s="86" t="s">
        <v>429</v>
      </c>
      <c r="U116" s="9">
        <f ca="1">IFERROR(OFFSET(ITEM_RES!$A$5,MATCH(BUILDING!T116,ITEM_RES!$J$5:$J$231,0)-1,0),0)</f>
        <v>212020001</v>
      </c>
      <c r="V116" s="11">
        <v>10</v>
      </c>
      <c r="W116" s="86" t="s">
        <v>608</v>
      </c>
      <c r="X116" s="9">
        <f ca="1">IFERROR(OFFSET(ITEM_RES!$A$5,MATCH(BUILDING!W116,ITEM_RES!$J$5:$J$231,0)-1,0),0)</f>
        <v>215020001</v>
      </c>
      <c r="Z116" s="9" t="s">
        <v>578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215060001</v>
      </c>
      <c r="AQ116" s="10" t="s">
        <v>492</v>
      </c>
      <c r="AR116" s="11">
        <v>1500</v>
      </c>
      <c r="AU116" s="11">
        <f ca="1">IFERROR(OFFSET(ITEM_RES!$A$1,MATCH(AV116,ITEM_RES!$J:$J,0)-1,0),0)</f>
        <v>212010001</v>
      </c>
      <c r="AV116" s="10" t="s">
        <v>456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380</v>
      </c>
      <c r="L117" s="9">
        <v>1</v>
      </c>
      <c r="M117" s="9">
        <v>15</v>
      </c>
      <c r="R117" s="9">
        <v>33</v>
      </c>
      <c r="T117" s="86" t="s">
        <v>429</v>
      </c>
      <c r="U117" s="9">
        <f ca="1">IFERROR(OFFSET(ITEM_RES!$A$5,MATCH(BUILDING!T117,ITEM_RES!$J$5:$J$231,0)-1,0),0)</f>
        <v>212020001</v>
      </c>
      <c r="V117" s="11">
        <v>10</v>
      </c>
      <c r="W117" s="86" t="s">
        <v>608</v>
      </c>
      <c r="X117" s="9">
        <f ca="1">IFERROR(OFFSET(ITEM_RES!$A$5,MATCH(BUILDING!W117,ITEM_RES!$J$5:$J$231,0)-1,0),0)</f>
        <v>215020001</v>
      </c>
      <c r="Z117" s="9" t="s">
        <v>578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215060001</v>
      </c>
      <c r="AQ117" s="10" t="s">
        <v>492</v>
      </c>
      <c r="AR117" s="11">
        <v>1750</v>
      </c>
      <c r="AU117" s="11">
        <f ca="1">IFERROR(OFFSET(ITEM_RES!$A$1,MATCH(AV117,ITEM_RES!$J:$J,0)-1,0),0)</f>
        <v>212010001</v>
      </c>
      <c r="AV117" s="10" t="s">
        <v>456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380</v>
      </c>
      <c r="L118" s="9">
        <v>1</v>
      </c>
      <c r="M118" s="9">
        <v>15</v>
      </c>
      <c r="R118" s="9">
        <v>33</v>
      </c>
      <c r="T118" s="86" t="s">
        <v>429</v>
      </c>
      <c r="U118" s="9">
        <f ca="1">IFERROR(OFFSET(ITEM_RES!$A$5,MATCH(BUILDING!T118,ITEM_RES!$J$5:$J$231,0)-1,0),0)</f>
        <v>212020001</v>
      </c>
      <c r="V118" s="11">
        <v>10</v>
      </c>
      <c r="W118" s="86" t="s">
        <v>608</v>
      </c>
      <c r="X118" s="9">
        <f ca="1">IFERROR(OFFSET(ITEM_RES!$A$5,MATCH(BUILDING!W118,ITEM_RES!$J$5:$J$231,0)-1,0),0)</f>
        <v>215020001</v>
      </c>
      <c r="Z118" s="9" t="s">
        <v>578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215060001</v>
      </c>
      <c r="AQ118" s="10" t="s">
        <v>492</v>
      </c>
      <c r="AR118" s="11">
        <v>2250</v>
      </c>
      <c r="AU118" s="11">
        <f ca="1">IFERROR(OFFSET(ITEM_RES!$A$1,MATCH(AV118,ITEM_RES!$J:$J,0)-1,0),0)</f>
        <v>212010001</v>
      </c>
      <c r="AV118" s="10" t="s">
        <v>456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380</v>
      </c>
      <c r="L119" s="9">
        <v>1</v>
      </c>
      <c r="M119" s="9">
        <v>15</v>
      </c>
      <c r="R119" s="9">
        <v>33</v>
      </c>
      <c r="T119" s="86" t="s">
        <v>429</v>
      </c>
      <c r="U119" s="9">
        <f ca="1">IFERROR(OFFSET(ITEM_RES!$A$5,MATCH(BUILDING!T119,ITEM_RES!$J$5:$J$231,0)-1,0),0)</f>
        <v>212020001</v>
      </c>
      <c r="V119" s="11">
        <v>10</v>
      </c>
      <c r="W119" s="86" t="s">
        <v>608</v>
      </c>
      <c r="X119" s="9">
        <f ca="1">IFERROR(OFFSET(ITEM_RES!$A$5,MATCH(BUILDING!W119,ITEM_RES!$J$5:$J$231,0)-1,0),0)</f>
        <v>215020001</v>
      </c>
      <c r="Z119" s="9" t="s">
        <v>578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215060001</v>
      </c>
      <c r="AQ119" s="10" t="s">
        <v>492</v>
      </c>
      <c r="AR119" s="11">
        <v>2750</v>
      </c>
      <c r="AU119" s="11">
        <f ca="1">IFERROR(OFFSET(ITEM_RES!$A$1,MATCH(AV119,ITEM_RES!$J:$J,0)-1,0),0)</f>
        <v>215070001</v>
      </c>
      <c r="AV119" s="10" t="s">
        <v>457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380</v>
      </c>
      <c r="L120" s="9">
        <v>0</v>
      </c>
      <c r="M120" s="9">
        <v>15</v>
      </c>
      <c r="R120" s="9">
        <v>33</v>
      </c>
      <c r="T120" s="86" t="s">
        <v>429</v>
      </c>
      <c r="U120" s="9">
        <f ca="1">IFERROR(OFFSET(ITEM_RES!$A$5,MATCH(BUILDING!T120,ITEM_RES!$J$5:$J$231,0)-1,0),0)</f>
        <v>212020001</v>
      </c>
      <c r="V120" s="11">
        <v>10</v>
      </c>
      <c r="W120" s="86" t="s">
        <v>608</v>
      </c>
      <c r="X120" s="9">
        <f ca="1">IFERROR(OFFSET(ITEM_RES!$A$5,MATCH(BUILDING!W120,ITEM_RES!$J$5:$J$231,0)-1,0),0)</f>
        <v>215020001</v>
      </c>
      <c r="Z120" s="9" t="s">
        <v>578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215060001</v>
      </c>
      <c r="AQ120" s="10" t="s">
        <v>492</v>
      </c>
      <c r="AR120" s="11">
        <v>3500</v>
      </c>
      <c r="AU120" s="11">
        <f ca="1">IFERROR(OFFSET(ITEM_RES!$A$1,MATCH(AV120,ITEM_RES!$J:$J,0)-1,0),0)</f>
        <v>215070001</v>
      </c>
      <c r="AV120" s="10" t="s">
        <v>457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380</v>
      </c>
      <c r="L121" s="9">
        <v>0</v>
      </c>
      <c r="M121" s="9">
        <v>15</v>
      </c>
      <c r="R121" s="9">
        <v>33</v>
      </c>
      <c r="T121" s="86" t="s">
        <v>429</v>
      </c>
      <c r="U121" s="9">
        <f ca="1">IFERROR(OFFSET(ITEM_RES!$A$5,MATCH(BUILDING!T121,ITEM_RES!$J$5:$J$231,0)-1,0),0)</f>
        <v>212020001</v>
      </c>
      <c r="V121" s="11">
        <v>10</v>
      </c>
      <c r="W121" s="86" t="s">
        <v>608</v>
      </c>
      <c r="X121" s="9">
        <f ca="1">IFERROR(OFFSET(ITEM_RES!$A$5,MATCH(BUILDING!W121,ITEM_RES!$J$5:$J$231,0)-1,0),0)</f>
        <v>215020001</v>
      </c>
      <c r="Z121" s="9" t="s">
        <v>578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211070001</v>
      </c>
      <c r="AQ121" s="10" t="s">
        <v>480</v>
      </c>
      <c r="AR121" s="11">
        <v>4250</v>
      </c>
      <c r="AU121" s="11">
        <f ca="1">IFERROR(OFFSET(ITEM_RES!$A$1,MATCH(AV121,ITEM_RES!$J:$J,0)-1,0),0)</f>
        <v>215070001</v>
      </c>
      <c r="AV121" s="10" t="s">
        <v>457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380</v>
      </c>
      <c r="L122" s="9">
        <v>0</v>
      </c>
      <c r="M122" s="9">
        <v>15</v>
      </c>
      <c r="R122" s="9">
        <v>33</v>
      </c>
      <c r="T122" s="86" t="s">
        <v>429</v>
      </c>
      <c r="U122" s="9">
        <f ca="1">IFERROR(OFFSET(ITEM_RES!$A$5,MATCH(BUILDING!T122,ITEM_RES!$J$5:$J$231,0)-1,0),0)</f>
        <v>212020001</v>
      </c>
      <c r="V122" s="11">
        <v>10</v>
      </c>
      <c r="W122" s="86" t="s">
        <v>608</v>
      </c>
      <c r="X122" s="9">
        <f ca="1">IFERROR(OFFSET(ITEM_RES!$A$5,MATCH(BUILDING!W122,ITEM_RES!$J$5:$J$231,0)-1,0),0)</f>
        <v>215020001</v>
      </c>
      <c r="Z122" s="9" t="s">
        <v>578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215080001</v>
      </c>
      <c r="AQ122" s="10" t="s">
        <v>493</v>
      </c>
      <c r="AR122" s="11">
        <v>5250</v>
      </c>
      <c r="AU122" s="11">
        <f ca="1">IFERROR(OFFSET(ITEM_RES!$A$1,MATCH(AV122,ITEM_RES!$J:$J,0)-1,0),0)</f>
        <v>215070001</v>
      </c>
      <c r="AV122" s="10" t="s">
        <v>457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380</v>
      </c>
      <c r="L123" s="9">
        <v>0</v>
      </c>
      <c r="M123" s="9">
        <v>15</v>
      </c>
      <c r="R123" s="9">
        <v>33</v>
      </c>
      <c r="T123" s="86" t="s">
        <v>429</v>
      </c>
      <c r="U123" s="9">
        <f ca="1">IFERROR(OFFSET(ITEM_RES!$A$5,MATCH(BUILDING!T123,ITEM_RES!$J$5:$J$231,0)-1,0),0)</f>
        <v>212020001</v>
      </c>
      <c r="V123" s="11">
        <v>10</v>
      </c>
      <c r="W123" s="86" t="s">
        <v>608</v>
      </c>
      <c r="X123" s="9">
        <f ca="1">IFERROR(OFFSET(ITEM_RES!$A$5,MATCH(BUILDING!W123,ITEM_RES!$J$5:$J$231,0)-1,0),0)</f>
        <v>215020001</v>
      </c>
      <c r="Z123" s="9" t="s">
        <v>578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215080001</v>
      </c>
      <c r="AQ123" s="10" t="s">
        <v>493</v>
      </c>
      <c r="AR123" s="11">
        <v>6250</v>
      </c>
      <c r="AU123" s="11">
        <f ca="1">IFERROR(OFFSET(ITEM_RES!$A$1,MATCH(AV123,ITEM_RES!$J:$J,0)-1,0),0)</f>
        <v>215070001</v>
      </c>
      <c r="AV123" s="10" t="s">
        <v>457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380</v>
      </c>
      <c r="L124" s="9">
        <v>0</v>
      </c>
      <c r="M124" s="9">
        <v>15</v>
      </c>
      <c r="R124" s="9">
        <v>33</v>
      </c>
      <c r="T124" s="86" t="s">
        <v>429</v>
      </c>
      <c r="U124" s="9">
        <f ca="1">IFERROR(OFFSET(ITEM_RES!$A$5,MATCH(BUILDING!T124,ITEM_RES!$J$5:$J$231,0)-1,0),0)</f>
        <v>212020001</v>
      </c>
      <c r="V124" s="11">
        <v>10</v>
      </c>
      <c r="W124" s="86" t="s">
        <v>608</v>
      </c>
      <c r="X124" s="9">
        <f ca="1">IFERROR(OFFSET(ITEM_RES!$A$5,MATCH(BUILDING!W124,ITEM_RES!$J$5:$J$231,0)-1,0),0)</f>
        <v>215020001</v>
      </c>
      <c r="Z124" s="9" t="s">
        <v>578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215080001</v>
      </c>
      <c r="AQ124" s="10" t="s">
        <v>493</v>
      </c>
      <c r="AR124" s="11">
        <v>7500</v>
      </c>
      <c r="AU124" s="11">
        <f ca="1">IFERROR(OFFSET(ITEM_RES!$A$1,MATCH(AV124,ITEM_RES!$J:$J,0)-1,0),0)</f>
        <v>215070001</v>
      </c>
      <c r="AV124" s="10" t="s">
        <v>457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362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IFERROR(OFFSET(ITEM_RES!$A$5,MATCH(BUILDING!T125,ITEM_RES!$J$5:$J$231,0)-1,0),0)</f>
        <v>0</v>
      </c>
      <c r="V125" s="18"/>
      <c r="W125" s="88" t="s">
        <v>609</v>
      </c>
      <c r="X125" s="16">
        <f ca="1">IFERROR(OFFSET(ITEM_RES!$A$5,MATCH(BUILDING!W125,ITEM_RES!$J$5:$J$231,0)-1,0),0)</f>
        <v>211050001</v>
      </c>
      <c r="Y125" s="80"/>
      <c r="Z125" s="16" t="s">
        <v>579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212010001</v>
      </c>
      <c r="AQ125" s="17" t="s">
        <v>471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213010001</v>
      </c>
      <c r="BA125" s="17" t="s">
        <v>495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362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IFERROR(OFFSET(ITEM_RES!$A$5,MATCH(BUILDING!T126,ITEM_RES!$J$5:$J$231,0)-1,0),0)</f>
        <v>0</v>
      </c>
      <c r="W126" s="86" t="s">
        <v>609</v>
      </c>
      <c r="X126" s="9">
        <f ca="1">IFERROR(OFFSET(ITEM_RES!$A$5,MATCH(BUILDING!W126,ITEM_RES!$J$5:$J$231,0)-1,0),0)</f>
        <v>211050001</v>
      </c>
      <c r="Z126" s="9" t="s">
        <v>579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212010001</v>
      </c>
      <c r="AQ126" s="10" t="s">
        <v>471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362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IFERROR(OFFSET(ITEM_RES!$A$5,MATCH(BUILDING!T127,ITEM_RES!$J$5:$J$231,0)-1,0),0)</f>
        <v>0</v>
      </c>
      <c r="W127" s="86" t="s">
        <v>609</v>
      </c>
      <c r="X127" s="9">
        <f ca="1">IFERROR(OFFSET(ITEM_RES!$A$5,MATCH(BUILDING!W127,ITEM_RES!$J$5:$J$231,0)-1,0),0)</f>
        <v>211050001</v>
      </c>
      <c r="Z127" s="9" t="s">
        <v>579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212010001</v>
      </c>
      <c r="AQ127" s="10" t="s">
        <v>471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362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IFERROR(OFFSET(ITEM_RES!$A$5,MATCH(BUILDING!T128,ITEM_RES!$J$5:$J$231,0)-1,0),0)</f>
        <v>0</v>
      </c>
      <c r="W128" s="86" t="s">
        <v>609</v>
      </c>
      <c r="X128" s="9">
        <f ca="1">IFERROR(OFFSET(ITEM_RES!$A$5,MATCH(BUILDING!W128,ITEM_RES!$J$5:$J$231,0)-1,0),0)</f>
        <v>211050001</v>
      </c>
      <c r="Z128" s="9" t="s">
        <v>579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212010001</v>
      </c>
      <c r="AQ128" s="10" t="s">
        <v>471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362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IFERROR(OFFSET(ITEM_RES!$A$5,MATCH(BUILDING!T129,ITEM_RES!$J$5:$J$231,0)-1,0),0)</f>
        <v>0</v>
      </c>
      <c r="W129" s="86" t="s">
        <v>609</v>
      </c>
      <c r="X129" s="9">
        <f ca="1">IFERROR(OFFSET(ITEM_RES!$A$5,MATCH(BUILDING!W129,ITEM_RES!$J$5:$J$231,0)-1,0),0)</f>
        <v>211050001</v>
      </c>
      <c r="Z129" s="9" t="s">
        <v>579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212010001</v>
      </c>
      <c r="AQ129" s="10" t="s">
        <v>471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362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IFERROR(OFFSET(ITEM_RES!$A$5,MATCH(BUILDING!T130,ITEM_RES!$J$5:$J$231,0)-1,0),0)</f>
        <v>0</v>
      </c>
      <c r="W130" s="86" t="s">
        <v>609</v>
      </c>
      <c r="X130" s="9">
        <f ca="1">IFERROR(OFFSET(ITEM_RES!$A$5,MATCH(BUILDING!W130,ITEM_RES!$J$5:$J$231,0)-1,0),0)</f>
        <v>211050001</v>
      </c>
      <c r="Z130" s="9" t="s">
        <v>579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212010001</v>
      </c>
      <c r="AQ130" s="10" t="s">
        <v>471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362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IFERROR(OFFSET(ITEM_RES!$A$5,MATCH(BUILDING!T131,ITEM_RES!$J$5:$J$231,0)-1,0),0)</f>
        <v>0</v>
      </c>
      <c r="W131" s="86" t="s">
        <v>609</v>
      </c>
      <c r="X131" s="9">
        <f ca="1">IFERROR(OFFSET(ITEM_RES!$A$5,MATCH(BUILDING!W131,ITEM_RES!$J$5:$J$231,0)-1,0),0)</f>
        <v>211050001</v>
      </c>
      <c r="Z131" s="9" t="s">
        <v>579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212010001</v>
      </c>
      <c r="AQ131" s="10" t="s">
        <v>471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362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IFERROR(OFFSET(ITEM_RES!$A$5,MATCH(BUILDING!T132,ITEM_RES!$J$5:$J$231,0)-1,0),0)</f>
        <v>0</v>
      </c>
      <c r="W132" s="86" t="s">
        <v>609</v>
      </c>
      <c r="X132" s="9">
        <f ca="1">IFERROR(OFFSET(ITEM_RES!$A$5,MATCH(BUILDING!W132,ITEM_RES!$J$5:$J$231,0)-1,0),0)</f>
        <v>211050001</v>
      </c>
      <c r="Z132" s="9" t="s">
        <v>579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212010001</v>
      </c>
      <c r="AQ132" s="10" t="s">
        <v>471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362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IFERROR(OFFSET(ITEM_RES!$A$5,MATCH(BUILDING!T133,ITEM_RES!$J$5:$J$231,0)-1,0),0)</f>
        <v>0</v>
      </c>
      <c r="W133" s="86" t="s">
        <v>609</v>
      </c>
      <c r="X133" s="9">
        <f ca="1">IFERROR(OFFSET(ITEM_RES!$A$5,MATCH(BUILDING!W133,ITEM_RES!$J$5:$J$231,0)-1,0),0)</f>
        <v>211050001</v>
      </c>
      <c r="Z133" s="9" t="s">
        <v>579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212010001</v>
      </c>
      <c r="AQ133" s="10" t="s">
        <v>471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362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IFERROR(OFFSET(ITEM_RES!$A$5,MATCH(BUILDING!T134,ITEM_RES!$J$5:$J$231,0)-1,0),0)</f>
        <v>0</v>
      </c>
      <c r="W134" s="86" t="s">
        <v>609</v>
      </c>
      <c r="X134" s="9">
        <f ca="1">IFERROR(OFFSET(ITEM_RES!$A$5,MATCH(BUILDING!W134,ITEM_RES!$J$5:$J$231,0)-1,0),0)</f>
        <v>211050001</v>
      </c>
      <c r="Z134" s="9" t="s">
        <v>579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212010001</v>
      </c>
      <c r="AQ134" s="10" t="s">
        <v>471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362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IFERROR(OFFSET(ITEM_RES!$A$5,MATCH(BUILDING!T135,ITEM_RES!$J$5:$J$231,0)-1,0),0)</f>
        <v>0</v>
      </c>
      <c r="W135" s="86" t="s">
        <v>609</v>
      </c>
      <c r="X135" s="9">
        <f ca="1">IFERROR(OFFSET(ITEM_RES!$A$5,MATCH(BUILDING!W135,ITEM_RES!$J$5:$J$231,0)-1,0),0)</f>
        <v>211050001</v>
      </c>
      <c r="Z135" s="9" t="s">
        <v>579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215070001</v>
      </c>
      <c r="AQ135" s="10" t="s">
        <v>467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362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IFERROR(OFFSET(ITEM_RES!$A$5,MATCH(BUILDING!T136,ITEM_RES!$J$5:$J$231,0)-1,0),0)</f>
        <v>0</v>
      </c>
      <c r="W136" s="86" t="s">
        <v>609</v>
      </c>
      <c r="X136" s="9">
        <f ca="1">IFERROR(OFFSET(ITEM_RES!$A$5,MATCH(BUILDING!W136,ITEM_RES!$J$5:$J$231,0)-1,0),0)</f>
        <v>211050001</v>
      </c>
      <c r="Z136" s="9" t="s">
        <v>579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215070001</v>
      </c>
      <c r="AQ136" s="10" t="s">
        <v>467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362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IFERROR(OFFSET(ITEM_RES!$A$5,MATCH(BUILDING!T137,ITEM_RES!$J$5:$J$231,0)-1,0),0)</f>
        <v>0</v>
      </c>
      <c r="W137" s="86" t="s">
        <v>609</v>
      </c>
      <c r="X137" s="9">
        <f ca="1">IFERROR(OFFSET(ITEM_RES!$A$5,MATCH(BUILDING!W137,ITEM_RES!$J$5:$J$231,0)-1,0),0)</f>
        <v>211050001</v>
      </c>
      <c r="Z137" s="9" t="s">
        <v>579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215070001</v>
      </c>
      <c r="AQ137" s="10" t="s">
        <v>467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362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IFERROR(OFFSET(ITEM_RES!$A$5,MATCH(BUILDING!T138,ITEM_RES!$J$5:$J$231,0)-1,0),0)</f>
        <v>0</v>
      </c>
      <c r="W138" s="86" t="s">
        <v>609</v>
      </c>
      <c r="X138" s="9">
        <f ca="1">IFERROR(OFFSET(ITEM_RES!$A$5,MATCH(BUILDING!W138,ITEM_RES!$J$5:$J$231,0)-1,0),0)</f>
        <v>211050001</v>
      </c>
      <c r="Z138" s="9" t="s">
        <v>579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215070001</v>
      </c>
      <c r="AQ138" s="10" t="s">
        <v>467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362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IFERROR(OFFSET(ITEM_RES!$A$5,MATCH(BUILDING!T139,ITEM_RES!$J$5:$J$231,0)-1,0),0)</f>
        <v>0</v>
      </c>
      <c r="W139" s="86" t="s">
        <v>609</v>
      </c>
      <c r="X139" s="9">
        <f ca="1">IFERROR(OFFSET(ITEM_RES!$A$5,MATCH(BUILDING!W139,ITEM_RES!$J$5:$J$231,0)-1,0),0)</f>
        <v>211050001</v>
      </c>
      <c r="Z139" s="9" t="s">
        <v>579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215070001</v>
      </c>
      <c r="AQ139" s="10" t="s">
        <v>467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362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IFERROR(OFFSET(ITEM_RES!$A$5,MATCH(BUILDING!T140,ITEM_RES!$J$5:$J$231,0)-1,0),0)</f>
        <v>0</v>
      </c>
      <c r="W140" s="86" t="s">
        <v>609</v>
      </c>
      <c r="X140" s="9">
        <f ca="1">IFERROR(OFFSET(ITEM_RES!$A$5,MATCH(BUILDING!W140,ITEM_RES!$J$5:$J$231,0)-1,0),0)</f>
        <v>211050001</v>
      </c>
      <c r="Z140" s="9" t="s">
        <v>579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215070001</v>
      </c>
      <c r="AQ140" s="10" t="s">
        <v>467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362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IFERROR(OFFSET(ITEM_RES!$A$5,MATCH(BUILDING!T141,ITEM_RES!$J$5:$J$231,0)-1,0),0)</f>
        <v>0</v>
      </c>
      <c r="W141" s="86" t="s">
        <v>609</v>
      </c>
      <c r="X141" s="9">
        <f ca="1">IFERROR(OFFSET(ITEM_RES!$A$5,MATCH(BUILDING!W141,ITEM_RES!$J$5:$J$231,0)-1,0),0)</f>
        <v>211050001</v>
      </c>
      <c r="Z141" s="9" t="s">
        <v>579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215070001</v>
      </c>
      <c r="AQ141" s="10" t="s">
        <v>467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362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IFERROR(OFFSET(ITEM_RES!$A$5,MATCH(BUILDING!T142,ITEM_RES!$J$5:$J$231,0)-1,0),0)</f>
        <v>0</v>
      </c>
      <c r="W142" s="86" t="s">
        <v>609</v>
      </c>
      <c r="X142" s="9">
        <f ca="1">IFERROR(OFFSET(ITEM_RES!$A$5,MATCH(BUILDING!W142,ITEM_RES!$J$5:$J$231,0)-1,0),0)</f>
        <v>211050001</v>
      </c>
      <c r="Z142" s="9" t="s">
        <v>579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215070001</v>
      </c>
      <c r="AQ142" s="10" t="s">
        <v>467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362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IFERROR(OFFSET(ITEM_RES!$A$5,MATCH(BUILDING!T143,ITEM_RES!$J$5:$J$231,0)-1,0),0)</f>
        <v>0</v>
      </c>
      <c r="W143" s="86" t="s">
        <v>609</v>
      </c>
      <c r="X143" s="9">
        <f ca="1">IFERROR(OFFSET(ITEM_RES!$A$5,MATCH(BUILDING!W143,ITEM_RES!$J$5:$J$231,0)-1,0),0)</f>
        <v>211050001</v>
      </c>
      <c r="Z143" s="9" t="s">
        <v>579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215070001</v>
      </c>
      <c r="AQ143" s="10" t="s">
        <v>467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362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IFERROR(OFFSET(ITEM_RES!$A$5,MATCH(BUILDING!T144,ITEM_RES!$J$5:$J$231,0)-1,0),0)</f>
        <v>0</v>
      </c>
      <c r="W144" s="86" t="s">
        <v>609</v>
      </c>
      <c r="X144" s="9">
        <f ca="1">IFERROR(OFFSET(ITEM_RES!$A$5,MATCH(BUILDING!W144,ITEM_RES!$J$5:$J$231,0)-1,0),0)</f>
        <v>211050001</v>
      </c>
      <c r="Z144" s="9" t="s">
        <v>579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215070001</v>
      </c>
      <c r="AQ144" s="10" t="s">
        <v>467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361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IFERROR(OFFSET(ITEM_RES!$A$5,MATCH(BUILDING!T145,ITEM_RES!$J$5:$J$231,0)-1,0),0)</f>
        <v>0</v>
      </c>
      <c r="V145" s="18"/>
      <c r="W145" s="88" t="s">
        <v>609</v>
      </c>
      <c r="X145" s="16">
        <f ca="1">IFERROR(OFFSET(ITEM_RES!$A$5,MATCH(BUILDING!W145,ITEM_RES!$J$5:$J$231,0)-1,0),0)</f>
        <v>211050001</v>
      </c>
      <c r="Y145" s="80"/>
      <c r="Z145" s="16" t="s">
        <v>580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212040001</v>
      </c>
      <c r="AQ145" s="17" t="s">
        <v>469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213010001</v>
      </c>
      <c r="BA145" s="17" t="s">
        <v>495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361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IFERROR(OFFSET(ITEM_RES!$A$5,MATCH(BUILDING!T146,ITEM_RES!$J$5:$J$231,0)-1,0),0)</f>
        <v>0</v>
      </c>
      <c r="W146" s="86" t="s">
        <v>609</v>
      </c>
      <c r="X146" s="9">
        <f ca="1">IFERROR(OFFSET(ITEM_RES!$A$5,MATCH(BUILDING!W146,ITEM_RES!$J$5:$J$231,0)-1,0),0)</f>
        <v>211050001</v>
      </c>
      <c r="Z146" s="9" t="s">
        <v>580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212040001</v>
      </c>
      <c r="AQ146" s="10" t="s">
        <v>469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361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IFERROR(OFFSET(ITEM_RES!$A$5,MATCH(BUILDING!T147,ITEM_RES!$J$5:$J$231,0)-1,0),0)</f>
        <v>0</v>
      </c>
      <c r="W147" s="86" t="s">
        <v>609</v>
      </c>
      <c r="X147" s="9">
        <f ca="1">IFERROR(OFFSET(ITEM_RES!$A$5,MATCH(BUILDING!W147,ITEM_RES!$J$5:$J$231,0)-1,0),0)</f>
        <v>211050001</v>
      </c>
      <c r="Z147" s="9" t="s">
        <v>580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212040001</v>
      </c>
      <c r="AQ147" s="10" t="s">
        <v>469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361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IFERROR(OFFSET(ITEM_RES!$A$5,MATCH(BUILDING!T148,ITEM_RES!$J$5:$J$231,0)-1,0),0)</f>
        <v>0</v>
      </c>
      <c r="W148" s="86" t="s">
        <v>609</v>
      </c>
      <c r="X148" s="9">
        <f ca="1">IFERROR(OFFSET(ITEM_RES!$A$5,MATCH(BUILDING!W148,ITEM_RES!$J$5:$J$231,0)-1,0),0)</f>
        <v>211050001</v>
      </c>
      <c r="Z148" s="9" t="s">
        <v>580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212040001</v>
      </c>
      <c r="AQ148" s="10" t="s">
        <v>469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361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IFERROR(OFFSET(ITEM_RES!$A$5,MATCH(BUILDING!T149,ITEM_RES!$J$5:$J$231,0)-1,0),0)</f>
        <v>0</v>
      </c>
      <c r="W149" s="86" t="s">
        <v>609</v>
      </c>
      <c r="X149" s="9">
        <f ca="1">IFERROR(OFFSET(ITEM_RES!$A$5,MATCH(BUILDING!W149,ITEM_RES!$J$5:$J$231,0)-1,0),0)</f>
        <v>211050001</v>
      </c>
      <c r="Z149" s="9" t="s">
        <v>580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212040001</v>
      </c>
      <c r="AQ149" s="10" t="s">
        <v>469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361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IFERROR(OFFSET(ITEM_RES!$A$5,MATCH(BUILDING!T150,ITEM_RES!$J$5:$J$231,0)-1,0),0)</f>
        <v>0</v>
      </c>
      <c r="W150" s="86" t="s">
        <v>609</v>
      </c>
      <c r="X150" s="9">
        <f ca="1">IFERROR(OFFSET(ITEM_RES!$A$5,MATCH(BUILDING!W150,ITEM_RES!$J$5:$J$231,0)-1,0),0)</f>
        <v>211050001</v>
      </c>
      <c r="Z150" s="9" t="s">
        <v>580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212040001</v>
      </c>
      <c r="AQ150" s="10" t="s">
        <v>469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361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IFERROR(OFFSET(ITEM_RES!$A$5,MATCH(BUILDING!T151,ITEM_RES!$J$5:$J$231,0)-1,0),0)</f>
        <v>0</v>
      </c>
      <c r="W151" s="86" t="s">
        <v>609</v>
      </c>
      <c r="X151" s="9">
        <f ca="1">IFERROR(OFFSET(ITEM_RES!$A$5,MATCH(BUILDING!W151,ITEM_RES!$J$5:$J$231,0)-1,0),0)</f>
        <v>211050001</v>
      </c>
      <c r="Z151" s="9" t="s">
        <v>580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212040001</v>
      </c>
      <c r="AQ151" s="10" t="s">
        <v>469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361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IFERROR(OFFSET(ITEM_RES!$A$5,MATCH(BUILDING!T152,ITEM_RES!$J$5:$J$231,0)-1,0),0)</f>
        <v>0</v>
      </c>
      <c r="W152" s="86" t="s">
        <v>609</v>
      </c>
      <c r="X152" s="9">
        <f ca="1">IFERROR(OFFSET(ITEM_RES!$A$5,MATCH(BUILDING!W152,ITEM_RES!$J$5:$J$231,0)-1,0),0)</f>
        <v>211050001</v>
      </c>
      <c r="Z152" s="9" t="s">
        <v>580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212040001</v>
      </c>
      <c r="AQ152" s="10" t="s">
        <v>469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361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IFERROR(OFFSET(ITEM_RES!$A$5,MATCH(BUILDING!T153,ITEM_RES!$J$5:$J$231,0)-1,0),0)</f>
        <v>0</v>
      </c>
      <c r="W153" s="86" t="s">
        <v>609</v>
      </c>
      <c r="X153" s="9">
        <f ca="1">IFERROR(OFFSET(ITEM_RES!$A$5,MATCH(BUILDING!W153,ITEM_RES!$J$5:$J$231,0)-1,0),0)</f>
        <v>211050001</v>
      </c>
      <c r="Z153" s="9" t="s">
        <v>580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212040001</v>
      </c>
      <c r="AQ153" s="10" t="s">
        <v>469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361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IFERROR(OFFSET(ITEM_RES!$A$5,MATCH(BUILDING!T154,ITEM_RES!$J$5:$J$231,0)-1,0),0)</f>
        <v>0</v>
      </c>
      <c r="W154" s="86" t="s">
        <v>609</v>
      </c>
      <c r="X154" s="9">
        <f ca="1">IFERROR(OFFSET(ITEM_RES!$A$5,MATCH(BUILDING!W154,ITEM_RES!$J$5:$J$231,0)-1,0),0)</f>
        <v>211050001</v>
      </c>
      <c r="Z154" s="9" t="s">
        <v>580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212040001</v>
      </c>
      <c r="AQ154" s="10" t="s">
        <v>469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361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IFERROR(OFFSET(ITEM_RES!$A$5,MATCH(BUILDING!T155,ITEM_RES!$J$5:$J$231,0)-1,0),0)</f>
        <v>0</v>
      </c>
      <c r="W155" s="86" t="s">
        <v>609</v>
      </c>
      <c r="X155" s="9">
        <f ca="1">IFERROR(OFFSET(ITEM_RES!$A$5,MATCH(BUILDING!W155,ITEM_RES!$J$5:$J$231,0)-1,0),0)</f>
        <v>211050001</v>
      </c>
      <c r="Z155" s="9" t="s">
        <v>580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212040001</v>
      </c>
      <c r="AQ155" s="10" t="s">
        <v>472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361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IFERROR(OFFSET(ITEM_RES!$A$5,MATCH(BUILDING!T156,ITEM_RES!$J$5:$J$231,0)-1,0),0)</f>
        <v>0</v>
      </c>
      <c r="W156" s="86" t="s">
        <v>609</v>
      </c>
      <c r="X156" s="9">
        <f ca="1">IFERROR(OFFSET(ITEM_RES!$A$5,MATCH(BUILDING!W156,ITEM_RES!$J$5:$J$231,0)-1,0),0)</f>
        <v>211050001</v>
      </c>
      <c r="Z156" s="9" t="s">
        <v>580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212040001</v>
      </c>
      <c r="AQ156" s="10" t="s">
        <v>469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361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IFERROR(OFFSET(ITEM_RES!$A$5,MATCH(BUILDING!T157,ITEM_RES!$J$5:$J$231,0)-1,0),0)</f>
        <v>0</v>
      </c>
      <c r="W157" s="86" t="s">
        <v>609</v>
      </c>
      <c r="X157" s="9">
        <f ca="1">IFERROR(OFFSET(ITEM_RES!$A$5,MATCH(BUILDING!W157,ITEM_RES!$J$5:$J$231,0)-1,0),0)</f>
        <v>211050001</v>
      </c>
      <c r="Z157" s="9" t="s">
        <v>580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215050001</v>
      </c>
      <c r="AQ157" s="10" t="s">
        <v>483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361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IFERROR(OFFSET(ITEM_RES!$A$5,MATCH(BUILDING!T158,ITEM_RES!$J$5:$J$231,0)-1,0),0)</f>
        <v>0</v>
      </c>
      <c r="W158" s="86" t="s">
        <v>609</v>
      </c>
      <c r="X158" s="9">
        <f ca="1">IFERROR(OFFSET(ITEM_RES!$A$5,MATCH(BUILDING!W158,ITEM_RES!$J$5:$J$231,0)-1,0),0)</f>
        <v>211050001</v>
      </c>
      <c r="Z158" s="9" t="s">
        <v>580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215050001</v>
      </c>
      <c r="AQ158" s="10" t="s">
        <v>483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361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IFERROR(OFFSET(ITEM_RES!$A$5,MATCH(BUILDING!T159,ITEM_RES!$J$5:$J$231,0)-1,0),0)</f>
        <v>0</v>
      </c>
      <c r="W159" s="86" t="s">
        <v>609</v>
      </c>
      <c r="X159" s="9">
        <f ca="1">IFERROR(OFFSET(ITEM_RES!$A$5,MATCH(BUILDING!W159,ITEM_RES!$J$5:$J$231,0)-1,0),0)</f>
        <v>211050001</v>
      </c>
      <c r="Z159" s="9" t="s">
        <v>580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215050001</v>
      </c>
      <c r="AQ159" s="10" t="s">
        <v>483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361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IFERROR(OFFSET(ITEM_RES!$A$5,MATCH(BUILDING!T160,ITEM_RES!$J$5:$J$231,0)-1,0),0)</f>
        <v>0</v>
      </c>
      <c r="W160" s="86" t="s">
        <v>609</v>
      </c>
      <c r="X160" s="9">
        <f ca="1">IFERROR(OFFSET(ITEM_RES!$A$5,MATCH(BUILDING!W160,ITEM_RES!$J$5:$J$231,0)-1,0),0)</f>
        <v>211050001</v>
      </c>
      <c r="Z160" s="9" t="s">
        <v>580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215050001</v>
      </c>
      <c r="AQ160" s="10" t="s">
        <v>483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361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IFERROR(OFFSET(ITEM_RES!$A$5,MATCH(BUILDING!T161,ITEM_RES!$J$5:$J$231,0)-1,0),0)</f>
        <v>0</v>
      </c>
      <c r="W161" s="86" t="s">
        <v>609</v>
      </c>
      <c r="X161" s="9">
        <f ca="1">IFERROR(OFFSET(ITEM_RES!$A$5,MATCH(BUILDING!W161,ITEM_RES!$J$5:$J$231,0)-1,0),0)</f>
        <v>211050001</v>
      </c>
      <c r="Z161" s="9" t="s">
        <v>580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215050001</v>
      </c>
      <c r="AQ161" s="10" t="s">
        <v>483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361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IFERROR(OFFSET(ITEM_RES!$A$5,MATCH(BUILDING!T162,ITEM_RES!$J$5:$J$231,0)-1,0),0)</f>
        <v>0</v>
      </c>
      <c r="W162" s="86" t="s">
        <v>609</v>
      </c>
      <c r="X162" s="9">
        <f ca="1">IFERROR(OFFSET(ITEM_RES!$A$5,MATCH(BUILDING!W162,ITEM_RES!$J$5:$J$231,0)-1,0),0)</f>
        <v>211050001</v>
      </c>
      <c r="Z162" s="9" t="s">
        <v>580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215050001</v>
      </c>
      <c r="AQ162" s="10" t="s">
        <v>483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361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IFERROR(OFFSET(ITEM_RES!$A$5,MATCH(BUILDING!T163,ITEM_RES!$J$5:$J$231,0)-1,0),0)</f>
        <v>0</v>
      </c>
      <c r="W163" s="86" t="s">
        <v>609</v>
      </c>
      <c r="X163" s="9">
        <f ca="1">IFERROR(OFFSET(ITEM_RES!$A$5,MATCH(BUILDING!W163,ITEM_RES!$J$5:$J$231,0)-1,0),0)</f>
        <v>211050001</v>
      </c>
      <c r="Z163" s="9" t="s">
        <v>580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215050001</v>
      </c>
      <c r="AQ163" s="10" t="s">
        <v>483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361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IFERROR(OFFSET(ITEM_RES!$A$5,MATCH(BUILDING!T164,ITEM_RES!$J$5:$J$231,0)-1,0),0)</f>
        <v>0</v>
      </c>
      <c r="W164" s="86" t="s">
        <v>609</v>
      </c>
      <c r="X164" s="9">
        <f ca="1">IFERROR(OFFSET(ITEM_RES!$A$5,MATCH(BUILDING!W164,ITEM_RES!$J$5:$J$231,0)-1,0),0)</f>
        <v>211050001</v>
      </c>
      <c r="Z164" s="9" t="s">
        <v>580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215050001</v>
      </c>
      <c r="AQ164" s="10" t="s">
        <v>483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363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609</v>
      </c>
      <c r="U165" s="16">
        <f ca="1">IFERROR(OFFSET(ITEM_RES!$A$5,MATCH(BUILDING!T165,ITEM_RES!$J$5:$J$231,0)-1,0),0)</f>
        <v>211050001</v>
      </c>
      <c r="V165" s="18">
        <v>1</v>
      </c>
      <c r="W165" s="88" t="s">
        <v>610</v>
      </c>
      <c r="X165" s="16">
        <f ca="1">IFERROR(OFFSET(ITEM_RES!$A$5,MATCH(BUILDING!W165,ITEM_RES!$J$5:$J$231,0)-1,0),0)</f>
        <v>215010001</v>
      </c>
      <c r="Y165" s="80"/>
      <c r="Z165" s="16" t="s">
        <v>581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212040001</v>
      </c>
      <c r="AQ165" s="17" t="s">
        <v>469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213010001</v>
      </c>
      <c r="BA165" s="17" t="s">
        <v>495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363</v>
      </c>
      <c r="L166" s="9">
        <v>1</v>
      </c>
      <c r="M166" s="9">
        <v>15</v>
      </c>
      <c r="R166" s="9">
        <v>66</v>
      </c>
      <c r="T166" s="86" t="s">
        <v>609</v>
      </c>
      <c r="U166" s="9">
        <f ca="1">IFERROR(OFFSET(ITEM_RES!$A$5,MATCH(BUILDING!T166,ITEM_RES!$J$5:$J$231,0)-1,0),0)</f>
        <v>211050001</v>
      </c>
      <c r="V166" s="11">
        <v>1</v>
      </c>
      <c r="W166" s="86" t="s">
        <v>610</v>
      </c>
      <c r="X166" s="9">
        <f ca="1">IFERROR(OFFSET(ITEM_RES!$A$5,MATCH(BUILDING!W166,ITEM_RES!$J$5:$J$231,0)-1,0),0)</f>
        <v>215010001</v>
      </c>
      <c r="Z166" s="9" t="s">
        <v>581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212040001</v>
      </c>
      <c r="AQ166" s="10" t="s">
        <v>469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363</v>
      </c>
      <c r="L167" s="9">
        <v>1</v>
      </c>
      <c r="M167" s="9">
        <v>15</v>
      </c>
      <c r="R167" s="9">
        <v>66</v>
      </c>
      <c r="T167" s="86" t="s">
        <v>609</v>
      </c>
      <c r="U167" s="9">
        <f ca="1">IFERROR(OFFSET(ITEM_RES!$A$5,MATCH(BUILDING!T167,ITEM_RES!$J$5:$J$231,0)-1,0),0)</f>
        <v>211050001</v>
      </c>
      <c r="V167" s="11">
        <v>1</v>
      </c>
      <c r="W167" s="86" t="s">
        <v>610</v>
      </c>
      <c r="X167" s="9">
        <f ca="1">IFERROR(OFFSET(ITEM_RES!$A$5,MATCH(BUILDING!W167,ITEM_RES!$J$5:$J$231,0)-1,0),0)</f>
        <v>215010001</v>
      </c>
      <c r="Z167" s="9" t="s">
        <v>581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212040001</v>
      </c>
      <c r="AQ167" s="10" t="s">
        <v>469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363</v>
      </c>
      <c r="L168" s="9">
        <v>1</v>
      </c>
      <c r="M168" s="9">
        <v>15</v>
      </c>
      <c r="R168" s="9">
        <v>66</v>
      </c>
      <c r="T168" s="86" t="s">
        <v>609</v>
      </c>
      <c r="U168" s="9">
        <f ca="1">IFERROR(OFFSET(ITEM_RES!$A$5,MATCH(BUILDING!T168,ITEM_RES!$J$5:$J$231,0)-1,0),0)</f>
        <v>211050001</v>
      </c>
      <c r="V168" s="11">
        <v>1</v>
      </c>
      <c r="W168" s="86" t="s">
        <v>610</v>
      </c>
      <c r="X168" s="9">
        <f ca="1">IFERROR(OFFSET(ITEM_RES!$A$5,MATCH(BUILDING!W168,ITEM_RES!$J$5:$J$231,0)-1,0),0)</f>
        <v>215010001</v>
      </c>
      <c r="Z168" s="9" t="s">
        <v>581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212040001</v>
      </c>
      <c r="AQ168" s="10" t="s">
        <v>469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363</v>
      </c>
      <c r="L169" s="9">
        <v>1</v>
      </c>
      <c r="M169" s="9">
        <v>15</v>
      </c>
      <c r="R169" s="9">
        <v>66</v>
      </c>
      <c r="T169" s="86" t="s">
        <v>609</v>
      </c>
      <c r="U169" s="9">
        <f ca="1">IFERROR(OFFSET(ITEM_RES!$A$5,MATCH(BUILDING!T169,ITEM_RES!$J$5:$J$231,0)-1,0),0)</f>
        <v>211050001</v>
      </c>
      <c r="V169" s="11">
        <v>1</v>
      </c>
      <c r="W169" s="86" t="s">
        <v>610</v>
      </c>
      <c r="X169" s="9">
        <f ca="1">IFERROR(OFFSET(ITEM_RES!$A$5,MATCH(BUILDING!W169,ITEM_RES!$J$5:$J$231,0)-1,0),0)</f>
        <v>215010001</v>
      </c>
      <c r="Z169" s="9" t="s">
        <v>581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212040001</v>
      </c>
      <c r="AQ169" s="10" t="s">
        <v>469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363</v>
      </c>
      <c r="L170" s="9">
        <v>1</v>
      </c>
      <c r="M170" s="9">
        <v>15</v>
      </c>
      <c r="R170" s="9">
        <v>66</v>
      </c>
      <c r="T170" s="86" t="s">
        <v>609</v>
      </c>
      <c r="U170" s="9">
        <f ca="1">IFERROR(OFFSET(ITEM_RES!$A$5,MATCH(BUILDING!T170,ITEM_RES!$J$5:$J$231,0)-1,0),0)</f>
        <v>211050001</v>
      </c>
      <c r="V170" s="11">
        <v>1</v>
      </c>
      <c r="W170" s="86" t="s">
        <v>610</v>
      </c>
      <c r="X170" s="9">
        <f ca="1">IFERROR(OFFSET(ITEM_RES!$A$5,MATCH(BUILDING!W170,ITEM_RES!$J$5:$J$231,0)-1,0),0)</f>
        <v>215010001</v>
      </c>
      <c r="Z170" s="9" t="s">
        <v>581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212040001</v>
      </c>
      <c r="AQ170" s="10" t="s">
        <v>469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363</v>
      </c>
      <c r="L171" s="9">
        <v>1</v>
      </c>
      <c r="M171" s="9">
        <v>15</v>
      </c>
      <c r="R171" s="9">
        <v>66</v>
      </c>
      <c r="T171" s="86" t="s">
        <v>609</v>
      </c>
      <c r="U171" s="9">
        <f ca="1">IFERROR(OFFSET(ITEM_RES!$A$5,MATCH(BUILDING!T171,ITEM_RES!$J$5:$J$231,0)-1,0),0)</f>
        <v>211050001</v>
      </c>
      <c r="V171" s="11">
        <v>1</v>
      </c>
      <c r="W171" s="86" t="s">
        <v>610</v>
      </c>
      <c r="X171" s="9">
        <f ca="1">IFERROR(OFFSET(ITEM_RES!$A$5,MATCH(BUILDING!W171,ITEM_RES!$J$5:$J$231,0)-1,0),0)</f>
        <v>215010001</v>
      </c>
      <c r="Z171" s="9" t="s">
        <v>581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212040001</v>
      </c>
      <c r="AQ171" s="10" t="s">
        <v>469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363</v>
      </c>
      <c r="L172" s="9">
        <v>1</v>
      </c>
      <c r="M172" s="9">
        <v>15</v>
      </c>
      <c r="R172" s="9">
        <v>66</v>
      </c>
      <c r="T172" s="86" t="s">
        <v>609</v>
      </c>
      <c r="U172" s="9">
        <f ca="1">IFERROR(OFFSET(ITEM_RES!$A$5,MATCH(BUILDING!T172,ITEM_RES!$J$5:$J$231,0)-1,0),0)</f>
        <v>211050001</v>
      </c>
      <c r="V172" s="11">
        <v>1</v>
      </c>
      <c r="W172" s="86" t="s">
        <v>610</v>
      </c>
      <c r="X172" s="9">
        <f ca="1">IFERROR(OFFSET(ITEM_RES!$A$5,MATCH(BUILDING!W172,ITEM_RES!$J$5:$J$231,0)-1,0),0)</f>
        <v>215010001</v>
      </c>
      <c r="Z172" s="9" t="s">
        <v>581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212040001</v>
      </c>
      <c r="AQ172" s="10" t="s">
        <v>469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363</v>
      </c>
      <c r="L173" s="9">
        <v>1</v>
      </c>
      <c r="M173" s="9">
        <v>15</v>
      </c>
      <c r="R173" s="9">
        <v>66</v>
      </c>
      <c r="T173" s="86" t="s">
        <v>609</v>
      </c>
      <c r="U173" s="9">
        <f ca="1">IFERROR(OFFSET(ITEM_RES!$A$5,MATCH(BUILDING!T173,ITEM_RES!$J$5:$J$231,0)-1,0),0)</f>
        <v>211050001</v>
      </c>
      <c r="V173" s="11">
        <v>1</v>
      </c>
      <c r="W173" s="86" t="s">
        <v>610</v>
      </c>
      <c r="X173" s="9">
        <f ca="1">IFERROR(OFFSET(ITEM_RES!$A$5,MATCH(BUILDING!W173,ITEM_RES!$J$5:$J$231,0)-1,0),0)</f>
        <v>215010001</v>
      </c>
      <c r="Z173" s="9" t="s">
        <v>581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212040001</v>
      </c>
      <c r="AQ173" s="10" t="s">
        <v>469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363</v>
      </c>
      <c r="L174" s="9">
        <v>1</v>
      </c>
      <c r="M174" s="9">
        <v>15</v>
      </c>
      <c r="R174" s="9">
        <v>66</v>
      </c>
      <c r="T174" s="86" t="s">
        <v>609</v>
      </c>
      <c r="U174" s="9">
        <f ca="1">IFERROR(OFFSET(ITEM_RES!$A$5,MATCH(BUILDING!T174,ITEM_RES!$J$5:$J$231,0)-1,0),0)</f>
        <v>211050001</v>
      </c>
      <c r="V174" s="11">
        <v>1</v>
      </c>
      <c r="W174" s="86" t="s">
        <v>610</v>
      </c>
      <c r="X174" s="9">
        <f ca="1">IFERROR(OFFSET(ITEM_RES!$A$5,MATCH(BUILDING!W174,ITEM_RES!$J$5:$J$231,0)-1,0),0)</f>
        <v>215010001</v>
      </c>
      <c r="Z174" s="9" t="s">
        <v>581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212040001</v>
      </c>
      <c r="AQ174" s="10" t="s">
        <v>469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363</v>
      </c>
      <c r="L175" s="9">
        <v>1</v>
      </c>
      <c r="M175" s="9">
        <v>15</v>
      </c>
      <c r="R175" s="9">
        <v>66</v>
      </c>
      <c r="T175" s="86" t="s">
        <v>609</v>
      </c>
      <c r="U175" s="9">
        <f ca="1">IFERROR(OFFSET(ITEM_RES!$A$5,MATCH(BUILDING!T175,ITEM_RES!$J$5:$J$231,0)-1,0),0)</f>
        <v>211050001</v>
      </c>
      <c r="V175" s="11">
        <v>1</v>
      </c>
      <c r="W175" s="86" t="s">
        <v>610</v>
      </c>
      <c r="X175" s="9">
        <f ca="1">IFERROR(OFFSET(ITEM_RES!$A$5,MATCH(BUILDING!W175,ITEM_RES!$J$5:$J$231,0)-1,0),0)</f>
        <v>215010001</v>
      </c>
      <c r="Z175" s="9" t="s">
        <v>581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212040001</v>
      </c>
      <c r="AQ175" s="10" t="s">
        <v>469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363</v>
      </c>
      <c r="L176" s="9">
        <v>1</v>
      </c>
      <c r="M176" s="9">
        <v>15</v>
      </c>
      <c r="R176" s="9">
        <v>66</v>
      </c>
      <c r="T176" s="86" t="s">
        <v>609</v>
      </c>
      <c r="U176" s="9">
        <f ca="1">IFERROR(OFFSET(ITEM_RES!$A$5,MATCH(BUILDING!T176,ITEM_RES!$J$5:$J$231,0)-1,0),0)</f>
        <v>211050001</v>
      </c>
      <c r="V176" s="11">
        <v>1</v>
      </c>
      <c r="W176" s="86" t="s">
        <v>610</v>
      </c>
      <c r="X176" s="9">
        <f ca="1">IFERROR(OFFSET(ITEM_RES!$A$5,MATCH(BUILDING!W176,ITEM_RES!$J$5:$J$231,0)-1,0),0)</f>
        <v>215010001</v>
      </c>
      <c r="Z176" s="9" t="s">
        <v>581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212040001</v>
      </c>
      <c r="AQ176" s="10" t="s">
        <v>469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363</v>
      </c>
      <c r="L177" s="9">
        <v>1</v>
      </c>
      <c r="M177" s="9">
        <v>15</v>
      </c>
      <c r="R177" s="9">
        <v>66</v>
      </c>
      <c r="T177" s="86" t="s">
        <v>609</v>
      </c>
      <c r="U177" s="9">
        <f ca="1">IFERROR(OFFSET(ITEM_RES!$A$5,MATCH(BUILDING!T177,ITEM_RES!$J$5:$J$231,0)-1,0),0)</f>
        <v>211050001</v>
      </c>
      <c r="V177" s="11">
        <v>1</v>
      </c>
      <c r="W177" s="86" t="s">
        <v>610</v>
      </c>
      <c r="X177" s="9">
        <f ca="1">IFERROR(OFFSET(ITEM_RES!$A$5,MATCH(BUILDING!W177,ITEM_RES!$J$5:$J$231,0)-1,0),0)</f>
        <v>215010001</v>
      </c>
      <c r="Z177" s="9" t="s">
        <v>581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212040001</v>
      </c>
      <c r="AQ177" s="10" t="s">
        <v>469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363</v>
      </c>
      <c r="L178" s="9">
        <v>1</v>
      </c>
      <c r="M178" s="9">
        <v>15</v>
      </c>
      <c r="R178" s="9">
        <v>66</v>
      </c>
      <c r="T178" s="86" t="s">
        <v>609</v>
      </c>
      <c r="U178" s="9">
        <f ca="1">IFERROR(OFFSET(ITEM_RES!$A$5,MATCH(BUILDING!T178,ITEM_RES!$J$5:$J$231,0)-1,0),0)</f>
        <v>211050001</v>
      </c>
      <c r="V178" s="11">
        <v>1</v>
      </c>
      <c r="W178" s="86" t="s">
        <v>610</v>
      </c>
      <c r="X178" s="9">
        <f ca="1">IFERROR(OFFSET(ITEM_RES!$A$5,MATCH(BUILDING!W178,ITEM_RES!$J$5:$J$231,0)-1,0),0)</f>
        <v>215010001</v>
      </c>
      <c r="Z178" s="9" t="s">
        <v>581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212040001</v>
      </c>
      <c r="AQ178" s="10" t="s">
        <v>469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363</v>
      </c>
      <c r="L179" s="9">
        <v>1</v>
      </c>
      <c r="M179" s="9">
        <v>15</v>
      </c>
      <c r="R179" s="9">
        <v>66</v>
      </c>
      <c r="T179" s="86" t="s">
        <v>609</v>
      </c>
      <c r="U179" s="9">
        <f ca="1">IFERROR(OFFSET(ITEM_RES!$A$5,MATCH(BUILDING!T179,ITEM_RES!$J$5:$J$231,0)-1,0),0)</f>
        <v>211050001</v>
      </c>
      <c r="V179" s="11">
        <v>1</v>
      </c>
      <c r="W179" s="86" t="s">
        <v>610</v>
      </c>
      <c r="X179" s="9">
        <f ca="1">IFERROR(OFFSET(ITEM_RES!$A$5,MATCH(BUILDING!W179,ITEM_RES!$J$5:$J$231,0)-1,0),0)</f>
        <v>215010001</v>
      </c>
      <c r="Z179" s="9" t="s">
        <v>581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212040001</v>
      </c>
      <c r="AQ179" s="10" t="s">
        <v>469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363</v>
      </c>
      <c r="L180" s="9">
        <v>0</v>
      </c>
      <c r="M180" s="9">
        <v>15</v>
      </c>
      <c r="R180" s="9">
        <v>66</v>
      </c>
      <c r="T180" s="86" t="s">
        <v>609</v>
      </c>
      <c r="U180" s="9">
        <f ca="1">IFERROR(OFFSET(ITEM_RES!$A$5,MATCH(BUILDING!T180,ITEM_RES!$J$5:$J$231,0)-1,0),0)</f>
        <v>211050001</v>
      </c>
      <c r="V180" s="11">
        <v>1</v>
      </c>
      <c r="W180" s="86" t="s">
        <v>610</v>
      </c>
      <c r="X180" s="9">
        <f ca="1">IFERROR(OFFSET(ITEM_RES!$A$5,MATCH(BUILDING!W180,ITEM_RES!$J$5:$J$231,0)-1,0),0)</f>
        <v>215010001</v>
      </c>
      <c r="Z180" s="9" t="s">
        <v>581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212040001</v>
      </c>
      <c r="AQ180" s="10" t="s">
        <v>469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363</v>
      </c>
      <c r="L181" s="9">
        <v>0</v>
      </c>
      <c r="M181" s="9">
        <v>15</v>
      </c>
      <c r="R181" s="9">
        <v>66</v>
      </c>
      <c r="T181" s="86" t="s">
        <v>609</v>
      </c>
      <c r="U181" s="9">
        <f ca="1">IFERROR(OFFSET(ITEM_RES!$A$5,MATCH(BUILDING!T181,ITEM_RES!$J$5:$J$231,0)-1,0),0)</f>
        <v>211050001</v>
      </c>
      <c r="V181" s="11">
        <v>1</v>
      </c>
      <c r="W181" s="86" t="s">
        <v>610</v>
      </c>
      <c r="X181" s="9">
        <f ca="1">IFERROR(OFFSET(ITEM_RES!$A$5,MATCH(BUILDING!W181,ITEM_RES!$J$5:$J$231,0)-1,0),0)</f>
        <v>215010001</v>
      </c>
      <c r="Z181" s="9" t="s">
        <v>581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215050001</v>
      </c>
      <c r="AQ181" s="10" t="s">
        <v>483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363</v>
      </c>
      <c r="L182" s="9">
        <v>0</v>
      </c>
      <c r="M182" s="9">
        <v>15</v>
      </c>
      <c r="R182" s="9">
        <v>66</v>
      </c>
      <c r="T182" s="86" t="s">
        <v>609</v>
      </c>
      <c r="U182" s="9">
        <f ca="1">IFERROR(OFFSET(ITEM_RES!$A$5,MATCH(BUILDING!T182,ITEM_RES!$J$5:$J$231,0)-1,0),0)</f>
        <v>211050001</v>
      </c>
      <c r="V182" s="11">
        <v>1</v>
      </c>
      <c r="W182" s="86" t="s">
        <v>610</v>
      </c>
      <c r="X182" s="9">
        <f ca="1">IFERROR(OFFSET(ITEM_RES!$A$5,MATCH(BUILDING!W182,ITEM_RES!$J$5:$J$231,0)-1,0),0)</f>
        <v>215010001</v>
      </c>
      <c r="Z182" s="9" t="s">
        <v>581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215050001</v>
      </c>
      <c r="AQ182" s="10" t="s">
        <v>483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363</v>
      </c>
      <c r="L183" s="9">
        <v>0</v>
      </c>
      <c r="M183" s="9">
        <v>15</v>
      </c>
      <c r="R183" s="9">
        <v>66</v>
      </c>
      <c r="T183" s="86" t="s">
        <v>609</v>
      </c>
      <c r="U183" s="9">
        <f ca="1">IFERROR(OFFSET(ITEM_RES!$A$5,MATCH(BUILDING!T183,ITEM_RES!$J$5:$J$231,0)-1,0),0)</f>
        <v>211050001</v>
      </c>
      <c r="V183" s="11">
        <v>1</v>
      </c>
      <c r="W183" s="86" t="s">
        <v>610</v>
      </c>
      <c r="X183" s="9">
        <f ca="1">IFERROR(OFFSET(ITEM_RES!$A$5,MATCH(BUILDING!W183,ITEM_RES!$J$5:$J$231,0)-1,0),0)</f>
        <v>215010001</v>
      </c>
      <c r="Z183" s="9" t="s">
        <v>581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215050001</v>
      </c>
      <c r="AQ183" s="10" t="s">
        <v>483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363</v>
      </c>
      <c r="L184" s="9">
        <v>0</v>
      </c>
      <c r="M184" s="9">
        <v>15</v>
      </c>
      <c r="R184" s="9">
        <v>66</v>
      </c>
      <c r="T184" s="86" t="s">
        <v>609</v>
      </c>
      <c r="U184" s="9">
        <f ca="1">IFERROR(OFFSET(ITEM_RES!$A$5,MATCH(BUILDING!T184,ITEM_RES!$J$5:$J$231,0)-1,0),0)</f>
        <v>211050001</v>
      </c>
      <c r="V184" s="11">
        <v>1</v>
      </c>
      <c r="W184" s="86" t="s">
        <v>610</v>
      </c>
      <c r="X184" s="9">
        <f ca="1">IFERROR(OFFSET(ITEM_RES!$A$5,MATCH(BUILDING!W184,ITEM_RES!$J$5:$J$231,0)-1,0),0)</f>
        <v>215010001</v>
      </c>
      <c r="Z184" s="9" t="s">
        <v>581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215050001</v>
      </c>
      <c r="AQ184" s="10" t="s">
        <v>483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568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IFERROR(OFFSET(ITEM_RES!$A$5,MATCH(BUILDING!T185,ITEM_RES!$J$5:$J$231,0)-1,0),0)</f>
        <v>0</v>
      </c>
      <c r="V185" s="18"/>
      <c r="W185" s="88"/>
      <c r="X185" s="16">
        <f ca="1">IFERROR(OFFSET(ITEM_RES!$A$5,MATCH(BUILDING!W185,ITEM_RES!$J$5:$J$231,0)-1,0),0)</f>
        <v>0</v>
      </c>
      <c r="Y185" s="80"/>
      <c r="Z185" s="16" t="s">
        <v>582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212040001</v>
      </c>
      <c r="AQ185" s="17" t="s">
        <v>414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213010001</v>
      </c>
      <c r="BA185" s="17" t="s">
        <v>419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568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IFERROR(OFFSET(ITEM_RES!$A$5,MATCH(BUILDING!T186,ITEM_RES!$J$5:$J$231,0)-1,0),0)</f>
        <v>0</v>
      </c>
      <c r="X186" s="9">
        <f ca="1">IFERROR(OFFSET(ITEM_RES!$A$5,MATCH(BUILDING!W186,ITEM_RES!$J$5:$J$231,0)-1,0),0)</f>
        <v>0</v>
      </c>
      <c r="Z186" s="9" t="s">
        <v>582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212040001</v>
      </c>
      <c r="AQ186" s="10" t="s">
        <v>414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568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IFERROR(OFFSET(ITEM_RES!$A$5,MATCH(BUILDING!T187,ITEM_RES!$J$5:$J$231,0)-1,0),0)</f>
        <v>0</v>
      </c>
      <c r="X187" s="9">
        <f ca="1">IFERROR(OFFSET(ITEM_RES!$A$5,MATCH(BUILDING!W187,ITEM_RES!$J$5:$J$231,0)-1,0),0)</f>
        <v>0</v>
      </c>
      <c r="Z187" s="9" t="s">
        <v>582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212040001</v>
      </c>
      <c r="AQ187" s="10" t="s">
        <v>414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568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IFERROR(OFFSET(ITEM_RES!$A$5,MATCH(BUILDING!T188,ITEM_RES!$J$5:$J$231,0)-1,0),0)</f>
        <v>0</v>
      </c>
      <c r="X188" s="9">
        <f ca="1">IFERROR(OFFSET(ITEM_RES!$A$5,MATCH(BUILDING!W188,ITEM_RES!$J$5:$J$231,0)-1,0),0)</f>
        <v>0</v>
      </c>
      <c r="Z188" s="9" t="s">
        <v>582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212040001</v>
      </c>
      <c r="AQ188" s="10" t="s">
        <v>414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568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IFERROR(OFFSET(ITEM_RES!$A$5,MATCH(BUILDING!T189,ITEM_RES!$J$5:$J$231,0)-1,0),0)</f>
        <v>0</v>
      </c>
      <c r="X189" s="9">
        <f ca="1">IFERROR(OFFSET(ITEM_RES!$A$5,MATCH(BUILDING!W189,ITEM_RES!$J$5:$J$231,0)-1,0),0)</f>
        <v>0</v>
      </c>
      <c r="Z189" s="9" t="s">
        <v>582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212040001</v>
      </c>
      <c r="AQ189" s="10" t="s">
        <v>414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568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IFERROR(OFFSET(ITEM_RES!$A$5,MATCH(BUILDING!T190,ITEM_RES!$J$5:$J$231,0)-1,0),0)</f>
        <v>0</v>
      </c>
      <c r="X190" s="9">
        <f ca="1">IFERROR(OFFSET(ITEM_RES!$A$5,MATCH(BUILDING!W190,ITEM_RES!$J$5:$J$231,0)-1,0),0)</f>
        <v>0</v>
      </c>
      <c r="Z190" s="9" t="s">
        <v>582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212040001</v>
      </c>
      <c r="AQ190" s="10" t="s">
        <v>414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568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IFERROR(OFFSET(ITEM_RES!$A$5,MATCH(BUILDING!T191,ITEM_RES!$J$5:$J$231,0)-1,0),0)</f>
        <v>0</v>
      </c>
      <c r="X191" s="9">
        <f ca="1">IFERROR(OFFSET(ITEM_RES!$A$5,MATCH(BUILDING!W191,ITEM_RES!$J$5:$J$231,0)-1,0),0)</f>
        <v>0</v>
      </c>
      <c r="Z191" s="9" t="s">
        <v>582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212040001</v>
      </c>
      <c r="AQ191" s="10" t="s">
        <v>414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568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IFERROR(OFFSET(ITEM_RES!$A$5,MATCH(BUILDING!T192,ITEM_RES!$J$5:$J$231,0)-1,0),0)</f>
        <v>0</v>
      </c>
      <c r="X192" s="9">
        <f ca="1">IFERROR(OFFSET(ITEM_RES!$A$5,MATCH(BUILDING!W192,ITEM_RES!$J$5:$J$231,0)-1,0),0)</f>
        <v>0</v>
      </c>
      <c r="Z192" s="9" t="s">
        <v>582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212040001</v>
      </c>
      <c r="AQ192" s="10" t="s">
        <v>414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568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IFERROR(OFFSET(ITEM_RES!$A$5,MATCH(BUILDING!T193,ITEM_RES!$J$5:$J$231,0)-1,0),0)</f>
        <v>0</v>
      </c>
      <c r="X193" s="9">
        <f ca="1">IFERROR(OFFSET(ITEM_RES!$A$5,MATCH(BUILDING!W193,ITEM_RES!$J$5:$J$231,0)-1,0),0)</f>
        <v>0</v>
      </c>
      <c r="Z193" s="9" t="s">
        <v>582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212040001</v>
      </c>
      <c r="AQ193" s="10" t="s">
        <v>414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568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IFERROR(OFFSET(ITEM_RES!$A$5,MATCH(BUILDING!T194,ITEM_RES!$J$5:$J$231,0)-1,0),0)</f>
        <v>0</v>
      </c>
      <c r="X194" s="9">
        <f ca="1">IFERROR(OFFSET(ITEM_RES!$A$5,MATCH(BUILDING!W194,ITEM_RES!$J$5:$J$231,0)-1,0),0)</f>
        <v>0</v>
      </c>
      <c r="Z194" s="9" t="s">
        <v>582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212040001</v>
      </c>
      <c r="AQ194" s="10" t="s">
        <v>414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213080001</v>
      </c>
      <c r="BF194" s="10" t="s">
        <v>506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568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IFERROR(OFFSET(ITEM_RES!$A$5,MATCH(BUILDING!T195,ITEM_RES!$J$5:$J$231,0)-1,0),0)</f>
        <v>0</v>
      </c>
      <c r="X195" s="9">
        <f ca="1">IFERROR(OFFSET(ITEM_RES!$A$5,MATCH(BUILDING!W195,ITEM_RES!$J$5:$J$231,0)-1,0),0)</f>
        <v>0</v>
      </c>
      <c r="Z195" s="9" t="s">
        <v>582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212040001</v>
      </c>
      <c r="AQ195" s="10" t="s">
        <v>414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568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IFERROR(OFFSET(ITEM_RES!$A$5,MATCH(BUILDING!T196,ITEM_RES!$J$5:$J$231,0)-1,0),0)</f>
        <v>0</v>
      </c>
      <c r="X196" s="9">
        <f ca="1">IFERROR(OFFSET(ITEM_RES!$A$5,MATCH(BUILDING!W196,ITEM_RES!$J$5:$J$231,0)-1,0),0)</f>
        <v>0</v>
      </c>
      <c r="Z196" s="9" t="s">
        <v>582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212040001</v>
      </c>
      <c r="AQ196" s="10" t="s">
        <v>414</v>
      </c>
      <c r="AR196" s="11">
        <v>1500</v>
      </c>
      <c r="AU196" s="11">
        <f ca="1">IFERROR(OFFSET(ITEM_RES!$A$1,MATCH(AV196,ITEM_RES!$J:$J,0)-1,0),0)</f>
        <v>215050001</v>
      </c>
      <c r="AV196" s="10" t="s">
        <v>415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568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IFERROR(OFFSET(ITEM_RES!$A$5,MATCH(BUILDING!T197,ITEM_RES!$J$5:$J$231,0)-1,0),0)</f>
        <v>0</v>
      </c>
      <c r="X197" s="9">
        <f ca="1">IFERROR(OFFSET(ITEM_RES!$A$5,MATCH(BUILDING!W197,ITEM_RES!$J$5:$J$231,0)-1,0),0)</f>
        <v>0</v>
      </c>
      <c r="Z197" s="9" t="s">
        <v>582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212040001</v>
      </c>
      <c r="AQ197" s="10" t="s">
        <v>414</v>
      </c>
      <c r="AR197" s="11">
        <v>1750</v>
      </c>
      <c r="AU197" s="11">
        <f ca="1">IFERROR(OFFSET(ITEM_RES!$A$1,MATCH(AV197,ITEM_RES!$J:$J,0)-1,0),0)</f>
        <v>215050001</v>
      </c>
      <c r="AV197" s="10" t="s">
        <v>415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568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IFERROR(OFFSET(ITEM_RES!$A$5,MATCH(BUILDING!T198,ITEM_RES!$J$5:$J$231,0)-1,0),0)</f>
        <v>0</v>
      </c>
      <c r="X198" s="9">
        <f ca="1">IFERROR(OFFSET(ITEM_RES!$A$5,MATCH(BUILDING!W198,ITEM_RES!$J$5:$J$231,0)-1,0),0)</f>
        <v>0</v>
      </c>
      <c r="Z198" s="9" t="s">
        <v>582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212040001</v>
      </c>
      <c r="AQ198" s="10" t="s">
        <v>414</v>
      </c>
      <c r="AR198" s="11">
        <v>2250</v>
      </c>
      <c r="AU198" s="11">
        <f ca="1">IFERROR(OFFSET(ITEM_RES!$A$1,MATCH(AV198,ITEM_RES!$J:$J,0)-1,0),0)</f>
        <v>215050001</v>
      </c>
      <c r="AV198" s="10" t="s">
        <v>415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568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IFERROR(OFFSET(ITEM_RES!$A$5,MATCH(BUILDING!T199,ITEM_RES!$J$5:$J$231,0)-1,0),0)</f>
        <v>0</v>
      </c>
      <c r="X199" s="9">
        <f ca="1">IFERROR(OFFSET(ITEM_RES!$A$5,MATCH(BUILDING!W199,ITEM_RES!$J$5:$J$231,0)-1,0),0)</f>
        <v>0</v>
      </c>
      <c r="Z199" s="9" t="s">
        <v>582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212040001</v>
      </c>
      <c r="AQ199" s="10" t="s">
        <v>414</v>
      </c>
      <c r="AR199" s="11">
        <v>2750</v>
      </c>
      <c r="AU199" s="11">
        <f ca="1">IFERROR(OFFSET(ITEM_RES!$A$1,MATCH(AV199,ITEM_RES!$J:$J,0)-1,0),0)</f>
        <v>215050001</v>
      </c>
      <c r="AV199" s="10" t="s">
        <v>415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568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IFERROR(OFFSET(ITEM_RES!$A$5,MATCH(BUILDING!T200,ITEM_RES!$J$5:$J$231,0)-1,0),0)</f>
        <v>0</v>
      </c>
      <c r="X200" s="9">
        <f ca="1">IFERROR(OFFSET(ITEM_RES!$A$5,MATCH(BUILDING!W200,ITEM_RES!$J$5:$J$231,0)-1,0),0)</f>
        <v>0</v>
      </c>
      <c r="Z200" s="9" t="s">
        <v>582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212040001</v>
      </c>
      <c r="AQ200" s="10" t="s">
        <v>414</v>
      </c>
      <c r="AR200" s="11">
        <v>3500</v>
      </c>
      <c r="AU200" s="11">
        <f ca="1">IFERROR(OFFSET(ITEM_RES!$A$1,MATCH(AV200,ITEM_RES!$J:$J,0)-1,0),0)</f>
        <v>215050001</v>
      </c>
      <c r="AV200" s="10" t="s">
        <v>415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568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IFERROR(OFFSET(ITEM_RES!$A$5,MATCH(BUILDING!T201,ITEM_RES!$J$5:$J$231,0)-1,0),0)</f>
        <v>0</v>
      </c>
      <c r="X201" s="9">
        <f ca="1">IFERROR(OFFSET(ITEM_RES!$A$5,MATCH(BUILDING!W201,ITEM_RES!$J$5:$J$231,0)-1,0),0)</f>
        <v>0</v>
      </c>
      <c r="Z201" s="9" t="s">
        <v>582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212040001</v>
      </c>
      <c r="AQ201" s="10" t="s">
        <v>414</v>
      </c>
      <c r="AR201" s="11">
        <v>4250</v>
      </c>
      <c r="AU201" s="11">
        <f ca="1">IFERROR(OFFSET(ITEM_RES!$A$1,MATCH(AV201,ITEM_RES!$J:$J,0)-1,0),0)</f>
        <v>215050001</v>
      </c>
      <c r="AV201" s="10" t="s">
        <v>415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568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IFERROR(OFFSET(ITEM_RES!$A$5,MATCH(BUILDING!T202,ITEM_RES!$J$5:$J$231,0)-1,0),0)</f>
        <v>0</v>
      </c>
      <c r="X202" s="9">
        <f ca="1">IFERROR(OFFSET(ITEM_RES!$A$5,MATCH(BUILDING!W202,ITEM_RES!$J$5:$J$231,0)-1,0),0)</f>
        <v>0</v>
      </c>
      <c r="Z202" s="9" t="s">
        <v>582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212040001</v>
      </c>
      <c r="AQ202" s="10" t="s">
        <v>414</v>
      </c>
      <c r="AR202" s="11">
        <v>5250</v>
      </c>
      <c r="AU202" s="11">
        <f ca="1">IFERROR(OFFSET(ITEM_RES!$A$1,MATCH(AV202,ITEM_RES!$J:$J,0)-1,0),0)</f>
        <v>215050001</v>
      </c>
      <c r="AV202" s="10" t="s">
        <v>415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568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IFERROR(OFFSET(ITEM_RES!$A$5,MATCH(BUILDING!T203,ITEM_RES!$J$5:$J$231,0)-1,0),0)</f>
        <v>0</v>
      </c>
      <c r="X203" s="9">
        <f ca="1">IFERROR(OFFSET(ITEM_RES!$A$5,MATCH(BUILDING!W203,ITEM_RES!$J$5:$J$231,0)-1,0),0)</f>
        <v>0</v>
      </c>
      <c r="Z203" s="9" t="s">
        <v>582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215050001</v>
      </c>
      <c r="AQ203" s="10" t="s">
        <v>415</v>
      </c>
      <c r="AR203" s="11">
        <v>6250</v>
      </c>
      <c r="AU203" s="11">
        <f ca="1">IFERROR(OFFSET(ITEM_RES!$A$1,MATCH(AV203,ITEM_RES!$J:$J,0)-1,0),0)</f>
        <v>215070001</v>
      </c>
      <c r="AV203" s="10" t="s">
        <v>457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568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IFERROR(OFFSET(ITEM_RES!$A$5,MATCH(BUILDING!T204,ITEM_RES!$J$5:$J$231,0)-1,0),0)</f>
        <v>0</v>
      </c>
      <c r="X204" s="9">
        <f ca="1">IFERROR(OFFSET(ITEM_RES!$A$5,MATCH(BUILDING!W204,ITEM_RES!$J$5:$J$231,0)-1,0),0)</f>
        <v>0</v>
      </c>
      <c r="Z204" s="9" t="s">
        <v>582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215050001</v>
      </c>
      <c r="AQ204" s="10" t="s">
        <v>569</v>
      </c>
      <c r="AR204" s="11">
        <v>7500</v>
      </c>
      <c r="AU204" s="11">
        <f ca="1">IFERROR(OFFSET(ITEM_RES!$A$1,MATCH(AV204,ITEM_RES!$J:$J,0)-1,0),0)</f>
        <v>215070001</v>
      </c>
      <c r="AV204" s="10" t="s">
        <v>457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647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IFERROR(OFFSET(ITEM_RES!$A$5,MATCH(BUILDING!T205,ITEM_RES!$J$5:$J$231,0)-1,0),0)</f>
        <v>0</v>
      </c>
      <c r="V205" s="18"/>
      <c r="W205" s="88"/>
      <c r="X205" s="16">
        <f ca="1">IFERROR(OFFSET(ITEM_RES!$A$5,MATCH(BUILDING!W205,ITEM_RES!$J$5:$J$231,0)-1,0),0)</f>
        <v>0</v>
      </c>
      <c r="Y205" s="80"/>
      <c r="Z205" s="16" t="s">
        <v>648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212040001</v>
      </c>
      <c r="AQ205" s="17" t="s">
        <v>414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213010001</v>
      </c>
      <c r="BA205" s="17" t="s">
        <v>419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647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IFERROR(OFFSET(ITEM_RES!$A$5,MATCH(BUILDING!T206,ITEM_RES!$J$5:$J$231,0)-1,0),0)</f>
        <v>0</v>
      </c>
      <c r="X206" s="9">
        <f ca="1">IFERROR(OFFSET(ITEM_RES!$A$5,MATCH(BUILDING!W206,ITEM_RES!$J$5:$J$231,0)-1,0),0)</f>
        <v>0</v>
      </c>
      <c r="Z206" s="9" t="s">
        <v>648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212040001</v>
      </c>
      <c r="AQ206" s="10" t="s">
        <v>414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647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IFERROR(OFFSET(ITEM_RES!$A$5,MATCH(BUILDING!T207,ITEM_RES!$J$5:$J$231,0)-1,0),0)</f>
        <v>0</v>
      </c>
      <c r="X207" s="9">
        <f ca="1">IFERROR(OFFSET(ITEM_RES!$A$5,MATCH(BUILDING!W207,ITEM_RES!$J$5:$J$231,0)-1,0),0)</f>
        <v>0</v>
      </c>
      <c r="Z207" s="9" t="s">
        <v>648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212040001</v>
      </c>
      <c r="AQ207" s="10" t="s">
        <v>414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647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IFERROR(OFFSET(ITEM_RES!$A$5,MATCH(BUILDING!T208,ITEM_RES!$J$5:$J$231,0)-1,0),0)</f>
        <v>0</v>
      </c>
      <c r="X208" s="9">
        <f ca="1">IFERROR(OFFSET(ITEM_RES!$A$5,MATCH(BUILDING!W208,ITEM_RES!$J$5:$J$231,0)-1,0),0)</f>
        <v>0</v>
      </c>
      <c r="Z208" s="9" t="s">
        <v>648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212040001</v>
      </c>
      <c r="AQ208" s="10" t="s">
        <v>414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647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IFERROR(OFFSET(ITEM_RES!$A$5,MATCH(BUILDING!T209,ITEM_RES!$J$5:$J$231,0)-1,0),0)</f>
        <v>0</v>
      </c>
      <c r="X209" s="9">
        <f ca="1">IFERROR(OFFSET(ITEM_RES!$A$5,MATCH(BUILDING!W209,ITEM_RES!$J$5:$J$231,0)-1,0),0)</f>
        <v>0</v>
      </c>
      <c r="Z209" s="9" t="s">
        <v>648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212040001</v>
      </c>
      <c r="AQ209" s="10" t="s">
        <v>414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647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IFERROR(OFFSET(ITEM_RES!$A$5,MATCH(BUILDING!T210,ITEM_RES!$J$5:$J$231,0)-1,0),0)</f>
        <v>0</v>
      </c>
      <c r="X210" s="9">
        <f ca="1">IFERROR(OFFSET(ITEM_RES!$A$5,MATCH(BUILDING!W210,ITEM_RES!$J$5:$J$231,0)-1,0),0)</f>
        <v>0</v>
      </c>
      <c r="Z210" s="9" t="s">
        <v>648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212040001</v>
      </c>
      <c r="AQ210" s="10" t="s">
        <v>414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647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IFERROR(OFFSET(ITEM_RES!$A$5,MATCH(BUILDING!T211,ITEM_RES!$J$5:$J$231,0)-1,0),0)</f>
        <v>0</v>
      </c>
      <c r="X211" s="9">
        <f ca="1">IFERROR(OFFSET(ITEM_RES!$A$5,MATCH(BUILDING!W211,ITEM_RES!$J$5:$J$231,0)-1,0),0)</f>
        <v>0</v>
      </c>
      <c r="Z211" s="9" t="s">
        <v>648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212040001</v>
      </c>
      <c r="AQ211" s="10" t="s">
        <v>414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647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IFERROR(OFFSET(ITEM_RES!$A$5,MATCH(BUILDING!T212,ITEM_RES!$J$5:$J$231,0)-1,0),0)</f>
        <v>0</v>
      </c>
      <c r="X212" s="9">
        <f ca="1">IFERROR(OFFSET(ITEM_RES!$A$5,MATCH(BUILDING!W212,ITEM_RES!$J$5:$J$231,0)-1,0),0)</f>
        <v>0</v>
      </c>
      <c r="Z212" s="9" t="s">
        <v>648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212040001</v>
      </c>
      <c r="AQ212" s="10" t="s">
        <v>414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647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IFERROR(OFFSET(ITEM_RES!$A$5,MATCH(BUILDING!T213,ITEM_RES!$J$5:$J$231,0)-1,0),0)</f>
        <v>0</v>
      </c>
      <c r="X213" s="9">
        <f ca="1">IFERROR(OFFSET(ITEM_RES!$A$5,MATCH(BUILDING!W213,ITEM_RES!$J$5:$J$231,0)-1,0),0)</f>
        <v>0</v>
      </c>
      <c r="Z213" s="9" t="s">
        <v>648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212040001</v>
      </c>
      <c r="AQ213" s="10" t="s">
        <v>414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647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IFERROR(OFFSET(ITEM_RES!$A$5,MATCH(BUILDING!T214,ITEM_RES!$J$5:$J$231,0)-1,0),0)</f>
        <v>0</v>
      </c>
      <c r="X214" s="9">
        <f ca="1">IFERROR(OFFSET(ITEM_RES!$A$5,MATCH(BUILDING!W214,ITEM_RES!$J$5:$J$231,0)-1,0),0)</f>
        <v>0</v>
      </c>
      <c r="Z214" s="9" t="s">
        <v>648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212040001</v>
      </c>
      <c r="AQ214" s="10" t="s">
        <v>414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213080001</v>
      </c>
      <c r="BF214" s="10" t="s">
        <v>505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647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IFERROR(OFFSET(ITEM_RES!$A$5,MATCH(BUILDING!T215,ITEM_RES!$J$5:$J$231,0)-1,0),0)</f>
        <v>0</v>
      </c>
      <c r="X215" s="9">
        <f ca="1">IFERROR(OFFSET(ITEM_RES!$A$5,MATCH(BUILDING!W215,ITEM_RES!$J$5:$J$231,0)-1,0),0)</f>
        <v>0</v>
      </c>
      <c r="Z215" s="9" t="s">
        <v>648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212040001</v>
      </c>
      <c r="AQ215" s="10" t="s">
        <v>414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647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IFERROR(OFFSET(ITEM_RES!$A$5,MATCH(BUILDING!T216,ITEM_RES!$J$5:$J$231,0)-1,0),0)</f>
        <v>0</v>
      </c>
      <c r="X216" s="9">
        <f ca="1">IFERROR(OFFSET(ITEM_RES!$A$5,MATCH(BUILDING!W216,ITEM_RES!$J$5:$J$231,0)-1,0),0)</f>
        <v>0</v>
      </c>
      <c r="Z216" s="9" t="s">
        <v>648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212040001</v>
      </c>
      <c r="AQ216" s="10" t="s">
        <v>414</v>
      </c>
      <c r="AR216" s="11">
        <v>1500</v>
      </c>
      <c r="AU216" s="11">
        <f ca="1">IFERROR(OFFSET(ITEM_RES!$A$1,MATCH(AV216,ITEM_RES!$J:$J,0)-1,0),0)</f>
        <v>215050001</v>
      </c>
      <c r="AV216" s="10" t="s">
        <v>415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647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IFERROR(OFFSET(ITEM_RES!$A$5,MATCH(BUILDING!T217,ITEM_RES!$J$5:$J$231,0)-1,0),0)</f>
        <v>0</v>
      </c>
      <c r="X217" s="9">
        <f ca="1">IFERROR(OFFSET(ITEM_RES!$A$5,MATCH(BUILDING!W217,ITEM_RES!$J$5:$J$231,0)-1,0),0)</f>
        <v>0</v>
      </c>
      <c r="Z217" s="9" t="s">
        <v>648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212040001</v>
      </c>
      <c r="AQ217" s="10" t="s">
        <v>414</v>
      </c>
      <c r="AR217" s="11">
        <v>1750</v>
      </c>
      <c r="AU217" s="11">
        <f ca="1">IFERROR(OFFSET(ITEM_RES!$A$1,MATCH(AV217,ITEM_RES!$J:$J,0)-1,0),0)</f>
        <v>215050001</v>
      </c>
      <c r="AV217" s="10" t="s">
        <v>415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647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IFERROR(OFFSET(ITEM_RES!$A$5,MATCH(BUILDING!T218,ITEM_RES!$J$5:$J$231,0)-1,0),0)</f>
        <v>0</v>
      </c>
      <c r="X218" s="9">
        <f ca="1">IFERROR(OFFSET(ITEM_RES!$A$5,MATCH(BUILDING!W218,ITEM_RES!$J$5:$J$231,0)-1,0),0)</f>
        <v>0</v>
      </c>
      <c r="Z218" s="9" t="s">
        <v>648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212040001</v>
      </c>
      <c r="AQ218" s="10" t="s">
        <v>414</v>
      </c>
      <c r="AR218" s="11">
        <v>2250</v>
      </c>
      <c r="AU218" s="11">
        <f ca="1">IFERROR(OFFSET(ITEM_RES!$A$1,MATCH(AV218,ITEM_RES!$J:$J,0)-1,0),0)</f>
        <v>215050001</v>
      </c>
      <c r="AV218" s="10" t="s">
        <v>415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647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IFERROR(OFFSET(ITEM_RES!$A$5,MATCH(BUILDING!T219,ITEM_RES!$J$5:$J$231,0)-1,0),0)</f>
        <v>0</v>
      </c>
      <c r="X219" s="9">
        <f ca="1">IFERROR(OFFSET(ITEM_RES!$A$5,MATCH(BUILDING!W219,ITEM_RES!$J$5:$J$231,0)-1,0),0)</f>
        <v>0</v>
      </c>
      <c r="Z219" s="9" t="s">
        <v>648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212040001</v>
      </c>
      <c r="AQ219" s="10" t="s">
        <v>414</v>
      </c>
      <c r="AR219" s="11">
        <v>2750</v>
      </c>
      <c r="AU219" s="11">
        <f ca="1">IFERROR(OFFSET(ITEM_RES!$A$1,MATCH(AV219,ITEM_RES!$J:$J,0)-1,0),0)</f>
        <v>215050001</v>
      </c>
      <c r="AV219" s="10" t="s">
        <v>415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647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IFERROR(OFFSET(ITEM_RES!$A$5,MATCH(BUILDING!T220,ITEM_RES!$J$5:$J$231,0)-1,0),0)</f>
        <v>0</v>
      </c>
      <c r="X220" s="9">
        <f ca="1">IFERROR(OFFSET(ITEM_RES!$A$5,MATCH(BUILDING!W220,ITEM_RES!$J$5:$J$231,0)-1,0),0)</f>
        <v>0</v>
      </c>
      <c r="Z220" s="9" t="s">
        <v>648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212040001</v>
      </c>
      <c r="AQ220" s="10" t="s">
        <v>414</v>
      </c>
      <c r="AR220" s="11">
        <v>3500</v>
      </c>
      <c r="AU220" s="11">
        <f ca="1">IFERROR(OFFSET(ITEM_RES!$A$1,MATCH(AV220,ITEM_RES!$J:$J,0)-1,0),0)</f>
        <v>215050001</v>
      </c>
      <c r="AV220" s="10" t="s">
        <v>415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647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IFERROR(OFFSET(ITEM_RES!$A$5,MATCH(BUILDING!T221,ITEM_RES!$J$5:$J$231,0)-1,0),0)</f>
        <v>0</v>
      </c>
      <c r="X221" s="9">
        <f ca="1">IFERROR(OFFSET(ITEM_RES!$A$5,MATCH(BUILDING!W221,ITEM_RES!$J$5:$J$231,0)-1,0),0)</f>
        <v>0</v>
      </c>
      <c r="Z221" s="9" t="s">
        <v>648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212040001</v>
      </c>
      <c r="AQ221" s="10" t="s">
        <v>414</v>
      </c>
      <c r="AR221" s="11">
        <v>4250</v>
      </c>
      <c r="AU221" s="11">
        <f ca="1">IFERROR(OFFSET(ITEM_RES!$A$1,MATCH(AV221,ITEM_RES!$J:$J,0)-1,0),0)</f>
        <v>215050001</v>
      </c>
      <c r="AV221" s="10" t="s">
        <v>415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647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IFERROR(OFFSET(ITEM_RES!$A$5,MATCH(BUILDING!T222,ITEM_RES!$J$5:$J$231,0)-1,0),0)</f>
        <v>0</v>
      </c>
      <c r="X222" s="9">
        <f ca="1">IFERROR(OFFSET(ITEM_RES!$A$5,MATCH(BUILDING!W222,ITEM_RES!$J$5:$J$231,0)-1,0),0)</f>
        <v>0</v>
      </c>
      <c r="Z222" s="9" t="s">
        <v>648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212040001</v>
      </c>
      <c r="AQ222" s="10" t="s">
        <v>414</v>
      </c>
      <c r="AR222" s="11">
        <v>5250</v>
      </c>
      <c r="AU222" s="11">
        <f ca="1">IFERROR(OFFSET(ITEM_RES!$A$1,MATCH(AV222,ITEM_RES!$J:$J,0)-1,0),0)</f>
        <v>215050001</v>
      </c>
      <c r="AV222" s="10" t="s">
        <v>415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647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IFERROR(OFFSET(ITEM_RES!$A$5,MATCH(BUILDING!T223,ITEM_RES!$J$5:$J$231,0)-1,0),0)</f>
        <v>0</v>
      </c>
      <c r="X223" s="9">
        <f ca="1">IFERROR(OFFSET(ITEM_RES!$A$5,MATCH(BUILDING!W223,ITEM_RES!$J$5:$J$231,0)-1,0),0)</f>
        <v>0</v>
      </c>
      <c r="Z223" s="9" t="s">
        <v>648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215050001</v>
      </c>
      <c r="AQ223" s="10" t="s">
        <v>415</v>
      </c>
      <c r="AR223" s="11">
        <v>6250</v>
      </c>
      <c r="AU223" s="11">
        <f ca="1">IFERROR(OFFSET(ITEM_RES!$A$1,MATCH(AV223,ITEM_RES!$J:$J,0)-1,0),0)</f>
        <v>215070001</v>
      </c>
      <c r="AV223" s="10" t="s">
        <v>457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647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IFERROR(OFFSET(ITEM_RES!$A$5,MATCH(BUILDING!T224,ITEM_RES!$J$5:$J$231,0)-1,0),0)</f>
        <v>0</v>
      </c>
      <c r="X224" s="9">
        <f ca="1">IFERROR(OFFSET(ITEM_RES!$A$5,MATCH(BUILDING!W224,ITEM_RES!$J$5:$J$231,0)-1,0),0)</f>
        <v>0</v>
      </c>
      <c r="Z224" s="9" t="s">
        <v>648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215050001</v>
      </c>
      <c r="AQ224" s="10" t="s">
        <v>415</v>
      </c>
      <c r="AR224" s="11">
        <v>7500</v>
      </c>
      <c r="AU224" s="11">
        <f ca="1">IFERROR(OFFSET(ITEM_RES!$A$1,MATCH(AV224,ITEM_RES!$J:$J,0)-1,0),0)</f>
        <v>215070001</v>
      </c>
      <c r="AV224" s="10" t="s">
        <v>457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384</v>
      </c>
      <c r="L225" s="16">
        <v>1</v>
      </c>
      <c r="M225" s="16">
        <v>15</v>
      </c>
      <c r="N225" s="16"/>
      <c r="O225" s="17"/>
      <c r="P225" s="17"/>
      <c r="Q225" s="18"/>
      <c r="R225" s="16">
        <v>77</v>
      </c>
      <c r="S225" s="80"/>
      <c r="T225" s="88"/>
      <c r="U225" s="16">
        <f ca="1">IFERROR(OFFSET(ITEM_RES!$A$5,MATCH(BUILDING!T225,ITEM_RES!$J$5:$J$231,0)-1,0),0)</f>
        <v>0</v>
      </c>
      <c r="V225" s="18"/>
      <c r="W225" s="88"/>
      <c r="X225" s="16">
        <f ca="1">IFERROR(OFFSET(ITEM_RES!$A$5,MATCH(BUILDING!W225,ITEM_RES!$J$5:$J$231,0)-1,0),0)</f>
        <v>0</v>
      </c>
      <c r="Y225" s="80"/>
      <c r="Z225" s="16" t="s">
        <v>583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212040001</v>
      </c>
      <c r="AQ225" s="17" t="s">
        <v>470</v>
      </c>
      <c r="AR225" s="18">
        <v>25</v>
      </c>
      <c r="AS225" s="17"/>
      <c r="AT225" s="18"/>
      <c r="AU225" s="18">
        <f ca="1">IFERROR(OFFSET(ITEM_RES!$A$1,MATCH(AV225,ITEM_RES!$J:$J,0)-1,0),0)</f>
        <v>212010001</v>
      </c>
      <c r="AV225" s="17" t="s">
        <v>456</v>
      </c>
      <c r="AW225" s="18">
        <v>25</v>
      </c>
      <c r="AX225" s="17"/>
      <c r="AY225" s="18"/>
      <c r="AZ225" s="18">
        <f ca="1">IFERROR(OFFSET(ITEM_RES!$A$1,MATCH(BA225,ITEM_RES!$J:$J,0)-1,0),0)</f>
        <v>213010001</v>
      </c>
      <c r="BA225" s="17" t="s">
        <v>495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384</v>
      </c>
      <c r="L226" s="9">
        <v>1</v>
      </c>
      <c r="M226" s="9">
        <v>15</v>
      </c>
      <c r="N226" s="85"/>
      <c r="R226" s="9">
        <v>77</v>
      </c>
      <c r="U226" s="9">
        <f ca="1">IFERROR(OFFSET(ITEM_RES!$A$5,MATCH(BUILDING!T226,ITEM_RES!$J$5:$J$231,0)-1,0),0)</f>
        <v>0</v>
      </c>
      <c r="X226" s="9">
        <f ca="1">IFERROR(OFFSET(ITEM_RES!$A$5,MATCH(BUILDING!W226,ITEM_RES!$J$5:$J$231,0)-1,0),0)</f>
        <v>0</v>
      </c>
      <c r="Z226" s="9" t="s">
        <v>583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212040001</v>
      </c>
      <c r="AQ226" s="10" t="s">
        <v>470</v>
      </c>
      <c r="AR226" s="11">
        <v>50</v>
      </c>
      <c r="AU226" s="11">
        <f ca="1">IFERROR(OFFSET(ITEM_RES!$A$1,MATCH(AV226,ITEM_RES!$J:$J,0)-1,0),0)</f>
        <v>212010001</v>
      </c>
      <c r="AV226" s="10" t="s">
        <v>456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384</v>
      </c>
      <c r="L227" s="9">
        <v>1</v>
      </c>
      <c r="M227" s="9">
        <v>15</v>
      </c>
      <c r="R227" s="9">
        <v>77</v>
      </c>
      <c r="U227" s="9">
        <f ca="1">IFERROR(OFFSET(ITEM_RES!$A$5,MATCH(BUILDING!T227,ITEM_RES!$J$5:$J$231,0)-1,0),0)</f>
        <v>0</v>
      </c>
      <c r="X227" s="9">
        <f ca="1">IFERROR(OFFSET(ITEM_RES!$A$5,MATCH(BUILDING!W227,ITEM_RES!$J$5:$J$231,0)-1,0),0)</f>
        <v>0</v>
      </c>
      <c r="Z227" s="9" t="s">
        <v>583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212040001</v>
      </c>
      <c r="AQ227" s="10" t="s">
        <v>470</v>
      </c>
      <c r="AR227" s="11">
        <v>75</v>
      </c>
      <c r="AU227" s="11">
        <f ca="1">IFERROR(OFFSET(ITEM_RES!$A$1,MATCH(AV227,ITEM_RES!$J:$J,0)-1,0),0)</f>
        <v>212010001</v>
      </c>
      <c r="AV227" s="10" t="s">
        <v>456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384</v>
      </c>
      <c r="L228" s="9">
        <v>1</v>
      </c>
      <c r="M228" s="9">
        <v>15</v>
      </c>
      <c r="R228" s="9">
        <v>77</v>
      </c>
      <c r="U228" s="9">
        <f ca="1">IFERROR(OFFSET(ITEM_RES!$A$5,MATCH(BUILDING!T228,ITEM_RES!$J$5:$J$231,0)-1,0),0)</f>
        <v>0</v>
      </c>
      <c r="X228" s="9">
        <f ca="1">IFERROR(OFFSET(ITEM_RES!$A$5,MATCH(BUILDING!W228,ITEM_RES!$J$5:$J$231,0)-1,0),0)</f>
        <v>0</v>
      </c>
      <c r="Z228" s="9" t="s">
        <v>583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212040001</v>
      </c>
      <c r="AQ228" s="10" t="s">
        <v>470</v>
      </c>
      <c r="AR228" s="11">
        <v>125</v>
      </c>
      <c r="AU228" s="11">
        <f ca="1">IFERROR(OFFSET(ITEM_RES!$A$1,MATCH(AV228,ITEM_RES!$J:$J,0)-1,0),0)</f>
        <v>212010001</v>
      </c>
      <c r="AV228" s="10" t="s">
        <v>456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384</v>
      </c>
      <c r="L229" s="9">
        <v>1</v>
      </c>
      <c r="M229" s="9">
        <v>15</v>
      </c>
      <c r="R229" s="9">
        <v>77</v>
      </c>
      <c r="U229" s="9">
        <f ca="1">IFERROR(OFFSET(ITEM_RES!$A$5,MATCH(BUILDING!T229,ITEM_RES!$J$5:$J$231,0)-1,0),0)</f>
        <v>0</v>
      </c>
      <c r="X229" s="9">
        <f ca="1">IFERROR(OFFSET(ITEM_RES!$A$5,MATCH(BUILDING!W229,ITEM_RES!$J$5:$J$231,0)-1,0),0)</f>
        <v>0</v>
      </c>
      <c r="Z229" s="9" t="s">
        <v>583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212040001</v>
      </c>
      <c r="AQ229" s="10" t="s">
        <v>470</v>
      </c>
      <c r="AR229" s="11">
        <v>200</v>
      </c>
      <c r="AU229" s="11">
        <f ca="1">IFERROR(OFFSET(ITEM_RES!$A$1,MATCH(AV229,ITEM_RES!$J:$J,0)-1,0),0)</f>
        <v>212010001</v>
      </c>
      <c r="AV229" s="10" t="s">
        <v>456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384</v>
      </c>
      <c r="L230" s="9">
        <v>1</v>
      </c>
      <c r="M230" s="9">
        <v>15</v>
      </c>
      <c r="R230" s="9">
        <v>77</v>
      </c>
      <c r="U230" s="9">
        <f ca="1">IFERROR(OFFSET(ITEM_RES!$A$5,MATCH(BUILDING!T230,ITEM_RES!$J$5:$J$231,0)-1,0),0)</f>
        <v>0</v>
      </c>
      <c r="X230" s="9">
        <f ca="1">IFERROR(OFFSET(ITEM_RES!$A$5,MATCH(BUILDING!W230,ITEM_RES!$J$5:$J$231,0)-1,0),0)</f>
        <v>0</v>
      </c>
      <c r="Z230" s="9" t="s">
        <v>583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212040001</v>
      </c>
      <c r="AQ230" s="10" t="s">
        <v>470</v>
      </c>
      <c r="AR230" s="11">
        <v>250</v>
      </c>
      <c r="AU230" s="11">
        <f ca="1">IFERROR(OFFSET(ITEM_RES!$A$1,MATCH(AV230,ITEM_RES!$J:$J,0)-1,0),0)</f>
        <v>212010001</v>
      </c>
      <c r="AV230" s="10" t="s">
        <v>456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384</v>
      </c>
      <c r="L231" s="9">
        <v>1</v>
      </c>
      <c r="M231" s="9">
        <v>15</v>
      </c>
      <c r="R231" s="9">
        <v>77</v>
      </c>
      <c r="U231" s="9">
        <f ca="1">IFERROR(OFFSET(ITEM_RES!$A$5,MATCH(BUILDING!T231,ITEM_RES!$J$5:$J$231,0)-1,0),0)</f>
        <v>0</v>
      </c>
      <c r="X231" s="9">
        <f ca="1">IFERROR(OFFSET(ITEM_RES!$A$5,MATCH(BUILDING!W231,ITEM_RES!$J$5:$J$231,0)-1,0),0)</f>
        <v>0</v>
      </c>
      <c r="Z231" s="9" t="s">
        <v>583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212040001</v>
      </c>
      <c r="AQ231" s="10" t="s">
        <v>470</v>
      </c>
      <c r="AR231" s="11">
        <v>500</v>
      </c>
      <c r="AU231" s="11">
        <f ca="1">IFERROR(OFFSET(ITEM_RES!$A$1,MATCH(AV231,ITEM_RES!$J:$J,0)-1,0),0)</f>
        <v>212010001</v>
      </c>
      <c r="AV231" s="10" t="s">
        <v>456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384</v>
      </c>
      <c r="L232" s="9">
        <v>1</v>
      </c>
      <c r="M232" s="9">
        <v>15</v>
      </c>
      <c r="R232" s="9">
        <v>77</v>
      </c>
      <c r="U232" s="9">
        <f ca="1">IFERROR(OFFSET(ITEM_RES!$A$5,MATCH(BUILDING!T232,ITEM_RES!$J$5:$J$231,0)-1,0),0)</f>
        <v>0</v>
      </c>
      <c r="X232" s="9">
        <f ca="1">IFERROR(OFFSET(ITEM_RES!$A$5,MATCH(BUILDING!W232,ITEM_RES!$J$5:$J$231,0)-1,0),0)</f>
        <v>0</v>
      </c>
      <c r="Z232" s="9" t="s">
        <v>583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212040001</v>
      </c>
      <c r="AQ232" s="10" t="s">
        <v>470</v>
      </c>
      <c r="AR232" s="11">
        <v>500</v>
      </c>
      <c r="AU232" s="11">
        <f ca="1">IFERROR(OFFSET(ITEM_RES!$A$1,MATCH(AV232,ITEM_RES!$J:$J,0)-1,0),0)</f>
        <v>212010001</v>
      </c>
      <c r="AV232" s="10" t="s">
        <v>456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384</v>
      </c>
      <c r="L233" s="9">
        <v>1</v>
      </c>
      <c r="M233" s="9">
        <v>15</v>
      </c>
      <c r="R233" s="9">
        <v>77</v>
      </c>
      <c r="U233" s="9">
        <f ca="1">IFERROR(OFFSET(ITEM_RES!$A$5,MATCH(BUILDING!T233,ITEM_RES!$J$5:$J$231,0)-1,0),0)</f>
        <v>0</v>
      </c>
      <c r="X233" s="9">
        <f ca="1">IFERROR(OFFSET(ITEM_RES!$A$5,MATCH(BUILDING!W233,ITEM_RES!$J$5:$J$231,0)-1,0),0)</f>
        <v>0</v>
      </c>
      <c r="Z233" s="9" t="s">
        <v>583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212040001</v>
      </c>
      <c r="AQ233" s="10" t="s">
        <v>470</v>
      </c>
      <c r="AR233" s="11">
        <v>750</v>
      </c>
      <c r="AU233" s="11">
        <f ca="1">IFERROR(OFFSET(ITEM_RES!$A$1,MATCH(AV233,ITEM_RES!$J:$J,0)-1,0),0)</f>
        <v>212010001</v>
      </c>
      <c r="AV233" s="10" t="s">
        <v>456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384</v>
      </c>
      <c r="L234" s="9">
        <v>1</v>
      </c>
      <c r="M234" s="9">
        <v>15</v>
      </c>
      <c r="R234" s="9">
        <v>77</v>
      </c>
      <c r="U234" s="9">
        <f ca="1">IFERROR(OFFSET(ITEM_RES!$A$5,MATCH(BUILDING!T234,ITEM_RES!$J$5:$J$231,0)-1,0),0)</f>
        <v>0</v>
      </c>
      <c r="X234" s="9">
        <f ca="1">IFERROR(OFFSET(ITEM_RES!$A$5,MATCH(BUILDING!W234,ITEM_RES!$J$5:$J$231,0)-1,0),0)</f>
        <v>0</v>
      </c>
      <c r="Z234" s="9" t="s">
        <v>583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212040001</v>
      </c>
      <c r="AQ234" s="10" t="s">
        <v>470</v>
      </c>
      <c r="AR234" s="11">
        <v>1000</v>
      </c>
      <c r="AU234" s="11">
        <f ca="1">IFERROR(OFFSET(ITEM_RES!$A$1,MATCH(AV234,ITEM_RES!$J:$J,0)-1,0),0)</f>
        <v>212010001</v>
      </c>
      <c r="AV234" s="10" t="s">
        <v>456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213090001</v>
      </c>
      <c r="BF234" s="10" t="s">
        <v>570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384</v>
      </c>
      <c r="L235" s="9">
        <v>1</v>
      </c>
      <c r="M235" s="9">
        <v>15</v>
      </c>
      <c r="R235" s="9">
        <v>77</v>
      </c>
      <c r="U235" s="9">
        <f ca="1">IFERROR(OFFSET(ITEM_RES!$A$5,MATCH(BUILDING!T235,ITEM_RES!$J$5:$J$231,0)-1,0),0)</f>
        <v>0</v>
      </c>
      <c r="X235" s="9">
        <f ca="1">IFERROR(OFFSET(ITEM_RES!$A$5,MATCH(BUILDING!W235,ITEM_RES!$J$5:$J$231,0)-1,0),0)</f>
        <v>0</v>
      </c>
      <c r="Z235" s="9" t="s">
        <v>583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215050001</v>
      </c>
      <c r="AQ235" s="10" t="s">
        <v>484</v>
      </c>
      <c r="AR235" s="11">
        <v>1250</v>
      </c>
      <c r="AU235" s="11">
        <f ca="1">IFERROR(OFFSET(ITEM_RES!$A$1,MATCH(AV235,ITEM_RES!$J:$J,0)-1,0),0)</f>
        <v>212010001</v>
      </c>
      <c r="AV235" s="10" t="s">
        <v>456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384</v>
      </c>
      <c r="L236" s="9">
        <v>1</v>
      </c>
      <c r="M236" s="9">
        <v>15</v>
      </c>
      <c r="R236" s="9">
        <v>77</v>
      </c>
      <c r="U236" s="9">
        <f ca="1">IFERROR(OFFSET(ITEM_RES!$A$5,MATCH(BUILDING!T236,ITEM_RES!$J$5:$J$231,0)-1,0),0)</f>
        <v>0</v>
      </c>
      <c r="X236" s="9">
        <f ca="1">IFERROR(OFFSET(ITEM_RES!$A$5,MATCH(BUILDING!W236,ITEM_RES!$J$5:$J$231,0)-1,0),0)</f>
        <v>0</v>
      </c>
      <c r="Z236" s="9" t="s">
        <v>583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215050001</v>
      </c>
      <c r="AQ236" s="10" t="s">
        <v>484</v>
      </c>
      <c r="AR236" s="11">
        <v>1500</v>
      </c>
      <c r="AU236" s="11">
        <f ca="1">IFERROR(OFFSET(ITEM_RES!$A$1,MATCH(AV236,ITEM_RES!$J:$J,0)-1,0),0)</f>
        <v>212010001</v>
      </c>
      <c r="AV236" s="10" t="s">
        <v>456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384</v>
      </c>
      <c r="L237" s="9">
        <v>1</v>
      </c>
      <c r="M237" s="9">
        <v>15</v>
      </c>
      <c r="R237" s="9">
        <v>77</v>
      </c>
      <c r="U237" s="9">
        <f ca="1">IFERROR(OFFSET(ITEM_RES!$A$5,MATCH(BUILDING!T237,ITEM_RES!$J$5:$J$231,0)-1,0),0)</f>
        <v>0</v>
      </c>
      <c r="X237" s="9">
        <f ca="1">IFERROR(OFFSET(ITEM_RES!$A$5,MATCH(BUILDING!W237,ITEM_RES!$J$5:$J$231,0)-1,0),0)</f>
        <v>0</v>
      </c>
      <c r="Z237" s="9" t="s">
        <v>583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215050001</v>
      </c>
      <c r="AQ237" s="10" t="s">
        <v>484</v>
      </c>
      <c r="AR237" s="11">
        <v>1750</v>
      </c>
      <c r="AU237" s="11">
        <f ca="1">IFERROR(OFFSET(ITEM_RES!$A$1,MATCH(AV237,ITEM_RES!$J:$J,0)-1,0),0)</f>
        <v>212010001</v>
      </c>
      <c r="AV237" s="10" t="s">
        <v>456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384</v>
      </c>
      <c r="L238" s="9">
        <v>1</v>
      </c>
      <c r="M238" s="9">
        <v>15</v>
      </c>
      <c r="R238" s="9">
        <v>77</v>
      </c>
      <c r="U238" s="9">
        <f ca="1">IFERROR(OFFSET(ITEM_RES!$A$5,MATCH(BUILDING!T238,ITEM_RES!$J$5:$J$231,0)-1,0),0)</f>
        <v>0</v>
      </c>
      <c r="X238" s="9">
        <f ca="1">IFERROR(OFFSET(ITEM_RES!$A$5,MATCH(BUILDING!W238,ITEM_RES!$J$5:$J$231,0)-1,0),0)</f>
        <v>0</v>
      </c>
      <c r="Z238" s="9" t="s">
        <v>583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215050001</v>
      </c>
      <c r="AQ238" s="10" t="s">
        <v>484</v>
      </c>
      <c r="AR238" s="11">
        <v>2250</v>
      </c>
      <c r="AU238" s="11">
        <f ca="1">IFERROR(OFFSET(ITEM_RES!$A$1,MATCH(AV238,ITEM_RES!$J:$J,0)-1,0),0)</f>
        <v>212010001</v>
      </c>
      <c r="AV238" s="10" t="s">
        <v>456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384</v>
      </c>
      <c r="L239" s="9">
        <v>1</v>
      </c>
      <c r="M239" s="9">
        <v>15</v>
      </c>
      <c r="R239" s="9">
        <v>77</v>
      </c>
      <c r="U239" s="9">
        <f ca="1">IFERROR(OFFSET(ITEM_RES!$A$5,MATCH(BUILDING!T239,ITEM_RES!$J$5:$J$231,0)-1,0),0)</f>
        <v>0</v>
      </c>
      <c r="X239" s="9">
        <f ca="1">IFERROR(OFFSET(ITEM_RES!$A$5,MATCH(BUILDING!W239,ITEM_RES!$J$5:$J$231,0)-1,0),0)</f>
        <v>0</v>
      </c>
      <c r="Z239" s="9" t="s">
        <v>583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215050001</v>
      </c>
      <c r="AQ239" s="10" t="s">
        <v>484</v>
      </c>
      <c r="AR239" s="11">
        <v>2750</v>
      </c>
      <c r="AU239" s="11">
        <f ca="1">IFERROR(OFFSET(ITEM_RES!$A$1,MATCH(AV239,ITEM_RES!$J:$J,0)-1,0),0)</f>
        <v>212010001</v>
      </c>
      <c r="AV239" s="10" t="s">
        <v>471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384</v>
      </c>
      <c r="L240" s="9">
        <v>0</v>
      </c>
      <c r="M240" s="9">
        <v>15</v>
      </c>
      <c r="R240" s="9">
        <v>77</v>
      </c>
      <c r="U240" s="9">
        <f ca="1">IFERROR(OFFSET(ITEM_RES!$A$5,MATCH(BUILDING!T240,ITEM_RES!$J$5:$J$231,0)-1,0),0)</f>
        <v>0</v>
      </c>
      <c r="X240" s="9">
        <f ca="1">IFERROR(OFFSET(ITEM_RES!$A$5,MATCH(BUILDING!W240,ITEM_RES!$J$5:$J$231,0)-1,0),0)</f>
        <v>0</v>
      </c>
      <c r="Z240" s="9" t="s">
        <v>583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215050001</v>
      </c>
      <c r="AQ240" s="10" t="s">
        <v>484</v>
      </c>
      <c r="AR240" s="11">
        <v>3500</v>
      </c>
      <c r="AU240" s="11">
        <f ca="1">IFERROR(OFFSET(ITEM_RES!$A$1,MATCH(AV240,ITEM_RES!$J:$J,0)-1,0),0)</f>
        <v>215070001</v>
      </c>
      <c r="AV240" s="10" t="s">
        <v>467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384</v>
      </c>
      <c r="L241" s="9">
        <v>0</v>
      </c>
      <c r="M241" s="9">
        <v>15</v>
      </c>
      <c r="R241" s="9">
        <v>77</v>
      </c>
      <c r="U241" s="9">
        <f ca="1">IFERROR(OFFSET(ITEM_RES!$A$5,MATCH(BUILDING!T241,ITEM_RES!$J$5:$J$231,0)-1,0),0)</f>
        <v>0</v>
      </c>
      <c r="X241" s="9">
        <f ca="1">IFERROR(OFFSET(ITEM_RES!$A$5,MATCH(BUILDING!W241,ITEM_RES!$J$5:$J$231,0)-1,0),0)</f>
        <v>0</v>
      </c>
      <c r="Z241" s="9" t="s">
        <v>583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215050001</v>
      </c>
      <c r="AQ241" s="10" t="s">
        <v>484</v>
      </c>
      <c r="AR241" s="11">
        <v>4250</v>
      </c>
      <c r="AU241" s="11">
        <f ca="1">IFERROR(OFFSET(ITEM_RES!$A$1,MATCH(AV241,ITEM_RES!$J:$J,0)-1,0),0)</f>
        <v>215070001</v>
      </c>
      <c r="AV241" s="10" t="s">
        <v>457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384</v>
      </c>
      <c r="L242" s="9">
        <v>0</v>
      </c>
      <c r="M242" s="9">
        <v>15</v>
      </c>
      <c r="R242" s="9">
        <v>77</v>
      </c>
      <c r="U242" s="9">
        <f ca="1">IFERROR(OFFSET(ITEM_RES!$A$5,MATCH(BUILDING!T242,ITEM_RES!$J$5:$J$231,0)-1,0),0)</f>
        <v>0</v>
      </c>
      <c r="X242" s="9">
        <f ca="1">IFERROR(OFFSET(ITEM_RES!$A$5,MATCH(BUILDING!W242,ITEM_RES!$J$5:$J$231,0)-1,0),0)</f>
        <v>0</v>
      </c>
      <c r="Z242" s="9" t="s">
        <v>583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215050001</v>
      </c>
      <c r="AQ242" s="10" t="s">
        <v>484</v>
      </c>
      <c r="AR242" s="11">
        <v>5250</v>
      </c>
      <c r="AU242" s="11">
        <f ca="1">IFERROR(OFFSET(ITEM_RES!$A$1,MATCH(AV242,ITEM_RES!$J:$J,0)-1,0),0)</f>
        <v>215070001</v>
      </c>
      <c r="AV242" s="10" t="s">
        <v>457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384</v>
      </c>
      <c r="L243" s="9">
        <v>0</v>
      </c>
      <c r="M243" s="9">
        <v>15</v>
      </c>
      <c r="R243" s="9">
        <v>77</v>
      </c>
      <c r="U243" s="9">
        <f ca="1">IFERROR(OFFSET(ITEM_RES!$A$5,MATCH(BUILDING!T243,ITEM_RES!$J$5:$J$231,0)-1,0),0)</f>
        <v>0</v>
      </c>
      <c r="X243" s="9">
        <f ca="1">IFERROR(OFFSET(ITEM_RES!$A$5,MATCH(BUILDING!W243,ITEM_RES!$J$5:$J$231,0)-1,0),0)</f>
        <v>0</v>
      </c>
      <c r="Z243" s="9" t="s">
        <v>583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215050001</v>
      </c>
      <c r="AQ243" s="10" t="s">
        <v>484</v>
      </c>
      <c r="AR243" s="11">
        <v>6250</v>
      </c>
      <c r="AU243" s="11">
        <f ca="1">IFERROR(OFFSET(ITEM_RES!$A$1,MATCH(AV243,ITEM_RES!$J:$J,0)-1,0),0)</f>
        <v>215070001</v>
      </c>
      <c r="AV243" s="10" t="s">
        <v>457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384</v>
      </c>
      <c r="L244" s="9">
        <v>0</v>
      </c>
      <c r="M244" s="9">
        <v>15</v>
      </c>
      <c r="R244" s="9">
        <v>77</v>
      </c>
      <c r="U244" s="9">
        <f ca="1">IFERROR(OFFSET(ITEM_RES!$A$5,MATCH(BUILDING!T244,ITEM_RES!$J$5:$J$231,0)-1,0),0)</f>
        <v>0</v>
      </c>
      <c r="X244" s="9">
        <f ca="1">IFERROR(OFFSET(ITEM_RES!$A$5,MATCH(BUILDING!W244,ITEM_RES!$J$5:$J$231,0)-1,0),0)</f>
        <v>0</v>
      </c>
      <c r="Z244" s="9" t="s">
        <v>583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215050001</v>
      </c>
      <c r="AQ244" s="10" t="s">
        <v>484</v>
      </c>
      <c r="AR244" s="11">
        <v>7500</v>
      </c>
      <c r="AU244" s="11">
        <f ca="1">IFERROR(OFFSET(ITEM_RES!$A$1,MATCH(AV244,ITEM_RES!$J:$J,0)-1,0),0)</f>
        <v>215070001</v>
      </c>
      <c r="AV244" s="10" t="s">
        <v>457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392</v>
      </c>
      <c r="L245" s="16">
        <v>1</v>
      </c>
      <c r="M245" s="16">
        <v>15</v>
      </c>
      <c r="N245" s="16"/>
      <c r="O245" s="17"/>
      <c r="P245" s="17"/>
      <c r="Q245" s="18"/>
      <c r="R245" s="16">
        <v>88</v>
      </c>
      <c r="S245" s="80"/>
      <c r="T245" s="88"/>
      <c r="U245" s="16">
        <f ca="1">IFERROR(OFFSET(ITEM_RES!$A$5,MATCH(BUILDING!T245,ITEM_RES!$J$5:$J$231,0)-1,0),0)</f>
        <v>0</v>
      </c>
      <c r="V245" s="18"/>
      <c r="W245" s="88"/>
      <c r="X245" s="16">
        <f ca="1">IFERROR(OFFSET(ITEM_RES!$A$5,MATCH(BUILDING!W245,ITEM_RES!$J$5:$J$231,0)-1,0),0)</f>
        <v>0</v>
      </c>
      <c r="Y245" s="80"/>
      <c r="Z245" s="16" t="s">
        <v>584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212040001</v>
      </c>
      <c r="AQ245" s="17" t="s">
        <v>470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213010001</v>
      </c>
      <c r="BA245" s="17" t="s">
        <v>495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392</v>
      </c>
      <c r="L246" s="9">
        <v>1</v>
      </c>
      <c r="M246" s="9">
        <v>15</v>
      </c>
      <c r="N246" s="85"/>
      <c r="R246" s="9">
        <v>88</v>
      </c>
      <c r="U246" s="9">
        <f ca="1">IFERROR(OFFSET(ITEM_RES!$A$5,MATCH(BUILDING!T246,ITEM_RES!$J$5:$J$231,0)-1,0),0)</f>
        <v>0</v>
      </c>
      <c r="X246" s="9">
        <f ca="1">IFERROR(OFFSET(ITEM_RES!$A$5,MATCH(BUILDING!W246,ITEM_RES!$J$5:$J$231,0)-1,0),0)</f>
        <v>0</v>
      </c>
      <c r="Z246" s="9" t="s">
        <v>584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212040001</v>
      </c>
      <c r="AQ246" s="10" t="s">
        <v>470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392</v>
      </c>
      <c r="L247" s="9">
        <v>1</v>
      </c>
      <c r="M247" s="9">
        <v>15</v>
      </c>
      <c r="R247" s="9">
        <v>88</v>
      </c>
      <c r="U247" s="9">
        <f ca="1">IFERROR(OFFSET(ITEM_RES!$A$5,MATCH(BUILDING!T247,ITEM_RES!$J$5:$J$231,0)-1,0),0)</f>
        <v>0</v>
      </c>
      <c r="X247" s="9">
        <f ca="1">IFERROR(OFFSET(ITEM_RES!$A$5,MATCH(BUILDING!W247,ITEM_RES!$J$5:$J$231,0)-1,0),0)</f>
        <v>0</v>
      </c>
      <c r="Z247" s="9" t="s">
        <v>584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212040001</v>
      </c>
      <c r="AQ247" s="10" t="s">
        <v>470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392</v>
      </c>
      <c r="L248" s="9">
        <v>1</v>
      </c>
      <c r="M248" s="9">
        <v>15</v>
      </c>
      <c r="R248" s="9">
        <v>88</v>
      </c>
      <c r="U248" s="9">
        <f ca="1">IFERROR(OFFSET(ITEM_RES!$A$5,MATCH(BUILDING!T248,ITEM_RES!$J$5:$J$231,0)-1,0),0)</f>
        <v>0</v>
      </c>
      <c r="X248" s="9">
        <f ca="1">IFERROR(OFFSET(ITEM_RES!$A$5,MATCH(BUILDING!W248,ITEM_RES!$J$5:$J$231,0)-1,0),0)</f>
        <v>0</v>
      </c>
      <c r="Z248" s="9" t="s">
        <v>584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212040001</v>
      </c>
      <c r="AQ248" s="10" t="s">
        <v>470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392</v>
      </c>
      <c r="L249" s="9">
        <v>1</v>
      </c>
      <c r="M249" s="9">
        <v>15</v>
      </c>
      <c r="R249" s="9">
        <v>88</v>
      </c>
      <c r="U249" s="9">
        <f ca="1">IFERROR(OFFSET(ITEM_RES!$A$5,MATCH(BUILDING!T249,ITEM_RES!$J$5:$J$231,0)-1,0),0)</f>
        <v>0</v>
      </c>
      <c r="X249" s="9">
        <f ca="1">IFERROR(OFFSET(ITEM_RES!$A$5,MATCH(BUILDING!W249,ITEM_RES!$J$5:$J$231,0)-1,0),0)</f>
        <v>0</v>
      </c>
      <c r="Z249" s="9" t="s">
        <v>584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212040001</v>
      </c>
      <c r="AQ249" s="10" t="s">
        <v>470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392</v>
      </c>
      <c r="L250" s="9">
        <v>1</v>
      </c>
      <c r="M250" s="9">
        <v>15</v>
      </c>
      <c r="R250" s="9">
        <v>88</v>
      </c>
      <c r="U250" s="9">
        <f ca="1">IFERROR(OFFSET(ITEM_RES!$A$5,MATCH(BUILDING!T250,ITEM_RES!$J$5:$J$231,0)-1,0),0)</f>
        <v>0</v>
      </c>
      <c r="X250" s="9">
        <f ca="1">IFERROR(OFFSET(ITEM_RES!$A$5,MATCH(BUILDING!W250,ITEM_RES!$J$5:$J$231,0)-1,0),0)</f>
        <v>0</v>
      </c>
      <c r="Z250" s="9" t="s">
        <v>584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212040001</v>
      </c>
      <c r="AQ250" s="10" t="s">
        <v>470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392</v>
      </c>
      <c r="L251" s="9">
        <v>1</v>
      </c>
      <c r="M251" s="9">
        <v>15</v>
      </c>
      <c r="R251" s="9">
        <v>88</v>
      </c>
      <c r="U251" s="9">
        <f ca="1">IFERROR(OFFSET(ITEM_RES!$A$5,MATCH(BUILDING!T251,ITEM_RES!$J$5:$J$231,0)-1,0),0)</f>
        <v>0</v>
      </c>
      <c r="X251" s="9">
        <f ca="1">IFERROR(OFFSET(ITEM_RES!$A$5,MATCH(BUILDING!W251,ITEM_RES!$J$5:$J$231,0)-1,0),0)</f>
        <v>0</v>
      </c>
      <c r="Z251" s="9" t="s">
        <v>584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212040001</v>
      </c>
      <c r="AQ251" s="10" t="s">
        <v>470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392</v>
      </c>
      <c r="L252" s="9">
        <v>1</v>
      </c>
      <c r="M252" s="9">
        <v>15</v>
      </c>
      <c r="R252" s="9">
        <v>88</v>
      </c>
      <c r="U252" s="9">
        <f ca="1">IFERROR(OFFSET(ITEM_RES!$A$5,MATCH(BUILDING!T252,ITEM_RES!$J$5:$J$231,0)-1,0),0)</f>
        <v>0</v>
      </c>
      <c r="X252" s="9">
        <f ca="1">IFERROR(OFFSET(ITEM_RES!$A$5,MATCH(BUILDING!W252,ITEM_RES!$J$5:$J$231,0)-1,0),0)</f>
        <v>0</v>
      </c>
      <c r="Z252" s="9" t="s">
        <v>584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212040001</v>
      </c>
      <c r="AQ252" s="10" t="s">
        <v>470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392</v>
      </c>
      <c r="L253" s="9">
        <v>1</v>
      </c>
      <c r="M253" s="9">
        <v>15</v>
      </c>
      <c r="R253" s="9">
        <v>88</v>
      </c>
      <c r="U253" s="9">
        <f ca="1">IFERROR(OFFSET(ITEM_RES!$A$5,MATCH(BUILDING!T253,ITEM_RES!$J$5:$J$231,0)-1,0),0)</f>
        <v>0</v>
      </c>
      <c r="X253" s="9">
        <f ca="1">IFERROR(OFFSET(ITEM_RES!$A$5,MATCH(BUILDING!W253,ITEM_RES!$J$5:$J$231,0)-1,0),0)</f>
        <v>0</v>
      </c>
      <c r="Z253" s="9" t="s">
        <v>584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212040001</v>
      </c>
      <c r="AQ253" s="10" t="s">
        <v>470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392</v>
      </c>
      <c r="L254" s="9">
        <v>1</v>
      </c>
      <c r="M254" s="9">
        <v>15</v>
      </c>
      <c r="R254" s="9">
        <v>88</v>
      </c>
      <c r="U254" s="9">
        <f ca="1">IFERROR(OFFSET(ITEM_RES!$A$5,MATCH(BUILDING!T254,ITEM_RES!$J$5:$J$231,0)-1,0),0)</f>
        <v>0</v>
      </c>
      <c r="X254" s="9">
        <f ca="1">IFERROR(OFFSET(ITEM_RES!$A$5,MATCH(BUILDING!W254,ITEM_RES!$J$5:$J$231,0)-1,0),0)</f>
        <v>0</v>
      </c>
      <c r="Z254" s="9" t="s">
        <v>584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212040001</v>
      </c>
      <c r="AQ254" s="10" t="s">
        <v>470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213090001</v>
      </c>
      <c r="BF254" s="10" t="s">
        <v>507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392</v>
      </c>
      <c r="L255" s="9">
        <v>1</v>
      </c>
      <c r="M255" s="9">
        <v>15</v>
      </c>
      <c r="R255" s="9">
        <v>88</v>
      </c>
      <c r="U255" s="9">
        <f ca="1">IFERROR(OFFSET(ITEM_RES!$A$5,MATCH(BUILDING!T255,ITEM_RES!$J$5:$J$231,0)-1,0),0)</f>
        <v>0</v>
      </c>
      <c r="X255" s="9">
        <f ca="1">IFERROR(OFFSET(ITEM_RES!$A$5,MATCH(BUILDING!W255,ITEM_RES!$J$5:$J$231,0)-1,0),0)</f>
        <v>0</v>
      </c>
      <c r="Z255" s="9" t="s">
        <v>584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212040001</v>
      </c>
      <c r="AQ255" s="10" t="s">
        <v>470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392</v>
      </c>
      <c r="L256" s="9">
        <v>1</v>
      </c>
      <c r="M256" s="9">
        <v>15</v>
      </c>
      <c r="R256" s="9">
        <v>88</v>
      </c>
      <c r="U256" s="9">
        <f ca="1">IFERROR(OFFSET(ITEM_RES!$A$5,MATCH(BUILDING!T256,ITEM_RES!$J$5:$J$231,0)-1,0),0)</f>
        <v>0</v>
      </c>
      <c r="X256" s="9">
        <f ca="1">IFERROR(OFFSET(ITEM_RES!$A$5,MATCH(BUILDING!W256,ITEM_RES!$J$5:$J$231,0)-1,0),0)</f>
        <v>0</v>
      </c>
      <c r="Z256" s="9" t="s">
        <v>584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212040001</v>
      </c>
      <c r="AQ256" s="10" t="s">
        <v>470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392</v>
      </c>
      <c r="L257" s="9">
        <v>1</v>
      </c>
      <c r="M257" s="9">
        <v>15</v>
      </c>
      <c r="R257" s="9">
        <v>88</v>
      </c>
      <c r="U257" s="9">
        <f ca="1">IFERROR(OFFSET(ITEM_RES!$A$5,MATCH(BUILDING!T257,ITEM_RES!$J$5:$J$231,0)-1,0),0)</f>
        <v>0</v>
      </c>
      <c r="X257" s="9">
        <f ca="1">IFERROR(OFFSET(ITEM_RES!$A$5,MATCH(BUILDING!W257,ITEM_RES!$J$5:$J$231,0)-1,0),0)</f>
        <v>0</v>
      </c>
      <c r="Z257" s="9" t="s">
        <v>584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215050001</v>
      </c>
      <c r="AQ257" s="10" t="s">
        <v>484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392</v>
      </c>
      <c r="L258" s="9">
        <v>1</v>
      </c>
      <c r="M258" s="9">
        <v>15</v>
      </c>
      <c r="R258" s="9">
        <v>88</v>
      </c>
      <c r="U258" s="9">
        <f ca="1">IFERROR(OFFSET(ITEM_RES!$A$5,MATCH(BUILDING!T258,ITEM_RES!$J$5:$J$231,0)-1,0),0)</f>
        <v>0</v>
      </c>
      <c r="X258" s="9">
        <f ca="1">IFERROR(OFFSET(ITEM_RES!$A$5,MATCH(BUILDING!W258,ITEM_RES!$J$5:$J$231,0)-1,0),0)</f>
        <v>0</v>
      </c>
      <c r="Z258" s="9" t="s">
        <v>584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215050001</v>
      </c>
      <c r="AQ258" s="10" t="s">
        <v>484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392</v>
      </c>
      <c r="L259" s="9">
        <v>1</v>
      </c>
      <c r="M259" s="9">
        <v>15</v>
      </c>
      <c r="R259" s="9">
        <v>88</v>
      </c>
      <c r="U259" s="9">
        <f ca="1">IFERROR(OFFSET(ITEM_RES!$A$5,MATCH(BUILDING!T259,ITEM_RES!$J$5:$J$231,0)-1,0),0)</f>
        <v>0</v>
      </c>
      <c r="X259" s="9">
        <f ca="1">IFERROR(OFFSET(ITEM_RES!$A$5,MATCH(BUILDING!W259,ITEM_RES!$J$5:$J$231,0)-1,0),0)</f>
        <v>0</v>
      </c>
      <c r="Z259" s="9" t="s">
        <v>584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215050001</v>
      </c>
      <c r="AQ259" s="10" t="s">
        <v>484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392</v>
      </c>
      <c r="L260" s="9">
        <v>0</v>
      </c>
      <c r="M260" s="9">
        <v>15</v>
      </c>
      <c r="R260" s="9">
        <v>88</v>
      </c>
      <c r="U260" s="9">
        <f ca="1">IFERROR(OFFSET(ITEM_RES!$A$5,MATCH(BUILDING!T260,ITEM_RES!$J$5:$J$231,0)-1,0),0)</f>
        <v>0</v>
      </c>
      <c r="X260" s="9">
        <f ca="1">IFERROR(OFFSET(ITEM_RES!$A$5,MATCH(BUILDING!W260,ITEM_RES!$J$5:$J$231,0)-1,0),0)</f>
        <v>0</v>
      </c>
      <c r="Z260" s="9" t="s">
        <v>584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215050001</v>
      </c>
      <c r="AQ260" s="10" t="s">
        <v>484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392</v>
      </c>
      <c r="L261" s="9">
        <v>0</v>
      </c>
      <c r="M261" s="9">
        <v>15</v>
      </c>
      <c r="R261" s="9">
        <v>88</v>
      </c>
      <c r="U261" s="9">
        <f ca="1">IFERROR(OFFSET(ITEM_RES!$A$5,MATCH(BUILDING!T261,ITEM_RES!$J$5:$J$231,0)-1,0),0)</f>
        <v>0</v>
      </c>
      <c r="X261" s="9">
        <f ca="1">IFERROR(OFFSET(ITEM_RES!$A$5,MATCH(BUILDING!W261,ITEM_RES!$J$5:$J$231,0)-1,0),0)</f>
        <v>0</v>
      </c>
      <c r="Z261" s="9" t="s">
        <v>584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215050001</v>
      </c>
      <c r="AQ261" s="10" t="s">
        <v>484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392</v>
      </c>
      <c r="L262" s="9">
        <v>0</v>
      </c>
      <c r="M262" s="9">
        <v>15</v>
      </c>
      <c r="R262" s="9">
        <v>88</v>
      </c>
      <c r="U262" s="9">
        <f ca="1">IFERROR(OFFSET(ITEM_RES!$A$5,MATCH(BUILDING!T262,ITEM_RES!$J$5:$J$231,0)-1,0),0)</f>
        <v>0</v>
      </c>
      <c r="X262" s="9">
        <f ca="1">IFERROR(OFFSET(ITEM_RES!$A$5,MATCH(BUILDING!W262,ITEM_RES!$J$5:$J$231,0)-1,0),0)</f>
        <v>0</v>
      </c>
      <c r="Z262" s="9" t="s">
        <v>584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215050001</v>
      </c>
      <c r="AQ262" s="10" t="s">
        <v>484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392</v>
      </c>
      <c r="L263" s="9">
        <v>0</v>
      </c>
      <c r="M263" s="9">
        <v>15</v>
      </c>
      <c r="R263" s="9">
        <v>88</v>
      </c>
      <c r="U263" s="9">
        <f ca="1">IFERROR(OFFSET(ITEM_RES!$A$5,MATCH(BUILDING!T263,ITEM_RES!$J$5:$J$231,0)-1,0),0)</f>
        <v>0</v>
      </c>
      <c r="X263" s="9">
        <f ca="1">IFERROR(OFFSET(ITEM_RES!$A$5,MATCH(BUILDING!W263,ITEM_RES!$J$5:$J$231,0)-1,0),0)</f>
        <v>0</v>
      </c>
      <c r="Z263" s="9" t="s">
        <v>584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215050001</v>
      </c>
      <c r="AQ263" s="10" t="s">
        <v>484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392</v>
      </c>
      <c r="L264" s="9">
        <v>0</v>
      </c>
      <c r="M264" s="9">
        <v>15</v>
      </c>
      <c r="R264" s="9">
        <v>88</v>
      </c>
      <c r="U264" s="9">
        <f ca="1">IFERROR(OFFSET(ITEM_RES!$A$5,MATCH(BUILDING!T264,ITEM_RES!$J$5:$J$231,0)-1,0),0)</f>
        <v>0</v>
      </c>
      <c r="X264" s="9">
        <f ca="1">IFERROR(OFFSET(ITEM_RES!$A$5,MATCH(BUILDING!W264,ITEM_RES!$J$5:$J$231,0)-1,0),0)</f>
        <v>0</v>
      </c>
      <c r="Z264" s="9" t="s">
        <v>584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215050001</v>
      </c>
      <c r="AQ264" s="10" t="s">
        <v>484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370</v>
      </c>
      <c r="L265" s="16">
        <v>1</v>
      </c>
      <c r="M265" s="16">
        <v>15</v>
      </c>
      <c r="N265" s="16"/>
      <c r="O265" s="17"/>
      <c r="P265" s="17"/>
      <c r="Q265" s="18"/>
      <c r="R265" s="16">
        <v>99</v>
      </c>
      <c r="S265" s="80"/>
      <c r="T265" s="88"/>
      <c r="U265" s="16">
        <f ca="1">IFERROR(OFFSET(ITEM_RES!$A$5,MATCH(BUILDING!T265,ITEM_RES!$J$5:$J$231,0)-1,0),0)</f>
        <v>0</v>
      </c>
      <c r="V265" s="18"/>
      <c r="W265" s="88"/>
      <c r="X265" s="16">
        <f ca="1">IFERROR(OFFSET(ITEM_RES!$A$5,MATCH(BUILDING!W265,ITEM_RES!$J$5:$J$231,0)-1,0),0)</f>
        <v>0</v>
      </c>
      <c r="Y265" s="80"/>
      <c r="Z265" s="16" t="s">
        <v>585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212040001</v>
      </c>
      <c r="AQ265" s="17" t="s">
        <v>470</v>
      </c>
      <c r="AR265" s="18">
        <v>25</v>
      </c>
      <c r="AS265" s="17"/>
      <c r="AT265" s="18"/>
      <c r="AU265" s="18">
        <f ca="1">IFERROR(OFFSET(ITEM_RES!$A$1,MATCH(AV265,ITEM_RES!$J:$J,0)-1,0),0)</f>
        <v>212010001</v>
      </c>
      <c r="AV265" s="17" t="s">
        <v>456</v>
      </c>
      <c r="AW265" s="18">
        <v>25</v>
      </c>
      <c r="AX265" s="17"/>
      <c r="AY265" s="18"/>
      <c r="AZ265" s="18">
        <f ca="1">IFERROR(OFFSET(ITEM_RES!$A$1,MATCH(BA265,ITEM_RES!$J:$J,0)-1,0),0)</f>
        <v>213010001</v>
      </c>
      <c r="BA265" s="17" t="s">
        <v>495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370</v>
      </c>
      <c r="L266" s="9">
        <v>1</v>
      </c>
      <c r="M266" s="9">
        <v>15</v>
      </c>
      <c r="R266" s="9">
        <v>99</v>
      </c>
      <c r="U266" s="9">
        <f ca="1">IFERROR(OFFSET(ITEM_RES!$A$5,MATCH(BUILDING!T266,ITEM_RES!$J$5:$J$231,0)-1,0),0)</f>
        <v>0</v>
      </c>
      <c r="X266" s="9">
        <f ca="1">IFERROR(OFFSET(ITEM_RES!$A$5,MATCH(BUILDING!W266,ITEM_RES!$J$5:$J$231,0)-1,0),0)</f>
        <v>0</v>
      </c>
      <c r="Z266" s="9" t="s">
        <v>585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212040001</v>
      </c>
      <c r="AQ266" s="10" t="s">
        <v>470</v>
      </c>
      <c r="AR266" s="11">
        <v>50</v>
      </c>
      <c r="AU266" s="11">
        <f ca="1">IFERROR(OFFSET(ITEM_RES!$A$1,MATCH(AV266,ITEM_RES!$J:$J,0)-1,0),0)</f>
        <v>212010001</v>
      </c>
      <c r="AV266" s="10" t="s">
        <v>456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370</v>
      </c>
      <c r="L267" s="9">
        <v>1</v>
      </c>
      <c r="M267" s="9">
        <v>15</v>
      </c>
      <c r="R267" s="9">
        <v>99</v>
      </c>
      <c r="U267" s="9">
        <f ca="1">IFERROR(OFFSET(ITEM_RES!$A$5,MATCH(BUILDING!T267,ITEM_RES!$J$5:$J$231,0)-1,0),0)</f>
        <v>0</v>
      </c>
      <c r="X267" s="9">
        <f ca="1">IFERROR(OFFSET(ITEM_RES!$A$5,MATCH(BUILDING!W267,ITEM_RES!$J$5:$J$231,0)-1,0),0)</f>
        <v>0</v>
      </c>
      <c r="Z267" s="9" t="s">
        <v>585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212040001</v>
      </c>
      <c r="AQ267" s="10" t="s">
        <v>470</v>
      </c>
      <c r="AR267" s="11">
        <v>75</v>
      </c>
      <c r="AU267" s="11">
        <f ca="1">IFERROR(OFFSET(ITEM_RES!$A$1,MATCH(AV267,ITEM_RES!$J:$J,0)-1,0),0)</f>
        <v>212010001</v>
      </c>
      <c r="AV267" s="10" t="s">
        <v>456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370</v>
      </c>
      <c r="L268" s="9">
        <v>1</v>
      </c>
      <c r="M268" s="9">
        <v>15</v>
      </c>
      <c r="R268" s="9">
        <v>99</v>
      </c>
      <c r="U268" s="9">
        <f ca="1">IFERROR(OFFSET(ITEM_RES!$A$5,MATCH(BUILDING!T268,ITEM_RES!$J$5:$J$231,0)-1,0),0)</f>
        <v>0</v>
      </c>
      <c r="X268" s="9">
        <f ca="1">IFERROR(OFFSET(ITEM_RES!$A$5,MATCH(BUILDING!W268,ITEM_RES!$J$5:$J$231,0)-1,0),0)</f>
        <v>0</v>
      </c>
      <c r="Z268" s="9" t="s">
        <v>585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212040001</v>
      </c>
      <c r="AQ268" s="10" t="s">
        <v>470</v>
      </c>
      <c r="AR268" s="11">
        <v>125</v>
      </c>
      <c r="AU268" s="11">
        <f ca="1">IFERROR(OFFSET(ITEM_RES!$A$1,MATCH(AV268,ITEM_RES!$J:$J,0)-1,0),0)</f>
        <v>212010001</v>
      </c>
      <c r="AV268" s="10" t="s">
        <v>456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370</v>
      </c>
      <c r="L269" s="9">
        <v>1</v>
      </c>
      <c r="M269" s="9">
        <v>15</v>
      </c>
      <c r="R269" s="9">
        <v>99</v>
      </c>
      <c r="U269" s="9">
        <f ca="1">IFERROR(OFFSET(ITEM_RES!$A$5,MATCH(BUILDING!T269,ITEM_RES!$J$5:$J$231,0)-1,0),0)</f>
        <v>0</v>
      </c>
      <c r="X269" s="9">
        <f ca="1">IFERROR(OFFSET(ITEM_RES!$A$5,MATCH(BUILDING!W269,ITEM_RES!$J$5:$J$231,0)-1,0),0)</f>
        <v>0</v>
      </c>
      <c r="Z269" s="9" t="s">
        <v>585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212040001</v>
      </c>
      <c r="AQ269" s="10" t="s">
        <v>470</v>
      </c>
      <c r="AR269" s="11">
        <v>200</v>
      </c>
      <c r="AU269" s="11">
        <f ca="1">IFERROR(OFFSET(ITEM_RES!$A$1,MATCH(AV269,ITEM_RES!$J:$J,0)-1,0),0)</f>
        <v>212010001</v>
      </c>
      <c r="AV269" s="10" t="s">
        <v>456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370</v>
      </c>
      <c r="L270" s="9">
        <v>1</v>
      </c>
      <c r="M270" s="9">
        <v>15</v>
      </c>
      <c r="R270" s="9">
        <v>99</v>
      </c>
      <c r="U270" s="9">
        <f ca="1">IFERROR(OFFSET(ITEM_RES!$A$5,MATCH(BUILDING!T270,ITEM_RES!$J$5:$J$231,0)-1,0),0)</f>
        <v>0</v>
      </c>
      <c r="X270" s="9">
        <f ca="1">IFERROR(OFFSET(ITEM_RES!$A$5,MATCH(BUILDING!W270,ITEM_RES!$J$5:$J$231,0)-1,0),0)</f>
        <v>0</v>
      </c>
      <c r="Z270" s="9" t="s">
        <v>585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212040001</v>
      </c>
      <c r="AQ270" s="10" t="s">
        <v>470</v>
      </c>
      <c r="AR270" s="11">
        <v>250</v>
      </c>
      <c r="AU270" s="11">
        <f ca="1">IFERROR(OFFSET(ITEM_RES!$A$1,MATCH(AV270,ITEM_RES!$J:$J,0)-1,0),0)</f>
        <v>212010001</v>
      </c>
      <c r="AV270" s="10" t="s">
        <v>456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370</v>
      </c>
      <c r="L271" s="9">
        <v>1</v>
      </c>
      <c r="M271" s="9">
        <v>15</v>
      </c>
      <c r="R271" s="9">
        <v>99</v>
      </c>
      <c r="U271" s="9">
        <f ca="1">IFERROR(OFFSET(ITEM_RES!$A$5,MATCH(BUILDING!T271,ITEM_RES!$J$5:$J$231,0)-1,0),0)</f>
        <v>0</v>
      </c>
      <c r="X271" s="9">
        <f ca="1">IFERROR(OFFSET(ITEM_RES!$A$5,MATCH(BUILDING!W271,ITEM_RES!$J$5:$J$231,0)-1,0),0)</f>
        <v>0</v>
      </c>
      <c r="Z271" s="9" t="s">
        <v>585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212040001</v>
      </c>
      <c r="AQ271" s="10" t="s">
        <v>470</v>
      </c>
      <c r="AR271" s="11">
        <v>500</v>
      </c>
      <c r="AU271" s="11">
        <f ca="1">IFERROR(OFFSET(ITEM_RES!$A$1,MATCH(AV271,ITEM_RES!$J:$J,0)-1,0),0)</f>
        <v>212010001</v>
      </c>
      <c r="AV271" s="10" t="s">
        <v>456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370</v>
      </c>
      <c r="L272" s="9">
        <v>1</v>
      </c>
      <c r="M272" s="9">
        <v>15</v>
      </c>
      <c r="R272" s="9">
        <v>99</v>
      </c>
      <c r="U272" s="9">
        <f ca="1">IFERROR(OFFSET(ITEM_RES!$A$5,MATCH(BUILDING!T272,ITEM_RES!$J$5:$J$231,0)-1,0),0)</f>
        <v>0</v>
      </c>
      <c r="X272" s="9">
        <f ca="1">IFERROR(OFFSET(ITEM_RES!$A$5,MATCH(BUILDING!W272,ITEM_RES!$J$5:$J$231,0)-1,0),0)</f>
        <v>0</v>
      </c>
      <c r="Z272" s="9" t="s">
        <v>585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212040001</v>
      </c>
      <c r="AQ272" s="10" t="s">
        <v>470</v>
      </c>
      <c r="AR272" s="11">
        <v>500</v>
      </c>
      <c r="AU272" s="11">
        <f ca="1">IFERROR(OFFSET(ITEM_RES!$A$1,MATCH(AV272,ITEM_RES!$J:$J,0)-1,0),0)</f>
        <v>212010001</v>
      </c>
      <c r="AV272" s="10" t="s">
        <v>456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213090001</v>
      </c>
      <c r="BF272" s="10" t="s">
        <v>507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370</v>
      </c>
      <c r="L273" s="9">
        <v>1</v>
      </c>
      <c r="M273" s="9">
        <v>15</v>
      </c>
      <c r="R273" s="9">
        <v>99</v>
      </c>
      <c r="U273" s="9">
        <f ca="1">IFERROR(OFFSET(ITEM_RES!$A$5,MATCH(BUILDING!T273,ITEM_RES!$J$5:$J$231,0)-1,0),0)</f>
        <v>0</v>
      </c>
      <c r="X273" s="9">
        <f ca="1">IFERROR(OFFSET(ITEM_RES!$A$5,MATCH(BUILDING!W273,ITEM_RES!$J$5:$J$231,0)-1,0),0)</f>
        <v>0</v>
      </c>
      <c r="Z273" s="9" t="s">
        <v>585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212040001</v>
      </c>
      <c r="AQ273" s="10" t="s">
        <v>470</v>
      </c>
      <c r="AR273" s="11">
        <v>750</v>
      </c>
      <c r="AU273" s="11">
        <f ca="1">IFERROR(OFFSET(ITEM_RES!$A$1,MATCH(AV273,ITEM_RES!$J:$J,0)-1,0),0)</f>
        <v>212010001</v>
      </c>
      <c r="AV273" s="10" t="s">
        <v>456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370</v>
      </c>
      <c r="L274" s="9">
        <v>1</v>
      </c>
      <c r="M274" s="9">
        <v>15</v>
      </c>
      <c r="R274" s="9">
        <v>99</v>
      </c>
      <c r="U274" s="9">
        <f ca="1">IFERROR(OFFSET(ITEM_RES!$A$5,MATCH(BUILDING!T274,ITEM_RES!$J$5:$J$231,0)-1,0),0)</f>
        <v>0</v>
      </c>
      <c r="X274" s="9">
        <f ca="1">IFERROR(OFFSET(ITEM_RES!$A$5,MATCH(BUILDING!W274,ITEM_RES!$J$5:$J$231,0)-1,0),0)</f>
        <v>0</v>
      </c>
      <c r="Z274" s="9" t="s">
        <v>585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212040001</v>
      </c>
      <c r="AQ274" s="10" t="s">
        <v>470</v>
      </c>
      <c r="AR274" s="11">
        <v>1000</v>
      </c>
      <c r="AU274" s="11">
        <f ca="1">IFERROR(OFFSET(ITEM_RES!$A$1,MATCH(AV274,ITEM_RES!$J:$J,0)-1,0),0)</f>
        <v>212010001</v>
      </c>
      <c r="AV274" s="10" t="s">
        <v>456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370</v>
      </c>
      <c r="L275" s="9">
        <v>1</v>
      </c>
      <c r="M275" s="9">
        <v>15</v>
      </c>
      <c r="R275" s="9">
        <v>99</v>
      </c>
      <c r="U275" s="9">
        <f ca="1">IFERROR(OFFSET(ITEM_RES!$A$5,MATCH(BUILDING!T275,ITEM_RES!$J$5:$J$231,0)-1,0),0)</f>
        <v>0</v>
      </c>
      <c r="X275" s="9">
        <f ca="1">IFERROR(OFFSET(ITEM_RES!$A$5,MATCH(BUILDING!W275,ITEM_RES!$J$5:$J$231,0)-1,0),0)</f>
        <v>0</v>
      </c>
      <c r="Z275" s="9" t="s">
        <v>585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212040001</v>
      </c>
      <c r="AQ275" s="10" t="s">
        <v>470</v>
      </c>
      <c r="AR275" s="11">
        <v>1250</v>
      </c>
      <c r="AU275" s="11">
        <f ca="1">IFERROR(OFFSET(ITEM_RES!$A$1,MATCH(AV275,ITEM_RES!$J:$J,0)-1,0),0)</f>
        <v>212010001</v>
      </c>
      <c r="AV275" s="10" t="s">
        <v>456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370</v>
      </c>
      <c r="L276" s="9">
        <v>1</v>
      </c>
      <c r="M276" s="9">
        <v>15</v>
      </c>
      <c r="R276" s="9">
        <v>99</v>
      </c>
      <c r="U276" s="9">
        <f ca="1">IFERROR(OFFSET(ITEM_RES!$A$5,MATCH(BUILDING!T276,ITEM_RES!$J$5:$J$231,0)-1,0),0)</f>
        <v>0</v>
      </c>
      <c r="X276" s="9">
        <f ca="1">IFERROR(OFFSET(ITEM_RES!$A$5,MATCH(BUILDING!W276,ITEM_RES!$J$5:$J$231,0)-1,0),0)</f>
        <v>0</v>
      </c>
      <c r="Z276" s="9" t="s">
        <v>585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212040001</v>
      </c>
      <c r="AQ276" s="10" t="s">
        <v>470</v>
      </c>
      <c r="AR276" s="11">
        <v>1500</v>
      </c>
      <c r="AU276" s="11">
        <f ca="1">IFERROR(OFFSET(ITEM_RES!$A$1,MATCH(AV276,ITEM_RES!$J:$J,0)-1,0),0)</f>
        <v>212010001</v>
      </c>
      <c r="AV276" s="10" t="s">
        <v>456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370</v>
      </c>
      <c r="L277" s="9">
        <v>1</v>
      </c>
      <c r="M277" s="9">
        <v>15</v>
      </c>
      <c r="R277" s="9">
        <v>99</v>
      </c>
      <c r="U277" s="9">
        <f ca="1">IFERROR(OFFSET(ITEM_RES!$A$5,MATCH(BUILDING!T277,ITEM_RES!$J$5:$J$231,0)-1,0),0)</f>
        <v>0</v>
      </c>
      <c r="X277" s="9">
        <f ca="1">IFERROR(OFFSET(ITEM_RES!$A$5,MATCH(BUILDING!W277,ITEM_RES!$J$5:$J$231,0)-1,0),0)</f>
        <v>0</v>
      </c>
      <c r="Z277" s="9" t="s">
        <v>585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212040001</v>
      </c>
      <c r="AQ277" s="10" t="s">
        <v>470</v>
      </c>
      <c r="AR277" s="11">
        <v>1750</v>
      </c>
      <c r="AU277" s="11">
        <f ca="1">IFERROR(OFFSET(ITEM_RES!$A$1,MATCH(AV277,ITEM_RES!$J:$J,0)-1,0),0)</f>
        <v>212010001</v>
      </c>
      <c r="AV277" s="10" t="s">
        <v>456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370</v>
      </c>
      <c r="L278" s="9">
        <v>1</v>
      </c>
      <c r="M278" s="9">
        <v>15</v>
      </c>
      <c r="R278" s="9">
        <v>99</v>
      </c>
      <c r="U278" s="9">
        <f ca="1">IFERROR(OFFSET(ITEM_RES!$A$5,MATCH(BUILDING!T278,ITEM_RES!$J$5:$J$231,0)-1,0),0)</f>
        <v>0</v>
      </c>
      <c r="X278" s="9">
        <f ca="1">IFERROR(OFFSET(ITEM_RES!$A$5,MATCH(BUILDING!W278,ITEM_RES!$J$5:$J$231,0)-1,0),0)</f>
        <v>0</v>
      </c>
      <c r="Z278" s="9" t="s">
        <v>585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212040001</v>
      </c>
      <c r="AQ278" s="10" t="s">
        <v>470</v>
      </c>
      <c r="AR278" s="11">
        <v>2250</v>
      </c>
      <c r="AU278" s="11">
        <f ca="1">IFERROR(OFFSET(ITEM_RES!$A$1,MATCH(AV278,ITEM_RES!$J:$J,0)-1,0),0)</f>
        <v>212010001</v>
      </c>
      <c r="AV278" s="10" t="s">
        <v>456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370</v>
      </c>
      <c r="L279" s="9">
        <v>1</v>
      </c>
      <c r="M279" s="9">
        <v>15</v>
      </c>
      <c r="R279" s="9">
        <v>99</v>
      </c>
      <c r="U279" s="9">
        <f ca="1">IFERROR(OFFSET(ITEM_RES!$A$5,MATCH(BUILDING!T279,ITEM_RES!$J$5:$J$231,0)-1,0),0)</f>
        <v>0</v>
      </c>
      <c r="X279" s="9">
        <f ca="1">IFERROR(OFFSET(ITEM_RES!$A$5,MATCH(BUILDING!W279,ITEM_RES!$J$5:$J$231,0)-1,0),0)</f>
        <v>0</v>
      </c>
      <c r="Z279" s="9" t="s">
        <v>585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212040001</v>
      </c>
      <c r="AQ279" s="10" t="s">
        <v>470</v>
      </c>
      <c r="AR279" s="11">
        <v>2750</v>
      </c>
      <c r="AU279" s="11">
        <f ca="1">IFERROR(OFFSET(ITEM_RES!$A$1,MATCH(AV279,ITEM_RES!$J:$J,0)-1,0),0)</f>
        <v>212010001</v>
      </c>
      <c r="AV279" s="10" t="s">
        <v>471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370</v>
      </c>
      <c r="L280" s="9">
        <v>0</v>
      </c>
      <c r="M280" s="9">
        <v>15</v>
      </c>
      <c r="R280" s="9">
        <v>99</v>
      </c>
      <c r="U280" s="9">
        <f ca="1">IFERROR(OFFSET(ITEM_RES!$A$5,MATCH(BUILDING!T280,ITEM_RES!$J$5:$J$231,0)-1,0),0)</f>
        <v>0</v>
      </c>
      <c r="X280" s="9">
        <f ca="1">IFERROR(OFFSET(ITEM_RES!$A$5,MATCH(BUILDING!W280,ITEM_RES!$J$5:$J$231,0)-1,0),0)</f>
        <v>0</v>
      </c>
      <c r="Z280" s="9" t="s">
        <v>585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212040001</v>
      </c>
      <c r="AQ280" s="10" t="s">
        <v>470</v>
      </c>
      <c r="AR280" s="11">
        <v>3500</v>
      </c>
      <c r="AU280" s="11">
        <f ca="1">IFERROR(OFFSET(ITEM_RES!$A$1,MATCH(AV280,ITEM_RES!$J:$J,0)-1,0),0)</f>
        <v>212010001</v>
      </c>
      <c r="AV280" s="10" t="s">
        <v>471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370</v>
      </c>
      <c r="L281" s="9">
        <v>0</v>
      </c>
      <c r="M281" s="9">
        <v>15</v>
      </c>
      <c r="R281" s="9">
        <v>99</v>
      </c>
      <c r="U281" s="9">
        <f ca="1">IFERROR(OFFSET(ITEM_RES!$A$5,MATCH(BUILDING!T281,ITEM_RES!$J$5:$J$231,0)-1,0),0)</f>
        <v>0</v>
      </c>
      <c r="X281" s="9">
        <f ca="1">IFERROR(OFFSET(ITEM_RES!$A$5,MATCH(BUILDING!W281,ITEM_RES!$J$5:$J$231,0)-1,0),0)</f>
        <v>0</v>
      </c>
      <c r="Z281" s="9" t="s">
        <v>585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215050001</v>
      </c>
      <c r="AQ281" s="10" t="s">
        <v>483</v>
      </c>
      <c r="AR281" s="11">
        <v>4250</v>
      </c>
      <c r="AU281" s="11">
        <f ca="1">IFERROR(OFFSET(ITEM_RES!$A$1,MATCH(AV281,ITEM_RES!$J:$J,0)-1,0),0)</f>
        <v>212010001</v>
      </c>
      <c r="AV281" s="10" t="s">
        <v>471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370</v>
      </c>
      <c r="L282" s="9">
        <v>0</v>
      </c>
      <c r="M282" s="9">
        <v>15</v>
      </c>
      <c r="R282" s="9">
        <v>99</v>
      </c>
      <c r="U282" s="9">
        <f ca="1">IFERROR(OFFSET(ITEM_RES!$A$5,MATCH(BUILDING!T282,ITEM_RES!$J$5:$J$231,0)-1,0),0)</f>
        <v>0</v>
      </c>
      <c r="X282" s="9">
        <f ca="1">IFERROR(OFFSET(ITEM_RES!$A$5,MATCH(BUILDING!W282,ITEM_RES!$J$5:$J$231,0)-1,0),0)</f>
        <v>0</v>
      </c>
      <c r="Z282" s="9" t="s">
        <v>585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215050001</v>
      </c>
      <c r="AQ282" s="10" t="s">
        <v>483</v>
      </c>
      <c r="AR282" s="11">
        <v>5250</v>
      </c>
      <c r="AU282" s="11">
        <f ca="1">IFERROR(OFFSET(ITEM_RES!$A$1,MATCH(AV282,ITEM_RES!$J:$J,0)-1,0),0)</f>
        <v>215070001</v>
      </c>
      <c r="AV282" s="10" t="s">
        <v>457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370</v>
      </c>
      <c r="L283" s="9">
        <v>0</v>
      </c>
      <c r="M283" s="9">
        <v>15</v>
      </c>
      <c r="R283" s="9">
        <v>99</v>
      </c>
      <c r="U283" s="9">
        <f ca="1">IFERROR(OFFSET(ITEM_RES!$A$5,MATCH(BUILDING!T283,ITEM_RES!$J$5:$J$231,0)-1,0),0)</f>
        <v>0</v>
      </c>
      <c r="X283" s="9">
        <f ca="1">IFERROR(OFFSET(ITEM_RES!$A$5,MATCH(BUILDING!W283,ITEM_RES!$J$5:$J$231,0)-1,0),0)</f>
        <v>0</v>
      </c>
      <c r="Z283" s="9" t="s">
        <v>585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215050001</v>
      </c>
      <c r="AQ283" s="10" t="s">
        <v>483</v>
      </c>
      <c r="AR283" s="11">
        <v>6250</v>
      </c>
      <c r="AU283" s="11">
        <f ca="1">IFERROR(OFFSET(ITEM_RES!$A$1,MATCH(AV283,ITEM_RES!$J:$J,0)-1,0),0)</f>
        <v>215070001</v>
      </c>
      <c r="AV283" s="10" t="s">
        <v>457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370</v>
      </c>
      <c r="L284" s="9">
        <v>0</v>
      </c>
      <c r="M284" s="9">
        <v>15</v>
      </c>
      <c r="R284" s="9">
        <v>99</v>
      </c>
      <c r="U284" s="9">
        <f ca="1">IFERROR(OFFSET(ITEM_RES!$A$5,MATCH(BUILDING!T284,ITEM_RES!$J$5:$J$231,0)-1,0),0)</f>
        <v>0</v>
      </c>
      <c r="X284" s="9">
        <f ca="1">IFERROR(OFFSET(ITEM_RES!$A$5,MATCH(BUILDING!W284,ITEM_RES!$J$5:$J$231,0)-1,0),0)</f>
        <v>0</v>
      </c>
      <c r="Z284" s="9" t="s">
        <v>585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215050001</v>
      </c>
      <c r="AQ284" s="10" t="s">
        <v>483</v>
      </c>
      <c r="AR284" s="11">
        <v>7500</v>
      </c>
      <c r="AU284" s="11">
        <f ca="1">IFERROR(OFFSET(ITEM_RES!$A$1,MATCH(AV284,ITEM_RES!$J:$J,0)-1,0),0)</f>
        <v>215070001</v>
      </c>
      <c r="AV284" s="10" t="s">
        <v>457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369</v>
      </c>
      <c r="L285" s="16">
        <v>1</v>
      </c>
      <c r="M285" s="16">
        <v>15</v>
      </c>
      <c r="N285" s="16"/>
      <c r="O285" s="17"/>
      <c r="P285" s="17"/>
      <c r="Q285" s="18"/>
      <c r="R285" s="16">
        <v>111</v>
      </c>
      <c r="S285" s="80"/>
      <c r="T285" s="88"/>
      <c r="U285" s="16">
        <f ca="1">IFERROR(OFFSET(ITEM_RES!$A$5,MATCH(BUILDING!T285,ITEM_RES!$J$5:$J$231,0)-1,0),0)</f>
        <v>0</v>
      </c>
      <c r="V285" s="18"/>
      <c r="W285" s="88"/>
      <c r="X285" s="16">
        <f ca="1">IFERROR(OFFSET(ITEM_RES!$A$5,MATCH(BUILDING!W285,ITEM_RES!$J$5:$J$231,0)-1,0),0)</f>
        <v>0</v>
      </c>
      <c r="Y285" s="80"/>
      <c r="Z285" s="16" t="s">
        <v>586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212040001</v>
      </c>
      <c r="AQ285" s="17" t="s">
        <v>470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213010001</v>
      </c>
      <c r="BA285" s="17" t="s">
        <v>495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369</v>
      </c>
      <c r="L286" s="9">
        <v>1</v>
      </c>
      <c r="M286" s="9">
        <v>15</v>
      </c>
      <c r="R286" s="9">
        <v>111</v>
      </c>
      <c r="U286" s="9">
        <f ca="1">IFERROR(OFFSET(ITEM_RES!$A$5,MATCH(BUILDING!T286,ITEM_RES!$J$5:$J$231,0)-1,0),0)</f>
        <v>0</v>
      </c>
      <c r="X286" s="9">
        <f ca="1">IFERROR(OFFSET(ITEM_RES!$A$5,MATCH(BUILDING!W286,ITEM_RES!$J$5:$J$231,0)-1,0),0)</f>
        <v>0</v>
      </c>
      <c r="Z286" s="9" t="s">
        <v>586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212040001</v>
      </c>
      <c r="AQ286" s="10" t="s">
        <v>470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369</v>
      </c>
      <c r="L287" s="9">
        <v>1</v>
      </c>
      <c r="M287" s="9">
        <v>15</v>
      </c>
      <c r="R287" s="9">
        <v>111</v>
      </c>
      <c r="U287" s="9">
        <f ca="1">IFERROR(OFFSET(ITEM_RES!$A$5,MATCH(BUILDING!T287,ITEM_RES!$J$5:$J$231,0)-1,0),0)</f>
        <v>0</v>
      </c>
      <c r="X287" s="9">
        <f ca="1">IFERROR(OFFSET(ITEM_RES!$A$5,MATCH(BUILDING!W287,ITEM_RES!$J$5:$J$231,0)-1,0),0)</f>
        <v>0</v>
      </c>
      <c r="Z287" s="9" t="s">
        <v>586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212040001</v>
      </c>
      <c r="AQ287" s="10" t="s">
        <v>470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369</v>
      </c>
      <c r="L288" s="9">
        <v>1</v>
      </c>
      <c r="M288" s="9">
        <v>15</v>
      </c>
      <c r="R288" s="9">
        <v>111</v>
      </c>
      <c r="U288" s="9">
        <f ca="1">IFERROR(OFFSET(ITEM_RES!$A$5,MATCH(BUILDING!T288,ITEM_RES!$J$5:$J$231,0)-1,0),0)</f>
        <v>0</v>
      </c>
      <c r="X288" s="9">
        <f ca="1">IFERROR(OFFSET(ITEM_RES!$A$5,MATCH(BUILDING!W288,ITEM_RES!$J$5:$J$231,0)-1,0),0)</f>
        <v>0</v>
      </c>
      <c r="Z288" s="9" t="s">
        <v>586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212040001</v>
      </c>
      <c r="AQ288" s="10" t="s">
        <v>470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369</v>
      </c>
      <c r="L289" s="9">
        <v>1</v>
      </c>
      <c r="M289" s="9">
        <v>15</v>
      </c>
      <c r="R289" s="9">
        <v>111</v>
      </c>
      <c r="U289" s="9">
        <f ca="1">IFERROR(OFFSET(ITEM_RES!$A$5,MATCH(BUILDING!T289,ITEM_RES!$J$5:$J$231,0)-1,0),0)</f>
        <v>0</v>
      </c>
      <c r="X289" s="9">
        <f ca="1">IFERROR(OFFSET(ITEM_RES!$A$5,MATCH(BUILDING!W289,ITEM_RES!$J$5:$J$231,0)-1,0),0)</f>
        <v>0</v>
      </c>
      <c r="Z289" s="9" t="s">
        <v>586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212040001</v>
      </c>
      <c r="AQ289" s="10" t="s">
        <v>470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369</v>
      </c>
      <c r="L290" s="9">
        <v>1</v>
      </c>
      <c r="M290" s="9">
        <v>15</v>
      </c>
      <c r="R290" s="9">
        <v>111</v>
      </c>
      <c r="U290" s="9">
        <f ca="1">IFERROR(OFFSET(ITEM_RES!$A$5,MATCH(BUILDING!T290,ITEM_RES!$J$5:$J$231,0)-1,0),0)</f>
        <v>0</v>
      </c>
      <c r="X290" s="9">
        <f ca="1">IFERROR(OFFSET(ITEM_RES!$A$5,MATCH(BUILDING!W290,ITEM_RES!$J$5:$J$231,0)-1,0),0)</f>
        <v>0</v>
      </c>
      <c r="Z290" s="9" t="s">
        <v>586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212040001</v>
      </c>
      <c r="AQ290" s="10" t="s">
        <v>470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369</v>
      </c>
      <c r="L291" s="9">
        <v>1</v>
      </c>
      <c r="M291" s="9">
        <v>15</v>
      </c>
      <c r="R291" s="9">
        <v>111</v>
      </c>
      <c r="U291" s="9">
        <f ca="1">IFERROR(OFFSET(ITEM_RES!$A$5,MATCH(BUILDING!T291,ITEM_RES!$J$5:$J$231,0)-1,0),0)</f>
        <v>0</v>
      </c>
      <c r="X291" s="9">
        <f ca="1">IFERROR(OFFSET(ITEM_RES!$A$5,MATCH(BUILDING!W291,ITEM_RES!$J$5:$J$231,0)-1,0),0)</f>
        <v>0</v>
      </c>
      <c r="Z291" s="9" t="s">
        <v>586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212040001</v>
      </c>
      <c r="AQ291" s="10" t="s">
        <v>470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369</v>
      </c>
      <c r="L292" s="9">
        <v>1</v>
      </c>
      <c r="M292" s="9">
        <v>15</v>
      </c>
      <c r="R292" s="9">
        <v>111</v>
      </c>
      <c r="U292" s="9">
        <f ca="1">IFERROR(OFFSET(ITEM_RES!$A$5,MATCH(BUILDING!T292,ITEM_RES!$J$5:$J$231,0)-1,0),0)</f>
        <v>0</v>
      </c>
      <c r="X292" s="9">
        <f ca="1">IFERROR(OFFSET(ITEM_RES!$A$5,MATCH(BUILDING!W292,ITEM_RES!$J$5:$J$231,0)-1,0),0)</f>
        <v>0</v>
      </c>
      <c r="Z292" s="9" t="s">
        <v>586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212040001</v>
      </c>
      <c r="AQ292" s="10" t="s">
        <v>470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369</v>
      </c>
      <c r="L293" s="9">
        <v>1</v>
      </c>
      <c r="M293" s="9">
        <v>15</v>
      </c>
      <c r="R293" s="9">
        <v>111</v>
      </c>
      <c r="U293" s="9">
        <f ca="1">IFERROR(OFFSET(ITEM_RES!$A$5,MATCH(BUILDING!T293,ITEM_RES!$J$5:$J$231,0)-1,0),0)</f>
        <v>0</v>
      </c>
      <c r="X293" s="9">
        <f ca="1">IFERROR(OFFSET(ITEM_RES!$A$5,MATCH(BUILDING!W293,ITEM_RES!$J$5:$J$231,0)-1,0),0)</f>
        <v>0</v>
      </c>
      <c r="Z293" s="9" t="s">
        <v>586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212040001</v>
      </c>
      <c r="AQ293" s="10" t="s">
        <v>470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369</v>
      </c>
      <c r="L294" s="9">
        <v>1</v>
      </c>
      <c r="M294" s="9">
        <v>15</v>
      </c>
      <c r="R294" s="9">
        <v>111</v>
      </c>
      <c r="U294" s="9">
        <f ca="1">IFERROR(OFFSET(ITEM_RES!$A$5,MATCH(BUILDING!T294,ITEM_RES!$J$5:$J$231,0)-1,0),0)</f>
        <v>0</v>
      </c>
      <c r="X294" s="9">
        <f ca="1">IFERROR(OFFSET(ITEM_RES!$A$5,MATCH(BUILDING!W294,ITEM_RES!$J$5:$J$231,0)-1,0),0)</f>
        <v>0</v>
      </c>
      <c r="Z294" s="9" t="s">
        <v>586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212040001</v>
      </c>
      <c r="AQ294" s="10" t="s">
        <v>470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369</v>
      </c>
      <c r="L295" s="9">
        <v>1</v>
      </c>
      <c r="M295" s="9">
        <v>15</v>
      </c>
      <c r="R295" s="9">
        <v>111</v>
      </c>
      <c r="U295" s="9">
        <f ca="1">IFERROR(OFFSET(ITEM_RES!$A$5,MATCH(BUILDING!T295,ITEM_RES!$J$5:$J$231,0)-1,0),0)</f>
        <v>0</v>
      </c>
      <c r="X295" s="9">
        <f ca="1">IFERROR(OFFSET(ITEM_RES!$A$5,MATCH(BUILDING!W295,ITEM_RES!$J$5:$J$231,0)-1,0),0)</f>
        <v>0</v>
      </c>
      <c r="Z295" s="9" t="s">
        <v>586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212040001</v>
      </c>
      <c r="AQ295" s="10" t="s">
        <v>470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369</v>
      </c>
      <c r="L296" s="9">
        <v>1</v>
      </c>
      <c r="M296" s="9">
        <v>15</v>
      </c>
      <c r="R296" s="9">
        <v>111</v>
      </c>
      <c r="U296" s="9">
        <f ca="1">IFERROR(OFFSET(ITEM_RES!$A$5,MATCH(BUILDING!T296,ITEM_RES!$J$5:$J$231,0)-1,0),0)</f>
        <v>0</v>
      </c>
      <c r="X296" s="9">
        <f ca="1">IFERROR(OFFSET(ITEM_RES!$A$5,MATCH(BUILDING!W296,ITEM_RES!$J$5:$J$231,0)-1,0),0)</f>
        <v>0</v>
      </c>
      <c r="Z296" s="9" t="s">
        <v>586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212040001</v>
      </c>
      <c r="AQ296" s="10" t="s">
        <v>470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369</v>
      </c>
      <c r="L297" s="9">
        <v>1</v>
      </c>
      <c r="M297" s="9">
        <v>15</v>
      </c>
      <c r="R297" s="9">
        <v>111</v>
      </c>
      <c r="U297" s="9">
        <f ca="1">IFERROR(OFFSET(ITEM_RES!$A$5,MATCH(BUILDING!T297,ITEM_RES!$J$5:$J$231,0)-1,0),0)</f>
        <v>0</v>
      </c>
      <c r="X297" s="9">
        <f ca="1">IFERROR(OFFSET(ITEM_RES!$A$5,MATCH(BUILDING!W297,ITEM_RES!$J$5:$J$231,0)-1,0),0)</f>
        <v>0</v>
      </c>
      <c r="Z297" s="9" t="s">
        <v>586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212040001</v>
      </c>
      <c r="AQ297" s="10" t="s">
        <v>470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369</v>
      </c>
      <c r="L298" s="9">
        <v>1</v>
      </c>
      <c r="M298" s="9">
        <v>15</v>
      </c>
      <c r="R298" s="9">
        <v>111</v>
      </c>
      <c r="U298" s="9">
        <f ca="1">IFERROR(OFFSET(ITEM_RES!$A$5,MATCH(BUILDING!T298,ITEM_RES!$J$5:$J$231,0)-1,0),0)</f>
        <v>0</v>
      </c>
      <c r="X298" s="9">
        <f ca="1">IFERROR(OFFSET(ITEM_RES!$A$5,MATCH(BUILDING!W298,ITEM_RES!$J$5:$J$231,0)-1,0),0)</f>
        <v>0</v>
      </c>
      <c r="Z298" s="9" t="s">
        <v>586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212040001</v>
      </c>
      <c r="AQ298" s="10" t="s">
        <v>470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213090001</v>
      </c>
      <c r="BF298" s="10" t="s">
        <v>507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369</v>
      </c>
      <c r="L299" s="9">
        <v>1</v>
      </c>
      <c r="M299" s="9">
        <v>15</v>
      </c>
      <c r="R299" s="9">
        <v>111</v>
      </c>
      <c r="U299" s="9">
        <f ca="1">IFERROR(OFFSET(ITEM_RES!$A$5,MATCH(BUILDING!T299,ITEM_RES!$J$5:$J$231,0)-1,0),0)</f>
        <v>0</v>
      </c>
      <c r="X299" s="9">
        <f ca="1">IFERROR(OFFSET(ITEM_RES!$A$5,MATCH(BUILDING!W299,ITEM_RES!$J$5:$J$231,0)-1,0),0)</f>
        <v>0</v>
      </c>
      <c r="Z299" s="9" t="s">
        <v>586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212040001</v>
      </c>
      <c r="AQ299" s="10" t="s">
        <v>470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369</v>
      </c>
      <c r="L300" s="9">
        <v>0</v>
      </c>
      <c r="M300" s="9">
        <v>15</v>
      </c>
      <c r="R300" s="9">
        <v>111</v>
      </c>
      <c r="U300" s="9">
        <f ca="1">IFERROR(OFFSET(ITEM_RES!$A$5,MATCH(BUILDING!T300,ITEM_RES!$J$5:$J$231,0)-1,0),0)</f>
        <v>0</v>
      </c>
      <c r="X300" s="9">
        <f ca="1">IFERROR(OFFSET(ITEM_RES!$A$5,MATCH(BUILDING!W300,ITEM_RES!$J$5:$J$231,0)-1,0),0)</f>
        <v>0</v>
      </c>
      <c r="Z300" s="9" t="s">
        <v>586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212040001</v>
      </c>
      <c r="AQ300" s="10" t="s">
        <v>470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369</v>
      </c>
      <c r="L301" s="9">
        <v>0</v>
      </c>
      <c r="M301" s="9">
        <v>15</v>
      </c>
      <c r="R301" s="9">
        <v>111</v>
      </c>
      <c r="U301" s="9">
        <f ca="1">IFERROR(OFFSET(ITEM_RES!$A$5,MATCH(BUILDING!T301,ITEM_RES!$J$5:$J$231,0)-1,0),0)</f>
        <v>0</v>
      </c>
      <c r="X301" s="9">
        <f ca="1">IFERROR(OFFSET(ITEM_RES!$A$5,MATCH(BUILDING!W301,ITEM_RES!$J$5:$J$231,0)-1,0),0)</f>
        <v>0</v>
      </c>
      <c r="Z301" s="9" t="s">
        <v>586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212040001</v>
      </c>
      <c r="AQ301" s="10" t="s">
        <v>470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369</v>
      </c>
      <c r="L302" s="9">
        <v>0</v>
      </c>
      <c r="M302" s="9">
        <v>15</v>
      </c>
      <c r="R302" s="9">
        <v>111</v>
      </c>
      <c r="U302" s="9">
        <f ca="1">IFERROR(OFFSET(ITEM_RES!$A$5,MATCH(BUILDING!T302,ITEM_RES!$J$5:$J$231,0)-1,0),0)</f>
        <v>0</v>
      </c>
      <c r="X302" s="9">
        <f ca="1">IFERROR(OFFSET(ITEM_RES!$A$5,MATCH(BUILDING!W302,ITEM_RES!$J$5:$J$231,0)-1,0),0)</f>
        <v>0</v>
      </c>
      <c r="Z302" s="9" t="s">
        <v>586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215050001</v>
      </c>
      <c r="AQ302" s="10" t="s">
        <v>483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369</v>
      </c>
      <c r="L303" s="9">
        <v>0</v>
      </c>
      <c r="M303" s="9">
        <v>15</v>
      </c>
      <c r="R303" s="9">
        <v>111</v>
      </c>
      <c r="U303" s="9">
        <f ca="1">IFERROR(OFFSET(ITEM_RES!$A$5,MATCH(BUILDING!T303,ITEM_RES!$J$5:$J$231,0)-1,0),0)</f>
        <v>0</v>
      </c>
      <c r="X303" s="9">
        <f ca="1">IFERROR(OFFSET(ITEM_RES!$A$5,MATCH(BUILDING!W303,ITEM_RES!$J$5:$J$231,0)-1,0),0)</f>
        <v>0</v>
      </c>
      <c r="Z303" s="9" t="s">
        <v>586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215050001</v>
      </c>
      <c r="AQ303" s="10" t="s">
        <v>483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369</v>
      </c>
      <c r="L304" s="9">
        <v>0</v>
      </c>
      <c r="M304" s="9">
        <v>15</v>
      </c>
      <c r="R304" s="9">
        <v>111</v>
      </c>
      <c r="U304" s="9">
        <f ca="1">IFERROR(OFFSET(ITEM_RES!$A$5,MATCH(BUILDING!T304,ITEM_RES!$J$5:$J$231,0)-1,0),0)</f>
        <v>0</v>
      </c>
      <c r="X304" s="9">
        <f ca="1">IFERROR(OFFSET(ITEM_RES!$A$5,MATCH(BUILDING!W304,ITEM_RES!$J$5:$J$231,0)-1,0),0)</f>
        <v>0</v>
      </c>
      <c r="Z304" s="9" t="s">
        <v>586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215050001</v>
      </c>
      <c r="AQ304" s="10" t="s">
        <v>483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368</v>
      </c>
      <c r="L305" s="16">
        <v>1</v>
      </c>
      <c r="M305" s="16">
        <v>15</v>
      </c>
      <c r="N305" s="16"/>
      <c r="O305" s="17"/>
      <c r="P305" s="17"/>
      <c r="Q305" s="18"/>
      <c r="R305" s="16">
        <v>222</v>
      </c>
      <c r="S305" s="80"/>
      <c r="T305" s="88"/>
      <c r="U305" s="16">
        <f ca="1">IFERROR(OFFSET(ITEM_RES!$A$5,MATCH(BUILDING!T305,ITEM_RES!$J$5:$J$231,0)-1,0),0)</f>
        <v>0</v>
      </c>
      <c r="V305" s="18"/>
      <c r="W305" s="88"/>
      <c r="X305" s="16">
        <f ca="1">IFERROR(OFFSET(ITEM_RES!$A$5,MATCH(BUILDING!W305,ITEM_RES!$J$5:$J$231,0)-1,0),0)</f>
        <v>0</v>
      </c>
      <c r="Y305" s="80"/>
      <c r="Z305" s="16" t="s">
        <v>587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212040001</v>
      </c>
      <c r="AQ305" s="17" t="s">
        <v>470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213010001</v>
      </c>
      <c r="BA305" s="17" t="s">
        <v>495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368</v>
      </c>
      <c r="L306" s="9">
        <v>1</v>
      </c>
      <c r="M306" s="9">
        <v>15</v>
      </c>
      <c r="R306" s="9">
        <v>222</v>
      </c>
      <c r="U306" s="9">
        <f ca="1">IFERROR(OFFSET(ITEM_RES!$A$5,MATCH(BUILDING!T306,ITEM_RES!$J$5:$J$231,0)-1,0),0)</f>
        <v>0</v>
      </c>
      <c r="X306" s="9">
        <f ca="1">IFERROR(OFFSET(ITEM_RES!$A$5,MATCH(BUILDING!W306,ITEM_RES!$J$5:$J$231,0)-1,0),0)</f>
        <v>0</v>
      </c>
      <c r="Z306" s="9" t="s">
        <v>587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212040001</v>
      </c>
      <c r="AQ306" s="10" t="s">
        <v>470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368</v>
      </c>
      <c r="L307" s="9">
        <v>1</v>
      </c>
      <c r="M307" s="9">
        <v>15</v>
      </c>
      <c r="R307" s="9">
        <v>222</v>
      </c>
      <c r="U307" s="9">
        <f ca="1">IFERROR(OFFSET(ITEM_RES!$A$5,MATCH(BUILDING!T307,ITEM_RES!$J$5:$J$231,0)-1,0),0)</f>
        <v>0</v>
      </c>
      <c r="X307" s="9">
        <f ca="1">IFERROR(OFFSET(ITEM_RES!$A$5,MATCH(BUILDING!W307,ITEM_RES!$J$5:$J$231,0)-1,0),0)</f>
        <v>0</v>
      </c>
      <c r="Z307" s="9" t="s">
        <v>587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212040001</v>
      </c>
      <c r="AQ307" s="10" t="s">
        <v>470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368</v>
      </c>
      <c r="L308" s="9">
        <v>1</v>
      </c>
      <c r="M308" s="9">
        <v>15</v>
      </c>
      <c r="R308" s="9">
        <v>222</v>
      </c>
      <c r="U308" s="9">
        <f ca="1">IFERROR(OFFSET(ITEM_RES!$A$5,MATCH(BUILDING!T308,ITEM_RES!$J$5:$J$231,0)-1,0),0)</f>
        <v>0</v>
      </c>
      <c r="X308" s="9">
        <f ca="1">IFERROR(OFFSET(ITEM_RES!$A$5,MATCH(BUILDING!W308,ITEM_RES!$J$5:$J$231,0)-1,0),0)</f>
        <v>0</v>
      </c>
      <c r="Z308" s="9" t="s">
        <v>587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212040001</v>
      </c>
      <c r="AQ308" s="10" t="s">
        <v>470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368</v>
      </c>
      <c r="L309" s="9">
        <v>1</v>
      </c>
      <c r="M309" s="9">
        <v>15</v>
      </c>
      <c r="R309" s="9">
        <v>222</v>
      </c>
      <c r="U309" s="9">
        <f ca="1">IFERROR(OFFSET(ITEM_RES!$A$5,MATCH(BUILDING!T309,ITEM_RES!$J$5:$J$231,0)-1,0),0)</f>
        <v>0</v>
      </c>
      <c r="X309" s="9">
        <f ca="1">IFERROR(OFFSET(ITEM_RES!$A$5,MATCH(BUILDING!W309,ITEM_RES!$J$5:$J$231,0)-1,0),0)</f>
        <v>0</v>
      </c>
      <c r="Z309" s="9" t="s">
        <v>587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212040001</v>
      </c>
      <c r="AQ309" s="10" t="s">
        <v>470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368</v>
      </c>
      <c r="L310" s="9">
        <v>1</v>
      </c>
      <c r="M310" s="9">
        <v>15</v>
      </c>
      <c r="R310" s="9">
        <v>222</v>
      </c>
      <c r="U310" s="9">
        <f ca="1">IFERROR(OFFSET(ITEM_RES!$A$5,MATCH(BUILDING!T310,ITEM_RES!$J$5:$J$231,0)-1,0),0)</f>
        <v>0</v>
      </c>
      <c r="X310" s="9">
        <f ca="1">IFERROR(OFFSET(ITEM_RES!$A$5,MATCH(BUILDING!W310,ITEM_RES!$J$5:$J$231,0)-1,0),0)</f>
        <v>0</v>
      </c>
      <c r="Z310" s="9" t="s">
        <v>587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212040001</v>
      </c>
      <c r="AQ310" s="10" t="s">
        <v>470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368</v>
      </c>
      <c r="L311" s="9">
        <v>1</v>
      </c>
      <c r="M311" s="9">
        <v>15</v>
      </c>
      <c r="R311" s="9">
        <v>222</v>
      </c>
      <c r="U311" s="9">
        <f ca="1">IFERROR(OFFSET(ITEM_RES!$A$5,MATCH(BUILDING!T311,ITEM_RES!$J$5:$J$231,0)-1,0),0)</f>
        <v>0</v>
      </c>
      <c r="X311" s="9">
        <f ca="1">IFERROR(OFFSET(ITEM_RES!$A$5,MATCH(BUILDING!W311,ITEM_RES!$J$5:$J$231,0)-1,0),0)</f>
        <v>0</v>
      </c>
      <c r="Z311" s="9" t="s">
        <v>587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212040001</v>
      </c>
      <c r="AQ311" s="10" t="s">
        <v>470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368</v>
      </c>
      <c r="L312" s="9">
        <v>1</v>
      </c>
      <c r="M312" s="9">
        <v>15</v>
      </c>
      <c r="R312" s="9">
        <v>222</v>
      </c>
      <c r="U312" s="9">
        <f ca="1">IFERROR(OFFSET(ITEM_RES!$A$5,MATCH(BUILDING!T312,ITEM_RES!$J$5:$J$231,0)-1,0),0)</f>
        <v>0</v>
      </c>
      <c r="X312" s="9">
        <f ca="1">IFERROR(OFFSET(ITEM_RES!$A$5,MATCH(BUILDING!W312,ITEM_RES!$J$5:$J$231,0)-1,0),0)</f>
        <v>0</v>
      </c>
      <c r="Z312" s="9" t="s">
        <v>587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212040001</v>
      </c>
      <c r="AQ312" s="10" t="s">
        <v>470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368</v>
      </c>
      <c r="L313" s="9">
        <v>1</v>
      </c>
      <c r="M313" s="9">
        <v>15</v>
      </c>
      <c r="R313" s="9">
        <v>222</v>
      </c>
      <c r="U313" s="9">
        <f ca="1">IFERROR(OFFSET(ITEM_RES!$A$5,MATCH(BUILDING!T313,ITEM_RES!$J$5:$J$231,0)-1,0),0)</f>
        <v>0</v>
      </c>
      <c r="X313" s="9">
        <f ca="1">IFERROR(OFFSET(ITEM_RES!$A$5,MATCH(BUILDING!W313,ITEM_RES!$J$5:$J$231,0)-1,0),0)</f>
        <v>0</v>
      </c>
      <c r="Z313" s="9" t="s">
        <v>587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212040001</v>
      </c>
      <c r="AQ313" s="10" t="s">
        <v>470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368</v>
      </c>
      <c r="L314" s="9">
        <v>1</v>
      </c>
      <c r="M314" s="9">
        <v>15</v>
      </c>
      <c r="R314" s="9">
        <v>222</v>
      </c>
      <c r="U314" s="9">
        <f ca="1">IFERROR(OFFSET(ITEM_RES!$A$5,MATCH(BUILDING!T314,ITEM_RES!$J$5:$J$231,0)-1,0),0)</f>
        <v>0</v>
      </c>
      <c r="X314" s="9">
        <f ca="1">IFERROR(OFFSET(ITEM_RES!$A$5,MATCH(BUILDING!W314,ITEM_RES!$J$5:$J$231,0)-1,0),0)</f>
        <v>0</v>
      </c>
      <c r="Z314" s="9" t="s">
        <v>587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212040001</v>
      </c>
      <c r="AQ314" s="10" t="s">
        <v>470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368</v>
      </c>
      <c r="L315" s="9">
        <v>1</v>
      </c>
      <c r="M315" s="9">
        <v>15</v>
      </c>
      <c r="R315" s="9">
        <v>222</v>
      </c>
      <c r="U315" s="9">
        <f ca="1">IFERROR(OFFSET(ITEM_RES!$A$5,MATCH(BUILDING!T315,ITEM_RES!$J$5:$J$231,0)-1,0),0)</f>
        <v>0</v>
      </c>
      <c r="X315" s="9">
        <f ca="1">IFERROR(OFFSET(ITEM_RES!$A$5,MATCH(BUILDING!W315,ITEM_RES!$J$5:$J$231,0)-1,0),0)</f>
        <v>0</v>
      </c>
      <c r="Z315" s="9" t="s">
        <v>587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212040001</v>
      </c>
      <c r="AQ315" s="10" t="s">
        <v>470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368</v>
      </c>
      <c r="L316" s="9">
        <v>1</v>
      </c>
      <c r="M316" s="9">
        <v>15</v>
      </c>
      <c r="R316" s="9">
        <v>222</v>
      </c>
      <c r="U316" s="9">
        <f ca="1">IFERROR(OFFSET(ITEM_RES!$A$5,MATCH(BUILDING!T316,ITEM_RES!$J$5:$J$231,0)-1,0),0)</f>
        <v>0</v>
      </c>
      <c r="X316" s="9">
        <f ca="1">IFERROR(OFFSET(ITEM_RES!$A$5,MATCH(BUILDING!W316,ITEM_RES!$J$5:$J$231,0)-1,0),0)</f>
        <v>0</v>
      </c>
      <c r="Z316" s="9" t="s">
        <v>587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212040001</v>
      </c>
      <c r="AQ316" s="10" t="s">
        <v>470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368</v>
      </c>
      <c r="L317" s="9">
        <v>1</v>
      </c>
      <c r="M317" s="9">
        <v>15</v>
      </c>
      <c r="R317" s="9">
        <v>222</v>
      </c>
      <c r="U317" s="9">
        <f ca="1">IFERROR(OFFSET(ITEM_RES!$A$5,MATCH(BUILDING!T317,ITEM_RES!$J$5:$J$231,0)-1,0),0)</f>
        <v>0</v>
      </c>
      <c r="X317" s="9">
        <f ca="1">IFERROR(OFFSET(ITEM_RES!$A$5,MATCH(BUILDING!W317,ITEM_RES!$J$5:$J$231,0)-1,0),0)</f>
        <v>0</v>
      </c>
      <c r="Z317" s="9" t="s">
        <v>587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212040001</v>
      </c>
      <c r="AQ317" s="10" t="s">
        <v>470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368</v>
      </c>
      <c r="L318" s="9">
        <v>1</v>
      </c>
      <c r="M318" s="9">
        <v>15</v>
      </c>
      <c r="R318" s="9">
        <v>222</v>
      </c>
      <c r="U318" s="9">
        <f ca="1">IFERROR(OFFSET(ITEM_RES!$A$5,MATCH(BUILDING!T318,ITEM_RES!$J$5:$J$231,0)-1,0),0)</f>
        <v>0</v>
      </c>
      <c r="X318" s="9">
        <f ca="1">IFERROR(OFFSET(ITEM_RES!$A$5,MATCH(BUILDING!W318,ITEM_RES!$J$5:$J$231,0)-1,0),0)</f>
        <v>0</v>
      </c>
      <c r="Z318" s="9" t="s">
        <v>587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212040001</v>
      </c>
      <c r="AQ318" s="10" t="s">
        <v>470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213090001</v>
      </c>
      <c r="BF318" s="10" t="s">
        <v>507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368</v>
      </c>
      <c r="L319" s="9">
        <v>1</v>
      </c>
      <c r="M319" s="9">
        <v>15</v>
      </c>
      <c r="R319" s="9">
        <v>222</v>
      </c>
      <c r="U319" s="9">
        <f ca="1">IFERROR(OFFSET(ITEM_RES!$A$5,MATCH(BUILDING!T319,ITEM_RES!$J$5:$J$231,0)-1,0),0)</f>
        <v>0</v>
      </c>
      <c r="X319" s="9">
        <f ca="1">IFERROR(OFFSET(ITEM_RES!$A$5,MATCH(BUILDING!W319,ITEM_RES!$J$5:$J$231,0)-1,0),0)</f>
        <v>0</v>
      </c>
      <c r="Z319" s="9" t="s">
        <v>587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212040001</v>
      </c>
      <c r="AQ319" s="10" t="s">
        <v>470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368</v>
      </c>
      <c r="L320" s="9">
        <v>0</v>
      </c>
      <c r="M320" s="9">
        <v>15</v>
      </c>
      <c r="R320" s="9">
        <v>222</v>
      </c>
      <c r="U320" s="9">
        <f ca="1">IFERROR(OFFSET(ITEM_RES!$A$5,MATCH(BUILDING!T320,ITEM_RES!$J$5:$J$231,0)-1,0),0)</f>
        <v>0</v>
      </c>
      <c r="X320" s="9">
        <f ca="1">IFERROR(OFFSET(ITEM_RES!$A$5,MATCH(BUILDING!W320,ITEM_RES!$J$5:$J$231,0)-1,0),0)</f>
        <v>0</v>
      </c>
      <c r="Z320" s="9" t="s">
        <v>587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212040001</v>
      </c>
      <c r="AQ320" s="10" t="s">
        <v>470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368</v>
      </c>
      <c r="L321" s="9">
        <v>0</v>
      </c>
      <c r="M321" s="9">
        <v>15</v>
      </c>
      <c r="R321" s="9">
        <v>222</v>
      </c>
      <c r="U321" s="9">
        <f ca="1">IFERROR(OFFSET(ITEM_RES!$A$5,MATCH(BUILDING!T321,ITEM_RES!$J$5:$J$231,0)-1,0),0)</f>
        <v>0</v>
      </c>
      <c r="X321" s="9">
        <f ca="1">IFERROR(OFFSET(ITEM_RES!$A$5,MATCH(BUILDING!W321,ITEM_RES!$J$5:$J$231,0)-1,0),0)</f>
        <v>0</v>
      </c>
      <c r="Z321" s="9" t="s">
        <v>587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212040001</v>
      </c>
      <c r="AQ321" s="10" t="s">
        <v>470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368</v>
      </c>
      <c r="L322" s="9">
        <v>0</v>
      </c>
      <c r="M322" s="9">
        <v>15</v>
      </c>
      <c r="R322" s="9">
        <v>222</v>
      </c>
      <c r="U322" s="9">
        <f ca="1">IFERROR(OFFSET(ITEM_RES!$A$5,MATCH(BUILDING!T322,ITEM_RES!$J$5:$J$231,0)-1,0),0)</f>
        <v>0</v>
      </c>
      <c r="X322" s="9">
        <f ca="1">IFERROR(OFFSET(ITEM_RES!$A$5,MATCH(BUILDING!W322,ITEM_RES!$J$5:$J$231,0)-1,0),0)</f>
        <v>0</v>
      </c>
      <c r="Z322" s="9" t="s">
        <v>587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212040001</v>
      </c>
      <c r="AQ322" s="10" t="s">
        <v>470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368</v>
      </c>
      <c r="L323" s="9">
        <v>0</v>
      </c>
      <c r="M323" s="9">
        <v>15</v>
      </c>
      <c r="R323" s="9">
        <v>222</v>
      </c>
      <c r="U323" s="9">
        <f ca="1">IFERROR(OFFSET(ITEM_RES!$A$5,MATCH(BUILDING!T323,ITEM_RES!$J$5:$J$231,0)-1,0),0)</f>
        <v>0</v>
      </c>
      <c r="X323" s="9">
        <f ca="1">IFERROR(OFFSET(ITEM_RES!$A$5,MATCH(BUILDING!W323,ITEM_RES!$J$5:$J$231,0)-1,0),0)</f>
        <v>0</v>
      </c>
      <c r="Z323" s="9" t="s">
        <v>587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215050001</v>
      </c>
      <c r="AQ323" s="10" t="s">
        <v>483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368</v>
      </c>
      <c r="L324" s="9">
        <v>0</v>
      </c>
      <c r="M324" s="9">
        <v>15</v>
      </c>
      <c r="R324" s="9">
        <v>222</v>
      </c>
      <c r="U324" s="9">
        <f ca="1">IFERROR(OFFSET(ITEM_RES!$A$5,MATCH(BUILDING!T324,ITEM_RES!$J$5:$J$231,0)-1,0),0)</f>
        <v>0</v>
      </c>
      <c r="X324" s="9">
        <f ca="1">IFERROR(OFFSET(ITEM_RES!$A$5,MATCH(BUILDING!W324,ITEM_RES!$J$5:$J$231,0)-1,0),0)</f>
        <v>0</v>
      </c>
      <c r="Z324" s="9" t="s">
        <v>587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215050001</v>
      </c>
      <c r="AQ324" s="10" t="s">
        <v>483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376</v>
      </c>
      <c r="L325" s="16">
        <v>1</v>
      </c>
      <c r="M325" s="16">
        <v>15</v>
      </c>
      <c r="N325" s="16"/>
      <c r="O325" s="17"/>
      <c r="P325" s="17"/>
      <c r="Q325" s="18"/>
      <c r="R325" s="16">
        <v>333</v>
      </c>
      <c r="S325" s="80"/>
      <c r="T325" s="88" t="s">
        <v>616</v>
      </c>
      <c r="U325" s="16">
        <f ca="1">IFERROR(OFFSET(ITEM_RES!$A$5,MATCH(BUILDING!T325,ITEM_RES!$J$5:$J$231,0)-1,0),0)</f>
        <v>212030001</v>
      </c>
      <c r="V325" s="18">
        <v>2</v>
      </c>
      <c r="W325" s="88" t="s">
        <v>611</v>
      </c>
      <c r="X325" s="16">
        <f ca="1">IFERROR(OFFSET(ITEM_RES!$A$5,MATCH(BUILDING!W325,ITEM_RES!$J$5:$J$231,0)-1,0),0)</f>
        <v>215040001</v>
      </c>
      <c r="Y325" s="80"/>
      <c r="Z325" s="16" t="s">
        <v>588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212010001</v>
      </c>
      <c r="AQ325" s="17" t="s">
        <v>471</v>
      </c>
      <c r="AR325" s="18">
        <v>25</v>
      </c>
      <c r="AS325" s="17"/>
      <c r="AT325" s="18"/>
      <c r="AU325" s="18">
        <f ca="1">IFERROR(OFFSET(ITEM_RES!$A$1,MATCH(AV325,ITEM_RES!$J:$J,0)-1,0),0)</f>
        <v>212040001</v>
      </c>
      <c r="AV325" s="17" t="s">
        <v>470</v>
      </c>
      <c r="AW325" s="18">
        <v>25</v>
      </c>
      <c r="AX325" s="17"/>
      <c r="AY325" s="18"/>
      <c r="AZ325" s="18">
        <f ca="1">IFERROR(OFFSET(ITEM_RES!$A$1,MATCH(BA325,ITEM_RES!$J:$J,0)-1,0),0)</f>
        <v>213010001</v>
      </c>
      <c r="BA325" s="17" t="s">
        <v>495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376</v>
      </c>
      <c r="L326" s="9">
        <v>1</v>
      </c>
      <c r="M326" s="9">
        <v>15</v>
      </c>
      <c r="R326" s="9">
        <v>333</v>
      </c>
      <c r="T326" s="86" t="s">
        <v>616</v>
      </c>
      <c r="U326" s="9">
        <f ca="1">IFERROR(OFFSET(ITEM_RES!$A$5,MATCH(BUILDING!T326,ITEM_RES!$J$5:$J$231,0)-1,0),0)</f>
        <v>212030001</v>
      </c>
      <c r="V326" s="11">
        <v>2</v>
      </c>
      <c r="W326" s="86" t="s">
        <v>611</v>
      </c>
      <c r="X326" s="9">
        <f ca="1">IFERROR(OFFSET(ITEM_RES!$A$5,MATCH(BUILDING!W326,ITEM_RES!$J$5:$J$231,0)-1,0),0)</f>
        <v>215040001</v>
      </c>
      <c r="Z326" s="9" t="s">
        <v>588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212010001</v>
      </c>
      <c r="AQ326" s="10" t="s">
        <v>471</v>
      </c>
      <c r="AR326" s="11">
        <v>50</v>
      </c>
      <c r="AU326" s="11">
        <f ca="1">IFERROR(OFFSET(ITEM_RES!$A$1,MATCH(AV326,ITEM_RES!$J:$J,0)-1,0),0)</f>
        <v>212040001</v>
      </c>
      <c r="AV326" s="10" t="s">
        <v>470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376</v>
      </c>
      <c r="L327" s="9">
        <v>1</v>
      </c>
      <c r="M327" s="9">
        <v>15</v>
      </c>
      <c r="R327" s="9">
        <v>333</v>
      </c>
      <c r="T327" s="86" t="s">
        <v>616</v>
      </c>
      <c r="U327" s="9">
        <f ca="1">IFERROR(OFFSET(ITEM_RES!$A$5,MATCH(BUILDING!T327,ITEM_RES!$J$5:$J$231,0)-1,0),0)</f>
        <v>212030001</v>
      </c>
      <c r="V327" s="11">
        <v>2</v>
      </c>
      <c r="W327" s="86" t="s">
        <v>611</v>
      </c>
      <c r="X327" s="9">
        <f ca="1">IFERROR(OFFSET(ITEM_RES!$A$5,MATCH(BUILDING!W327,ITEM_RES!$J$5:$J$231,0)-1,0),0)</f>
        <v>215040001</v>
      </c>
      <c r="Z327" s="9" t="s">
        <v>588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212010001</v>
      </c>
      <c r="AQ327" s="10" t="s">
        <v>471</v>
      </c>
      <c r="AR327" s="11">
        <v>75</v>
      </c>
      <c r="AU327" s="11">
        <f ca="1">IFERROR(OFFSET(ITEM_RES!$A$1,MATCH(AV327,ITEM_RES!$J:$J,0)-1,0),0)</f>
        <v>212040001</v>
      </c>
      <c r="AV327" s="10" t="s">
        <v>470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376</v>
      </c>
      <c r="L328" s="9">
        <v>1</v>
      </c>
      <c r="M328" s="9">
        <v>15</v>
      </c>
      <c r="R328" s="9">
        <v>333</v>
      </c>
      <c r="T328" s="86" t="s">
        <v>616</v>
      </c>
      <c r="U328" s="9">
        <f ca="1">IFERROR(OFFSET(ITEM_RES!$A$5,MATCH(BUILDING!T328,ITEM_RES!$J$5:$J$231,0)-1,0),0)</f>
        <v>212030001</v>
      </c>
      <c r="V328" s="11">
        <v>2</v>
      </c>
      <c r="W328" s="86" t="s">
        <v>611</v>
      </c>
      <c r="X328" s="9">
        <f ca="1">IFERROR(OFFSET(ITEM_RES!$A$5,MATCH(BUILDING!W328,ITEM_RES!$J$5:$J$231,0)-1,0),0)</f>
        <v>215040001</v>
      </c>
      <c r="Z328" s="9" t="s">
        <v>588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212010001</v>
      </c>
      <c r="AQ328" s="10" t="s">
        <v>471</v>
      </c>
      <c r="AR328" s="11">
        <v>125</v>
      </c>
      <c r="AU328" s="11">
        <f ca="1">IFERROR(OFFSET(ITEM_RES!$A$1,MATCH(AV328,ITEM_RES!$J:$J,0)-1,0),0)</f>
        <v>212040001</v>
      </c>
      <c r="AV328" s="10" t="s">
        <v>470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376</v>
      </c>
      <c r="L329" s="9">
        <v>1</v>
      </c>
      <c r="M329" s="9">
        <v>15</v>
      </c>
      <c r="R329" s="9">
        <v>333</v>
      </c>
      <c r="T329" s="86" t="s">
        <v>616</v>
      </c>
      <c r="U329" s="9">
        <f ca="1">IFERROR(OFFSET(ITEM_RES!$A$5,MATCH(BUILDING!T329,ITEM_RES!$J$5:$J$231,0)-1,0),0)</f>
        <v>212030001</v>
      </c>
      <c r="V329" s="11">
        <v>2</v>
      </c>
      <c r="W329" s="86" t="s">
        <v>611</v>
      </c>
      <c r="X329" s="9">
        <f ca="1">IFERROR(OFFSET(ITEM_RES!$A$5,MATCH(BUILDING!W329,ITEM_RES!$J$5:$J$231,0)-1,0),0)</f>
        <v>215040001</v>
      </c>
      <c r="Z329" s="9" t="s">
        <v>588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212010001</v>
      </c>
      <c r="AQ329" s="10" t="s">
        <v>471</v>
      </c>
      <c r="AR329" s="11">
        <v>200</v>
      </c>
      <c r="AU329" s="11">
        <f ca="1">IFERROR(OFFSET(ITEM_RES!$A$1,MATCH(AV329,ITEM_RES!$J:$J,0)-1,0),0)</f>
        <v>212040001</v>
      </c>
      <c r="AV329" s="10" t="s">
        <v>470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376</v>
      </c>
      <c r="L330" s="9">
        <v>1</v>
      </c>
      <c r="M330" s="9">
        <v>15</v>
      </c>
      <c r="R330" s="9">
        <v>333</v>
      </c>
      <c r="T330" s="86" t="s">
        <v>616</v>
      </c>
      <c r="U330" s="9">
        <f ca="1">IFERROR(OFFSET(ITEM_RES!$A$5,MATCH(BUILDING!T330,ITEM_RES!$J$5:$J$231,0)-1,0),0)</f>
        <v>212030001</v>
      </c>
      <c r="V330" s="11">
        <v>2</v>
      </c>
      <c r="W330" s="86" t="s">
        <v>611</v>
      </c>
      <c r="X330" s="9">
        <f ca="1">IFERROR(OFFSET(ITEM_RES!$A$5,MATCH(BUILDING!W330,ITEM_RES!$J$5:$J$231,0)-1,0),0)</f>
        <v>215040001</v>
      </c>
      <c r="Z330" s="9" t="s">
        <v>588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212010001</v>
      </c>
      <c r="AQ330" s="10" t="s">
        <v>471</v>
      </c>
      <c r="AR330" s="11">
        <v>250</v>
      </c>
      <c r="AU330" s="11">
        <f ca="1">IFERROR(OFFSET(ITEM_RES!$A$1,MATCH(AV330,ITEM_RES!$J:$J,0)-1,0),0)</f>
        <v>212040001</v>
      </c>
      <c r="AV330" s="10" t="s">
        <v>470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375</v>
      </c>
      <c r="L331" s="9">
        <v>1</v>
      </c>
      <c r="M331" s="9">
        <v>15</v>
      </c>
      <c r="R331" s="9">
        <v>333</v>
      </c>
      <c r="T331" s="86" t="s">
        <v>616</v>
      </c>
      <c r="U331" s="9">
        <f ca="1">IFERROR(OFFSET(ITEM_RES!$A$5,MATCH(BUILDING!T331,ITEM_RES!$J$5:$J$231,0)-1,0),0)</f>
        <v>212030001</v>
      </c>
      <c r="V331" s="11">
        <v>2</v>
      </c>
      <c r="W331" s="86" t="s">
        <v>611</v>
      </c>
      <c r="X331" s="9">
        <f ca="1">IFERROR(OFFSET(ITEM_RES!$A$5,MATCH(BUILDING!W331,ITEM_RES!$J$5:$J$231,0)-1,0),0)</f>
        <v>215040001</v>
      </c>
      <c r="Z331" s="9" t="s">
        <v>588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212010001</v>
      </c>
      <c r="AQ331" s="10" t="s">
        <v>471</v>
      </c>
      <c r="AR331" s="11">
        <v>500</v>
      </c>
      <c r="AU331" s="11">
        <f ca="1">IFERROR(OFFSET(ITEM_RES!$A$1,MATCH(AV331,ITEM_RES!$J:$J,0)-1,0),0)</f>
        <v>212040001</v>
      </c>
      <c r="AV331" s="10" t="s">
        <v>470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375</v>
      </c>
      <c r="L332" s="9">
        <v>1</v>
      </c>
      <c r="M332" s="9">
        <v>15</v>
      </c>
      <c r="R332" s="9">
        <v>333</v>
      </c>
      <c r="T332" s="86" t="s">
        <v>616</v>
      </c>
      <c r="U332" s="9">
        <f ca="1">IFERROR(OFFSET(ITEM_RES!$A$5,MATCH(BUILDING!T332,ITEM_RES!$J$5:$J$231,0)-1,0),0)</f>
        <v>212030001</v>
      </c>
      <c r="V332" s="11">
        <v>2</v>
      </c>
      <c r="W332" s="86" t="s">
        <v>611</v>
      </c>
      <c r="X332" s="9">
        <f ca="1">IFERROR(OFFSET(ITEM_RES!$A$5,MATCH(BUILDING!W332,ITEM_RES!$J$5:$J$231,0)-1,0),0)</f>
        <v>215040001</v>
      </c>
      <c r="Z332" s="9" t="s">
        <v>588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212010001</v>
      </c>
      <c r="AQ332" s="10" t="s">
        <v>471</v>
      </c>
      <c r="AR332" s="11">
        <v>500</v>
      </c>
      <c r="AU332" s="11">
        <f ca="1">IFERROR(OFFSET(ITEM_RES!$A$1,MATCH(AV332,ITEM_RES!$J:$J,0)-1,0),0)</f>
        <v>212040001</v>
      </c>
      <c r="AV332" s="10" t="s">
        <v>470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213100001</v>
      </c>
      <c r="BF332" s="10" t="s">
        <v>508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375</v>
      </c>
      <c r="L333" s="9">
        <v>1</v>
      </c>
      <c r="M333" s="9">
        <v>15</v>
      </c>
      <c r="R333" s="9">
        <v>333</v>
      </c>
      <c r="T333" s="86" t="s">
        <v>616</v>
      </c>
      <c r="U333" s="9">
        <f ca="1">IFERROR(OFFSET(ITEM_RES!$A$5,MATCH(BUILDING!T333,ITEM_RES!$J$5:$J$231,0)-1,0),0)</f>
        <v>212030001</v>
      </c>
      <c r="V333" s="11">
        <v>2</v>
      </c>
      <c r="W333" s="86" t="s">
        <v>611</v>
      </c>
      <c r="X333" s="9">
        <f ca="1">IFERROR(OFFSET(ITEM_RES!$A$5,MATCH(BUILDING!W333,ITEM_RES!$J$5:$J$231,0)-1,0),0)</f>
        <v>215040001</v>
      </c>
      <c r="Z333" s="9" t="s">
        <v>588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215070001</v>
      </c>
      <c r="AQ333" s="10" t="s">
        <v>467</v>
      </c>
      <c r="AR333" s="11">
        <v>750</v>
      </c>
      <c r="AU333" s="11">
        <f ca="1">IFERROR(OFFSET(ITEM_RES!$A$1,MATCH(AV333,ITEM_RES!$J:$J,0)-1,0),0)</f>
        <v>212040001</v>
      </c>
      <c r="AV333" s="10" t="s">
        <v>470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375</v>
      </c>
      <c r="L334" s="9">
        <v>1</v>
      </c>
      <c r="M334" s="9">
        <v>15</v>
      </c>
      <c r="R334" s="9">
        <v>333</v>
      </c>
      <c r="T334" s="86" t="s">
        <v>616</v>
      </c>
      <c r="U334" s="9">
        <f ca="1">IFERROR(OFFSET(ITEM_RES!$A$5,MATCH(BUILDING!T334,ITEM_RES!$J$5:$J$231,0)-1,0),0)</f>
        <v>212030001</v>
      </c>
      <c r="V334" s="11">
        <v>2</v>
      </c>
      <c r="W334" s="86" t="s">
        <v>611</v>
      </c>
      <c r="X334" s="9">
        <f ca="1">IFERROR(OFFSET(ITEM_RES!$A$5,MATCH(BUILDING!W334,ITEM_RES!$J$5:$J$231,0)-1,0),0)</f>
        <v>215040001</v>
      </c>
      <c r="Z334" s="9" t="s">
        <v>588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215070001</v>
      </c>
      <c r="AQ334" s="10" t="s">
        <v>467</v>
      </c>
      <c r="AR334" s="11">
        <v>1000</v>
      </c>
      <c r="AU334" s="11">
        <f ca="1">IFERROR(OFFSET(ITEM_RES!$A$1,MATCH(AV334,ITEM_RES!$J:$J,0)-1,0),0)</f>
        <v>212040001</v>
      </c>
      <c r="AV334" s="10" t="s">
        <v>470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375</v>
      </c>
      <c r="L335" s="9">
        <v>1</v>
      </c>
      <c r="M335" s="9">
        <v>15</v>
      </c>
      <c r="R335" s="9">
        <v>333</v>
      </c>
      <c r="T335" s="86" t="s">
        <v>616</v>
      </c>
      <c r="U335" s="9">
        <f ca="1">IFERROR(OFFSET(ITEM_RES!$A$5,MATCH(BUILDING!T335,ITEM_RES!$J$5:$J$231,0)-1,0),0)</f>
        <v>212030001</v>
      </c>
      <c r="V335" s="11">
        <v>2</v>
      </c>
      <c r="W335" s="86" t="s">
        <v>611</v>
      </c>
      <c r="X335" s="9">
        <f ca="1">IFERROR(OFFSET(ITEM_RES!$A$5,MATCH(BUILDING!W335,ITEM_RES!$J$5:$J$231,0)-1,0),0)</f>
        <v>215040001</v>
      </c>
      <c r="Z335" s="9" t="s">
        <v>588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215070001</v>
      </c>
      <c r="AQ335" s="10" t="s">
        <v>467</v>
      </c>
      <c r="AR335" s="11">
        <v>1250</v>
      </c>
      <c r="AU335" s="11">
        <f ca="1">IFERROR(OFFSET(ITEM_RES!$A$1,MATCH(AV335,ITEM_RES!$J:$J,0)-1,0),0)</f>
        <v>212040001</v>
      </c>
      <c r="AV335" s="10" t="s">
        <v>470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375</v>
      </c>
      <c r="L336" s="9">
        <v>1</v>
      </c>
      <c r="M336" s="9">
        <v>15</v>
      </c>
      <c r="R336" s="9">
        <v>333</v>
      </c>
      <c r="T336" s="86" t="s">
        <v>616</v>
      </c>
      <c r="U336" s="9">
        <f ca="1">IFERROR(OFFSET(ITEM_RES!$A$5,MATCH(BUILDING!T336,ITEM_RES!$J$5:$J$231,0)-1,0),0)</f>
        <v>212030001</v>
      </c>
      <c r="V336" s="11">
        <v>2</v>
      </c>
      <c r="W336" s="86" t="s">
        <v>611</v>
      </c>
      <c r="X336" s="9">
        <f ca="1">IFERROR(OFFSET(ITEM_RES!$A$5,MATCH(BUILDING!W336,ITEM_RES!$J$5:$J$231,0)-1,0),0)</f>
        <v>215040001</v>
      </c>
      <c r="Z336" s="9" t="s">
        <v>588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215070001</v>
      </c>
      <c r="AQ336" s="10" t="s">
        <v>467</v>
      </c>
      <c r="AR336" s="11">
        <v>1500</v>
      </c>
      <c r="AU336" s="11">
        <f ca="1">IFERROR(OFFSET(ITEM_RES!$A$1,MATCH(AV336,ITEM_RES!$J:$J,0)-1,0),0)</f>
        <v>212040001</v>
      </c>
      <c r="AV336" s="10" t="s">
        <v>470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375</v>
      </c>
      <c r="L337" s="9">
        <v>1</v>
      </c>
      <c r="M337" s="9">
        <v>15</v>
      </c>
      <c r="R337" s="9">
        <v>333</v>
      </c>
      <c r="T337" s="86" t="s">
        <v>616</v>
      </c>
      <c r="U337" s="9">
        <f ca="1">IFERROR(OFFSET(ITEM_RES!$A$5,MATCH(BUILDING!T337,ITEM_RES!$J$5:$J$231,0)-1,0),0)</f>
        <v>212030001</v>
      </c>
      <c r="V337" s="11">
        <v>2</v>
      </c>
      <c r="W337" s="86" t="s">
        <v>611</v>
      </c>
      <c r="X337" s="9">
        <f ca="1">IFERROR(OFFSET(ITEM_RES!$A$5,MATCH(BUILDING!W337,ITEM_RES!$J$5:$J$231,0)-1,0),0)</f>
        <v>215040001</v>
      </c>
      <c r="Z337" s="9" t="s">
        <v>588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215070001</v>
      </c>
      <c r="AQ337" s="10" t="s">
        <v>467</v>
      </c>
      <c r="AR337" s="11">
        <v>1750</v>
      </c>
      <c r="AU337" s="11">
        <f ca="1">IFERROR(OFFSET(ITEM_RES!$A$1,MATCH(AV337,ITEM_RES!$J:$J,0)-1,0),0)</f>
        <v>212040001</v>
      </c>
      <c r="AV337" s="10" t="s">
        <v>470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375</v>
      </c>
      <c r="L338" s="9">
        <v>1</v>
      </c>
      <c r="M338" s="9">
        <v>15</v>
      </c>
      <c r="R338" s="9">
        <v>333</v>
      </c>
      <c r="T338" s="86" t="s">
        <v>616</v>
      </c>
      <c r="U338" s="9">
        <f ca="1">IFERROR(OFFSET(ITEM_RES!$A$5,MATCH(BUILDING!T338,ITEM_RES!$J$5:$J$231,0)-1,0),0)</f>
        <v>212030001</v>
      </c>
      <c r="V338" s="11">
        <v>2</v>
      </c>
      <c r="W338" s="86" t="s">
        <v>611</v>
      </c>
      <c r="X338" s="9">
        <f ca="1">IFERROR(OFFSET(ITEM_RES!$A$5,MATCH(BUILDING!W338,ITEM_RES!$J$5:$J$231,0)-1,0),0)</f>
        <v>215040001</v>
      </c>
      <c r="Z338" s="9" t="s">
        <v>588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215070001</v>
      </c>
      <c r="AQ338" s="10" t="s">
        <v>467</v>
      </c>
      <c r="AR338" s="11">
        <v>2250</v>
      </c>
      <c r="AU338" s="11">
        <f ca="1">IFERROR(OFFSET(ITEM_RES!$A$1,MATCH(AV338,ITEM_RES!$J:$J,0)-1,0),0)</f>
        <v>212040001</v>
      </c>
      <c r="AV338" s="10" t="s">
        <v>470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375</v>
      </c>
      <c r="L339" s="9">
        <v>1</v>
      </c>
      <c r="M339" s="9">
        <v>15</v>
      </c>
      <c r="R339" s="9">
        <v>333</v>
      </c>
      <c r="T339" s="86" t="s">
        <v>616</v>
      </c>
      <c r="U339" s="9">
        <f ca="1">IFERROR(OFFSET(ITEM_RES!$A$5,MATCH(BUILDING!T339,ITEM_RES!$J$5:$J$231,0)-1,0),0)</f>
        <v>212030001</v>
      </c>
      <c r="V339" s="11">
        <v>2</v>
      </c>
      <c r="W339" s="86" t="s">
        <v>611</v>
      </c>
      <c r="X339" s="9">
        <f ca="1">IFERROR(OFFSET(ITEM_RES!$A$5,MATCH(BUILDING!W339,ITEM_RES!$J$5:$J$231,0)-1,0),0)</f>
        <v>215040001</v>
      </c>
      <c r="Z339" s="9" t="s">
        <v>588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215070001</v>
      </c>
      <c r="AQ339" s="10" t="s">
        <v>467</v>
      </c>
      <c r="AR339" s="11">
        <v>2750</v>
      </c>
      <c r="AU339" s="11">
        <f ca="1">IFERROR(OFFSET(ITEM_RES!$A$1,MATCH(AV339,ITEM_RES!$J:$J,0)-1,0),0)</f>
        <v>212040001</v>
      </c>
      <c r="AV339" s="10" t="s">
        <v>470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375</v>
      </c>
      <c r="L340" s="9">
        <v>0</v>
      </c>
      <c r="M340" s="9">
        <v>15</v>
      </c>
      <c r="R340" s="9">
        <v>333</v>
      </c>
      <c r="T340" s="86" t="s">
        <v>616</v>
      </c>
      <c r="U340" s="9">
        <f ca="1">IFERROR(OFFSET(ITEM_RES!$A$5,MATCH(BUILDING!T340,ITEM_RES!$J$5:$J$231,0)-1,0),0)</f>
        <v>212030001</v>
      </c>
      <c r="V340" s="11">
        <v>2</v>
      </c>
      <c r="W340" s="86" t="s">
        <v>611</v>
      </c>
      <c r="X340" s="9">
        <f ca="1">IFERROR(OFFSET(ITEM_RES!$A$5,MATCH(BUILDING!W340,ITEM_RES!$J$5:$J$231,0)-1,0),0)</f>
        <v>215040001</v>
      </c>
      <c r="Z340" s="9" t="s">
        <v>588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215070001</v>
      </c>
      <c r="AQ340" s="10" t="s">
        <v>467</v>
      </c>
      <c r="AR340" s="11">
        <v>3500</v>
      </c>
      <c r="AU340" s="11">
        <f ca="1">IFERROR(OFFSET(ITEM_RES!$A$1,MATCH(AV340,ITEM_RES!$J:$J,0)-1,0),0)</f>
        <v>212040001</v>
      </c>
      <c r="AV340" s="10" t="s">
        <v>470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375</v>
      </c>
      <c r="L341" s="9">
        <v>0</v>
      </c>
      <c r="M341" s="9">
        <v>15</v>
      </c>
      <c r="R341" s="9">
        <v>333</v>
      </c>
      <c r="T341" s="86" t="s">
        <v>616</v>
      </c>
      <c r="U341" s="9">
        <f ca="1">IFERROR(OFFSET(ITEM_RES!$A$5,MATCH(BUILDING!T341,ITEM_RES!$J$5:$J$231,0)-1,0),0)</f>
        <v>212030001</v>
      </c>
      <c r="V341" s="11">
        <v>2</v>
      </c>
      <c r="W341" s="86" t="s">
        <v>611</v>
      </c>
      <c r="X341" s="9">
        <f ca="1">IFERROR(OFFSET(ITEM_RES!$A$5,MATCH(BUILDING!W341,ITEM_RES!$J$5:$J$231,0)-1,0),0)</f>
        <v>215040001</v>
      </c>
      <c r="Z341" s="9" t="s">
        <v>588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215070001</v>
      </c>
      <c r="AQ341" s="10" t="s">
        <v>467</v>
      </c>
      <c r="AR341" s="11">
        <v>4250</v>
      </c>
      <c r="AU341" s="11">
        <f ca="1">IFERROR(OFFSET(ITEM_RES!$A$1,MATCH(AV341,ITEM_RES!$J:$J,0)-1,0),0)</f>
        <v>212040001</v>
      </c>
      <c r="AV341" s="10" t="s">
        <v>470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375</v>
      </c>
      <c r="L342" s="9">
        <v>0</v>
      </c>
      <c r="M342" s="9">
        <v>15</v>
      </c>
      <c r="R342" s="9">
        <v>333</v>
      </c>
      <c r="T342" s="86" t="s">
        <v>616</v>
      </c>
      <c r="U342" s="9">
        <f ca="1">IFERROR(OFFSET(ITEM_RES!$A$5,MATCH(BUILDING!T342,ITEM_RES!$J$5:$J$231,0)-1,0),0)</f>
        <v>212030001</v>
      </c>
      <c r="V342" s="11">
        <v>2</v>
      </c>
      <c r="W342" s="86" t="s">
        <v>611</v>
      </c>
      <c r="X342" s="9">
        <f ca="1">IFERROR(OFFSET(ITEM_RES!$A$5,MATCH(BUILDING!W342,ITEM_RES!$J$5:$J$231,0)-1,0),0)</f>
        <v>215040001</v>
      </c>
      <c r="Z342" s="9" t="s">
        <v>588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215070001</v>
      </c>
      <c r="AQ342" s="10" t="s">
        <v>467</v>
      </c>
      <c r="AR342" s="11">
        <v>5250</v>
      </c>
      <c r="AU342" s="11">
        <f ca="1">IFERROR(OFFSET(ITEM_RES!$A$1,MATCH(AV342,ITEM_RES!$J:$J,0)-1,0),0)</f>
        <v>212040001</v>
      </c>
      <c r="AV342" s="10" t="s">
        <v>470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375</v>
      </c>
      <c r="L343" s="9">
        <v>0</v>
      </c>
      <c r="M343" s="9">
        <v>15</v>
      </c>
      <c r="R343" s="9">
        <v>333</v>
      </c>
      <c r="T343" s="86" t="s">
        <v>616</v>
      </c>
      <c r="U343" s="9">
        <f ca="1">IFERROR(OFFSET(ITEM_RES!$A$5,MATCH(BUILDING!T343,ITEM_RES!$J$5:$J$231,0)-1,0),0)</f>
        <v>212030001</v>
      </c>
      <c r="V343" s="11">
        <v>2</v>
      </c>
      <c r="W343" s="86" t="s">
        <v>611</v>
      </c>
      <c r="X343" s="9">
        <f ca="1">IFERROR(OFFSET(ITEM_RES!$A$5,MATCH(BUILDING!W343,ITEM_RES!$J$5:$J$231,0)-1,0),0)</f>
        <v>215040001</v>
      </c>
      <c r="Z343" s="9" t="s">
        <v>588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215070001</v>
      </c>
      <c r="AQ343" s="10" t="s">
        <v>467</v>
      </c>
      <c r="AR343" s="11">
        <v>6250</v>
      </c>
      <c r="AU343" s="11">
        <f ca="1">IFERROR(OFFSET(ITEM_RES!$A$1,MATCH(AV343,ITEM_RES!$J:$J,0)-1,0),0)</f>
        <v>212040001</v>
      </c>
      <c r="AV343" s="10" t="s">
        <v>470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375</v>
      </c>
      <c r="L344" s="9">
        <v>0</v>
      </c>
      <c r="M344" s="9">
        <v>15</v>
      </c>
      <c r="R344" s="9">
        <v>333</v>
      </c>
      <c r="T344" s="86" t="s">
        <v>616</v>
      </c>
      <c r="U344" s="9">
        <f ca="1">IFERROR(OFFSET(ITEM_RES!$A$5,MATCH(BUILDING!T344,ITEM_RES!$J$5:$J$231,0)-1,0),0)</f>
        <v>212030001</v>
      </c>
      <c r="V344" s="11">
        <v>2</v>
      </c>
      <c r="W344" s="86" t="s">
        <v>611</v>
      </c>
      <c r="X344" s="9">
        <f ca="1">IFERROR(OFFSET(ITEM_RES!$A$5,MATCH(BUILDING!W344,ITEM_RES!$J$5:$J$231,0)-1,0),0)</f>
        <v>215040001</v>
      </c>
      <c r="Z344" s="9" t="s">
        <v>588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215070001</v>
      </c>
      <c r="AQ344" s="10" t="s">
        <v>467</v>
      </c>
      <c r="AR344" s="11">
        <v>7500</v>
      </c>
      <c r="AU344" s="11">
        <f ca="1">IFERROR(OFFSET(ITEM_RES!$A$1,MATCH(AV344,ITEM_RES!$J:$J,0)-1,0),0)</f>
        <v>212040001</v>
      </c>
      <c r="AV344" s="10" t="s">
        <v>470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377</v>
      </c>
      <c r="L345" s="16">
        <v>1</v>
      </c>
      <c r="M345" s="16">
        <v>15</v>
      </c>
      <c r="N345" s="16"/>
      <c r="O345" s="17"/>
      <c r="P345" s="17"/>
      <c r="Q345" s="18"/>
      <c r="R345" s="16">
        <v>444</v>
      </c>
      <c r="S345" s="80"/>
      <c r="T345" s="88" t="s">
        <v>617</v>
      </c>
      <c r="U345" s="16">
        <f ca="1">IFERROR(OFFSET(ITEM_RES!$A$5,MATCH(BUILDING!T345,ITEM_RES!$J$5:$J$231,0)-1,0),0)</f>
        <v>212040001</v>
      </c>
      <c r="V345" s="18">
        <v>1</v>
      </c>
      <c r="W345" s="88" t="s">
        <v>415</v>
      </c>
      <c r="X345" s="16">
        <f ca="1">IFERROR(OFFSET(ITEM_RES!$A$5,MATCH(BUILDING!W345,ITEM_RES!$J$5:$J$231,0)-1,0),0)</f>
        <v>215050001</v>
      </c>
      <c r="Y345" s="80"/>
      <c r="Z345" s="16" t="s">
        <v>589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212010001</v>
      </c>
      <c r="AQ345" s="17" t="s">
        <v>471</v>
      </c>
      <c r="AR345" s="18">
        <v>25</v>
      </c>
      <c r="AS345" s="17"/>
      <c r="AT345" s="18"/>
      <c r="AU345" s="18">
        <f ca="1">IFERROR(OFFSET(ITEM_RES!$A$1,MATCH(AV345,ITEM_RES!$J:$J,0)-1,0),0)</f>
        <v>212040001</v>
      </c>
      <c r="AV345" s="17" t="s">
        <v>470</v>
      </c>
      <c r="AW345" s="18">
        <v>25</v>
      </c>
      <c r="AX345" s="17"/>
      <c r="AY345" s="18"/>
      <c r="AZ345" s="18">
        <f ca="1">IFERROR(OFFSET(ITEM_RES!$A$1,MATCH(BA345,ITEM_RES!$J:$J,0)-1,0),0)</f>
        <v>213010001</v>
      </c>
      <c r="BA345" s="17" t="s">
        <v>495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371</v>
      </c>
      <c r="L346" s="9">
        <v>1</v>
      </c>
      <c r="M346" s="9">
        <v>15</v>
      </c>
      <c r="R346" s="9">
        <v>444</v>
      </c>
      <c r="T346" s="86" t="s">
        <v>617</v>
      </c>
      <c r="U346" s="9">
        <f ca="1">IFERROR(OFFSET(ITEM_RES!$A$5,MATCH(BUILDING!T346,ITEM_RES!$J$5:$J$231,0)-1,0),0)</f>
        <v>212040001</v>
      </c>
      <c r="V346" s="11">
        <v>1</v>
      </c>
      <c r="W346" s="86" t="s">
        <v>415</v>
      </c>
      <c r="X346" s="9">
        <f ca="1">IFERROR(OFFSET(ITEM_RES!$A$5,MATCH(BUILDING!W346,ITEM_RES!$J$5:$J$231,0)-1,0),0)</f>
        <v>215050001</v>
      </c>
      <c r="Z346" s="9" t="s">
        <v>589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212010001</v>
      </c>
      <c r="AQ346" s="10" t="s">
        <v>471</v>
      </c>
      <c r="AR346" s="11">
        <v>50</v>
      </c>
      <c r="AU346" s="11">
        <f ca="1">IFERROR(OFFSET(ITEM_RES!$A$1,MATCH(AV346,ITEM_RES!$J:$J,0)-1,0),0)</f>
        <v>212040001</v>
      </c>
      <c r="AV346" s="10" t="s">
        <v>470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371</v>
      </c>
      <c r="L347" s="9">
        <v>1</v>
      </c>
      <c r="M347" s="9">
        <v>15</v>
      </c>
      <c r="R347" s="9">
        <v>444</v>
      </c>
      <c r="T347" s="86" t="s">
        <v>617</v>
      </c>
      <c r="U347" s="9">
        <f ca="1">IFERROR(OFFSET(ITEM_RES!$A$5,MATCH(BUILDING!T347,ITEM_RES!$J$5:$J$231,0)-1,0),0)</f>
        <v>212040001</v>
      </c>
      <c r="V347" s="11">
        <v>1</v>
      </c>
      <c r="W347" s="86" t="s">
        <v>415</v>
      </c>
      <c r="X347" s="9">
        <f ca="1">IFERROR(OFFSET(ITEM_RES!$A$5,MATCH(BUILDING!W347,ITEM_RES!$J$5:$J$231,0)-1,0),0)</f>
        <v>215050001</v>
      </c>
      <c r="Z347" s="9" t="s">
        <v>589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212010001</v>
      </c>
      <c r="AQ347" s="10" t="s">
        <v>471</v>
      </c>
      <c r="AR347" s="11">
        <v>75</v>
      </c>
      <c r="AU347" s="11">
        <f ca="1">IFERROR(OFFSET(ITEM_RES!$A$1,MATCH(AV347,ITEM_RES!$J:$J,0)-1,0),0)</f>
        <v>212040001</v>
      </c>
      <c r="AV347" s="10" t="s">
        <v>470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371</v>
      </c>
      <c r="L348" s="9">
        <v>1</v>
      </c>
      <c r="M348" s="9">
        <v>15</v>
      </c>
      <c r="R348" s="9">
        <v>444</v>
      </c>
      <c r="T348" s="86" t="s">
        <v>617</v>
      </c>
      <c r="U348" s="9">
        <f ca="1">IFERROR(OFFSET(ITEM_RES!$A$5,MATCH(BUILDING!T348,ITEM_RES!$J$5:$J$231,0)-1,0),0)</f>
        <v>212040001</v>
      </c>
      <c r="V348" s="11">
        <v>1</v>
      </c>
      <c r="W348" s="86" t="s">
        <v>415</v>
      </c>
      <c r="X348" s="9">
        <f ca="1">IFERROR(OFFSET(ITEM_RES!$A$5,MATCH(BUILDING!W348,ITEM_RES!$J$5:$J$231,0)-1,0),0)</f>
        <v>215050001</v>
      </c>
      <c r="Z348" s="9" t="s">
        <v>589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212010001</v>
      </c>
      <c r="AQ348" s="10" t="s">
        <v>471</v>
      </c>
      <c r="AR348" s="11">
        <v>125</v>
      </c>
      <c r="AU348" s="11">
        <f ca="1">IFERROR(OFFSET(ITEM_RES!$A$1,MATCH(AV348,ITEM_RES!$J:$J,0)-1,0),0)</f>
        <v>212040001</v>
      </c>
      <c r="AV348" s="10" t="s">
        <v>470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371</v>
      </c>
      <c r="L349" s="9">
        <v>1</v>
      </c>
      <c r="M349" s="9">
        <v>15</v>
      </c>
      <c r="R349" s="9">
        <v>444</v>
      </c>
      <c r="T349" s="86" t="s">
        <v>617</v>
      </c>
      <c r="U349" s="9">
        <f ca="1">IFERROR(OFFSET(ITEM_RES!$A$5,MATCH(BUILDING!T349,ITEM_RES!$J$5:$J$231,0)-1,0),0)</f>
        <v>212040001</v>
      </c>
      <c r="V349" s="11">
        <v>1</v>
      </c>
      <c r="W349" s="86" t="s">
        <v>415</v>
      </c>
      <c r="X349" s="9">
        <f ca="1">IFERROR(OFFSET(ITEM_RES!$A$5,MATCH(BUILDING!W349,ITEM_RES!$J$5:$J$231,0)-1,0),0)</f>
        <v>215050001</v>
      </c>
      <c r="Z349" s="9" t="s">
        <v>589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212010001</v>
      </c>
      <c r="AQ349" s="10" t="s">
        <v>471</v>
      </c>
      <c r="AR349" s="11">
        <v>200</v>
      </c>
      <c r="AU349" s="11">
        <f ca="1">IFERROR(OFFSET(ITEM_RES!$A$1,MATCH(AV349,ITEM_RES!$J:$J,0)-1,0),0)</f>
        <v>212040001</v>
      </c>
      <c r="AV349" s="10" t="s">
        <v>470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371</v>
      </c>
      <c r="L350" s="9">
        <v>1</v>
      </c>
      <c r="M350" s="9">
        <v>15</v>
      </c>
      <c r="R350" s="9">
        <v>444</v>
      </c>
      <c r="T350" s="86" t="s">
        <v>617</v>
      </c>
      <c r="U350" s="9">
        <f ca="1">IFERROR(OFFSET(ITEM_RES!$A$5,MATCH(BUILDING!T350,ITEM_RES!$J$5:$J$231,0)-1,0),0)</f>
        <v>212040001</v>
      </c>
      <c r="V350" s="11">
        <v>1</v>
      </c>
      <c r="W350" s="86" t="s">
        <v>415</v>
      </c>
      <c r="X350" s="9">
        <f ca="1">IFERROR(OFFSET(ITEM_RES!$A$5,MATCH(BUILDING!W350,ITEM_RES!$J$5:$J$231,0)-1,0),0)</f>
        <v>215050001</v>
      </c>
      <c r="Z350" s="9" t="s">
        <v>589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212010001</v>
      </c>
      <c r="AQ350" s="10" t="s">
        <v>471</v>
      </c>
      <c r="AR350" s="11">
        <v>250</v>
      </c>
      <c r="AU350" s="11">
        <f ca="1">IFERROR(OFFSET(ITEM_RES!$A$1,MATCH(AV350,ITEM_RES!$J:$J,0)-1,0),0)</f>
        <v>212040001</v>
      </c>
      <c r="AV350" s="10" t="s">
        <v>470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371</v>
      </c>
      <c r="L351" s="9">
        <v>1</v>
      </c>
      <c r="M351" s="9">
        <v>15</v>
      </c>
      <c r="R351" s="9">
        <v>444</v>
      </c>
      <c r="T351" s="86" t="s">
        <v>617</v>
      </c>
      <c r="U351" s="9">
        <f ca="1">IFERROR(OFFSET(ITEM_RES!$A$5,MATCH(BUILDING!T351,ITEM_RES!$J$5:$J$231,0)-1,0),0)</f>
        <v>212040001</v>
      </c>
      <c r="V351" s="11">
        <v>1</v>
      </c>
      <c r="W351" s="86" t="s">
        <v>415</v>
      </c>
      <c r="X351" s="9">
        <f ca="1">IFERROR(OFFSET(ITEM_RES!$A$5,MATCH(BUILDING!W351,ITEM_RES!$J$5:$J$231,0)-1,0),0)</f>
        <v>215050001</v>
      </c>
      <c r="Z351" s="9" t="s">
        <v>589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212010001</v>
      </c>
      <c r="AQ351" s="10" t="s">
        <v>471</v>
      </c>
      <c r="AR351" s="11">
        <v>500</v>
      </c>
      <c r="AU351" s="11">
        <f ca="1">IFERROR(OFFSET(ITEM_RES!$A$1,MATCH(AV351,ITEM_RES!$J:$J,0)-1,0),0)</f>
        <v>212040001</v>
      </c>
      <c r="AV351" s="10" t="s">
        <v>470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213110001</v>
      </c>
      <c r="BF351" s="10" t="s">
        <v>509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371</v>
      </c>
      <c r="L352" s="9">
        <v>1</v>
      </c>
      <c r="M352" s="9">
        <v>15</v>
      </c>
      <c r="R352" s="9">
        <v>444</v>
      </c>
      <c r="T352" s="86" t="s">
        <v>617</v>
      </c>
      <c r="U352" s="9">
        <f ca="1">IFERROR(OFFSET(ITEM_RES!$A$5,MATCH(BUILDING!T352,ITEM_RES!$J$5:$J$231,0)-1,0),0)</f>
        <v>212040001</v>
      </c>
      <c r="V352" s="11">
        <v>1</v>
      </c>
      <c r="W352" s="86" t="s">
        <v>415</v>
      </c>
      <c r="X352" s="9">
        <f ca="1">IFERROR(OFFSET(ITEM_RES!$A$5,MATCH(BUILDING!W352,ITEM_RES!$J$5:$J$231,0)-1,0),0)</f>
        <v>215050001</v>
      </c>
      <c r="Z352" s="9" t="s">
        <v>589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212010001</v>
      </c>
      <c r="AQ352" s="10" t="s">
        <v>471</v>
      </c>
      <c r="AR352" s="11">
        <v>500</v>
      </c>
      <c r="AU352" s="11">
        <f ca="1">IFERROR(OFFSET(ITEM_RES!$A$1,MATCH(AV352,ITEM_RES!$J:$J,0)-1,0),0)</f>
        <v>212040001</v>
      </c>
      <c r="AV352" s="10" t="s">
        <v>470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371</v>
      </c>
      <c r="L353" s="9">
        <v>1</v>
      </c>
      <c r="M353" s="9">
        <v>15</v>
      </c>
      <c r="R353" s="9">
        <v>444</v>
      </c>
      <c r="T353" s="86" t="s">
        <v>617</v>
      </c>
      <c r="U353" s="9">
        <f ca="1">IFERROR(OFFSET(ITEM_RES!$A$5,MATCH(BUILDING!T353,ITEM_RES!$J$5:$J$231,0)-1,0),0)</f>
        <v>212040001</v>
      </c>
      <c r="V353" s="11">
        <v>1</v>
      </c>
      <c r="W353" s="86" t="s">
        <v>415</v>
      </c>
      <c r="X353" s="9">
        <f ca="1">IFERROR(OFFSET(ITEM_RES!$A$5,MATCH(BUILDING!W353,ITEM_RES!$J$5:$J$231,0)-1,0),0)</f>
        <v>215050001</v>
      </c>
      <c r="Z353" s="9" t="s">
        <v>589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212010001</v>
      </c>
      <c r="AQ353" s="10" t="s">
        <v>471</v>
      </c>
      <c r="AR353" s="11">
        <v>750</v>
      </c>
      <c r="AU353" s="11">
        <f ca="1">IFERROR(OFFSET(ITEM_RES!$A$1,MATCH(AV353,ITEM_RES!$J:$J,0)-1,0),0)</f>
        <v>212040001</v>
      </c>
      <c r="AV353" s="10" t="s">
        <v>470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371</v>
      </c>
      <c r="L354" s="9">
        <v>1</v>
      </c>
      <c r="M354" s="9">
        <v>15</v>
      </c>
      <c r="R354" s="9">
        <v>444</v>
      </c>
      <c r="T354" s="86" t="s">
        <v>617</v>
      </c>
      <c r="U354" s="9">
        <f ca="1">IFERROR(OFFSET(ITEM_RES!$A$5,MATCH(BUILDING!T354,ITEM_RES!$J$5:$J$231,0)-1,0),0)</f>
        <v>212040001</v>
      </c>
      <c r="V354" s="11">
        <v>1</v>
      </c>
      <c r="W354" s="86" t="s">
        <v>415</v>
      </c>
      <c r="X354" s="9">
        <f ca="1">IFERROR(OFFSET(ITEM_RES!$A$5,MATCH(BUILDING!W354,ITEM_RES!$J$5:$J$231,0)-1,0),0)</f>
        <v>215050001</v>
      </c>
      <c r="Z354" s="9" t="s">
        <v>589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212010001</v>
      </c>
      <c r="AQ354" s="10" t="s">
        <v>471</v>
      </c>
      <c r="AR354" s="11">
        <v>1000</v>
      </c>
      <c r="AU354" s="11">
        <f ca="1">IFERROR(OFFSET(ITEM_RES!$A$1,MATCH(AV354,ITEM_RES!$J:$J,0)-1,0),0)</f>
        <v>212040001</v>
      </c>
      <c r="AV354" s="10" t="s">
        <v>470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371</v>
      </c>
      <c r="L355" s="9">
        <v>1</v>
      </c>
      <c r="M355" s="9">
        <v>15</v>
      </c>
      <c r="R355" s="9">
        <v>444</v>
      </c>
      <c r="T355" s="86" t="s">
        <v>617</v>
      </c>
      <c r="U355" s="9">
        <f ca="1">IFERROR(OFFSET(ITEM_RES!$A$5,MATCH(BUILDING!T355,ITEM_RES!$J$5:$J$231,0)-1,0),0)</f>
        <v>212040001</v>
      </c>
      <c r="V355" s="11">
        <v>1</v>
      </c>
      <c r="W355" s="86" t="s">
        <v>415</v>
      </c>
      <c r="X355" s="9">
        <f ca="1">IFERROR(OFFSET(ITEM_RES!$A$5,MATCH(BUILDING!W355,ITEM_RES!$J$5:$J$231,0)-1,0),0)</f>
        <v>215050001</v>
      </c>
      <c r="Z355" s="9" t="s">
        <v>589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212010001</v>
      </c>
      <c r="AQ355" s="10" t="s">
        <v>471</v>
      </c>
      <c r="AR355" s="11">
        <v>1250</v>
      </c>
      <c r="AU355" s="11">
        <f ca="1">IFERROR(OFFSET(ITEM_RES!$A$1,MATCH(AV355,ITEM_RES!$J:$J,0)-1,0),0)</f>
        <v>212040001</v>
      </c>
      <c r="AV355" s="10" t="s">
        <v>470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371</v>
      </c>
      <c r="L356" s="9">
        <v>1</v>
      </c>
      <c r="M356" s="9">
        <v>15</v>
      </c>
      <c r="R356" s="9">
        <v>444</v>
      </c>
      <c r="T356" s="86" t="s">
        <v>617</v>
      </c>
      <c r="U356" s="9">
        <f ca="1">IFERROR(OFFSET(ITEM_RES!$A$5,MATCH(BUILDING!T356,ITEM_RES!$J$5:$J$231,0)-1,0),0)</f>
        <v>212040001</v>
      </c>
      <c r="V356" s="11">
        <v>1</v>
      </c>
      <c r="W356" s="86" t="s">
        <v>415</v>
      </c>
      <c r="X356" s="9">
        <f ca="1">IFERROR(OFFSET(ITEM_RES!$A$5,MATCH(BUILDING!W356,ITEM_RES!$J$5:$J$231,0)-1,0),0)</f>
        <v>215050001</v>
      </c>
      <c r="Z356" s="9" t="s">
        <v>589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215070001</v>
      </c>
      <c r="AQ356" s="10" t="s">
        <v>467</v>
      </c>
      <c r="AR356" s="11">
        <v>1500</v>
      </c>
      <c r="AU356" s="11">
        <f ca="1">IFERROR(OFFSET(ITEM_RES!$A$1,MATCH(AV356,ITEM_RES!$J:$J,0)-1,0),0)</f>
        <v>212040001</v>
      </c>
      <c r="AV356" s="10" t="s">
        <v>470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371</v>
      </c>
      <c r="L357" s="9">
        <v>1</v>
      </c>
      <c r="M357" s="9">
        <v>15</v>
      </c>
      <c r="R357" s="9">
        <v>444</v>
      </c>
      <c r="T357" s="86" t="s">
        <v>617</v>
      </c>
      <c r="U357" s="9">
        <f ca="1">IFERROR(OFFSET(ITEM_RES!$A$5,MATCH(BUILDING!T357,ITEM_RES!$J$5:$J$231,0)-1,0),0)</f>
        <v>212040001</v>
      </c>
      <c r="V357" s="11">
        <v>1</v>
      </c>
      <c r="W357" s="86" t="s">
        <v>415</v>
      </c>
      <c r="X357" s="9">
        <f ca="1">IFERROR(OFFSET(ITEM_RES!$A$5,MATCH(BUILDING!W357,ITEM_RES!$J$5:$J$231,0)-1,0),0)</f>
        <v>215050001</v>
      </c>
      <c r="Z357" s="9" t="s">
        <v>589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215070001</v>
      </c>
      <c r="AQ357" s="10" t="s">
        <v>467</v>
      </c>
      <c r="AR357" s="11">
        <v>1750</v>
      </c>
      <c r="AU357" s="11">
        <f ca="1">IFERROR(OFFSET(ITEM_RES!$A$1,MATCH(AV357,ITEM_RES!$J:$J,0)-1,0),0)</f>
        <v>212040001</v>
      </c>
      <c r="AV357" s="10" t="s">
        <v>470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371</v>
      </c>
      <c r="L358" s="9">
        <v>1</v>
      </c>
      <c r="M358" s="9">
        <v>15</v>
      </c>
      <c r="R358" s="9">
        <v>444</v>
      </c>
      <c r="T358" s="86" t="s">
        <v>617</v>
      </c>
      <c r="U358" s="9">
        <f ca="1">IFERROR(OFFSET(ITEM_RES!$A$5,MATCH(BUILDING!T358,ITEM_RES!$J$5:$J$231,0)-1,0),0)</f>
        <v>212040001</v>
      </c>
      <c r="V358" s="11">
        <v>1</v>
      </c>
      <c r="W358" s="86" t="s">
        <v>415</v>
      </c>
      <c r="X358" s="9">
        <f ca="1">IFERROR(OFFSET(ITEM_RES!$A$5,MATCH(BUILDING!W358,ITEM_RES!$J$5:$J$231,0)-1,0),0)</f>
        <v>215050001</v>
      </c>
      <c r="Z358" s="9" t="s">
        <v>589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215070001</v>
      </c>
      <c r="AQ358" s="10" t="s">
        <v>467</v>
      </c>
      <c r="AR358" s="11">
        <v>2250</v>
      </c>
      <c r="AU358" s="11">
        <f ca="1">IFERROR(OFFSET(ITEM_RES!$A$1,MATCH(AV358,ITEM_RES!$J:$J,0)-1,0),0)</f>
        <v>212040001</v>
      </c>
      <c r="AV358" s="10" t="s">
        <v>470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371</v>
      </c>
      <c r="L359" s="9">
        <v>1</v>
      </c>
      <c r="M359" s="9">
        <v>15</v>
      </c>
      <c r="R359" s="9">
        <v>444</v>
      </c>
      <c r="T359" s="86" t="s">
        <v>617</v>
      </c>
      <c r="U359" s="9">
        <f ca="1">IFERROR(OFFSET(ITEM_RES!$A$5,MATCH(BUILDING!T359,ITEM_RES!$J$5:$J$231,0)-1,0),0)</f>
        <v>212040001</v>
      </c>
      <c r="V359" s="11">
        <v>1</v>
      </c>
      <c r="W359" s="86" t="s">
        <v>415</v>
      </c>
      <c r="X359" s="9">
        <f ca="1">IFERROR(OFFSET(ITEM_RES!$A$5,MATCH(BUILDING!W359,ITEM_RES!$J$5:$J$231,0)-1,0),0)</f>
        <v>215050001</v>
      </c>
      <c r="Z359" s="9" t="s">
        <v>589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215070001</v>
      </c>
      <c r="AQ359" s="10" t="s">
        <v>467</v>
      </c>
      <c r="AR359" s="11">
        <v>2750</v>
      </c>
      <c r="AU359" s="11">
        <f ca="1">IFERROR(OFFSET(ITEM_RES!$A$1,MATCH(AV359,ITEM_RES!$J:$J,0)-1,0),0)</f>
        <v>212040001</v>
      </c>
      <c r="AV359" s="10" t="s">
        <v>470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371</v>
      </c>
      <c r="L360" s="9">
        <v>0</v>
      </c>
      <c r="M360" s="9">
        <v>15</v>
      </c>
      <c r="R360" s="9">
        <v>444</v>
      </c>
      <c r="T360" s="86" t="s">
        <v>617</v>
      </c>
      <c r="U360" s="9">
        <f ca="1">IFERROR(OFFSET(ITEM_RES!$A$5,MATCH(BUILDING!T360,ITEM_RES!$J$5:$J$231,0)-1,0),0)</f>
        <v>212040001</v>
      </c>
      <c r="V360" s="11">
        <v>1</v>
      </c>
      <c r="W360" s="86" t="s">
        <v>415</v>
      </c>
      <c r="X360" s="9">
        <f ca="1">IFERROR(OFFSET(ITEM_RES!$A$5,MATCH(BUILDING!W360,ITEM_RES!$J$5:$J$231,0)-1,0),0)</f>
        <v>215050001</v>
      </c>
      <c r="Z360" s="9" t="s">
        <v>589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215070001</v>
      </c>
      <c r="AQ360" s="10" t="s">
        <v>467</v>
      </c>
      <c r="AR360" s="11">
        <v>3500</v>
      </c>
      <c r="AU360" s="11">
        <f ca="1">IFERROR(OFFSET(ITEM_RES!$A$1,MATCH(AV360,ITEM_RES!$J:$J,0)-1,0),0)</f>
        <v>212040001</v>
      </c>
      <c r="AV360" s="10" t="s">
        <v>470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371</v>
      </c>
      <c r="L361" s="9">
        <v>0</v>
      </c>
      <c r="M361" s="9">
        <v>15</v>
      </c>
      <c r="R361" s="9">
        <v>444</v>
      </c>
      <c r="T361" s="86" t="s">
        <v>617</v>
      </c>
      <c r="U361" s="9">
        <f ca="1">IFERROR(OFFSET(ITEM_RES!$A$5,MATCH(BUILDING!T361,ITEM_RES!$J$5:$J$231,0)-1,0),0)</f>
        <v>212040001</v>
      </c>
      <c r="V361" s="11">
        <v>1</v>
      </c>
      <c r="W361" s="86" t="s">
        <v>415</v>
      </c>
      <c r="X361" s="9">
        <f ca="1">IFERROR(OFFSET(ITEM_RES!$A$5,MATCH(BUILDING!W361,ITEM_RES!$J$5:$J$231,0)-1,0),0)</f>
        <v>215050001</v>
      </c>
      <c r="Z361" s="9" t="s">
        <v>589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215070001</v>
      </c>
      <c r="AQ361" s="10" t="s">
        <v>467</v>
      </c>
      <c r="AR361" s="11">
        <v>4250</v>
      </c>
      <c r="AU361" s="11">
        <f ca="1">IFERROR(OFFSET(ITEM_RES!$A$1,MATCH(AV361,ITEM_RES!$J:$J,0)-1,0),0)</f>
        <v>212040001</v>
      </c>
      <c r="AV361" s="10" t="s">
        <v>470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371</v>
      </c>
      <c r="L362" s="9">
        <v>0</v>
      </c>
      <c r="M362" s="9">
        <v>15</v>
      </c>
      <c r="R362" s="9">
        <v>444</v>
      </c>
      <c r="T362" s="86" t="s">
        <v>617</v>
      </c>
      <c r="U362" s="9">
        <f ca="1">IFERROR(OFFSET(ITEM_RES!$A$5,MATCH(BUILDING!T362,ITEM_RES!$J$5:$J$231,0)-1,0),0)</f>
        <v>212040001</v>
      </c>
      <c r="V362" s="11">
        <v>1</v>
      </c>
      <c r="W362" s="86" t="s">
        <v>415</v>
      </c>
      <c r="X362" s="9">
        <f ca="1">IFERROR(OFFSET(ITEM_RES!$A$5,MATCH(BUILDING!W362,ITEM_RES!$J$5:$J$231,0)-1,0),0)</f>
        <v>215050001</v>
      </c>
      <c r="Z362" s="9" t="s">
        <v>589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215070001</v>
      </c>
      <c r="AQ362" s="10" t="s">
        <v>467</v>
      </c>
      <c r="AR362" s="11">
        <v>5250</v>
      </c>
      <c r="AU362" s="11">
        <f ca="1">IFERROR(OFFSET(ITEM_RES!$A$1,MATCH(AV362,ITEM_RES!$J:$J,0)-1,0),0)</f>
        <v>212040001</v>
      </c>
      <c r="AV362" s="10" t="s">
        <v>470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371</v>
      </c>
      <c r="L363" s="9">
        <v>0</v>
      </c>
      <c r="M363" s="9">
        <v>15</v>
      </c>
      <c r="R363" s="9">
        <v>444</v>
      </c>
      <c r="T363" s="86" t="s">
        <v>617</v>
      </c>
      <c r="U363" s="9">
        <f ca="1">IFERROR(OFFSET(ITEM_RES!$A$5,MATCH(BUILDING!T363,ITEM_RES!$J$5:$J$231,0)-1,0),0)</f>
        <v>212040001</v>
      </c>
      <c r="V363" s="11">
        <v>1</v>
      </c>
      <c r="W363" s="86" t="s">
        <v>415</v>
      </c>
      <c r="X363" s="9">
        <f ca="1">IFERROR(OFFSET(ITEM_RES!$A$5,MATCH(BUILDING!W363,ITEM_RES!$J$5:$J$231,0)-1,0),0)</f>
        <v>215050001</v>
      </c>
      <c r="Z363" s="9" t="s">
        <v>589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215070001</v>
      </c>
      <c r="AQ363" s="10" t="s">
        <v>467</v>
      </c>
      <c r="AR363" s="11">
        <v>6250</v>
      </c>
      <c r="AU363" s="11">
        <f ca="1">IFERROR(OFFSET(ITEM_RES!$A$1,MATCH(AV363,ITEM_RES!$J:$J,0)-1,0),0)</f>
        <v>212040001</v>
      </c>
      <c r="AV363" s="10" t="s">
        <v>470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371</v>
      </c>
      <c r="L364" s="9">
        <v>0</v>
      </c>
      <c r="M364" s="9">
        <v>15</v>
      </c>
      <c r="R364" s="9">
        <v>444</v>
      </c>
      <c r="T364" s="86" t="s">
        <v>617</v>
      </c>
      <c r="U364" s="9">
        <f ca="1">IFERROR(OFFSET(ITEM_RES!$A$5,MATCH(BUILDING!T364,ITEM_RES!$J$5:$J$231,0)-1,0),0)</f>
        <v>212040001</v>
      </c>
      <c r="V364" s="11">
        <v>1</v>
      </c>
      <c r="W364" s="86" t="s">
        <v>415</v>
      </c>
      <c r="X364" s="9">
        <f ca="1">IFERROR(OFFSET(ITEM_RES!$A$5,MATCH(BUILDING!W364,ITEM_RES!$J$5:$J$231,0)-1,0),0)</f>
        <v>215050001</v>
      </c>
      <c r="Z364" s="9" t="s">
        <v>589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215070001</v>
      </c>
      <c r="AQ364" s="10" t="s">
        <v>467</v>
      </c>
      <c r="AR364" s="11">
        <v>7500</v>
      </c>
      <c r="AU364" s="11">
        <f ca="1">IFERROR(OFFSET(ITEM_RES!$A$1,MATCH(AV364,ITEM_RES!$J:$J,0)-1,0),0)</f>
        <v>212040001</v>
      </c>
      <c r="AV364" s="10" t="s">
        <v>470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383</v>
      </c>
      <c r="L365" s="16">
        <v>1</v>
      </c>
      <c r="M365" s="16">
        <v>15</v>
      </c>
      <c r="N365" s="16"/>
      <c r="O365" s="17"/>
      <c r="P365" s="17"/>
      <c r="Q365" s="18"/>
      <c r="R365" s="16">
        <v>555</v>
      </c>
      <c r="S365" s="80"/>
      <c r="T365" s="88"/>
      <c r="U365" s="16">
        <f ca="1">IFERROR(OFFSET(ITEM_RES!$A$5,MATCH(BUILDING!T365,ITEM_RES!$J$5:$J$231,0)-1,0),0)</f>
        <v>0</v>
      </c>
      <c r="V365" s="18"/>
      <c r="W365" s="88" t="s">
        <v>612</v>
      </c>
      <c r="X365" s="16">
        <f ca="1">IFERROR(OFFSET(ITEM_RES!$A$5,MATCH(BUILDING!W365,ITEM_RES!$J$5:$J$231,0)-1,0),0)</f>
        <v>211060001</v>
      </c>
      <c r="Y365" s="80"/>
      <c r="Z365" s="16" t="s">
        <v>590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211050001</v>
      </c>
      <c r="AQ365" s="17" t="s">
        <v>461</v>
      </c>
      <c r="AR365" s="18">
        <v>25</v>
      </c>
      <c r="AS365" s="17"/>
      <c r="AT365" s="18"/>
      <c r="AU365" s="18">
        <f ca="1">IFERROR(OFFSET(ITEM_RES!$A$1,MATCH(AV365,ITEM_RES!$J:$J,0)-1,0),0)</f>
        <v>211040001</v>
      </c>
      <c r="AV365" s="17" t="s">
        <v>488</v>
      </c>
      <c r="AW365" s="18">
        <v>25</v>
      </c>
      <c r="AX365" s="17"/>
      <c r="AY365" s="18"/>
      <c r="AZ365" s="18">
        <f ca="1">IFERROR(OFFSET(ITEM_RES!$A$1,MATCH(BA365,ITEM_RES!$J:$J,0)-1,0),0)</f>
        <v>213010001</v>
      </c>
      <c r="BA365" s="17" t="s">
        <v>495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383</v>
      </c>
      <c r="L366" s="9">
        <v>1</v>
      </c>
      <c r="M366" s="9">
        <v>15</v>
      </c>
      <c r="R366" s="9">
        <v>555</v>
      </c>
      <c r="U366" s="9">
        <f ca="1">IFERROR(OFFSET(ITEM_RES!$A$5,MATCH(BUILDING!T366,ITEM_RES!$J$5:$J$231,0)-1,0),0)</f>
        <v>0</v>
      </c>
      <c r="W366" s="86" t="s">
        <v>612</v>
      </c>
      <c r="X366" s="9">
        <f ca="1">IFERROR(OFFSET(ITEM_RES!$A$5,MATCH(BUILDING!W366,ITEM_RES!$J$5:$J$231,0)-1,0),0)</f>
        <v>211060001</v>
      </c>
      <c r="Z366" s="9" t="s">
        <v>590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211050001</v>
      </c>
      <c r="AQ366" s="10" t="s">
        <v>461</v>
      </c>
      <c r="AR366" s="11">
        <v>50</v>
      </c>
      <c r="AU366" s="11">
        <f ca="1">IFERROR(OFFSET(ITEM_RES!$A$1,MATCH(AV366,ITEM_RES!$J:$J,0)-1,0),0)</f>
        <v>211040001</v>
      </c>
      <c r="AV366" s="10" t="s">
        <v>488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383</v>
      </c>
      <c r="L367" s="9">
        <v>1</v>
      </c>
      <c r="M367" s="9">
        <v>15</v>
      </c>
      <c r="R367" s="9">
        <v>555</v>
      </c>
      <c r="U367" s="9">
        <f ca="1">IFERROR(OFFSET(ITEM_RES!$A$5,MATCH(BUILDING!T367,ITEM_RES!$J$5:$J$231,0)-1,0),0)</f>
        <v>0</v>
      </c>
      <c r="W367" s="86" t="s">
        <v>612</v>
      </c>
      <c r="X367" s="9">
        <f ca="1">IFERROR(OFFSET(ITEM_RES!$A$5,MATCH(BUILDING!W367,ITEM_RES!$J$5:$J$231,0)-1,0),0)</f>
        <v>211060001</v>
      </c>
      <c r="Z367" s="9" t="s">
        <v>590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211050001</v>
      </c>
      <c r="AQ367" s="10" t="s">
        <v>461</v>
      </c>
      <c r="AR367" s="11">
        <v>75</v>
      </c>
      <c r="AU367" s="11">
        <f ca="1">IFERROR(OFFSET(ITEM_RES!$A$1,MATCH(AV367,ITEM_RES!$J:$J,0)-1,0),0)</f>
        <v>211040001</v>
      </c>
      <c r="AV367" s="10" t="s">
        <v>488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383</v>
      </c>
      <c r="L368" s="9">
        <v>1</v>
      </c>
      <c r="M368" s="9">
        <v>15</v>
      </c>
      <c r="R368" s="9">
        <v>555</v>
      </c>
      <c r="U368" s="9">
        <f ca="1">IFERROR(OFFSET(ITEM_RES!$A$5,MATCH(BUILDING!T368,ITEM_RES!$J$5:$J$231,0)-1,0),0)</f>
        <v>0</v>
      </c>
      <c r="W368" s="86" t="s">
        <v>612</v>
      </c>
      <c r="X368" s="9">
        <f ca="1">IFERROR(OFFSET(ITEM_RES!$A$5,MATCH(BUILDING!W368,ITEM_RES!$J$5:$J$231,0)-1,0),0)</f>
        <v>211060001</v>
      </c>
      <c r="Z368" s="9" t="s">
        <v>590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211050001</v>
      </c>
      <c r="AQ368" s="10" t="s">
        <v>461</v>
      </c>
      <c r="AR368" s="11">
        <v>125</v>
      </c>
      <c r="AU368" s="11">
        <f ca="1">IFERROR(OFFSET(ITEM_RES!$A$1,MATCH(AV368,ITEM_RES!$J:$J,0)-1,0),0)</f>
        <v>211040001</v>
      </c>
      <c r="AV368" s="10" t="s">
        <v>488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383</v>
      </c>
      <c r="L369" s="9">
        <v>1</v>
      </c>
      <c r="M369" s="9">
        <v>15</v>
      </c>
      <c r="R369" s="9">
        <v>555</v>
      </c>
      <c r="U369" s="9">
        <f ca="1">IFERROR(OFFSET(ITEM_RES!$A$5,MATCH(BUILDING!T369,ITEM_RES!$J$5:$J$231,0)-1,0),0)</f>
        <v>0</v>
      </c>
      <c r="W369" s="86" t="s">
        <v>612</v>
      </c>
      <c r="X369" s="9">
        <f ca="1">IFERROR(OFFSET(ITEM_RES!$A$5,MATCH(BUILDING!W369,ITEM_RES!$J$5:$J$231,0)-1,0),0)</f>
        <v>211060001</v>
      </c>
      <c r="Z369" s="9" t="s">
        <v>590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211050001</v>
      </c>
      <c r="AQ369" s="10" t="s">
        <v>461</v>
      </c>
      <c r="AR369" s="11">
        <v>200</v>
      </c>
      <c r="AU369" s="11">
        <f ca="1">IFERROR(OFFSET(ITEM_RES!$A$1,MATCH(AV369,ITEM_RES!$J:$J,0)-1,0),0)</f>
        <v>211040001</v>
      </c>
      <c r="AV369" s="10" t="s">
        <v>488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383</v>
      </c>
      <c r="L370" s="9">
        <v>1</v>
      </c>
      <c r="M370" s="9">
        <v>15</v>
      </c>
      <c r="R370" s="9">
        <v>555</v>
      </c>
      <c r="U370" s="9">
        <f ca="1">IFERROR(OFFSET(ITEM_RES!$A$5,MATCH(BUILDING!T370,ITEM_RES!$J$5:$J$231,0)-1,0),0)</f>
        <v>0</v>
      </c>
      <c r="W370" s="86" t="s">
        <v>612</v>
      </c>
      <c r="X370" s="9">
        <f ca="1">IFERROR(OFFSET(ITEM_RES!$A$5,MATCH(BUILDING!W370,ITEM_RES!$J$5:$J$231,0)-1,0),0)</f>
        <v>211060001</v>
      </c>
      <c r="Z370" s="9" t="s">
        <v>590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211050001</v>
      </c>
      <c r="AQ370" s="10" t="s">
        <v>461</v>
      </c>
      <c r="AR370" s="11">
        <v>250</v>
      </c>
      <c r="AU370" s="11">
        <f ca="1">IFERROR(OFFSET(ITEM_RES!$A$1,MATCH(AV370,ITEM_RES!$J:$J,0)-1,0),0)</f>
        <v>211040001</v>
      </c>
      <c r="AV370" s="10" t="s">
        <v>488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383</v>
      </c>
      <c r="L371" s="9">
        <v>1</v>
      </c>
      <c r="M371" s="9">
        <v>15</v>
      </c>
      <c r="R371" s="9">
        <v>555</v>
      </c>
      <c r="U371" s="9">
        <f ca="1">IFERROR(OFFSET(ITEM_RES!$A$5,MATCH(BUILDING!T371,ITEM_RES!$J$5:$J$231,0)-1,0),0)</f>
        <v>0</v>
      </c>
      <c r="W371" s="86" t="s">
        <v>612</v>
      </c>
      <c r="X371" s="9">
        <f ca="1">IFERROR(OFFSET(ITEM_RES!$A$5,MATCH(BUILDING!W371,ITEM_RES!$J$5:$J$231,0)-1,0),0)</f>
        <v>211060001</v>
      </c>
      <c r="Z371" s="9" t="s">
        <v>590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211050001</v>
      </c>
      <c r="AQ371" s="10" t="s">
        <v>461</v>
      </c>
      <c r="AR371" s="11">
        <v>500</v>
      </c>
      <c r="AU371" s="11">
        <f ca="1">IFERROR(OFFSET(ITEM_RES!$A$1,MATCH(AV371,ITEM_RES!$J:$J,0)-1,0),0)</f>
        <v>211040001</v>
      </c>
      <c r="AV371" s="10" t="s">
        <v>488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383</v>
      </c>
      <c r="L372" s="9">
        <v>1</v>
      </c>
      <c r="M372" s="9">
        <v>15</v>
      </c>
      <c r="R372" s="9">
        <v>555</v>
      </c>
      <c r="U372" s="9">
        <f ca="1">IFERROR(OFFSET(ITEM_RES!$A$5,MATCH(BUILDING!T372,ITEM_RES!$J$5:$J$231,0)-1,0),0)</f>
        <v>0</v>
      </c>
      <c r="W372" s="86" t="s">
        <v>612</v>
      </c>
      <c r="X372" s="9">
        <f ca="1">IFERROR(OFFSET(ITEM_RES!$A$5,MATCH(BUILDING!W372,ITEM_RES!$J$5:$J$231,0)-1,0),0)</f>
        <v>211060001</v>
      </c>
      <c r="Z372" s="9" t="s">
        <v>590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211050001</v>
      </c>
      <c r="AQ372" s="10" t="s">
        <v>461</v>
      </c>
      <c r="AR372" s="11">
        <v>500</v>
      </c>
      <c r="AU372" s="11">
        <f ca="1">IFERROR(OFFSET(ITEM_RES!$A$1,MATCH(AV372,ITEM_RES!$J:$J,0)-1,0),0)</f>
        <v>211040001</v>
      </c>
      <c r="AV372" s="10" t="s">
        <v>488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383</v>
      </c>
      <c r="L373" s="9">
        <v>1</v>
      </c>
      <c r="M373" s="9">
        <v>15</v>
      </c>
      <c r="R373" s="9">
        <v>555</v>
      </c>
      <c r="U373" s="9">
        <f ca="1">IFERROR(OFFSET(ITEM_RES!$A$5,MATCH(BUILDING!T373,ITEM_RES!$J$5:$J$231,0)-1,0),0)</f>
        <v>0</v>
      </c>
      <c r="W373" s="86" t="s">
        <v>612</v>
      </c>
      <c r="X373" s="9">
        <f ca="1">IFERROR(OFFSET(ITEM_RES!$A$5,MATCH(BUILDING!W373,ITEM_RES!$J$5:$J$231,0)-1,0),0)</f>
        <v>211060001</v>
      </c>
      <c r="Z373" s="9" t="s">
        <v>590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211050001</v>
      </c>
      <c r="AQ373" s="10" t="s">
        <v>461</v>
      </c>
      <c r="AR373" s="11">
        <v>750</v>
      </c>
      <c r="AU373" s="11">
        <f ca="1">IFERROR(OFFSET(ITEM_RES!$A$1,MATCH(AV373,ITEM_RES!$J:$J,0)-1,0),0)</f>
        <v>211040001</v>
      </c>
      <c r="AV373" s="10" t="s">
        <v>488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383</v>
      </c>
      <c r="L374" s="9">
        <v>1</v>
      </c>
      <c r="M374" s="9">
        <v>15</v>
      </c>
      <c r="R374" s="9">
        <v>555</v>
      </c>
      <c r="U374" s="9">
        <f ca="1">IFERROR(OFFSET(ITEM_RES!$A$5,MATCH(BUILDING!T374,ITEM_RES!$J$5:$J$231,0)-1,0),0)</f>
        <v>0</v>
      </c>
      <c r="W374" s="86" t="s">
        <v>612</v>
      </c>
      <c r="X374" s="9">
        <f ca="1">IFERROR(OFFSET(ITEM_RES!$A$5,MATCH(BUILDING!W374,ITEM_RES!$J$5:$J$231,0)-1,0),0)</f>
        <v>211060001</v>
      </c>
      <c r="Z374" s="9" t="s">
        <v>590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211050001</v>
      </c>
      <c r="AQ374" s="10" t="s">
        <v>461</v>
      </c>
      <c r="AR374" s="11">
        <v>1000</v>
      </c>
      <c r="AU374" s="11">
        <f ca="1">IFERROR(OFFSET(ITEM_RES!$A$1,MATCH(AV374,ITEM_RES!$J:$J,0)-1,0),0)</f>
        <v>211040001</v>
      </c>
      <c r="AV374" s="10" t="s">
        <v>488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383</v>
      </c>
      <c r="L375" s="9">
        <v>1</v>
      </c>
      <c r="M375" s="9">
        <v>15</v>
      </c>
      <c r="R375" s="9">
        <v>555</v>
      </c>
      <c r="U375" s="9">
        <f ca="1">IFERROR(OFFSET(ITEM_RES!$A$5,MATCH(BUILDING!T375,ITEM_RES!$J$5:$J$231,0)-1,0),0)</f>
        <v>0</v>
      </c>
      <c r="W375" s="86" t="s">
        <v>612</v>
      </c>
      <c r="X375" s="9">
        <f ca="1">IFERROR(OFFSET(ITEM_RES!$A$5,MATCH(BUILDING!W375,ITEM_RES!$J$5:$J$231,0)-1,0),0)</f>
        <v>211060001</v>
      </c>
      <c r="Z375" s="9" t="s">
        <v>590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211050001</v>
      </c>
      <c r="AQ375" s="10" t="s">
        <v>461</v>
      </c>
      <c r="AR375" s="11">
        <v>1250</v>
      </c>
      <c r="AU375" s="11">
        <f ca="1">IFERROR(OFFSET(ITEM_RES!$A$1,MATCH(AV375,ITEM_RES!$J:$J,0)-1,0),0)</f>
        <v>211040001</v>
      </c>
      <c r="AV375" s="10" t="s">
        <v>488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383</v>
      </c>
      <c r="L376" s="9">
        <v>1</v>
      </c>
      <c r="M376" s="9">
        <v>15</v>
      </c>
      <c r="R376" s="9">
        <v>555</v>
      </c>
      <c r="U376" s="9">
        <f ca="1">IFERROR(OFFSET(ITEM_RES!$A$5,MATCH(BUILDING!T376,ITEM_RES!$J$5:$J$231,0)-1,0),0)</f>
        <v>0</v>
      </c>
      <c r="W376" s="86" t="s">
        <v>612</v>
      </c>
      <c r="X376" s="9">
        <f ca="1">IFERROR(OFFSET(ITEM_RES!$A$5,MATCH(BUILDING!W376,ITEM_RES!$J$5:$J$231,0)-1,0),0)</f>
        <v>211060001</v>
      </c>
      <c r="Z376" s="9" t="s">
        <v>590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211050001</v>
      </c>
      <c r="AQ376" s="10" t="s">
        <v>461</v>
      </c>
      <c r="AR376" s="11">
        <v>1500</v>
      </c>
      <c r="AU376" s="11">
        <f ca="1">IFERROR(OFFSET(ITEM_RES!$A$1,MATCH(AV376,ITEM_RES!$J:$J,0)-1,0),0)</f>
        <v>211040001</v>
      </c>
      <c r="AV376" s="10" t="s">
        <v>488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383</v>
      </c>
      <c r="L377" s="9">
        <v>1</v>
      </c>
      <c r="M377" s="9">
        <v>15</v>
      </c>
      <c r="R377" s="9">
        <v>555</v>
      </c>
      <c r="U377" s="9">
        <f ca="1">IFERROR(OFFSET(ITEM_RES!$A$5,MATCH(BUILDING!T377,ITEM_RES!$J$5:$J$231,0)-1,0),0)</f>
        <v>0</v>
      </c>
      <c r="W377" s="86" t="s">
        <v>612</v>
      </c>
      <c r="X377" s="9">
        <f ca="1">IFERROR(OFFSET(ITEM_RES!$A$5,MATCH(BUILDING!W377,ITEM_RES!$J$5:$J$231,0)-1,0),0)</f>
        <v>211060001</v>
      </c>
      <c r="Z377" s="9" t="s">
        <v>590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211050001</v>
      </c>
      <c r="AQ377" s="10" t="s">
        <v>461</v>
      </c>
      <c r="AR377" s="11">
        <v>1750</v>
      </c>
      <c r="AU377" s="11">
        <f ca="1">IFERROR(OFFSET(ITEM_RES!$A$1,MATCH(AV377,ITEM_RES!$J:$J,0)-1,0),0)</f>
        <v>211040001</v>
      </c>
      <c r="AV377" s="10" t="s">
        <v>488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383</v>
      </c>
      <c r="L378" s="9">
        <v>1</v>
      </c>
      <c r="M378" s="9">
        <v>15</v>
      </c>
      <c r="R378" s="9">
        <v>555</v>
      </c>
      <c r="U378" s="9">
        <f ca="1">IFERROR(OFFSET(ITEM_RES!$A$5,MATCH(BUILDING!T378,ITEM_RES!$J$5:$J$231,0)-1,0),0)</f>
        <v>0</v>
      </c>
      <c r="W378" s="86" t="s">
        <v>612</v>
      </c>
      <c r="X378" s="9">
        <f ca="1">IFERROR(OFFSET(ITEM_RES!$A$5,MATCH(BUILDING!W378,ITEM_RES!$J$5:$J$231,0)-1,0),0)</f>
        <v>211060001</v>
      </c>
      <c r="Z378" s="9" t="s">
        <v>590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211050001</v>
      </c>
      <c r="AQ378" s="10" t="s">
        <v>461</v>
      </c>
      <c r="AR378" s="11">
        <v>2250</v>
      </c>
      <c r="AU378" s="11">
        <f ca="1">IFERROR(OFFSET(ITEM_RES!$A$1,MATCH(AV378,ITEM_RES!$J:$J,0)-1,0),0)</f>
        <v>211040001</v>
      </c>
      <c r="AV378" s="10" t="s">
        <v>488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383</v>
      </c>
      <c r="L379" s="9">
        <v>1</v>
      </c>
      <c r="M379" s="9">
        <v>15</v>
      </c>
      <c r="R379" s="9">
        <v>555</v>
      </c>
      <c r="U379" s="9">
        <f ca="1">IFERROR(OFFSET(ITEM_RES!$A$5,MATCH(BUILDING!T379,ITEM_RES!$J$5:$J$231,0)-1,0),0)</f>
        <v>0</v>
      </c>
      <c r="W379" s="86" t="s">
        <v>612</v>
      </c>
      <c r="X379" s="9">
        <f ca="1">IFERROR(OFFSET(ITEM_RES!$A$5,MATCH(BUILDING!W379,ITEM_RES!$J$5:$J$231,0)-1,0),0)</f>
        <v>211060001</v>
      </c>
      <c r="Z379" s="9" t="s">
        <v>590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215010001</v>
      </c>
      <c r="AQ379" s="10" t="s">
        <v>478</v>
      </c>
      <c r="AR379" s="11">
        <v>2750</v>
      </c>
      <c r="AU379" s="11">
        <f ca="1">IFERROR(OFFSET(ITEM_RES!$A$1,MATCH(AV379,ITEM_RES!$J:$J,0)-1,0),0)</f>
        <v>211040001</v>
      </c>
      <c r="AV379" s="10" t="s">
        <v>488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383</v>
      </c>
      <c r="L380" s="9">
        <v>0</v>
      </c>
      <c r="M380" s="9">
        <v>15</v>
      </c>
      <c r="R380" s="9">
        <v>555</v>
      </c>
      <c r="U380" s="9">
        <f ca="1">IFERROR(OFFSET(ITEM_RES!$A$5,MATCH(BUILDING!T380,ITEM_RES!$J$5:$J$231,0)-1,0),0)</f>
        <v>0</v>
      </c>
      <c r="W380" s="86" t="s">
        <v>612</v>
      </c>
      <c r="X380" s="9">
        <f ca="1">IFERROR(OFFSET(ITEM_RES!$A$5,MATCH(BUILDING!W380,ITEM_RES!$J$5:$J$231,0)-1,0),0)</f>
        <v>211060001</v>
      </c>
      <c r="Z380" s="9" t="s">
        <v>590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215010001</v>
      </c>
      <c r="AQ380" s="10" t="s">
        <v>478</v>
      </c>
      <c r="AR380" s="11">
        <v>3500</v>
      </c>
      <c r="AU380" s="11">
        <f ca="1">IFERROR(OFFSET(ITEM_RES!$A$1,MATCH(AV380,ITEM_RES!$J:$J,0)-1,0),0)</f>
        <v>211040001</v>
      </c>
      <c r="AV380" s="10" t="s">
        <v>488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383</v>
      </c>
      <c r="L381" s="9">
        <v>0</v>
      </c>
      <c r="M381" s="9">
        <v>15</v>
      </c>
      <c r="R381" s="9">
        <v>555</v>
      </c>
      <c r="U381" s="9">
        <f ca="1">IFERROR(OFFSET(ITEM_RES!$A$5,MATCH(BUILDING!T381,ITEM_RES!$J$5:$J$231,0)-1,0),0)</f>
        <v>0</v>
      </c>
      <c r="W381" s="86" t="s">
        <v>612</v>
      </c>
      <c r="X381" s="9">
        <f ca="1">IFERROR(OFFSET(ITEM_RES!$A$5,MATCH(BUILDING!W381,ITEM_RES!$J$5:$J$231,0)-1,0),0)</f>
        <v>211060001</v>
      </c>
      <c r="Z381" s="9" t="s">
        <v>590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215010001</v>
      </c>
      <c r="AQ381" s="10" t="s">
        <v>478</v>
      </c>
      <c r="AR381" s="11">
        <v>4250</v>
      </c>
      <c r="AU381" s="11">
        <f ca="1">IFERROR(OFFSET(ITEM_RES!$A$1,MATCH(AV381,ITEM_RES!$J:$J,0)-1,0),0)</f>
        <v>211040001</v>
      </c>
      <c r="AV381" s="10" t="s">
        <v>488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383</v>
      </c>
      <c r="L382" s="9">
        <v>0</v>
      </c>
      <c r="M382" s="9">
        <v>15</v>
      </c>
      <c r="R382" s="9">
        <v>555</v>
      </c>
      <c r="U382" s="9">
        <f ca="1">IFERROR(OFFSET(ITEM_RES!$A$5,MATCH(BUILDING!T382,ITEM_RES!$J$5:$J$231,0)-1,0),0)</f>
        <v>0</v>
      </c>
      <c r="W382" s="86" t="s">
        <v>612</v>
      </c>
      <c r="X382" s="9">
        <f ca="1">IFERROR(OFFSET(ITEM_RES!$A$5,MATCH(BUILDING!W382,ITEM_RES!$J$5:$J$231,0)-1,0),0)</f>
        <v>211060001</v>
      </c>
      <c r="Z382" s="9" t="s">
        <v>590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215010001</v>
      </c>
      <c r="AQ382" s="10" t="s">
        <v>478</v>
      </c>
      <c r="AR382" s="11">
        <v>5250</v>
      </c>
      <c r="AU382" s="11">
        <f ca="1">IFERROR(OFFSET(ITEM_RES!$A$1,MATCH(AV382,ITEM_RES!$J:$J,0)-1,0),0)</f>
        <v>211040001</v>
      </c>
      <c r="AV382" s="10" t="s">
        <v>488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383</v>
      </c>
      <c r="L383" s="9">
        <v>0</v>
      </c>
      <c r="M383" s="9">
        <v>15</v>
      </c>
      <c r="R383" s="9">
        <v>555</v>
      </c>
      <c r="U383" s="9">
        <f ca="1">IFERROR(OFFSET(ITEM_RES!$A$5,MATCH(BUILDING!T383,ITEM_RES!$J$5:$J$231,0)-1,0),0)</f>
        <v>0</v>
      </c>
      <c r="W383" s="86" t="s">
        <v>612</v>
      </c>
      <c r="X383" s="9">
        <f ca="1">IFERROR(OFFSET(ITEM_RES!$A$5,MATCH(BUILDING!W383,ITEM_RES!$J$5:$J$231,0)-1,0),0)</f>
        <v>211060001</v>
      </c>
      <c r="Z383" s="9" t="s">
        <v>590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215010001</v>
      </c>
      <c r="AQ383" s="10" t="s">
        <v>478</v>
      </c>
      <c r="AR383" s="11">
        <v>6250</v>
      </c>
      <c r="AU383" s="11">
        <f ca="1">IFERROR(OFFSET(ITEM_RES!$A$1,MATCH(AV383,ITEM_RES!$J:$J,0)-1,0),0)</f>
        <v>211040001</v>
      </c>
      <c r="AV383" s="10" t="s">
        <v>488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383</v>
      </c>
      <c r="L384" s="9">
        <v>0</v>
      </c>
      <c r="M384" s="9">
        <v>15</v>
      </c>
      <c r="R384" s="9">
        <v>555</v>
      </c>
      <c r="U384" s="9">
        <f ca="1">IFERROR(OFFSET(ITEM_RES!$A$5,MATCH(BUILDING!T384,ITEM_RES!$J$5:$J$231,0)-1,0),0)</f>
        <v>0</v>
      </c>
      <c r="W384" s="86" t="s">
        <v>612</v>
      </c>
      <c r="X384" s="9">
        <f ca="1">IFERROR(OFFSET(ITEM_RES!$A$5,MATCH(BUILDING!W384,ITEM_RES!$J$5:$J$231,0)-1,0),0)</f>
        <v>211060001</v>
      </c>
      <c r="Z384" s="9" t="s">
        <v>590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215010001</v>
      </c>
      <c r="AQ384" s="10" t="s">
        <v>478</v>
      </c>
      <c r="AR384" s="11">
        <v>7500</v>
      </c>
      <c r="AU384" s="11">
        <f ca="1">IFERROR(OFFSET(ITEM_RES!$A$1,MATCH(AV384,ITEM_RES!$J:$J,0)-1,0),0)</f>
        <v>211040001</v>
      </c>
      <c r="AV384" s="10" t="s">
        <v>488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455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0"/>
      <c r="T385" s="88" t="s">
        <v>618</v>
      </c>
      <c r="U385" s="16">
        <f ca="1">IFERROR(OFFSET(ITEM_RES!$A$5,MATCH(BUILDING!T385,ITEM_RES!$J$5:$J$231,0)-1,0),0)</f>
        <v>212010001</v>
      </c>
      <c r="V385" s="18">
        <v>1</v>
      </c>
      <c r="W385" s="88" t="s">
        <v>613</v>
      </c>
      <c r="X385" s="16">
        <f ca="1">IFERROR(OFFSET(ITEM_RES!$A$5,MATCH(BUILDING!W385,ITEM_RES!$J$5:$J$231,0)-1,0),0)</f>
        <v>215070001</v>
      </c>
      <c r="Y385" s="80"/>
      <c r="Z385" s="16" t="s">
        <v>591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212010001</v>
      </c>
      <c r="AQ385" s="17" t="s">
        <v>471</v>
      </c>
      <c r="AR385" s="18">
        <v>25</v>
      </c>
      <c r="AS385" s="17"/>
      <c r="AT385" s="18"/>
      <c r="AU385" s="18">
        <f ca="1">IFERROR(OFFSET(ITEM_RES!$A$1,MATCH(AV385,ITEM_RES!$J:$J,0)-1,0),0)</f>
        <v>212040001</v>
      </c>
      <c r="AV385" s="17" t="s">
        <v>472</v>
      </c>
      <c r="AW385" s="18">
        <v>25</v>
      </c>
      <c r="AX385" s="17"/>
      <c r="AY385" s="18"/>
      <c r="AZ385" s="18">
        <f ca="1">IFERROR(OFFSET(ITEM_RES!$A$1,MATCH(BA385,ITEM_RES!$J:$J,0)-1,0),0)</f>
        <v>213010001</v>
      </c>
      <c r="BA385" s="17" t="s">
        <v>495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455</v>
      </c>
      <c r="L386" s="9">
        <v>1</v>
      </c>
      <c r="M386" s="9">
        <v>15</v>
      </c>
      <c r="R386" s="9">
        <v>777</v>
      </c>
      <c r="T386" s="86" t="s">
        <v>618</v>
      </c>
      <c r="U386" s="9">
        <f ca="1">IFERROR(OFFSET(ITEM_RES!$A$5,MATCH(BUILDING!T386,ITEM_RES!$J$5:$J$231,0)-1,0),0)</f>
        <v>212010001</v>
      </c>
      <c r="V386" s="11">
        <v>1</v>
      </c>
      <c r="W386" s="86" t="s">
        <v>613</v>
      </c>
      <c r="X386" s="9">
        <f ca="1">IFERROR(OFFSET(ITEM_RES!$A$5,MATCH(BUILDING!W386,ITEM_RES!$J$5:$J$231,0)-1,0),0)</f>
        <v>215070001</v>
      </c>
      <c r="Z386" s="9" t="s">
        <v>591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212010001</v>
      </c>
      <c r="AQ386" s="10" t="s">
        <v>471</v>
      </c>
      <c r="AR386" s="11">
        <v>50</v>
      </c>
      <c r="AU386" s="11">
        <f ca="1">IFERROR(OFFSET(ITEM_RES!$A$1,MATCH(AV386,ITEM_RES!$J:$J,0)-1,0),0)</f>
        <v>212040001</v>
      </c>
      <c r="AV386" s="10" t="s">
        <v>472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455</v>
      </c>
      <c r="L387" s="9">
        <v>1</v>
      </c>
      <c r="M387" s="9">
        <v>15</v>
      </c>
      <c r="R387" s="9">
        <v>777</v>
      </c>
      <c r="T387" s="86" t="s">
        <v>618</v>
      </c>
      <c r="U387" s="9">
        <f ca="1">IFERROR(OFFSET(ITEM_RES!$A$5,MATCH(BUILDING!T387,ITEM_RES!$J$5:$J$231,0)-1,0),0)</f>
        <v>212010001</v>
      </c>
      <c r="V387" s="11">
        <v>1</v>
      </c>
      <c r="W387" s="86" t="s">
        <v>613</v>
      </c>
      <c r="X387" s="9">
        <f ca="1">IFERROR(OFFSET(ITEM_RES!$A$5,MATCH(BUILDING!W387,ITEM_RES!$J$5:$J$231,0)-1,0),0)</f>
        <v>215070001</v>
      </c>
      <c r="Z387" s="9" t="s">
        <v>591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212010001</v>
      </c>
      <c r="AQ387" s="10" t="s">
        <v>471</v>
      </c>
      <c r="AR387" s="11">
        <v>75</v>
      </c>
      <c r="AU387" s="11">
        <f ca="1">IFERROR(OFFSET(ITEM_RES!$A$1,MATCH(AV387,ITEM_RES!$J:$J,0)-1,0),0)</f>
        <v>212040001</v>
      </c>
      <c r="AV387" s="10" t="s">
        <v>472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455</v>
      </c>
      <c r="L388" s="9">
        <v>1</v>
      </c>
      <c r="M388" s="9">
        <v>15</v>
      </c>
      <c r="R388" s="9">
        <v>777</v>
      </c>
      <c r="T388" s="86" t="s">
        <v>618</v>
      </c>
      <c r="U388" s="9">
        <f ca="1">IFERROR(OFFSET(ITEM_RES!$A$5,MATCH(BUILDING!T388,ITEM_RES!$J$5:$J$231,0)-1,0),0)</f>
        <v>212010001</v>
      </c>
      <c r="V388" s="11">
        <v>1</v>
      </c>
      <c r="W388" s="86" t="s">
        <v>613</v>
      </c>
      <c r="X388" s="9">
        <f ca="1">IFERROR(OFFSET(ITEM_RES!$A$5,MATCH(BUILDING!W388,ITEM_RES!$J$5:$J$231,0)-1,0),0)</f>
        <v>215070001</v>
      </c>
      <c r="Z388" s="9" t="s">
        <v>591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212010001</v>
      </c>
      <c r="AQ388" s="10" t="s">
        <v>471</v>
      </c>
      <c r="AR388" s="11">
        <v>125</v>
      </c>
      <c r="AU388" s="11">
        <f ca="1">IFERROR(OFFSET(ITEM_RES!$A$1,MATCH(AV388,ITEM_RES!$J:$J,0)-1,0),0)</f>
        <v>212040001</v>
      </c>
      <c r="AV388" s="10" t="s">
        <v>472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455</v>
      </c>
      <c r="L389" s="9">
        <v>1</v>
      </c>
      <c r="M389" s="9">
        <v>15</v>
      </c>
      <c r="R389" s="9">
        <v>777</v>
      </c>
      <c r="T389" s="86" t="s">
        <v>618</v>
      </c>
      <c r="U389" s="9">
        <f ca="1">IFERROR(OFFSET(ITEM_RES!$A$5,MATCH(BUILDING!T389,ITEM_RES!$J$5:$J$231,0)-1,0),0)</f>
        <v>212010001</v>
      </c>
      <c r="V389" s="11">
        <v>1</v>
      </c>
      <c r="W389" s="86" t="s">
        <v>613</v>
      </c>
      <c r="X389" s="9">
        <f ca="1">IFERROR(OFFSET(ITEM_RES!$A$5,MATCH(BUILDING!W389,ITEM_RES!$J$5:$J$231,0)-1,0),0)</f>
        <v>215070001</v>
      </c>
      <c r="Z389" s="9" t="s">
        <v>591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212010001</v>
      </c>
      <c r="AQ389" s="10" t="s">
        <v>471</v>
      </c>
      <c r="AR389" s="11">
        <v>200</v>
      </c>
      <c r="AU389" s="11">
        <f ca="1">IFERROR(OFFSET(ITEM_RES!$A$1,MATCH(AV389,ITEM_RES!$J:$J,0)-1,0),0)</f>
        <v>212040001</v>
      </c>
      <c r="AV389" s="10" t="s">
        <v>472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455</v>
      </c>
      <c r="L390" s="9">
        <v>1</v>
      </c>
      <c r="M390" s="9">
        <v>15</v>
      </c>
      <c r="R390" s="9">
        <v>777</v>
      </c>
      <c r="T390" s="86" t="s">
        <v>618</v>
      </c>
      <c r="U390" s="9">
        <f ca="1">IFERROR(OFFSET(ITEM_RES!$A$5,MATCH(BUILDING!T390,ITEM_RES!$J$5:$J$231,0)-1,0),0)</f>
        <v>212010001</v>
      </c>
      <c r="V390" s="11">
        <v>1</v>
      </c>
      <c r="W390" s="86" t="s">
        <v>613</v>
      </c>
      <c r="X390" s="9">
        <f ca="1">IFERROR(OFFSET(ITEM_RES!$A$5,MATCH(BUILDING!W390,ITEM_RES!$J$5:$J$231,0)-1,0),0)</f>
        <v>215070001</v>
      </c>
      <c r="Z390" s="9" t="s">
        <v>591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212010001</v>
      </c>
      <c r="AQ390" s="10" t="s">
        <v>471</v>
      </c>
      <c r="AR390" s="11">
        <v>250</v>
      </c>
      <c r="AU390" s="11">
        <f ca="1">IFERROR(OFFSET(ITEM_RES!$A$1,MATCH(AV390,ITEM_RES!$J:$J,0)-1,0),0)</f>
        <v>212040001</v>
      </c>
      <c r="AV390" s="10" t="s">
        <v>472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213130001</v>
      </c>
      <c r="BF390" s="10" t="s">
        <v>512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455</v>
      </c>
      <c r="L391" s="9">
        <v>1</v>
      </c>
      <c r="M391" s="9">
        <v>15</v>
      </c>
      <c r="R391" s="9">
        <v>777</v>
      </c>
      <c r="T391" s="86" t="s">
        <v>618</v>
      </c>
      <c r="U391" s="9">
        <f ca="1">IFERROR(OFFSET(ITEM_RES!$A$5,MATCH(BUILDING!T391,ITEM_RES!$J$5:$J$231,0)-1,0),0)</f>
        <v>212010001</v>
      </c>
      <c r="V391" s="11">
        <v>1</v>
      </c>
      <c r="W391" s="86" t="s">
        <v>613</v>
      </c>
      <c r="X391" s="9">
        <f ca="1">IFERROR(OFFSET(ITEM_RES!$A$5,MATCH(BUILDING!W391,ITEM_RES!$J$5:$J$231,0)-1,0),0)</f>
        <v>215070001</v>
      </c>
      <c r="Z391" s="9" t="s">
        <v>591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212010001</v>
      </c>
      <c r="AQ391" s="10" t="s">
        <v>471</v>
      </c>
      <c r="AR391" s="11">
        <v>500</v>
      </c>
      <c r="AU391" s="11">
        <f ca="1">IFERROR(OFFSET(ITEM_RES!$A$1,MATCH(AV391,ITEM_RES!$J:$J,0)-1,0),0)</f>
        <v>212040001</v>
      </c>
      <c r="AV391" s="10" t="s">
        <v>472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455</v>
      </c>
      <c r="L392" s="9">
        <v>1</v>
      </c>
      <c r="M392" s="9">
        <v>15</v>
      </c>
      <c r="R392" s="9">
        <v>777</v>
      </c>
      <c r="T392" s="86" t="s">
        <v>618</v>
      </c>
      <c r="U392" s="9">
        <f ca="1">IFERROR(OFFSET(ITEM_RES!$A$5,MATCH(BUILDING!T392,ITEM_RES!$J$5:$J$231,0)-1,0),0)</f>
        <v>212010001</v>
      </c>
      <c r="V392" s="11">
        <v>1</v>
      </c>
      <c r="W392" s="86" t="s">
        <v>613</v>
      </c>
      <c r="X392" s="9">
        <f ca="1">IFERROR(OFFSET(ITEM_RES!$A$5,MATCH(BUILDING!W392,ITEM_RES!$J$5:$J$231,0)-1,0),0)</f>
        <v>215070001</v>
      </c>
      <c r="Z392" s="9" t="s">
        <v>591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212010001</v>
      </c>
      <c r="AQ392" s="10" t="s">
        <v>471</v>
      </c>
      <c r="AR392" s="11">
        <v>500</v>
      </c>
      <c r="AU392" s="11">
        <f ca="1">IFERROR(OFFSET(ITEM_RES!$A$1,MATCH(AV392,ITEM_RES!$J:$J,0)-1,0),0)</f>
        <v>212040001</v>
      </c>
      <c r="AV392" s="10" t="s">
        <v>472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455</v>
      </c>
      <c r="L393" s="9">
        <v>1</v>
      </c>
      <c r="M393" s="9">
        <v>15</v>
      </c>
      <c r="R393" s="9">
        <v>777</v>
      </c>
      <c r="T393" s="86" t="s">
        <v>618</v>
      </c>
      <c r="U393" s="9">
        <f ca="1">IFERROR(OFFSET(ITEM_RES!$A$5,MATCH(BUILDING!T393,ITEM_RES!$J$5:$J$231,0)-1,0),0)</f>
        <v>212010001</v>
      </c>
      <c r="V393" s="11">
        <v>1</v>
      </c>
      <c r="W393" s="86" t="s">
        <v>613</v>
      </c>
      <c r="X393" s="9">
        <f ca="1">IFERROR(OFFSET(ITEM_RES!$A$5,MATCH(BUILDING!W393,ITEM_RES!$J$5:$J$231,0)-1,0),0)</f>
        <v>215070001</v>
      </c>
      <c r="Z393" s="9" t="s">
        <v>591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212010001</v>
      </c>
      <c r="AQ393" s="10" t="s">
        <v>471</v>
      </c>
      <c r="AR393" s="11">
        <v>750</v>
      </c>
      <c r="AU393" s="11">
        <f ca="1">IFERROR(OFFSET(ITEM_RES!$A$1,MATCH(AV393,ITEM_RES!$J:$J,0)-1,0),0)</f>
        <v>212040001</v>
      </c>
      <c r="AV393" s="10" t="s">
        <v>472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455</v>
      </c>
      <c r="L394" s="9">
        <v>1</v>
      </c>
      <c r="M394" s="9">
        <v>15</v>
      </c>
      <c r="R394" s="9">
        <v>777</v>
      </c>
      <c r="T394" s="86" t="s">
        <v>618</v>
      </c>
      <c r="U394" s="9">
        <f ca="1">IFERROR(OFFSET(ITEM_RES!$A$5,MATCH(BUILDING!T394,ITEM_RES!$J$5:$J$231,0)-1,0),0)</f>
        <v>212010001</v>
      </c>
      <c r="V394" s="11">
        <v>1</v>
      </c>
      <c r="W394" s="86" t="s">
        <v>613</v>
      </c>
      <c r="X394" s="9">
        <f ca="1">IFERROR(OFFSET(ITEM_RES!$A$5,MATCH(BUILDING!W394,ITEM_RES!$J$5:$J$231,0)-1,0),0)</f>
        <v>215070001</v>
      </c>
      <c r="Z394" s="9" t="s">
        <v>591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212010001</v>
      </c>
      <c r="AQ394" s="10" t="s">
        <v>471</v>
      </c>
      <c r="AR394" s="11">
        <v>1000</v>
      </c>
      <c r="AU394" s="11">
        <f ca="1">IFERROR(OFFSET(ITEM_RES!$A$1,MATCH(AV394,ITEM_RES!$J:$J,0)-1,0),0)</f>
        <v>212040001</v>
      </c>
      <c r="AV394" s="10" t="s">
        <v>472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455</v>
      </c>
      <c r="L395" s="9">
        <v>1</v>
      </c>
      <c r="M395" s="9">
        <v>15</v>
      </c>
      <c r="R395" s="9">
        <v>777</v>
      </c>
      <c r="T395" s="86" t="s">
        <v>618</v>
      </c>
      <c r="U395" s="9">
        <f ca="1">IFERROR(OFFSET(ITEM_RES!$A$5,MATCH(BUILDING!T395,ITEM_RES!$J$5:$J$231,0)-1,0),0)</f>
        <v>212010001</v>
      </c>
      <c r="V395" s="11">
        <v>1</v>
      </c>
      <c r="W395" s="86" t="s">
        <v>613</v>
      </c>
      <c r="X395" s="9">
        <f ca="1">IFERROR(OFFSET(ITEM_RES!$A$5,MATCH(BUILDING!W395,ITEM_RES!$J$5:$J$231,0)-1,0),0)</f>
        <v>215070001</v>
      </c>
      <c r="Z395" s="9" t="s">
        <v>591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212010001</v>
      </c>
      <c r="AQ395" s="10" t="s">
        <v>471</v>
      </c>
      <c r="AR395" s="11">
        <v>1250</v>
      </c>
      <c r="AU395" s="11">
        <f ca="1">IFERROR(OFFSET(ITEM_RES!$A$1,MATCH(AV395,ITEM_RES!$J:$J,0)-1,0),0)</f>
        <v>212040001</v>
      </c>
      <c r="AV395" s="10" t="s">
        <v>472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455</v>
      </c>
      <c r="L396" s="9">
        <v>1</v>
      </c>
      <c r="M396" s="9">
        <v>15</v>
      </c>
      <c r="R396" s="9">
        <v>777</v>
      </c>
      <c r="T396" s="86" t="s">
        <v>618</v>
      </c>
      <c r="U396" s="9">
        <f ca="1">IFERROR(OFFSET(ITEM_RES!$A$5,MATCH(BUILDING!T396,ITEM_RES!$J$5:$J$231,0)-1,0),0)</f>
        <v>212010001</v>
      </c>
      <c r="V396" s="11">
        <v>1</v>
      </c>
      <c r="W396" s="86" t="s">
        <v>613</v>
      </c>
      <c r="X396" s="9">
        <f ca="1">IFERROR(OFFSET(ITEM_RES!$A$5,MATCH(BUILDING!W396,ITEM_RES!$J$5:$J$231,0)-1,0),0)</f>
        <v>215070001</v>
      </c>
      <c r="Z396" s="9" t="s">
        <v>591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212010001</v>
      </c>
      <c r="AQ396" s="10" t="s">
        <v>471</v>
      </c>
      <c r="AR396" s="11">
        <v>1500</v>
      </c>
      <c r="AU396" s="11">
        <f ca="1">IFERROR(OFFSET(ITEM_RES!$A$1,MATCH(AV396,ITEM_RES!$J:$J,0)-1,0),0)</f>
        <v>212040001</v>
      </c>
      <c r="AV396" s="10" t="s">
        <v>472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455</v>
      </c>
      <c r="L397" s="9">
        <v>1</v>
      </c>
      <c r="M397" s="9">
        <v>15</v>
      </c>
      <c r="R397" s="9">
        <v>777</v>
      </c>
      <c r="T397" s="86" t="s">
        <v>618</v>
      </c>
      <c r="U397" s="9">
        <f ca="1">IFERROR(OFFSET(ITEM_RES!$A$5,MATCH(BUILDING!T397,ITEM_RES!$J$5:$J$231,0)-1,0),0)</f>
        <v>212010001</v>
      </c>
      <c r="V397" s="11">
        <v>1</v>
      </c>
      <c r="W397" s="86" t="s">
        <v>613</v>
      </c>
      <c r="X397" s="9">
        <f ca="1">IFERROR(OFFSET(ITEM_RES!$A$5,MATCH(BUILDING!W397,ITEM_RES!$J$5:$J$231,0)-1,0),0)</f>
        <v>215070001</v>
      </c>
      <c r="Z397" s="9" t="s">
        <v>591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212010001</v>
      </c>
      <c r="AQ397" s="10" t="s">
        <v>471</v>
      </c>
      <c r="AR397" s="11">
        <v>1750</v>
      </c>
      <c r="AU397" s="11">
        <f ca="1">IFERROR(OFFSET(ITEM_RES!$A$1,MATCH(AV397,ITEM_RES!$J:$J,0)-1,0),0)</f>
        <v>212040001</v>
      </c>
      <c r="AV397" s="10" t="s">
        <v>472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455</v>
      </c>
      <c r="L398" s="9">
        <v>1</v>
      </c>
      <c r="M398" s="9">
        <v>15</v>
      </c>
      <c r="R398" s="9">
        <v>777</v>
      </c>
      <c r="T398" s="86" t="s">
        <v>618</v>
      </c>
      <c r="U398" s="9">
        <f ca="1">IFERROR(OFFSET(ITEM_RES!$A$5,MATCH(BUILDING!T398,ITEM_RES!$J$5:$J$231,0)-1,0),0)</f>
        <v>212010001</v>
      </c>
      <c r="V398" s="11">
        <v>1</v>
      </c>
      <c r="W398" s="86" t="s">
        <v>613</v>
      </c>
      <c r="X398" s="9">
        <f ca="1">IFERROR(OFFSET(ITEM_RES!$A$5,MATCH(BUILDING!W398,ITEM_RES!$J$5:$J$231,0)-1,0),0)</f>
        <v>215070001</v>
      </c>
      <c r="Z398" s="9" t="s">
        <v>591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212010001</v>
      </c>
      <c r="AQ398" s="10" t="s">
        <v>471</v>
      </c>
      <c r="AR398" s="11">
        <v>2250</v>
      </c>
      <c r="AU398" s="11">
        <f ca="1">IFERROR(OFFSET(ITEM_RES!$A$1,MATCH(AV398,ITEM_RES!$J:$J,0)-1,0),0)</f>
        <v>212040001</v>
      </c>
      <c r="AV398" s="10" t="s">
        <v>472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455</v>
      </c>
      <c r="L399" s="9">
        <v>1</v>
      </c>
      <c r="M399" s="9">
        <v>15</v>
      </c>
      <c r="R399" s="9">
        <v>777</v>
      </c>
      <c r="T399" s="86" t="s">
        <v>618</v>
      </c>
      <c r="U399" s="9">
        <f ca="1">IFERROR(OFFSET(ITEM_RES!$A$5,MATCH(BUILDING!T399,ITEM_RES!$J$5:$J$231,0)-1,0),0)</f>
        <v>212010001</v>
      </c>
      <c r="V399" s="11">
        <v>1</v>
      </c>
      <c r="W399" s="86" t="s">
        <v>613</v>
      </c>
      <c r="X399" s="9">
        <f ca="1">IFERROR(OFFSET(ITEM_RES!$A$5,MATCH(BUILDING!W399,ITEM_RES!$J$5:$J$231,0)-1,0),0)</f>
        <v>215070001</v>
      </c>
      <c r="Z399" s="9" t="s">
        <v>591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215070001</v>
      </c>
      <c r="AQ399" s="10" t="s">
        <v>467</v>
      </c>
      <c r="AR399" s="11">
        <v>2750</v>
      </c>
      <c r="AU399" s="11">
        <f ca="1">IFERROR(OFFSET(ITEM_RES!$A$1,MATCH(AV399,ITEM_RES!$J:$J,0)-1,0),0)</f>
        <v>212040001</v>
      </c>
      <c r="AV399" s="10" t="s">
        <v>472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455</v>
      </c>
      <c r="L400" s="9">
        <v>0</v>
      </c>
      <c r="M400" s="9">
        <v>15</v>
      </c>
      <c r="R400" s="9">
        <v>777</v>
      </c>
      <c r="T400" s="86" t="s">
        <v>618</v>
      </c>
      <c r="U400" s="9">
        <f ca="1">IFERROR(OFFSET(ITEM_RES!$A$5,MATCH(BUILDING!T400,ITEM_RES!$J$5:$J$231,0)-1,0),0)</f>
        <v>212010001</v>
      </c>
      <c r="V400" s="11">
        <v>1</v>
      </c>
      <c r="W400" s="86" t="s">
        <v>613</v>
      </c>
      <c r="X400" s="9">
        <f ca="1">IFERROR(OFFSET(ITEM_RES!$A$5,MATCH(BUILDING!W400,ITEM_RES!$J$5:$J$231,0)-1,0),0)</f>
        <v>215070001</v>
      </c>
      <c r="Z400" s="9" t="s">
        <v>591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215070001</v>
      </c>
      <c r="AQ400" s="10" t="s">
        <v>467</v>
      </c>
      <c r="AR400" s="11">
        <v>3500</v>
      </c>
      <c r="AU400" s="11">
        <f ca="1">IFERROR(OFFSET(ITEM_RES!$A$1,MATCH(AV400,ITEM_RES!$J:$J,0)-1,0),0)</f>
        <v>212040001</v>
      </c>
      <c r="AV400" s="10" t="s">
        <v>472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455</v>
      </c>
      <c r="L401" s="9">
        <v>0</v>
      </c>
      <c r="M401" s="9">
        <v>15</v>
      </c>
      <c r="R401" s="9">
        <v>777</v>
      </c>
      <c r="T401" s="86" t="s">
        <v>618</v>
      </c>
      <c r="U401" s="9">
        <f ca="1">IFERROR(OFFSET(ITEM_RES!$A$5,MATCH(BUILDING!T401,ITEM_RES!$J$5:$J$231,0)-1,0),0)</f>
        <v>212010001</v>
      </c>
      <c r="V401" s="11">
        <v>1</v>
      </c>
      <c r="W401" s="86" t="s">
        <v>613</v>
      </c>
      <c r="X401" s="9">
        <f ca="1">IFERROR(OFFSET(ITEM_RES!$A$5,MATCH(BUILDING!W401,ITEM_RES!$J$5:$J$231,0)-1,0),0)</f>
        <v>215070001</v>
      </c>
      <c r="Z401" s="9" t="s">
        <v>591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215070001</v>
      </c>
      <c r="AQ401" s="10" t="s">
        <v>467</v>
      </c>
      <c r="AR401" s="11">
        <v>4250</v>
      </c>
      <c r="AU401" s="11">
        <f ca="1">IFERROR(OFFSET(ITEM_RES!$A$1,MATCH(AV401,ITEM_RES!$J:$J,0)-1,0),0)</f>
        <v>212040001</v>
      </c>
      <c r="AV401" s="10" t="s">
        <v>472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455</v>
      </c>
      <c r="L402" s="9">
        <v>0</v>
      </c>
      <c r="M402" s="9">
        <v>15</v>
      </c>
      <c r="R402" s="9">
        <v>777</v>
      </c>
      <c r="T402" s="86" t="s">
        <v>618</v>
      </c>
      <c r="U402" s="9">
        <f ca="1">IFERROR(OFFSET(ITEM_RES!$A$5,MATCH(BUILDING!T402,ITEM_RES!$J$5:$J$231,0)-1,0),0)</f>
        <v>212010001</v>
      </c>
      <c r="V402" s="11">
        <v>1</v>
      </c>
      <c r="W402" s="86" t="s">
        <v>613</v>
      </c>
      <c r="X402" s="9">
        <f ca="1">IFERROR(OFFSET(ITEM_RES!$A$5,MATCH(BUILDING!W402,ITEM_RES!$J$5:$J$231,0)-1,0),0)</f>
        <v>215070001</v>
      </c>
      <c r="Z402" s="9" t="s">
        <v>591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215070001</v>
      </c>
      <c r="AQ402" s="10" t="s">
        <v>467</v>
      </c>
      <c r="AR402" s="11">
        <v>5250</v>
      </c>
      <c r="AU402" s="11">
        <f ca="1">IFERROR(OFFSET(ITEM_RES!$A$1,MATCH(AV402,ITEM_RES!$J:$J,0)-1,0),0)</f>
        <v>212040001</v>
      </c>
      <c r="AV402" s="10" t="s">
        <v>472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455</v>
      </c>
      <c r="L403" s="9">
        <v>0</v>
      </c>
      <c r="M403" s="9">
        <v>15</v>
      </c>
      <c r="R403" s="9">
        <v>777</v>
      </c>
      <c r="T403" s="86" t="s">
        <v>618</v>
      </c>
      <c r="U403" s="9">
        <f ca="1">IFERROR(OFFSET(ITEM_RES!$A$5,MATCH(BUILDING!T403,ITEM_RES!$J$5:$J$231,0)-1,0),0)</f>
        <v>212010001</v>
      </c>
      <c r="V403" s="11">
        <v>1</v>
      </c>
      <c r="W403" s="86" t="s">
        <v>613</v>
      </c>
      <c r="X403" s="9">
        <f ca="1">IFERROR(OFFSET(ITEM_RES!$A$5,MATCH(BUILDING!W403,ITEM_RES!$J$5:$J$231,0)-1,0),0)</f>
        <v>215070001</v>
      </c>
      <c r="Z403" s="9" t="s">
        <v>591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215070001</v>
      </c>
      <c r="AQ403" s="10" t="s">
        <v>467</v>
      </c>
      <c r="AR403" s="11">
        <v>6250</v>
      </c>
      <c r="AU403" s="11">
        <f ca="1">IFERROR(OFFSET(ITEM_RES!$A$1,MATCH(AV403,ITEM_RES!$J:$J,0)-1,0),0)</f>
        <v>212040001</v>
      </c>
      <c r="AV403" s="10" t="s">
        <v>472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455</v>
      </c>
      <c r="L404" s="9">
        <v>0</v>
      </c>
      <c r="M404" s="9">
        <v>15</v>
      </c>
      <c r="R404" s="9">
        <v>777</v>
      </c>
      <c r="T404" s="86" t="s">
        <v>618</v>
      </c>
      <c r="U404" s="9">
        <f ca="1">IFERROR(OFFSET(ITEM_RES!$A$5,MATCH(BUILDING!T404,ITEM_RES!$J$5:$J$231,0)-1,0),0)</f>
        <v>212010001</v>
      </c>
      <c r="V404" s="11">
        <v>1</v>
      </c>
      <c r="W404" s="86" t="s">
        <v>613</v>
      </c>
      <c r="X404" s="9">
        <f ca="1">IFERROR(OFFSET(ITEM_RES!$A$5,MATCH(BUILDING!W404,ITEM_RES!$J$5:$J$231,0)-1,0),0)</f>
        <v>215070001</v>
      </c>
      <c r="Z404" s="9" t="s">
        <v>591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215070001</v>
      </c>
      <c r="AQ404" s="10" t="s">
        <v>467</v>
      </c>
      <c r="AR404" s="11">
        <v>7500</v>
      </c>
      <c r="AU404" s="11">
        <f ca="1">IFERROR(OFFSET(ITEM_RES!$A$1,MATCH(AV404,ITEM_RES!$J:$J,0)-1,0),0)</f>
        <v>212040001</v>
      </c>
      <c r="AV404" s="10" t="s">
        <v>472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597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0"/>
      <c r="T405" s="88" t="s">
        <v>612</v>
      </c>
      <c r="U405" s="16">
        <f ca="1">IFERROR(OFFSET(ITEM_RES!$A$5,MATCH(BUILDING!T405,ITEM_RES!$J$5:$J$231,0)-1,0),0)</f>
        <v>211060001</v>
      </c>
      <c r="V405" s="18">
        <v>1</v>
      </c>
      <c r="W405" s="88" t="s">
        <v>614</v>
      </c>
      <c r="X405" s="16">
        <f ca="1">IFERROR(OFFSET(ITEM_RES!$A$5,MATCH(BUILDING!W405,ITEM_RES!$J$5:$J$231,0)-1,0),0)</f>
        <v>215060001</v>
      </c>
      <c r="Y405" s="80"/>
      <c r="Z405" s="16" t="s">
        <v>592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212010001</v>
      </c>
      <c r="AQ405" s="17" t="s">
        <v>471</v>
      </c>
      <c r="AR405" s="18">
        <v>25</v>
      </c>
      <c r="AS405" s="17"/>
      <c r="AT405" s="18"/>
      <c r="AU405" s="18">
        <f ca="1">IFERROR(OFFSET(ITEM_RES!$A$1,MATCH(AV405,ITEM_RES!$J:$J,0)-1,0),0)</f>
        <v>211060001</v>
      </c>
      <c r="AV405" s="17" t="s">
        <v>464</v>
      </c>
      <c r="AW405" s="18">
        <v>25</v>
      </c>
      <c r="AX405" s="17"/>
      <c r="AY405" s="18"/>
      <c r="AZ405" s="18">
        <f ca="1">IFERROR(OFFSET(ITEM_RES!$A$1,MATCH(BA405,ITEM_RES!$J:$J,0)-1,0),0)</f>
        <v>213010001</v>
      </c>
      <c r="BA405" s="17" t="s">
        <v>495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372</v>
      </c>
      <c r="L406" s="9">
        <v>1</v>
      </c>
      <c r="M406" s="9">
        <v>15</v>
      </c>
      <c r="R406" s="9">
        <v>888</v>
      </c>
      <c r="T406" s="86" t="s">
        <v>612</v>
      </c>
      <c r="U406" s="9">
        <f ca="1">IFERROR(OFFSET(ITEM_RES!$A$5,MATCH(BUILDING!T406,ITEM_RES!$J$5:$J$231,0)-1,0),0)</f>
        <v>211060001</v>
      </c>
      <c r="V406" s="11">
        <v>1</v>
      </c>
      <c r="W406" s="86" t="s">
        <v>614</v>
      </c>
      <c r="X406" s="9">
        <f ca="1">IFERROR(OFFSET(ITEM_RES!$A$5,MATCH(BUILDING!W406,ITEM_RES!$J$5:$J$231,0)-1,0),0)</f>
        <v>215060001</v>
      </c>
      <c r="Z406" s="9" t="s">
        <v>592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212010001</v>
      </c>
      <c r="AQ406" s="10" t="s">
        <v>471</v>
      </c>
      <c r="AR406" s="11">
        <v>50</v>
      </c>
      <c r="AU406" s="11">
        <f ca="1">IFERROR(OFFSET(ITEM_RES!$A$1,MATCH(AV406,ITEM_RES!$J:$J,0)-1,0),0)</f>
        <v>211060001</v>
      </c>
      <c r="AV406" s="10" t="s">
        <v>464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372</v>
      </c>
      <c r="L407" s="9">
        <v>1</v>
      </c>
      <c r="M407" s="9">
        <v>15</v>
      </c>
      <c r="R407" s="9">
        <v>888</v>
      </c>
      <c r="T407" s="86" t="s">
        <v>612</v>
      </c>
      <c r="U407" s="9">
        <f ca="1">IFERROR(OFFSET(ITEM_RES!$A$5,MATCH(BUILDING!T407,ITEM_RES!$J$5:$J$231,0)-1,0),0)</f>
        <v>211060001</v>
      </c>
      <c r="V407" s="11">
        <v>1</v>
      </c>
      <c r="W407" s="86" t="s">
        <v>614</v>
      </c>
      <c r="X407" s="9">
        <f ca="1">IFERROR(OFFSET(ITEM_RES!$A$5,MATCH(BUILDING!W407,ITEM_RES!$J$5:$J$231,0)-1,0),0)</f>
        <v>215060001</v>
      </c>
      <c r="Z407" s="9" t="s">
        <v>592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212010001</v>
      </c>
      <c r="AQ407" s="10" t="s">
        <v>471</v>
      </c>
      <c r="AR407" s="11">
        <v>75</v>
      </c>
      <c r="AU407" s="11">
        <f ca="1">IFERROR(OFFSET(ITEM_RES!$A$1,MATCH(AV407,ITEM_RES!$J:$J,0)-1,0),0)</f>
        <v>211060001</v>
      </c>
      <c r="AV407" s="10" t="s">
        <v>464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372</v>
      </c>
      <c r="L408" s="9">
        <v>1</v>
      </c>
      <c r="M408" s="9">
        <v>15</v>
      </c>
      <c r="R408" s="9">
        <v>888</v>
      </c>
      <c r="T408" s="86" t="s">
        <v>612</v>
      </c>
      <c r="U408" s="9">
        <f ca="1">IFERROR(OFFSET(ITEM_RES!$A$5,MATCH(BUILDING!T408,ITEM_RES!$J$5:$J$231,0)-1,0),0)</f>
        <v>211060001</v>
      </c>
      <c r="V408" s="11">
        <v>1</v>
      </c>
      <c r="W408" s="86" t="s">
        <v>614</v>
      </c>
      <c r="X408" s="9">
        <f ca="1">IFERROR(OFFSET(ITEM_RES!$A$5,MATCH(BUILDING!W408,ITEM_RES!$J$5:$J$231,0)-1,0),0)</f>
        <v>215060001</v>
      </c>
      <c r="Z408" s="9" t="s">
        <v>592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212010001</v>
      </c>
      <c r="AQ408" s="10" t="s">
        <v>471</v>
      </c>
      <c r="AR408" s="11">
        <v>125</v>
      </c>
      <c r="AU408" s="11">
        <f ca="1">IFERROR(OFFSET(ITEM_RES!$A$1,MATCH(AV408,ITEM_RES!$J:$J,0)-1,0),0)</f>
        <v>211060001</v>
      </c>
      <c r="AV408" s="10" t="s">
        <v>464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372</v>
      </c>
      <c r="L409" s="9">
        <v>1</v>
      </c>
      <c r="M409" s="9">
        <v>15</v>
      </c>
      <c r="R409" s="9">
        <v>888</v>
      </c>
      <c r="T409" s="86" t="s">
        <v>612</v>
      </c>
      <c r="U409" s="9">
        <f ca="1">IFERROR(OFFSET(ITEM_RES!$A$5,MATCH(BUILDING!T409,ITEM_RES!$J$5:$J$231,0)-1,0),0)</f>
        <v>211060001</v>
      </c>
      <c r="V409" s="11">
        <v>1</v>
      </c>
      <c r="W409" s="86" t="s">
        <v>614</v>
      </c>
      <c r="X409" s="9">
        <f ca="1">IFERROR(OFFSET(ITEM_RES!$A$5,MATCH(BUILDING!W409,ITEM_RES!$J$5:$J$231,0)-1,0),0)</f>
        <v>215060001</v>
      </c>
      <c r="Z409" s="9" t="s">
        <v>592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212010001</v>
      </c>
      <c r="AQ409" s="10" t="s">
        <v>471</v>
      </c>
      <c r="AR409" s="11">
        <v>200</v>
      </c>
      <c r="AU409" s="11">
        <f ca="1">IFERROR(OFFSET(ITEM_RES!$A$1,MATCH(AV409,ITEM_RES!$J:$J,0)-1,0),0)</f>
        <v>211060001</v>
      </c>
      <c r="AV409" s="10" t="s">
        <v>464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372</v>
      </c>
      <c r="L410" s="9">
        <v>1</v>
      </c>
      <c r="M410" s="9">
        <v>15</v>
      </c>
      <c r="R410" s="9">
        <v>888</v>
      </c>
      <c r="T410" s="86" t="s">
        <v>612</v>
      </c>
      <c r="U410" s="9">
        <f ca="1">IFERROR(OFFSET(ITEM_RES!$A$5,MATCH(BUILDING!T410,ITEM_RES!$J$5:$J$231,0)-1,0),0)</f>
        <v>211060001</v>
      </c>
      <c r="V410" s="11">
        <v>1</v>
      </c>
      <c r="W410" s="86" t="s">
        <v>614</v>
      </c>
      <c r="X410" s="9">
        <f ca="1">IFERROR(OFFSET(ITEM_RES!$A$5,MATCH(BUILDING!W410,ITEM_RES!$J$5:$J$231,0)-1,0),0)</f>
        <v>215060001</v>
      </c>
      <c r="Z410" s="9" t="s">
        <v>592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212010001</v>
      </c>
      <c r="AQ410" s="10" t="s">
        <v>471</v>
      </c>
      <c r="AR410" s="11">
        <v>250</v>
      </c>
      <c r="AU410" s="11">
        <f ca="1">IFERROR(OFFSET(ITEM_RES!$A$1,MATCH(AV410,ITEM_RES!$J:$J,0)-1,0),0)</f>
        <v>211060001</v>
      </c>
      <c r="AV410" s="10" t="s">
        <v>464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372</v>
      </c>
      <c r="L411" s="9">
        <v>1</v>
      </c>
      <c r="M411" s="9">
        <v>15</v>
      </c>
      <c r="R411" s="9">
        <v>888</v>
      </c>
      <c r="T411" s="86" t="s">
        <v>612</v>
      </c>
      <c r="U411" s="9">
        <f ca="1">IFERROR(OFFSET(ITEM_RES!$A$5,MATCH(BUILDING!T411,ITEM_RES!$J$5:$J$231,0)-1,0),0)</f>
        <v>211060001</v>
      </c>
      <c r="V411" s="11">
        <v>1</v>
      </c>
      <c r="W411" s="86" t="s">
        <v>614</v>
      </c>
      <c r="X411" s="9">
        <f ca="1">IFERROR(OFFSET(ITEM_RES!$A$5,MATCH(BUILDING!W411,ITEM_RES!$J$5:$J$231,0)-1,0),0)</f>
        <v>215060001</v>
      </c>
      <c r="Z411" s="9" t="s">
        <v>592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212010001</v>
      </c>
      <c r="AQ411" s="10" t="s">
        <v>471</v>
      </c>
      <c r="AR411" s="11">
        <v>500</v>
      </c>
      <c r="AU411" s="11">
        <f ca="1">IFERROR(OFFSET(ITEM_RES!$A$1,MATCH(AV411,ITEM_RES!$J:$J,0)-1,0),0)</f>
        <v>211060001</v>
      </c>
      <c r="AV411" s="10" t="s">
        <v>464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372</v>
      </c>
      <c r="L412" s="9">
        <v>1</v>
      </c>
      <c r="M412" s="9">
        <v>15</v>
      </c>
      <c r="R412" s="9">
        <v>888</v>
      </c>
      <c r="T412" s="86" t="s">
        <v>612</v>
      </c>
      <c r="U412" s="9">
        <f ca="1">IFERROR(OFFSET(ITEM_RES!$A$5,MATCH(BUILDING!T412,ITEM_RES!$J$5:$J$231,0)-1,0),0)</f>
        <v>211060001</v>
      </c>
      <c r="V412" s="11">
        <v>1</v>
      </c>
      <c r="W412" s="86" t="s">
        <v>614</v>
      </c>
      <c r="X412" s="9">
        <f ca="1">IFERROR(OFFSET(ITEM_RES!$A$5,MATCH(BUILDING!W412,ITEM_RES!$J$5:$J$231,0)-1,0),0)</f>
        <v>215060001</v>
      </c>
      <c r="Z412" s="9" t="s">
        <v>592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212010001</v>
      </c>
      <c r="AQ412" s="10" t="s">
        <v>471</v>
      </c>
      <c r="AR412" s="11">
        <v>500</v>
      </c>
      <c r="AU412" s="11">
        <f ca="1">IFERROR(OFFSET(ITEM_RES!$A$1,MATCH(AV412,ITEM_RES!$J:$J,0)-1,0),0)</f>
        <v>211060001</v>
      </c>
      <c r="AV412" s="10" t="s">
        <v>464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372</v>
      </c>
      <c r="L413" s="9">
        <v>1</v>
      </c>
      <c r="M413" s="9">
        <v>15</v>
      </c>
      <c r="R413" s="9">
        <v>888</v>
      </c>
      <c r="T413" s="86" t="s">
        <v>612</v>
      </c>
      <c r="U413" s="9">
        <f ca="1">IFERROR(OFFSET(ITEM_RES!$A$5,MATCH(BUILDING!T413,ITEM_RES!$J$5:$J$231,0)-1,0),0)</f>
        <v>211060001</v>
      </c>
      <c r="V413" s="11">
        <v>1</v>
      </c>
      <c r="W413" s="86" t="s">
        <v>614</v>
      </c>
      <c r="X413" s="9">
        <f ca="1">IFERROR(OFFSET(ITEM_RES!$A$5,MATCH(BUILDING!W413,ITEM_RES!$J$5:$J$231,0)-1,0),0)</f>
        <v>215060001</v>
      </c>
      <c r="Z413" s="9" t="s">
        <v>592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212010001</v>
      </c>
      <c r="AQ413" s="10" t="s">
        <v>471</v>
      </c>
      <c r="AR413" s="11">
        <v>750</v>
      </c>
      <c r="AU413" s="11">
        <f ca="1">IFERROR(OFFSET(ITEM_RES!$A$1,MATCH(AV413,ITEM_RES!$J:$J,0)-1,0),0)</f>
        <v>211060001</v>
      </c>
      <c r="AV413" s="10" t="s">
        <v>464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372</v>
      </c>
      <c r="L414" s="9">
        <v>1</v>
      </c>
      <c r="M414" s="9">
        <v>15</v>
      </c>
      <c r="R414" s="9">
        <v>888</v>
      </c>
      <c r="T414" s="86" t="s">
        <v>612</v>
      </c>
      <c r="U414" s="9">
        <f ca="1">IFERROR(OFFSET(ITEM_RES!$A$5,MATCH(BUILDING!T414,ITEM_RES!$J$5:$J$231,0)-1,0),0)</f>
        <v>211060001</v>
      </c>
      <c r="V414" s="11">
        <v>1</v>
      </c>
      <c r="W414" s="86" t="s">
        <v>614</v>
      </c>
      <c r="X414" s="9">
        <f ca="1">IFERROR(OFFSET(ITEM_RES!$A$5,MATCH(BUILDING!W414,ITEM_RES!$J$5:$J$231,0)-1,0),0)</f>
        <v>215060001</v>
      </c>
      <c r="Z414" s="9" t="s">
        <v>592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212010001</v>
      </c>
      <c r="AQ414" s="10" t="s">
        <v>471</v>
      </c>
      <c r="AR414" s="11">
        <v>1000</v>
      </c>
      <c r="AU414" s="11">
        <f ca="1">IFERROR(OFFSET(ITEM_RES!$A$1,MATCH(AV414,ITEM_RES!$J:$J,0)-1,0),0)</f>
        <v>211060001</v>
      </c>
      <c r="AV414" s="10" t="s">
        <v>464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372</v>
      </c>
      <c r="L415" s="9">
        <v>1</v>
      </c>
      <c r="M415" s="9">
        <v>15</v>
      </c>
      <c r="R415" s="9">
        <v>888</v>
      </c>
      <c r="T415" s="86" t="s">
        <v>612</v>
      </c>
      <c r="U415" s="9">
        <f ca="1">IFERROR(OFFSET(ITEM_RES!$A$5,MATCH(BUILDING!T415,ITEM_RES!$J$5:$J$231,0)-1,0),0)</f>
        <v>211060001</v>
      </c>
      <c r="V415" s="11">
        <v>1</v>
      </c>
      <c r="W415" s="86" t="s">
        <v>614</v>
      </c>
      <c r="X415" s="9">
        <f ca="1">IFERROR(OFFSET(ITEM_RES!$A$5,MATCH(BUILDING!W415,ITEM_RES!$J$5:$J$231,0)-1,0),0)</f>
        <v>215060001</v>
      </c>
      <c r="Z415" s="9" t="s">
        <v>592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212010001</v>
      </c>
      <c r="AQ415" s="10" t="s">
        <v>471</v>
      </c>
      <c r="AR415" s="11">
        <v>1250</v>
      </c>
      <c r="AU415" s="11">
        <f ca="1">IFERROR(OFFSET(ITEM_RES!$A$1,MATCH(AV415,ITEM_RES!$J:$J,0)-1,0),0)</f>
        <v>211060001</v>
      </c>
      <c r="AV415" s="10" t="s">
        <v>464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213120001</v>
      </c>
      <c r="BF415" s="10" t="s">
        <v>510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372</v>
      </c>
      <c r="L416" s="9">
        <v>1</v>
      </c>
      <c r="M416" s="9">
        <v>15</v>
      </c>
      <c r="R416" s="9">
        <v>888</v>
      </c>
      <c r="T416" s="86" t="s">
        <v>612</v>
      </c>
      <c r="U416" s="9">
        <f ca="1">IFERROR(OFFSET(ITEM_RES!$A$5,MATCH(BUILDING!T416,ITEM_RES!$J$5:$J$231,0)-1,0),0)</f>
        <v>211060001</v>
      </c>
      <c r="V416" s="11">
        <v>1</v>
      </c>
      <c r="W416" s="86" t="s">
        <v>614</v>
      </c>
      <c r="X416" s="9">
        <f ca="1">IFERROR(OFFSET(ITEM_RES!$A$5,MATCH(BUILDING!W416,ITEM_RES!$J$5:$J$231,0)-1,0),0)</f>
        <v>215060001</v>
      </c>
      <c r="Z416" s="9" t="s">
        <v>592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212010001</v>
      </c>
      <c r="AQ416" s="10" t="s">
        <v>471</v>
      </c>
      <c r="AR416" s="11">
        <v>1500</v>
      </c>
      <c r="AU416" s="11">
        <f ca="1">IFERROR(OFFSET(ITEM_RES!$A$1,MATCH(AV416,ITEM_RES!$J:$J,0)-1,0),0)</f>
        <v>211060001</v>
      </c>
      <c r="AV416" s="10" t="s">
        <v>464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372</v>
      </c>
      <c r="L417" s="9">
        <v>1</v>
      </c>
      <c r="M417" s="9">
        <v>15</v>
      </c>
      <c r="R417" s="9">
        <v>888</v>
      </c>
      <c r="T417" s="86" t="s">
        <v>612</v>
      </c>
      <c r="U417" s="9">
        <f ca="1">IFERROR(OFFSET(ITEM_RES!$A$5,MATCH(BUILDING!T417,ITEM_RES!$J$5:$J$231,0)-1,0),0)</f>
        <v>211060001</v>
      </c>
      <c r="V417" s="11">
        <v>1</v>
      </c>
      <c r="W417" s="86" t="s">
        <v>614</v>
      </c>
      <c r="X417" s="9">
        <f ca="1">IFERROR(OFFSET(ITEM_RES!$A$5,MATCH(BUILDING!W417,ITEM_RES!$J$5:$J$231,0)-1,0),0)</f>
        <v>215060001</v>
      </c>
      <c r="Z417" s="9" t="s">
        <v>592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212010001</v>
      </c>
      <c r="AQ417" s="10" t="s">
        <v>471</v>
      </c>
      <c r="AR417" s="11">
        <v>1750</v>
      </c>
      <c r="AU417" s="11">
        <f ca="1">IFERROR(OFFSET(ITEM_RES!$A$1,MATCH(AV417,ITEM_RES!$J:$J,0)-1,0),0)</f>
        <v>211060001</v>
      </c>
      <c r="AV417" s="10" t="s">
        <v>464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372</v>
      </c>
      <c r="L418" s="9">
        <v>1</v>
      </c>
      <c r="M418" s="9">
        <v>15</v>
      </c>
      <c r="R418" s="9">
        <v>888</v>
      </c>
      <c r="T418" s="86" t="s">
        <v>612</v>
      </c>
      <c r="U418" s="9">
        <f ca="1">IFERROR(OFFSET(ITEM_RES!$A$5,MATCH(BUILDING!T418,ITEM_RES!$J$5:$J$231,0)-1,0),0)</f>
        <v>211060001</v>
      </c>
      <c r="V418" s="11">
        <v>1</v>
      </c>
      <c r="W418" s="86" t="s">
        <v>614</v>
      </c>
      <c r="X418" s="9">
        <f ca="1">IFERROR(OFFSET(ITEM_RES!$A$5,MATCH(BUILDING!W418,ITEM_RES!$J$5:$J$231,0)-1,0),0)</f>
        <v>215060001</v>
      </c>
      <c r="Z418" s="9" t="s">
        <v>592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212010001</v>
      </c>
      <c r="AQ418" s="10" t="s">
        <v>471</v>
      </c>
      <c r="AR418" s="11">
        <v>2250</v>
      </c>
      <c r="AU418" s="11">
        <f ca="1">IFERROR(OFFSET(ITEM_RES!$A$1,MATCH(AV418,ITEM_RES!$J:$J,0)-1,0),0)</f>
        <v>211070001</v>
      </c>
      <c r="AV418" s="10" t="s">
        <v>479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372</v>
      </c>
      <c r="L419" s="9">
        <v>1</v>
      </c>
      <c r="M419" s="9">
        <v>15</v>
      </c>
      <c r="R419" s="9">
        <v>888</v>
      </c>
      <c r="T419" s="86" t="s">
        <v>612</v>
      </c>
      <c r="U419" s="9">
        <f ca="1">IFERROR(OFFSET(ITEM_RES!$A$5,MATCH(BUILDING!T419,ITEM_RES!$J$5:$J$231,0)-1,0),0)</f>
        <v>211060001</v>
      </c>
      <c r="V419" s="11">
        <v>1</v>
      </c>
      <c r="W419" s="86" t="s">
        <v>614</v>
      </c>
      <c r="X419" s="9">
        <f ca="1">IFERROR(OFFSET(ITEM_RES!$A$5,MATCH(BUILDING!W419,ITEM_RES!$J$5:$J$231,0)-1,0),0)</f>
        <v>215060001</v>
      </c>
      <c r="Z419" s="9" t="s">
        <v>592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215070001</v>
      </c>
      <c r="AQ419" s="10" t="s">
        <v>467</v>
      </c>
      <c r="AR419" s="11">
        <v>2750</v>
      </c>
      <c r="AU419" s="11">
        <f ca="1">IFERROR(OFFSET(ITEM_RES!$A$1,MATCH(AV419,ITEM_RES!$J:$J,0)-1,0),0)</f>
        <v>211070001</v>
      </c>
      <c r="AV419" s="10" t="s">
        <v>479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372</v>
      </c>
      <c r="L420" s="9">
        <v>0</v>
      </c>
      <c r="M420" s="9">
        <v>15</v>
      </c>
      <c r="R420" s="9">
        <v>888</v>
      </c>
      <c r="T420" s="86" t="s">
        <v>612</v>
      </c>
      <c r="U420" s="9">
        <f ca="1">IFERROR(OFFSET(ITEM_RES!$A$5,MATCH(BUILDING!T420,ITEM_RES!$J$5:$J$231,0)-1,0),0)</f>
        <v>211060001</v>
      </c>
      <c r="V420" s="11">
        <v>1</v>
      </c>
      <c r="W420" s="86" t="s">
        <v>614</v>
      </c>
      <c r="X420" s="9">
        <f ca="1">IFERROR(OFFSET(ITEM_RES!$A$5,MATCH(BUILDING!W420,ITEM_RES!$J$5:$J$231,0)-1,0),0)</f>
        <v>215060001</v>
      </c>
      <c r="Z420" s="9" t="s">
        <v>592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215070001</v>
      </c>
      <c r="AQ420" s="10" t="s">
        <v>467</v>
      </c>
      <c r="AR420" s="11">
        <v>3500</v>
      </c>
      <c r="AU420" s="11">
        <f ca="1">IFERROR(OFFSET(ITEM_RES!$A$1,MATCH(AV420,ITEM_RES!$J:$J,0)-1,0),0)</f>
        <v>211070001</v>
      </c>
      <c r="AV420" s="10" t="s">
        <v>479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372</v>
      </c>
      <c r="L421" s="9">
        <v>0</v>
      </c>
      <c r="M421" s="9">
        <v>15</v>
      </c>
      <c r="R421" s="9">
        <v>888</v>
      </c>
      <c r="T421" s="86" t="s">
        <v>612</v>
      </c>
      <c r="U421" s="9">
        <f ca="1">IFERROR(OFFSET(ITEM_RES!$A$5,MATCH(BUILDING!T421,ITEM_RES!$J$5:$J$231,0)-1,0),0)</f>
        <v>211060001</v>
      </c>
      <c r="V421" s="11">
        <v>1</v>
      </c>
      <c r="W421" s="86" t="s">
        <v>614</v>
      </c>
      <c r="X421" s="9">
        <f ca="1">IFERROR(OFFSET(ITEM_RES!$A$5,MATCH(BUILDING!W421,ITEM_RES!$J$5:$J$231,0)-1,0),0)</f>
        <v>215060001</v>
      </c>
      <c r="Z421" s="9" t="s">
        <v>592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215070001</v>
      </c>
      <c r="AQ421" s="10" t="s">
        <v>467</v>
      </c>
      <c r="AR421" s="11">
        <v>4250</v>
      </c>
      <c r="AU421" s="11">
        <f ca="1">IFERROR(OFFSET(ITEM_RES!$A$1,MATCH(AV421,ITEM_RES!$J:$J,0)-1,0),0)</f>
        <v>211070001</v>
      </c>
      <c r="AV421" s="10" t="s">
        <v>479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372</v>
      </c>
      <c r="L422" s="9">
        <v>0</v>
      </c>
      <c r="M422" s="9">
        <v>15</v>
      </c>
      <c r="R422" s="9">
        <v>888</v>
      </c>
      <c r="T422" s="86" t="s">
        <v>612</v>
      </c>
      <c r="U422" s="9">
        <f ca="1">IFERROR(OFFSET(ITEM_RES!$A$5,MATCH(BUILDING!T422,ITEM_RES!$J$5:$J$231,0)-1,0),0)</f>
        <v>211060001</v>
      </c>
      <c r="V422" s="11">
        <v>1</v>
      </c>
      <c r="W422" s="86" t="s">
        <v>614</v>
      </c>
      <c r="X422" s="9">
        <f ca="1">IFERROR(OFFSET(ITEM_RES!$A$5,MATCH(BUILDING!W422,ITEM_RES!$J$5:$J$231,0)-1,0),0)</f>
        <v>215060001</v>
      </c>
      <c r="Z422" s="9" t="s">
        <v>592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215070001</v>
      </c>
      <c r="AQ422" s="10" t="s">
        <v>467</v>
      </c>
      <c r="AR422" s="11">
        <v>5250</v>
      </c>
      <c r="AU422" s="11">
        <f ca="1">IFERROR(OFFSET(ITEM_RES!$A$1,MATCH(AV422,ITEM_RES!$J:$J,0)-1,0),0)</f>
        <v>211070001</v>
      </c>
      <c r="AV422" s="10" t="s">
        <v>479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372</v>
      </c>
      <c r="L423" s="9">
        <v>0</v>
      </c>
      <c r="M423" s="9">
        <v>15</v>
      </c>
      <c r="R423" s="9">
        <v>888</v>
      </c>
      <c r="T423" s="86" t="s">
        <v>612</v>
      </c>
      <c r="U423" s="9">
        <f ca="1">IFERROR(OFFSET(ITEM_RES!$A$5,MATCH(BUILDING!T423,ITEM_RES!$J$5:$J$231,0)-1,0),0)</f>
        <v>211060001</v>
      </c>
      <c r="V423" s="11">
        <v>1</v>
      </c>
      <c r="W423" s="86" t="s">
        <v>614</v>
      </c>
      <c r="X423" s="9">
        <f ca="1">IFERROR(OFFSET(ITEM_RES!$A$5,MATCH(BUILDING!W423,ITEM_RES!$J$5:$J$231,0)-1,0),0)</f>
        <v>215060001</v>
      </c>
      <c r="Z423" s="9" t="s">
        <v>592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215070001</v>
      </c>
      <c r="AQ423" s="10" t="s">
        <v>467</v>
      </c>
      <c r="AR423" s="11">
        <v>6250</v>
      </c>
      <c r="AU423" s="11">
        <f ca="1">IFERROR(OFFSET(ITEM_RES!$A$1,MATCH(AV423,ITEM_RES!$J:$J,0)-1,0),0)</f>
        <v>211070001</v>
      </c>
      <c r="AV423" s="10" t="s">
        <v>479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372</v>
      </c>
      <c r="L424" s="9">
        <v>0</v>
      </c>
      <c r="M424" s="9">
        <v>15</v>
      </c>
      <c r="R424" s="9">
        <v>888</v>
      </c>
      <c r="T424" s="86" t="s">
        <v>612</v>
      </c>
      <c r="U424" s="9">
        <f ca="1">IFERROR(OFFSET(ITEM_RES!$A$5,MATCH(BUILDING!T424,ITEM_RES!$J$5:$J$231,0)-1,0),0)</f>
        <v>211060001</v>
      </c>
      <c r="V424" s="11">
        <v>1</v>
      </c>
      <c r="W424" s="86" t="s">
        <v>614</v>
      </c>
      <c r="X424" s="9">
        <f ca="1">IFERROR(OFFSET(ITEM_RES!$A$5,MATCH(BUILDING!W424,ITEM_RES!$J$5:$J$231,0)-1,0),0)</f>
        <v>215060001</v>
      </c>
      <c r="Z424" s="9" t="s">
        <v>592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215070001</v>
      </c>
      <c r="AQ424" s="10" t="s">
        <v>467</v>
      </c>
      <c r="AR424" s="11">
        <v>7500</v>
      </c>
      <c r="AU424" s="11">
        <f ca="1">IFERROR(OFFSET(ITEM_RES!$A$1,MATCH(AV424,ITEM_RES!$J:$J,0)-1,0),0)</f>
        <v>211070001</v>
      </c>
      <c r="AV424" s="10" t="s">
        <v>479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473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0"/>
      <c r="T425" s="88"/>
      <c r="U425" s="16">
        <f ca="1">IFERROR(OFFSET(ITEM_RES!$A$5,MATCH(BUILDING!T425,ITEM_RES!$J$5:$J$231,0)-1,0),0)</f>
        <v>0</v>
      </c>
      <c r="V425" s="18"/>
      <c r="W425" s="88"/>
      <c r="X425" s="16">
        <f ca="1">IFERROR(OFFSET(ITEM_RES!$A$5,MATCH(BUILDING!W425,ITEM_RES!$J$5:$J$231,0)-1,0),0)</f>
        <v>0</v>
      </c>
      <c r="Y425" s="80"/>
      <c r="Z425" s="16" t="s">
        <v>593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212010001</v>
      </c>
      <c r="AQ425" s="17" t="s">
        <v>471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213010001</v>
      </c>
      <c r="BA425" s="17" t="s">
        <v>495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473</v>
      </c>
      <c r="L426" s="9">
        <v>1</v>
      </c>
      <c r="M426" s="9">
        <v>15</v>
      </c>
      <c r="R426" s="9">
        <v>999</v>
      </c>
      <c r="U426" s="9">
        <f ca="1">IFERROR(OFFSET(ITEM_RES!$A$5,MATCH(BUILDING!T426,ITEM_RES!$J$5:$J$231,0)-1,0),0)</f>
        <v>0</v>
      </c>
      <c r="X426" s="9">
        <f ca="1">IFERROR(OFFSET(ITEM_RES!$A$5,MATCH(BUILDING!W426,ITEM_RES!$J$5:$J$231,0)-1,0),0)</f>
        <v>0</v>
      </c>
      <c r="Z426" s="9" t="s">
        <v>593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212010001</v>
      </c>
      <c r="AQ426" s="10" t="s">
        <v>471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473</v>
      </c>
      <c r="L427" s="9">
        <v>1</v>
      </c>
      <c r="M427" s="9">
        <v>15</v>
      </c>
      <c r="R427" s="9">
        <v>999</v>
      </c>
      <c r="U427" s="9">
        <f ca="1">IFERROR(OFFSET(ITEM_RES!$A$5,MATCH(BUILDING!T427,ITEM_RES!$J$5:$J$231,0)-1,0),0)</f>
        <v>0</v>
      </c>
      <c r="X427" s="9">
        <f ca="1">IFERROR(OFFSET(ITEM_RES!$A$5,MATCH(BUILDING!W427,ITEM_RES!$J$5:$J$231,0)-1,0),0)</f>
        <v>0</v>
      </c>
      <c r="Z427" s="9" t="s">
        <v>593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212010001</v>
      </c>
      <c r="AQ427" s="10" t="s">
        <v>471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473</v>
      </c>
      <c r="L428" s="9">
        <v>1</v>
      </c>
      <c r="M428" s="9">
        <v>15</v>
      </c>
      <c r="R428" s="9">
        <v>999</v>
      </c>
      <c r="U428" s="9">
        <f ca="1">IFERROR(OFFSET(ITEM_RES!$A$5,MATCH(BUILDING!T428,ITEM_RES!$J$5:$J$231,0)-1,0),0)</f>
        <v>0</v>
      </c>
      <c r="X428" s="9">
        <f ca="1">IFERROR(OFFSET(ITEM_RES!$A$5,MATCH(BUILDING!W428,ITEM_RES!$J$5:$J$231,0)-1,0),0)</f>
        <v>0</v>
      </c>
      <c r="Z428" s="9" t="s">
        <v>593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212010001</v>
      </c>
      <c r="AQ428" s="10" t="s">
        <v>471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473</v>
      </c>
      <c r="L429" s="9">
        <v>1</v>
      </c>
      <c r="M429" s="9">
        <v>15</v>
      </c>
      <c r="R429" s="9">
        <v>999</v>
      </c>
      <c r="U429" s="9">
        <f ca="1">IFERROR(OFFSET(ITEM_RES!$A$5,MATCH(BUILDING!T429,ITEM_RES!$J$5:$J$231,0)-1,0),0)</f>
        <v>0</v>
      </c>
      <c r="X429" s="9">
        <f ca="1">IFERROR(OFFSET(ITEM_RES!$A$5,MATCH(BUILDING!W429,ITEM_RES!$J$5:$J$231,0)-1,0),0)</f>
        <v>0</v>
      </c>
      <c r="Z429" s="9" t="s">
        <v>593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212010001</v>
      </c>
      <c r="AQ429" s="10" t="s">
        <v>471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473</v>
      </c>
      <c r="L430" s="9">
        <v>1</v>
      </c>
      <c r="M430" s="9">
        <v>15</v>
      </c>
      <c r="R430" s="9">
        <v>999</v>
      </c>
      <c r="U430" s="9">
        <f ca="1">IFERROR(OFFSET(ITEM_RES!$A$5,MATCH(BUILDING!T430,ITEM_RES!$J$5:$J$231,0)-1,0),0)</f>
        <v>0</v>
      </c>
      <c r="X430" s="9">
        <f ca="1">IFERROR(OFFSET(ITEM_RES!$A$5,MATCH(BUILDING!W430,ITEM_RES!$J$5:$J$231,0)-1,0),0)</f>
        <v>0</v>
      </c>
      <c r="Z430" s="9" t="s">
        <v>593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212010001</v>
      </c>
      <c r="AQ430" s="10" t="s">
        <v>471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473</v>
      </c>
      <c r="L431" s="9">
        <v>1</v>
      </c>
      <c r="M431" s="9">
        <v>15</v>
      </c>
      <c r="R431" s="9">
        <v>999</v>
      </c>
      <c r="U431" s="9">
        <f ca="1">IFERROR(OFFSET(ITEM_RES!$A$5,MATCH(BUILDING!T431,ITEM_RES!$J$5:$J$231,0)-1,0),0)</f>
        <v>0</v>
      </c>
      <c r="X431" s="9">
        <f ca="1">IFERROR(OFFSET(ITEM_RES!$A$5,MATCH(BUILDING!W431,ITEM_RES!$J$5:$J$231,0)-1,0),0)</f>
        <v>0</v>
      </c>
      <c r="Z431" s="9" t="s">
        <v>593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212010001</v>
      </c>
      <c r="AQ431" s="10" t="s">
        <v>471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385</v>
      </c>
      <c r="L432" s="9">
        <v>1</v>
      </c>
      <c r="M432" s="9">
        <v>15</v>
      </c>
      <c r="R432" s="9">
        <v>999</v>
      </c>
      <c r="U432" s="9">
        <f ca="1">IFERROR(OFFSET(ITEM_RES!$A$5,MATCH(BUILDING!T432,ITEM_RES!$J$5:$J$231,0)-1,0),0)</f>
        <v>0</v>
      </c>
      <c r="X432" s="9">
        <f ca="1">IFERROR(OFFSET(ITEM_RES!$A$5,MATCH(BUILDING!W432,ITEM_RES!$J$5:$J$231,0)-1,0),0)</f>
        <v>0</v>
      </c>
      <c r="Z432" s="9" t="s">
        <v>593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215070001</v>
      </c>
      <c r="AQ432" s="10" t="s">
        <v>467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385</v>
      </c>
      <c r="L433" s="9">
        <v>1</v>
      </c>
      <c r="M433" s="9">
        <v>15</v>
      </c>
      <c r="R433" s="9">
        <v>999</v>
      </c>
      <c r="U433" s="9">
        <f ca="1">IFERROR(OFFSET(ITEM_RES!$A$5,MATCH(BUILDING!T433,ITEM_RES!$J$5:$J$231,0)-1,0),0)</f>
        <v>0</v>
      </c>
      <c r="X433" s="9">
        <f ca="1">IFERROR(OFFSET(ITEM_RES!$A$5,MATCH(BUILDING!W433,ITEM_RES!$J$5:$J$231,0)-1,0),0)</f>
        <v>0</v>
      </c>
      <c r="Z433" s="9" t="s">
        <v>593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215070001</v>
      </c>
      <c r="AQ433" s="10" t="s">
        <v>467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385</v>
      </c>
      <c r="L434" s="9">
        <v>1</v>
      </c>
      <c r="M434" s="9">
        <v>15</v>
      </c>
      <c r="R434" s="9">
        <v>999</v>
      </c>
      <c r="U434" s="9">
        <f ca="1">IFERROR(OFFSET(ITEM_RES!$A$5,MATCH(BUILDING!T434,ITEM_RES!$J$5:$J$231,0)-1,0),0)</f>
        <v>0</v>
      </c>
      <c r="X434" s="9">
        <f ca="1">IFERROR(OFFSET(ITEM_RES!$A$5,MATCH(BUILDING!W434,ITEM_RES!$J$5:$J$231,0)-1,0),0)</f>
        <v>0</v>
      </c>
      <c r="Z434" s="9" t="s">
        <v>593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215070001</v>
      </c>
      <c r="AQ434" s="10" t="s">
        <v>467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385</v>
      </c>
      <c r="L435" s="9">
        <v>1</v>
      </c>
      <c r="M435" s="9">
        <v>15</v>
      </c>
      <c r="R435" s="9">
        <v>999</v>
      </c>
      <c r="U435" s="9">
        <f ca="1">IFERROR(OFFSET(ITEM_RES!$A$5,MATCH(BUILDING!T435,ITEM_RES!$J$5:$J$231,0)-1,0),0)</f>
        <v>0</v>
      </c>
      <c r="X435" s="9">
        <f ca="1">IFERROR(OFFSET(ITEM_RES!$A$5,MATCH(BUILDING!W435,ITEM_RES!$J$5:$J$231,0)-1,0),0)</f>
        <v>0</v>
      </c>
      <c r="Z435" s="9" t="s">
        <v>593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215070001</v>
      </c>
      <c r="AQ435" s="10" t="s">
        <v>467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385</v>
      </c>
      <c r="L436" s="9">
        <v>1</v>
      </c>
      <c r="M436" s="9">
        <v>15</v>
      </c>
      <c r="R436" s="9">
        <v>999</v>
      </c>
      <c r="U436" s="9">
        <f ca="1">IFERROR(OFFSET(ITEM_RES!$A$5,MATCH(BUILDING!T436,ITEM_RES!$J$5:$J$231,0)-1,0),0)</f>
        <v>0</v>
      </c>
      <c r="X436" s="9">
        <f ca="1">IFERROR(OFFSET(ITEM_RES!$A$5,MATCH(BUILDING!W436,ITEM_RES!$J$5:$J$231,0)-1,0),0)</f>
        <v>0</v>
      </c>
      <c r="Z436" s="9" t="s">
        <v>593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215070001</v>
      </c>
      <c r="AQ436" s="10" t="s">
        <v>467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385</v>
      </c>
      <c r="L437" s="9">
        <v>1</v>
      </c>
      <c r="M437" s="9">
        <v>15</v>
      </c>
      <c r="R437" s="9">
        <v>999</v>
      </c>
      <c r="U437" s="9">
        <f ca="1">IFERROR(OFFSET(ITEM_RES!$A$5,MATCH(BUILDING!T437,ITEM_RES!$J$5:$J$231,0)-1,0),0)</f>
        <v>0</v>
      </c>
      <c r="X437" s="9">
        <f ca="1">IFERROR(OFFSET(ITEM_RES!$A$5,MATCH(BUILDING!W437,ITEM_RES!$J$5:$J$231,0)-1,0),0)</f>
        <v>0</v>
      </c>
      <c r="Z437" s="9" t="s">
        <v>593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215070001</v>
      </c>
      <c r="AQ437" s="10" t="s">
        <v>467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213130001</v>
      </c>
      <c r="BF437" s="10" t="s">
        <v>513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385</v>
      </c>
      <c r="L438" s="9">
        <v>1</v>
      </c>
      <c r="M438" s="9">
        <v>15</v>
      </c>
      <c r="R438" s="9">
        <v>999</v>
      </c>
      <c r="U438" s="9">
        <f ca="1">IFERROR(OFFSET(ITEM_RES!$A$5,MATCH(BUILDING!T438,ITEM_RES!$J$5:$J$231,0)-1,0),0)</f>
        <v>0</v>
      </c>
      <c r="X438" s="9">
        <f ca="1">IFERROR(OFFSET(ITEM_RES!$A$5,MATCH(BUILDING!W438,ITEM_RES!$J$5:$J$231,0)-1,0),0)</f>
        <v>0</v>
      </c>
      <c r="Z438" s="9" t="s">
        <v>593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215070001</v>
      </c>
      <c r="AQ438" s="10" t="s">
        <v>467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385</v>
      </c>
      <c r="L439" s="9">
        <v>1</v>
      </c>
      <c r="M439" s="9">
        <v>15</v>
      </c>
      <c r="R439" s="9">
        <v>999</v>
      </c>
      <c r="U439" s="9">
        <f ca="1">IFERROR(OFFSET(ITEM_RES!$A$5,MATCH(BUILDING!T439,ITEM_RES!$J$5:$J$231,0)-1,0),0)</f>
        <v>0</v>
      </c>
      <c r="X439" s="9">
        <f ca="1">IFERROR(OFFSET(ITEM_RES!$A$5,MATCH(BUILDING!W439,ITEM_RES!$J$5:$J$231,0)-1,0),0)</f>
        <v>0</v>
      </c>
      <c r="Z439" s="9" t="s">
        <v>593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215070001</v>
      </c>
      <c r="AQ439" s="10" t="s">
        <v>467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385</v>
      </c>
      <c r="L440" s="9">
        <v>0</v>
      </c>
      <c r="M440" s="9">
        <v>15</v>
      </c>
      <c r="R440" s="9">
        <v>999</v>
      </c>
      <c r="U440" s="9">
        <f ca="1">IFERROR(OFFSET(ITEM_RES!$A$5,MATCH(BUILDING!T440,ITEM_RES!$J$5:$J$231,0)-1,0),0)</f>
        <v>0</v>
      </c>
      <c r="X440" s="9">
        <f ca="1">IFERROR(OFFSET(ITEM_RES!$A$5,MATCH(BUILDING!W440,ITEM_RES!$J$5:$J$231,0)-1,0),0)</f>
        <v>0</v>
      </c>
      <c r="Z440" s="9" t="s">
        <v>593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215070001</v>
      </c>
      <c r="AQ440" s="10" t="s">
        <v>467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385</v>
      </c>
      <c r="L441" s="9">
        <v>0</v>
      </c>
      <c r="M441" s="9">
        <v>15</v>
      </c>
      <c r="R441" s="9">
        <v>999</v>
      </c>
      <c r="U441" s="9">
        <f ca="1">IFERROR(OFFSET(ITEM_RES!$A$5,MATCH(BUILDING!T441,ITEM_RES!$J$5:$J$231,0)-1,0),0)</f>
        <v>0</v>
      </c>
      <c r="X441" s="9">
        <f ca="1">IFERROR(OFFSET(ITEM_RES!$A$5,MATCH(BUILDING!W441,ITEM_RES!$J$5:$J$231,0)-1,0),0)</f>
        <v>0</v>
      </c>
      <c r="Z441" s="9" t="s">
        <v>593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215070001</v>
      </c>
      <c r="AQ441" s="10" t="s">
        <v>467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385</v>
      </c>
      <c r="L442" s="9">
        <v>0</v>
      </c>
      <c r="M442" s="9">
        <v>15</v>
      </c>
      <c r="R442" s="9">
        <v>999</v>
      </c>
      <c r="U442" s="9">
        <f ca="1">IFERROR(OFFSET(ITEM_RES!$A$5,MATCH(BUILDING!T442,ITEM_RES!$J$5:$J$231,0)-1,0),0)</f>
        <v>0</v>
      </c>
      <c r="X442" s="9">
        <f ca="1">IFERROR(OFFSET(ITEM_RES!$A$5,MATCH(BUILDING!W442,ITEM_RES!$J$5:$J$231,0)-1,0),0)</f>
        <v>0</v>
      </c>
      <c r="Z442" s="9" t="s">
        <v>593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215070001</v>
      </c>
      <c r="AQ442" s="10" t="s">
        <v>467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385</v>
      </c>
      <c r="L443" s="9">
        <v>0</v>
      </c>
      <c r="M443" s="9">
        <v>15</v>
      </c>
      <c r="R443" s="9">
        <v>999</v>
      </c>
      <c r="U443" s="9">
        <f ca="1">IFERROR(OFFSET(ITEM_RES!$A$5,MATCH(BUILDING!T443,ITEM_RES!$J$5:$J$231,0)-1,0),0)</f>
        <v>0</v>
      </c>
      <c r="X443" s="9">
        <f ca="1">IFERROR(OFFSET(ITEM_RES!$A$5,MATCH(BUILDING!W443,ITEM_RES!$J$5:$J$231,0)-1,0),0)</f>
        <v>0</v>
      </c>
      <c r="Z443" s="9" t="s">
        <v>593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215070001</v>
      </c>
      <c r="AQ443" s="10" t="s">
        <v>467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385</v>
      </c>
      <c r="L444" s="9">
        <v>0</v>
      </c>
      <c r="M444" s="9">
        <v>15</v>
      </c>
      <c r="R444" s="9">
        <v>999</v>
      </c>
      <c r="U444" s="9">
        <f ca="1">IFERROR(OFFSET(ITEM_RES!$A$5,MATCH(BUILDING!T444,ITEM_RES!$J$5:$J$231,0)-1,0),0)</f>
        <v>0</v>
      </c>
      <c r="X444" s="9">
        <f ca="1">IFERROR(OFFSET(ITEM_RES!$A$5,MATCH(BUILDING!W444,ITEM_RES!$J$5:$J$231,0)-1,0),0)</f>
        <v>0</v>
      </c>
      <c r="Z444" s="9" t="s">
        <v>593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215070001</v>
      </c>
      <c r="AQ444" s="10" t="s">
        <v>467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391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0"/>
      <c r="T445" s="88"/>
      <c r="U445" s="16">
        <f ca="1">IFERROR(OFFSET(ITEM_RES!$A$5,MATCH(BUILDING!T445,ITEM_RES!$J$5:$J$231,0)-1,0),0)</f>
        <v>0</v>
      </c>
      <c r="V445" s="18"/>
      <c r="W445" s="88"/>
      <c r="X445" s="16">
        <f ca="1">IFERROR(OFFSET(ITEM_RES!$A$5,MATCH(BUILDING!W445,ITEM_RES!$J$5:$J$231,0)-1,0),0)</f>
        <v>0</v>
      </c>
      <c r="Y445" s="80"/>
      <c r="Z445" s="16" t="s">
        <v>594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212040001</v>
      </c>
      <c r="AQ445" s="17" t="s">
        <v>472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213010001</v>
      </c>
      <c r="BA445" s="17" t="s">
        <v>495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391</v>
      </c>
      <c r="L446" s="9">
        <v>1</v>
      </c>
      <c r="M446" s="9">
        <v>15</v>
      </c>
      <c r="R446" s="9">
        <v>1111</v>
      </c>
      <c r="U446" s="9">
        <f ca="1">IFERROR(OFFSET(ITEM_RES!$A$5,MATCH(BUILDING!T446,ITEM_RES!$J$5:$J$231,0)-1,0),0)</f>
        <v>0</v>
      </c>
      <c r="X446" s="9">
        <f ca="1">IFERROR(OFFSET(ITEM_RES!$A$5,MATCH(BUILDING!W446,ITEM_RES!$J$5:$J$231,0)-1,0),0)</f>
        <v>0</v>
      </c>
      <c r="Z446" s="9" t="s">
        <v>594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212040001</v>
      </c>
      <c r="AQ446" s="10" t="s">
        <v>472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391</v>
      </c>
      <c r="L447" s="9">
        <v>1</v>
      </c>
      <c r="M447" s="9">
        <v>15</v>
      </c>
      <c r="R447" s="9">
        <v>1111</v>
      </c>
      <c r="U447" s="9">
        <f ca="1">IFERROR(OFFSET(ITEM_RES!$A$5,MATCH(BUILDING!T447,ITEM_RES!$J$5:$J$231,0)-1,0),0)</f>
        <v>0</v>
      </c>
      <c r="X447" s="9">
        <f ca="1">IFERROR(OFFSET(ITEM_RES!$A$5,MATCH(BUILDING!W447,ITEM_RES!$J$5:$J$231,0)-1,0),0)</f>
        <v>0</v>
      </c>
      <c r="Z447" s="9" t="s">
        <v>594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212040001</v>
      </c>
      <c r="AQ447" s="10" t="s">
        <v>472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391</v>
      </c>
      <c r="L448" s="9">
        <v>1</v>
      </c>
      <c r="M448" s="9">
        <v>15</v>
      </c>
      <c r="R448" s="9">
        <v>1111</v>
      </c>
      <c r="U448" s="9">
        <f ca="1">IFERROR(OFFSET(ITEM_RES!$A$5,MATCH(BUILDING!T448,ITEM_RES!$J$5:$J$231,0)-1,0),0)</f>
        <v>0</v>
      </c>
      <c r="X448" s="9">
        <f ca="1">IFERROR(OFFSET(ITEM_RES!$A$5,MATCH(BUILDING!W448,ITEM_RES!$J$5:$J$231,0)-1,0),0)</f>
        <v>0</v>
      </c>
      <c r="Z448" s="9" t="s">
        <v>594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212040001</v>
      </c>
      <c r="AQ448" s="10" t="s">
        <v>472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391</v>
      </c>
      <c r="L449" s="9">
        <v>1</v>
      </c>
      <c r="M449" s="9">
        <v>15</v>
      </c>
      <c r="R449" s="9">
        <v>1111</v>
      </c>
      <c r="U449" s="9">
        <f ca="1">IFERROR(OFFSET(ITEM_RES!$A$5,MATCH(BUILDING!T449,ITEM_RES!$J$5:$J$231,0)-1,0),0)</f>
        <v>0</v>
      </c>
      <c r="X449" s="9">
        <f ca="1">IFERROR(OFFSET(ITEM_RES!$A$5,MATCH(BUILDING!W449,ITEM_RES!$J$5:$J$231,0)-1,0),0)</f>
        <v>0</v>
      </c>
      <c r="Z449" s="9" t="s">
        <v>594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212040001</v>
      </c>
      <c r="AQ449" s="10" t="s">
        <v>472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391</v>
      </c>
      <c r="L450" s="9">
        <v>1</v>
      </c>
      <c r="M450" s="9">
        <v>15</v>
      </c>
      <c r="R450" s="9">
        <v>1111</v>
      </c>
      <c r="U450" s="9">
        <f ca="1">IFERROR(OFFSET(ITEM_RES!$A$5,MATCH(BUILDING!T450,ITEM_RES!$J$5:$J$231,0)-1,0),0)</f>
        <v>0</v>
      </c>
      <c r="X450" s="9">
        <f ca="1">IFERROR(OFFSET(ITEM_RES!$A$5,MATCH(BUILDING!W450,ITEM_RES!$J$5:$J$231,0)-1,0),0)</f>
        <v>0</v>
      </c>
      <c r="Z450" s="9" t="s">
        <v>594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212040001</v>
      </c>
      <c r="AQ450" s="10" t="s">
        <v>485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391</v>
      </c>
      <c r="L451" s="9">
        <v>1</v>
      </c>
      <c r="M451" s="9">
        <v>15</v>
      </c>
      <c r="R451" s="9">
        <v>1111</v>
      </c>
      <c r="U451" s="9">
        <f ca="1">IFERROR(OFFSET(ITEM_RES!$A$5,MATCH(BUILDING!T451,ITEM_RES!$J$5:$J$231,0)-1,0),0)</f>
        <v>0</v>
      </c>
      <c r="X451" s="9">
        <f ca="1">IFERROR(OFFSET(ITEM_RES!$A$5,MATCH(BUILDING!W451,ITEM_RES!$J$5:$J$231,0)-1,0),0)</f>
        <v>0</v>
      </c>
      <c r="Z451" s="9" t="s">
        <v>594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212040001</v>
      </c>
      <c r="AQ451" s="10" t="s">
        <v>472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391</v>
      </c>
      <c r="L452" s="9">
        <v>1</v>
      </c>
      <c r="M452" s="9">
        <v>15</v>
      </c>
      <c r="R452" s="9">
        <v>1111</v>
      </c>
      <c r="U452" s="9">
        <f ca="1">IFERROR(OFFSET(ITEM_RES!$A$5,MATCH(BUILDING!T452,ITEM_RES!$J$5:$J$231,0)-1,0),0)</f>
        <v>0</v>
      </c>
      <c r="X452" s="9">
        <f ca="1">IFERROR(OFFSET(ITEM_RES!$A$5,MATCH(BUILDING!W452,ITEM_RES!$J$5:$J$231,0)-1,0),0)</f>
        <v>0</v>
      </c>
      <c r="Z452" s="9" t="s">
        <v>594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212040001</v>
      </c>
      <c r="AQ452" s="10" t="s">
        <v>472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391</v>
      </c>
      <c r="L453" s="9">
        <v>1</v>
      </c>
      <c r="M453" s="9">
        <v>15</v>
      </c>
      <c r="N453" s="56"/>
      <c r="R453" s="9">
        <v>1111</v>
      </c>
      <c r="U453" s="9">
        <f ca="1">IFERROR(OFFSET(ITEM_RES!$A$5,MATCH(BUILDING!T453,ITEM_RES!$J$5:$J$231,0)-1,0),0)</f>
        <v>0</v>
      </c>
      <c r="X453" s="9">
        <f ca="1">IFERROR(OFFSET(ITEM_RES!$A$5,MATCH(BUILDING!W453,ITEM_RES!$J$5:$J$231,0)-1,0),0)</f>
        <v>0</v>
      </c>
      <c r="Z453" s="9" t="s">
        <v>594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215050001</v>
      </c>
      <c r="AQ453" s="10" t="s">
        <v>486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391</v>
      </c>
      <c r="L454" s="9">
        <v>1</v>
      </c>
      <c r="M454" s="9">
        <v>15</v>
      </c>
      <c r="N454" s="63"/>
      <c r="R454" s="9">
        <v>1111</v>
      </c>
      <c r="U454" s="9">
        <f ca="1">IFERROR(OFFSET(ITEM_RES!$A$5,MATCH(BUILDING!T454,ITEM_RES!$J$5:$J$231,0)-1,0),0)</f>
        <v>0</v>
      </c>
      <c r="X454" s="9">
        <f ca="1">IFERROR(OFFSET(ITEM_RES!$A$5,MATCH(BUILDING!W454,ITEM_RES!$J$5:$J$231,0)-1,0),0)</f>
        <v>0</v>
      </c>
      <c r="Z454" s="9" t="s">
        <v>594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215050001</v>
      </c>
      <c r="AQ454" s="10" t="s">
        <v>486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391</v>
      </c>
      <c r="L455" s="9">
        <v>1</v>
      </c>
      <c r="M455" s="9">
        <v>15</v>
      </c>
      <c r="N455" s="63"/>
      <c r="R455" s="9">
        <v>1111</v>
      </c>
      <c r="U455" s="9">
        <f ca="1">IFERROR(OFFSET(ITEM_RES!$A$5,MATCH(BUILDING!T455,ITEM_RES!$J$5:$J$231,0)-1,0),0)</f>
        <v>0</v>
      </c>
      <c r="X455" s="9">
        <f ca="1">IFERROR(OFFSET(ITEM_RES!$A$5,MATCH(BUILDING!W455,ITEM_RES!$J$5:$J$231,0)-1,0),0)</f>
        <v>0</v>
      </c>
      <c r="Z455" s="9" t="s">
        <v>594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215050001</v>
      </c>
      <c r="AQ455" s="10" t="s">
        <v>486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391</v>
      </c>
      <c r="L456" s="9">
        <v>1</v>
      </c>
      <c r="M456" s="9">
        <v>15</v>
      </c>
      <c r="R456" s="9">
        <v>1111</v>
      </c>
      <c r="U456" s="9">
        <f ca="1">IFERROR(OFFSET(ITEM_RES!$A$5,MATCH(BUILDING!T456,ITEM_RES!$J$5:$J$231,0)-1,0),0)</f>
        <v>0</v>
      </c>
      <c r="X456" s="9">
        <f ca="1">IFERROR(OFFSET(ITEM_RES!$A$5,MATCH(BUILDING!W456,ITEM_RES!$J$5:$J$231,0)-1,0),0)</f>
        <v>0</v>
      </c>
      <c r="Z456" s="9" t="s">
        <v>594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215050001</v>
      </c>
      <c r="AQ456" s="10" t="s">
        <v>486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213140001</v>
      </c>
      <c r="BF456" s="10" t="s">
        <v>514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391</v>
      </c>
      <c r="L457" s="9">
        <v>1</v>
      </c>
      <c r="M457" s="9">
        <v>15</v>
      </c>
      <c r="R457" s="9">
        <v>1111</v>
      </c>
      <c r="U457" s="9">
        <f ca="1">IFERROR(OFFSET(ITEM_RES!$A$5,MATCH(BUILDING!T457,ITEM_RES!$J$5:$J$231,0)-1,0),0)</f>
        <v>0</v>
      </c>
      <c r="X457" s="9">
        <f ca="1">IFERROR(OFFSET(ITEM_RES!$A$5,MATCH(BUILDING!W457,ITEM_RES!$J$5:$J$231,0)-1,0),0)</f>
        <v>0</v>
      </c>
      <c r="Z457" s="9" t="s">
        <v>594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215050001</v>
      </c>
      <c r="AQ457" s="10" t="s">
        <v>486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391</v>
      </c>
      <c r="L458" s="9">
        <v>1</v>
      </c>
      <c r="M458" s="9">
        <v>15</v>
      </c>
      <c r="R458" s="9">
        <v>1111</v>
      </c>
      <c r="U458" s="9">
        <f ca="1">IFERROR(OFFSET(ITEM_RES!$A$5,MATCH(BUILDING!T458,ITEM_RES!$J$5:$J$231,0)-1,0),0)</f>
        <v>0</v>
      </c>
      <c r="X458" s="9">
        <f ca="1">IFERROR(OFFSET(ITEM_RES!$A$5,MATCH(BUILDING!W458,ITEM_RES!$J$5:$J$231,0)-1,0),0)</f>
        <v>0</v>
      </c>
      <c r="Z458" s="9" t="s">
        <v>594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215050001</v>
      </c>
      <c r="AQ458" s="10" t="s">
        <v>486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391</v>
      </c>
      <c r="L459" s="9">
        <v>1</v>
      </c>
      <c r="M459" s="9">
        <v>15</v>
      </c>
      <c r="R459" s="9">
        <v>1111</v>
      </c>
      <c r="U459" s="9">
        <f ca="1">IFERROR(OFFSET(ITEM_RES!$A$5,MATCH(BUILDING!T459,ITEM_RES!$J$5:$J$231,0)-1,0),0)</f>
        <v>0</v>
      </c>
      <c r="X459" s="9">
        <f ca="1">IFERROR(OFFSET(ITEM_RES!$A$5,MATCH(BUILDING!W459,ITEM_RES!$J$5:$J$231,0)-1,0),0)</f>
        <v>0</v>
      </c>
      <c r="Z459" s="9" t="s">
        <v>594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215050001</v>
      </c>
      <c r="AQ459" s="10" t="s">
        <v>486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391</v>
      </c>
      <c r="L460" s="9">
        <v>0</v>
      </c>
      <c r="M460" s="9">
        <v>15</v>
      </c>
      <c r="R460" s="9">
        <v>1111</v>
      </c>
      <c r="U460" s="9">
        <f ca="1">IFERROR(OFFSET(ITEM_RES!$A$5,MATCH(BUILDING!T460,ITEM_RES!$J$5:$J$231,0)-1,0),0)</f>
        <v>0</v>
      </c>
      <c r="X460" s="9">
        <f ca="1">IFERROR(OFFSET(ITEM_RES!$A$5,MATCH(BUILDING!W460,ITEM_RES!$J$5:$J$231,0)-1,0),0)</f>
        <v>0</v>
      </c>
      <c r="Z460" s="9" t="s">
        <v>594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215050001</v>
      </c>
      <c r="AQ460" s="10" t="s">
        <v>486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391</v>
      </c>
      <c r="L461" s="9">
        <v>0</v>
      </c>
      <c r="M461" s="9">
        <v>15</v>
      </c>
      <c r="R461" s="9">
        <v>1111</v>
      </c>
      <c r="U461" s="9">
        <f ca="1">IFERROR(OFFSET(ITEM_RES!$A$5,MATCH(BUILDING!T461,ITEM_RES!$J$5:$J$231,0)-1,0),0)</f>
        <v>0</v>
      </c>
      <c r="X461" s="9">
        <f ca="1">IFERROR(OFFSET(ITEM_RES!$A$5,MATCH(BUILDING!W461,ITEM_RES!$J$5:$J$231,0)-1,0),0)</f>
        <v>0</v>
      </c>
      <c r="Z461" s="9" t="s">
        <v>594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215050001</v>
      </c>
      <c r="AQ461" s="10" t="s">
        <v>486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391</v>
      </c>
      <c r="L462" s="9">
        <v>0</v>
      </c>
      <c r="M462" s="9">
        <v>15</v>
      </c>
      <c r="R462" s="9">
        <v>1111</v>
      </c>
      <c r="U462" s="9">
        <f ca="1">IFERROR(OFFSET(ITEM_RES!$A$5,MATCH(BUILDING!T462,ITEM_RES!$J$5:$J$231,0)-1,0),0)</f>
        <v>0</v>
      </c>
      <c r="X462" s="9">
        <f ca="1">IFERROR(OFFSET(ITEM_RES!$A$5,MATCH(BUILDING!W462,ITEM_RES!$J$5:$J$231,0)-1,0),0)</f>
        <v>0</v>
      </c>
      <c r="Z462" s="9" t="s">
        <v>594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215050001</v>
      </c>
      <c r="AQ462" s="10" t="s">
        <v>486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391</v>
      </c>
      <c r="L463" s="9">
        <v>0</v>
      </c>
      <c r="M463" s="9">
        <v>15</v>
      </c>
      <c r="R463" s="9">
        <v>1111</v>
      </c>
      <c r="U463" s="9">
        <f ca="1">IFERROR(OFFSET(ITEM_RES!$A$5,MATCH(BUILDING!T463,ITEM_RES!$J$5:$J$231,0)-1,0),0)</f>
        <v>0</v>
      </c>
      <c r="X463" s="9">
        <f ca="1">IFERROR(OFFSET(ITEM_RES!$A$5,MATCH(BUILDING!W463,ITEM_RES!$J$5:$J$231,0)-1,0),0)</f>
        <v>0</v>
      </c>
      <c r="Z463" s="9" t="s">
        <v>594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215050001</v>
      </c>
      <c r="AQ463" s="10" t="s">
        <v>486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391</v>
      </c>
      <c r="L464" s="9">
        <v>0</v>
      </c>
      <c r="M464" s="9">
        <v>15</v>
      </c>
      <c r="R464" s="9">
        <v>1111</v>
      </c>
      <c r="U464" s="9">
        <f ca="1">IFERROR(OFFSET(ITEM_RES!$A$5,MATCH(BUILDING!T464,ITEM_RES!$J$5:$J$231,0)-1,0),0)</f>
        <v>0</v>
      </c>
      <c r="X464" s="9">
        <f ca="1">IFERROR(OFFSET(ITEM_RES!$A$5,MATCH(BUILDING!W464,ITEM_RES!$J$5:$J$231,0)-1,0),0)</f>
        <v>0</v>
      </c>
      <c r="Z464" s="9" t="s">
        <v>594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215050001</v>
      </c>
      <c r="AQ464" s="10" t="s">
        <v>486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367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IFERROR(OFFSET(ITEM_RES!$A$5,MATCH(BUILDING!T465,ITEM_RES!$J$5:$J$231,0)-1,0),0)</f>
        <v>0</v>
      </c>
      <c r="V465" s="18"/>
      <c r="W465" s="88"/>
      <c r="X465" s="16">
        <f ca="1">IFERROR(OFFSET(ITEM_RES!$A$5,MATCH(BUILDING!W465,ITEM_RES!$J$5:$J$231,0)-1,0),0)</f>
        <v>0</v>
      </c>
      <c r="Y465" s="80"/>
      <c r="Z465" s="16" t="s">
        <v>595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212040001</v>
      </c>
      <c r="AQ465" s="17" t="s">
        <v>472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213010001</v>
      </c>
      <c r="BA465" s="17" t="s">
        <v>495</v>
      </c>
      <c r="BB465" s="18">
        <v>1</v>
      </c>
      <c r="BC465" s="17"/>
      <c r="BD465" s="18"/>
      <c r="BE465" s="18">
        <f ca="1">IFERROR(OFFSET(ITEM_RES!$A$1,MATCH(BF465,ITEM_RES!$J:$J,0)-1,0),0)</f>
        <v>213020001</v>
      </c>
      <c r="BF465" s="17" t="s">
        <v>517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367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IFERROR(OFFSET(ITEM_RES!$A$5,MATCH(BUILDING!T466,ITEM_RES!$J$5:$J$231,0)-1,0),0)</f>
        <v>0</v>
      </c>
      <c r="X466" s="9">
        <f ca="1">IFERROR(OFFSET(ITEM_RES!$A$5,MATCH(BUILDING!W466,ITEM_RES!$J$5:$J$231,0)-1,0),0)</f>
        <v>0</v>
      </c>
      <c r="Z466" s="9" t="s">
        <v>595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212040001</v>
      </c>
      <c r="AQ466" s="10" t="s">
        <v>472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366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IFERROR(OFFSET(ITEM_RES!$A$5,MATCH(BUILDING!T467,ITEM_RES!$J$5:$J$231,0)-1,0),0)</f>
        <v>0</v>
      </c>
      <c r="X467" s="9">
        <f ca="1">IFERROR(OFFSET(ITEM_RES!$A$5,MATCH(BUILDING!W467,ITEM_RES!$J$5:$J$231,0)-1,0),0)</f>
        <v>0</v>
      </c>
      <c r="Z467" s="9" t="s">
        <v>595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212040001</v>
      </c>
      <c r="AQ467" s="10" t="s">
        <v>472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366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IFERROR(OFFSET(ITEM_RES!$A$5,MATCH(BUILDING!T468,ITEM_RES!$J$5:$J$231,0)-1,0),0)</f>
        <v>0</v>
      </c>
      <c r="X468" s="9">
        <f ca="1">IFERROR(OFFSET(ITEM_RES!$A$5,MATCH(BUILDING!W468,ITEM_RES!$J$5:$J$231,0)-1,0),0)</f>
        <v>0</v>
      </c>
      <c r="Z468" s="9" t="s">
        <v>595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212040001</v>
      </c>
      <c r="AQ468" s="10" t="s">
        <v>472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366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IFERROR(OFFSET(ITEM_RES!$A$5,MATCH(BUILDING!T469,ITEM_RES!$J$5:$J$231,0)-1,0),0)</f>
        <v>0</v>
      </c>
      <c r="X469" s="9">
        <f ca="1">IFERROR(OFFSET(ITEM_RES!$A$5,MATCH(BUILDING!W469,ITEM_RES!$J$5:$J$231,0)-1,0),0)</f>
        <v>0</v>
      </c>
      <c r="Z469" s="9" t="s">
        <v>595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212040001</v>
      </c>
      <c r="AQ469" s="10" t="s">
        <v>472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366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IFERROR(OFFSET(ITEM_RES!$A$5,MATCH(BUILDING!T470,ITEM_RES!$J$5:$J$231,0)-1,0),0)</f>
        <v>0</v>
      </c>
      <c r="X470" s="9">
        <f ca="1">IFERROR(OFFSET(ITEM_RES!$A$5,MATCH(BUILDING!W470,ITEM_RES!$J$5:$J$231,0)-1,0),0)</f>
        <v>0</v>
      </c>
      <c r="Z470" s="9" t="s">
        <v>595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212040001</v>
      </c>
      <c r="AQ470" s="10" t="s">
        <v>472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366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IFERROR(OFFSET(ITEM_RES!$A$5,MATCH(BUILDING!T471,ITEM_RES!$J$5:$J$231,0)-1,0),0)</f>
        <v>0</v>
      </c>
      <c r="X471" s="9">
        <f ca="1">IFERROR(OFFSET(ITEM_RES!$A$5,MATCH(BUILDING!W471,ITEM_RES!$J$5:$J$231,0)-1,0),0)</f>
        <v>0</v>
      </c>
      <c r="Z471" s="9" t="s">
        <v>595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212040001</v>
      </c>
      <c r="AQ471" s="10" t="s">
        <v>472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366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IFERROR(OFFSET(ITEM_RES!$A$5,MATCH(BUILDING!T472,ITEM_RES!$J$5:$J$231,0)-1,0),0)</f>
        <v>0</v>
      </c>
      <c r="X472" s="9">
        <f ca="1">IFERROR(OFFSET(ITEM_RES!$A$5,MATCH(BUILDING!W472,ITEM_RES!$J$5:$J$231,0)-1,0),0)</f>
        <v>0</v>
      </c>
      <c r="Z472" s="9" t="s">
        <v>595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212040001</v>
      </c>
      <c r="AQ472" s="10" t="s">
        <v>472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366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IFERROR(OFFSET(ITEM_RES!$A$5,MATCH(BUILDING!T473,ITEM_RES!$J$5:$J$231,0)-1,0),0)</f>
        <v>0</v>
      </c>
      <c r="X473" s="9">
        <f ca="1">IFERROR(OFFSET(ITEM_RES!$A$5,MATCH(BUILDING!W473,ITEM_RES!$J$5:$J$231,0)-1,0),0)</f>
        <v>0</v>
      </c>
      <c r="Z473" s="9" t="s">
        <v>595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212040001</v>
      </c>
      <c r="AQ473" s="10" t="s">
        <v>472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366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IFERROR(OFFSET(ITEM_RES!$A$5,MATCH(BUILDING!T474,ITEM_RES!$J$5:$J$231,0)-1,0),0)</f>
        <v>0</v>
      </c>
      <c r="X474" s="9">
        <f ca="1">IFERROR(OFFSET(ITEM_RES!$A$5,MATCH(BUILDING!W474,ITEM_RES!$J$5:$J$231,0)-1,0),0)</f>
        <v>0</v>
      </c>
      <c r="Z474" s="9" t="s">
        <v>595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212040001</v>
      </c>
      <c r="AQ474" s="10" t="s">
        <v>472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213150001</v>
      </c>
      <c r="BF474" s="10" t="s">
        <v>520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366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IFERROR(OFFSET(ITEM_RES!$A$5,MATCH(BUILDING!T475,ITEM_RES!$J$5:$J$231,0)-1,0),0)</f>
        <v>0</v>
      </c>
      <c r="X475" s="9">
        <f ca="1">IFERROR(OFFSET(ITEM_RES!$A$5,MATCH(BUILDING!W475,ITEM_RES!$J$5:$J$231,0)-1,0),0)</f>
        <v>0</v>
      </c>
      <c r="Z475" s="9" t="s">
        <v>595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212040001</v>
      </c>
      <c r="AQ475" s="10" t="s">
        <v>472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366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IFERROR(OFFSET(ITEM_RES!$A$5,MATCH(BUILDING!T476,ITEM_RES!$J$5:$J$231,0)-1,0),0)</f>
        <v>0</v>
      </c>
      <c r="X476" s="9">
        <f ca="1">IFERROR(OFFSET(ITEM_RES!$A$5,MATCH(BUILDING!W476,ITEM_RES!$J$5:$J$231,0)-1,0),0)</f>
        <v>0</v>
      </c>
      <c r="Z476" s="9" t="s">
        <v>595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212040001</v>
      </c>
      <c r="AQ476" s="10" t="s">
        <v>472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366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IFERROR(OFFSET(ITEM_RES!$A$5,MATCH(BUILDING!T477,ITEM_RES!$J$5:$J$231,0)-1,0),0)</f>
        <v>0</v>
      </c>
      <c r="X477" s="9">
        <f ca="1">IFERROR(OFFSET(ITEM_RES!$A$5,MATCH(BUILDING!W477,ITEM_RES!$J$5:$J$231,0)-1,0),0)</f>
        <v>0</v>
      </c>
      <c r="Z477" s="9" t="s">
        <v>595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212040001</v>
      </c>
      <c r="AQ477" s="10" t="s">
        <v>472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366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IFERROR(OFFSET(ITEM_RES!$A$5,MATCH(BUILDING!T478,ITEM_RES!$J$5:$J$231,0)-1,0),0)</f>
        <v>0</v>
      </c>
      <c r="X478" s="9">
        <f ca="1">IFERROR(OFFSET(ITEM_RES!$A$5,MATCH(BUILDING!W478,ITEM_RES!$J$5:$J$231,0)-1,0),0)</f>
        <v>0</v>
      </c>
      <c r="Z478" s="9" t="s">
        <v>595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212040001</v>
      </c>
      <c r="AQ478" s="10" t="s">
        <v>472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366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IFERROR(OFFSET(ITEM_RES!$A$5,MATCH(BUILDING!T479,ITEM_RES!$J$5:$J$231,0)-1,0),0)</f>
        <v>0</v>
      </c>
      <c r="X479" s="9">
        <f ca="1">IFERROR(OFFSET(ITEM_RES!$A$5,MATCH(BUILDING!W479,ITEM_RES!$J$5:$J$231,0)-1,0),0)</f>
        <v>0</v>
      </c>
      <c r="Z479" s="9" t="s">
        <v>595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212040001</v>
      </c>
      <c r="AQ479" s="10" t="s">
        <v>472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366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IFERROR(OFFSET(ITEM_RES!$A$5,MATCH(BUILDING!T480,ITEM_RES!$J$5:$J$231,0)-1,0),0)</f>
        <v>0</v>
      </c>
      <c r="X480" s="9">
        <f ca="1">IFERROR(OFFSET(ITEM_RES!$A$5,MATCH(BUILDING!W480,ITEM_RES!$J$5:$J$231,0)-1,0),0)</f>
        <v>0</v>
      </c>
      <c r="Z480" s="9" t="s">
        <v>595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215050001</v>
      </c>
      <c r="AQ480" s="10" t="s">
        <v>483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366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IFERROR(OFFSET(ITEM_RES!$A$5,MATCH(BUILDING!T481,ITEM_RES!$J$5:$J$231,0)-1,0),0)</f>
        <v>0</v>
      </c>
      <c r="X481" s="9">
        <f ca="1">IFERROR(OFFSET(ITEM_RES!$A$5,MATCH(BUILDING!W481,ITEM_RES!$J$5:$J$231,0)-1,0),0)</f>
        <v>0</v>
      </c>
      <c r="Z481" s="9" t="s">
        <v>595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215050001</v>
      </c>
      <c r="AQ481" s="10" t="s">
        <v>483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366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IFERROR(OFFSET(ITEM_RES!$A$5,MATCH(BUILDING!T482,ITEM_RES!$J$5:$J$231,0)-1,0),0)</f>
        <v>0</v>
      </c>
      <c r="X482" s="9">
        <f ca="1">IFERROR(OFFSET(ITEM_RES!$A$5,MATCH(BUILDING!W482,ITEM_RES!$J$5:$J$231,0)-1,0),0)</f>
        <v>0</v>
      </c>
      <c r="Z482" s="9" t="s">
        <v>595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215050001</v>
      </c>
      <c r="AQ482" s="10" t="s">
        <v>483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366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IFERROR(OFFSET(ITEM_RES!$A$5,MATCH(BUILDING!T483,ITEM_RES!$J$5:$J$231,0)-1,0),0)</f>
        <v>0</v>
      </c>
      <c r="X483" s="9">
        <f ca="1">IFERROR(OFFSET(ITEM_RES!$A$5,MATCH(BUILDING!W483,ITEM_RES!$J$5:$J$231,0)-1,0),0)</f>
        <v>0</v>
      </c>
      <c r="Z483" s="9" t="s">
        <v>595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215050001</v>
      </c>
      <c r="AQ483" s="10" t="s">
        <v>483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366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IFERROR(OFFSET(ITEM_RES!$A$5,MATCH(BUILDING!T484,ITEM_RES!$J$5:$J$231,0)-1,0),0)</f>
        <v>0</v>
      </c>
      <c r="X484" s="9">
        <f ca="1">IFERROR(OFFSET(ITEM_RES!$A$5,MATCH(BUILDING!W484,ITEM_RES!$J$5:$J$231,0)-1,0),0)</f>
        <v>0</v>
      </c>
      <c r="Z484" s="9" t="s">
        <v>595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215050001</v>
      </c>
      <c r="AQ484" s="10" t="s">
        <v>483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378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IFERROR(OFFSET(ITEM_RES!$A$5,MATCH(BUILDING!T485,ITEM_RES!$J$5:$J$231,0)-1,0),0)</f>
        <v>0</v>
      </c>
      <c r="V485" s="18"/>
      <c r="W485" s="88"/>
      <c r="X485" s="16">
        <f ca="1">IFERROR(OFFSET(ITEM_RES!$A$5,MATCH(BUILDING!W485,ITEM_RES!$J$5:$J$231,0)-1,0),0)</f>
        <v>0</v>
      </c>
      <c r="Y485" s="80"/>
      <c r="Z485" s="16" t="s">
        <v>399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212040001</v>
      </c>
      <c r="AQ485" s="17" t="s">
        <v>472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213010001</v>
      </c>
      <c r="BA485" s="17" t="s">
        <v>495</v>
      </c>
      <c r="BB485" s="18">
        <v>1</v>
      </c>
      <c r="BC485" s="17"/>
      <c r="BD485" s="18"/>
      <c r="BE485" s="18">
        <f ca="1">IFERROR(OFFSET(ITEM_RES!$A$1,MATCH(BF485,ITEM_RES!$J:$J,0)-1,0),0)</f>
        <v>213020001</v>
      </c>
      <c r="BF485" s="17" t="s">
        <v>517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364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IFERROR(OFFSET(ITEM_RES!$A$5,MATCH(BUILDING!T486,ITEM_RES!$J$5:$J$231,0)-1,0),0)</f>
        <v>0</v>
      </c>
      <c r="X486" s="9">
        <f ca="1">IFERROR(OFFSET(ITEM_RES!$A$5,MATCH(BUILDING!W486,ITEM_RES!$J$5:$J$231,0)-1,0),0)</f>
        <v>0</v>
      </c>
      <c r="Z486" s="9" t="s">
        <v>395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212040001</v>
      </c>
      <c r="AQ486" s="10" t="s">
        <v>472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364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IFERROR(OFFSET(ITEM_RES!$A$5,MATCH(BUILDING!T487,ITEM_RES!$J$5:$J$231,0)-1,0),0)</f>
        <v>0</v>
      </c>
      <c r="X487" s="9">
        <f ca="1">IFERROR(OFFSET(ITEM_RES!$A$5,MATCH(BUILDING!W487,ITEM_RES!$J$5:$J$231,0)-1,0),0)</f>
        <v>0</v>
      </c>
      <c r="Z487" s="9" t="s">
        <v>394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212040001</v>
      </c>
      <c r="AQ487" s="10" t="s">
        <v>472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364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IFERROR(OFFSET(ITEM_RES!$A$5,MATCH(BUILDING!T488,ITEM_RES!$J$5:$J$231,0)-1,0),0)</f>
        <v>0</v>
      </c>
      <c r="X488" s="9">
        <f ca="1">IFERROR(OFFSET(ITEM_RES!$A$5,MATCH(BUILDING!W488,ITEM_RES!$J$5:$J$231,0)-1,0),0)</f>
        <v>0</v>
      </c>
      <c r="Z488" s="9" t="s">
        <v>394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212040001</v>
      </c>
      <c r="AQ488" s="10" t="s">
        <v>472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364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IFERROR(OFFSET(ITEM_RES!$A$5,MATCH(BUILDING!T489,ITEM_RES!$J$5:$J$231,0)-1,0),0)</f>
        <v>0</v>
      </c>
      <c r="X489" s="9">
        <f ca="1">IFERROR(OFFSET(ITEM_RES!$A$5,MATCH(BUILDING!W489,ITEM_RES!$J$5:$J$231,0)-1,0),0)</f>
        <v>0</v>
      </c>
      <c r="Z489" s="9" t="s">
        <v>394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212040001</v>
      </c>
      <c r="AQ489" s="10" t="s">
        <v>472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364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IFERROR(OFFSET(ITEM_RES!$A$5,MATCH(BUILDING!T490,ITEM_RES!$J$5:$J$231,0)-1,0),0)</f>
        <v>0</v>
      </c>
      <c r="X490" s="9">
        <f ca="1">IFERROR(OFFSET(ITEM_RES!$A$5,MATCH(BUILDING!W490,ITEM_RES!$J$5:$J$231,0)-1,0),0)</f>
        <v>0</v>
      </c>
      <c r="Z490" s="9" t="s">
        <v>394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212040001</v>
      </c>
      <c r="AQ490" s="10" t="s">
        <v>472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364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IFERROR(OFFSET(ITEM_RES!$A$5,MATCH(BUILDING!T491,ITEM_RES!$J$5:$J$231,0)-1,0),0)</f>
        <v>0</v>
      </c>
      <c r="X491" s="9">
        <f ca="1">IFERROR(OFFSET(ITEM_RES!$A$5,MATCH(BUILDING!W491,ITEM_RES!$J$5:$J$231,0)-1,0),0)</f>
        <v>0</v>
      </c>
      <c r="Z491" s="9" t="s">
        <v>394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212040001</v>
      </c>
      <c r="AQ491" s="10" t="s">
        <v>472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364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IFERROR(OFFSET(ITEM_RES!$A$5,MATCH(BUILDING!T492,ITEM_RES!$J$5:$J$231,0)-1,0),0)</f>
        <v>0</v>
      </c>
      <c r="X492" s="9">
        <f ca="1">IFERROR(OFFSET(ITEM_RES!$A$5,MATCH(BUILDING!W492,ITEM_RES!$J$5:$J$231,0)-1,0),0)</f>
        <v>0</v>
      </c>
      <c r="Z492" s="9" t="s">
        <v>394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212040001</v>
      </c>
      <c r="AQ492" s="10" t="s">
        <v>472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364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IFERROR(OFFSET(ITEM_RES!$A$5,MATCH(BUILDING!T493,ITEM_RES!$J$5:$J$231,0)-1,0),0)</f>
        <v>0</v>
      </c>
      <c r="X493" s="9">
        <f ca="1">IFERROR(OFFSET(ITEM_RES!$A$5,MATCH(BUILDING!W493,ITEM_RES!$J$5:$J$231,0)-1,0),0)</f>
        <v>0</v>
      </c>
      <c r="Z493" s="9" t="s">
        <v>394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212040001</v>
      </c>
      <c r="AQ493" s="10" t="s">
        <v>472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364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IFERROR(OFFSET(ITEM_RES!$A$5,MATCH(BUILDING!T494,ITEM_RES!$J$5:$J$231,0)-1,0),0)</f>
        <v>0</v>
      </c>
      <c r="X494" s="9">
        <f ca="1">IFERROR(OFFSET(ITEM_RES!$A$5,MATCH(BUILDING!W494,ITEM_RES!$J$5:$J$231,0)-1,0),0)</f>
        <v>0</v>
      </c>
      <c r="Z494" s="9" t="s">
        <v>394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212040001</v>
      </c>
      <c r="AQ494" s="10" t="s">
        <v>472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213160001</v>
      </c>
      <c r="BF494" s="10" t="s">
        <v>528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364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IFERROR(OFFSET(ITEM_RES!$A$5,MATCH(BUILDING!T495,ITEM_RES!$J$5:$J$231,0)-1,0),0)</f>
        <v>0</v>
      </c>
      <c r="X495" s="9">
        <f ca="1">IFERROR(OFFSET(ITEM_RES!$A$5,MATCH(BUILDING!W495,ITEM_RES!$J$5:$J$231,0)-1,0),0)</f>
        <v>0</v>
      </c>
      <c r="Z495" s="9" t="s">
        <v>394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212040001</v>
      </c>
      <c r="AQ495" s="10" t="s">
        <v>472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364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IFERROR(OFFSET(ITEM_RES!$A$5,MATCH(BUILDING!T496,ITEM_RES!$J$5:$J$231,0)-1,0),0)</f>
        <v>0</v>
      </c>
      <c r="X496" s="9">
        <f ca="1">IFERROR(OFFSET(ITEM_RES!$A$5,MATCH(BUILDING!W496,ITEM_RES!$J$5:$J$231,0)-1,0),0)</f>
        <v>0</v>
      </c>
      <c r="Z496" s="9" t="s">
        <v>394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212040001</v>
      </c>
      <c r="AQ496" s="10" t="s">
        <v>472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364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IFERROR(OFFSET(ITEM_RES!$A$5,MATCH(BUILDING!T497,ITEM_RES!$J$5:$J$231,0)-1,0),0)</f>
        <v>0</v>
      </c>
      <c r="X497" s="9">
        <f ca="1">IFERROR(OFFSET(ITEM_RES!$A$5,MATCH(BUILDING!W497,ITEM_RES!$J$5:$J$231,0)-1,0),0)</f>
        <v>0</v>
      </c>
      <c r="Z497" s="9" t="s">
        <v>394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212040001</v>
      </c>
      <c r="AQ497" s="10" t="s">
        <v>472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364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IFERROR(OFFSET(ITEM_RES!$A$5,MATCH(BUILDING!T498,ITEM_RES!$J$5:$J$231,0)-1,0),0)</f>
        <v>0</v>
      </c>
      <c r="X498" s="9">
        <f ca="1">IFERROR(OFFSET(ITEM_RES!$A$5,MATCH(BUILDING!W498,ITEM_RES!$J$5:$J$231,0)-1,0),0)</f>
        <v>0</v>
      </c>
      <c r="Z498" s="9" t="s">
        <v>394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212040001</v>
      </c>
      <c r="AQ498" s="10" t="s">
        <v>472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364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IFERROR(OFFSET(ITEM_RES!$A$5,MATCH(BUILDING!T499,ITEM_RES!$J$5:$J$231,0)-1,0),0)</f>
        <v>0</v>
      </c>
      <c r="X499" s="9">
        <f ca="1">IFERROR(OFFSET(ITEM_RES!$A$5,MATCH(BUILDING!W499,ITEM_RES!$J$5:$J$231,0)-1,0),0)</f>
        <v>0</v>
      </c>
      <c r="Z499" s="9" t="s">
        <v>394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215050001</v>
      </c>
      <c r="AQ499" s="10" t="s">
        <v>483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364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IFERROR(OFFSET(ITEM_RES!$A$5,MATCH(BUILDING!T500,ITEM_RES!$J$5:$J$231,0)-1,0),0)</f>
        <v>0</v>
      </c>
      <c r="X500" s="9">
        <f ca="1">IFERROR(OFFSET(ITEM_RES!$A$5,MATCH(BUILDING!W500,ITEM_RES!$J$5:$J$231,0)-1,0),0)</f>
        <v>0</v>
      </c>
      <c r="Z500" s="9" t="s">
        <v>394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215050001</v>
      </c>
      <c r="AQ500" s="10" t="s">
        <v>483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364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IFERROR(OFFSET(ITEM_RES!$A$5,MATCH(BUILDING!T501,ITEM_RES!$J$5:$J$231,0)-1,0),0)</f>
        <v>0</v>
      </c>
      <c r="X501" s="9">
        <f ca="1">IFERROR(OFFSET(ITEM_RES!$A$5,MATCH(BUILDING!W501,ITEM_RES!$J$5:$J$231,0)-1,0),0)</f>
        <v>0</v>
      </c>
      <c r="Z501" s="9" t="s">
        <v>394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215050001</v>
      </c>
      <c r="AQ501" s="10" t="s">
        <v>483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364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IFERROR(OFFSET(ITEM_RES!$A$5,MATCH(BUILDING!T502,ITEM_RES!$J$5:$J$231,0)-1,0),0)</f>
        <v>0</v>
      </c>
      <c r="X502" s="9">
        <f ca="1">IFERROR(OFFSET(ITEM_RES!$A$5,MATCH(BUILDING!W502,ITEM_RES!$J$5:$J$231,0)-1,0),0)</f>
        <v>0</v>
      </c>
      <c r="Z502" s="9" t="s">
        <v>394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215050001</v>
      </c>
      <c r="AQ502" s="10" t="s">
        <v>483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364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IFERROR(OFFSET(ITEM_RES!$A$5,MATCH(BUILDING!T503,ITEM_RES!$J$5:$J$231,0)-1,0),0)</f>
        <v>0</v>
      </c>
      <c r="X503" s="9">
        <f ca="1">IFERROR(OFFSET(ITEM_RES!$A$5,MATCH(BUILDING!W503,ITEM_RES!$J$5:$J$231,0)-1,0),0)</f>
        <v>0</v>
      </c>
      <c r="Z503" s="9" t="s">
        <v>394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215050001</v>
      </c>
      <c r="AQ503" s="10" t="s">
        <v>483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364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IFERROR(OFFSET(ITEM_RES!$A$5,MATCH(BUILDING!T504,ITEM_RES!$J$5:$J$231,0)-1,0),0)</f>
        <v>0</v>
      </c>
      <c r="X504" s="9">
        <f ca="1">IFERROR(OFFSET(ITEM_RES!$A$5,MATCH(BUILDING!W504,ITEM_RES!$J$5:$J$231,0)-1,0),0)</f>
        <v>0</v>
      </c>
      <c r="Z504" s="9" t="s">
        <v>394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215050001</v>
      </c>
      <c r="AQ504" s="10" t="s">
        <v>483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379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IFERROR(OFFSET(ITEM_RES!$A$5,MATCH(BUILDING!T505,ITEM_RES!$J$5:$J$231,0)-1,0),0)</f>
        <v>0</v>
      </c>
      <c r="V505" s="18"/>
      <c r="W505" s="88"/>
      <c r="X505" s="16">
        <f ca="1">IFERROR(OFFSET(ITEM_RES!$A$5,MATCH(BUILDING!W505,ITEM_RES!$J$5:$J$231,0)-1,0),0)</f>
        <v>0</v>
      </c>
      <c r="Y505" s="80"/>
      <c r="Z505" s="16" t="s">
        <v>397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212040001</v>
      </c>
      <c r="AQ505" s="17" t="s">
        <v>469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213010001</v>
      </c>
      <c r="BA505" s="17" t="s">
        <v>495</v>
      </c>
      <c r="BB505" s="18">
        <v>1</v>
      </c>
      <c r="BC505" s="17"/>
      <c r="BD505" s="18"/>
      <c r="BE505" s="18">
        <f ca="1">IFERROR(OFFSET(ITEM_RES!$A$1,MATCH(BF505,ITEM_RES!$J:$J,0)-1,0),0)</f>
        <v>213020001</v>
      </c>
      <c r="BF505" s="17" t="s">
        <v>517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365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IFERROR(OFFSET(ITEM_RES!$A$5,MATCH(BUILDING!T506,ITEM_RES!$J$5:$J$231,0)-1,0),0)</f>
        <v>0</v>
      </c>
      <c r="X506" s="9">
        <f ca="1">IFERROR(OFFSET(ITEM_RES!$A$5,MATCH(BUILDING!W506,ITEM_RES!$J$5:$J$231,0)-1,0),0)</f>
        <v>0</v>
      </c>
      <c r="Z506" s="9" t="s">
        <v>396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212040001</v>
      </c>
      <c r="AQ506" s="10" t="s">
        <v>469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365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IFERROR(OFFSET(ITEM_RES!$A$5,MATCH(BUILDING!T507,ITEM_RES!$J$5:$J$231,0)-1,0),0)</f>
        <v>0</v>
      </c>
      <c r="X507" s="9">
        <f ca="1">IFERROR(OFFSET(ITEM_RES!$A$5,MATCH(BUILDING!W507,ITEM_RES!$J$5:$J$231,0)-1,0),0)</f>
        <v>0</v>
      </c>
      <c r="Z507" s="9" t="s">
        <v>396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212040001</v>
      </c>
      <c r="AQ507" s="10" t="s">
        <v>469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365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IFERROR(OFFSET(ITEM_RES!$A$5,MATCH(BUILDING!T508,ITEM_RES!$J$5:$J$231,0)-1,0),0)</f>
        <v>0</v>
      </c>
      <c r="X508" s="9">
        <f ca="1">IFERROR(OFFSET(ITEM_RES!$A$5,MATCH(BUILDING!W508,ITEM_RES!$J$5:$J$231,0)-1,0),0)</f>
        <v>0</v>
      </c>
      <c r="Z508" s="9" t="s">
        <v>396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212040001</v>
      </c>
      <c r="AQ508" s="10" t="s">
        <v>469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365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IFERROR(OFFSET(ITEM_RES!$A$5,MATCH(BUILDING!T509,ITEM_RES!$J$5:$J$231,0)-1,0),0)</f>
        <v>0</v>
      </c>
      <c r="X509" s="9">
        <f ca="1">IFERROR(OFFSET(ITEM_RES!$A$5,MATCH(BUILDING!W509,ITEM_RES!$J$5:$J$231,0)-1,0),0)</f>
        <v>0</v>
      </c>
      <c r="Z509" s="9" t="s">
        <v>396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212040001</v>
      </c>
      <c r="AQ509" s="10" t="s">
        <v>469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365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IFERROR(OFFSET(ITEM_RES!$A$5,MATCH(BUILDING!T510,ITEM_RES!$J$5:$J$231,0)-1,0),0)</f>
        <v>0</v>
      </c>
      <c r="X510" s="9">
        <f ca="1">IFERROR(OFFSET(ITEM_RES!$A$5,MATCH(BUILDING!W510,ITEM_RES!$J$5:$J$231,0)-1,0),0)</f>
        <v>0</v>
      </c>
      <c r="Z510" s="9" t="s">
        <v>396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212040001</v>
      </c>
      <c r="AQ510" s="10" t="s">
        <v>469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365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IFERROR(OFFSET(ITEM_RES!$A$5,MATCH(BUILDING!T511,ITEM_RES!$J$5:$J$231,0)-1,0),0)</f>
        <v>0</v>
      </c>
      <c r="X511" s="9">
        <f ca="1">IFERROR(OFFSET(ITEM_RES!$A$5,MATCH(BUILDING!W511,ITEM_RES!$J$5:$J$231,0)-1,0),0)</f>
        <v>0</v>
      </c>
      <c r="Z511" s="9" t="s">
        <v>396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212040001</v>
      </c>
      <c r="AQ511" s="10" t="s">
        <v>469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365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IFERROR(OFFSET(ITEM_RES!$A$5,MATCH(BUILDING!T512,ITEM_RES!$J$5:$J$231,0)-1,0),0)</f>
        <v>0</v>
      </c>
      <c r="X512" s="9">
        <f ca="1">IFERROR(OFFSET(ITEM_RES!$A$5,MATCH(BUILDING!W512,ITEM_RES!$J$5:$J$231,0)-1,0),0)</f>
        <v>0</v>
      </c>
      <c r="Z512" s="9" t="s">
        <v>396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212040001</v>
      </c>
      <c r="AQ512" s="10" t="s">
        <v>469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213170001</v>
      </c>
      <c r="BF512" s="10" t="s">
        <v>522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365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IFERROR(OFFSET(ITEM_RES!$A$5,MATCH(BUILDING!T513,ITEM_RES!$J$5:$J$231,0)-1,0),0)</f>
        <v>0</v>
      </c>
      <c r="X513" s="9">
        <f ca="1">IFERROR(OFFSET(ITEM_RES!$A$5,MATCH(BUILDING!W513,ITEM_RES!$J$5:$J$231,0)-1,0),0)</f>
        <v>0</v>
      </c>
      <c r="Z513" s="9" t="s">
        <v>396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212040001</v>
      </c>
      <c r="AQ513" s="10" t="s">
        <v>469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365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IFERROR(OFFSET(ITEM_RES!$A$5,MATCH(BUILDING!T514,ITEM_RES!$J$5:$J$231,0)-1,0),0)</f>
        <v>0</v>
      </c>
      <c r="X514" s="9">
        <f ca="1">IFERROR(OFFSET(ITEM_RES!$A$5,MATCH(BUILDING!W514,ITEM_RES!$J$5:$J$231,0)-1,0),0)</f>
        <v>0</v>
      </c>
      <c r="Z514" s="9" t="s">
        <v>396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212040001</v>
      </c>
      <c r="AQ514" s="10" t="s">
        <v>469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365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IFERROR(OFFSET(ITEM_RES!$A$5,MATCH(BUILDING!T515,ITEM_RES!$J$5:$J$231,0)-1,0),0)</f>
        <v>0</v>
      </c>
      <c r="X515" s="9">
        <f ca="1">IFERROR(OFFSET(ITEM_RES!$A$5,MATCH(BUILDING!W515,ITEM_RES!$J$5:$J$231,0)-1,0),0)</f>
        <v>0</v>
      </c>
      <c r="Z515" s="9" t="s">
        <v>396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212040001</v>
      </c>
      <c r="AQ515" s="10" t="s">
        <v>469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365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IFERROR(OFFSET(ITEM_RES!$A$5,MATCH(BUILDING!T516,ITEM_RES!$J$5:$J$231,0)-1,0),0)</f>
        <v>0</v>
      </c>
      <c r="X516" s="9">
        <f ca="1">IFERROR(OFFSET(ITEM_RES!$A$5,MATCH(BUILDING!W516,ITEM_RES!$J$5:$J$231,0)-1,0),0)</f>
        <v>0</v>
      </c>
      <c r="Z516" s="9" t="s">
        <v>396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212040001</v>
      </c>
      <c r="AQ516" s="10" t="s">
        <v>469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365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IFERROR(OFFSET(ITEM_RES!$A$5,MATCH(BUILDING!T517,ITEM_RES!$J$5:$J$231,0)-1,0),0)</f>
        <v>0</v>
      </c>
      <c r="X517" s="9">
        <f ca="1">IFERROR(OFFSET(ITEM_RES!$A$5,MATCH(BUILDING!W517,ITEM_RES!$J$5:$J$231,0)-1,0),0)</f>
        <v>0</v>
      </c>
      <c r="Z517" s="9" t="s">
        <v>396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212040001</v>
      </c>
      <c r="AQ517" s="10" t="s">
        <v>469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365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IFERROR(OFFSET(ITEM_RES!$A$5,MATCH(BUILDING!T518,ITEM_RES!$J$5:$J$231,0)-1,0),0)</f>
        <v>0</v>
      </c>
      <c r="X518" s="9">
        <f ca="1">IFERROR(OFFSET(ITEM_RES!$A$5,MATCH(BUILDING!W518,ITEM_RES!$J$5:$J$231,0)-1,0),0)</f>
        <v>0</v>
      </c>
      <c r="Z518" s="9" t="s">
        <v>396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215050001</v>
      </c>
      <c r="AQ518" s="10" t="s">
        <v>483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365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IFERROR(OFFSET(ITEM_RES!$A$5,MATCH(BUILDING!T519,ITEM_RES!$J$5:$J$231,0)-1,0),0)</f>
        <v>0</v>
      </c>
      <c r="X519" s="9">
        <f ca="1">IFERROR(OFFSET(ITEM_RES!$A$5,MATCH(BUILDING!W519,ITEM_RES!$J$5:$J$231,0)-1,0),0)</f>
        <v>0</v>
      </c>
      <c r="Z519" s="9" t="s">
        <v>396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215050001</v>
      </c>
      <c r="AQ519" s="10" t="s">
        <v>483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365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IFERROR(OFFSET(ITEM_RES!$A$5,MATCH(BUILDING!T520,ITEM_RES!$J$5:$J$231,0)-1,0),0)</f>
        <v>0</v>
      </c>
      <c r="X520" s="9">
        <f ca="1">IFERROR(OFFSET(ITEM_RES!$A$5,MATCH(BUILDING!W520,ITEM_RES!$J$5:$J$231,0)-1,0),0)</f>
        <v>0</v>
      </c>
      <c r="Z520" s="9" t="s">
        <v>396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215050001</v>
      </c>
      <c r="AQ520" s="10" t="s">
        <v>483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365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IFERROR(OFFSET(ITEM_RES!$A$5,MATCH(BUILDING!T521,ITEM_RES!$J$5:$J$231,0)-1,0),0)</f>
        <v>0</v>
      </c>
      <c r="X521" s="9">
        <f ca="1">IFERROR(OFFSET(ITEM_RES!$A$5,MATCH(BUILDING!W521,ITEM_RES!$J$5:$J$231,0)-1,0),0)</f>
        <v>0</v>
      </c>
      <c r="Z521" s="9" t="s">
        <v>396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215050001</v>
      </c>
      <c r="AQ521" s="10" t="s">
        <v>483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365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IFERROR(OFFSET(ITEM_RES!$A$5,MATCH(BUILDING!T522,ITEM_RES!$J$5:$J$231,0)-1,0),0)</f>
        <v>0</v>
      </c>
      <c r="X522" s="9">
        <f ca="1">IFERROR(OFFSET(ITEM_RES!$A$5,MATCH(BUILDING!W522,ITEM_RES!$J$5:$J$231,0)-1,0),0)</f>
        <v>0</v>
      </c>
      <c r="Z522" s="9" t="s">
        <v>396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215050001</v>
      </c>
      <c r="AQ522" s="10" t="s">
        <v>483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365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IFERROR(OFFSET(ITEM_RES!$A$5,MATCH(BUILDING!T523,ITEM_RES!$J$5:$J$231,0)-1,0),0)</f>
        <v>0</v>
      </c>
      <c r="X523" s="9">
        <f ca="1">IFERROR(OFFSET(ITEM_RES!$A$5,MATCH(BUILDING!W523,ITEM_RES!$J$5:$J$231,0)-1,0),0)</f>
        <v>0</v>
      </c>
      <c r="Z523" s="9" t="s">
        <v>396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215050001</v>
      </c>
      <c r="AQ523" s="10" t="s">
        <v>483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365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IFERROR(OFFSET(ITEM_RES!$A$5,MATCH(BUILDING!T524,ITEM_RES!$J$5:$J$231,0)-1,0),0)</f>
        <v>0</v>
      </c>
      <c r="X524" s="9">
        <f ca="1">IFERROR(OFFSET(ITEM_RES!$A$5,MATCH(BUILDING!W524,ITEM_RES!$J$5:$J$231,0)-1,0),0)</f>
        <v>0</v>
      </c>
      <c r="Z524" s="9" t="s">
        <v>396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215050001</v>
      </c>
      <c r="AQ524" s="10" t="s">
        <v>483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374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IFERROR(OFFSET(ITEM_RES!$A$5,MATCH(BUILDING!T525,ITEM_RES!$J$5:$J$231,0)-1,0),0)</f>
        <v>0</v>
      </c>
      <c r="V525" s="18"/>
      <c r="W525" s="88"/>
      <c r="X525" s="16">
        <f ca="1">IFERROR(OFFSET(ITEM_RES!$A$5,MATCH(BUILDING!W525,ITEM_RES!$J$5:$J$231,0)-1,0),0)</f>
        <v>0</v>
      </c>
      <c r="Y525" s="80"/>
      <c r="Z525" s="16" t="s">
        <v>398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212040001</v>
      </c>
      <c r="AQ525" s="17" t="s">
        <v>474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213010001</v>
      </c>
      <c r="BA525" s="17" t="s">
        <v>495</v>
      </c>
      <c r="BB525" s="18">
        <v>1</v>
      </c>
      <c r="BC525" s="17"/>
      <c r="BD525" s="18"/>
      <c r="BE525" s="18">
        <f ca="1">IFERROR(OFFSET(ITEM_RES!$A$1,MATCH(BF525,ITEM_RES!$J:$J,0)-1,0),0)</f>
        <v>213040001</v>
      </c>
      <c r="BF525" s="17" t="s">
        <v>518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374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IFERROR(OFFSET(ITEM_RES!$A$5,MATCH(BUILDING!T526,ITEM_RES!$J$5:$J$231,0)-1,0),0)</f>
        <v>0</v>
      </c>
      <c r="X526" s="9">
        <f ca="1">IFERROR(OFFSET(ITEM_RES!$A$5,MATCH(BUILDING!W526,ITEM_RES!$J$5:$J$231,0)-1,0),0)</f>
        <v>0</v>
      </c>
      <c r="Z526" s="9" t="s">
        <v>398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212040001</v>
      </c>
      <c r="AQ526" s="10" t="s">
        <v>474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374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IFERROR(OFFSET(ITEM_RES!$A$5,MATCH(BUILDING!T527,ITEM_RES!$J$5:$J$231,0)-1,0),0)</f>
        <v>0</v>
      </c>
      <c r="X527" s="9">
        <f ca="1">IFERROR(OFFSET(ITEM_RES!$A$5,MATCH(BUILDING!W527,ITEM_RES!$J$5:$J$231,0)-1,0),0)</f>
        <v>0</v>
      </c>
      <c r="Z527" s="9" t="s">
        <v>373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212040001</v>
      </c>
      <c r="AQ527" s="10" t="s">
        <v>474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373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IFERROR(OFFSET(ITEM_RES!$A$5,MATCH(BUILDING!T528,ITEM_RES!$J$5:$J$231,0)-1,0),0)</f>
        <v>0</v>
      </c>
      <c r="X528" s="9">
        <f ca="1">IFERROR(OFFSET(ITEM_RES!$A$5,MATCH(BUILDING!W528,ITEM_RES!$J$5:$J$231,0)-1,0),0)</f>
        <v>0</v>
      </c>
      <c r="Z528" s="9" t="s">
        <v>373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212040001</v>
      </c>
      <c r="AQ528" s="10" t="s">
        <v>474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373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IFERROR(OFFSET(ITEM_RES!$A$5,MATCH(BUILDING!T529,ITEM_RES!$J$5:$J$231,0)-1,0),0)</f>
        <v>0</v>
      </c>
      <c r="X529" s="9">
        <f ca="1">IFERROR(OFFSET(ITEM_RES!$A$5,MATCH(BUILDING!W529,ITEM_RES!$J$5:$J$231,0)-1,0),0)</f>
        <v>0</v>
      </c>
      <c r="Z529" s="9" t="s">
        <v>373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212040001</v>
      </c>
      <c r="AQ529" s="10" t="s">
        <v>474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373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IFERROR(OFFSET(ITEM_RES!$A$5,MATCH(BUILDING!T530,ITEM_RES!$J$5:$J$231,0)-1,0),0)</f>
        <v>0</v>
      </c>
      <c r="X530" s="9">
        <f ca="1">IFERROR(OFFSET(ITEM_RES!$A$5,MATCH(BUILDING!W530,ITEM_RES!$J$5:$J$231,0)-1,0),0)</f>
        <v>0</v>
      </c>
      <c r="Z530" s="9" t="s">
        <v>373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212040001</v>
      </c>
      <c r="AQ530" s="10" t="s">
        <v>474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373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IFERROR(OFFSET(ITEM_RES!$A$5,MATCH(BUILDING!T531,ITEM_RES!$J$5:$J$231,0)-1,0),0)</f>
        <v>0</v>
      </c>
      <c r="X531" s="9">
        <f ca="1">IFERROR(OFFSET(ITEM_RES!$A$5,MATCH(BUILDING!W531,ITEM_RES!$J$5:$J$231,0)-1,0),0)</f>
        <v>0</v>
      </c>
      <c r="Z531" s="9" t="s">
        <v>373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212040001</v>
      </c>
      <c r="AQ531" s="10" t="s">
        <v>474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373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IFERROR(OFFSET(ITEM_RES!$A$5,MATCH(BUILDING!T532,ITEM_RES!$J$5:$J$231,0)-1,0),0)</f>
        <v>0</v>
      </c>
      <c r="X532" s="9">
        <f ca="1">IFERROR(OFFSET(ITEM_RES!$A$5,MATCH(BUILDING!W532,ITEM_RES!$J$5:$J$231,0)-1,0),0)</f>
        <v>0</v>
      </c>
      <c r="Z532" s="9" t="s">
        <v>373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212040001</v>
      </c>
      <c r="AQ532" s="10" t="s">
        <v>474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373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IFERROR(OFFSET(ITEM_RES!$A$5,MATCH(BUILDING!T533,ITEM_RES!$J$5:$J$231,0)-1,0),0)</f>
        <v>0</v>
      </c>
      <c r="X533" s="9">
        <f ca="1">IFERROR(OFFSET(ITEM_RES!$A$5,MATCH(BUILDING!W533,ITEM_RES!$J$5:$J$231,0)-1,0),0)</f>
        <v>0</v>
      </c>
      <c r="Z533" s="9" t="s">
        <v>373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212040001</v>
      </c>
      <c r="AQ533" s="10" t="s">
        <v>474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373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IFERROR(OFFSET(ITEM_RES!$A$5,MATCH(BUILDING!T534,ITEM_RES!$J$5:$J$231,0)-1,0),0)</f>
        <v>0</v>
      </c>
      <c r="X534" s="9">
        <f ca="1">IFERROR(OFFSET(ITEM_RES!$A$5,MATCH(BUILDING!W534,ITEM_RES!$J$5:$J$231,0)-1,0),0)</f>
        <v>0</v>
      </c>
      <c r="Z534" s="9" t="s">
        <v>373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212040001</v>
      </c>
      <c r="AQ534" s="10" t="s">
        <v>474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373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IFERROR(OFFSET(ITEM_RES!$A$5,MATCH(BUILDING!T535,ITEM_RES!$J$5:$J$231,0)-1,0),0)</f>
        <v>0</v>
      </c>
      <c r="X535" s="9">
        <f ca="1">IFERROR(OFFSET(ITEM_RES!$A$5,MATCH(BUILDING!W535,ITEM_RES!$J$5:$J$231,0)-1,0),0)</f>
        <v>0</v>
      </c>
      <c r="Z535" s="9" t="s">
        <v>373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212040001</v>
      </c>
      <c r="AQ535" s="10" t="s">
        <v>474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373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IFERROR(OFFSET(ITEM_RES!$A$5,MATCH(BUILDING!T536,ITEM_RES!$J$5:$J$231,0)-1,0),0)</f>
        <v>0</v>
      </c>
      <c r="X536" s="9">
        <f ca="1">IFERROR(OFFSET(ITEM_RES!$A$5,MATCH(BUILDING!W536,ITEM_RES!$J$5:$J$231,0)-1,0),0)</f>
        <v>0</v>
      </c>
      <c r="Z536" s="9" t="s">
        <v>373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212040001</v>
      </c>
      <c r="AQ536" s="10" t="s">
        <v>474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213170001</v>
      </c>
      <c r="BF536" s="10" t="s">
        <v>522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373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IFERROR(OFFSET(ITEM_RES!$A$5,MATCH(BUILDING!T537,ITEM_RES!$J$5:$J$231,0)-1,0),0)</f>
        <v>0</v>
      </c>
      <c r="X537" s="9">
        <f ca="1">IFERROR(OFFSET(ITEM_RES!$A$5,MATCH(BUILDING!W537,ITEM_RES!$J$5:$J$231,0)-1,0),0)</f>
        <v>0</v>
      </c>
      <c r="Z537" s="9" t="s">
        <v>373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215050001</v>
      </c>
      <c r="AQ537" s="10" t="s">
        <v>484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373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IFERROR(OFFSET(ITEM_RES!$A$5,MATCH(BUILDING!T538,ITEM_RES!$J$5:$J$231,0)-1,0),0)</f>
        <v>0</v>
      </c>
      <c r="X538" s="9">
        <f ca="1">IFERROR(OFFSET(ITEM_RES!$A$5,MATCH(BUILDING!W538,ITEM_RES!$J$5:$J$231,0)-1,0),0)</f>
        <v>0</v>
      </c>
      <c r="Z538" s="9" t="s">
        <v>373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215050001</v>
      </c>
      <c r="AQ538" s="10" t="s">
        <v>484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373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IFERROR(OFFSET(ITEM_RES!$A$5,MATCH(BUILDING!T539,ITEM_RES!$J$5:$J$231,0)-1,0),0)</f>
        <v>0</v>
      </c>
      <c r="X539" s="9">
        <f ca="1">IFERROR(OFFSET(ITEM_RES!$A$5,MATCH(BUILDING!W539,ITEM_RES!$J$5:$J$231,0)-1,0),0)</f>
        <v>0</v>
      </c>
      <c r="Z539" s="9" t="s">
        <v>373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215050001</v>
      </c>
      <c r="AQ539" s="10" t="s">
        <v>484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373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IFERROR(OFFSET(ITEM_RES!$A$5,MATCH(BUILDING!T540,ITEM_RES!$J$5:$J$231,0)-1,0),0)</f>
        <v>0</v>
      </c>
      <c r="X540" s="9">
        <f ca="1">IFERROR(OFFSET(ITEM_RES!$A$5,MATCH(BUILDING!W540,ITEM_RES!$J$5:$J$231,0)-1,0),0)</f>
        <v>0</v>
      </c>
      <c r="Z540" s="9" t="s">
        <v>373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215050001</v>
      </c>
      <c r="AQ540" s="10" t="s">
        <v>484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373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IFERROR(OFFSET(ITEM_RES!$A$5,MATCH(BUILDING!T541,ITEM_RES!$J$5:$J$231,0)-1,0),0)</f>
        <v>0</v>
      </c>
      <c r="X541" s="9">
        <f ca="1">IFERROR(OFFSET(ITEM_RES!$A$5,MATCH(BUILDING!W541,ITEM_RES!$J$5:$J$231,0)-1,0),0)</f>
        <v>0</v>
      </c>
      <c r="Z541" s="9" t="s">
        <v>373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215050001</v>
      </c>
      <c r="AQ541" s="10" t="s">
        <v>484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373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IFERROR(OFFSET(ITEM_RES!$A$5,MATCH(BUILDING!T542,ITEM_RES!$J$5:$J$231,0)-1,0),0)</f>
        <v>0</v>
      </c>
      <c r="X542" s="9">
        <f ca="1">IFERROR(OFFSET(ITEM_RES!$A$5,MATCH(BUILDING!W542,ITEM_RES!$J$5:$J$231,0)-1,0),0)</f>
        <v>0</v>
      </c>
      <c r="Z542" s="9" t="s">
        <v>373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215050001</v>
      </c>
      <c r="AQ542" s="10" t="s">
        <v>484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373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IFERROR(OFFSET(ITEM_RES!$A$5,MATCH(BUILDING!T543,ITEM_RES!$J$5:$J$231,0)-1,0),0)</f>
        <v>0</v>
      </c>
      <c r="X543" s="9">
        <f ca="1">IFERROR(OFFSET(ITEM_RES!$A$5,MATCH(BUILDING!W543,ITEM_RES!$J$5:$J$231,0)-1,0),0)</f>
        <v>0</v>
      </c>
      <c r="Z543" s="9" t="s">
        <v>373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215050001</v>
      </c>
      <c r="AQ543" s="10" t="s">
        <v>484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373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IFERROR(OFFSET(ITEM_RES!$A$5,MATCH(BUILDING!T544,ITEM_RES!$J$5:$J$231,0)-1,0),0)</f>
        <v>0</v>
      </c>
      <c r="X544" s="9">
        <f ca="1">IFERROR(OFFSET(ITEM_RES!$A$5,MATCH(BUILDING!W544,ITEM_RES!$J$5:$J$231,0)-1,0),0)</f>
        <v>0</v>
      </c>
      <c r="Z544" s="9" t="s">
        <v>373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215050001</v>
      </c>
      <c r="AQ544" s="10" t="s">
        <v>484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401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IFERROR(OFFSET(ITEM_RES!$A$5,MATCH(BUILDING!T545,ITEM_RES!$J$5:$J$231,0)-1,0),0)</f>
        <v>0</v>
      </c>
      <c r="V545" s="18"/>
      <c r="W545" s="88"/>
      <c r="X545" s="16">
        <f ca="1">IFERROR(OFFSET(ITEM_RES!$A$5,MATCH(BUILDING!W545,ITEM_RES!$J$5:$J$231,0)-1,0),0)</f>
        <v>0</v>
      </c>
      <c r="Y545" s="80"/>
      <c r="Z545" s="16" t="s">
        <v>401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212040001</v>
      </c>
      <c r="AQ545" s="17" t="s">
        <v>468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213010001</v>
      </c>
      <c r="BA545" s="17" t="s">
        <v>495</v>
      </c>
      <c r="BB545" s="18">
        <v>1</v>
      </c>
      <c r="BC545" s="17"/>
      <c r="BD545" s="18"/>
      <c r="BE545" s="18">
        <f ca="1">IFERROR(OFFSET(ITEM_RES!$A$1,MATCH(BF545,ITEM_RES!$J:$J,0)-1,0),0)</f>
        <v>213030001</v>
      </c>
      <c r="BF545" s="17" t="s">
        <v>519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401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IFERROR(OFFSET(ITEM_RES!$A$5,MATCH(BUILDING!T546,ITEM_RES!$J$5:$J$231,0)-1,0),0)</f>
        <v>0</v>
      </c>
      <c r="X546" s="9">
        <f ca="1">IFERROR(OFFSET(ITEM_RES!$A$5,MATCH(BUILDING!W546,ITEM_RES!$J$5:$J$231,0)-1,0),0)</f>
        <v>0</v>
      </c>
      <c r="Z546" s="9" t="s">
        <v>401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212040001</v>
      </c>
      <c r="AQ546" s="10" t="s">
        <v>468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400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IFERROR(OFFSET(ITEM_RES!$A$5,MATCH(BUILDING!T547,ITEM_RES!$J$5:$J$231,0)-1,0),0)</f>
        <v>0</v>
      </c>
      <c r="X547" s="9">
        <f ca="1">IFERROR(OFFSET(ITEM_RES!$A$5,MATCH(BUILDING!W547,ITEM_RES!$J$5:$J$231,0)-1,0),0)</f>
        <v>0</v>
      </c>
      <c r="Z547" s="9" t="s">
        <v>400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212040001</v>
      </c>
      <c r="AQ547" s="10" t="s">
        <v>468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400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IFERROR(OFFSET(ITEM_RES!$A$5,MATCH(BUILDING!T548,ITEM_RES!$J$5:$J$231,0)-1,0),0)</f>
        <v>0</v>
      </c>
      <c r="X548" s="9">
        <f ca="1">IFERROR(OFFSET(ITEM_RES!$A$5,MATCH(BUILDING!W548,ITEM_RES!$J$5:$J$231,0)-1,0),0)</f>
        <v>0</v>
      </c>
      <c r="Z548" s="9" t="s">
        <v>400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212040001</v>
      </c>
      <c r="AQ548" s="10" t="s">
        <v>468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400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IFERROR(OFFSET(ITEM_RES!$A$5,MATCH(BUILDING!T549,ITEM_RES!$J$5:$J$231,0)-1,0),0)</f>
        <v>0</v>
      </c>
      <c r="X549" s="9">
        <f ca="1">IFERROR(OFFSET(ITEM_RES!$A$5,MATCH(BUILDING!W549,ITEM_RES!$J$5:$J$231,0)-1,0),0)</f>
        <v>0</v>
      </c>
      <c r="Z549" s="9" t="s">
        <v>400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212040001</v>
      </c>
      <c r="AQ549" s="10" t="s">
        <v>468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400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IFERROR(OFFSET(ITEM_RES!$A$5,MATCH(BUILDING!T550,ITEM_RES!$J$5:$J$231,0)-1,0),0)</f>
        <v>0</v>
      </c>
      <c r="X550" s="9">
        <f ca="1">IFERROR(OFFSET(ITEM_RES!$A$5,MATCH(BUILDING!W550,ITEM_RES!$J$5:$J$231,0)-1,0),0)</f>
        <v>0</v>
      </c>
      <c r="Z550" s="9" t="s">
        <v>400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212040001</v>
      </c>
      <c r="AQ550" s="10" t="s">
        <v>468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213190001</v>
      </c>
      <c r="BF550" s="10" t="s">
        <v>525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400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IFERROR(OFFSET(ITEM_RES!$A$5,MATCH(BUILDING!T551,ITEM_RES!$J$5:$J$231,0)-1,0),0)</f>
        <v>0</v>
      </c>
      <c r="X551" s="9">
        <f ca="1">IFERROR(OFFSET(ITEM_RES!$A$5,MATCH(BUILDING!W551,ITEM_RES!$J$5:$J$231,0)-1,0),0)</f>
        <v>0</v>
      </c>
      <c r="Z551" s="9" t="s">
        <v>400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212040001</v>
      </c>
      <c r="AQ551" s="10" t="s">
        <v>468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400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IFERROR(OFFSET(ITEM_RES!$A$5,MATCH(BUILDING!T552,ITEM_RES!$J$5:$J$231,0)-1,0),0)</f>
        <v>0</v>
      </c>
      <c r="X552" s="9">
        <f ca="1">IFERROR(OFFSET(ITEM_RES!$A$5,MATCH(BUILDING!W552,ITEM_RES!$J$5:$J$231,0)-1,0),0)</f>
        <v>0</v>
      </c>
      <c r="Z552" s="9" t="s">
        <v>400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212040001</v>
      </c>
      <c r="AQ552" s="10" t="s">
        <v>468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400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IFERROR(OFFSET(ITEM_RES!$A$5,MATCH(BUILDING!T553,ITEM_RES!$J$5:$J$231,0)-1,0),0)</f>
        <v>0</v>
      </c>
      <c r="X553" s="9">
        <f ca="1">IFERROR(OFFSET(ITEM_RES!$A$5,MATCH(BUILDING!W553,ITEM_RES!$J$5:$J$231,0)-1,0),0)</f>
        <v>0</v>
      </c>
      <c r="Z553" s="9" t="s">
        <v>400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212040001</v>
      </c>
      <c r="AQ553" s="10" t="s">
        <v>468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400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IFERROR(OFFSET(ITEM_RES!$A$5,MATCH(BUILDING!T554,ITEM_RES!$J$5:$J$231,0)-1,0),0)</f>
        <v>0</v>
      </c>
      <c r="X554" s="9">
        <f ca="1">IFERROR(OFFSET(ITEM_RES!$A$5,MATCH(BUILDING!W554,ITEM_RES!$J$5:$J$231,0)-1,0),0)</f>
        <v>0</v>
      </c>
      <c r="Z554" s="9" t="s">
        <v>400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212040001</v>
      </c>
      <c r="AQ554" s="10" t="s">
        <v>468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400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IFERROR(OFFSET(ITEM_RES!$A$5,MATCH(BUILDING!T555,ITEM_RES!$J$5:$J$231,0)-1,0),0)</f>
        <v>0</v>
      </c>
      <c r="X555" s="9">
        <f ca="1">IFERROR(OFFSET(ITEM_RES!$A$5,MATCH(BUILDING!W555,ITEM_RES!$J$5:$J$231,0)-1,0),0)</f>
        <v>0</v>
      </c>
      <c r="Z555" s="9" t="s">
        <v>400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212040001</v>
      </c>
      <c r="AQ555" s="10" t="s">
        <v>468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400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IFERROR(OFFSET(ITEM_RES!$A$5,MATCH(BUILDING!T556,ITEM_RES!$J$5:$J$231,0)-1,0),0)</f>
        <v>0</v>
      </c>
      <c r="X556" s="9">
        <f ca="1">IFERROR(OFFSET(ITEM_RES!$A$5,MATCH(BUILDING!W556,ITEM_RES!$J$5:$J$231,0)-1,0),0)</f>
        <v>0</v>
      </c>
      <c r="Z556" s="9" t="s">
        <v>400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212040001</v>
      </c>
      <c r="AQ556" s="10" t="s">
        <v>468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400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IFERROR(OFFSET(ITEM_RES!$A$5,MATCH(BUILDING!T557,ITEM_RES!$J$5:$J$231,0)-1,0),0)</f>
        <v>0</v>
      </c>
      <c r="X557" s="9">
        <f ca="1">IFERROR(OFFSET(ITEM_RES!$A$5,MATCH(BUILDING!W557,ITEM_RES!$J$5:$J$231,0)-1,0),0)</f>
        <v>0</v>
      </c>
      <c r="Z557" s="9" t="s">
        <v>400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212040001</v>
      </c>
      <c r="AQ557" s="10" t="s">
        <v>468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400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IFERROR(OFFSET(ITEM_RES!$A$5,MATCH(BUILDING!T558,ITEM_RES!$J$5:$J$231,0)-1,0),0)</f>
        <v>0</v>
      </c>
      <c r="X558" s="9">
        <f ca="1">IFERROR(OFFSET(ITEM_RES!$A$5,MATCH(BUILDING!W558,ITEM_RES!$J$5:$J$231,0)-1,0),0)</f>
        <v>0</v>
      </c>
      <c r="Z558" s="9" t="s">
        <v>400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212040001</v>
      </c>
      <c r="AQ558" s="10" t="s">
        <v>468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400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IFERROR(OFFSET(ITEM_RES!$A$5,MATCH(BUILDING!T559,ITEM_RES!$J$5:$J$231,0)-1,0),0)</f>
        <v>0</v>
      </c>
      <c r="X559" s="9">
        <f ca="1">IFERROR(OFFSET(ITEM_RES!$A$5,MATCH(BUILDING!W559,ITEM_RES!$J$5:$J$231,0)-1,0),0)</f>
        <v>0</v>
      </c>
      <c r="Z559" s="9" t="s">
        <v>400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215050001</v>
      </c>
      <c r="AQ559" s="10" t="s">
        <v>482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400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IFERROR(OFFSET(ITEM_RES!$A$5,MATCH(BUILDING!T560,ITEM_RES!$J$5:$J$231,0)-1,0),0)</f>
        <v>0</v>
      </c>
      <c r="X560" s="9">
        <f ca="1">IFERROR(OFFSET(ITEM_RES!$A$5,MATCH(BUILDING!W560,ITEM_RES!$J$5:$J$231,0)-1,0),0)</f>
        <v>0</v>
      </c>
      <c r="Z560" s="9" t="s">
        <v>400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215050001</v>
      </c>
      <c r="AQ560" s="10" t="s">
        <v>482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400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IFERROR(OFFSET(ITEM_RES!$A$5,MATCH(BUILDING!T561,ITEM_RES!$J$5:$J$231,0)-1,0),0)</f>
        <v>0</v>
      </c>
      <c r="X561" s="9">
        <f ca="1">IFERROR(OFFSET(ITEM_RES!$A$5,MATCH(BUILDING!W561,ITEM_RES!$J$5:$J$231,0)-1,0),0)</f>
        <v>0</v>
      </c>
      <c r="Z561" s="9" t="s">
        <v>400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215050001</v>
      </c>
      <c r="AQ561" s="10" t="s">
        <v>482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400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IFERROR(OFFSET(ITEM_RES!$A$5,MATCH(BUILDING!T562,ITEM_RES!$J$5:$J$231,0)-1,0),0)</f>
        <v>0</v>
      </c>
      <c r="X562" s="9">
        <f ca="1">IFERROR(OFFSET(ITEM_RES!$A$5,MATCH(BUILDING!W562,ITEM_RES!$J$5:$J$231,0)-1,0),0)</f>
        <v>0</v>
      </c>
      <c r="Z562" s="9" t="s">
        <v>400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215050001</v>
      </c>
      <c r="AQ562" s="10" t="s">
        <v>482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213190001</v>
      </c>
      <c r="BF562" s="10" t="s">
        <v>525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400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IFERROR(OFFSET(ITEM_RES!$A$5,MATCH(BUILDING!T563,ITEM_RES!$J$5:$J$231,0)-1,0),0)</f>
        <v>0</v>
      </c>
      <c r="X563" s="9">
        <f ca="1">IFERROR(OFFSET(ITEM_RES!$A$5,MATCH(BUILDING!W563,ITEM_RES!$J$5:$J$231,0)-1,0),0)</f>
        <v>0</v>
      </c>
      <c r="Z563" s="9" t="s">
        <v>400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215050001</v>
      </c>
      <c r="AQ563" s="10" t="s">
        <v>482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400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IFERROR(OFFSET(ITEM_RES!$A$5,MATCH(BUILDING!T564,ITEM_RES!$J$5:$J$231,0)-1,0),0)</f>
        <v>0</v>
      </c>
      <c r="X564" s="9">
        <f ca="1">IFERROR(OFFSET(ITEM_RES!$A$5,MATCH(BUILDING!W564,ITEM_RES!$J$5:$J$231,0)-1,0),0)</f>
        <v>0</v>
      </c>
      <c r="Z564" s="9" t="s">
        <v>400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215050001</v>
      </c>
      <c r="AQ564" s="10" t="s">
        <v>482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388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IFERROR(OFFSET(ITEM_RES!$A$5,MATCH(BUILDING!T565,ITEM_RES!$J$5:$J$231,0)-1,0),0)</f>
        <v>0</v>
      </c>
      <c r="V565" s="18"/>
      <c r="W565" s="88"/>
      <c r="X565" s="16">
        <f ca="1">IFERROR(OFFSET(ITEM_RES!$A$5,MATCH(BUILDING!W565,ITEM_RES!$J$5:$J$231,0)-1,0),0)</f>
        <v>0</v>
      </c>
      <c r="Y565" s="80"/>
      <c r="Z565" s="16" t="s">
        <v>402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212040001</v>
      </c>
      <c r="AQ565" s="17" t="s">
        <v>468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213010001</v>
      </c>
      <c r="BA565" s="17" t="s">
        <v>495</v>
      </c>
      <c r="BB565" s="18">
        <v>1</v>
      </c>
      <c r="BC565" s="17"/>
      <c r="BD565" s="18"/>
      <c r="BE565" s="18">
        <f ca="1">IFERROR(OFFSET(ITEM_RES!$A$1,MATCH(BF565,ITEM_RES!$J:$J,0)-1,0),0)</f>
        <v>213030001</v>
      </c>
      <c r="BF565" s="17" t="s">
        <v>519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388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IFERROR(OFFSET(ITEM_RES!$A$5,MATCH(BUILDING!T566,ITEM_RES!$J$5:$J$231,0)-1,0),0)</f>
        <v>0</v>
      </c>
      <c r="X566" s="9">
        <f ca="1">IFERROR(OFFSET(ITEM_RES!$A$5,MATCH(BUILDING!W566,ITEM_RES!$J$5:$J$231,0)-1,0),0)</f>
        <v>0</v>
      </c>
      <c r="Z566" s="9" t="s">
        <v>402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212040001</v>
      </c>
      <c r="AQ566" s="10" t="s">
        <v>468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388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IFERROR(OFFSET(ITEM_RES!$A$5,MATCH(BUILDING!T567,ITEM_RES!$J$5:$J$231,0)-1,0),0)</f>
        <v>0</v>
      </c>
      <c r="X567" s="9">
        <f ca="1">IFERROR(OFFSET(ITEM_RES!$A$5,MATCH(BUILDING!W567,ITEM_RES!$J$5:$J$231,0)-1,0),0)</f>
        <v>0</v>
      </c>
      <c r="Z567" s="9" t="s">
        <v>402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212040001</v>
      </c>
      <c r="AQ567" s="10" t="s">
        <v>468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388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IFERROR(OFFSET(ITEM_RES!$A$5,MATCH(BUILDING!T568,ITEM_RES!$J$5:$J$231,0)-1,0),0)</f>
        <v>0</v>
      </c>
      <c r="X568" s="9">
        <f ca="1">IFERROR(OFFSET(ITEM_RES!$A$5,MATCH(BUILDING!W568,ITEM_RES!$J$5:$J$231,0)-1,0),0)</f>
        <v>0</v>
      </c>
      <c r="Z568" s="9" t="s">
        <v>402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212040001</v>
      </c>
      <c r="AQ568" s="10" t="s">
        <v>468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388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IFERROR(OFFSET(ITEM_RES!$A$5,MATCH(BUILDING!T569,ITEM_RES!$J$5:$J$231,0)-1,0),0)</f>
        <v>0</v>
      </c>
      <c r="X569" s="9">
        <f ca="1">IFERROR(OFFSET(ITEM_RES!$A$5,MATCH(BUILDING!W569,ITEM_RES!$J$5:$J$231,0)-1,0),0)</f>
        <v>0</v>
      </c>
      <c r="Z569" s="9" t="s">
        <v>402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212040001</v>
      </c>
      <c r="AQ569" s="10" t="s">
        <v>468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388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IFERROR(OFFSET(ITEM_RES!$A$5,MATCH(BUILDING!T570,ITEM_RES!$J$5:$J$231,0)-1,0),0)</f>
        <v>0</v>
      </c>
      <c r="X570" s="9">
        <f ca="1">IFERROR(OFFSET(ITEM_RES!$A$5,MATCH(BUILDING!W570,ITEM_RES!$J$5:$J$231,0)-1,0),0)</f>
        <v>0</v>
      </c>
      <c r="Z570" s="9" t="s">
        <v>402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212040001</v>
      </c>
      <c r="AQ570" s="10" t="s">
        <v>468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388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IFERROR(OFFSET(ITEM_RES!$A$5,MATCH(BUILDING!T571,ITEM_RES!$J$5:$J$231,0)-1,0),0)</f>
        <v>0</v>
      </c>
      <c r="X571" s="9">
        <f ca="1">IFERROR(OFFSET(ITEM_RES!$A$5,MATCH(BUILDING!W571,ITEM_RES!$J$5:$J$231,0)-1,0),0)</f>
        <v>0</v>
      </c>
      <c r="Z571" s="9" t="s">
        <v>402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212040001</v>
      </c>
      <c r="AQ571" s="10" t="s">
        <v>468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388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IFERROR(OFFSET(ITEM_RES!$A$5,MATCH(BUILDING!T572,ITEM_RES!$J$5:$J$231,0)-1,0),0)</f>
        <v>0</v>
      </c>
      <c r="X572" s="9">
        <f ca="1">IFERROR(OFFSET(ITEM_RES!$A$5,MATCH(BUILDING!W572,ITEM_RES!$J$5:$J$231,0)-1,0),0)</f>
        <v>0</v>
      </c>
      <c r="Z572" s="9" t="s">
        <v>402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212040001</v>
      </c>
      <c r="AQ572" s="10" t="s">
        <v>468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388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IFERROR(OFFSET(ITEM_RES!$A$5,MATCH(BUILDING!T573,ITEM_RES!$J$5:$J$231,0)-1,0),0)</f>
        <v>0</v>
      </c>
      <c r="X573" s="9">
        <f ca="1">IFERROR(OFFSET(ITEM_RES!$A$5,MATCH(BUILDING!W573,ITEM_RES!$J$5:$J$231,0)-1,0),0)</f>
        <v>0</v>
      </c>
      <c r="Z573" s="9" t="s">
        <v>402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212040001</v>
      </c>
      <c r="AQ573" s="10" t="s">
        <v>468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388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IFERROR(OFFSET(ITEM_RES!$A$5,MATCH(BUILDING!T574,ITEM_RES!$J$5:$J$231,0)-1,0),0)</f>
        <v>0</v>
      </c>
      <c r="X574" s="9">
        <f ca="1">IFERROR(OFFSET(ITEM_RES!$A$5,MATCH(BUILDING!W574,ITEM_RES!$J$5:$J$231,0)-1,0),0)</f>
        <v>0</v>
      </c>
      <c r="Z574" s="9" t="s">
        <v>402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212040001</v>
      </c>
      <c r="AQ574" s="10" t="s">
        <v>468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388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IFERROR(OFFSET(ITEM_RES!$A$5,MATCH(BUILDING!T575,ITEM_RES!$J$5:$J$231,0)-1,0),0)</f>
        <v>0</v>
      </c>
      <c r="X575" s="9">
        <f ca="1">IFERROR(OFFSET(ITEM_RES!$A$5,MATCH(BUILDING!W575,ITEM_RES!$J$5:$J$231,0)-1,0),0)</f>
        <v>0</v>
      </c>
      <c r="Z575" s="9" t="s">
        <v>402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212040001</v>
      </c>
      <c r="AQ575" s="10" t="s">
        <v>468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388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IFERROR(OFFSET(ITEM_RES!$A$5,MATCH(BUILDING!T576,ITEM_RES!$J$5:$J$231,0)-1,0),0)</f>
        <v>0</v>
      </c>
      <c r="X576" s="9">
        <f ca="1">IFERROR(OFFSET(ITEM_RES!$A$5,MATCH(BUILDING!W576,ITEM_RES!$J$5:$J$231,0)-1,0),0)</f>
        <v>0</v>
      </c>
      <c r="Z576" s="9" t="s">
        <v>402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212040001</v>
      </c>
      <c r="AQ576" s="10" t="s">
        <v>468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388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IFERROR(OFFSET(ITEM_RES!$A$5,MATCH(BUILDING!T577,ITEM_RES!$J$5:$J$231,0)-1,0),0)</f>
        <v>0</v>
      </c>
      <c r="X577" s="9">
        <f ca="1">IFERROR(OFFSET(ITEM_RES!$A$5,MATCH(BUILDING!W577,ITEM_RES!$J$5:$J$231,0)-1,0),0)</f>
        <v>0</v>
      </c>
      <c r="Z577" s="9" t="s">
        <v>402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212040001</v>
      </c>
      <c r="AQ577" s="10" t="s">
        <v>468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388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IFERROR(OFFSET(ITEM_RES!$A$5,MATCH(BUILDING!T578,ITEM_RES!$J$5:$J$231,0)-1,0),0)</f>
        <v>0</v>
      </c>
      <c r="X578" s="9">
        <f ca="1">IFERROR(OFFSET(ITEM_RES!$A$5,MATCH(BUILDING!W578,ITEM_RES!$J$5:$J$231,0)-1,0),0)</f>
        <v>0</v>
      </c>
      <c r="Z578" s="9" t="s">
        <v>402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215050001</v>
      </c>
      <c r="AQ578" s="10" t="s">
        <v>487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388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IFERROR(OFFSET(ITEM_RES!$A$5,MATCH(BUILDING!T579,ITEM_RES!$J$5:$J$231,0)-1,0),0)</f>
        <v>0</v>
      </c>
      <c r="X579" s="9">
        <f ca="1">IFERROR(OFFSET(ITEM_RES!$A$5,MATCH(BUILDING!W579,ITEM_RES!$J$5:$J$231,0)-1,0),0)</f>
        <v>0</v>
      </c>
      <c r="Z579" s="9" t="s">
        <v>402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215050001</v>
      </c>
      <c r="AQ579" s="10" t="s">
        <v>482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388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IFERROR(OFFSET(ITEM_RES!$A$5,MATCH(BUILDING!T580,ITEM_RES!$J$5:$J$231,0)-1,0),0)</f>
        <v>0</v>
      </c>
      <c r="X580" s="9">
        <f ca="1">IFERROR(OFFSET(ITEM_RES!$A$5,MATCH(BUILDING!W580,ITEM_RES!$J$5:$J$231,0)-1,0),0)</f>
        <v>0</v>
      </c>
      <c r="Z580" s="9" t="s">
        <v>402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215050001</v>
      </c>
      <c r="AQ580" s="10" t="s">
        <v>482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388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IFERROR(OFFSET(ITEM_RES!$A$5,MATCH(BUILDING!T581,ITEM_RES!$J$5:$J$231,0)-1,0),0)</f>
        <v>0</v>
      </c>
      <c r="X581" s="9">
        <f ca="1">IFERROR(OFFSET(ITEM_RES!$A$5,MATCH(BUILDING!W581,ITEM_RES!$J$5:$J$231,0)-1,0),0)</f>
        <v>0</v>
      </c>
      <c r="Z581" s="9" t="s">
        <v>402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215050001</v>
      </c>
      <c r="AQ581" s="10" t="s">
        <v>482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388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IFERROR(OFFSET(ITEM_RES!$A$5,MATCH(BUILDING!T582,ITEM_RES!$J$5:$J$231,0)-1,0),0)</f>
        <v>0</v>
      </c>
      <c r="X582" s="9">
        <f ca="1">IFERROR(OFFSET(ITEM_RES!$A$5,MATCH(BUILDING!W582,ITEM_RES!$J$5:$J$231,0)-1,0),0)</f>
        <v>0</v>
      </c>
      <c r="Z582" s="9" t="s">
        <v>402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215050001</v>
      </c>
      <c r="AQ582" s="10" t="s">
        <v>482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388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IFERROR(OFFSET(ITEM_RES!$A$5,MATCH(BUILDING!T583,ITEM_RES!$J$5:$J$231,0)-1,0),0)</f>
        <v>0</v>
      </c>
      <c r="X583" s="9">
        <f ca="1">IFERROR(OFFSET(ITEM_RES!$A$5,MATCH(BUILDING!W583,ITEM_RES!$J$5:$J$231,0)-1,0),0)</f>
        <v>0</v>
      </c>
      <c r="Z583" s="9" t="s">
        <v>402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215050001</v>
      </c>
      <c r="AQ583" s="10" t="s">
        <v>482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388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IFERROR(OFFSET(ITEM_RES!$A$5,MATCH(BUILDING!T584,ITEM_RES!$J$5:$J$231,0)-1,0),0)</f>
        <v>0</v>
      </c>
      <c r="X584" s="9">
        <f ca="1">IFERROR(OFFSET(ITEM_RES!$A$5,MATCH(BUILDING!W584,ITEM_RES!$J$5:$J$231,0)-1,0),0)</f>
        <v>0</v>
      </c>
      <c r="Z584" s="9" t="s">
        <v>402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215050001</v>
      </c>
      <c r="AQ584" s="10" t="s">
        <v>482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389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IFERROR(OFFSET(ITEM_RES!$A$5,MATCH(BUILDING!T585,ITEM_RES!$J$5:$J$231,0)-1,0),0)</f>
        <v>0</v>
      </c>
      <c r="V585" s="18"/>
      <c r="W585" s="88"/>
      <c r="X585" s="16">
        <f ca="1">IFERROR(OFFSET(ITEM_RES!$A$5,MATCH(BUILDING!W585,ITEM_RES!$J$5:$J$231,0)-1,0),0)</f>
        <v>0</v>
      </c>
      <c r="Y585" s="80"/>
      <c r="Z585" s="16" t="s">
        <v>404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212040001</v>
      </c>
      <c r="AQ585" s="17" t="s">
        <v>468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213010001</v>
      </c>
      <c r="BA585" s="17" t="s">
        <v>495</v>
      </c>
      <c r="BB585" s="18">
        <v>1</v>
      </c>
      <c r="BC585" s="17"/>
      <c r="BD585" s="18"/>
      <c r="BE585" s="18">
        <f ca="1">IFERROR(OFFSET(ITEM_RES!$A$1,MATCH(BF585,ITEM_RES!$J:$J,0)-1,0),0)</f>
        <v>213030001</v>
      </c>
      <c r="BF585" s="17" t="s">
        <v>519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389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IFERROR(OFFSET(ITEM_RES!$A$5,MATCH(BUILDING!T586,ITEM_RES!$J$5:$J$231,0)-1,0),0)</f>
        <v>0</v>
      </c>
      <c r="X586" s="9">
        <f ca="1">IFERROR(OFFSET(ITEM_RES!$A$5,MATCH(BUILDING!W586,ITEM_RES!$J$5:$J$231,0)-1,0),0)</f>
        <v>0</v>
      </c>
      <c r="Z586" s="9" t="s">
        <v>404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212040001</v>
      </c>
      <c r="AQ586" s="10" t="s">
        <v>468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390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IFERROR(OFFSET(ITEM_RES!$A$5,MATCH(BUILDING!T587,ITEM_RES!$J$5:$J$231,0)-1,0),0)</f>
        <v>0</v>
      </c>
      <c r="X587" s="9">
        <f ca="1">IFERROR(OFFSET(ITEM_RES!$A$5,MATCH(BUILDING!W587,ITEM_RES!$J$5:$J$231,0)-1,0),0)</f>
        <v>0</v>
      </c>
      <c r="Z587" s="9" t="s">
        <v>403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212040001</v>
      </c>
      <c r="AQ587" s="10" t="s">
        <v>468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390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IFERROR(OFFSET(ITEM_RES!$A$5,MATCH(BUILDING!T588,ITEM_RES!$J$5:$J$231,0)-1,0),0)</f>
        <v>0</v>
      </c>
      <c r="X588" s="9">
        <f ca="1">IFERROR(OFFSET(ITEM_RES!$A$5,MATCH(BUILDING!W588,ITEM_RES!$J$5:$J$231,0)-1,0),0)</f>
        <v>0</v>
      </c>
      <c r="Z588" s="9" t="s">
        <v>403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212040001</v>
      </c>
      <c r="AQ588" s="10" t="s">
        <v>468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390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IFERROR(OFFSET(ITEM_RES!$A$5,MATCH(BUILDING!T589,ITEM_RES!$J$5:$J$231,0)-1,0),0)</f>
        <v>0</v>
      </c>
      <c r="X589" s="9">
        <f ca="1">IFERROR(OFFSET(ITEM_RES!$A$5,MATCH(BUILDING!W589,ITEM_RES!$J$5:$J$231,0)-1,0),0)</f>
        <v>0</v>
      </c>
      <c r="Z589" s="9" t="s">
        <v>403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212040001</v>
      </c>
      <c r="AQ589" s="10" t="s">
        <v>468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213180001</v>
      </c>
      <c r="BF589" s="10" t="s">
        <v>527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390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IFERROR(OFFSET(ITEM_RES!$A$5,MATCH(BUILDING!T590,ITEM_RES!$J$5:$J$231,0)-1,0),0)</f>
        <v>0</v>
      </c>
      <c r="X590" s="9">
        <f ca="1">IFERROR(OFFSET(ITEM_RES!$A$5,MATCH(BUILDING!W590,ITEM_RES!$J$5:$J$231,0)-1,0),0)</f>
        <v>0</v>
      </c>
      <c r="Z590" s="9" t="s">
        <v>403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212040001</v>
      </c>
      <c r="AQ590" s="10" t="s">
        <v>468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390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IFERROR(OFFSET(ITEM_RES!$A$5,MATCH(BUILDING!T591,ITEM_RES!$J$5:$J$231,0)-1,0),0)</f>
        <v>0</v>
      </c>
      <c r="X591" s="9">
        <f ca="1">IFERROR(OFFSET(ITEM_RES!$A$5,MATCH(BUILDING!W591,ITEM_RES!$J$5:$J$231,0)-1,0),0)</f>
        <v>0</v>
      </c>
      <c r="Z591" s="9" t="s">
        <v>403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212040001</v>
      </c>
      <c r="AQ591" s="10" t="s">
        <v>468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390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IFERROR(OFFSET(ITEM_RES!$A$5,MATCH(BUILDING!T592,ITEM_RES!$J$5:$J$231,0)-1,0),0)</f>
        <v>0</v>
      </c>
      <c r="X592" s="9">
        <f ca="1">IFERROR(OFFSET(ITEM_RES!$A$5,MATCH(BUILDING!W592,ITEM_RES!$J$5:$J$231,0)-1,0),0)</f>
        <v>0</v>
      </c>
      <c r="Z592" s="9" t="s">
        <v>403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212040001</v>
      </c>
      <c r="AQ592" s="10" t="s">
        <v>468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390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IFERROR(OFFSET(ITEM_RES!$A$5,MATCH(BUILDING!T593,ITEM_RES!$J$5:$J$231,0)-1,0),0)</f>
        <v>0</v>
      </c>
      <c r="X593" s="9">
        <f ca="1">IFERROR(OFFSET(ITEM_RES!$A$5,MATCH(BUILDING!W593,ITEM_RES!$J$5:$J$231,0)-1,0),0)</f>
        <v>0</v>
      </c>
      <c r="Z593" s="9" t="s">
        <v>403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212040001</v>
      </c>
      <c r="AQ593" s="10" t="s">
        <v>468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390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IFERROR(OFFSET(ITEM_RES!$A$5,MATCH(BUILDING!T594,ITEM_RES!$J$5:$J$231,0)-1,0),0)</f>
        <v>0</v>
      </c>
      <c r="X594" s="9">
        <f ca="1">IFERROR(OFFSET(ITEM_RES!$A$5,MATCH(BUILDING!W594,ITEM_RES!$J$5:$J$231,0)-1,0),0)</f>
        <v>0</v>
      </c>
      <c r="Z594" s="9" t="s">
        <v>403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212040001</v>
      </c>
      <c r="AQ594" s="10" t="s">
        <v>468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390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IFERROR(OFFSET(ITEM_RES!$A$5,MATCH(BUILDING!T595,ITEM_RES!$J$5:$J$231,0)-1,0),0)</f>
        <v>0</v>
      </c>
      <c r="X595" s="9">
        <f ca="1">IFERROR(OFFSET(ITEM_RES!$A$5,MATCH(BUILDING!W595,ITEM_RES!$J$5:$J$231,0)-1,0),0)</f>
        <v>0</v>
      </c>
      <c r="Z595" s="9" t="s">
        <v>403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212040001</v>
      </c>
      <c r="AQ595" s="10" t="s">
        <v>468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390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IFERROR(OFFSET(ITEM_RES!$A$5,MATCH(BUILDING!T596,ITEM_RES!$J$5:$J$231,0)-1,0),0)</f>
        <v>0</v>
      </c>
      <c r="X596" s="9">
        <f ca="1">IFERROR(OFFSET(ITEM_RES!$A$5,MATCH(BUILDING!W596,ITEM_RES!$J$5:$J$231,0)-1,0),0)</f>
        <v>0</v>
      </c>
      <c r="Z596" s="9" t="s">
        <v>403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212040001</v>
      </c>
      <c r="AQ596" s="10" t="s">
        <v>468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390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IFERROR(OFFSET(ITEM_RES!$A$5,MATCH(BUILDING!T597,ITEM_RES!$J$5:$J$231,0)-1,0),0)</f>
        <v>0</v>
      </c>
      <c r="X597" s="9">
        <f ca="1">IFERROR(OFFSET(ITEM_RES!$A$5,MATCH(BUILDING!W597,ITEM_RES!$J$5:$J$231,0)-1,0),0)</f>
        <v>0</v>
      </c>
      <c r="Z597" s="9" t="s">
        <v>403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215050001</v>
      </c>
      <c r="AQ597" s="10" t="s">
        <v>483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390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IFERROR(OFFSET(ITEM_RES!$A$5,MATCH(BUILDING!T598,ITEM_RES!$J$5:$J$231,0)-1,0),0)</f>
        <v>0</v>
      </c>
      <c r="X598" s="9">
        <f ca="1">IFERROR(OFFSET(ITEM_RES!$A$5,MATCH(BUILDING!W598,ITEM_RES!$J$5:$J$231,0)-1,0),0)</f>
        <v>0</v>
      </c>
      <c r="Z598" s="9" t="s">
        <v>403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215050001</v>
      </c>
      <c r="AQ598" s="10" t="s">
        <v>482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390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IFERROR(OFFSET(ITEM_RES!$A$5,MATCH(BUILDING!T599,ITEM_RES!$J$5:$J$231,0)-1,0),0)</f>
        <v>0</v>
      </c>
      <c r="X599" s="9">
        <f ca="1">IFERROR(OFFSET(ITEM_RES!$A$5,MATCH(BUILDING!W599,ITEM_RES!$J$5:$J$231,0)-1,0),0)</f>
        <v>0</v>
      </c>
      <c r="Z599" s="9" t="s">
        <v>403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215050001</v>
      </c>
      <c r="AQ599" s="10" t="s">
        <v>482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213180001</v>
      </c>
      <c r="BF599" s="10" t="s">
        <v>527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390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IFERROR(OFFSET(ITEM_RES!$A$5,MATCH(BUILDING!T600,ITEM_RES!$J$5:$J$231,0)-1,0),0)</f>
        <v>0</v>
      </c>
      <c r="X600" s="9">
        <f ca="1">IFERROR(OFFSET(ITEM_RES!$A$5,MATCH(BUILDING!W600,ITEM_RES!$J$5:$J$231,0)-1,0),0)</f>
        <v>0</v>
      </c>
      <c r="Z600" s="9" t="s">
        <v>403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215050001</v>
      </c>
      <c r="AQ600" s="10" t="s">
        <v>482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390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IFERROR(OFFSET(ITEM_RES!$A$5,MATCH(BUILDING!T601,ITEM_RES!$J$5:$J$231,0)-1,0),0)</f>
        <v>0</v>
      </c>
      <c r="X601" s="9">
        <f ca="1">IFERROR(OFFSET(ITEM_RES!$A$5,MATCH(BUILDING!W601,ITEM_RES!$J$5:$J$231,0)-1,0),0)</f>
        <v>0</v>
      </c>
      <c r="Z601" s="9" t="s">
        <v>403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215050001</v>
      </c>
      <c r="AQ601" s="10" t="s">
        <v>482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390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IFERROR(OFFSET(ITEM_RES!$A$5,MATCH(BUILDING!T602,ITEM_RES!$J$5:$J$231,0)-1,0),0)</f>
        <v>0</v>
      </c>
      <c r="X602" s="9">
        <f ca="1">IFERROR(OFFSET(ITEM_RES!$A$5,MATCH(BUILDING!W602,ITEM_RES!$J$5:$J$231,0)-1,0),0)</f>
        <v>0</v>
      </c>
      <c r="Z602" s="9" t="s">
        <v>403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215050001</v>
      </c>
      <c r="AQ602" s="10" t="s">
        <v>482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390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IFERROR(OFFSET(ITEM_RES!$A$5,MATCH(BUILDING!T603,ITEM_RES!$J$5:$J$231,0)-1,0),0)</f>
        <v>0</v>
      </c>
      <c r="X603" s="9">
        <f ca="1">IFERROR(OFFSET(ITEM_RES!$A$5,MATCH(BUILDING!W603,ITEM_RES!$J$5:$J$231,0)-1,0),0)</f>
        <v>0</v>
      </c>
      <c r="Z603" s="9" t="s">
        <v>403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215050001</v>
      </c>
      <c r="AQ603" s="10" t="s">
        <v>482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390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IFERROR(OFFSET(ITEM_RES!$A$5,MATCH(BUILDING!T604,ITEM_RES!$J$5:$J$231,0)-1,0),0)</f>
        <v>0</v>
      </c>
      <c r="X604" s="9">
        <f ca="1">IFERROR(OFFSET(ITEM_RES!$A$5,MATCH(BUILDING!W604,ITEM_RES!$J$5:$J$231,0)-1,0),0)</f>
        <v>0</v>
      </c>
      <c r="Z604" s="9" t="s">
        <v>403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215050001</v>
      </c>
      <c r="AQ604" s="10" t="s">
        <v>482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213180001</v>
      </c>
      <c r="BF604" s="10" t="s">
        <v>527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10"/>
  <sheetViews>
    <sheetView topLeftCell="M1" zoomScale="90" zoomScaleNormal="90" workbookViewId="0">
      <selection activeCell="J22" sqref="J22:J3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453</v>
      </c>
      <c r="T3" s="71"/>
      <c r="U3" s="89" t="s">
        <v>358</v>
      </c>
      <c r="V3" s="71"/>
      <c r="W3" s="56" t="s">
        <v>536</v>
      </c>
      <c r="X3" s="56" t="s">
        <v>537</v>
      </c>
      <c r="Y3" s="56" t="s">
        <v>538</v>
      </c>
      <c r="Z3" s="60" t="s">
        <v>539</v>
      </c>
      <c r="AA3" s="71"/>
      <c r="AB3" s="56" t="s">
        <v>540</v>
      </c>
      <c r="AC3" s="56" t="s">
        <v>541</v>
      </c>
      <c r="AD3" s="56" t="s">
        <v>542</v>
      </c>
      <c r="AE3" s="60" t="s">
        <v>543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439</v>
      </c>
      <c r="C4" s="82" t="s">
        <v>440</v>
      </c>
      <c r="D4" s="82" t="s">
        <v>441</v>
      </c>
      <c r="E4" s="82" t="s">
        <v>442</v>
      </c>
      <c r="F4" s="82" t="s">
        <v>443</v>
      </c>
      <c r="G4" s="72" t="s">
        <v>355</v>
      </c>
      <c r="H4" s="83" t="s">
        <v>344</v>
      </c>
      <c r="I4" s="72" t="s">
        <v>354</v>
      </c>
      <c r="J4" s="83" t="s">
        <v>437</v>
      </c>
      <c r="K4" s="84" t="s">
        <v>434</v>
      </c>
      <c r="L4" s="84" t="s">
        <v>435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452</v>
      </c>
      <c r="S4" s="81" t="s">
        <v>626</v>
      </c>
      <c r="T4" s="72" t="s">
        <v>87</v>
      </c>
      <c r="U4" s="90" t="s">
        <v>357</v>
      </c>
      <c r="V4" s="72" t="s">
        <v>444</v>
      </c>
      <c r="W4" s="58" t="s">
        <v>544</v>
      </c>
      <c r="X4" s="58" t="s">
        <v>545</v>
      </c>
      <c r="Y4" s="58" t="s">
        <v>546</v>
      </c>
      <c r="Z4" s="83" t="s">
        <v>547</v>
      </c>
      <c r="AA4" s="72" t="s">
        <v>454</v>
      </c>
      <c r="AB4" s="58" t="s">
        <v>548</v>
      </c>
      <c r="AC4" s="58" t="s">
        <v>549</v>
      </c>
      <c r="AD4" s="58" t="s">
        <v>550</v>
      </c>
      <c r="AE4" s="83" t="s">
        <v>445</v>
      </c>
      <c r="AF4" s="72" t="s">
        <v>346</v>
      </c>
      <c r="AG4" s="2" t="s">
        <v>438</v>
      </c>
    </row>
    <row r="5" spans="1:33" s="37" customFormat="1" x14ac:dyDescent="0.15">
      <c r="A5" s="37">
        <f t="shared" ref="A5:A10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405</v>
      </c>
      <c r="K5" s="39" t="s">
        <v>433</v>
      </c>
      <c r="L5" s="39" t="s">
        <v>430</v>
      </c>
      <c r="M5" s="39"/>
      <c r="N5" s="39"/>
      <c r="O5" s="37" t="str">
        <f>CONCATENATE(M5,N5,".png")</f>
        <v>.png</v>
      </c>
      <c r="P5" s="38"/>
      <c r="Q5" s="38" t="s">
        <v>436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1" si="1">H6</f>
        <v>1</v>
      </c>
      <c r="G6" s="74"/>
      <c r="H6" s="62">
        <v>1</v>
      </c>
      <c r="I6" s="77"/>
      <c r="J6" s="62" t="s">
        <v>406</v>
      </c>
      <c r="K6" s="39" t="s">
        <v>433</v>
      </c>
      <c r="L6" s="39" t="s">
        <v>430</v>
      </c>
      <c r="M6" s="69"/>
      <c r="N6" s="69"/>
      <c r="O6" s="70" t="str">
        <f>CONCATENATE(M6,N6,".png")</f>
        <v>.png</v>
      </c>
      <c r="P6" s="62"/>
      <c r="Q6" s="38" t="s">
        <v>436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407</v>
      </c>
      <c r="K7" s="39" t="s">
        <v>433</v>
      </c>
      <c r="L7" s="39" t="s">
        <v>430</v>
      </c>
      <c r="M7" s="69"/>
      <c r="N7" s="69"/>
      <c r="O7" s="70" t="str">
        <f>CONCATENATE(M7,N7,".png")</f>
        <v>.png</v>
      </c>
      <c r="P7" s="62"/>
      <c r="Q7" s="38" t="s">
        <v>436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490</v>
      </c>
      <c r="K8" s="39" t="s">
        <v>476</v>
      </c>
      <c r="L8" s="39" t="s">
        <v>491</v>
      </c>
      <c r="M8" s="69"/>
      <c r="N8" s="69"/>
      <c r="O8" s="70"/>
      <c r="P8" s="62"/>
      <c r="Q8" s="38" t="s">
        <v>436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408</v>
      </c>
      <c r="K9" s="39" t="s">
        <v>433</v>
      </c>
      <c r="L9" s="39" t="s">
        <v>430</v>
      </c>
      <c r="M9" s="69"/>
      <c r="N9" s="69"/>
      <c r="O9" s="70" t="str">
        <f>CONCATENATE(M9,N9,".png")</f>
        <v>.png</v>
      </c>
      <c r="P9" s="62"/>
      <c r="Q9" s="38" t="s">
        <v>436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596</v>
      </c>
      <c r="K10" s="39" t="s">
        <v>433</v>
      </c>
      <c r="L10" s="39" t="s">
        <v>430</v>
      </c>
      <c r="Q10" s="38" t="s">
        <v>436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ref="A11:A59" si="2">B11*10000000+C11*1000000+D11*10000+E11*100+F11</f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481</v>
      </c>
      <c r="K11" s="39" t="s">
        <v>433</v>
      </c>
      <c r="L11" s="39" t="s">
        <v>430</v>
      </c>
      <c r="Q11" s="38" t="s">
        <v>436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489</v>
      </c>
      <c r="K12" s="39" t="s">
        <v>430</v>
      </c>
      <c r="L12" s="39"/>
      <c r="Q12" s="38" t="s">
        <v>436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2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429</v>
      </c>
      <c r="K13" s="39" t="s">
        <v>430</v>
      </c>
      <c r="Q13" s="38" t="s">
        <v>436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2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412</v>
      </c>
      <c r="K14" s="36" t="s">
        <v>430</v>
      </c>
      <c r="Q14" s="38" t="s">
        <v>436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2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414</v>
      </c>
      <c r="K15" s="36" t="s">
        <v>430</v>
      </c>
      <c r="Q15" s="38" t="s">
        <v>436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2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418</v>
      </c>
      <c r="K16" s="36" t="s">
        <v>430</v>
      </c>
      <c r="Q16" s="38" t="s">
        <v>436</v>
      </c>
      <c r="S16" s="62">
        <v>10</v>
      </c>
      <c r="AG16" s="35">
        <v>1</v>
      </c>
    </row>
    <row r="17" spans="1:33" x14ac:dyDescent="0.15">
      <c r="A17" s="34">
        <f t="shared" ref="A17" si="3">B17*10000000+C17*1000000+D17*10000+E17*100+F17</f>
        <v>212060001</v>
      </c>
      <c r="B17" s="36">
        <v>21</v>
      </c>
      <c r="C17" s="36">
        <v>2</v>
      </c>
      <c r="D17" s="39">
        <v>6</v>
      </c>
      <c r="E17" s="36">
        <v>0</v>
      </c>
      <c r="F17" s="39">
        <f t="shared" ref="F17" si="4">H17</f>
        <v>1</v>
      </c>
      <c r="G17" s="74"/>
      <c r="H17" s="62">
        <v>1</v>
      </c>
      <c r="J17" s="35" t="s">
        <v>564</v>
      </c>
      <c r="K17" s="36" t="s">
        <v>565</v>
      </c>
      <c r="L17" s="36" t="s">
        <v>566</v>
      </c>
      <c r="Q17" s="38" t="s">
        <v>436</v>
      </c>
      <c r="S17" s="62">
        <v>10</v>
      </c>
      <c r="AG17" s="35">
        <v>1</v>
      </c>
    </row>
    <row r="18" spans="1:33" x14ac:dyDescent="0.15">
      <c r="A18" s="34">
        <f t="shared" si="2"/>
        <v>213010001</v>
      </c>
      <c r="B18" s="36">
        <v>21</v>
      </c>
      <c r="C18" s="36">
        <v>3</v>
      </c>
      <c r="D18" s="36">
        <v>1</v>
      </c>
      <c r="E18" s="36">
        <v>0</v>
      </c>
      <c r="F18" s="39">
        <f t="shared" si="1"/>
        <v>1</v>
      </c>
      <c r="G18" s="74"/>
      <c r="H18" s="62">
        <v>1</v>
      </c>
      <c r="J18" s="35" t="s">
        <v>419</v>
      </c>
      <c r="K18" s="36" t="s">
        <v>430</v>
      </c>
      <c r="Q18" s="38" t="s">
        <v>436</v>
      </c>
      <c r="S18" s="62">
        <v>500</v>
      </c>
      <c r="AG18" s="35">
        <v>1</v>
      </c>
    </row>
    <row r="19" spans="1:33" x14ac:dyDescent="0.15">
      <c r="A19" s="34">
        <f t="shared" si="2"/>
        <v>213020001</v>
      </c>
      <c r="B19" s="36">
        <v>21</v>
      </c>
      <c r="C19" s="36">
        <v>3</v>
      </c>
      <c r="D19" s="39">
        <v>2</v>
      </c>
      <c r="E19" s="36">
        <v>0</v>
      </c>
      <c r="F19" s="39">
        <f t="shared" si="1"/>
        <v>1</v>
      </c>
      <c r="G19" s="74"/>
      <c r="H19" s="38">
        <v>1</v>
      </c>
      <c r="J19" s="35" t="s">
        <v>420</v>
      </c>
      <c r="K19" s="36" t="s">
        <v>430</v>
      </c>
      <c r="Q19" s="38" t="s">
        <v>436</v>
      </c>
      <c r="S19" s="38">
        <v>1000</v>
      </c>
      <c r="AG19" s="35">
        <v>1</v>
      </c>
    </row>
    <row r="20" spans="1:33" x14ac:dyDescent="0.15">
      <c r="A20" s="34">
        <f t="shared" si="2"/>
        <v>213030001</v>
      </c>
      <c r="B20" s="36">
        <v>21</v>
      </c>
      <c r="C20" s="36">
        <v>3</v>
      </c>
      <c r="D20" s="36">
        <v>3</v>
      </c>
      <c r="E20" s="36">
        <v>0</v>
      </c>
      <c r="F20" s="39">
        <f t="shared" si="1"/>
        <v>1</v>
      </c>
      <c r="G20" s="74"/>
      <c r="H20" s="62">
        <v>1</v>
      </c>
      <c r="J20" s="35" t="s">
        <v>421</v>
      </c>
      <c r="K20" s="36" t="s">
        <v>430</v>
      </c>
      <c r="Q20" s="38" t="s">
        <v>436</v>
      </c>
      <c r="S20" s="38">
        <v>1000</v>
      </c>
      <c r="AG20" s="35">
        <v>1</v>
      </c>
    </row>
    <row r="21" spans="1:33" x14ac:dyDescent="0.15">
      <c r="A21" s="34">
        <f t="shared" si="2"/>
        <v>213040001</v>
      </c>
      <c r="B21" s="36">
        <v>21</v>
      </c>
      <c r="C21" s="36">
        <v>3</v>
      </c>
      <c r="D21" s="39">
        <v>4</v>
      </c>
      <c r="E21" s="36">
        <v>0</v>
      </c>
      <c r="F21" s="39">
        <f t="shared" si="1"/>
        <v>1</v>
      </c>
      <c r="G21" s="74"/>
      <c r="H21" s="62">
        <v>1</v>
      </c>
      <c r="J21" s="35" t="s">
        <v>422</v>
      </c>
      <c r="K21" s="36" t="s">
        <v>430</v>
      </c>
      <c r="Q21" s="38" t="s">
        <v>436</v>
      </c>
      <c r="S21" s="38">
        <v>1000</v>
      </c>
      <c r="AG21" s="35">
        <v>1</v>
      </c>
    </row>
    <row r="22" spans="1:33" x14ac:dyDescent="0.15">
      <c r="A22" s="34">
        <f t="shared" si="2"/>
        <v>213050001</v>
      </c>
      <c r="B22" s="36">
        <v>21</v>
      </c>
      <c r="C22" s="36">
        <v>3</v>
      </c>
      <c r="D22" s="36">
        <v>5</v>
      </c>
      <c r="E22" s="36">
        <v>0</v>
      </c>
      <c r="F22" s="39">
        <f>H22</f>
        <v>1</v>
      </c>
      <c r="G22" s="74"/>
      <c r="H22" s="62">
        <v>1</v>
      </c>
      <c r="J22" s="35" t="s">
        <v>496</v>
      </c>
      <c r="K22" s="36" t="s">
        <v>491</v>
      </c>
      <c r="Q22" s="38" t="s">
        <v>530</v>
      </c>
      <c r="S22" s="38">
        <v>1000</v>
      </c>
      <c r="AG22" s="35">
        <v>1</v>
      </c>
    </row>
    <row r="23" spans="1:33" x14ac:dyDescent="0.15">
      <c r="A23" s="34">
        <f t="shared" si="2"/>
        <v>213060001</v>
      </c>
      <c r="B23" s="36">
        <v>21</v>
      </c>
      <c r="C23" s="36">
        <v>3</v>
      </c>
      <c r="D23" s="39">
        <v>6</v>
      </c>
      <c r="E23" s="36">
        <v>0</v>
      </c>
      <c r="F23" s="39">
        <f t="shared" ref="F23:F59" si="5">H23</f>
        <v>1</v>
      </c>
      <c r="G23" s="74"/>
      <c r="H23" s="62">
        <v>1</v>
      </c>
      <c r="J23" s="35" t="s">
        <v>497</v>
      </c>
      <c r="K23" s="36" t="s">
        <v>491</v>
      </c>
      <c r="Q23" s="38" t="s">
        <v>530</v>
      </c>
      <c r="S23" s="38">
        <v>1000</v>
      </c>
      <c r="AG23" s="35">
        <v>1</v>
      </c>
    </row>
    <row r="24" spans="1:33" x14ac:dyDescent="0.15">
      <c r="A24" s="34">
        <f t="shared" si="2"/>
        <v>213070001</v>
      </c>
      <c r="B24" s="36">
        <v>21</v>
      </c>
      <c r="C24" s="36">
        <v>3</v>
      </c>
      <c r="D24" s="36">
        <v>7</v>
      </c>
      <c r="E24" s="36">
        <v>0</v>
      </c>
      <c r="F24" s="39">
        <f t="shared" si="5"/>
        <v>1</v>
      </c>
      <c r="G24" s="74"/>
      <c r="H24" s="62">
        <v>1</v>
      </c>
      <c r="J24" s="35" t="s">
        <v>498</v>
      </c>
      <c r="K24" s="36" t="s">
        <v>491</v>
      </c>
      <c r="Q24" s="38" t="s">
        <v>530</v>
      </c>
      <c r="S24" s="38">
        <v>1000</v>
      </c>
      <c r="AG24" s="35">
        <v>1</v>
      </c>
    </row>
    <row r="25" spans="1:33" x14ac:dyDescent="0.15">
      <c r="A25" s="34">
        <f t="shared" si="2"/>
        <v>213080001</v>
      </c>
      <c r="B25" s="36">
        <v>21</v>
      </c>
      <c r="C25" s="36">
        <v>3</v>
      </c>
      <c r="D25" s="39">
        <v>8</v>
      </c>
      <c r="E25" s="36">
        <v>0</v>
      </c>
      <c r="F25" s="39">
        <f t="shared" si="5"/>
        <v>1</v>
      </c>
      <c r="G25" s="74"/>
      <c r="H25" s="62">
        <v>1</v>
      </c>
      <c r="J25" s="35" t="s">
        <v>505</v>
      </c>
      <c r="K25" s="36" t="s">
        <v>491</v>
      </c>
      <c r="Q25" s="38" t="s">
        <v>530</v>
      </c>
      <c r="S25" s="38">
        <v>1000</v>
      </c>
      <c r="AG25" s="35">
        <v>1</v>
      </c>
    </row>
    <row r="26" spans="1:33" x14ac:dyDescent="0.15">
      <c r="A26" s="34">
        <f t="shared" si="2"/>
        <v>213090001</v>
      </c>
      <c r="B26" s="36">
        <v>21</v>
      </c>
      <c r="C26" s="36">
        <v>3</v>
      </c>
      <c r="D26" s="36">
        <v>9</v>
      </c>
      <c r="E26" s="36">
        <v>0</v>
      </c>
      <c r="F26" s="39">
        <f t="shared" si="5"/>
        <v>1</v>
      </c>
      <c r="G26" s="74"/>
      <c r="H26" s="62">
        <v>1</v>
      </c>
      <c r="J26" s="35" t="s">
        <v>499</v>
      </c>
      <c r="K26" s="36" t="s">
        <v>491</v>
      </c>
      <c r="Q26" s="38" t="s">
        <v>530</v>
      </c>
      <c r="S26" s="38">
        <v>1000</v>
      </c>
      <c r="AG26" s="35">
        <v>1</v>
      </c>
    </row>
    <row r="27" spans="1:33" x14ac:dyDescent="0.15">
      <c r="A27" s="34">
        <f t="shared" si="2"/>
        <v>213100001</v>
      </c>
      <c r="B27" s="36">
        <v>21</v>
      </c>
      <c r="C27" s="36">
        <v>3</v>
      </c>
      <c r="D27" s="39">
        <v>10</v>
      </c>
      <c r="E27" s="36">
        <v>0</v>
      </c>
      <c r="F27" s="39">
        <f t="shared" si="5"/>
        <v>1</v>
      </c>
      <c r="G27" s="74"/>
      <c r="H27" s="62">
        <v>1</v>
      </c>
      <c r="J27" s="35" t="s">
        <v>500</v>
      </c>
      <c r="K27" s="36" t="s">
        <v>491</v>
      </c>
      <c r="Q27" s="38" t="s">
        <v>530</v>
      </c>
      <c r="S27" s="38">
        <v>1000</v>
      </c>
      <c r="AG27" s="35">
        <v>1</v>
      </c>
    </row>
    <row r="28" spans="1:33" x14ac:dyDescent="0.15">
      <c r="A28" s="34">
        <f t="shared" si="2"/>
        <v>213110001</v>
      </c>
      <c r="B28" s="36">
        <v>21</v>
      </c>
      <c r="C28" s="36">
        <v>3</v>
      </c>
      <c r="D28" s="36">
        <v>11</v>
      </c>
      <c r="E28" s="36">
        <v>0</v>
      </c>
      <c r="F28" s="39">
        <f t="shared" si="5"/>
        <v>1</v>
      </c>
      <c r="G28" s="74"/>
      <c r="H28" s="62">
        <v>1</v>
      </c>
      <c r="J28" s="35" t="s">
        <v>501</v>
      </c>
      <c r="K28" s="36" t="s">
        <v>491</v>
      </c>
      <c r="Q28" s="38" t="s">
        <v>530</v>
      </c>
      <c r="S28" s="38">
        <v>1000</v>
      </c>
      <c r="AG28" s="35">
        <v>1</v>
      </c>
    </row>
    <row r="29" spans="1:33" x14ac:dyDescent="0.15">
      <c r="A29" s="34">
        <f t="shared" si="2"/>
        <v>213120001</v>
      </c>
      <c r="B29" s="36">
        <v>21</v>
      </c>
      <c r="C29" s="36">
        <v>3</v>
      </c>
      <c r="D29" s="39">
        <v>12</v>
      </c>
      <c r="E29" s="36">
        <v>0</v>
      </c>
      <c r="F29" s="39">
        <f t="shared" si="5"/>
        <v>1</v>
      </c>
      <c r="G29" s="74"/>
      <c r="H29" s="62">
        <v>1</v>
      </c>
      <c r="J29" s="35" t="s">
        <v>511</v>
      </c>
      <c r="K29" s="36" t="s">
        <v>491</v>
      </c>
      <c r="Q29" s="38" t="s">
        <v>530</v>
      </c>
      <c r="S29" s="38">
        <v>1000</v>
      </c>
      <c r="AG29" s="35">
        <v>1</v>
      </c>
    </row>
    <row r="30" spans="1:33" x14ac:dyDescent="0.15">
      <c r="A30" s="34">
        <f t="shared" si="2"/>
        <v>213130001</v>
      </c>
      <c r="B30" s="36">
        <v>21</v>
      </c>
      <c r="C30" s="36">
        <v>3</v>
      </c>
      <c r="D30" s="36">
        <v>13</v>
      </c>
      <c r="E30" s="36">
        <v>0</v>
      </c>
      <c r="F30" s="39">
        <f t="shared" si="5"/>
        <v>1</v>
      </c>
      <c r="G30" s="74"/>
      <c r="H30" s="62">
        <v>1</v>
      </c>
      <c r="J30" s="35" t="s">
        <v>515</v>
      </c>
      <c r="K30" s="36" t="s">
        <v>491</v>
      </c>
      <c r="Q30" s="38" t="s">
        <v>530</v>
      </c>
      <c r="S30" s="38">
        <v>1000</v>
      </c>
      <c r="AG30" s="35">
        <v>1</v>
      </c>
    </row>
    <row r="31" spans="1:33" x14ac:dyDescent="0.15">
      <c r="A31" s="34">
        <f t="shared" si="2"/>
        <v>213140001</v>
      </c>
      <c r="B31" s="36">
        <v>21</v>
      </c>
      <c r="C31" s="36">
        <v>3</v>
      </c>
      <c r="D31" s="39">
        <v>14</v>
      </c>
      <c r="E31" s="36">
        <v>0</v>
      </c>
      <c r="F31" s="39">
        <f t="shared" si="5"/>
        <v>1</v>
      </c>
      <c r="G31" s="74"/>
      <c r="H31" s="62">
        <v>1</v>
      </c>
      <c r="J31" s="35" t="s">
        <v>516</v>
      </c>
      <c r="K31" s="36" t="s">
        <v>491</v>
      </c>
      <c r="Q31" s="38" t="s">
        <v>530</v>
      </c>
      <c r="S31" s="38">
        <v>1000</v>
      </c>
      <c r="AG31" s="35">
        <v>1</v>
      </c>
    </row>
    <row r="32" spans="1:33" x14ac:dyDescent="0.15">
      <c r="A32" s="34">
        <f t="shared" si="2"/>
        <v>213150001</v>
      </c>
      <c r="B32" s="36">
        <v>21</v>
      </c>
      <c r="C32" s="36">
        <v>3</v>
      </c>
      <c r="D32" s="36">
        <v>15</v>
      </c>
      <c r="E32" s="36">
        <v>0</v>
      </c>
      <c r="F32" s="39">
        <f t="shared" si="5"/>
        <v>1</v>
      </c>
      <c r="G32" s="74"/>
      <c r="H32" s="62">
        <v>1</v>
      </c>
      <c r="J32" s="35" t="s">
        <v>521</v>
      </c>
      <c r="K32" s="36" t="s">
        <v>491</v>
      </c>
      <c r="Q32" s="38" t="s">
        <v>530</v>
      </c>
      <c r="S32" s="38">
        <v>1000</v>
      </c>
      <c r="AG32" s="35">
        <v>1</v>
      </c>
    </row>
    <row r="33" spans="1:33" x14ac:dyDescent="0.15">
      <c r="A33" s="34">
        <f t="shared" si="2"/>
        <v>213160001</v>
      </c>
      <c r="B33" s="36">
        <v>21</v>
      </c>
      <c r="C33" s="36">
        <v>3</v>
      </c>
      <c r="D33" s="39">
        <v>16</v>
      </c>
      <c r="E33" s="36">
        <v>0</v>
      </c>
      <c r="F33" s="39">
        <f t="shared" si="5"/>
        <v>1</v>
      </c>
      <c r="G33" s="74"/>
      <c r="H33" s="62">
        <v>1</v>
      </c>
      <c r="J33" s="35" t="s">
        <v>529</v>
      </c>
      <c r="K33" s="36" t="s">
        <v>491</v>
      </c>
      <c r="Q33" s="38" t="s">
        <v>530</v>
      </c>
      <c r="S33" s="38">
        <v>1000</v>
      </c>
      <c r="AG33" s="35">
        <v>1</v>
      </c>
    </row>
    <row r="34" spans="1:33" x14ac:dyDescent="0.15">
      <c r="A34" s="34">
        <f t="shared" si="2"/>
        <v>213170001</v>
      </c>
      <c r="B34" s="36">
        <v>21</v>
      </c>
      <c r="C34" s="36">
        <v>3</v>
      </c>
      <c r="D34" s="36">
        <v>17</v>
      </c>
      <c r="E34" s="36">
        <v>0</v>
      </c>
      <c r="F34" s="39">
        <f t="shared" si="5"/>
        <v>1</v>
      </c>
      <c r="G34" s="74"/>
      <c r="H34" s="62">
        <v>1</v>
      </c>
      <c r="J34" s="35" t="s">
        <v>523</v>
      </c>
      <c r="K34" s="36" t="s">
        <v>491</v>
      </c>
      <c r="Q34" s="38" t="s">
        <v>530</v>
      </c>
      <c r="S34" s="38">
        <v>1000</v>
      </c>
      <c r="AG34" s="35">
        <v>1</v>
      </c>
    </row>
    <row r="35" spans="1:33" x14ac:dyDescent="0.15">
      <c r="A35" s="34">
        <f t="shared" si="2"/>
        <v>213180001</v>
      </c>
      <c r="B35" s="36">
        <v>21</v>
      </c>
      <c r="C35" s="36">
        <v>3</v>
      </c>
      <c r="D35" s="39">
        <v>18</v>
      </c>
      <c r="E35" s="36">
        <v>0</v>
      </c>
      <c r="F35" s="39">
        <f t="shared" si="5"/>
        <v>1</v>
      </c>
      <c r="G35" s="74"/>
      <c r="H35" s="62">
        <v>1</v>
      </c>
      <c r="J35" s="35" t="s">
        <v>524</v>
      </c>
      <c r="K35" s="36" t="s">
        <v>491</v>
      </c>
      <c r="Q35" s="38" t="s">
        <v>530</v>
      </c>
      <c r="R35" s="93" t="s">
        <v>567</v>
      </c>
      <c r="S35" s="38">
        <v>1000</v>
      </c>
      <c r="AG35" s="35">
        <v>1</v>
      </c>
    </row>
    <row r="36" spans="1:33" x14ac:dyDescent="0.15">
      <c r="A36" s="34">
        <f t="shared" si="2"/>
        <v>213190001</v>
      </c>
      <c r="B36" s="36">
        <v>21</v>
      </c>
      <c r="C36" s="36">
        <v>3</v>
      </c>
      <c r="D36" s="36">
        <v>19</v>
      </c>
      <c r="E36" s="36">
        <v>0</v>
      </c>
      <c r="F36" s="39">
        <f t="shared" si="5"/>
        <v>1</v>
      </c>
      <c r="G36" s="74"/>
      <c r="H36" s="62">
        <v>1</v>
      </c>
      <c r="J36" s="35" t="s">
        <v>526</v>
      </c>
      <c r="K36" s="36" t="s">
        <v>491</v>
      </c>
      <c r="Q36" s="38" t="s">
        <v>530</v>
      </c>
      <c r="S36" s="38">
        <v>1000</v>
      </c>
      <c r="AG36" s="35">
        <v>1</v>
      </c>
    </row>
    <row r="37" spans="1:33" x14ac:dyDescent="0.15">
      <c r="A37" s="34">
        <f t="shared" si="2"/>
        <v>214010001</v>
      </c>
      <c r="B37" s="36">
        <v>21</v>
      </c>
      <c r="C37" s="36">
        <v>4</v>
      </c>
      <c r="D37" s="36">
        <v>1</v>
      </c>
      <c r="E37" s="36">
        <v>0</v>
      </c>
      <c r="F37" s="39">
        <f t="shared" si="5"/>
        <v>1</v>
      </c>
      <c r="G37" s="74"/>
      <c r="H37" s="62">
        <v>1</v>
      </c>
      <c r="J37" s="35" t="s">
        <v>553</v>
      </c>
      <c r="K37" s="36" t="s">
        <v>562</v>
      </c>
      <c r="Q37" s="38" t="s">
        <v>563</v>
      </c>
      <c r="S37" s="38">
        <v>10</v>
      </c>
      <c r="AG37" s="35">
        <v>1</v>
      </c>
    </row>
    <row r="38" spans="1:33" x14ac:dyDescent="0.15">
      <c r="A38" s="34">
        <f t="shared" si="2"/>
        <v>214020001</v>
      </c>
      <c r="B38" s="36">
        <v>21</v>
      </c>
      <c r="C38" s="36">
        <v>4</v>
      </c>
      <c r="D38" s="36">
        <v>2</v>
      </c>
      <c r="E38" s="36">
        <v>0</v>
      </c>
      <c r="F38" s="39">
        <f t="shared" si="5"/>
        <v>1</v>
      </c>
      <c r="G38" s="74"/>
      <c r="H38" s="62">
        <v>1</v>
      </c>
      <c r="J38" s="35" t="s">
        <v>554</v>
      </c>
      <c r="K38" s="36" t="s">
        <v>562</v>
      </c>
      <c r="Q38" s="38" t="s">
        <v>563</v>
      </c>
      <c r="S38" s="38">
        <v>100</v>
      </c>
      <c r="AG38" s="35">
        <v>1</v>
      </c>
    </row>
    <row r="39" spans="1:33" x14ac:dyDescent="0.15">
      <c r="A39" s="34">
        <f t="shared" si="2"/>
        <v>214030001</v>
      </c>
      <c r="B39" s="36">
        <v>21</v>
      </c>
      <c r="C39" s="36">
        <v>4</v>
      </c>
      <c r="D39" s="36">
        <v>3</v>
      </c>
      <c r="E39" s="36">
        <v>0</v>
      </c>
      <c r="F39" s="39">
        <f t="shared" si="5"/>
        <v>1</v>
      </c>
      <c r="G39" s="74"/>
      <c r="H39" s="62">
        <v>1</v>
      </c>
      <c r="J39" s="35" t="s">
        <v>555</v>
      </c>
      <c r="K39" s="36" t="s">
        <v>562</v>
      </c>
      <c r="Q39" s="38" t="s">
        <v>563</v>
      </c>
      <c r="S39" s="38">
        <v>1000</v>
      </c>
      <c r="AG39" s="35">
        <v>1</v>
      </c>
    </row>
    <row r="40" spans="1:33" x14ac:dyDescent="0.15">
      <c r="A40" s="34">
        <f t="shared" si="2"/>
        <v>214040001</v>
      </c>
      <c r="B40" s="36">
        <v>21</v>
      </c>
      <c r="C40" s="36">
        <v>4</v>
      </c>
      <c r="D40" s="36">
        <v>4</v>
      </c>
      <c r="E40" s="36">
        <v>0</v>
      </c>
      <c r="F40" s="39">
        <f t="shared" si="5"/>
        <v>1</v>
      </c>
      <c r="G40" s="74"/>
      <c r="H40" s="62">
        <v>1</v>
      </c>
      <c r="J40" s="35" t="s">
        <v>423</v>
      </c>
      <c r="K40" s="36" t="s">
        <v>430</v>
      </c>
      <c r="Q40" s="38" t="s">
        <v>436</v>
      </c>
      <c r="S40" s="38">
        <v>10</v>
      </c>
      <c r="AG40" s="35">
        <v>1</v>
      </c>
    </row>
    <row r="41" spans="1:33" x14ac:dyDescent="0.15">
      <c r="A41" s="34">
        <f t="shared" si="2"/>
        <v>214050001</v>
      </c>
      <c r="B41" s="36">
        <v>21</v>
      </c>
      <c r="C41" s="36">
        <v>4</v>
      </c>
      <c r="D41" s="36">
        <v>5</v>
      </c>
      <c r="E41" s="36">
        <v>0</v>
      </c>
      <c r="F41" s="39">
        <f t="shared" si="5"/>
        <v>1</v>
      </c>
      <c r="G41" s="74"/>
      <c r="H41" s="38">
        <v>1</v>
      </c>
      <c r="J41" s="35" t="s">
        <v>424</v>
      </c>
      <c r="K41" s="36" t="s">
        <v>430</v>
      </c>
      <c r="Q41" s="38" t="s">
        <v>436</v>
      </c>
      <c r="S41" s="38">
        <v>100</v>
      </c>
      <c r="AG41" s="35">
        <v>1</v>
      </c>
    </row>
    <row r="42" spans="1:33" x14ac:dyDescent="0.15">
      <c r="A42" s="34">
        <f t="shared" si="2"/>
        <v>214060001</v>
      </c>
      <c r="B42" s="36">
        <v>21</v>
      </c>
      <c r="C42" s="36">
        <v>4</v>
      </c>
      <c r="D42" s="36">
        <v>6</v>
      </c>
      <c r="E42" s="36">
        <v>0</v>
      </c>
      <c r="F42" s="39">
        <f t="shared" si="5"/>
        <v>1</v>
      </c>
      <c r="G42" s="74"/>
      <c r="H42" s="62">
        <v>1</v>
      </c>
      <c r="J42" s="35" t="s">
        <v>425</v>
      </c>
      <c r="K42" s="36" t="s">
        <v>430</v>
      </c>
      <c r="Q42" s="38" t="s">
        <v>436</v>
      </c>
      <c r="S42" s="38">
        <v>1000</v>
      </c>
      <c r="AG42" s="35">
        <v>1</v>
      </c>
    </row>
    <row r="43" spans="1:33" x14ac:dyDescent="0.15">
      <c r="A43" s="34">
        <f t="shared" si="2"/>
        <v>214070001</v>
      </c>
      <c r="B43" s="36">
        <v>21</v>
      </c>
      <c r="C43" s="36">
        <v>4</v>
      </c>
      <c r="D43" s="36">
        <v>7</v>
      </c>
      <c r="E43" s="36">
        <v>0</v>
      </c>
      <c r="F43" s="39">
        <f t="shared" si="5"/>
        <v>1</v>
      </c>
      <c r="G43" s="74"/>
      <c r="H43" s="62">
        <v>1</v>
      </c>
      <c r="J43" s="35" t="s">
        <v>426</v>
      </c>
      <c r="K43" s="36" t="s">
        <v>430</v>
      </c>
      <c r="Q43" s="38" t="s">
        <v>436</v>
      </c>
      <c r="S43" s="38">
        <v>10</v>
      </c>
      <c r="AG43" s="35">
        <v>1</v>
      </c>
    </row>
    <row r="44" spans="1:33" x14ac:dyDescent="0.15">
      <c r="A44" s="34">
        <f t="shared" si="2"/>
        <v>214080001</v>
      </c>
      <c r="B44" s="36">
        <v>21</v>
      </c>
      <c r="C44" s="36">
        <v>4</v>
      </c>
      <c r="D44" s="36">
        <v>8</v>
      </c>
      <c r="E44" s="36">
        <v>0</v>
      </c>
      <c r="F44" s="39">
        <f t="shared" si="5"/>
        <v>1</v>
      </c>
      <c r="G44" s="74"/>
      <c r="H44" s="62">
        <v>1</v>
      </c>
      <c r="J44" s="35" t="s">
        <v>427</v>
      </c>
      <c r="K44" s="36" t="s">
        <v>430</v>
      </c>
      <c r="Q44" s="38" t="s">
        <v>436</v>
      </c>
      <c r="S44" s="38">
        <v>100</v>
      </c>
      <c r="AG44" s="35">
        <v>1</v>
      </c>
    </row>
    <row r="45" spans="1:33" x14ac:dyDescent="0.15">
      <c r="A45" s="34">
        <f t="shared" si="2"/>
        <v>214090001</v>
      </c>
      <c r="B45" s="36">
        <v>21</v>
      </c>
      <c r="C45" s="36">
        <v>4</v>
      </c>
      <c r="D45" s="36">
        <v>9</v>
      </c>
      <c r="E45" s="36">
        <v>0</v>
      </c>
      <c r="F45" s="39">
        <f t="shared" si="5"/>
        <v>1</v>
      </c>
      <c r="G45" s="74"/>
      <c r="H45" s="38">
        <v>1</v>
      </c>
      <c r="J45" s="35" t="s">
        <v>428</v>
      </c>
      <c r="K45" s="36" t="s">
        <v>430</v>
      </c>
      <c r="Q45" s="38" t="s">
        <v>436</v>
      </c>
      <c r="S45" s="38">
        <v>1000</v>
      </c>
      <c r="AG45" s="35">
        <v>1</v>
      </c>
    </row>
    <row r="46" spans="1:33" x14ac:dyDescent="0.15">
      <c r="A46" s="34">
        <f t="shared" ref="A46:A48" si="6">B46*10000000+C46*1000000+D46*10000+E46*100+F46</f>
        <v>214100001</v>
      </c>
      <c r="B46" s="36">
        <v>21</v>
      </c>
      <c r="C46" s="36">
        <v>4</v>
      </c>
      <c r="D46" s="36">
        <v>10</v>
      </c>
      <c r="E46" s="36">
        <v>0</v>
      </c>
      <c r="F46" s="39">
        <f t="shared" si="5"/>
        <v>1</v>
      </c>
      <c r="G46" s="74"/>
      <c r="H46" s="62">
        <v>1</v>
      </c>
      <c r="J46" s="35" t="s">
        <v>556</v>
      </c>
      <c r="K46" s="36" t="s">
        <v>430</v>
      </c>
      <c r="Q46" s="38" t="s">
        <v>436</v>
      </c>
      <c r="S46" s="38">
        <v>10</v>
      </c>
      <c r="AG46" s="35">
        <v>1</v>
      </c>
    </row>
    <row r="47" spans="1:33" x14ac:dyDescent="0.15">
      <c r="A47" s="34">
        <f t="shared" si="6"/>
        <v>214110001</v>
      </c>
      <c r="B47" s="36">
        <v>21</v>
      </c>
      <c r="C47" s="36">
        <v>4</v>
      </c>
      <c r="D47" s="36">
        <v>11</v>
      </c>
      <c r="E47" s="36">
        <v>0</v>
      </c>
      <c r="F47" s="39">
        <f t="shared" si="5"/>
        <v>1</v>
      </c>
      <c r="G47" s="74"/>
      <c r="H47" s="62">
        <v>1</v>
      </c>
      <c r="J47" s="35" t="s">
        <v>557</v>
      </c>
      <c r="K47" s="36" t="s">
        <v>430</v>
      </c>
      <c r="Q47" s="38" t="s">
        <v>436</v>
      </c>
      <c r="S47" s="38">
        <v>100</v>
      </c>
      <c r="AG47" s="35">
        <v>1</v>
      </c>
    </row>
    <row r="48" spans="1:33" x14ac:dyDescent="0.15">
      <c r="A48" s="34">
        <f t="shared" si="6"/>
        <v>214120001</v>
      </c>
      <c r="B48" s="36">
        <v>21</v>
      </c>
      <c r="C48" s="36">
        <v>4</v>
      </c>
      <c r="D48" s="36">
        <v>12</v>
      </c>
      <c r="E48" s="36">
        <v>0</v>
      </c>
      <c r="F48" s="39">
        <f t="shared" si="5"/>
        <v>1</v>
      </c>
      <c r="G48" s="74"/>
      <c r="H48" s="38">
        <v>1</v>
      </c>
      <c r="J48" s="35" t="s">
        <v>558</v>
      </c>
      <c r="K48" s="36" t="s">
        <v>430</v>
      </c>
      <c r="Q48" s="38" t="s">
        <v>436</v>
      </c>
      <c r="S48" s="38">
        <v>1000</v>
      </c>
      <c r="AG48" s="35">
        <v>1</v>
      </c>
    </row>
    <row r="49" spans="1:33" x14ac:dyDescent="0.15">
      <c r="A49" s="34">
        <f t="shared" ref="A49:A51" si="7">B49*10000000+C49*1000000+D49*10000+E49*100+F49</f>
        <v>214130001</v>
      </c>
      <c r="B49" s="36">
        <v>21</v>
      </c>
      <c r="C49" s="36">
        <v>4</v>
      </c>
      <c r="D49" s="36">
        <v>13</v>
      </c>
      <c r="E49" s="36">
        <v>0</v>
      </c>
      <c r="F49" s="39">
        <f t="shared" si="5"/>
        <v>1</v>
      </c>
      <c r="G49" s="74"/>
      <c r="H49" s="62">
        <v>1</v>
      </c>
      <c r="J49" s="35" t="s">
        <v>559</v>
      </c>
      <c r="K49" s="36" t="s">
        <v>430</v>
      </c>
      <c r="Q49" s="38" t="s">
        <v>436</v>
      </c>
      <c r="S49" s="38">
        <v>10</v>
      </c>
      <c r="AG49" s="35">
        <v>1</v>
      </c>
    </row>
    <row r="50" spans="1:33" x14ac:dyDescent="0.15">
      <c r="A50" s="34">
        <f t="shared" si="7"/>
        <v>214140001</v>
      </c>
      <c r="B50" s="36">
        <v>21</v>
      </c>
      <c r="C50" s="36">
        <v>4</v>
      </c>
      <c r="D50" s="36">
        <v>14</v>
      </c>
      <c r="E50" s="36">
        <v>0</v>
      </c>
      <c r="F50" s="39">
        <f t="shared" si="5"/>
        <v>1</v>
      </c>
      <c r="G50" s="74"/>
      <c r="H50" s="62">
        <v>1</v>
      </c>
      <c r="J50" s="35" t="s">
        <v>560</v>
      </c>
      <c r="K50" s="36" t="s">
        <v>430</v>
      </c>
      <c r="Q50" s="38" t="s">
        <v>436</v>
      </c>
      <c r="S50" s="38">
        <v>100</v>
      </c>
      <c r="AG50" s="35">
        <v>1</v>
      </c>
    </row>
    <row r="51" spans="1:33" x14ac:dyDescent="0.15">
      <c r="A51" s="34">
        <f t="shared" si="7"/>
        <v>214150001</v>
      </c>
      <c r="B51" s="36">
        <v>21</v>
      </c>
      <c r="C51" s="36">
        <v>4</v>
      </c>
      <c r="D51" s="36">
        <v>15</v>
      </c>
      <c r="E51" s="36">
        <v>0</v>
      </c>
      <c r="F51" s="39">
        <f t="shared" si="5"/>
        <v>1</v>
      </c>
      <c r="G51" s="74"/>
      <c r="H51" s="38">
        <v>1</v>
      </c>
      <c r="J51" s="35" t="s">
        <v>561</v>
      </c>
      <c r="K51" s="36" t="s">
        <v>430</v>
      </c>
      <c r="Q51" s="38" t="s">
        <v>436</v>
      </c>
      <c r="S51" s="38">
        <v>1000</v>
      </c>
      <c r="AG51" s="35">
        <v>1</v>
      </c>
    </row>
    <row r="52" spans="1:33" x14ac:dyDescent="0.15">
      <c r="A52" s="34">
        <f t="shared" si="2"/>
        <v>215010001</v>
      </c>
      <c r="B52" s="36">
        <v>21</v>
      </c>
      <c r="C52" s="36">
        <v>5</v>
      </c>
      <c r="D52" s="36">
        <v>1</v>
      </c>
      <c r="E52" s="36">
        <v>0</v>
      </c>
      <c r="F52" s="39">
        <f t="shared" si="5"/>
        <v>1</v>
      </c>
      <c r="G52" s="74"/>
      <c r="H52" s="62">
        <v>1</v>
      </c>
      <c r="J52" s="35" t="s">
        <v>409</v>
      </c>
      <c r="K52" s="36" t="s">
        <v>432</v>
      </c>
      <c r="Q52" s="38" t="s">
        <v>436</v>
      </c>
      <c r="S52" s="38">
        <v>10</v>
      </c>
      <c r="AG52" s="35">
        <v>1</v>
      </c>
    </row>
    <row r="53" spans="1:33" x14ac:dyDescent="0.15">
      <c r="A53" s="34">
        <f t="shared" si="2"/>
        <v>215020001</v>
      </c>
      <c r="B53" s="36">
        <v>21</v>
      </c>
      <c r="C53" s="36">
        <v>5</v>
      </c>
      <c r="D53" s="36">
        <v>2</v>
      </c>
      <c r="E53" s="36">
        <v>0</v>
      </c>
      <c r="F53" s="39">
        <f t="shared" si="5"/>
        <v>1</v>
      </c>
      <c r="G53" s="74"/>
      <c r="H53" s="62">
        <v>1</v>
      </c>
      <c r="J53" s="35" t="s">
        <v>411</v>
      </c>
      <c r="K53" s="36" t="s">
        <v>432</v>
      </c>
      <c r="Q53" s="38" t="s">
        <v>436</v>
      </c>
      <c r="S53" s="62">
        <v>10</v>
      </c>
      <c r="AG53" s="35">
        <v>1</v>
      </c>
    </row>
    <row r="54" spans="1:33" x14ac:dyDescent="0.15">
      <c r="A54" s="34">
        <f t="shared" si="2"/>
        <v>215030001</v>
      </c>
      <c r="B54" s="36">
        <v>21</v>
      </c>
      <c r="C54" s="36">
        <v>5</v>
      </c>
      <c r="D54" s="36">
        <v>3</v>
      </c>
      <c r="E54" s="36">
        <v>0</v>
      </c>
      <c r="F54" s="39">
        <f t="shared" si="5"/>
        <v>1</v>
      </c>
      <c r="G54" s="74"/>
      <c r="H54" s="62">
        <v>1</v>
      </c>
      <c r="J54" s="35" t="s">
        <v>410</v>
      </c>
      <c r="K54" s="36" t="s">
        <v>431</v>
      </c>
      <c r="Q54" s="38" t="s">
        <v>436</v>
      </c>
      <c r="S54" s="62">
        <v>10</v>
      </c>
      <c r="AG54" s="35">
        <v>1</v>
      </c>
    </row>
    <row r="55" spans="1:33" x14ac:dyDescent="0.15">
      <c r="A55" s="34">
        <f t="shared" si="2"/>
        <v>215040001</v>
      </c>
      <c r="B55" s="36">
        <v>21</v>
      </c>
      <c r="C55" s="36">
        <v>5</v>
      </c>
      <c r="D55" s="36">
        <v>4</v>
      </c>
      <c r="E55" s="36">
        <v>0</v>
      </c>
      <c r="F55" s="39">
        <f t="shared" si="5"/>
        <v>1</v>
      </c>
      <c r="G55" s="74"/>
      <c r="H55" s="38">
        <v>1</v>
      </c>
      <c r="J55" s="35" t="s">
        <v>413</v>
      </c>
      <c r="K55" s="36" t="s">
        <v>431</v>
      </c>
      <c r="Q55" s="38" t="s">
        <v>436</v>
      </c>
      <c r="S55" s="38">
        <v>10</v>
      </c>
      <c r="AG55" s="35">
        <v>1</v>
      </c>
    </row>
    <row r="56" spans="1:33" x14ac:dyDescent="0.15">
      <c r="A56" s="34">
        <f t="shared" si="2"/>
        <v>215050001</v>
      </c>
      <c r="B56" s="36">
        <v>21</v>
      </c>
      <c r="C56" s="36">
        <v>5</v>
      </c>
      <c r="D56" s="36">
        <v>5</v>
      </c>
      <c r="E56" s="36">
        <v>0</v>
      </c>
      <c r="F56" s="39">
        <f t="shared" si="5"/>
        <v>1</v>
      </c>
      <c r="G56" s="74"/>
      <c r="H56" s="62">
        <v>1</v>
      </c>
      <c r="J56" s="35" t="s">
        <v>415</v>
      </c>
      <c r="K56" s="36" t="s">
        <v>431</v>
      </c>
      <c r="Q56" s="38" t="s">
        <v>436</v>
      </c>
      <c r="S56" s="62">
        <v>10</v>
      </c>
      <c r="AG56" s="35">
        <v>1</v>
      </c>
    </row>
    <row r="57" spans="1:33" x14ac:dyDescent="0.15">
      <c r="A57" s="34">
        <f t="shared" si="2"/>
        <v>215060001</v>
      </c>
      <c r="B57" s="36">
        <v>21</v>
      </c>
      <c r="C57" s="36">
        <v>5</v>
      </c>
      <c r="D57" s="36">
        <v>6</v>
      </c>
      <c r="E57" s="36">
        <v>0</v>
      </c>
      <c r="F57" s="39">
        <f t="shared" si="5"/>
        <v>1</v>
      </c>
      <c r="G57" s="74"/>
      <c r="H57" s="62">
        <v>1</v>
      </c>
      <c r="J57" s="35" t="s">
        <v>417</v>
      </c>
      <c r="K57" s="36" t="s">
        <v>431</v>
      </c>
      <c r="Q57" s="38" t="s">
        <v>436</v>
      </c>
      <c r="S57" s="62">
        <v>10</v>
      </c>
      <c r="AG57" s="35">
        <v>1</v>
      </c>
    </row>
    <row r="58" spans="1:33" x14ac:dyDescent="0.15">
      <c r="A58" s="34">
        <f t="shared" si="2"/>
        <v>215070001</v>
      </c>
      <c r="B58" s="36">
        <v>21</v>
      </c>
      <c r="C58" s="36">
        <v>5</v>
      </c>
      <c r="D58" s="36">
        <v>7</v>
      </c>
      <c r="E58" s="36">
        <v>0</v>
      </c>
      <c r="F58" s="39">
        <f t="shared" si="5"/>
        <v>1</v>
      </c>
      <c r="G58" s="74"/>
      <c r="H58" s="62">
        <v>1</v>
      </c>
      <c r="J58" s="35" t="s">
        <v>458</v>
      </c>
      <c r="K58" s="36" t="s">
        <v>431</v>
      </c>
      <c r="Q58" s="38" t="s">
        <v>436</v>
      </c>
      <c r="S58" s="38">
        <v>10</v>
      </c>
      <c r="AG58" s="35">
        <v>1</v>
      </c>
    </row>
    <row r="59" spans="1:33" x14ac:dyDescent="0.15">
      <c r="A59" s="34">
        <f t="shared" si="2"/>
        <v>215080001</v>
      </c>
      <c r="B59" s="36">
        <v>21</v>
      </c>
      <c r="C59" s="36">
        <v>5</v>
      </c>
      <c r="D59" s="36">
        <v>8</v>
      </c>
      <c r="E59" s="36">
        <v>0</v>
      </c>
      <c r="F59" s="39">
        <f t="shared" si="5"/>
        <v>1</v>
      </c>
      <c r="G59" s="74"/>
      <c r="H59" s="38">
        <v>1</v>
      </c>
      <c r="J59" s="35" t="s">
        <v>494</v>
      </c>
      <c r="K59" s="36" t="s">
        <v>431</v>
      </c>
      <c r="Q59" s="38" t="s">
        <v>436</v>
      </c>
      <c r="S59" s="62">
        <v>10</v>
      </c>
      <c r="AG59" s="35">
        <v>1</v>
      </c>
    </row>
    <row r="60" spans="1:33" x14ac:dyDescent="0.15">
      <c r="G60" s="74"/>
      <c r="Q60" s="38" t="s">
        <v>436</v>
      </c>
      <c r="S60" s="62">
        <v>10</v>
      </c>
      <c r="AG60" s="35">
        <v>1</v>
      </c>
    </row>
    <row r="61" spans="1:33" x14ac:dyDescent="0.15">
      <c r="G61" s="74"/>
      <c r="Q61" s="38" t="s">
        <v>436</v>
      </c>
      <c r="S61" s="38">
        <v>10</v>
      </c>
      <c r="AG61" s="35">
        <v>1</v>
      </c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ht="17.25" thickBot="1" x14ac:dyDescent="0.2">
      <c r="G70" s="74"/>
    </row>
    <row r="71" spans="7:7" x14ac:dyDescent="0.15">
      <c r="G71" s="73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ht="17.25" thickBot="1" x14ac:dyDescent="0.2">
      <c r="G90" s="74"/>
    </row>
    <row r="91" spans="7:7" x14ac:dyDescent="0.15">
      <c r="G91" s="73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x14ac:dyDescent="0.15">
      <c r="G108" s="74"/>
    </row>
    <row r="109" spans="7:7" x14ac:dyDescent="0.15">
      <c r="G109" s="74"/>
    </row>
    <row r="110" spans="7:7" ht="17.25" thickBot="1" x14ac:dyDescent="0.2">
      <c r="G11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AG100"/>
  <sheetViews>
    <sheetView zoomScale="90" zoomScaleNormal="90" workbookViewId="0">
      <selection activeCell="AB1" sqref="AB1:AB104857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453</v>
      </c>
      <c r="T3" s="71"/>
      <c r="U3" s="89" t="s">
        <v>358</v>
      </c>
      <c r="V3" s="71"/>
      <c r="W3" s="56" t="s">
        <v>536</v>
      </c>
      <c r="X3" s="56" t="s">
        <v>537</v>
      </c>
      <c r="Y3" s="56" t="s">
        <v>538</v>
      </c>
      <c r="Z3" s="60" t="s">
        <v>539</v>
      </c>
      <c r="AA3" s="71"/>
      <c r="AB3" s="56" t="s">
        <v>540</v>
      </c>
      <c r="AC3" s="56" t="s">
        <v>541</v>
      </c>
      <c r="AD3" s="56" t="s">
        <v>542</v>
      </c>
      <c r="AE3" s="60" t="s">
        <v>543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439</v>
      </c>
      <c r="C4" s="82" t="s">
        <v>440</v>
      </c>
      <c r="D4" s="82" t="s">
        <v>441</v>
      </c>
      <c r="E4" s="82" t="s">
        <v>442</v>
      </c>
      <c r="F4" s="82" t="s">
        <v>443</v>
      </c>
      <c r="G4" s="72" t="s">
        <v>355</v>
      </c>
      <c r="H4" s="83" t="s">
        <v>344</v>
      </c>
      <c r="I4" s="72" t="s">
        <v>354</v>
      </c>
      <c r="J4" s="83" t="s">
        <v>437</v>
      </c>
      <c r="K4" s="84" t="s">
        <v>434</v>
      </c>
      <c r="L4" s="84" t="s">
        <v>435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452</v>
      </c>
      <c r="S4" s="81" t="s">
        <v>535</v>
      </c>
      <c r="T4" s="72" t="s">
        <v>87</v>
      </c>
      <c r="U4" s="90" t="s">
        <v>357</v>
      </c>
      <c r="V4" s="72" t="s">
        <v>444</v>
      </c>
      <c r="W4" s="58" t="s">
        <v>544</v>
      </c>
      <c r="X4" s="58" t="s">
        <v>545</v>
      </c>
      <c r="Y4" s="58" t="s">
        <v>546</v>
      </c>
      <c r="Z4" s="83" t="s">
        <v>547</v>
      </c>
      <c r="AA4" s="72" t="s">
        <v>454</v>
      </c>
      <c r="AB4" s="58" t="s">
        <v>548</v>
      </c>
      <c r="AC4" s="58" t="s">
        <v>549</v>
      </c>
      <c r="AD4" s="58" t="s">
        <v>550</v>
      </c>
      <c r="AE4" s="83" t="s">
        <v>445</v>
      </c>
      <c r="AF4" s="72" t="s">
        <v>346</v>
      </c>
      <c r="AG4" s="2" t="s">
        <v>438</v>
      </c>
    </row>
    <row r="5" spans="1:33" s="37" customFormat="1" x14ac:dyDescent="0.15">
      <c r="A5" s="37">
        <f t="shared" ref="A5:A49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405</v>
      </c>
      <c r="K5" s="39" t="s">
        <v>433</v>
      </c>
      <c r="L5" s="39" t="s">
        <v>430</v>
      </c>
      <c r="M5" s="39"/>
      <c r="N5" s="39"/>
      <c r="O5" s="37" t="str">
        <f>CONCATENATE(M5,N5,".png")</f>
        <v>.png</v>
      </c>
      <c r="P5" s="38"/>
      <c r="Q5" s="38" t="s">
        <v>436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406</v>
      </c>
      <c r="K6" s="39" t="s">
        <v>433</v>
      </c>
      <c r="L6" s="39" t="s">
        <v>430</v>
      </c>
      <c r="M6" s="69"/>
      <c r="N6" s="69"/>
      <c r="O6" s="70" t="str">
        <f>CONCATENATE(M6,N6,".png")</f>
        <v>.png</v>
      </c>
      <c r="P6" s="62"/>
      <c r="Q6" s="38" t="s">
        <v>436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407</v>
      </c>
      <c r="K7" s="39" t="s">
        <v>433</v>
      </c>
      <c r="L7" s="39" t="s">
        <v>430</v>
      </c>
      <c r="M7" s="69"/>
      <c r="N7" s="69"/>
      <c r="O7" s="70" t="str">
        <f>CONCATENATE(M7,N7,".png")</f>
        <v>.png</v>
      </c>
      <c r="P7" s="62"/>
      <c r="Q7" s="38" t="s">
        <v>436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488</v>
      </c>
      <c r="K8" s="39" t="s">
        <v>433</v>
      </c>
      <c r="L8" s="39" t="s">
        <v>430</v>
      </c>
      <c r="M8" s="69"/>
      <c r="N8" s="69"/>
      <c r="O8" s="70"/>
      <c r="P8" s="62"/>
      <c r="Q8" s="38" t="s">
        <v>436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408</v>
      </c>
      <c r="K9" s="39" t="s">
        <v>433</v>
      </c>
      <c r="L9" s="39" t="s">
        <v>430</v>
      </c>
      <c r="M9" s="69"/>
      <c r="N9" s="69"/>
      <c r="O9" s="70" t="str">
        <f>CONCATENATE(M9,N9,".png")</f>
        <v>.png</v>
      </c>
      <c r="P9" s="62"/>
      <c r="Q9" s="38" t="s">
        <v>436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416</v>
      </c>
      <c r="K10" s="39" t="s">
        <v>433</v>
      </c>
      <c r="L10" s="39" t="s">
        <v>430</v>
      </c>
      <c r="Q10" s="38" t="s">
        <v>436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si="0"/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480</v>
      </c>
      <c r="K11" s="39" t="s">
        <v>433</v>
      </c>
      <c r="L11" s="39" t="s">
        <v>430</v>
      </c>
      <c r="Q11" s="38" t="s">
        <v>436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471</v>
      </c>
      <c r="K12" s="39" t="s">
        <v>430</v>
      </c>
      <c r="L12" s="39"/>
      <c r="Q12" s="38" t="s">
        <v>436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0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429</v>
      </c>
      <c r="K13" s="39" t="s">
        <v>430</v>
      </c>
      <c r="Q13" s="38" t="s">
        <v>436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0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412</v>
      </c>
      <c r="K14" s="36" t="s">
        <v>430</v>
      </c>
      <c r="Q14" s="38" t="s">
        <v>436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0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414</v>
      </c>
      <c r="K15" s="36" t="s">
        <v>430</v>
      </c>
      <c r="Q15" s="38" t="s">
        <v>436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0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418</v>
      </c>
      <c r="K16" s="36" t="s">
        <v>430</v>
      </c>
      <c r="Q16" s="38" t="s">
        <v>436</v>
      </c>
      <c r="S16" s="62">
        <v>10</v>
      </c>
      <c r="AG16" s="35">
        <v>1</v>
      </c>
    </row>
    <row r="17" spans="1:33" x14ac:dyDescent="0.15">
      <c r="A17" s="34">
        <f t="shared" si="0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419</v>
      </c>
      <c r="K17" s="36" t="s">
        <v>430</v>
      </c>
      <c r="Q17" s="38" t="s">
        <v>436</v>
      </c>
      <c r="S17" s="62">
        <v>500</v>
      </c>
      <c r="AG17" s="35">
        <v>1</v>
      </c>
    </row>
    <row r="18" spans="1:33" x14ac:dyDescent="0.15">
      <c r="A18" s="34">
        <f t="shared" si="0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420</v>
      </c>
      <c r="K18" s="36" t="s">
        <v>430</v>
      </c>
      <c r="Q18" s="38" t="s">
        <v>436</v>
      </c>
      <c r="S18" s="38">
        <v>1000</v>
      </c>
      <c r="AG18" s="35">
        <v>1</v>
      </c>
    </row>
    <row r="19" spans="1:33" x14ac:dyDescent="0.15">
      <c r="A19" s="34">
        <f t="shared" si="0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421</v>
      </c>
      <c r="K19" s="36" t="s">
        <v>430</v>
      </c>
      <c r="Q19" s="38" t="s">
        <v>436</v>
      </c>
      <c r="S19" s="38">
        <v>1000</v>
      </c>
      <c r="AG19" s="35">
        <v>1</v>
      </c>
    </row>
    <row r="20" spans="1:33" x14ac:dyDescent="0.15">
      <c r="A20" s="34">
        <f t="shared" si="0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422</v>
      </c>
      <c r="K20" s="36" t="s">
        <v>430</v>
      </c>
      <c r="Q20" s="38" t="s">
        <v>436</v>
      </c>
      <c r="S20" s="38">
        <v>1000</v>
      </c>
      <c r="AG20" s="35">
        <v>1</v>
      </c>
    </row>
    <row r="21" spans="1:33" x14ac:dyDescent="0.15">
      <c r="A21" s="34">
        <f t="shared" si="0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496</v>
      </c>
      <c r="K21" s="36" t="s">
        <v>430</v>
      </c>
      <c r="Q21" s="38" t="s">
        <v>530</v>
      </c>
      <c r="S21" s="38">
        <v>1000</v>
      </c>
    </row>
    <row r="22" spans="1:33" x14ac:dyDescent="0.15">
      <c r="A22" s="34">
        <f t="shared" si="0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2">H22</f>
        <v>1</v>
      </c>
      <c r="G22" s="74"/>
      <c r="H22" s="62">
        <v>1</v>
      </c>
      <c r="J22" s="35" t="s">
        <v>497</v>
      </c>
      <c r="K22" s="36" t="s">
        <v>430</v>
      </c>
      <c r="Q22" s="38" t="s">
        <v>530</v>
      </c>
      <c r="S22" s="38">
        <v>1000</v>
      </c>
    </row>
    <row r="23" spans="1:33" x14ac:dyDescent="0.15">
      <c r="A23" s="34">
        <f t="shared" si="0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2"/>
        <v>1</v>
      </c>
      <c r="G23" s="74"/>
      <c r="H23" s="62">
        <v>1</v>
      </c>
      <c r="J23" s="35" t="s">
        <v>498</v>
      </c>
      <c r="K23" s="36" t="s">
        <v>430</v>
      </c>
      <c r="Q23" s="38" t="s">
        <v>530</v>
      </c>
      <c r="S23" s="38">
        <v>1000</v>
      </c>
    </row>
    <row r="24" spans="1:33" x14ac:dyDescent="0.15">
      <c r="A24" s="34">
        <f t="shared" si="0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2"/>
        <v>1</v>
      </c>
      <c r="G24" s="74"/>
      <c r="H24" s="62">
        <v>1</v>
      </c>
      <c r="J24" s="35" t="s">
        <v>505</v>
      </c>
      <c r="K24" s="36" t="s">
        <v>430</v>
      </c>
      <c r="Q24" s="38" t="s">
        <v>530</v>
      </c>
      <c r="S24" s="38">
        <v>1000</v>
      </c>
    </row>
    <row r="25" spans="1:33" x14ac:dyDescent="0.15">
      <c r="A25" s="34">
        <f t="shared" si="0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2"/>
        <v>1</v>
      </c>
      <c r="G25" s="74"/>
      <c r="H25" s="62">
        <v>1</v>
      </c>
      <c r="J25" s="35" t="s">
        <v>499</v>
      </c>
      <c r="K25" s="36" t="s">
        <v>430</v>
      </c>
      <c r="Q25" s="38" t="s">
        <v>530</v>
      </c>
      <c r="S25" s="38">
        <v>1000</v>
      </c>
    </row>
    <row r="26" spans="1:33" x14ac:dyDescent="0.15">
      <c r="A26" s="34">
        <f t="shared" si="0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2"/>
        <v>1</v>
      </c>
      <c r="G26" s="74"/>
      <c r="H26" s="62">
        <v>1</v>
      </c>
      <c r="J26" s="35" t="s">
        <v>500</v>
      </c>
      <c r="K26" s="36" t="s">
        <v>430</v>
      </c>
      <c r="Q26" s="38" t="s">
        <v>530</v>
      </c>
      <c r="S26" s="38">
        <v>1000</v>
      </c>
    </row>
    <row r="27" spans="1:33" x14ac:dyDescent="0.15">
      <c r="A27" s="34">
        <f t="shared" si="0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2"/>
        <v>1</v>
      </c>
      <c r="G27" s="74"/>
      <c r="H27" s="62">
        <v>1</v>
      </c>
      <c r="J27" s="35" t="s">
        <v>501</v>
      </c>
      <c r="K27" s="36" t="s">
        <v>430</v>
      </c>
      <c r="Q27" s="38" t="s">
        <v>530</v>
      </c>
      <c r="S27" s="38">
        <v>1000</v>
      </c>
    </row>
    <row r="28" spans="1:33" x14ac:dyDescent="0.15">
      <c r="A28" s="34">
        <f t="shared" si="0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2"/>
        <v>1</v>
      </c>
      <c r="G28" s="74"/>
      <c r="H28" s="62">
        <v>1</v>
      </c>
      <c r="J28" s="35" t="s">
        <v>510</v>
      </c>
      <c r="K28" s="36" t="s">
        <v>430</v>
      </c>
      <c r="Q28" s="38" t="s">
        <v>530</v>
      </c>
      <c r="S28" s="38">
        <v>1000</v>
      </c>
    </row>
    <row r="29" spans="1:33" x14ac:dyDescent="0.15">
      <c r="A29" s="34">
        <f t="shared" si="0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2"/>
        <v>1</v>
      </c>
      <c r="G29" s="74"/>
      <c r="H29" s="62">
        <v>1</v>
      </c>
      <c r="J29" s="35" t="s">
        <v>513</v>
      </c>
      <c r="K29" s="36" t="s">
        <v>430</v>
      </c>
      <c r="Q29" s="38" t="s">
        <v>530</v>
      </c>
      <c r="S29" s="38">
        <v>1000</v>
      </c>
    </row>
    <row r="30" spans="1:33" x14ac:dyDescent="0.15">
      <c r="A30" s="34">
        <f t="shared" si="0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2"/>
        <v>1</v>
      </c>
      <c r="G30" s="74"/>
      <c r="H30" s="62">
        <v>1</v>
      </c>
      <c r="J30" s="35" t="s">
        <v>514</v>
      </c>
      <c r="K30" s="36" t="s">
        <v>430</v>
      </c>
      <c r="Q30" s="38" t="s">
        <v>530</v>
      </c>
      <c r="S30" s="38">
        <v>1000</v>
      </c>
    </row>
    <row r="31" spans="1:33" x14ac:dyDescent="0.15">
      <c r="A31" s="34">
        <f t="shared" si="0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2"/>
        <v>1</v>
      </c>
      <c r="G31" s="74"/>
      <c r="H31" s="62">
        <v>1</v>
      </c>
      <c r="J31" s="35" t="s">
        <v>521</v>
      </c>
      <c r="K31" s="36" t="s">
        <v>430</v>
      </c>
      <c r="Q31" s="38" t="s">
        <v>530</v>
      </c>
      <c r="S31" s="38">
        <v>1000</v>
      </c>
    </row>
    <row r="32" spans="1:33" x14ac:dyDescent="0.15">
      <c r="A32" s="34">
        <f t="shared" si="0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2"/>
        <v>0</v>
      </c>
      <c r="G32" s="74"/>
      <c r="H32" s="62"/>
      <c r="J32" s="35" t="s">
        <v>528</v>
      </c>
      <c r="K32" s="36" t="s">
        <v>430</v>
      </c>
      <c r="Q32" s="38" t="s">
        <v>530</v>
      </c>
      <c r="S32" s="38">
        <v>1000</v>
      </c>
    </row>
    <row r="33" spans="1:33" x14ac:dyDescent="0.15">
      <c r="A33" s="34">
        <f t="shared" si="0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2"/>
        <v>1</v>
      </c>
      <c r="G33" s="74"/>
      <c r="H33" s="62">
        <v>1</v>
      </c>
      <c r="J33" s="35" t="s">
        <v>523</v>
      </c>
      <c r="K33" s="36" t="s">
        <v>430</v>
      </c>
      <c r="Q33" s="38" t="s">
        <v>530</v>
      </c>
      <c r="S33" s="38">
        <v>1000</v>
      </c>
    </row>
    <row r="34" spans="1:33" x14ac:dyDescent="0.15">
      <c r="A34" s="34">
        <f t="shared" si="0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2"/>
        <v>1</v>
      </c>
      <c r="G34" s="74"/>
      <c r="H34" s="62">
        <v>1</v>
      </c>
      <c r="J34" s="35" t="s">
        <v>524</v>
      </c>
      <c r="K34" s="36" t="s">
        <v>430</v>
      </c>
      <c r="Q34" s="38" t="s">
        <v>530</v>
      </c>
      <c r="S34" s="38">
        <v>1000</v>
      </c>
    </row>
    <row r="35" spans="1:33" x14ac:dyDescent="0.15">
      <c r="A35" s="34">
        <f t="shared" si="0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2"/>
        <v>1</v>
      </c>
      <c r="G35" s="74"/>
      <c r="H35" s="62">
        <v>1</v>
      </c>
      <c r="J35" s="35" t="s">
        <v>526</v>
      </c>
      <c r="K35" s="36" t="s">
        <v>430</v>
      </c>
      <c r="Q35" s="38" t="s">
        <v>530</v>
      </c>
      <c r="S35" s="38">
        <v>1000</v>
      </c>
    </row>
    <row r="36" spans="1:33" x14ac:dyDescent="0.15">
      <c r="A36" s="34">
        <f t="shared" si="0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2"/>
        <v>1</v>
      </c>
      <c r="G36" s="74"/>
      <c r="H36" s="62">
        <v>1</v>
      </c>
      <c r="J36" s="35" t="s">
        <v>423</v>
      </c>
      <c r="K36" s="36" t="s">
        <v>430</v>
      </c>
      <c r="Q36" s="38" t="s">
        <v>436</v>
      </c>
      <c r="S36" s="38">
        <v>10</v>
      </c>
      <c r="AG36" s="35">
        <v>1</v>
      </c>
    </row>
    <row r="37" spans="1:33" x14ac:dyDescent="0.15">
      <c r="A37" s="34">
        <f t="shared" si="0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2"/>
        <v>1</v>
      </c>
      <c r="G37" s="74"/>
      <c r="H37" s="38">
        <v>1</v>
      </c>
      <c r="J37" s="35" t="s">
        <v>424</v>
      </c>
      <c r="K37" s="36" t="s">
        <v>430</v>
      </c>
      <c r="Q37" s="38" t="s">
        <v>436</v>
      </c>
      <c r="S37" s="62">
        <v>10</v>
      </c>
      <c r="AG37" s="35">
        <v>1</v>
      </c>
    </row>
    <row r="38" spans="1:33" x14ac:dyDescent="0.15">
      <c r="A38" s="34">
        <f t="shared" si="0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2"/>
        <v>1</v>
      </c>
      <c r="G38" s="74"/>
      <c r="H38" s="62">
        <v>1</v>
      </c>
      <c r="J38" s="35" t="s">
        <v>425</v>
      </c>
      <c r="K38" s="36" t="s">
        <v>430</v>
      </c>
      <c r="Q38" s="38" t="s">
        <v>436</v>
      </c>
      <c r="S38" s="62">
        <v>10</v>
      </c>
      <c r="AG38" s="35">
        <v>1</v>
      </c>
    </row>
    <row r="39" spans="1:33" x14ac:dyDescent="0.15">
      <c r="A39" s="34">
        <f t="shared" si="0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2"/>
        <v>1</v>
      </c>
      <c r="G39" s="74"/>
      <c r="H39" s="62">
        <v>1</v>
      </c>
      <c r="J39" s="35" t="s">
        <v>426</v>
      </c>
      <c r="K39" s="36" t="s">
        <v>430</v>
      </c>
      <c r="Q39" s="38" t="s">
        <v>436</v>
      </c>
      <c r="S39" s="38">
        <v>10</v>
      </c>
      <c r="AG39" s="35">
        <v>1</v>
      </c>
    </row>
    <row r="40" spans="1:33" ht="17.25" thickBot="1" x14ac:dyDescent="0.2">
      <c r="A40" s="34">
        <f t="shared" si="0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2"/>
        <v>1</v>
      </c>
      <c r="G40" s="74"/>
      <c r="H40" s="62">
        <v>1</v>
      </c>
      <c r="J40" s="35" t="s">
        <v>427</v>
      </c>
      <c r="K40" s="36" t="s">
        <v>430</v>
      </c>
      <c r="Q40" s="38" t="s">
        <v>436</v>
      </c>
      <c r="S40" s="62">
        <v>10</v>
      </c>
      <c r="AG40" s="35">
        <v>1</v>
      </c>
    </row>
    <row r="41" spans="1:33" x14ac:dyDescent="0.15">
      <c r="A41" s="34">
        <f t="shared" si="0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2"/>
        <v>1</v>
      </c>
      <c r="G41" s="73"/>
      <c r="H41" s="38">
        <v>1</v>
      </c>
      <c r="J41" s="35" t="s">
        <v>428</v>
      </c>
      <c r="K41" s="36" t="s">
        <v>430</v>
      </c>
      <c r="Q41" s="38" t="s">
        <v>436</v>
      </c>
      <c r="S41" s="62">
        <v>10</v>
      </c>
      <c r="AG41" s="35">
        <v>1</v>
      </c>
    </row>
    <row r="42" spans="1:33" x14ac:dyDescent="0.15">
      <c r="A42" s="34">
        <f t="shared" si="0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2"/>
        <v>1</v>
      </c>
      <c r="G42" s="74"/>
      <c r="H42" s="62">
        <v>1</v>
      </c>
      <c r="J42" s="35" t="s">
        <v>409</v>
      </c>
      <c r="K42" s="36" t="s">
        <v>432</v>
      </c>
      <c r="Q42" s="38" t="s">
        <v>436</v>
      </c>
      <c r="S42" s="38">
        <v>10</v>
      </c>
      <c r="AG42" s="35">
        <v>1</v>
      </c>
    </row>
    <row r="43" spans="1:33" x14ac:dyDescent="0.15">
      <c r="A43" s="34">
        <f t="shared" si="0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2"/>
        <v>1</v>
      </c>
      <c r="G43" s="74"/>
      <c r="H43" s="62">
        <v>1</v>
      </c>
      <c r="J43" s="35" t="s">
        <v>411</v>
      </c>
      <c r="K43" s="36" t="s">
        <v>432</v>
      </c>
      <c r="Q43" s="38" t="s">
        <v>436</v>
      </c>
      <c r="S43" s="62">
        <v>10</v>
      </c>
      <c r="AG43" s="35">
        <v>1</v>
      </c>
    </row>
    <row r="44" spans="1:33" x14ac:dyDescent="0.15">
      <c r="A44" s="34">
        <f t="shared" si="0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2"/>
        <v>1</v>
      </c>
      <c r="G44" s="74"/>
      <c r="H44" s="62">
        <v>1</v>
      </c>
      <c r="J44" s="35" t="s">
        <v>410</v>
      </c>
      <c r="K44" s="36" t="s">
        <v>431</v>
      </c>
      <c r="Q44" s="38" t="s">
        <v>436</v>
      </c>
      <c r="S44" s="62">
        <v>10</v>
      </c>
      <c r="AG44" s="35">
        <v>1</v>
      </c>
    </row>
    <row r="45" spans="1:33" x14ac:dyDescent="0.15">
      <c r="A45" s="34">
        <f t="shared" si="0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2"/>
        <v>1</v>
      </c>
      <c r="G45" s="74"/>
      <c r="H45" s="38">
        <v>1</v>
      </c>
      <c r="J45" s="35" t="s">
        <v>413</v>
      </c>
      <c r="K45" s="36" t="s">
        <v>431</v>
      </c>
      <c r="Q45" s="38" t="s">
        <v>436</v>
      </c>
      <c r="S45" s="38">
        <v>10</v>
      </c>
      <c r="AG45" s="35">
        <v>1</v>
      </c>
    </row>
    <row r="46" spans="1:33" x14ac:dyDescent="0.15">
      <c r="A46" s="34">
        <f t="shared" si="0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2"/>
        <v>1</v>
      </c>
      <c r="G46" s="74"/>
      <c r="H46" s="62">
        <v>1</v>
      </c>
      <c r="J46" s="35" t="s">
        <v>415</v>
      </c>
      <c r="K46" s="36" t="s">
        <v>431</v>
      </c>
      <c r="Q46" s="38" t="s">
        <v>436</v>
      </c>
      <c r="S46" s="62">
        <v>10</v>
      </c>
      <c r="AG46" s="35">
        <v>1</v>
      </c>
    </row>
    <row r="47" spans="1:33" x14ac:dyDescent="0.15">
      <c r="A47" s="34">
        <f t="shared" si="0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2"/>
        <v>1</v>
      </c>
      <c r="G47" s="74"/>
      <c r="H47" s="62">
        <v>1</v>
      </c>
      <c r="J47" s="35" t="s">
        <v>417</v>
      </c>
      <c r="K47" s="36" t="s">
        <v>431</v>
      </c>
      <c r="Q47" s="38" t="s">
        <v>436</v>
      </c>
      <c r="S47" s="62">
        <v>10</v>
      </c>
      <c r="AG47" s="35">
        <v>1</v>
      </c>
    </row>
    <row r="48" spans="1:33" x14ac:dyDescent="0.15">
      <c r="A48" s="34">
        <f t="shared" si="0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2"/>
        <v>1</v>
      </c>
      <c r="G48" s="74"/>
      <c r="H48" s="62">
        <v>1</v>
      </c>
      <c r="J48" s="35" t="s">
        <v>458</v>
      </c>
      <c r="K48" s="36" t="s">
        <v>431</v>
      </c>
      <c r="Q48" s="38" t="s">
        <v>436</v>
      </c>
      <c r="S48" s="38">
        <v>10</v>
      </c>
      <c r="AG48" s="35">
        <v>1</v>
      </c>
    </row>
    <row r="49" spans="1:33" x14ac:dyDescent="0.15">
      <c r="A49" s="34">
        <f t="shared" si="0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2"/>
        <v>1</v>
      </c>
      <c r="G49" s="74"/>
      <c r="H49" s="38">
        <v>1</v>
      </c>
      <c r="J49" s="35" t="s">
        <v>493</v>
      </c>
      <c r="K49" s="36" t="s">
        <v>431</v>
      </c>
      <c r="Q49" s="38" t="s">
        <v>436</v>
      </c>
      <c r="S49" s="62">
        <v>10</v>
      </c>
      <c r="AG49" s="35">
        <v>1</v>
      </c>
    </row>
    <row r="50" spans="1:33" x14ac:dyDescent="0.15">
      <c r="G50" s="74"/>
      <c r="Q50" s="38" t="s">
        <v>436</v>
      </c>
      <c r="S50" s="62">
        <v>10</v>
      </c>
      <c r="AG50" s="35">
        <v>1</v>
      </c>
    </row>
    <row r="51" spans="1:33" x14ac:dyDescent="0.15">
      <c r="G51" s="74"/>
      <c r="Q51" s="38" t="s">
        <v>436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K32" sqref="K32"/>
    </sheetView>
  </sheetViews>
  <sheetFormatPr defaultRowHeight="16.5" x14ac:dyDescent="0.15"/>
  <cols>
    <col min="1" max="2" width="11.25" style="56" bestFit="1" customWidth="1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627</v>
      </c>
      <c r="B3" s="56" t="s">
        <v>628</v>
      </c>
    </row>
    <row r="4" spans="1:2" ht="17.25" thickBot="1" x14ac:dyDescent="0.2">
      <c r="A4" s="58" t="s">
        <v>629</v>
      </c>
      <c r="B4" s="58" t="s">
        <v>630</v>
      </c>
    </row>
    <row r="5" spans="1:2" x14ac:dyDescent="0.15">
      <c r="A5" s="56">
        <v>1</v>
      </c>
    </row>
    <row r="6" spans="1:2" x14ac:dyDescent="0.15">
      <c r="A6" s="56">
        <v>2</v>
      </c>
    </row>
    <row r="7" spans="1:2" x14ac:dyDescent="0.15">
      <c r="A7" s="56">
        <v>3</v>
      </c>
    </row>
    <row r="8" spans="1:2" x14ac:dyDescent="0.15">
      <c r="A8" s="56">
        <v>4</v>
      </c>
    </row>
    <row r="9" spans="1:2" x14ac:dyDescent="0.15">
      <c r="A9" s="56">
        <v>5</v>
      </c>
    </row>
    <row r="10" spans="1:2" x14ac:dyDescent="0.15">
      <c r="A10" s="56">
        <v>6</v>
      </c>
    </row>
    <row r="11" spans="1:2" x14ac:dyDescent="0.15">
      <c r="A11" s="56">
        <v>7</v>
      </c>
    </row>
    <row r="12" spans="1:2" x14ac:dyDescent="0.15">
      <c r="A12" s="56">
        <v>8</v>
      </c>
    </row>
    <row r="13" spans="1:2" x14ac:dyDescent="0.15">
      <c r="A13" s="56">
        <v>9</v>
      </c>
    </row>
    <row r="14" spans="1:2" x14ac:dyDescent="0.15">
      <c r="A14" s="56">
        <v>10</v>
      </c>
    </row>
    <row r="15" spans="1:2" x14ac:dyDescent="0.15">
      <c r="A15" s="56">
        <v>11</v>
      </c>
    </row>
    <row r="16" spans="1:2" x14ac:dyDescent="0.15">
      <c r="A16" s="56">
        <v>12</v>
      </c>
    </row>
    <row r="17" spans="1:1" x14ac:dyDescent="0.15">
      <c r="A17" s="56">
        <v>13</v>
      </c>
    </row>
    <row r="18" spans="1:1" x14ac:dyDescent="0.15">
      <c r="A18" s="56">
        <v>14</v>
      </c>
    </row>
    <row r="19" spans="1:1" x14ac:dyDescent="0.15">
      <c r="A19" s="56">
        <v>15</v>
      </c>
    </row>
    <row r="20" spans="1:1" x14ac:dyDescent="0.15">
      <c r="A20" s="56">
        <v>16</v>
      </c>
    </row>
    <row r="21" spans="1:1" x14ac:dyDescent="0.15">
      <c r="A21" s="56">
        <v>17</v>
      </c>
    </row>
    <row r="22" spans="1:1" x14ac:dyDescent="0.15">
      <c r="A22" s="56">
        <v>18</v>
      </c>
    </row>
    <row r="23" spans="1:1" x14ac:dyDescent="0.15">
      <c r="A23" s="56">
        <v>19</v>
      </c>
    </row>
    <row r="24" spans="1:1" x14ac:dyDescent="0.15">
      <c r="A24" s="56">
        <v>20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24"/>
  <sheetViews>
    <sheetView workbookViewId="0">
      <selection activeCell="C1" sqref="C1:D1048576"/>
    </sheetView>
  </sheetViews>
  <sheetFormatPr defaultRowHeight="16.5" x14ac:dyDescent="0.15"/>
  <cols>
    <col min="1" max="2" width="11.25" style="56" bestFit="1" customWidth="1"/>
    <col min="5" max="16384" width="9" style="97"/>
  </cols>
  <sheetData>
    <row r="1" spans="1:4" x14ac:dyDescent="0.15">
      <c r="A1" s="56" t="s">
        <v>638</v>
      </c>
      <c r="B1" s="56" t="s">
        <v>60</v>
      </c>
      <c r="C1" s="97"/>
      <c r="D1" s="97"/>
    </row>
    <row r="2" spans="1:4" x14ac:dyDescent="0.15">
      <c r="A2" s="56" t="s">
        <v>61</v>
      </c>
      <c r="B2" s="56" t="s">
        <v>61</v>
      </c>
      <c r="C2" s="97"/>
      <c r="D2" s="97"/>
    </row>
    <row r="3" spans="1:4" x14ac:dyDescent="0.15">
      <c r="A3" s="56" t="s">
        <v>633</v>
      </c>
      <c r="B3" s="56" t="s">
        <v>634</v>
      </c>
      <c r="C3" s="97"/>
      <c r="D3" s="97"/>
    </row>
    <row r="4" spans="1:4" ht="17.25" thickBot="1" x14ac:dyDescent="0.2">
      <c r="A4" s="58" t="s">
        <v>631</v>
      </c>
      <c r="B4" s="58" t="s">
        <v>632</v>
      </c>
      <c r="C4" s="97"/>
      <c r="D4" s="97"/>
    </row>
    <row r="5" spans="1:4" x14ac:dyDescent="0.15">
      <c r="A5" s="56">
        <v>1</v>
      </c>
      <c r="C5" s="97"/>
      <c r="D5" s="97"/>
    </row>
    <row r="6" spans="1:4" x14ac:dyDescent="0.15">
      <c r="A6" s="56">
        <v>2</v>
      </c>
      <c r="C6" s="97"/>
      <c r="D6" s="97"/>
    </row>
    <row r="7" spans="1:4" x14ac:dyDescent="0.15">
      <c r="A7" s="56">
        <v>3</v>
      </c>
      <c r="C7" s="97"/>
      <c r="D7" s="97"/>
    </row>
    <row r="8" spans="1:4" x14ac:dyDescent="0.15">
      <c r="A8" s="56">
        <v>4</v>
      </c>
      <c r="C8" s="97"/>
      <c r="D8" s="97"/>
    </row>
    <row r="9" spans="1:4" x14ac:dyDescent="0.15">
      <c r="A9" s="56">
        <v>5</v>
      </c>
      <c r="C9" s="97"/>
      <c r="D9" s="97"/>
    </row>
    <row r="10" spans="1:4" x14ac:dyDescent="0.15">
      <c r="A10" s="56">
        <v>6</v>
      </c>
      <c r="C10" s="97"/>
      <c r="D10" s="97"/>
    </row>
    <row r="11" spans="1:4" x14ac:dyDescent="0.15">
      <c r="A11" s="56">
        <v>7</v>
      </c>
      <c r="C11" s="97"/>
      <c r="D11" s="97"/>
    </row>
    <row r="12" spans="1:4" x14ac:dyDescent="0.15">
      <c r="A12" s="56">
        <v>8</v>
      </c>
      <c r="C12" s="97"/>
      <c r="D12" s="97"/>
    </row>
    <row r="13" spans="1:4" x14ac:dyDescent="0.15">
      <c r="A13" s="56">
        <v>9</v>
      </c>
      <c r="C13" s="97"/>
      <c r="D13" s="97"/>
    </row>
    <row r="14" spans="1:4" x14ac:dyDescent="0.15">
      <c r="A14" s="56">
        <v>10</v>
      </c>
      <c r="C14" s="97"/>
      <c r="D14" s="97"/>
    </row>
    <row r="15" spans="1:4" x14ac:dyDescent="0.15">
      <c r="A15" s="56">
        <v>11</v>
      </c>
      <c r="C15" s="97"/>
      <c r="D15" s="97"/>
    </row>
    <row r="16" spans="1:4" x14ac:dyDescent="0.15">
      <c r="A16" s="56">
        <v>12</v>
      </c>
      <c r="C16" s="97"/>
      <c r="D16" s="97"/>
    </row>
    <row r="17" spans="1:4" x14ac:dyDescent="0.15">
      <c r="A17" s="56">
        <v>13</v>
      </c>
      <c r="C17" s="97"/>
      <c r="D17" s="97"/>
    </row>
    <row r="18" spans="1:4" x14ac:dyDescent="0.15">
      <c r="A18" s="56">
        <v>14</v>
      </c>
      <c r="C18" s="97"/>
      <c r="D18" s="97"/>
    </row>
    <row r="19" spans="1:4" x14ac:dyDescent="0.15">
      <c r="A19" s="56">
        <v>15</v>
      </c>
      <c r="C19" s="97"/>
      <c r="D19" s="97"/>
    </row>
    <row r="20" spans="1:4" x14ac:dyDescent="0.15">
      <c r="A20" s="56">
        <v>16</v>
      </c>
      <c r="C20" s="97"/>
      <c r="D20" s="97"/>
    </row>
    <row r="21" spans="1:4" x14ac:dyDescent="0.15">
      <c r="A21" s="56">
        <v>17</v>
      </c>
      <c r="C21" s="97"/>
      <c r="D21" s="97"/>
    </row>
    <row r="22" spans="1:4" x14ac:dyDescent="0.15">
      <c r="A22" s="56">
        <v>18</v>
      </c>
      <c r="C22" s="97"/>
      <c r="D22" s="97"/>
    </row>
    <row r="23" spans="1:4" x14ac:dyDescent="0.15">
      <c r="A23" s="56">
        <v>19</v>
      </c>
      <c r="C23" s="97"/>
      <c r="D23" s="97"/>
    </row>
    <row r="24" spans="1:4" x14ac:dyDescent="0.15">
      <c r="A24" s="56">
        <v>20</v>
      </c>
      <c r="C24" s="97"/>
      <c r="D24" s="97"/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I24"/>
  <sheetViews>
    <sheetView workbookViewId="0">
      <selection activeCell="A9" sqref="A9:XFD9"/>
    </sheetView>
  </sheetViews>
  <sheetFormatPr defaultRowHeight="16.5" x14ac:dyDescent="0.15"/>
  <cols>
    <col min="1" max="2" width="11.25" style="56" bestFit="1" customWidth="1"/>
    <col min="3" max="3" width="11.375" style="98" customWidth="1"/>
    <col min="4" max="4" width="11.875" style="98" customWidth="1"/>
    <col min="5" max="5" width="8.125" style="98" customWidth="1"/>
    <col min="6" max="6" width="12.375" style="98" customWidth="1"/>
    <col min="7" max="7" width="9.875" style="98" customWidth="1"/>
    <col min="8" max="8" width="10.75" style="98" customWidth="1"/>
    <col min="9" max="9" width="12.625" style="98" customWidth="1"/>
    <col min="10" max="16384" width="9" style="98"/>
  </cols>
  <sheetData>
    <row r="1" spans="1:9" x14ac:dyDescent="0.15">
      <c r="A1" s="56" t="s">
        <v>641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</row>
    <row r="2" spans="1:9" x14ac:dyDescent="0.15">
      <c r="A2" s="56" t="s">
        <v>61</v>
      </c>
      <c r="B2" s="56" t="s">
        <v>61</v>
      </c>
    </row>
    <row r="3" spans="1:9" x14ac:dyDescent="0.15">
      <c r="A3" s="56" t="s">
        <v>640</v>
      </c>
      <c r="B3" s="56" t="s">
        <v>634</v>
      </c>
    </row>
    <row r="4" spans="1:9" ht="17.25" thickBot="1" x14ac:dyDescent="0.2">
      <c r="A4" s="58" t="s">
        <v>639</v>
      </c>
      <c r="B4" s="58"/>
      <c r="C4" s="98" t="s">
        <v>645</v>
      </c>
      <c r="D4" s="98" t="s">
        <v>646</v>
      </c>
      <c r="E4" s="98" t="s">
        <v>644</v>
      </c>
      <c r="F4" s="98" t="s">
        <v>642</v>
      </c>
      <c r="G4" s="98" t="s">
        <v>643</v>
      </c>
      <c r="H4" s="98" t="s">
        <v>644</v>
      </c>
      <c r="I4" s="98" t="s">
        <v>642</v>
      </c>
    </row>
    <row r="5" spans="1:9" x14ac:dyDescent="0.15">
      <c r="A5" s="56">
        <v>1</v>
      </c>
    </row>
    <row r="6" spans="1:9" x14ac:dyDescent="0.15">
      <c r="A6" s="56">
        <v>2</v>
      </c>
    </row>
    <row r="7" spans="1:9" ht="17.25" thickBot="1" x14ac:dyDescent="0.2">
      <c r="A7" s="56">
        <v>3</v>
      </c>
      <c r="C7" s="58"/>
    </row>
    <row r="8" spans="1:9" x14ac:dyDescent="0.15">
      <c r="A8" s="56">
        <v>4</v>
      </c>
    </row>
    <row r="9" spans="1:9" s="100" customFormat="1" ht="17.25" thickBot="1" x14ac:dyDescent="0.2">
      <c r="A9" s="99">
        <v>5</v>
      </c>
      <c r="B9" s="99"/>
    </row>
    <row r="10" spans="1:9" x14ac:dyDescent="0.15">
      <c r="A10" s="56">
        <v>6</v>
      </c>
    </row>
    <row r="11" spans="1:9" x14ac:dyDescent="0.15">
      <c r="A11" s="56">
        <v>7</v>
      </c>
    </row>
    <row r="12" spans="1:9" x14ac:dyDescent="0.15">
      <c r="A12" s="56">
        <v>8</v>
      </c>
    </row>
    <row r="13" spans="1:9" x14ac:dyDescent="0.15">
      <c r="A13" s="56">
        <v>9</v>
      </c>
    </row>
    <row r="14" spans="1:9" x14ac:dyDescent="0.15">
      <c r="A14" s="56">
        <v>10</v>
      </c>
    </row>
    <row r="15" spans="1:9" x14ac:dyDescent="0.15">
      <c r="A15" s="56">
        <v>11</v>
      </c>
    </row>
    <row r="16" spans="1:9" x14ac:dyDescent="0.15">
      <c r="A16" s="56">
        <v>12</v>
      </c>
    </row>
    <row r="17" spans="1:1" x14ac:dyDescent="0.15">
      <c r="A17" s="56">
        <v>13</v>
      </c>
    </row>
    <row r="18" spans="1:1" x14ac:dyDescent="0.15">
      <c r="A18" s="56">
        <v>14</v>
      </c>
    </row>
    <row r="19" spans="1:1" x14ac:dyDescent="0.15">
      <c r="A19" s="56">
        <v>15</v>
      </c>
    </row>
    <row r="20" spans="1:1" x14ac:dyDescent="0.15">
      <c r="A20" s="56">
        <v>16</v>
      </c>
    </row>
    <row r="21" spans="1:1" x14ac:dyDescent="0.15">
      <c r="A21" s="56">
        <v>17</v>
      </c>
    </row>
    <row r="22" spans="1:1" x14ac:dyDescent="0.15">
      <c r="A22" s="56">
        <v>18</v>
      </c>
    </row>
    <row r="23" spans="1:1" x14ac:dyDescent="0.15">
      <c r="A23" s="56">
        <v>19</v>
      </c>
    </row>
    <row r="24" spans="1:1" x14ac:dyDescent="0.15">
      <c r="A24" s="56">
        <v>20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舰队构成规则</vt:lpstr>
      <vt:lpstr>静态数据ID规则</vt:lpstr>
      <vt:lpstr>命名说明</vt:lpstr>
      <vt:lpstr>BUILDING</vt:lpstr>
      <vt:lpstr>ITEM_RES</vt:lpstr>
      <vt:lpstr>EVENTS</vt:lpstr>
      <vt:lpstr>PLAYER_LEVEL</vt:lpstr>
      <vt:lpstr>MANOR_LEVEL</vt:lpstr>
      <vt:lpstr>ROB_PROPORTION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2018-08-21T06:48:45Z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