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491" i="9"/>
  <c r="AM490" i="9"/>
  <c r="AM489" i="9"/>
  <c r="AM488" i="9"/>
  <c r="AM487" i="9"/>
  <c r="AM486" i="9"/>
  <c r="AM485" i="9"/>
  <c r="AM451" i="9"/>
  <c r="AM450" i="9"/>
  <c r="AM449" i="9"/>
  <c r="AM448" i="9"/>
  <c r="AM447" i="9"/>
  <c r="AM446" i="9"/>
  <c r="AM445" i="9"/>
  <c r="AM411" i="9"/>
  <c r="AM410" i="9"/>
  <c r="AM409" i="9"/>
  <c r="AM408" i="9"/>
  <c r="AM407" i="9"/>
  <c r="AM406" i="9"/>
  <c r="AM405" i="9"/>
  <c r="AM314" i="9"/>
  <c r="AM313" i="9"/>
  <c r="AM312" i="9"/>
  <c r="AM311" i="9"/>
  <c r="AM310" i="9"/>
  <c r="AM309" i="9"/>
  <c r="AM308" i="9"/>
  <c r="AM307" i="9"/>
  <c r="AM306" i="9"/>
  <c r="AM305" i="9"/>
  <c r="AM17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BF14" i="9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/>
  <c r="AV10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70" i="9"/>
  <c r="AM169" i="9"/>
  <c r="AM168" i="9"/>
  <c r="AM167" i="9"/>
  <c r="AM166" i="9"/>
  <c r="AM165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11" i="9"/>
  <c r="AM110" i="9"/>
  <c r="AM109" i="9"/>
  <c r="AM108" i="9"/>
  <c r="AM107" i="9"/>
  <c r="AM106" i="9"/>
  <c r="AM105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19" i="9"/>
  <c r="AV36" i="9"/>
  <c r="AV49" i="9"/>
  <c r="AV373" i="9"/>
  <c r="AV43" i="9"/>
  <c r="AV51" i="9"/>
  <c r="AV9" i="9"/>
  <c r="AV25" i="9"/>
  <c r="AV46" i="9"/>
  <c r="AV62" i="9"/>
  <c r="AV55" i="9"/>
  <c r="AV379" i="9"/>
  <c r="AV22" i="9"/>
  <c r="AV14" i="9"/>
  <c r="AV13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AI21" i="9"/>
  <c r="BM21" i="9"/>
  <c r="C22" i="9"/>
  <c r="F22" i="9"/>
  <c r="A22" i="9"/>
  <c r="AI22" i="9"/>
  <c r="BM22" i="9"/>
  <c r="C23" i="9"/>
  <c r="F23" i="9"/>
  <c r="AI23" i="9"/>
  <c r="BM23" i="9"/>
  <c r="AO23" i="9"/>
  <c r="C24" i="9"/>
  <c r="F24" i="9"/>
  <c r="AI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AI20" i="9"/>
  <c r="F20" i="9"/>
  <c r="A20" i="9"/>
  <c r="C20" i="9"/>
  <c r="BM19" i="9"/>
  <c r="AI19" i="9"/>
  <c r="F19" i="9"/>
  <c r="C19" i="9"/>
  <c r="A19" i="9"/>
  <c r="BM18" i="9"/>
  <c r="AO18" i="9"/>
  <c r="AI18" i="9"/>
  <c r="F18" i="9"/>
  <c r="C18" i="9"/>
  <c r="BM17" i="9"/>
  <c r="AI17" i="9"/>
  <c r="F17" i="9"/>
  <c r="C17" i="9"/>
  <c r="A17" i="9"/>
  <c r="BM16" i="9"/>
  <c r="AO16" i="9"/>
  <c r="AI16" i="9"/>
  <c r="F16" i="9"/>
  <c r="A16" i="9"/>
  <c r="C16" i="9"/>
  <c r="BM15" i="9"/>
  <c r="AI15" i="9"/>
  <c r="F15" i="9"/>
  <c r="C15" i="9"/>
  <c r="A15" i="9"/>
  <c r="BM14" i="9"/>
  <c r="AO14" i="9"/>
  <c r="AI14" i="9"/>
  <c r="F14" i="9"/>
  <c r="A14" i="9"/>
  <c r="C14" i="9"/>
  <c r="BM13" i="9"/>
  <c r="AI13" i="9"/>
  <c r="F13" i="9"/>
  <c r="C13" i="9"/>
  <c r="BM12" i="9"/>
  <c r="AO12" i="9"/>
  <c r="AI12" i="9"/>
  <c r="F12" i="9"/>
  <c r="A12" i="9"/>
  <c r="C12" i="9"/>
  <c r="BM11" i="9"/>
  <c r="AI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9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21" i="9"/>
  <c r="AV21" i="9"/>
  <c r="AF21" i="9"/>
  <c r="AE21" i="9"/>
  <c r="AQ22" i="9"/>
  <c r="AF22" i="9"/>
  <c r="AE22" i="9"/>
  <c r="AG22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19" i="9"/>
  <c r="AF19" i="9"/>
  <c r="AE19" i="9"/>
  <c r="AQ33" i="9"/>
  <c r="AQ11" i="9"/>
  <c r="AQ15" i="9"/>
  <c r="AQ10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7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12" i="9"/>
  <c r="AQ53" i="9"/>
  <c r="AQ8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16" i="9"/>
  <c r="AV16" i="9"/>
  <c r="AF16" i="9"/>
  <c r="AE16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18" i="9"/>
  <c r="AV18" i="9"/>
  <c r="AF18" i="9"/>
  <c r="AE1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20" i="9"/>
  <c r="AQ44" i="9"/>
  <c r="AQ61" i="9"/>
  <c r="AV61" i="9"/>
  <c r="AF61" i="9"/>
  <c r="AE61" i="9"/>
  <c r="AQ41" i="9"/>
  <c r="AQ82" i="9"/>
  <c r="AQ24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Q23" i="9"/>
  <c r="AF502" i="9"/>
  <c r="AE502" i="9"/>
  <c r="AQ54" i="9"/>
  <c r="AQ13" i="9"/>
  <c r="AF13" i="9"/>
  <c r="AE13" i="9"/>
  <c r="AQ14" i="9"/>
  <c r="AF14" i="9"/>
  <c r="AE14" i="9"/>
  <c r="AG1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17" i="9"/>
  <c r="AQ5" i="9"/>
  <c r="AQ26" i="9"/>
  <c r="AQ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8" i="9"/>
  <c r="AF8" i="9"/>
  <c r="AE8" i="9"/>
  <c r="AV12" i="9"/>
  <c r="AF12" i="9"/>
  <c r="AE12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11" i="9"/>
  <c r="AF11" i="9"/>
  <c r="AE11" i="9"/>
  <c r="AV378" i="9"/>
  <c r="AV367" i="9"/>
  <c r="AF367" i="9"/>
  <c r="AE367" i="9"/>
  <c r="AV45" i="9"/>
  <c r="AV20" i="9"/>
  <c r="AV6" i="9"/>
  <c r="AV5" i="9"/>
  <c r="W65" i="9"/>
  <c r="W76" i="9"/>
  <c r="AV32" i="9"/>
  <c r="AF32" i="9"/>
  <c r="AE32" i="9"/>
  <c r="AV376" i="9"/>
  <c r="AF376" i="9"/>
  <c r="AE376" i="9"/>
  <c r="AV23" i="9"/>
  <c r="AV29" i="9"/>
  <c r="W73" i="9"/>
  <c r="W84" i="9"/>
  <c r="AV31" i="9"/>
  <c r="AV17" i="9"/>
  <c r="AV7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AV24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15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0" i="9"/>
  <c r="AE10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9" i="9"/>
  <c r="AE9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5" i="9"/>
  <c r="AE5" i="9"/>
  <c r="AG5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15" i="9"/>
  <c r="AE15" i="9"/>
  <c r="AG15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F23" i="9"/>
  <c r="AE23" i="9"/>
  <c r="AG23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" i="9"/>
  <c r="AE6" i="9"/>
  <c r="AG6" i="9"/>
  <c r="AF24" i="9"/>
  <c r="AE24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7" i="9"/>
  <c r="AE7" i="9"/>
  <c r="AG8" i="9"/>
  <c r="AF20" i="9"/>
  <c r="AE20" i="9"/>
  <c r="AG21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F17" i="9"/>
  <c r="AE17" i="9"/>
  <c r="AG18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9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0" i="9"/>
  <c r="AG183" i="9"/>
  <c r="AG89" i="9"/>
  <c r="AG357" i="9"/>
  <c r="AG435" i="9"/>
  <c r="AG268" i="9"/>
  <c r="AG424" i="9"/>
  <c r="AG11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13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4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12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9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16" i="9"/>
  <c r="AG293" i="9"/>
  <c r="AG220" i="9"/>
  <c r="AG201" i="9"/>
  <c r="AG221" i="9"/>
  <c r="AG74" i="9"/>
  <c r="AG7" i="9"/>
  <c r="AG337" i="9"/>
  <c r="AG339" i="9"/>
  <c r="AG186" i="9"/>
  <c r="AG20" i="9"/>
  <c r="AG41" i="9"/>
  <c r="AG17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<sst xmlns="http://schemas.openxmlformats.org/spreadsheetml/2006/main" count="5505" uniqueCount="1455">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</sst>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82" zoomScaleNormal="100" workbookViewId="0">
      <pane xSplit="12" topLeftCell="AD1" activePane="topRight" state="frozen"/>
      <selection pane="topRight" activeCell="AF6" sqref="AF6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55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55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55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55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6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1338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56">
        <f t="shared" ref="AE5:AE24" ca="1" si="3">ROUND(AF5,0)</f>
        <v>1055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1055</v>
      </c>
      <c r="AG5" s="178">
        <f ca="1">AE5</f>
        <v>1055</v>
      </c>
      <c r="AH5" s="76"/>
      <c r="AI5" s="18">
        <f t="shared" ref="AI5:AI68" si="4">ROUND(AJ5,0)</f>
        <v>3</v>
      </c>
      <c r="AJ5" s="17">
        <v>3</v>
      </c>
      <c r="AK5" s="18">
        <f>ROUND(AL5,0)</f>
        <v>5</v>
      </c>
      <c r="AL5" s="17">
        <v>5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1338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55">
        <f t="shared" ca="1" si="3"/>
        <v>110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110</v>
      </c>
      <c r="AG6" s="176">
        <f ca="1">AE5+AE6</f>
        <v>1165</v>
      </c>
      <c r="AI6" s="11">
        <f t="shared" si="4"/>
        <v>5</v>
      </c>
      <c r="AJ6" s="10">
        <v>5</v>
      </c>
      <c r="AK6" s="11">
        <f t="shared" ref="AK6:AM89" si="6">ROUND(AL6,0)</f>
        <v>10</v>
      </c>
      <c r="AL6" s="10">
        <v>10</v>
      </c>
      <c r="AM6" s="11">
        <f t="shared" si="6"/>
        <v>0</v>
      </c>
      <c r="AN6" s="10">
        <v>0</v>
      </c>
      <c r="AO6" s="55">
        <f t="shared" ref="AO6:AO69" si="7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1339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310</v>
      </c>
      <c r="AC7" s="55">
        <v>3</v>
      </c>
      <c r="AE7" s="55">
        <f t="shared" ca="1" si="3"/>
        <v>165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165</v>
      </c>
      <c r="AG7" s="176">
        <f t="shared" ref="AG7:AG24" ca="1" si="8">AE6+AE7</f>
        <v>275</v>
      </c>
      <c r="AI7" s="11">
        <f t="shared" si="4"/>
        <v>5</v>
      </c>
      <c r="AJ7" s="10">
        <v>5</v>
      </c>
      <c r="AK7" s="11">
        <f t="shared" si="6"/>
        <v>15</v>
      </c>
      <c r="AL7" s="10">
        <v>15</v>
      </c>
      <c r="AM7" s="11">
        <f t="shared" si="6"/>
        <v>0</v>
      </c>
      <c r="AN7" s="10">
        <v>0</v>
      </c>
      <c r="AO7" s="55">
        <f t="shared" si="7"/>
        <v>1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1339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310</v>
      </c>
      <c r="AC8" s="55">
        <v>3</v>
      </c>
      <c r="AE8" s="55">
        <f t="shared" ca="1" si="3"/>
        <v>625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625</v>
      </c>
      <c r="AG8" s="176">
        <f t="shared" ca="1" si="8"/>
        <v>790</v>
      </c>
      <c r="AI8" s="11">
        <f t="shared" si="4"/>
        <v>15</v>
      </c>
      <c r="AJ8" s="10">
        <v>15</v>
      </c>
      <c r="AK8" s="11">
        <f t="shared" si="6"/>
        <v>25</v>
      </c>
      <c r="AL8" s="10">
        <v>25</v>
      </c>
      <c r="AM8" s="11">
        <f t="shared" si="6"/>
        <v>0</v>
      </c>
      <c r="AN8" s="10">
        <v>0</v>
      </c>
      <c r="AO8" s="55">
        <f t="shared" si="7"/>
        <v>1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1340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930</v>
      </c>
      <c r="AC9" s="55">
        <v>4</v>
      </c>
      <c r="AE9" s="55">
        <f t="shared" ca="1" si="3"/>
        <v>2740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2740</v>
      </c>
      <c r="AG9" s="176">
        <f t="shared" ca="1" si="8"/>
        <v>3365</v>
      </c>
      <c r="AI9" s="11">
        <f t="shared" si="4"/>
        <v>20</v>
      </c>
      <c r="AJ9" s="10">
        <v>20</v>
      </c>
      <c r="AK9" s="11">
        <f t="shared" si="6"/>
        <v>40</v>
      </c>
      <c r="AL9" s="10">
        <v>40</v>
      </c>
      <c r="AM9" s="11">
        <f t="shared" si="6"/>
        <v>0</v>
      </c>
      <c r="AN9" s="10">
        <v>0</v>
      </c>
      <c r="AO9" s="55">
        <f t="shared" si="7"/>
        <v>1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1340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930</v>
      </c>
      <c r="AC10" s="55">
        <v>4</v>
      </c>
      <c r="AE10" s="55">
        <f t="shared" ca="1" si="3"/>
        <v>9050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9050</v>
      </c>
      <c r="AG10" s="176">
        <f t="shared" ca="1" si="8"/>
        <v>11790</v>
      </c>
      <c r="AI10" s="11">
        <f t="shared" si="4"/>
        <v>30</v>
      </c>
      <c r="AJ10" s="10">
        <v>30</v>
      </c>
      <c r="AK10" s="11">
        <f t="shared" si="6"/>
        <v>50</v>
      </c>
      <c r="AL10" s="10">
        <v>50</v>
      </c>
      <c r="AM10" s="11">
        <f t="shared" si="6"/>
        <v>0</v>
      </c>
      <c r="AN10" s="10">
        <v>0</v>
      </c>
      <c r="AO10" s="55">
        <f t="shared" si="7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1341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930</v>
      </c>
      <c r="AC11" s="55">
        <v>4</v>
      </c>
      <c r="AE11" s="55">
        <f t="shared" ca="1" si="3"/>
        <v>21450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21450</v>
      </c>
      <c r="AG11" s="176">
        <f t="shared" ca="1" si="8"/>
        <v>30500</v>
      </c>
      <c r="AI11" s="11">
        <f t="shared" si="4"/>
        <v>300</v>
      </c>
      <c r="AJ11" s="10">
        <v>300</v>
      </c>
      <c r="AK11" s="11">
        <f t="shared" si="6"/>
        <v>100</v>
      </c>
      <c r="AL11" s="10">
        <v>100</v>
      </c>
      <c r="AM11" s="11">
        <f t="shared" si="6"/>
        <v>0</v>
      </c>
      <c r="AN11" s="10">
        <v>0</v>
      </c>
      <c r="AO11" s="55">
        <f t="shared" si="7"/>
        <v>2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211020101</v>
      </c>
      <c r="AW11" s="10" t="s">
        <v>437</v>
      </c>
      <c r="AX11" s="11">
        <v>2700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1341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5475</v>
      </c>
      <c r="AC12" s="55">
        <v>5</v>
      </c>
      <c r="AE12" s="55">
        <f t="shared" ca="1" si="3"/>
        <v>46600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46600</v>
      </c>
      <c r="AG12" s="176">
        <f t="shared" ca="1" si="8"/>
        <v>68050</v>
      </c>
      <c r="AI12" s="11">
        <f t="shared" si="4"/>
        <v>600</v>
      </c>
      <c r="AJ12" s="10">
        <v>600</v>
      </c>
      <c r="AK12" s="11">
        <f t="shared" si="6"/>
        <v>100</v>
      </c>
      <c r="AL12" s="10">
        <v>100</v>
      </c>
      <c r="AM12" s="11">
        <f t="shared" si="6"/>
        <v>0</v>
      </c>
      <c r="AN12" s="10">
        <v>0</v>
      </c>
      <c r="AO12" s="55">
        <f t="shared" si="7"/>
        <v>2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211020101</v>
      </c>
      <c r="AW12" s="10" t="s">
        <v>437</v>
      </c>
      <c r="AX12" s="11">
        <v>9000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1408</v>
      </c>
      <c r="P13" s="55" t="s">
        <v>1410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32560</v>
      </c>
      <c r="AC13" s="55">
        <v>6</v>
      </c>
      <c r="AE13" s="55">
        <f t="shared" ca="1" si="3"/>
        <v>88150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88150</v>
      </c>
      <c r="AG13" s="176">
        <f t="shared" ca="1" si="8"/>
        <v>134750</v>
      </c>
      <c r="AI13" s="11">
        <f t="shared" si="4"/>
        <v>900</v>
      </c>
      <c r="AJ13" s="10">
        <v>900</v>
      </c>
      <c r="AK13" s="11">
        <f t="shared" si="6"/>
        <v>150</v>
      </c>
      <c r="AL13" s="10">
        <v>150</v>
      </c>
      <c r="AM13" s="11">
        <f t="shared" si="6"/>
        <v>0</v>
      </c>
      <c r="AN13" s="10">
        <v>0</v>
      </c>
      <c r="AO13" s="55">
        <f t="shared" si="7"/>
        <v>2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211020101</v>
      </c>
      <c r="AW13" s="10" t="s">
        <v>437</v>
      </c>
      <c r="AX13" s="11">
        <v>20000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1408</v>
      </c>
      <c r="P14" s="55" t="s">
        <v>1410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108200</v>
      </c>
      <c r="AC14" s="55">
        <v>7</v>
      </c>
      <c r="AE14" s="55">
        <f t="shared" ca="1" si="3"/>
        <v>152200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152200</v>
      </c>
      <c r="AG14" s="176">
        <f t="shared" ca="1" si="8"/>
        <v>240350</v>
      </c>
      <c r="AI14" s="11">
        <f t="shared" si="4"/>
        <v>1200</v>
      </c>
      <c r="AJ14" s="10">
        <v>1200</v>
      </c>
      <c r="AK14" s="11">
        <f t="shared" si="6"/>
        <v>200</v>
      </c>
      <c r="AL14" s="10">
        <v>200</v>
      </c>
      <c r="AM14" s="11">
        <f t="shared" si="6"/>
        <v>0</v>
      </c>
      <c r="AN14" s="10">
        <v>0</v>
      </c>
      <c r="AO14" s="55">
        <f t="shared" si="7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437</v>
      </c>
      <c r="AX14" s="11">
        <v>42000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1407</v>
      </c>
      <c r="P15" s="55" t="s">
        <v>1409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240400</v>
      </c>
      <c r="AC15" s="55">
        <v>8</v>
      </c>
      <c r="AE15" s="55">
        <f t="shared" ca="1" si="3"/>
        <v>259250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259250</v>
      </c>
      <c r="AG15" s="176">
        <f t="shared" ca="1" si="8"/>
        <v>411450</v>
      </c>
      <c r="AI15" s="11">
        <f t="shared" si="4"/>
        <v>1500</v>
      </c>
      <c r="AJ15" s="10">
        <v>1500</v>
      </c>
      <c r="AK15" s="11">
        <f t="shared" si="6"/>
        <v>250</v>
      </c>
      <c r="AL15" s="10">
        <v>250</v>
      </c>
      <c r="AM15" s="11">
        <f t="shared" si="6"/>
        <v>0</v>
      </c>
      <c r="AN15" s="10">
        <v>0</v>
      </c>
      <c r="AO15" s="55">
        <f t="shared" si="7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437</v>
      </c>
      <c r="AX15" s="11">
        <v>78000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1407</v>
      </c>
      <c r="P16" s="55" t="s">
        <v>1409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630500</v>
      </c>
      <c r="AC16" s="55">
        <v>9</v>
      </c>
      <c r="AE16" s="55">
        <f t="shared" ca="1" si="3"/>
        <v>435300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435300</v>
      </c>
      <c r="AG16" s="176">
        <f t="shared" ca="1" si="8"/>
        <v>694550</v>
      </c>
      <c r="AI16" s="11">
        <f t="shared" si="4"/>
        <v>1800</v>
      </c>
      <c r="AJ16" s="10">
        <v>1800</v>
      </c>
      <c r="AK16" s="11">
        <f t="shared" si="6"/>
        <v>300</v>
      </c>
      <c r="AL16" s="10">
        <v>300</v>
      </c>
      <c r="AM16" s="11">
        <f t="shared" si="6"/>
        <v>0</v>
      </c>
      <c r="AN16" s="10">
        <v>0</v>
      </c>
      <c r="AO16" s="55">
        <f t="shared" si="7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437</v>
      </c>
      <c r="AX16" s="11">
        <v>130000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1407</v>
      </c>
      <c r="P17" s="55" t="s">
        <v>1409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1170750</v>
      </c>
      <c r="AC17" s="55">
        <v>10</v>
      </c>
      <c r="AE17" s="55">
        <f t="shared" ca="1" si="3"/>
        <v>730350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730350</v>
      </c>
      <c r="AG17" s="176">
        <f t="shared" ca="1" si="8"/>
        <v>1165650</v>
      </c>
      <c r="AI17" s="11">
        <f t="shared" si="4"/>
        <v>2100</v>
      </c>
      <c r="AJ17" s="10">
        <v>2100</v>
      </c>
      <c r="AK17" s="11">
        <f t="shared" si="6"/>
        <v>350</v>
      </c>
      <c r="AL17" s="10">
        <v>350</v>
      </c>
      <c r="AM17" s="11">
        <f t="shared" si="6"/>
        <v>0</v>
      </c>
      <c r="AN17" s="10">
        <v>0</v>
      </c>
      <c r="AO17" s="55">
        <f t="shared" si="7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437</v>
      </c>
      <c r="AX17" s="11">
        <v>220000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1407</v>
      </c>
      <c r="P18" s="55" t="s">
        <v>1409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1956000</v>
      </c>
      <c r="AC18" s="55">
        <v>11</v>
      </c>
      <c r="AE18" s="55">
        <f t="shared" ca="1" si="3"/>
        <v>1155450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1155450</v>
      </c>
      <c r="AG18" s="176">
        <f t="shared" ca="1" si="8"/>
        <v>1885800</v>
      </c>
      <c r="AI18" s="11">
        <f t="shared" si="4"/>
        <v>2400</v>
      </c>
      <c r="AJ18" s="10">
        <v>2400</v>
      </c>
      <c r="AK18" s="11">
        <f t="shared" si="6"/>
        <v>450</v>
      </c>
      <c r="AL18" s="10">
        <v>450</v>
      </c>
      <c r="AM18" s="11">
        <f t="shared" si="6"/>
        <v>0</v>
      </c>
      <c r="AN18" s="10">
        <v>0</v>
      </c>
      <c r="AO18" s="55">
        <f t="shared" si="7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437</v>
      </c>
      <c r="AX18" s="11">
        <v>370000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1407</v>
      </c>
      <c r="P19" s="55" t="s">
        <v>1409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3961500</v>
      </c>
      <c r="AC19" s="55">
        <v>12</v>
      </c>
      <c r="AE19" s="55">
        <f t="shared" ca="1" si="3"/>
        <v>2410550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2410550</v>
      </c>
      <c r="AG19" s="176">
        <f t="shared" ca="1" si="8"/>
        <v>3566000</v>
      </c>
      <c r="AI19" s="11">
        <f t="shared" si="4"/>
        <v>2700</v>
      </c>
      <c r="AJ19" s="10">
        <v>2700</v>
      </c>
      <c r="AK19" s="11">
        <f t="shared" si="6"/>
        <v>550</v>
      </c>
      <c r="AL19" s="10">
        <v>550</v>
      </c>
      <c r="AM19" s="11">
        <f t="shared" si="6"/>
        <v>0</v>
      </c>
      <c r="AN19" s="10">
        <v>0</v>
      </c>
      <c r="AO19" s="55">
        <f t="shared" si="7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437</v>
      </c>
      <c r="AX19" s="11">
        <v>620000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1407</v>
      </c>
      <c r="P20" s="55" t="s">
        <v>1409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7772100</v>
      </c>
      <c r="AC20" s="55">
        <v>13</v>
      </c>
      <c r="AE20" s="55">
        <f t="shared" ca="1" si="3"/>
        <v>5645700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5645700</v>
      </c>
      <c r="AG20" s="176">
        <f t="shared" ca="1" si="8"/>
        <v>8056250</v>
      </c>
      <c r="AI20" s="11">
        <f t="shared" si="4"/>
        <v>3000</v>
      </c>
      <c r="AJ20" s="10">
        <v>3000</v>
      </c>
      <c r="AK20" s="11">
        <f t="shared" si="6"/>
        <v>700</v>
      </c>
      <c r="AL20" s="10">
        <v>700</v>
      </c>
      <c r="AM20" s="11">
        <f t="shared" si="6"/>
        <v>0</v>
      </c>
      <c r="AN20" s="10">
        <v>0</v>
      </c>
      <c r="AO20" s="55">
        <f t="shared" si="7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4300000</v>
      </c>
      <c r="AV20" s="11">
        <f ca="1">IFERROR(OFFSET(ITEM_RES!$A$1,MATCH(AW20,ITEM_RES!$J:$J,0)-1,0),0)</f>
        <v>211020101</v>
      </c>
      <c r="AW20" s="10" t="s">
        <v>437</v>
      </c>
      <c r="AX20" s="11">
        <v>970000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1407</v>
      </c>
      <c r="P21" s="55" t="s">
        <v>1409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13022450</v>
      </c>
      <c r="AC21" s="55">
        <v>14</v>
      </c>
      <c r="AE21" s="55">
        <f t="shared" ca="1" si="3"/>
        <v>10650850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10650850</v>
      </c>
      <c r="AG21" s="176">
        <f t="shared" ca="1" si="8"/>
        <v>16296550</v>
      </c>
      <c r="AI21" s="11">
        <f t="shared" si="4"/>
        <v>3300</v>
      </c>
      <c r="AJ21" s="10">
        <v>3300</v>
      </c>
      <c r="AK21" s="11">
        <f t="shared" si="6"/>
        <v>850</v>
      </c>
      <c r="AL21" s="10">
        <v>850</v>
      </c>
      <c r="AM21" s="11">
        <f t="shared" si="6"/>
        <v>0</v>
      </c>
      <c r="AN21" s="10">
        <v>0</v>
      </c>
      <c r="AO21" s="55">
        <f t="shared" si="7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8000000</v>
      </c>
      <c r="AV21" s="11">
        <f ca="1">IFERROR(OFFSET(ITEM_RES!$A$1,MATCH(AW21,ITEM_RES!$J:$J,0)-1,0),0)</f>
        <v>211020101</v>
      </c>
      <c r="AW21" s="10" t="s">
        <v>437</v>
      </c>
      <c r="AX21" s="11">
        <v>2100000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1407</v>
      </c>
      <c r="P22" s="55" t="s">
        <v>1409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23283600</v>
      </c>
      <c r="AC22" s="55">
        <v>15</v>
      </c>
      <c r="AE22" s="55">
        <f t="shared" ca="1" si="3"/>
        <v>17751050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17751050</v>
      </c>
      <c r="AG22" s="176">
        <f t="shared" ca="1" si="8"/>
        <v>28401900</v>
      </c>
      <c r="AI22" s="11">
        <f t="shared" si="4"/>
        <v>3600</v>
      </c>
      <c r="AJ22" s="10">
        <v>3600</v>
      </c>
      <c r="AK22" s="11">
        <f t="shared" si="6"/>
        <v>1050</v>
      </c>
      <c r="AL22" s="10">
        <v>1050</v>
      </c>
      <c r="AM22" s="11">
        <f t="shared" si="6"/>
        <v>0</v>
      </c>
      <c r="AN22" s="10">
        <v>0</v>
      </c>
      <c r="AO22" s="55">
        <f t="shared" si="7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13000000</v>
      </c>
      <c r="AV22" s="11">
        <f ca="1">IFERROR(OFFSET(ITEM_RES!$A$1,MATCH(AW22,ITEM_RES!$J:$J,0)-1,0),0)</f>
        <v>211020101</v>
      </c>
      <c r="AW22" s="10" t="s">
        <v>437</v>
      </c>
      <c r="AX22" s="11">
        <v>4300000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1407</v>
      </c>
      <c r="P23" s="55" t="s">
        <v>1409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50404400</v>
      </c>
      <c r="AC23" s="55">
        <v>16</v>
      </c>
      <c r="AE23" s="55">
        <f t="shared" ca="1" si="3"/>
        <v>28001250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28001250</v>
      </c>
      <c r="AG23" s="176">
        <f t="shared" ca="1" si="8"/>
        <v>45752300</v>
      </c>
      <c r="AI23" s="11">
        <f t="shared" si="4"/>
        <v>3900</v>
      </c>
      <c r="AJ23" s="10">
        <v>3900</v>
      </c>
      <c r="AK23" s="11">
        <f t="shared" si="6"/>
        <v>1250</v>
      </c>
      <c r="AL23" s="10">
        <v>1250</v>
      </c>
      <c r="AM23" s="11">
        <f t="shared" si="6"/>
        <v>0</v>
      </c>
      <c r="AN23" s="10">
        <v>0</v>
      </c>
      <c r="AO23" s="55">
        <f t="shared" si="7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20000000</v>
      </c>
      <c r="AV23" s="11">
        <f ca="1">IFERROR(OFFSET(ITEM_RES!$A$1,MATCH(AW23,ITEM_RES!$J:$J,0)-1,0),0)</f>
        <v>211020101</v>
      </c>
      <c r="AW23" s="10" t="s">
        <v>437</v>
      </c>
      <c r="AX23" s="11">
        <v>8000000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1407</v>
      </c>
      <c r="P24" s="55" t="s">
        <v>1409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119976300</v>
      </c>
      <c r="AC24" s="55">
        <v>17</v>
      </c>
      <c r="AE24" s="55">
        <f t="shared" ca="1" si="3"/>
        <v>44901500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44901500</v>
      </c>
      <c r="AG24" s="176">
        <f t="shared" ca="1" si="8"/>
        <v>72902750</v>
      </c>
      <c r="AI24" s="11">
        <f t="shared" si="4"/>
        <v>4200</v>
      </c>
      <c r="AJ24" s="10">
        <v>4200</v>
      </c>
      <c r="AK24" s="11">
        <f t="shared" si="6"/>
        <v>1500</v>
      </c>
      <c r="AL24" s="10">
        <v>1500</v>
      </c>
      <c r="AM24" s="11">
        <f t="shared" si="6"/>
        <v>0</v>
      </c>
      <c r="AN24" s="10">
        <v>0</v>
      </c>
      <c r="AO24" s="55">
        <f t="shared" si="7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32000000</v>
      </c>
      <c r="AV24" s="11">
        <f ca="1">IFERROR(OFFSET(ITEM_RES!$A$1,MATCH(AW24,ITEM_RES!$J:$J,0)-1,0),0)</f>
        <v>211020101</v>
      </c>
      <c r="AW24" s="10" t="s">
        <v>437</v>
      </c>
      <c r="AX24" s="11">
        <v>13000000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1342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32560</v>
      </c>
      <c r="AC25" s="56">
        <v>6</v>
      </c>
      <c r="AD25" s="76"/>
      <c r="AE25" s="56">
        <f ca="1">ROUND(AF25,0)</f>
        <v>1055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1055</v>
      </c>
      <c r="AG25" s="178">
        <f ca="1">AE25</f>
        <v>1055</v>
      </c>
      <c r="AH25" s="76"/>
      <c r="AI25" s="18">
        <f t="shared" si="4"/>
        <v>3</v>
      </c>
      <c r="AJ25" s="17">
        <v>3</v>
      </c>
      <c r="AK25" s="18">
        <f t="shared" si="6"/>
        <v>5</v>
      </c>
      <c r="AL25" s="17">
        <v>5</v>
      </c>
      <c r="AM25" s="18">
        <f t="shared" si="6"/>
        <v>0</v>
      </c>
      <c r="AN25" s="17">
        <v>0</v>
      </c>
      <c r="AO25" s="56">
        <f t="shared" si="7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1342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32560</v>
      </c>
      <c r="AC26" s="55">
        <v>6</v>
      </c>
      <c r="AE26" s="55">
        <f t="shared" ref="AE26:AE89" ca="1" si="9">ROUND(AF26,0)</f>
        <v>110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110</v>
      </c>
      <c r="AG26" s="176">
        <f ca="1">AE25+AE26</f>
        <v>1165</v>
      </c>
      <c r="AI26" s="11">
        <f t="shared" si="4"/>
        <v>5</v>
      </c>
      <c r="AJ26" s="10">
        <v>5</v>
      </c>
      <c r="AK26" s="11">
        <f t="shared" si="6"/>
        <v>10</v>
      </c>
      <c r="AL26" s="10">
        <v>10</v>
      </c>
      <c r="AM26" s="11">
        <f t="shared" si="6"/>
        <v>0</v>
      </c>
      <c r="AN26" s="10">
        <v>0</v>
      </c>
      <c r="AO26" s="55">
        <f t="shared" si="7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1343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108200</v>
      </c>
      <c r="AC27" s="55">
        <v>7</v>
      </c>
      <c r="AE27" s="55">
        <f t="shared" ca="1" si="9"/>
        <v>165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165</v>
      </c>
      <c r="AG27" s="176">
        <f t="shared" ref="AG27:AG44" ca="1" si="10">AE26+AE27</f>
        <v>275</v>
      </c>
      <c r="AI27" s="11">
        <f t="shared" si="4"/>
        <v>5</v>
      </c>
      <c r="AJ27" s="10">
        <v>5</v>
      </c>
      <c r="AK27" s="11">
        <f t="shared" si="6"/>
        <v>15</v>
      </c>
      <c r="AL27" s="10">
        <v>15</v>
      </c>
      <c r="AM27" s="11">
        <f t="shared" si="6"/>
        <v>0</v>
      </c>
      <c r="AN27" s="10">
        <v>0</v>
      </c>
      <c r="AO27" s="55">
        <f t="shared" si="7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1343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108200</v>
      </c>
      <c r="AC28" s="55">
        <v>7</v>
      </c>
      <c r="AE28" s="55">
        <f t="shared" ca="1" si="9"/>
        <v>625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625</v>
      </c>
      <c r="AG28" s="176">
        <f t="shared" ca="1" si="10"/>
        <v>790</v>
      </c>
      <c r="AI28" s="11">
        <f t="shared" si="4"/>
        <v>15</v>
      </c>
      <c r="AJ28" s="10">
        <v>15</v>
      </c>
      <c r="AK28" s="11">
        <f t="shared" si="6"/>
        <v>25</v>
      </c>
      <c r="AL28" s="10">
        <v>25</v>
      </c>
      <c r="AM28" s="11">
        <f t="shared" si="6"/>
        <v>0</v>
      </c>
      <c r="AN28" s="10">
        <v>0</v>
      </c>
      <c r="AO28" s="55">
        <f t="shared" si="7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1344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108200</v>
      </c>
      <c r="AC29" s="55">
        <v>7</v>
      </c>
      <c r="AE29" s="55">
        <f t="shared" ca="1" si="9"/>
        <v>2740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2740</v>
      </c>
      <c r="AG29" s="176">
        <f t="shared" ca="1" si="10"/>
        <v>3365</v>
      </c>
      <c r="AI29" s="11">
        <f t="shared" si="4"/>
        <v>20</v>
      </c>
      <c r="AJ29" s="10">
        <v>20</v>
      </c>
      <c r="AK29" s="11">
        <f t="shared" si="6"/>
        <v>40</v>
      </c>
      <c r="AL29" s="10">
        <v>40</v>
      </c>
      <c r="AM29" s="11">
        <f t="shared" si="6"/>
        <v>0</v>
      </c>
      <c r="AN29" s="10">
        <v>0</v>
      </c>
      <c r="AO29" s="55">
        <f t="shared" si="7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1344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108200</v>
      </c>
      <c r="AC30" s="55">
        <v>7</v>
      </c>
      <c r="AE30" s="55">
        <f t="shared" ca="1" si="9"/>
        <v>9350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9350</v>
      </c>
      <c r="AG30" s="176">
        <f t="shared" ca="1" si="10"/>
        <v>12090</v>
      </c>
      <c r="AI30" s="11">
        <f t="shared" si="4"/>
        <v>30</v>
      </c>
      <c r="AJ30" s="10">
        <v>30</v>
      </c>
      <c r="AK30" s="11">
        <f t="shared" si="6"/>
        <v>50</v>
      </c>
      <c r="AL30" s="10">
        <v>50</v>
      </c>
      <c r="AM30" s="11">
        <f t="shared" si="6"/>
        <v>0</v>
      </c>
      <c r="AN30" s="10">
        <v>0</v>
      </c>
      <c r="AO30" s="55">
        <f t="shared" si="7"/>
        <v>2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211020101</v>
      </c>
      <c r="AW30" s="10" t="s">
        <v>437</v>
      </c>
      <c r="AX30" s="11">
        <v>600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1345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108200</v>
      </c>
      <c r="AC31" s="55">
        <v>7</v>
      </c>
      <c r="AE31" s="55">
        <f t="shared" ca="1" si="9"/>
        <v>21450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21450</v>
      </c>
      <c r="AG31" s="176">
        <f t="shared" ca="1" si="10"/>
        <v>30800</v>
      </c>
      <c r="AI31" s="11">
        <f t="shared" si="4"/>
        <v>300</v>
      </c>
      <c r="AJ31" s="10">
        <v>300</v>
      </c>
      <c r="AK31" s="11">
        <f t="shared" si="6"/>
        <v>100</v>
      </c>
      <c r="AL31" s="10">
        <v>100</v>
      </c>
      <c r="AM31" s="11">
        <f t="shared" si="6"/>
        <v>0</v>
      </c>
      <c r="AN31" s="10">
        <v>0</v>
      </c>
      <c r="AO31" s="55">
        <f t="shared" si="7"/>
        <v>2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211020101</v>
      </c>
      <c r="AW31" s="10" t="s">
        <v>437</v>
      </c>
      <c r="AX31" s="11">
        <v>2700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1345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240400</v>
      </c>
      <c r="AC32" s="55">
        <v>8</v>
      </c>
      <c r="AE32" s="55">
        <f t="shared" ca="1" si="9"/>
        <v>46600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46600</v>
      </c>
      <c r="AG32" s="176">
        <f t="shared" ca="1" si="10"/>
        <v>68050</v>
      </c>
      <c r="AI32" s="11">
        <f t="shared" si="4"/>
        <v>600</v>
      </c>
      <c r="AJ32" s="10">
        <v>600</v>
      </c>
      <c r="AK32" s="11">
        <f t="shared" si="6"/>
        <v>100</v>
      </c>
      <c r="AL32" s="10">
        <v>100</v>
      </c>
      <c r="AM32" s="11">
        <f t="shared" si="6"/>
        <v>0</v>
      </c>
      <c r="AN32" s="10">
        <v>0</v>
      </c>
      <c r="AO32" s="55">
        <f t="shared" si="7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9000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1412</v>
      </c>
      <c r="P33" s="55" t="s">
        <v>1414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240400</v>
      </c>
      <c r="AC33" s="55">
        <v>8</v>
      </c>
      <c r="AE33" s="55">
        <f t="shared" ca="1" si="9"/>
        <v>88150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88150</v>
      </c>
      <c r="AG33" s="176">
        <f t="shared" ca="1" si="10"/>
        <v>134750</v>
      </c>
      <c r="AI33" s="11">
        <f t="shared" si="4"/>
        <v>900</v>
      </c>
      <c r="AJ33" s="10">
        <v>900</v>
      </c>
      <c r="AK33" s="11">
        <f t="shared" si="6"/>
        <v>150</v>
      </c>
      <c r="AL33" s="10">
        <v>150</v>
      </c>
      <c r="AM33" s="11">
        <f t="shared" si="6"/>
        <v>0</v>
      </c>
      <c r="AN33" s="10">
        <v>0</v>
      </c>
      <c r="AO33" s="55">
        <f t="shared" si="7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20000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1412</v>
      </c>
      <c r="P34" s="55" t="s">
        <v>1414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240400</v>
      </c>
      <c r="AC34" s="55">
        <v>8</v>
      </c>
      <c r="AE34" s="55">
        <f t="shared" ca="1" si="9"/>
        <v>151200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151200</v>
      </c>
      <c r="AG34" s="176">
        <f t="shared" ca="1" si="10"/>
        <v>239350</v>
      </c>
      <c r="AI34" s="11">
        <f t="shared" si="4"/>
        <v>1200</v>
      </c>
      <c r="AJ34" s="10">
        <v>1200</v>
      </c>
      <c r="AK34" s="11">
        <f t="shared" si="6"/>
        <v>200</v>
      </c>
      <c r="AL34" s="10">
        <v>200</v>
      </c>
      <c r="AM34" s="11">
        <f t="shared" si="6"/>
        <v>0</v>
      </c>
      <c r="AN34" s="10">
        <v>0</v>
      </c>
      <c r="AO34" s="55">
        <f t="shared" si="7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42000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1411</v>
      </c>
      <c r="P35" s="55" t="s">
        <v>1413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240400</v>
      </c>
      <c r="AC35" s="55">
        <v>8</v>
      </c>
      <c r="AE35" s="55">
        <f t="shared" ca="1" si="9"/>
        <v>259250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259250</v>
      </c>
      <c r="AG35" s="176">
        <f t="shared" ca="1" si="10"/>
        <v>410450</v>
      </c>
      <c r="AI35" s="11">
        <f t="shared" si="4"/>
        <v>1500</v>
      </c>
      <c r="AJ35" s="10">
        <v>1500</v>
      </c>
      <c r="AK35" s="11">
        <f t="shared" si="6"/>
        <v>250</v>
      </c>
      <c r="AL35" s="10">
        <v>250</v>
      </c>
      <c r="AM35" s="11">
        <f t="shared" si="6"/>
        <v>0</v>
      </c>
      <c r="AN35" s="10">
        <v>0</v>
      </c>
      <c r="AO35" s="55">
        <f t="shared" si="7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78000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1411</v>
      </c>
      <c r="P36" s="55" t="s">
        <v>1413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240400</v>
      </c>
      <c r="AC36" s="55">
        <v>8</v>
      </c>
      <c r="AE36" s="55">
        <f t="shared" ca="1" si="9"/>
        <v>435300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435300</v>
      </c>
      <c r="AG36" s="176">
        <f t="shared" ca="1" si="10"/>
        <v>694550</v>
      </c>
      <c r="AI36" s="11">
        <f t="shared" si="4"/>
        <v>1800</v>
      </c>
      <c r="AJ36" s="10">
        <v>1800</v>
      </c>
      <c r="AK36" s="11">
        <f t="shared" si="6"/>
        <v>300</v>
      </c>
      <c r="AL36" s="10">
        <v>300</v>
      </c>
      <c r="AM36" s="11">
        <f t="shared" si="6"/>
        <v>0</v>
      </c>
      <c r="AN36" s="10">
        <v>0</v>
      </c>
      <c r="AO36" s="55">
        <f t="shared" si="7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130000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1411</v>
      </c>
      <c r="P37" s="55" t="s">
        <v>1413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240400</v>
      </c>
      <c r="AC37" s="55">
        <v>8</v>
      </c>
      <c r="AE37" s="55">
        <f t="shared" ca="1" si="9"/>
        <v>730350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730350</v>
      </c>
      <c r="AG37" s="176">
        <f t="shared" ca="1" si="10"/>
        <v>1165650</v>
      </c>
      <c r="AI37" s="11">
        <f t="shared" si="4"/>
        <v>2100</v>
      </c>
      <c r="AJ37" s="10">
        <v>2100</v>
      </c>
      <c r="AK37" s="11">
        <f t="shared" si="6"/>
        <v>350</v>
      </c>
      <c r="AL37" s="10">
        <v>350</v>
      </c>
      <c r="AM37" s="11">
        <f t="shared" si="6"/>
        <v>0</v>
      </c>
      <c r="AN37" s="10">
        <v>0</v>
      </c>
      <c r="AO37" s="55">
        <f t="shared" si="7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220000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1411</v>
      </c>
      <c r="P38" s="55" t="s">
        <v>1413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240400</v>
      </c>
      <c r="AC38" s="55">
        <v>8</v>
      </c>
      <c r="AE38" s="55">
        <f t="shared" ca="1" si="9"/>
        <v>1155450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1155450</v>
      </c>
      <c r="AG38" s="176">
        <f t="shared" ca="1" si="10"/>
        <v>1885800</v>
      </c>
      <c r="AI38" s="11">
        <f t="shared" si="4"/>
        <v>2400</v>
      </c>
      <c r="AJ38" s="10">
        <v>2400</v>
      </c>
      <c r="AK38" s="11">
        <f t="shared" si="6"/>
        <v>450</v>
      </c>
      <c r="AL38" s="10">
        <v>450</v>
      </c>
      <c r="AM38" s="11">
        <f t="shared" si="6"/>
        <v>0</v>
      </c>
      <c r="AN38" s="10">
        <v>0</v>
      </c>
      <c r="AO38" s="55">
        <f t="shared" si="7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370000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1411</v>
      </c>
      <c r="P39" s="55" t="s">
        <v>1413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240400</v>
      </c>
      <c r="AC39" s="55">
        <v>8</v>
      </c>
      <c r="AE39" s="55">
        <f t="shared" ca="1" si="9"/>
        <v>2830550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2830550</v>
      </c>
      <c r="AG39" s="176">
        <f t="shared" ca="1" si="10"/>
        <v>3986000</v>
      </c>
      <c r="AI39" s="11">
        <f t="shared" si="4"/>
        <v>2700</v>
      </c>
      <c r="AJ39" s="10">
        <v>2700</v>
      </c>
      <c r="AK39" s="11">
        <f t="shared" si="6"/>
        <v>550</v>
      </c>
      <c r="AL39" s="10">
        <v>550</v>
      </c>
      <c r="AM39" s="11">
        <f t="shared" si="6"/>
        <v>0</v>
      </c>
      <c r="AN39" s="10">
        <v>0</v>
      </c>
      <c r="AO39" s="55">
        <f t="shared" si="7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620000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1411</v>
      </c>
      <c r="P40" s="55" t="s">
        <v>1413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630500</v>
      </c>
      <c r="AC40" s="55">
        <v>9</v>
      </c>
      <c r="AE40" s="55">
        <f t="shared" ca="1" si="9"/>
        <v>5645700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5645700</v>
      </c>
      <c r="AG40" s="176">
        <f t="shared" ca="1" si="10"/>
        <v>8476250</v>
      </c>
      <c r="AI40" s="11">
        <f t="shared" si="4"/>
        <v>3000</v>
      </c>
      <c r="AJ40" s="10">
        <v>3000</v>
      </c>
      <c r="AK40" s="11">
        <f t="shared" si="6"/>
        <v>700</v>
      </c>
      <c r="AL40" s="10">
        <v>700</v>
      </c>
      <c r="AM40" s="11">
        <f t="shared" si="6"/>
        <v>0</v>
      </c>
      <c r="AN40" s="10">
        <v>0</v>
      </c>
      <c r="AO40" s="55">
        <f t="shared" si="7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970000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1411</v>
      </c>
      <c r="P41" s="55" t="s">
        <v>1413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1170750</v>
      </c>
      <c r="AC41" s="55">
        <v>10</v>
      </c>
      <c r="AE41" s="55">
        <f t="shared" ca="1" si="9"/>
        <v>10650850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10650850</v>
      </c>
      <c r="AG41" s="176">
        <f t="shared" ca="1" si="10"/>
        <v>16296550</v>
      </c>
      <c r="AI41" s="11">
        <f t="shared" si="4"/>
        <v>3300</v>
      </c>
      <c r="AJ41" s="10">
        <v>3300</v>
      </c>
      <c r="AK41" s="11">
        <f t="shared" si="6"/>
        <v>850</v>
      </c>
      <c r="AL41" s="10">
        <v>850</v>
      </c>
      <c r="AM41" s="11">
        <f t="shared" si="6"/>
        <v>0</v>
      </c>
      <c r="AN41" s="10">
        <v>0</v>
      </c>
      <c r="AO41" s="55">
        <f t="shared" si="7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2100000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1411</v>
      </c>
      <c r="P42" s="55" t="s">
        <v>1413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1956000</v>
      </c>
      <c r="AC42" s="55">
        <v>11</v>
      </c>
      <c r="AE42" s="55">
        <f t="shared" ca="1" si="9"/>
        <v>17751050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17751050</v>
      </c>
      <c r="AG42" s="176">
        <f t="shared" ca="1" si="10"/>
        <v>28401900</v>
      </c>
      <c r="AI42" s="11">
        <f t="shared" si="4"/>
        <v>3600</v>
      </c>
      <c r="AJ42" s="10">
        <v>3600</v>
      </c>
      <c r="AK42" s="11">
        <f t="shared" si="6"/>
        <v>1050</v>
      </c>
      <c r="AL42" s="10">
        <v>1050</v>
      </c>
      <c r="AM42" s="11">
        <f t="shared" si="6"/>
        <v>0</v>
      </c>
      <c r="AN42" s="10">
        <v>0</v>
      </c>
      <c r="AO42" s="55">
        <f t="shared" si="7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4300000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1411</v>
      </c>
      <c r="P43" s="55" t="s">
        <v>1413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3961500</v>
      </c>
      <c r="AC43" s="55">
        <v>12</v>
      </c>
      <c r="AE43" s="55">
        <f t="shared" ca="1" si="9"/>
        <v>28001250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28001250</v>
      </c>
      <c r="AG43" s="176">
        <f t="shared" ca="1" si="10"/>
        <v>45752300</v>
      </c>
      <c r="AI43" s="11">
        <f t="shared" si="4"/>
        <v>3900</v>
      </c>
      <c r="AJ43" s="10">
        <v>3900</v>
      </c>
      <c r="AK43" s="11">
        <f t="shared" si="6"/>
        <v>1250</v>
      </c>
      <c r="AL43" s="10">
        <v>1250</v>
      </c>
      <c r="AM43" s="11">
        <f t="shared" si="6"/>
        <v>0</v>
      </c>
      <c r="AN43" s="10">
        <v>0</v>
      </c>
      <c r="AO43" s="55">
        <f t="shared" si="7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8000000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1411</v>
      </c>
      <c r="P44" s="55" t="s">
        <v>1413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7772100</v>
      </c>
      <c r="AC44" s="55">
        <v>13</v>
      </c>
      <c r="AE44" s="55">
        <f t="shared" ca="1" si="9"/>
        <v>44901500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44901500</v>
      </c>
      <c r="AG44" s="176">
        <f t="shared" ca="1" si="10"/>
        <v>72902750</v>
      </c>
      <c r="AI44" s="11">
        <f t="shared" si="4"/>
        <v>4200</v>
      </c>
      <c r="AJ44" s="10">
        <v>4200</v>
      </c>
      <c r="AK44" s="11">
        <f t="shared" si="6"/>
        <v>1500</v>
      </c>
      <c r="AL44" s="10">
        <v>1500</v>
      </c>
      <c r="AM44" s="11">
        <f t="shared" si="6"/>
        <v>0</v>
      </c>
      <c r="AN44" s="10">
        <v>0</v>
      </c>
      <c r="AO44" s="55">
        <f t="shared" si="7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13000000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1346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5475</v>
      </c>
      <c r="AC45" s="56">
        <v>5</v>
      </c>
      <c r="AD45" s="76"/>
      <c r="AE45" s="56">
        <f t="shared" ca="1" si="9"/>
        <v>1055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1055</v>
      </c>
      <c r="AG45" s="178">
        <f ca="1">AE45</f>
        <v>1055</v>
      </c>
      <c r="AH45" s="76"/>
      <c r="AI45" s="18">
        <f t="shared" si="4"/>
        <v>3</v>
      </c>
      <c r="AJ45" s="17">
        <v>3</v>
      </c>
      <c r="AK45" s="18">
        <f t="shared" si="6"/>
        <v>5</v>
      </c>
      <c r="AL45" s="17">
        <v>5</v>
      </c>
      <c r="AM45" s="18">
        <f t="shared" si="6"/>
        <v>0</v>
      </c>
      <c r="AN45" s="17">
        <v>0</v>
      </c>
      <c r="AO45" s="56">
        <f t="shared" si="7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1346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5475</v>
      </c>
      <c r="AC46" s="55">
        <v>5</v>
      </c>
      <c r="AE46" s="55">
        <f t="shared" ca="1" si="9"/>
        <v>110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110</v>
      </c>
      <c r="AG46" s="176">
        <f ca="1">AE45+AE46</f>
        <v>1165</v>
      </c>
      <c r="AI46" s="11">
        <f t="shared" si="4"/>
        <v>5</v>
      </c>
      <c r="AJ46" s="10">
        <v>5</v>
      </c>
      <c r="AK46" s="11">
        <f t="shared" si="6"/>
        <v>10</v>
      </c>
      <c r="AL46" s="10">
        <v>10</v>
      </c>
      <c r="AM46" s="11">
        <f t="shared" si="6"/>
        <v>0</v>
      </c>
      <c r="AN46" s="10">
        <v>0</v>
      </c>
      <c r="AO46" s="55">
        <f t="shared" si="7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1347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5475</v>
      </c>
      <c r="AC47" s="55">
        <v>5</v>
      </c>
      <c r="AE47" s="55">
        <f t="shared" ca="1" si="9"/>
        <v>165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165</v>
      </c>
      <c r="AG47" s="176">
        <f t="shared" ref="AG47:AG64" ca="1" si="11">AE46+AE47</f>
        <v>275</v>
      </c>
      <c r="AI47" s="11">
        <f t="shared" si="4"/>
        <v>5</v>
      </c>
      <c r="AJ47" s="10">
        <v>5</v>
      </c>
      <c r="AK47" s="11">
        <f t="shared" si="6"/>
        <v>15</v>
      </c>
      <c r="AL47" s="10">
        <v>15</v>
      </c>
      <c r="AM47" s="11">
        <f t="shared" si="6"/>
        <v>0</v>
      </c>
      <c r="AN47" s="10">
        <v>0</v>
      </c>
      <c r="AO47" s="55">
        <f t="shared" si="7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1347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32560</v>
      </c>
      <c r="AC48" s="55">
        <v>6</v>
      </c>
      <c r="AE48" s="55">
        <f t="shared" ca="1" si="9"/>
        <v>625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625</v>
      </c>
      <c r="AG48" s="176">
        <f t="shared" ca="1" si="11"/>
        <v>790</v>
      </c>
      <c r="AI48" s="11">
        <f t="shared" si="4"/>
        <v>15</v>
      </c>
      <c r="AJ48" s="10">
        <v>15</v>
      </c>
      <c r="AK48" s="11">
        <f t="shared" si="6"/>
        <v>25</v>
      </c>
      <c r="AL48" s="10">
        <v>25</v>
      </c>
      <c r="AM48" s="11">
        <f t="shared" si="6"/>
        <v>0</v>
      </c>
      <c r="AN48" s="10">
        <v>0</v>
      </c>
      <c r="AO48" s="55">
        <f t="shared" si="7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1348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32560</v>
      </c>
      <c r="AC49" s="55">
        <v>6</v>
      </c>
      <c r="AE49" s="55">
        <f t="shared" ca="1" si="9"/>
        <v>2740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2740</v>
      </c>
      <c r="AG49" s="176">
        <f t="shared" ca="1" si="11"/>
        <v>3365</v>
      </c>
      <c r="AI49" s="11">
        <f t="shared" si="4"/>
        <v>20</v>
      </c>
      <c r="AJ49" s="10">
        <v>20</v>
      </c>
      <c r="AK49" s="11">
        <f t="shared" si="6"/>
        <v>40</v>
      </c>
      <c r="AL49" s="10">
        <v>40</v>
      </c>
      <c r="AM49" s="11">
        <f t="shared" si="6"/>
        <v>0</v>
      </c>
      <c r="AN49" s="10">
        <v>0</v>
      </c>
      <c r="AO49" s="55">
        <f t="shared" si="7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1348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32560</v>
      </c>
      <c r="AC50" s="55">
        <v>6</v>
      </c>
      <c r="AE50" s="55">
        <f t="shared" ca="1" si="9"/>
        <v>9350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9350</v>
      </c>
      <c r="AG50" s="176">
        <f t="shared" ca="1" si="11"/>
        <v>12090</v>
      </c>
      <c r="AI50" s="11">
        <f t="shared" si="4"/>
        <v>30</v>
      </c>
      <c r="AJ50" s="10">
        <v>30</v>
      </c>
      <c r="AK50" s="11">
        <f t="shared" si="6"/>
        <v>50</v>
      </c>
      <c r="AL50" s="10">
        <v>50</v>
      </c>
      <c r="AM50" s="11">
        <f t="shared" si="6"/>
        <v>0</v>
      </c>
      <c r="AN50" s="10">
        <v>0</v>
      </c>
      <c r="AO50" s="55">
        <f t="shared" si="7"/>
        <v>2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211020101</v>
      </c>
      <c r="AW50" s="10" t="s">
        <v>437</v>
      </c>
      <c r="AX50" s="11">
        <v>600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1349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32560</v>
      </c>
      <c r="AC51" s="55">
        <v>6</v>
      </c>
      <c r="AE51" s="55">
        <f t="shared" ca="1" si="9"/>
        <v>21450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21450</v>
      </c>
      <c r="AG51" s="176">
        <f t="shared" ca="1" si="11"/>
        <v>30800</v>
      </c>
      <c r="AI51" s="11">
        <f t="shared" si="4"/>
        <v>300</v>
      </c>
      <c r="AJ51" s="10">
        <v>300</v>
      </c>
      <c r="AK51" s="11">
        <f t="shared" si="6"/>
        <v>100</v>
      </c>
      <c r="AL51" s="10">
        <v>100</v>
      </c>
      <c r="AM51" s="11">
        <f t="shared" si="6"/>
        <v>0</v>
      </c>
      <c r="AN51" s="10">
        <v>0</v>
      </c>
      <c r="AO51" s="55">
        <f t="shared" si="7"/>
        <v>2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211020101</v>
      </c>
      <c r="AW51" s="10" t="s">
        <v>437</v>
      </c>
      <c r="AX51" s="11">
        <v>2700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1349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108200</v>
      </c>
      <c r="AC52" s="55">
        <v>7</v>
      </c>
      <c r="AE52" s="55">
        <f t="shared" ca="1" si="9"/>
        <v>46600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46600</v>
      </c>
      <c r="AG52" s="176">
        <f t="shared" ca="1" si="11"/>
        <v>68050</v>
      </c>
      <c r="AI52" s="11">
        <f t="shared" si="4"/>
        <v>600</v>
      </c>
      <c r="AJ52" s="10">
        <v>600</v>
      </c>
      <c r="AK52" s="11">
        <f t="shared" si="6"/>
        <v>100</v>
      </c>
      <c r="AL52" s="10">
        <v>100</v>
      </c>
      <c r="AM52" s="11">
        <f t="shared" si="6"/>
        <v>0</v>
      </c>
      <c r="AN52" s="10">
        <v>0</v>
      </c>
      <c r="AO52" s="55">
        <f t="shared" si="7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9000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1416</v>
      </c>
      <c r="P53" s="55" t="s">
        <v>1418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108200</v>
      </c>
      <c r="AC53" s="55">
        <v>7</v>
      </c>
      <c r="AE53" s="55">
        <f t="shared" ca="1" si="9"/>
        <v>88150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88150</v>
      </c>
      <c r="AG53" s="176">
        <f t="shared" ca="1" si="11"/>
        <v>134750</v>
      </c>
      <c r="AI53" s="11">
        <f t="shared" si="4"/>
        <v>900</v>
      </c>
      <c r="AJ53" s="10">
        <v>900</v>
      </c>
      <c r="AK53" s="11">
        <f t="shared" si="6"/>
        <v>150</v>
      </c>
      <c r="AL53" s="10">
        <v>150</v>
      </c>
      <c r="AM53" s="11">
        <f t="shared" si="6"/>
        <v>0</v>
      </c>
      <c r="AN53" s="10">
        <v>0</v>
      </c>
      <c r="AO53" s="55">
        <f t="shared" si="7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20000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1416</v>
      </c>
      <c r="P54" s="55" t="s">
        <v>1418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108200</v>
      </c>
      <c r="AC54" s="55">
        <v>7</v>
      </c>
      <c r="AE54" s="55">
        <f t="shared" ca="1" si="9"/>
        <v>151200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151200</v>
      </c>
      <c r="AG54" s="176">
        <f t="shared" ca="1" si="11"/>
        <v>239350</v>
      </c>
      <c r="AI54" s="11">
        <f t="shared" si="4"/>
        <v>1200</v>
      </c>
      <c r="AJ54" s="10">
        <v>1200</v>
      </c>
      <c r="AK54" s="11">
        <f t="shared" si="6"/>
        <v>200</v>
      </c>
      <c r="AL54" s="10">
        <v>200</v>
      </c>
      <c r="AM54" s="11">
        <f t="shared" si="6"/>
        <v>0</v>
      </c>
      <c r="AN54" s="10">
        <v>0</v>
      </c>
      <c r="AO54" s="55">
        <f t="shared" si="7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42000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1415</v>
      </c>
      <c r="P55" s="55" t="s">
        <v>1417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108200</v>
      </c>
      <c r="AC55" s="55">
        <v>7</v>
      </c>
      <c r="AE55" s="55">
        <f t="shared" ca="1" si="9"/>
        <v>259250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259250</v>
      </c>
      <c r="AG55" s="176">
        <f t="shared" ca="1" si="11"/>
        <v>410450</v>
      </c>
      <c r="AI55" s="11">
        <f t="shared" si="4"/>
        <v>1500</v>
      </c>
      <c r="AJ55" s="10">
        <v>1500</v>
      </c>
      <c r="AK55" s="11">
        <f t="shared" si="6"/>
        <v>250</v>
      </c>
      <c r="AL55" s="10">
        <v>250</v>
      </c>
      <c r="AM55" s="11">
        <f t="shared" si="6"/>
        <v>0</v>
      </c>
      <c r="AN55" s="10">
        <v>0</v>
      </c>
      <c r="AO55" s="55">
        <f t="shared" si="7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78000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1415</v>
      </c>
      <c r="P56" s="55" t="s">
        <v>1417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240400</v>
      </c>
      <c r="AC56" s="55">
        <v>8</v>
      </c>
      <c r="AE56" s="55">
        <f t="shared" ca="1" si="9"/>
        <v>435300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435300</v>
      </c>
      <c r="AG56" s="176">
        <f t="shared" ca="1" si="11"/>
        <v>694550</v>
      </c>
      <c r="AI56" s="11">
        <f t="shared" si="4"/>
        <v>1800</v>
      </c>
      <c r="AJ56" s="10">
        <v>1800</v>
      </c>
      <c r="AK56" s="11">
        <f t="shared" si="6"/>
        <v>300</v>
      </c>
      <c r="AL56" s="10">
        <v>300</v>
      </c>
      <c r="AM56" s="11">
        <f t="shared" si="6"/>
        <v>0</v>
      </c>
      <c r="AN56" s="10">
        <v>0</v>
      </c>
      <c r="AO56" s="55">
        <f t="shared" si="7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130000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1415</v>
      </c>
      <c r="P57" s="55" t="s">
        <v>1417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630500</v>
      </c>
      <c r="AC57" s="55">
        <v>9</v>
      </c>
      <c r="AE57" s="55">
        <f t="shared" ca="1" si="9"/>
        <v>730350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730350</v>
      </c>
      <c r="AG57" s="176">
        <f t="shared" ca="1" si="11"/>
        <v>1165650</v>
      </c>
      <c r="AI57" s="11">
        <f t="shared" si="4"/>
        <v>2100</v>
      </c>
      <c r="AJ57" s="10">
        <v>2100</v>
      </c>
      <c r="AK57" s="11">
        <f t="shared" si="6"/>
        <v>350</v>
      </c>
      <c r="AL57" s="10">
        <v>350</v>
      </c>
      <c r="AM57" s="11">
        <f t="shared" si="6"/>
        <v>0</v>
      </c>
      <c r="AN57" s="10">
        <v>0</v>
      </c>
      <c r="AO57" s="55">
        <f t="shared" si="7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220000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1415</v>
      </c>
      <c r="P58" s="55" t="s">
        <v>1417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1170750</v>
      </c>
      <c r="AC58" s="55">
        <v>10</v>
      </c>
      <c r="AE58" s="55">
        <f t="shared" ca="1" si="9"/>
        <v>1349450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1349450</v>
      </c>
      <c r="AG58" s="176">
        <f t="shared" ca="1" si="11"/>
        <v>2079800</v>
      </c>
      <c r="AI58" s="11">
        <f t="shared" si="4"/>
        <v>2400</v>
      </c>
      <c r="AJ58" s="10">
        <v>2400</v>
      </c>
      <c r="AK58" s="11">
        <f t="shared" si="6"/>
        <v>450</v>
      </c>
      <c r="AL58" s="10">
        <v>450</v>
      </c>
      <c r="AM58" s="11">
        <f t="shared" si="6"/>
        <v>0</v>
      </c>
      <c r="AN58" s="10">
        <v>0</v>
      </c>
      <c r="AO58" s="55">
        <f t="shared" si="7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370000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1415</v>
      </c>
      <c r="P59" s="55" t="s">
        <v>1417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1956000</v>
      </c>
      <c r="AC59" s="55">
        <v>11</v>
      </c>
      <c r="AE59" s="55">
        <f t="shared" ca="1" si="9"/>
        <v>2830550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2830550</v>
      </c>
      <c r="AG59" s="176">
        <f t="shared" ca="1" si="11"/>
        <v>4180000</v>
      </c>
      <c r="AI59" s="11">
        <f t="shared" si="4"/>
        <v>2700</v>
      </c>
      <c r="AJ59" s="10">
        <v>2700</v>
      </c>
      <c r="AK59" s="11">
        <f t="shared" si="6"/>
        <v>550</v>
      </c>
      <c r="AL59" s="10">
        <v>550</v>
      </c>
      <c r="AM59" s="11">
        <f t="shared" si="6"/>
        <v>0</v>
      </c>
      <c r="AN59" s="10">
        <v>0</v>
      </c>
      <c r="AO59" s="55">
        <f t="shared" si="7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620000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1415</v>
      </c>
      <c r="P60" s="55" t="s">
        <v>1417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3961500</v>
      </c>
      <c r="AC60" s="55">
        <v>12</v>
      </c>
      <c r="AE60" s="55">
        <f t="shared" ca="1" si="9"/>
        <v>5645700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5645700</v>
      </c>
      <c r="AG60" s="176">
        <f t="shared" ca="1" si="11"/>
        <v>8476250</v>
      </c>
      <c r="AI60" s="11">
        <f t="shared" si="4"/>
        <v>3000</v>
      </c>
      <c r="AJ60" s="10">
        <v>3000</v>
      </c>
      <c r="AK60" s="11">
        <f t="shared" si="6"/>
        <v>700</v>
      </c>
      <c r="AL60" s="10">
        <v>700</v>
      </c>
      <c r="AM60" s="11">
        <f t="shared" si="6"/>
        <v>0</v>
      </c>
      <c r="AN60" s="10">
        <v>0</v>
      </c>
      <c r="AO60" s="55">
        <f t="shared" si="7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970000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1415</v>
      </c>
      <c r="P61" s="55" t="s">
        <v>1417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7772100</v>
      </c>
      <c r="AC61" s="55">
        <v>13</v>
      </c>
      <c r="AE61" s="55">
        <f t="shared" ca="1" si="9"/>
        <v>10650850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10650850</v>
      </c>
      <c r="AG61" s="176">
        <f t="shared" ca="1" si="11"/>
        <v>16296550</v>
      </c>
      <c r="AI61" s="11">
        <f t="shared" si="4"/>
        <v>3300</v>
      </c>
      <c r="AJ61" s="10">
        <v>3300</v>
      </c>
      <c r="AK61" s="11">
        <f t="shared" si="6"/>
        <v>850</v>
      </c>
      <c r="AL61" s="10">
        <v>850</v>
      </c>
      <c r="AM61" s="11">
        <f t="shared" si="6"/>
        <v>0</v>
      </c>
      <c r="AN61" s="10">
        <v>0</v>
      </c>
      <c r="AO61" s="55">
        <f t="shared" si="7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2100000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1415</v>
      </c>
      <c r="P62" s="55" t="s">
        <v>1417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13022450</v>
      </c>
      <c r="AC62" s="55">
        <v>14</v>
      </c>
      <c r="AE62" s="55">
        <f t="shared" ca="1" si="9"/>
        <v>17751050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17751050</v>
      </c>
      <c r="AG62" s="176">
        <f t="shared" ca="1" si="11"/>
        <v>28401900</v>
      </c>
      <c r="AI62" s="11">
        <f t="shared" si="4"/>
        <v>3600</v>
      </c>
      <c r="AJ62" s="10">
        <v>3600</v>
      </c>
      <c r="AK62" s="11">
        <f t="shared" si="6"/>
        <v>1050</v>
      </c>
      <c r="AL62" s="10">
        <v>1050</v>
      </c>
      <c r="AM62" s="11">
        <f t="shared" si="6"/>
        <v>0</v>
      </c>
      <c r="AN62" s="10">
        <v>0</v>
      </c>
      <c r="AO62" s="55">
        <f t="shared" si="7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4300000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1415</v>
      </c>
      <c r="P63" s="55" t="s">
        <v>1417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23283600</v>
      </c>
      <c r="AC63" s="55">
        <v>15</v>
      </c>
      <c r="AE63" s="55">
        <f t="shared" ca="1" si="9"/>
        <v>28001250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28001250</v>
      </c>
      <c r="AG63" s="176">
        <f t="shared" ca="1" si="11"/>
        <v>45752300</v>
      </c>
      <c r="AI63" s="11">
        <f t="shared" si="4"/>
        <v>3900</v>
      </c>
      <c r="AJ63" s="10">
        <v>3900</v>
      </c>
      <c r="AK63" s="11">
        <f t="shared" si="6"/>
        <v>1250</v>
      </c>
      <c r="AL63" s="10">
        <v>1250</v>
      </c>
      <c r="AM63" s="11">
        <f t="shared" si="6"/>
        <v>0</v>
      </c>
      <c r="AN63" s="10">
        <v>0</v>
      </c>
      <c r="AO63" s="55">
        <f t="shared" si="7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8000000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1415</v>
      </c>
      <c r="P64" s="55" t="s">
        <v>1417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50404400</v>
      </c>
      <c r="AC64" s="55">
        <v>16</v>
      </c>
      <c r="AE64" s="55">
        <f t="shared" ca="1" si="9"/>
        <v>44901500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44901500</v>
      </c>
      <c r="AG64" s="176">
        <f t="shared" ca="1" si="11"/>
        <v>72902750</v>
      </c>
      <c r="AI64" s="11">
        <f t="shared" si="4"/>
        <v>4200</v>
      </c>
      <c r="AJ64" s="10">
        <v>4200</v>
      </c>
      <c r="AK64" s="11">
        <f t="shared" si="6"/>
        <v>1500</v>
      </c>
      <c r="AL64" s="10">
        <v>1500</v>
      </c>
      <c r="AM64" s="11">
        <f t="shared" si="6"/>
        <v>0</v>
      </c>
      <c r="AN64" s="10">
        <v>0</v>
      </c>
      <c r="AO64" s="55">
        <f t="shared" si="7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13000000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1</v>
      </c>
      <c r="M65" s="16">
        <v>1</v>
      </c>
      <c r="N65" s="16">
        <v>15</v>
      </c>
      <c r="O65" s="16" t="s">
        <v>1085</v>
      </c>
      <c r="P65" s="56" t="s">
        <v>1350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0</v>
      </c>
      <c r="AC65" s="56">
        <v>1</v>
      </c>
      <c r="AD65" s="76"/>
      <c r="AE65" s="56">
        <f t="shared" ca="1" si="9"/>
        <v>1205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1205</v>
      </c>
      <c r="AG65" s="178">
        <f ca="1">AE65</f>
        <v>1205</v>
      </c>
      <c r="AH65" s="76"/>
      <c r="AI65" s="18">
        <f t="shared" si="4"/>
        <v>3</v>
      </c>
      <c r="AJ65" s="17">
        <v>3</v>
      </c>
      <c r="AK65" s="18">
        <f t="shared" ref="AK65" si="15">ROUND(AL65,0)</f>
        <v>5</v>
      </c>
      <c r="AL65" s="17">
        <v>5</v>
      </c>
      <c r="AM65" s="18"/>
      <c r="AN65" s="17">
        <v>0</v>
      </c>
      <c r="AO65" s="56">
        <f t="shared" si="7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25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1350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</v>
      </c>
      <c r="AC66" s="55">
        <v>2</v>
      </c>
      <c r="AE66" s="55">
        <f t="shared" ca="1" si="9"/>
        <v>410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410</v>
      </c>
      <c r="AG66" s="176">
        <f ca="1">AE65+AE66</f>
        <v>1615</v>
      </c>
      <c r="AI66" s="11">
        <f t="shared" si="4"/>
        <v>5</v>
      </c>
      <c r="AJ66" s="10">
        <v>5</v>
      </c>
      <c r="AK66" s="11">
        <f t="shared" ref="AK66" si="16">ROUND(AL66,0)</f>
        <v>10</v>
      </c>
      <c r="AL66" s="10">
        <v>10</v>
      </c>
      <c r="AN66" s="10">
        <v>0</v>
      </c>
      <c r="AO66" s="55">
        <f t="shared" si="7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50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1351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310</v>
      </c>
      <c r="AC67" s="55">
        <v>3</v>
      </c>
      <c r="AE67" s="55">
        <f t="shared" ca="1" si="9"/>
        <v>615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615</v>
      </c>
      <c r="AG67" s="176">
        <f t="shared" ref="AG67:AG84" ca="1" si="17">AE66+AE67</f>
        <v>1025</v>
      </c>
      <c r="AI67" s="11">
        <f t="shared" si="4"/>
        <v>5</v>
      </c>
      <c r="AJ67" s="10">
        <v>5</v>
      </c>
      <c r="AK67" s="11">
        <f t="shared" ref="AK67" si="18">ROUND(AL67,0)</f>
        <v>15</v>
      </c>
      <c r="AL67" s="10">
        <v>15</v>
      </c>
      <c r="AN67" s="10">
        <v>0</v>
      </c>
      <c r="AO67" s="55">
        <f t="shared" si="7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75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1351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310</v>
      </c>
      <c r="AC68" s="55">
        <v>3</v>
      </c>
      <c r="AE68" s="55">
        <f t="shared" ca="1" si="9"/>
        <v>2425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2425</v>
      </c>
      <c r="AG68" s="176">
        <f t="shared" ca="1" si="17"/>
        <v>3040</v>
      </c>
      <c r="AI68" s="11">
        <f t="shared" si="4"/>
        <v>15</v>
      </c>
      <c r="AJ68" s="10">
        <v>15</v>
      </c>
      <c r="AK68" s="11">
        <f t="shared" ref="AK68" si="19">ROUND(AL68,0)</f>
        <v>25</v>
      </c>
      <c r="AL68" s="10">
        <v>25</v>
      </c>
      <c r="AN68" s="10">
        <v>0</v>
      </c>
      <c r="AO68" s="55">
        <f t="shared" si="7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300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1352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930</v>
      </c>
      <c r="AC69" s="55">
        <v>4</v>
      </c>
      <c r="AE69" s="55">
        <f t="shared" ca="1" si="9"/>
        <v>10840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10840</v>
      </c>
      <c r="AG69" s="176">
        <f t="shared" ca="1" si="17"/>
        <v>13265</v>
      </c>
      <c r="AI69" s="11">
        <f t="shared" ref="AI69:AI132" si="20">ROUND(AJ69,0)</f>
        <v>20</v>
      </c>
      <c r="AJ69" s="10">
        <v>20</v>
      </c>
      <c r="AK69" s="11">
        <f t="shared" ref="AK69" si="21">ROUND(AL69,0)</f>
        <v>40</v>
      </c>
      <c r="AL69" s="10">
        <v>40</v>
      </c>
      <c r="AN69" s="10">
        <v>0</v>
      </c>
      <c r="AO69" s="55">
        <f t="shared" si="7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1350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1352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930</v>
      </c>
      <c r="AC70" s="55">
        <v>4</v>
      </c>
      <c r="AE70" s="55">
        <f t="shared" ca="1" si="9"/>
        <v>36050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36050</v>
      </c>
      <c r="AG70" s="176">
        <f t="shared" ca="1" si="17"/>
        <v>46890</v>
      </c>
      <c r="AI70" s="11">
        <f t="shared" si="20"/>
        <v>30</v>
      </c>
      <c r="AJ70" s="10">
        <v>30</v>
      </c>
      <c r="AK70" s="11">
        <f t="shared" ref="AK70" si="22">ROUND(AL70,0)</f>
        <v>50</v>
      </c>
      <c r="AL70" s="10">
        <v>50</v>
      </c>
      <c r="AN70" s="10">
        <v>0</v>
      </c>
      <c r="AO70" s="55">
        <f t="shared" ref="AO70:AO133" si="23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4500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1353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930</v>
      </c>
      <c r="AC71" s="55">
        <v>4</v>
      </c>
      <c r="AE71" s="55">
        <f t="shared" ca="1" si="9"/>
        <v>80100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80100</v>
      </c>
      <c r="AG71" s="176">
        <f t="shared" ca="1" si="17"/>
        <v>116150</v>
      </c>
      <c r="AI71" s="11">
        <f t="shared" si="20"/>
        <v>300</v>
      </c>
      <c r="AJ71" s="10">
        <v>300</v>
      </c>
      <c r="AK71" s="11">
        <f t="shared" ref="AK71" si="24">ROUND(AL71,0)</f>
        <v>100</v>
      </c>
      <c r="AL71" s="10">
        <v>100</v>
      </c>
      <c r="AN71" s="10">
        <v>0</v>
      </c>
      <c r="AO71" s="55">
        <f t="shared" si="23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10000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1353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5475</v>
      </c>
      <c r="AC72" s="55">
        <v>5</v>
      </c>
      <c r="AE72" s="55">
        <f t="shared" ca="1" si="9"/>
        <v>168600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168600</v>
      </c>
      <c r="AG72" s="176">
        <f t="shared" ca="1" si="17"/>
        <v>248700</v>
      </c>
      <c r="AI72" s="11">
        <f t="shared" si="20"/>
        <v>600</v>
      </c>
      <c r="AJ72" s="10">
        <v>600</v>
      </c>
      <c r="AK72" s="11">
        <f t="shared" ref="AK72" si="25">ROUND(AL72,0)</f>
        <v>100</v>
      </c>
      <c r="AL72" s="10">
        <v>100</v>
      </c>
      <c r="AM72" s="11">
        <v>500</v>
      </c>
      <c r="AN72" s="10">
        <v>0</v>
      </c>
      <c r="AO72" s="55">
        <f t="shared" si="23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21000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1353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32560</v>
      </c>
      <c r="AC73" s="55">
        <v>6</v>
      </c>
      <c r="AE73" s="55">
        <f t="shared" ca="1" si="9"/>
        <v>318150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318150</v>
      </c>
      <c r="AG73" s="176">
        <f t="shared" ca="1" si="17"/>
        <v>486750</v>
      </c>
      <c r="AI73" s="11">
        <f t="shared" si="20"/>
        <v>900</v>
      </c>
      <c r="AJ73" s="10">
        <v>900</v>
      </c>
      <c r="AK73" s="11">
        <f t="shared" ref="AK73" si="26">ROUND(AL73,0)</f>
        <v>150</v>
      </c>
      <c r="AL73" s="10">
        <v>150</v>
      </c>
      <c r="AM73" s="11">
        <v>6000</v>
      </c>
      <c r="AN73" s="10">
        <v>0</v>
      </c>
      <c r="AO73" s="55">
        <f t="shared" si="23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39000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1353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108200</v>
      </c>
      <c r="AC74" s="55">
        <v>7</v>
      </c>
      <c r="AE74" s="55">
        <f t="shared" ca="1" si="9"/>
        <v>559200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559200</v>
      </c>
      <c r="AG74" s="176">
        <f t="shared" ca="1" si="17"/>
        <v>877350</v>
      </c>
      <c r="AI74" s="11">
        <f t="shared" si="20"/>
        <v>1200</v>
      </c>
      <c r="AJ74" s="10">
        <v>1200</v>
      </c>
      <c r="AK74" s="11">
        <f t="shared" ref="AK74" si="27">ROUND(AL74,0)</f>
        <v>200</v>
      </c>
      <c r="AL74" s="10">
        <v>200</v>
      </c>
      <c r="AM74" s="11">
        <v>39000</v>
      </c>
      <c r="AN74" s="10">
        <v>0</v>
      </c>
      <c r="AO74" s="55">
        <f t="shared" si="23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65000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1353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240400</v>
      </c>
      <c r="AC75" s="55">
        <v>8</v>
      </c>
      <c r="AE75" s="55">
        <f t="shared" ca="1" si="9"/>
        <v>946250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946250</v>
      </c>
      <c r="AG75" s="176">
        <f t="shared" ca="1" si="17"/>
        <v>1505450</v>
      </c>
      <c r="AI75" s="11">
        <f t="shared" si="20"/>
        <v>1500</v>
      </c>
      <c r="AJ75" s="10">
        <v>1500</v>
      </c>
      <c r="AK75" s="11">
        <f t="shared" ref="AK75" si="28">ROUND(AL75,0)</f>
        <v>250</v>
      </c>
      <c r="AL75" s="10">
        <v>250</v>
      </c>
      <c r="AM75" s="11">
        <v>65000</v>
      </c>
      <c r="AN75" s="10">
        <v>0</v>
      </c>
      <c r="AO75" s="55">
        <f t="shared" si="23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110000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1353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630500</v>
      </c>
      <c r="AC76" s="55">
        <v>9</v>
      </c>
      <c r="AE76" s="55">
        <f t="shared" ca="1" si="9"/>
        <v>1590300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1590300</v>
      </c>
      <c r="AG76" s="176">
        <f t="shared" ca="1" si="17"/>
        <v>2536550</v>
      </c>
      <c r="AI76" s="11">
        <f t="shared" si="20"/>
        <v>1800</v>
      </c>
      <c r="AJ76" s="10">
        <v>1800</v>
      </c>
      <c r="AK76" s="11">
        <f t="shared" ref="AK76" si="29">ROUND(AL76,0)</f>
        <v>300</v>
      </c>
      <c r="AL76" s="10">
        <v>300</v>
      </c>
      <c r="AM76" s="11">
        <v>110000</v>
      </c>
      <c r="AN76" s="10">
        <v>0</v>
      </c>
      <c r="AO76" s="55">
        <f t="shared" si="23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185000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1353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1170750</v>
      </c>
      <c r="AC77" s="55">
        <v>10</v>
      </c>
      <c r="AE77" s="55">
        <f t="shared" ca="1" si="9"/>
        <v>2665350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2665350</v>
      </c>
      <c r="AG77" s="176">
        <f t="shared" ca="1" si="17"/>
        <v>4255650</v>
      </c>
      <c r="AI77" s="11">
        <f t="shared" si="20"/>
        <v>2100</v>
      </c>
      <c r="AJ77" s="10">
        <v>2100</v>
      </c>
      <c r="AK77" s="11">
        <f t="shared" ref="AK77" si="30">ROUND(AL77,0)</f>
        <v>350</v>
      </c>
      <c r="AL77" s="10">
        <v>350</v>
      </c>
      <c r="AM77" s="11">
        <v>185000</v>
      </c>
      <c r="AN77" s="10">
        <v>0</v>
      </c>
      <c r="AO77" s="55">
        <f t="shared" si="23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310000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1353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1956000</v>
      </c>
      <c r="AC78" s="55">
        <v>11</v>
      </c>
      <c r="AE78" s="55">
        <f t="shared" ca="1" si="9"/>
        <v>5160450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5160450</v>
      </c>
      <c r="AG78" s="176">
        <f t="shared" ca="1" si="17"/>
        <v>7825800</v>
      </c>
      <c r="AI78" s="11">
        <f t="shared" si="20"/>
        <v>2400</v>
      </c>
      <c r="AJ78" s="10">
        <v>2400</v>
      </c>
      <c r="AK78" s="11">
        <f t="shared" ref="AK78" si="31">ROUND(AL78,0)</f>
        <v>450</v>
      </c>
      <c r="AL78" s="10">
        <v>450</v>
      </c>
      <c r="AM78" s="11">
        <v>310000</v>
      </c>
      <c r="AN78" s="10">
        <v>0</v>
      </c>
      <c r="AO78" s="55">
        <f t="shared" si="23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485000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1353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3961500</v>
      </c>
      <c r="AC79" s="55">
        <v>12</v>
      </c>
      <c r="AE79" s="55">
        <f t="shared" ca="1" si="9"/>
        <v>10985550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10985550</v>
      </c>
      <c r="AG79" s="176">
        <f t="shared" ca="1" si="17"/>
        <v>16146000</v>
      </c>
      <c r="AI79" s="11">
        <f t="shared" si="20"/>
        <v>2700</v>
      </c>
      <c r="AJ79" s="10">
        <v>2700</v>
      </c>
      <c r="AK79" s="11">
        <f t="shared" ref="AK79" si="32">ROUND(AL79,0)</f>
        <v>550</v>
      </c>
      <c r="AL79" s="10">
        <v>550</v>
      </c>
      <c r="AM79" s="11">
        <v>485000</v>
      </c>
      <c r="AN79" s="10">
        <v>0</v>
      </c>
      <c r="AO79" s="55">
        <f t="shared" si="23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1050000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1353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7772100</v>
      </c>
      <c r="AC80" s="55">
        <v>13</v>
      </c>
      <c r="AE80" s="55">
        <f t="shared" ca="1" si="9"/>
        <v>22550700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22550700</v>
      </c>
      <c r="AG80" s="176">
        <f t="shared" ca="1" si="17"/>
        <v>33536250</v>
      </c>
      <c r="AI80" s="11">
        <f t="shared" si="20"/>
        <v>3000</v>
      </c>
      <c r="AJ80" s="10">
        <v>3000</v>
      </c>
      <c r="AK80" s="11">
        <f t="shared" ref="AK80" si="33">ROUND(AL80,0)</f>
        <v>700</v>
      </c>
      <c r="AL80" s="10">
        <v>700</v>
      </c>
      <c r="AM80" s="11">
        <v>1050000</v>
      </c>
      <c r="AN80" s="10">
        <v>0</v>
      </c>
      <c r="AO80" s="55">
        <f t="shared" si="23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2150000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1353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13022450</v>
      </c>
      <c r="AC81" s="55">
        <v>14</v>
      </c>
      <c r="AE81" s="55">
        <f t="shared" ca="1" si="9"/>
        <v>42150850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42150850</v>
      </c>
      <c r="AG81" s="176">
        <f t="shared" ca="1" si="17"/>
        <v>64701550</v>
      </c>
      <c r="AI81" s="11">
        <f t="shared" si="20"/>
        <v>3300</v>
      </c>
      <c r="AJ81" s="10">
        <v>3300</v>
      </c>
      <c r="AK81" s="11">
        <f t="shared" ref="AK81" si="34">ROUND(AL81,0)</f>
        <v>850</v>
      </c>
      <c r="AL81" s="10">
        <v>850</v>
      </c>
      <c r="AM81" s="11">
        <v>2150000</v>
      </c>
      <c r="AN81" s="10">
        <v>0</v>
      </c>
      <c r="AO81" s="55">
        <f t="shared" si="23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4000000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1353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23283600</v>
      </c>
      <c r="AC82" s="55">
        <v>15</v>
      </c>
      <c r="AE82" s="55">
        <f t="shared" ca="1" si="9"/>
        <v>69001050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69001050</v>
      </c>
      <c r="AG82" s="176">
        <f t="shared" ca="1" si="17"/>
        <v>111151900</v>
      </c>
      <c r="AI82" s="11">
        <f t="shared" si="20"/>
        <v>3600</v>
      </c>
      <c r="AJ82" s="10">
        <v>3600</v>
      </c>
      <c r="AK82" s="11">
        <f t="shared" ref="AK82" si="35">ROUND(AL82,0)</f>
        <v>1050</v>
      </c>
      <c r="AL82" s="10">
        <v>1050</v>
      </c>
      <c r="AM82" s="11">
        <v>4000000</v>
      </c>
      <c r="AN82" s="10">
        <v>0</v>
      </c>
      <c r="AO82" s="55">
        <f t="shared" si="23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6500000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1353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50404400</v>
      </c>
      <c r="AC83" s="55">
        <v>16</v>
      </c>
      <c r="AE83" s="55">
        <f t="shared" ca="1" si="9"/>
        <v>106501250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106501250</v>
      </c>
      <c r="AG83" s="176">
        <f t="shared" ca="1" si="17"/>
        <v>175502300</v>
      </c>
      <c r="AI83" s="11">
        <f t="shared" si="20"/>
        <v>3900</v>
      </c>
      <c r="AJ83" s="10">
        <v>3900</v>
      </c>
      <c r="AK83" s="11">
        <f t="shared" ref="AK83" si="36">ROUND(AL83,0)</f>
        <v>1250</v>
      </c>
      <c r="AL83" s="10">
        <v>1250</v>
      </c>
      <c r="AM83" s="11">
        <v>6500000</v>
      </c>
      <c r="AN83" s="10">
        <v>0</v>
      </c>
      <c r="AO83" s="55">
        <f t="shared" si="23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10000000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1353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119976300</v>
      </c>
      <c r="AC84" s="55">
        <v>17</v>
      </c>
      <c r="AE84" s="55">
        <f t="shared" ca="1" si="9"/>
        <v>170001500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170001500</v>
      </c>
      <c r="AG84" s="176">
        <f t="shared" ca="1" si="17"/>
        <v>276502750</v>
      </c>
      <c r="AI84" s="11">
        <f t="shared" si="20"/>
        <v>4200</v>
      </c>
      <c r="AJ84" s="10">
        <v>4200</v>
      </c>
      <c r="AK84" s="11">
        <f t="shared" ref="AK84" si="37">ROUND(AL84,0)</f>
        <v>1500</v>
      </c>
      <c r="AL84" s="10">
        <v>1500</v>
      </c>
      <c r="AM84" s="11">
        <v>10000000</v>
      </c>
      <c r="AN84" s="10">
        <v>0</v>
      </c>
      <c r="AO84" s="55">
        <f t="shared" si="23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16000000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1354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1956000</v>
      </c>
      <c r="AC85" s="56">
        <v>11</v>
      </c>
      <c r="AD85" s="76"/>
      <c r="AE85" s="56">
        <f t="shared" ca="1" si="9"/>
        <v>1130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1130</v>
      </c>
      <c r="AG85" s="178">
        <f ca="1">AE85</f>
        <v>1130</v>
      </c>
      <c r="AH85" s="76"/>
      <c r="AI85" s="18">
        <f t="shared" si="20"/>
        <v>3</v>
      </c>
      <c r="AJ85" s="17">
        <v>3</v>
      </c>
      <c r="AK85" s="18">
        <f t="shared" si="6"/>
        <v>5</v>
      </c>
      <c r="AL85" s="17">
        <v>5</v>
      </c>
      <c r="AM85" s="18">
        <f t="shared" si="6"/>
        <v>0</v>
      </c>
      <c r="AN85" s="17">
        <v>0</v>
      </c>
      <c r="AO85" s="56">
        <f t="shared" si="23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1354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1956000</v>
      </c>
      <c r="AC86" s="55">
        <v>11</v>
      </c>
      <c r="AE86" s="55">
        <f t="shared" ca="1" si="9"/>
        <v>260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260</v>
      </c>
      <c r="AG86" s="176">
        <f ca="1">AE85+AE86</f>
        <v>1390</v>
      </c>
      <c r="AI86" s="11">
        <f t="shared" si="20"/>
        <v>5</v>
      </c>
      <c r="AJ86" s="10">
        <v>5</v>
      </c>
      <c r="AK86" s="11">
        <f t="shared" si="6"/>
        <v>10</v>
      </c>
      <c r="AL86" s="10">
        <v>10</v>
      </c>
      <c r="AM86" s="11">
        <f t="shared" si="6"/>
        <v>0</v>
      </c>
      <c r="AN86" s="10">
        <v>0</v>
      </c>
      <c r="AO86" s="55">
        <f t="shared" si="23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1354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1956000</v>
      </c>
      <c r="AC87" s="55">
        <v>11</v>
      </c>
      <c r="AE87" s="55">
        <f t="shared" ca="1" si="9"/>
        <v>390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390</v>
      </c>
      <c r="AG87" s="176">
        <f t="shared" ref="AG87:AG104" ca="1" si="38">AE86+AE87</f>
        <v>650</v>
      </c>
      <c r="AI87" s="11">
        <f t="shared" si="20"/>
        <v>5</v>
      </c>
      <c r="AJ87" s="10">
        <v>5</v>
      </c>
      <c r="AK87" s="11">
        <f t="shared" si="6"/>
        <v>15</v>
      </c>
      <c r="AL87" s="10">
        <v>15</v>
      </c>
      <c r="AM87" s="11">
        <f t="shared" si="6"/>
        <v>0</v>
      </c>
      <c r="AN87" s="10">
        <v>0</v>
      </c>
      <c r="AO87" s="55">
        <f t="shared" si="23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1354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3961500</v>
      </c>
      <c r="AC88" s="55">
        <v>12</v>
      </c>
      <c r="AE88" s="55">
        <f t="shared" ca="1" si="9"/>
        <v>1525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1525</v>
      </c>
      <c r="AG88" s="176">
        <f t="shared" ca="1" si="38"/>
        <v>1915</v>
      </c>
      <c r="AI88" s="11">
        <f t="shared" si="20"/>
        <v>15</v>
      </c>
      <c r="AJ88" s="10">
        <v>15</v>
      </c>
      <c r="AK88" s="11">
        <f t="shared" si="6"/>
        <v>25</v>
      </c>
      <c r="AL88" s="10">
        <v>25</v>
      </c>
      <c r="AM88" s="11">
        <f t="shared" si="6"/>
        <v>0</v>
      </c>
      <c r="AN88" s="10">
        <v>0</v>
      </c>
      <c r="AO88" s="55">
        <f t="shared" si="23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1354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3961500</v>
      </c>
      <c r="AC89" s="55">
        <v>12</v>
      </c>
      <c r="AE89" s="55">
        <f t="shared" ca="1" si="9"/>
        <v>6790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6790</v>
      </c>
      <c r="AG89" s="176">
        <f t="shared" ca="1" si="38"/>
        <v>8315</v>
      </c>
      <c r="AI89" s="11">
        <f t="shared" si="20"/>
        <v>20</v>
      </c>
      <c r="AJ89" s="10">
        <v>20</v>
      </c>
      <c r="AK89" s="11">
        <f t="shared" si="6"/>
        <v>40</v>
      </c>
      <c r="AL89" s="10">
        <v>40</v>
      </c>
      <c r="AM89" s="11">
        <f t="shared" si="6"/>
        <v>0</v>
      </c>
      <c r="AN89" s="10">
        <v>0</v>
      </c>
      <c r="AO89" s="55">
        <f t="shared" si="23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2">IF(BN89&lt;100,ROUND(BN89,1-LEN(ROUND(BN89,0))),ROUND(BN89,2-LEN(ROUND(BN89,0))))</f>
        <v>0</v>
      </c>
    </row>
    <row r="90" spans="1:66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1354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3961500</v>
      </c>
      <c r="AC90" s="55">
        <v>12</v>
      </c>
      <c r="AE90" s="55">
        <f t="shared" ref="AE90:AE153" ca="1" si="43">ROUND(AF90,0)</f>
        <v>22550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22550</v>
      </c>
      <c r="AG90" s="176">
        <f t="shared" ca="1" si="38"/>
        <v>29340</v>
      </c>
      <c r="AI90" s="11">
        <f t="shared" si="20"/>
        <v>30</v>
      </c>
      <c r="AJ90" s="10">
        <v>30</v>
      </c>
      <c r="AK90" s="11">
        <f t="shared" ref="AK90:AM153" si="44">ROUND(AL90,0)</f>
        <v>50</v>
      </c>
      <c r="AL90" s="10">
        <v>50</v>
      </c>
      <c r="AM90" s="11">
        <f t="shared" si="44"/>
        <v>0</v>
      </c>
      <c r="AN90" s="10">
        <v>0</v>
      </c>
      <c r="AO90" s="55">
        <f t="shared" si="23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2"/>
        <v>0</v>
      </c>
    </row>
    <row r="91" spans="1:66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1354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3961500</v>
      </c>
      <c r="AC91" s="55">
        <v>12</v>
      </c>
      <c r="AE91" s="55">
        <f t="shared" ca="1" si="43"/>
        <v>54100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54100</v>
      </c>
      <c r="AG91" s="176">
        <f t="shared" ca="1" si="38"/>
        <v>76650</v>
      </c>
      <c r="AI91" s="11">
        <f t="shared" si="20"/>
        <v>300</v>
      </c>
      <c r="AJ91" s="10">
        <v>300</v>
      </c>
      <c r="AK91" s="11">
        <f t="shared" si="44"/>
        <v>100</v>
      </c>
      <c r="AL91" s="10">
        <v>100</v>
      </c>
      <c r="AM91" s="11">
        <f t="shared" si="44"/>
        <v>0</v>
      </c>
      <c r="AN91" s="10">
        <v>0</v>
      </c>
      <c r="AO91" s="55">
        <f t="shared" si="23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2"/>
        <v>0</v>
      </c>
    </row>
    <row r="92" spans="1:66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1354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3961500</v>
      </c>
      <c r="AC92" s="55">
        <v>12</v>
      </c>
      <c r="AE92" s="55">
        <f t="shared" ca="1" si="43"/>
        <v>113500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113500</v>
      </c>
      <c r="AG92" s="176">
        <f t="shared" ca="1" si="38"/>
        <v>167600</v>
      </c>
      <c r="AI92" s="11">
        <f t="shared" si="20"/>
        <v>600</v>
      </c>
      <c r="AJ92" s="10">
        <v>600</v>
      </c>
      <c r="AK92" s="11">
        <f t="shared" si="44"/>
        <v>100</v>
      </c>
      <c r="AL92" s="10">
        <v>100</v>
      </c>
      <c r="AM92" s="11">
        <f t="shared" si="44"/>
        <v>0</v>
      </c>
      <c r="AN92" s="10">
        <v>0</v>
      </c>
      <c r="AO92" s="55">
        <f t="shared" si="23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2"/>
        <v>0</v>
      </c>
    </row>
    <row r="93" spans="1:66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1354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3961500</v>
      </c>
      <c r="AC93" s="55">
        <v>12</v>
      </c>
      <c r="AE93" s="55">
        <f t="shared" ca="1" si="43"/>
        <v>210750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210750</v>
      </c>
      <c r="AG93" s="176">
        <f t="shared" ca="1" si="38"/>
        <v>324250</v>
      </c>
      <c r="AI93" s="11">
        <f t="shared" si="20"/>
        <v>900</v>
      </c>
      <c r="AJ93" s="10">
        <v>900</v>
      </c>
      <c r="AK93" s="11">
        <f t="shared" si="44"/>
        <v>150</v>
      </c>
      <c r="AL93" s="10">
        <v>150</v>
      </c>
      <c r="AM93" s="11">
        <f t="shared" si="44"/>
        <v>0</v>
      </c>
      <c r="AN93" s="10">
        <v>0</v>
      </c>
      <c r="AO93" s="55">
        <f t="shared" si="23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2"/>
        <v>0</v>
      </c>
    </row>
    <row r="94" spans="1:66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1354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3961500</v>
      </c>
      <c r="AC94" s="55">
        <v>12</v>
      </c>
      <c r="AE94" s="55">
        <f t="shared" ca="1" si="43"/>
        <v>351200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351200</v>
      </c>
      <c r="AG94" s="176">
        <f t="shared" ca="1" si="38"/>
        <v>561950</v>
      </c>
      <c r="AI94" s="11">
        <f t="shared" si="20"/>
        <v>1200</v>
      </c>
      <c r="AJ94" s="10">
        <v>1200</v>
      </c>
      <c r="AK94" s="11">
        <f t="shared" si="44"/>
        <v>200</v>
      </c>
      <c r="AL94" s="10">
        <v>200</v>
      </c>
      <c r="AM94" s="11">
        <f t="shared" si="44"/>
        <v>0</v>
      </c>
      <c r="AN94" s="10">
        <v>0</v>
      </c>
      <c r="AO94" s="55">
        <f t="shared" si="23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2"/>
        <v>0</v>
      </c>
    </row>
    <row r="95" spans="1:66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1354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3961500</v>
      </c>
      <c r="AC95" s="55">
        <v>12</v>
      </c>
      <c r="AE95" s="55">
        <f t="shared" ca="1" si="43"/>
        <v>594250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594250</v>
      </c>
      <c r="AG95" s="176">
        <f t="shared" ca="1" si="38"/>
        <v>945450</v>
      </c>
      <c r="AI95" s="11">
        <f t="shared" si="20"/>
        <v>1500</v>
      </c>
      <c r="AJ95" s="10">
        <v>1500</v>
      </c>
      <c r="AK95" s="11">
        <f t="shared" si="44"/>
        <v>250</v>
      </c>
      <c r="AL95" s="10">
        <v>250</v>
      </c>
      <c r="AM95" s="11">
        <f t="shared" si="44"/>
        <v>0</v>
      </c>
      <c r="AN95" s="10">
        <v>0</v>
      </c>
      <c r="AO95" s="55">
        <f t="shared" si="23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2"/>
        <v>0</v>
      </c>
    </row>
    <row r="96" spans="1:66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1354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3961500</v>
      </c>
      <c r="AC96" s="55">
        <v>12</v>
      </c>
      <c r="AE96" s="55">
        <f t="shared" ca="1" si="43"/>
        <v>1004300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1004300</v>
      </c>
      <c r="AG96" s="176">
        <f t="shared" ca="1" si="38"/>
        <v>1598550</v>
      </c>
      <c r="AI96" s="11">
        <f t="shared" si="20"/>
        <v>1800</v>
      </c>
      <c r="AJ96" s="10">
        <v>1800</v>
      </c>
      <c r="AK96" s="11">
        <f t="shared" si="44"/>
        <v>300</v>
      </c>
      <c r="AL96" s="10">
        <v>300</v>
      </c>
      <c r="AM96" s="11">
        <f t="shared" si="44"/>
        <v>0</v>
      </c>
      <c r="AN96" s="10">
        <v>0</v>
      </c>
      <c r="AO96" s="55">
        <f t="shared" si="23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2"/>
        <v>0</v>
      </c>
    </row>
    <row r="97" spans="1:66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1354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3961500</v>
      </c>
      <c r="AC97" s="55">
        <v>12</v>
      </c>
      <c r="AE97" s="55">
        <f t="shared" ca="1" si="43"/>
        <v>1674350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1674350</v>
      </c>
      <c r="AG97" s="176">
        <f t="shared" ca="1" si="38"/>
        <v>2678650</v>
      </c>
      <c r="AI97" s="11">
        <f t="shared" si="20"/>
        <v>2100</v>
      </c>
      <c r="AJ97" s="10">
        <v>2100</v>
      </c>
      <c r="AK97" s="11">
        <f t="shared" si="44"/>
        <v>350</v>
      </c>
      <c r="AL97" s="10">
        <v>350</v>
      </c>
      <c r="AM97" s="11">
        <f t="shared" si="44"/>
        <v>0</v>
      </c>
      <c r="AN97" s="10">
        <v>0</v>
      </c>
      <c r="AO97" s="55">
        <f t="shared" si="23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2"/>
        <v>0</v>
      </c>
    </row>
    <row r="98" spans="1:66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1354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3961500</v>
      </c>
      <c r="AC98" s="55">
        <v>12</v>
      </c>
      <c r="AE98" s="55">
        <f t="shared" ca="1" si="43"/>
        <v>2619450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2619450</v>
      </c>
      <c r="AG98" s="176">
        <f t="shared" ca="1" si="38"/>
        <v>4293800</v>
      </c>
      <c r="AI98" s="11">
        <f t="shared" si="20"/>
        <v>2400</v>
      </c>
      <c r="AJ98" s="10">
        <v>2400</v>
      </c>
      <c r="AK98" s="11">
        <f t="shared" si="44"/>
        <v>450</v>
      </c>
      <c r="AL98" s="10">
        <v>450</v>
      </c>
      <c r="AM98" s="11">
        <f t="shared" si="44"/>
        <v>0</v>
      </c>
      <c r="AN98" s="10">
        <v>0</v>
      </c>
      <c r="AO98" s="55">
        <f t="shared" si="23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2"/>
        <v>0</v>
      </c>
    </row>
    <row r="99" spans="1:66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1354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3961500</v>
      </c>
      <c r="AC99" s="55">
        <v>12</v>
      </c>
      <c r="AE99" s="55">
        <f t="shared" ca="1" si="43"/>
        <v>6300550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6300550</v>
      </c>
      <c r="AG99" s="176">
        <f t="shared" ca="1" si="38"/>
        <v>8920000</v>
      </c>
      <c r="AI99" s="11">
        <f t="shared" si="20"/>
        <v>2700</v>
      </c>
      <c r="AJ99" s="10">
        <v>2700</v>
      </c>
      <c r="AK99" s="11">
        <f t="shared" si="44"/>
        <v>550</v>
      </c>
      <c r="AL99" s="10">
        <v>550</v>
      </c>
      <c r="AM99" s="11">
        <f t="shared" si="44"/>
        <v>0</v>
      </c>
      <c r="AN99" s="10">
        <v>0</v>
      </c>
      <c r="AO99" s="55">
        <f t="shared" si="23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2"/>
        <v>0</v>
      </c>
    </row>
    <row r="100" spans="1:66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1354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3961500</v>
      </c>
      <c r="AC100" s="55">
        <v>12</v>
      </c>
      <c r="AE100" s="55">
        <f t="shared" ca="1" si="43"/>
        <v>12900700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12900700</v>
      </c>
      <c r="AG100" s="176">
        <f t="shared" ca="1" si="38"/>
        <v>19201250</v>
      </c>
      <c r="AI100" s="11">
        <f t="shared" si="20"/>
        <v>3000</v>
      </c>
      <c r="AJ100" s="10">
        <v>3000</v>
      </c>
      <c r="AK100" s="11">
        <f t="shared" si="44"/>
        <v>700</v>
      </c>
      <c r="AL100" s="10">
        <v>700</v>
      </c>
      <c r="AM100" s="11">
        <f t="shared" si="44"/>
        <v>0</v>
      </c>
      <c r="AN100" s="10">
        <v>0</v>
      </c>
      <c r="AO100" s="55">
        <f t="shared" si="23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2"/>
        <v>0</v>
      </c>
    </row>
    <row r="101" spans="1:66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1354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3961500</v>
      </c>
      <c r="AC101" s="55">
        <v>12</v>
      </c>
      <c r="AE101" s="55">
        <f t="shared" ca="1" si="43"/>
        <v>24000850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24000850</v>
      </c>
      <c r="AG101" s="176">
        <f t="shared" ca="1" si="38"/>
        <v>36901550</v>
      </c>
      <c r="AI101" s="11">
        <f t="shared" si="20"/>
        <v>3300</v>
      </c>
      <c r="AJ101" s="10">
        <v>3300</v>
      </c>
      <c r="AK101" s="11">
        <f t="shared" si="44"/>
        <v>850</v>
      </c>
      <c r="AL101" s="10">
        <v>850</v>
      </c>
      <c r="AM101" s="11">
        <f t="shared" si="44"/>
        <v>0</v>
      </c>
      <c r="AN101" s="10">
        <v>0</v>
      </c>
      <c r="AO101" s="55">
        <f t="shared" si="23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2"/>
        <v>0</v>
      </c>
    </row>
    <row r="102" spans="1:66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1354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3961500</v>
      </c>
      <c r="AC102" s="55">
        <v>12</v>
      </c>
      <c r="AE102" s="55">
        <f t="shared" ca="1" si="43"/>
        <v>39001050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39001050</v>
      </c>
      <c r="AG102" s="176">
        <f t="shared" ca="1" si="38"/>
        <v>63001900</v>
      </c>
      <c r="AI102" s="11">
        <f t="shared" si="20"/>
        <v>3600</v>
      </c>
      <c r="AJ102" s="10">
        <v>3600</v>
      </c>
      <c r="AK102" s="11">
        <f t="shared" si="44"/>
        <v>1050</v>
      </c>
      <c r="AL102" s="10">
        <v>1050</v>
      </c>
      <c r="AM102" s="11">
        <f t="shared" si="44"/>
        <v>0</v>
      </c>
      <c r="AN102" s="10">
        <v>0</v>
      </c>
      <c r="AO102" s="55">
        <f t="shared" si="23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2"/>
        <v>0</v>
      </c>
    </row>
    <row r="103" spans="1:66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1354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3961500</v>
      </c>
      <c r="AC103" s="55">
        <v>12</v>
      </c>
      <c r="AE103" s="55">
        <f t="shared" ca="1" si="43"/>
        <v>60001250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60001250</v>
      </c>
      <c r="AG103" s="176">
        <f t="shared" ca="1" si="38"/>
        <v>99002300</v>
      </c>
      <c r="AI103" s="11">
        <f t="shared" si="20"/>
        <v>3900</v>
      </c>
      <c r="AJ103" s="10">
        <v>3900</v>
      </c>
      <c r="AK103" s="11">
        <f t="shared" si="44"/>
        <v>1250</v>
      </c>
      <c r="AL103" s="10">
        <v>1250</v>
      </c>
      <c r="AM103" s="11">
        <f t="shared" si="44"/>
        <v>0</v>
      </c>
      <c r="AN103" s="10">
        <v>0</v>
      </c>
      <c r="AO103" s="55">
        <f t="shared" si="23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2"/>
        <v>0</v>
      </c>
    </row>
    <row r="104" spans="1:66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1354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3961500</v>
      </c>
      <c r="AC104" s="55">
        <v>12</v>
      </c>
      <c r="AE104" s="55">
        <f t="shared" ca="1" si="43"/>
        <v>96001500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96001500</v>
      </c>
      <c r="AG104" s="176">
        <f t="shared" ca="1" si="38"/>
        <v>156002750</v>
      </c>
      <c r="AI104" s="11">
        <f t="shared" si="20"/>
        <v>4200</v>
      </c>
      <c r="AJ104" s="10">
        <v>4200</v>
      </c>
      <c r="AK104" s="11">
        <f t="shared" si="44"/>
        <v>1500</v>
      </c>
      <c r="AL104" s="10">
        <v>1500</v>
      </c>
      <c r="AM104" s="11">
        <f t="shared" si="44"/>
        <v>0</v>
      </c>
      <c r="AN104" s="10">
        <v>0</v>
      </c>
      <c r="AO104" s="55">
        <f t="shared" si="23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2"/>
        <v>0</v>
      </c>
    </row>
    <row r="105" spans="1:66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1355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1956000</v>
      </c>
      <c r="AC105" s="56">
        <v>11</v>
      </c>
      <c r="AD105" s="76"/>
      <c r="AE105" s="56">
        <f t="shared" ca="1" si="43"/>
        <v>1085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1085</v>
      </c>
      <c r="AG105" s="178">
        <f ca="1">AE105</f>
        <v>1085</v>
      </c>
      <c r="AH105" s="76"/>
      <c r="AI105" s="18">
        <f t="shared" si="20"/>
        <v>3</v>
      </c>
      <c r="AJ105" s="17">
        <v>3</v>
      </c>
      <c r="AK105" s="18">
        <f t="shared" si="44"/>
        <v>5</v>
      </c>
      <c r="AL105" s="17">
        <v>5</v>
      </c>
      <c r="AM105" s="18">
        <f t="shared" si="44"/>
        <v>0</v>
      </c>
      <c r="AN105" s="17">
        <v>0</v>
      </c>
      <c r="AO105" s="56">
        <f t="shared" si="23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2"/>
        <v>0</v>
      </c>
      <c r="BN105" s="17"/>
    </row>
    <row r="106" spans="1:66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1355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1956000</v>
      </c>
      <c r="AC106" s="55">
        <v>11</v>
      </c>
      <c r="AE106" s="55">
        <f t="shared" ca="1" si="43"/>
        <v>170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170</v>
      </c>
      <c r="AG106" s="176">
        <f ca="1">AE105+AE106</f>
        <v>1255</v>
      </c>
      <c r="AI106" s="11">
        <f t="shared" si="20"/>
        <v>5</v>
      </c>
      <c r="AJ106" s="10">
        <v>5</v>
      </c>
      <c r="AK106" s="11">
        <f t="shared" si="44"/>
        <v>10</v>
      </c>
      <c r="AL106" s="10">
        <v>10</v>
      </c>
      <c r="AM106" s="11">
        <f t="shared" si="44"/>
        <v>0</v>
      </c>
      <c r="AN106" s="10">
        <v>0</v>
      </c>
      <c r="AO106" s="55">
        <f t="shared" si="23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2"/>
        <v>0</v>
      </c>
    </row>
    <row r="107" spans="1:66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1355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1956000</v>
      </c>
      <c r="AC107" s="55">
        <v>11</v>
      </c>
      <c r="AE107" s="55">
        <f t="shared" ca="1" si="43"/>
        <v>255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255</v>
      </c>
      <c r="AG107" s="176">
        <f t="shared" ref="AG107:AG124" ca="1" si="45">AE106+AE107</f>
        <v>425</v>
      </c>
      <c r="AI107" s="11">
        <f t="shared" si="20"/>
        <v>5</v>
      </c>
      <c r="AJ107" s="10">
        <v>5</v>
      </c>
      <c r="AK107" s="11">
        <f t="shared" si="44"/>
        <v>15</v>
      </c>
      <c r="AL107" s="10">
        <v>15</v>
      </c>
      <c r="AM107" s="11">
        <f t="shared" si="44"/>
        <v>0</v>
      </c>
      <c r="AN107" s="10">
        <v>0</v>
      </c>
      <c r="AO107" s="55">
        <f t="shared" si="23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2"/>
        <v>0</v>
      </c>
    </row>
    <row r="108" spans="1:66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1355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3961500</v>
      </c>
      <c r="AC108" s="55">
        <v>12</v>
      </c>
      <c r="AE108" s="55">
        <f t="shared" ca="1" si="43"/>
        <v>985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985</v>
      </c>
      <c r="AG108" s="176">
        <f t="shared" ca="1" si="45"/>
        <v>1240</v>
      </c>
      <c r="AI108" s="11">
        <f t="shared" si="20"/>
        <v>15</v>
      </c>
      <c r="AJ108" s="10">
        <v>15</v>
      </c>
      <c r="AK108" s="11">
        <f t="shared" si="44"/>
        <v>25</v>
      </c>
      <c r="AL108" s="10">
        <v>25</v>
      </c>
      <c r="AM108" s="11">
        <f t="shared" si="44"/>
        <v>0</v>
      </c>
      <c r="AN108" s="10">
        <v>0</v>
      </c>
      <c r="AO108" s="55">
        <f t="shared" si="23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2"/>
        <v>0</v>
      </c>
    </row>
    <row r="109" spans="1:66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1355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3961500</v>
      </c>
      <c r="AC109" s="55">
        <v>12</v>
      </c>
      <c r="AE109" s="55">
        <f t="shared" ca="1" si="43"/>
        <v>4360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4360</v>
      </c>
      <c r="AG109" s="176">
        <f t="shared" ca="1" si="45"/>
        <v>5345</v>
      </c>
      <c r="AI109" s="11">
        <f t="shared" si="20"/>
        <v>20</v>
      </c>
      <c r="AJ109" s="10">
        <v>20</v>
      </c>
      <c r="AK109" s="11">
        <f t="shared" si="44"/>
        <v>40</v>
      </c>
      <c r="AL109" s="10">
        <v>40</v>
      </c>
      <c r="AM109" s="11">
        <f t="shared" si="44"/>
        <v>0</v>
      </c>
      <c r="AN109" s="10">
        <v>0</v>
      </c>
      <c r="AO109" s="55">
        <f t="shared" si="23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2"/>
        <v>0</v>
      </c>
    </row>
    <row r="110" spans="1:66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1355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3961500</v>
      </c>
      <c r="AC110" s="55">
        <v>12</v>
      </c>
      <c r="AE110" s="55">
        <f t="shared" ca="1" si="43"/>
        <v>14450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14450</v>
      </c>
      <c r="AG110" s="176">
        <f t="shared" ca="1" si="45"/>
        <v>18810</v>
      </c>
      <c r="AI110" s="11">
        <f t="shared" si="20"/>
        <v>30</v>
      </c>
      <c r="AJ110" s="10">
        <v>30</v>
      </c>
      <c r="AK110" s="11">
        <f t="shared" si="44"/>
        <v>50</v>
      </c>
      <c r="AL110" s="10">
        <v>50</v>
      </c>
      <c r="AM110" s="11">
        <f t="shared" si="44"/>
        <v>0</v>
      </c>
      <c r="AN110" s="10">
        <v>0</v>
      </c>
      <c r="AO110" s="55">
        <f t="shared" si="23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2"/>
        <v>0</v>
      </c>
    </row>
    <row r="111" spans="1:66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1355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3961500</v>
      </c>
      <c r="AC111" s="55">
        <v>12</v>
      </c>
      <c r="AE111" s="55">
        <f t="shared" ca="1" si="43"/>
        <v>32100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32100</v>
      </c>
      <c r="AG111" s="176">
        <f t="shared" ca="1" si="45"/>
        <v>46550</v>
      </c>
      <c r="AI111" s="11">
        <f t="shared" si="20"/>
        <v>300</v>
      </c>
      <c r="AJ111" s="10">
        <v>300</v>
      </c>
      <c r="AK111" s="11">
        <f t="shared" si="44"/>
        <v>100</v>
      </c>
      <c r="AL111" s="10">
        <v>100</v>
      </c>
      <c r="AM111" s="11">
        <f t="shared" si="44"/>
        <v>0</v>
      </c>
      <c r="AN111" s="10">
        <v>0</v>
      </c>
      <c r="AO111" s="55">
        <f t="shared" si="23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2"/>
        <v>0</v>
      </c>
    </row>
    <row r="112" spans="1:66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1355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3961500</v>
      </c>
      <c r="AC112" s="55">
        <v>12</v>
      </c>
      <c r="AE112" s="55">
        <f t="shared" ca="1" si="43"/>
        <v>67300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67300</v>
      </c>
      <c r="AG112" s="176">
        <f t="shared" ca="1" si="45"/>
        <v>99400</v>
      </c>
      <c r="AI112" s="11">
        <f t="shared" si="20"/>
        <v>600</v>
      </c>
      <c r="AJ112" s="10">
        <v>600</v>
      </c>
      <c r="AK112" s="11">
        <f t="shared" si="44"/>
        <v>100</v>
      </c>
      <c r="AL112" s="10">
        <v>100</v>
      </c>
      <c r="AM112" s="11">
        <v>0</v>
      </c>
      <c r="AN112" s="10">
        <v>0</v>
      </c>
      <c r="AO112" s="55">
        <f t="shared" si="23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2"/>
        <v>0</v>
      </c>
    </row>
    <row r="113" spans="1:66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1355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3961500</v>
      </c>
      <c r="AC113" s="55">
        <v>12</v>
      </c>
      <c r="AE113" s="55">
        <f t="shared" ca="1" si="43"/>
        <v>125450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125450</v>
      </c>
      <c r="AG113" s="176">
        <f t="shared" ca="1" si="45"/>
        <v>192750</v>
      </c>
      <c r="AI113" s="11">
        <f t="shared" si="20"/>
        <v>900</v>
      </c>
      <c r="AJ113" s="10">
        <v>900</v>
      </c>
      <c r="AK113" s="11">
        <f t="shared" si="44"/>
        <v>150</v>
      </c>
      <c r="AL113" s="10">
        <v>150</v>
      </c>
      <c r="AM113" s="11">
        <v>500</v>
      </c>
      <c r="AN113" s="10">
        <v>0</v>
      </c>
      <c r="AO113" s="55">
        <f t="shared" si="23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2"/>
        <v>0</v>
      </c>
    </row>
    <row r="114" spans="1:66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1355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3961500</v>
      </c>
      <c r="AC114" s="55">
        <v>12</v>
      </c>
      <c r="AE114" s="55">
        <f t="shared" ca="1" si="43"/>
        <v>214200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214200</v>
      </c>
      <c r="AG114" s="176">
        <f t="shared" ca="1" si="45"/>
        <v>339650</v>
      </c>
      <c r="AI114" s="11">
        <f t="shared" si="20"/>
        <v>1200</v>
      </c>
      <c r="AJ114" s="10">
        <v>1200</v>
      </c>
      <c r="AK114" s="11">
        <f t="shared" si="44"/>
        <v>200</v>
      </c>
      <c r="AL114" s="10">
        <v>200</v>
      </c>
      <c r="AM114" s="11">
        <v>6000</v>
      </c>
      <c r="AN114" s="10">
        <v>0</v>
      </c>
      <c r="AO114" s="55">
        <f t="shared" si="23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2"/>
        <v>0</v>
      </c>
    </row>
    <row r="115" spans="1:66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1355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3961500</v>
      </c>
      <c r="AC115" s="55">
        <v>12</v>
      </c>
      <c r="AE115" s="55">
        <f t="shared" ca="1" si="43"/>
        <v>408850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408850</v>
      </c>
      <c r="AG115" s="176">
        <f t="shared" ca="1" si="45"/>
        <v>623050</v>
      </c>
      <c r="AI115" s="11">
        <f t="shared" si="20"/>
        <v>1500</v>
      </c>
      <c r="AJ115" s="10">
        <v>1500</v>
      </c>
      <c r="AK115" s="11">
        <f t="shared" si="44"/>
        <v>250</v>
      </c>
      <c r="AL115" s="10">
        <v>250</v>
      </c>
      <c r="AM115" s="11">
        <v>39000</v>
      </c>
      <c r="AN115" s="10">
        <v>0</v>
      </c>
      <c r="AO115" s="55">
        <f t="shared" si="23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2"/>
        <v>0</v>
      </c>
    </row>
    <row r="116" spans="1:66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1355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3961500</v>
      </c>
      <c r="AC116" s="55">
        <v>12</v>
      </c>
      <c r="AE116" s="55">
        <f t="shared" ca="1" si="43"/>
        <v>686900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686900</v>
      </c>
      <c r="AG116" s="176">
        <f t="shared" ca="1" si="45"/>
        <v>1095750</v>
      </c>
      <c r="AI116" s="11">
        <f t="shared" si="20"/>
        <v>1800</v>
      </c>
      <c r="AJ116" s="10">
        <v>1800</v>
      </c>
      <c r="AK116" s="11">
        <f t="shared" si="44"/>
        <v>300</v>
      </c>
      <c r="AL116" s="10">
        <v>300</v>
      </c>
      <c r="AM116" s="11">
        <v>65000</v>
      </c>
      <c r="AN116" s="10">
        <v>0</v>
      </c>
      <c r="AO116" s="55">
        <f t="shared" si="23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2"/>
        <v>0</v>
      </c>
    </row>
    <row r="117" spans="1:66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1355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3961500</v>
      </c>
      <c r="AC117" s="55">
        <v>12</v>
      </c>
      <c r="AE117" s="55">
        <f t="shared" ca="1" si="43"/>
        <v>1151950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1151950</v>
      </c>
      <c r="AG117" s="176">
        <f t="shared" ca="1" si="45"/>
        <v>1838850</v>
      </c>
      <c r="AI117" s="11">
        <f t="shared" si="20"/>
        <v>2100</v>
      </c>
      <c r="AJ117" s="10">
        <v>2100</v>
      </c>
      <c r="AK117" s="11">
        <f t="shared" si="44"/>
        <v>350</v>
      </c>
      <c r="AL117" s="10">
        <v>350</v>
      </c>
      <c r="AM117" s="11">
        <v>110000</v>
      </c>
      <c r="AN117" s="10">
        <v>0</v>
      </c>
      <c r="AO117" s="55">
        <f t="shared" si="23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2"/>
        <v>0</v>
      </c>
    </row>
    <row r="118" spans="1:66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1355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3961500</v>
      </c>
      <c r="AC118" s="55">
        <v>12</v>
      </c>
      <c r="AE118" s="55">
        <f t="shared" ca="1" si="43"/>
        <v>1815050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1815050</v>
      </c>
      <c r="AG118" s="176">
        <f t="shared" ca="1" si="45"/>
        <v>2967000</v>
      </c>
      <c r="AI118" s="11">
        <f t="shared" si="20"/>
        <v>2400</v>
      </c>
      <c r="AJ118" s="10">
        <v>2400</v>
      </c>
      <c r="AK118" s="11">
        <f t="shared" si="44"/>
        <v>450</v>
      </c>
      <c r="AL118" s="10">
        <v>450</v>
      </c>
      <c r="AM118" s="11">
        <v>185000</v>
      </c>
      <c r="AN118" s="10">
        <v>0</v>
      </c>
      <c r="AO118" s="55">
        <f t="shared" si="23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2"/>
        <v>0</v>
      </c>
    </row>
    <row r="119" spans="1:66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1355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3961500</v>
      </c>
      <c r="AC119" s="55">
        <v>12</v>
      </c>
      <c r="AE119" s="55">
        <f t="shared" ca="1" si="43"/>
        <v>4342550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4342550</v>
      </c>
      <c r="AG119" s="176">
        <f t="shared" ca="1" si="45"/>
        <v>6157600</v>
      </c>
      <c r="AI119" s="11">
        <f t="shared" si="20"/>
        <v>2700</v>
      </c>
      <c r="AJ119" s="10">
        <v>2700</v>
      </c>
      <c r="AK119" s="11">
        <f t="shared" si="44"/>
        <v>550</v>
      </c>
      <c r="AL119" s="10">
        <v>550</v>
      </c>
      <c r="AM119" s="11">
        <v>310000</v>
      </c>
      <c r="AN119" s="10">
        <v>0</v>
      </c>
      <c r="AO119" s="55">
        <f t="shared" si="23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2"/>
        <v>0</v>
      </c>
    </row>
    <row r="120" spans="1:66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1355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3961500</v>
      </c>
      <c r="AC120" s="55">
        <v>12</v>
      </c>
      <c r="AE120" s="55">
        <f t="shared" ca="1" si="43"/>
        <v>8741700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8741700</v>
      </c>
      <c r="AG120" s="176">
        <f t="shared" ca="1" si="45"/>
        <v>13084250</v>
      </c>
      <c r="AI120" s="11">
        <f t="shared" si="20"/>
        <v>3000</v>
      </c>
      <c r="AJ120" s="10">
        <v>3000</v>
      </c>
      <c r="AK120" s="11">
        <f t="shared" si="44"/>
        <v>700</v>
      </c>
      <c r="AL120" s="10">
        <v>700</v>
      </c>
      <c r="AM120" s="11">
        <v>485000</v>
      </c>
      <c r="AN120" s="10">
        <v>0</v>
      </c>
      <c r="AO120" s="55">
        <f t="shared" si="23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2"/>
        <v>0</v>
      </c>
    </row>
    <row r="121" spans="1:66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1355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3961500</v>
      </c>
      <c r="AC121" s="55">
        <v>12</v>
      </c>
      <c r="AE121" s="55">
        <f t="shared" ca="1" si="43"/>
        <v>16410850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16410850</v>
      </c>
      <c r="AG121" s="176">
        <f t="shared" ca="1" si="45"/>
        <v>25152550</v>
      </c>
      <c r="AI121" s="11">
        <f t="shared" si="20"/>
        <v>3300</v>
      </c>
      <c r="AJ121" s="10">
        <v>3300</v>
      </c>
      <c r="AK121" s="11">
        <f t="shared" si="44"/>
        <v>850</v>
      </c>
      <c r="AL121" s="10">
        <v>850</v>
      </c>
      <c r="AM121" s="11">
        <v>1050000</v>
      </c>
      <c r="AN121" s="10">
        <v>0</v>
      </c>
      <c r="AO121" s="55">
        <f t="shared" si="23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2"/>
        <v>0</v>
      </c>
    </row>
    <row r="122" spans="1:66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1355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3961500</v>
      </c>
      <c r="AC122" s="55">
        <v>12</v>
      </c>
      <c r="AE122" s="55">
        <f t="shared" ca="1" si="43"/>
        <v>27111050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27111050</v>
      </c>
      <c r="AG122" s="176">
        <f t="shared" ca="1" si="45"/>
        <v>43521900</v>
      </c>
      <c r="AI122" s="11">
        <f t="shared" si="20"/>
        <v>3600</v>
      </c>
      <c r="AJ122" s="10">
        <v>3600</v>
      </c>
      <c r="AK122" s="11">
        <f t="shared" si="44"/>
        <v>1050</v>
      </c>
      <c r="AL122" s="10">
        <v>1050</v>
      </c>
      <c r="AM122" s="11">
        <v>2150000</v>
      </c>
      <c r="AN122" s="10">
        <v>0</v>
      </c>
      <c r="AO122" s="55">
        <f t="shared" si="23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2"/>
        <v>0</v>
      </c>
    </row>
    <row r="123" spans="1:66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1355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3961500</v>
      </c>
      <c r="AC123" s="55">
        <v>12</v>
      </c>
      <c r="AE123" s="55">
        <f t="shared" ca="1" si="43"/>
        <v>42401250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42401250</v>
      </c>
      <c r="AG123" s="176">
        <f t="shared" ca="1" si="45"/>
        <v>69512300</v>
      </c>
      <c r="AI123" s="11">
        <f t="shared" si="20"/>
        <v>3900</v>
      </c>
      <c r="AJ123" s="10">
        <v>3900</v>
      </c>
      <c r="AK123" s="11">
        <f t="shared" si="44"/>
        <v>1250</v>
      </c>
      <c r="AL123" s="10">
        <v>1250</v>
      </c>
      <c r="AM123" s="11">
        <v>4000000</v>
      </c>
      <c r="AN123" s="10">
        <v>0</v>
      </c>
      <c r="AO123" s="55">
        <f t="shared" si="23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2"/>
        <v>0</v>
      </c>
    </row>
    <row r="124" spans="1:66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1355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3961500</v>
      </c>
      <c r="AC124" s="55">
        <v>12</v>
      </c>
      <c r="AE124" s="55">
        <f t="shared" ca="1" si="43"/>
        <v>67941500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67941500</v>
      </c>
      <c r="AG124" s="176">
        <f t="shared" ca="1" si="45"/>
        <v>110342750</v>
      </c>
      <c r="AI124" s="11">
        <f t="shared" si="20"/>
        <v>4200</v>
      </c>
      <c r="AJ124" s="10">
        <v>4200</v>
      </c>
      <c r="AK124" s="11">
        <f t="shared" si="44"/>
        <v>1500</v>
      </c>
      <c r="AL124" s="10">
        <v>1500</v>
      </c>
      <c r="AM124" s="11">
        <v>6500000</v>
      </c>
      <c r="AN124" s="10">
        <v>0</v>
      </c>
      <c r="AO124" s="55">
        <f t="shared" si="23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2"/>
        <v>0</v>
      </c>
    </row>
    <row r="125" spans="1:66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1356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56">
        <f t="shared" ca="1" si="43"/>
        <v>1080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1080</v>
      </c>
      <c r="AG125" s="178">
        <f ca="1">AE125</f>
        <v>1080</v>
      </c>
      <c r="AH125" s="76"/>
      <c r="AI125" s="18">
        <f t="shared" si="20"/>
        <v>3</v>
      </c>
      <c r="AJ125" s="17">
        <v>3</v>
      </c>
      <c r="AK125" s="18">
        <f t="shared" si="44"/>
        <v>5</v>
      </c>
      <c r="AL125" s="17">
        <v>5</v>
      </c>
      <c r="AM125" s="18">
        <f t="shared" si="44"/>
        <v>0</v>
      </c>
      <c r="AN125" s="17">
        <v>0</v>
      </c>
      <c r="AO125" s="56">
        <f t="shared" si="23"/>
        <v>2</v>
      </c>
      <c r="AP125" s="18"/>
      <c r="AQ125" s="18">
        <f ca="1">IFERROR(OFFSET(ITEM_RES!$A$1,MATCH(AR125,ITEM_RES!$J:$J,0)-1,0),0)</f>
        <v>211020401</v>
      </c>
      <c r="AR125" s="17" t="s">
        <v>427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2"/>
        <v>0</v>
      </c>
      <c r="BN125" s="17"/>
    </row>
    <row r="126" spans="1:66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1356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100</v>
      </c>
      <c r="AC126" s="55">
        <v>2</v>
      </c>
      <c r="AE126" s="55">
        <f t="shared" ca="1" si="43"/>
        <v>160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160</v>
      </c>
      <c r="AG126" s="176">
        <f ca="1">AE125+AE126</f>
        <v>1240</v>
      </c>
      <c r="AI126" s="11">
        <f t="shared" si="20"/>
        <v>5</v>
      </c>
      <c r="AJ126" s="10">
        <v>5</v>
      </c>
      <c r="AK126" s="11">
        <f t="shared" si="44"/>
        <v>10</v>
      </c>
      <c r="AL126" s="10">
        <v>10</v>
      </c>
      <c r="AM126" s="11">
        <f t="shared" si="44"/>
        <v>0</v>
      </c>
      <c r="AN126" s="10">
        <v>0</v>
      </c>
      <c r="AO126" s="55">
        <f t="shared" si="23"/>
        <v>1</v>
      </c>
      <c r="AQ126" s="11">
        <f ca="1">IFERROR(OFFSET(ITEM_RES!$A$1,MATCH(AR126,ITEM_RES!$J:$J,0)-1,0),0)</f>
        <v>211020401</v>
      </c>
      <c r="AR126" s="10" t="s">
        <v>427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2"/>
        <v>0</v>
      </c>
    </row>
    <row r="127" spans="1:66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1357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310</v>
      </c>
      <c r="AC127" s="55">
        <v>3</v>
      </c>
      <c r="AE127" s="55">
        <f t="shared" ca="1" si="43"/>
        <v>240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240</v>
      </c>
      <c r="AG127" s="176">
        <f t="shared" ref="AG127:AG144" ca="1" si="46">AE126+AE127</f>
        <v>400</v>
      </c>
      <c r="AI127" s="11">
        <f t="shared" si="20"/>
        <v>5</v>
      </c>
      <c r="AJ127" s="10">
        <v>5</v>
      </c>
      <c r="AK127" s="11">
        <f t="shared" si="44"/>
        <v>15</v>
      </c>
      <c r="AL127" s="10">
        <v>15</v>
      </c>
      <c r="AM127" s="11">
        <f t="shared" si="44"/>
        <v>0</v>
      </c>
      <c r="AN127" s="10">
        <v>0</v>
      </c>
      <c r="AO127" s="55">
        <f t="shared" si="23"/>
        <v>1</v>
      </c>
      <c r="AQ127" s="11">
        <f ca="1">IFERROR(OFFSET(ITEM_RES!$A$1,MATCH(AR127,ITEM_RES!$J:$J,0)-1,0),0)</f>
        <v>211020401</v>
      </c>
      <c r="AR127" s="10" t="s">
        <v>427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2"/>
        <v>0</v>
      </c>
    </row>
    <row r="128" spans="1:66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1357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310</v>
      </c>
      <c r="AC128" s="55">
        <v>3</v>
      </c>
      <c r="AE128" s="55">
        <f t="shared" ca="1" si="43"/>
        <v>925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925</v>
      </c>
      <c r="AG128" s="176">
        <f t="shared" ca="1" si="46"/>
        <v>1165</v>
      </c>
      <c r="AI128" s="11">
        <f t="shared" si="20"/>
        <v>15</v>
      </c>
      <c r="AJ128" s="10">
        <v>15</v>
      </c>
      <c r="AK128" s="11">
        <f t="shared" si="44"/>
        <v>25</v>
      </c>
      <c r="AL128" s="10">
        <v>25</v>
      </c>
      <c r="AM128" s="11">
        <f t="shared" si="44"/>
        <v>0</v>
      </c>
      <c r="AN128" s="10">
        <v>0</v>
      </c>
      <c r="AO128" s="55">
        <f t="shared" si="23"/>
        <v>1</v>
      </c>
      <c r="AQ128" s="11">
        <f ca="1">IFERROR(OFFSET(ITEM_RES!$A$1,MATCH(AR128,ITEM_RES!$J:$J,0)-1,0),0)</f>
        <v>211020401</v>
      </c>
      <c r="AR128" s="10" t="s">
        <v>427</v>
      </c>
      <c r="AS128" s="11">
        <v>300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2"/>
        <v>0</v>
      </c>
    </row>
    <row r="129" spans="1:65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1358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930</v>
      </c>
      <c r="AC129" s="55">
        <v>4</v>
      </c>
      <c r="AE129" s="55">
        <f t="shared" ca="1" si="43"/>
        <v>4090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4090</v>
      </c>
      <c r="AG129" s="176">
        <f t="shared" ca="1" si="46"/>
        <v>5015</v>
      </c>
      <c r="AI129" s="11">
        <f t="shared" si="20"/>
        <v>20</v>
      </c>
      <c r="AJ129" s="10">
        <v>20</v>
      </c>
      <c r="AK129" s="11">
        <f t="shared" si="44"/>
        <v>40</v>
      </c>
      <c r="AL129" s="10">
        <v>40</v>
      </c>
      <c r="AM129" s="11">
        <f t="shared" si="44"/>
        <v>0</v>
      </c>
      <c r="AN129" s="10">
        <v>0</v>
      </c>
      <c r="AO129" s="55">
        <f t="shared" si="23"/>
        <v>1</v>
      </c>
      <c r="AQ129" s="11">
        <f ca="1">IFERROR(OFFSET(ITEM_RES!$A$1,MATCH(AR129,ITEM_RES!$J:$J,0)-1,0),0)</f>
        <v>211020401</v>
      </c>
      <c r="AR129" s="10" t="s">
        <v>427</v>
      </c>
      <c r="AS129" s="11">
        <v>1350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2"/>
        <v>0</v>
      </c>
    </row>
    <row r="130" spans="1:65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1358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930</v>
      </c>
      <c r="AC130" s="55">
        <v>4</v>
      </c>
      <c r="AE130" s="55">
        <f t="shared" ca="1" si="43"/>
        <v>13550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13550</v>
      </c>
      <c r="AG130" s="176">
        <f t="shared" ca="1" si="46"/>
        <v>17640</v>
      </c>
      <c r="AI130" s="11">
        <f t="shared" si="20"/>
        <v>30</v>
      </c>
      <c r="AJ130" s="10">
        <v>30</v>
      </c>
      <c r="AK130" s="11">
        <f t="shared" si="44"/>
        <v>50</v>
      </c>
      <c r="AL130" s="10">
        <v>50</v>
      </c>
      <c r="AM130" s="11">
        <f t="shared" si="44"/>
        <v>0</v>
      </c>
      <c r="AN130" s="10">
        <v>0</v>
      </c>
      <c r="AO130" s="55">
        <f t="shared" si="23"/>
        <v>1</v>
      </c>
      <c r="AQ130" s="11">
        <f ca="1">IFERROR(OFFSET(ITEM_RES!$A$1,MATCH(AR130,ITEM_RES!$J:$J,0)-1,0),0)</f>
        <v>211020401</v>
      </c>
      <c r="AR130" s="10" t="s">
        <v>427</v>
      </c>
      <c r="AS130" s="11">
        <v>4500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2"/>
        <v>0</v>
      </c>
    </row>
    <row r="131" spans="1:65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1359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930</v>
      </c>
      <c r="AC131" s="55">
        <v>4</v>
      </c>
      <c r="AE131" s="55">
        <f t="shared" ca="1" si="43"/>
        <v>30100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30100</v>
      </c>
      <c r="AG131" s="176">
        <f t="shared" ca="1" si="46"/>
        <v>43650</v>
      </c>
      <c r="AI131" s="11">
        <f t="shared" si="20"/>
        <v>300</v>
      </c>
      <c r="AJ131" s="10">
        <v>300</v>
      </c>
      <c r="AK131" s="11">
        <f t="shared" si="44"/>
        <v>100</v>
      </c>
      <c r="AL131" s="10">
        <v>100</v>
      </c>
      <c r="AM131" s="11">
        <f t="shared" si="44"/>
        <v>0</v>
      </c>
      <c r="AN131" s="10">
        <v>0</v>
      </c>
      <c r="AO131" s="55">
        <f t="shared" si="23"/>
        <v>1</v>
      </c>
      <c r="AQ131" s="11">
        <f ca="1">IFERROR(OFFSET(ITEM_RES!$A$1,MATCH(AR131,ITEM_RES!$J:$J,0)-1,0),0)</f>
        <v>211020401</v>
      </c>
      <c r="AR131" s="10" t="s">
        <v>427</v>
      </c>
      <c r="AS131" s="11">
        <v>10000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2"/>
        <v>0</v>
      </c>
    </row>
    <row r="132" spans="1:65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1359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5475</v>
      </c>
      <c r="AC132" s="55">
        <v>5</v>
      </c>
      <c r="AE132" s="55">
        <f t="shared" ca="1" si="43"/>
        <v>63100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63100</v>
      </c>
      <c r="AG132" s="176">
        <f t="shared" ca="1" si="46"/>
        <v>93200</v>
      </c>
      <c r="AI132" s="11">
        <f t="shared" si="20"/>
        <v>600</v>
      </c>
      <c r="AJ132" s="10">
        <v>600</v>
      </c>
      <c r="AK132" s="11">
        <f t="shared" si="44"/>
        <v>100</v>
      </c>
      <c r="AL132" s="10">
        <v>100</v>
      </c>
      <c r="AM132" s="11">
        <f t="shared" si="44"/>
        <v>0</v>
      </c>
      <c r="AN132" s="10">
        <v>0</v>
      </c>
      <c r="AO132" s="55">
        <f t="shared" si="23"/>
        <v>1</v>
      </c>
      <c r="AQ132" s="11">
        <f ca="1">IFERROR(OFFSET(ITEM_RES!$A$1,MATCH(AR132,ITEM_RES!$J:$J,0)-1,0),0)</f>
        <v>211020401</v>
      </c>
      <c r="AR132" s="10" t="s">
        <v>427</v>
      </c>
      <c r="AS132" s="11">
        <v>21000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2"/>
        <v>0</v>
      </c>
    </row>
    <row r="133" spans="1:65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1420</v>
      </c>
      <c r="P133" s="55" t="s">
        <v>1422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32560</v>
      </c>
      <c r="AC133" s="55">
        <v>6</v>
      </c>
      <c r="AE133" s="55">
        <f t="shared" ca="1" si="43"/>
        <v>117150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117150</v>
      </c>
      <c r="AG133" s="176">
        <f t="shared" ca="1" si="46"/>
        <v>180250</v>
      </c>
      <c r="AI133" s="11">
        <f t="shared" ref="AI133:AI236" si="47">ROUND(AJ133,0)</f>
        <v>900</v>
      </c>
      <c r="AJ133" s="10">
        <v>900</v>
      </c>
      <c r="AK133" s="11">
        <f t="shared" si="44"/>
        <v>150</v>
      </c>
      <c r="AL133" s="10">
        <v>150</v>
      </c>
      <c r="AM133" s="11">
        <f t="shared" si="44"/>
        <v>0</v>
      </c>
      <c r="AN133" s="10">
        <v>0</v>
      </c>
      <c r="AO133" s="55">
        <f t="shared" si="23"/>
        <v>1</v>
      </c>
      <c r="AQ133" s="11">
        <f ca="1">IFERROR(OFFSET(ITEM_RES!$A$1,MATCH(AR133,ITEM_RES!$J:$J,0)-1,0),0)</f>
        <v>211020401</v>
      </c>
      <c r="AR133" s="10" t="s">
        <v>427</v>
      </c>
      <c r="AS133" s="11">
        <v>39000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2"/>
        <v>0</v>
      </c>
    </row>
    <row r="134" spans="1:65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1420</v>
      </c>
      <c r="P134" s="55" t="s">
        <v>1422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108200</v>
      </c>
      <c r="AC134" s="55">
        <v>7</v>
      </c>
      <c r="AE134" s="55">
        <f t="shared" ca="1" si="43"/>
        <v>234200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234200</v>
      </c>
      <c r="AG134" s="176">
        <f t="shared" ca="1" si="46"/>
        <v>351350</v>
      </c>
      <c r="AI134" s="11">
        <f t="shared" si="47"/>
        <v>1200</v>
      </c>
      <c r="AJ134" s="10">
        <v>1200</v>
      </c>
      <c r="AK134" s="11">
        <f t="shared" si="44"/>
        <v>200</v>
      </c>
      <c r="AL134" s="10">
        <v>200</v>
      </c>
      <c r="AM134" s="11">
        <f t="shared" si="44"/>
        <v>0</v>
      </c>
      <c r="AN134" s="10">
        <v>0</v>
      </c>
      <c r="AO134" s="55">
        <f t="shared" ref="AO134:AO237" si="48">(AS134&gt;0)*1+(AX134&gt;0)*1+(BC134&gt;0)*1+(BH134&gt;0)*1+(BM134&gt;0)*1</f>
        <v>1</v>
      </c>
      <c r="AQ134" s="11">
        <f ca="1">IFERROR(OFFSET(ITEM_RES!$A$1,MATCH(AR134,ITEM_RES!$J:$J,0)-1,0),0)</f>
        <v>211020501</v>
      </c>
      <c r="AR134" s="10" t="s">
        <v>1331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2"/>
        <v>0</v>
      </c>
    </row>
    <row r="135" spans="1:65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1419</v>
      </c>
      <c r="P135" s="55" t="s">
        <v>1421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240400</v>
      </c>
      <c r="AC135" s="55">
        <v>8</v>
      </c>
      <c r="AE135" s="55">
        <f t="shared" ca="1" si="43"/>
        <v>396250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396250</v>
      </c>
      <c r="AG135" s="176">
        <f t="shared" ca="1" si="46"/>
        <v>630450</v>
      </c>
      <c r="AI135" s="11">
        <f t="shared" si="47"/>
        <v>1500</v>
      </c>
      <c r="AJ135" s="10">
        <v>1500</v>
      </c>
      <c r="AK135" s="11">
        <f t="shared" si="44"/>
        <v>250</v>
      </c>
      <c r="AL135" s="10">
        <v>250</v>
      </c>
      <c r="AM135" s="11">
        <f t="shared" si="44"/>
        <v>0</v>
      </c>
      <c r="AN135" s="10">
        <v>0</v>
      </c>
      <c r="AO135" s="55">
        <f t="shared" si="48"/>
        <v>1</v>
      </c>
      <c r="AQ135" s="11">
        <f ca="1">IFERROR(OFFSET(ITEM_RES!$A$1,MATCH(AR135,ITEM_RES!$J:$J,0)-1,0),0)</f>
        <v>211020501</v>
      </c>
      <c r="AR135" s="10" t="s">
        <v>1331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2"/>
        <v>0</v>
      </c>
    </row>
    <row r="136" spans="1:65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1419</v>
      </c>
      <c r="P136" s="55" t="s">
        <v>1421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630500</v>
      </c>
      <c r="AC136" s="55">
        <v>9</v>
      </c>
      <c r="AE136" s="55">
        <f t="shared" ca="1" si="43"/>
        <v>666300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666300</v>
      </c>
      <c r="AG136" s="176">
        <f t="shared" ca="1" si="46"/>
        <v>1062550</v>
      </c>
      <c r="AI136" s="11">
        <f t="shared" si="47"/>
        <v>1800</v>
      </c>
      <c r="AJ136" s="10">
        <v>1800</v>
      </c>
      <c r="AK136" s="11">
        <f t="shared" si="44"/>
        <v>300</v>
      </c>
      <c r="AL136" s="10">
        <v>300</v>
      </c>
      <c r="AM136" s="11">
        <f t="shared" si="44"/>
        <v>0</v>
      </c>
      <c r="AN136" s="10">
        <v>0</v>
      </c>
      <c r="AO136" s="55">
        <f t="shared" si="48"/>
        <v>1</v>
      </c>
      <c r="AQ136" s="11">
        <f ca="1">IFERROR(OFFSET(ITEM_RES!$A$1,MATCH(AR136,ITEM_RES!$J:$J,0)-1,0),0)</f>
        <v>211020501</v>
      </c>
      <c r="AR136" s="10" t="s">
        <v>1331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2"/>
        <v>0</v>
      </c>
    </row>
    <row r="137" spans="1:65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1419</v>
      </c>
      <c r="P137" s="55" t="s">
        <v>1421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1170750</v>
      </c>
      <c r="AC137" s="55">
        <v>10</v>
      </c>
      <c r="AE137" s="55">
        <f t="shared" ca="1" si="43"/>
        <v>1116350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1116350</v>
      </c>
      <c r="AG137" s="176">
        <f t="shared" ca="1" si="46"/>
        <v>1782650</v>
      </c>
      <c r="AI137" s="11">
        <f t="shared" si="47"/>
        <v>2100</v>
      </c>
      <c r="AJ137" s="10">
        <v>2100</v>
      </c>
      <c r="AK137" s="11">
        <f t="shared" si="44"/>
        <v>350</v>
      </c>
      <c r="AL137" s="10">
        <v>350</v>
      </c>
      <c r="AM137" s="11">
        <f t="shared" si="44"/>
        <v>0</v>
      </c>
      <c r="AN137" s="10">
        <v>0</v>
      </c>
      <c r="AO137" s="55">
        <f t="shared" si="48"/>
        <v>1</v>
      </c>
      <c r="AQ137" s="11">
        <f ca="1">IFERROR(OFFSET(ITEM_RES!$A$1,MATCH(AR137,ITEM_RES!$J:$J,0)-1,0),0)</f>
        <v>211020501</v>
      </c>
      <c r="AR137" s="10" t="s">
        <v>1331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2"/>
        <v>0</v>
      </c>
    </row>
    <row r="138" spans="1:65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1419</v>
      </c>
      <c r="P138" s="55" t="s">
        <v>1421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1956000</v>
      </c>
      <c r="AC138" s="55">
        <v>11</v>
      </c>
      <c r="AE138" s="55">
        <f t="shared" ca="1" si="43"/>
        <v>1746450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1746450</v>
      </c>
      <c r="AG138" s="176">
        <f t="shared" ca="1" si="46"/>
        <v>2862800</v>
      </c>
      <c r="AI138" s="11">
        <f t="shared" si="47"/>
        <v>2400</v>
      </c>
      <c r="AJ138" s="10">
        <v>2400</v>
      </c>
      <c r="AK138" s="11">
        <f t="shared" si="44"/>
        <v>450</v>
      </c>
      <c r="AL138" s="10">
        <v>450</v>
      </c>
      <c r="AM138" s="11">
        <f t="shared" si="44"/>
        <v>0</v>
      </c>
      <c r="AN138" s="10">
        <v>0</v>
      </c>
      <c r="AO138" s="55">
        <f t="shared" si="48"/>
        <v>1</v>
      </c>
      <c r="AQ138" s="11">
        <f ca="1">IFERROR(OFFSET(ITEM_RES!$A$1,MATCH(AR138,ITEM_RES!$J:$J,0)-1,0),0)</f>
        <v>211020501</v>
      </c>
      <c r="AR138" s="10" t="s">
        <v>1331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2"/>
        <v>0</v>
      </c>
    </row>
    <row r="139" spans="1:65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1419</v>
      </c>
      <c r="P139" s="55" t="s">
        <v>1421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3961500</v>
      </c>
      <c r="AC139" s="55">
        <v>12</v>
      </c>
      <c r="AE139" s="55">
        <f t="shared" ca="1" si="43"/>
        <v>3780550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3780550</v>
      </c>
      <c r="AG139" s="176">
        <f t="shared" ca="1" si="46"/>
        <v>5527000</v>
      </c>
      <c r="AI139" s="11">
        <f t="shared" si="47"/>
        <v>2700</v>
      </c>
      <c r="AJ139" s="10">
        <v>2700</v>
      </c>
      <c r="AK139" s="11">
        <f t="shared" si="44"/>
        <v>550</v>
      </c>
      <c r="AL139" s="10">
        <v>550</v>
      </c>
      <c r="AM139" s="11">
        <f t="shared" si="44"/>
        <v>0</v>
      </c>
      <c r="AN139" s="10">
        <v>0</v>
      </c>
      <c r="AO139" s="55">
        <f t="shared" si="48"/>
        <v>1</v>
      </c>
      <c r="AQ139" s="11">
        <f ca="1">IFERROR(OFFSET(ITEM_RES!$A$1,MATCH(AR139,ITEM_RES!$J:$J,0)-1,0),0)</f>
        <v>211020501</v>
      </c>
      <c r="AR139" s="10" t="s">
        <v>1331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2"/>
        <v>0</v>
      </c>
    </row>
    <row r="140" spans="1:65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1419</v>
      </c>
      <c r="P140" s="55" t="s">
        <v>1421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7772100</v>
      </c>
      <c r="AC140" s="55">
        <v>13</v>
      </c>
      <c r="AE140" s="55">
        <f t="shared" ca="1" si="43"/>
        <v>7740700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7740700</v>
      </c>
      <c r="AG140" s="176">
        <f t="shared" ca="1" si="46"/>
        <v>11521250</v>
      </c>
      <c r="AI140" s="11">
        <f t="shared" si="47"/>
        <v>3000</v>
      </c>
      <c r="AJ140" s="10">
        <v>3000</v>
      </c>
      <c r="AK140" s="11">
        <f t="shared" si="44"/>
        <v>700</v>
      </c>
      <c r="AL140" s="10">
        <v>700</v>
      </c>
      <c r="AM140" s="11">
        <f t="shared" si="44"/>
        <v>0</v>
      </c>
      <c r="AN140" s="10">
        <v>0</v>
      </c>
      <c r="AO140" s="55">
        <f t="shared" si="48"/>
        <v>1</v>
      </c>
      <c r="AQ140" s="11">
        <f ca="1">IFERROR(OFFSET(ITEM_RES!$A$1,MATCH(AR140,ITEM_RES!$J:$J,0)-1,0),0)</f>
        <v>211020501</v>
      </c>
      <c r="AR140" s="10" t="s">
        <v>1331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2"/>
        <v>0</v>
      </c>
    </row>
    <row r="141" spans="1:65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1419</v>
      </c>
      <c r="P141" s="55" t="s">
        <v>1421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13022450</v>
      </c>
      <c r="AC141" s="55">
        <v>14</v>
      </c>
      <c r="AE141" s="55">
        <f t="shared" ca="1" si="43"/>
        <v>14400850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14400850</v>
      </c>
      <c r="AG141" s="176">
        <f t="shared" ca="1" si="46"/>
        <v>22141550</v>
      </c>
      <c r="AI141" s="11">
        <f t="shared" si="47"/>
        <v>3300</v>
      </c>
      <c r="AJ141" s="10">
        <v>3300</v>
      </c>
      <c r="AK141" s="11">
        <f t="shared" si="44"/>
        <v>850</v>
      </c>
      <c r="AL141" s="10">
        <v>850</v>
      </c>
      <c r="AM141" s="11">
        <f t="shared" si="44"/>
        <v>0</v>
      </c>
      <c r="AN141" s="10">
        <v>0</v>
      </c>
      <c r="AO141" s="55">
        <f t="shared" si="48"/>
        <v>1</v>
      </c>
      <c r="AQ141" s="11">
        <f ca="1">IFERROR(OFFSET(ITEM_RES!$A$1,MATCH(AR141,ITEM_RES!$J:$J,0)-1,0),0)</f>
        <v>211020501</v>
      </c>
      <c r="AR141" s="10" t="s">
        <v>418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2"/>
        <v>0</v>
      </c>
    </row>
    <row r="142" spans="1:65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1419</v>
      </c>
      <c r="P142" s="55" t="s">
        <v>1421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23283600</v>
      </c>
      <c r="AC142" s="55">
        <v>15</v>
      </c>
      <c r="AE142" s="55">
        <f t="shared" ca="1" si="43"/>
        <v>23401050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23401050</v>
      </c>
      <c r="AG142" s="176">
        <f t="shared" ca="1" si="46"/>
        <v>37801900</v>
      </c>
      <c r="AI142" s="11">
        <f t="shared" si="47"/>
        <v>3600</v>
      </c>
      <c r="AJ142" s="10">
        <v>3600</v>
      </c>
      <c r="AK142" s="11">
        <f t="shared" si="44"/>
        <v>1050</v>
      </c>
      <c r="AL142" s="10">
        <v>1050</v>
      </c>
      <c r="AM142" s="11">
        <f t="shared" si="44"/>
        <v>0</v>
      </c>
      <c r="AN142" s="10">
        <v>0</v>
      </c>
      <c r="AO142" s="55">
        <f t="shared" si="48"/>
        <v>1</v>
      </c>
      <c r="AQ142" s="11">
        <f ca="1">IFERROR(OFFSET(ITEM_RES!$A$1,MATCH(AR142,ITEM_RES!$J:$J,0)-1,0),0)</f>
        <v>211020501</v>
      </c>
      <c r="AR142" s="10" t="s">
        <v>418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2"/>
        <v>0</v>
      </c>
    </row>
    <row r="143" spans="1:65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1419</v>
      </c>
      <c r="P143" s="55" t="s">
        <v>1421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50404400</v>
      </c>
      <c r="AC143" s="55">
        <v>16</v>
      </c>
      <c r="AE143" s="55">
        <f t="shared" ca="1" si="43"/>
        <v>36001250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36001250</v>
      </c>
      <c r="AG143" s="176">
        <f t="shared" ca="1" si="46"/>
        <v>59402300</v>
      </c>
      <c r="AI143" s="11">
        <f t="shared" si="47"/>
        <v>3900</v>
      </c>
      <c r="AJ143" s="10">
        <v>3900</v>
      </c>
      <c r="AK143" s="11">
        <f t="shared" si="44"/>
        <v>1250</v>
      </c>
      <c r="AL143" s="10">
        <v>1250</v>
      </c>
      <c r="AM143" s="11">
        <f t="shared" si="44"/>
        <v>0</v>
      </c>
      <c r="AN143" s="10">
        <v>0</v>
      </c>
      <c r="AO143" s="55">
        <f t="shared" si="48"/>
        <v>1</v>
      </c>
      <c r="AQ143" s="11">
        <f ca="1">IFERROR(OFFSET(ITEM_RES!$A$1,MATCH(AR143,ITEM_RES!$J:$J,0)-1,0),0)</f>
        <v>211020501</v>
      </c>
      <c r="AR143" s="10" t="s">
        <v>418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2"/>
        <v>0</v>
      </c>
    </row>
    <row r="144" spans="1:65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1419</v>
      </c>
      <c r="P144" s="55" t="s">
        <v>1421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119976300</v>
      </c>
      <c r="AC144" s="55">
        <v>17</v>
      </c>
      <c r="AE144" s="55">
        <f t="shared" ca="1" si="43"/>
        <v>57601500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57601500</v>
      </c>
      <c r="AG144" s="176">
        <f t="shared" ca="1" si="46"/>
        <v>93602750</v>
      </c>
      <c r="AI144" s="11">
        <f t="shared" si="47"/>
        <v>4200</v>
      </c>
      <c r="AJ144" s="10">
        <v>4200</v>
      </c>
      <c r="AK144" s="11">
        <f t="shared" si="44"/>
        <v>1500</v>
      </c>
      <c r="AL144" s="10">
        <v>1500</v>
      </c>
      <c r="AM144" s="11">
        <f t="shared" si="44"/>
        <v>0</v>
      </c>
      <c r="AN144" s="10">
        <v>0</v>
      </c>
      <c r="AO144" s="55">
        <f t="shared" si="48"/>
        <v>1</v>
      </c>
      <c r="AQ144" s="11">
        <f ca="1">IFERROR(OFFSET(ITEM_RES!$A$1,MATCH(AR144,ITEM_RES!$J:$J,0)-1,0),0)</f>
        <v>211020501</v>
      </c>
      <c r="AR144" s="10" t="s">
        <v>418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2"/>
        <v>0</v>
      </c>
    </row>
    <row r="145" spans="1:66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1360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630500</v>
      </c>
      <c r="AC145" s="56">
        <v>9</v>
      </c>
      <c r="AD145" s="76"/>
      <c r="AE145" s="56">
        <f t="shared" ca="1" si="43"/>
        <v>1205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1205</v>
      </c>
      <c r="AG145" s="178">
        <f ca="1">AE145</f>
        <v>1205</v>
      </c>
      <c r="AH145" s="76"/>
      <c r="AI145" s="18">
        <f t="shared" si="47"/>
        <v>3</v>
      </c>
      <c r="AJ145" s="17">
        <v>3</v>
      </c>
      <c r="AK145" s="18">
        <f t="shared" si="44"/>
        <v>5</v>
      </c>
      <c r="AL145" s="17">
        <v>5</v>
      </c>
      <c r="AM145" s="18">
        <f t="shared" si="44"/>
        <v>0</v>
      </c>
      <c r="AN145" s="17">
        <v>0</v>
      </c>
      <c r="AO145" s="56">
        <f t="shared" si="48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2"/>
        <v>0</v>
      </c>
      <c r="BN145" s="17"/>
    </row>
    <row r="146" spans="1:66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1360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630500</v>
      </c>
      <c r="AC146" s="55">
        <v>9</v>
      </c>
      <c r="AE146" s="55">
        <f t="shared" ca="1" si="43"/>
        <v>410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410</v>
      </c>
      <c r="AG146" s="176">
        <f ca="1">AE145+AE146</f>
        <v>1615</v>
      </c>
      <c r="AI146" s="11">
        <f t="shared" si="47"/>
        <v>5</v>
      </c>
      <c r="AJ146" s="10">
        <v>5</v>
      </c>
      <c r="AK146" s="11">
        <f t="shared" si="44"/>
        <v>10</v>
      </c>
      <c r="AL146" s="10">
        <v>10</v>
      </c>
      <c r="AM146" s="11">
        <f t="shared" si="44"/>
        <v>0</v>
      </c>
      <c r="AN146" s="10">
        <v>0</v>
      </c>
      <c r="AO146" s="55">
        <f t="shared" si="48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2"/>
        <v>0</v>
      </c>
    </row>
    <row r="147" spans="1:66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1361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1170750</v>
      </c>
      <c r="AC147" s="55">
        <v>10</v>
      </c>
      <c r="AE147" s="55">
        <f t="shared" ca="1" si="43"/>
        <v>615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615</v>
      </c>
      <c r="AG147" s="176">
        <f t="shared" ref="AG147:AG164" ca="1" si="49">AE146+AE147</f>
        <v>1025</v>
      </c>
      <c r="AI147" s="11">
        <f t="shared" si="47"/>
        <v>5</v>
      </c>
      <c r="AJ147" s="10">
        <v>5</v>
      </c>
      <c r="AK147" s="11">
        <f t="shared" si="44"/>
        <v>15</v>
      </c>
      <c r="AL147" s="10">
        <v>15</v>
      </c>
      <c r="AM147" s="11">
        <f t="shared" si="44"/>
        <v>0</v>
      </c>
      <c r="AN147" s="10">
        <v>0</v>
      </c>
      <c r="AO147" s="55">
        <f t="shared" si="48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2"/>
        <v>0</v>
      </c>
    </row>
    <row r="148" spans="1:66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1361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1170750</v>
      </c>
      <c r="AC148" s="55">
        <v>10</v>
      </c>
      <c r="AE148" s="55">
        <f t="shared" ca="1" si="43"/>
        <v>2425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2425</v>
      </c>
      <c r="AG148" s="176">
        <f t="shared" ca="1" si="49"/>
        <v>3040</v>
      </c>
      <c r="AI148" s="11">
        <f t="shared" si="47"/>
        <v>15</v>
      </c>
      <c r="AJ148" s="10">
        <v>15</v>
      </c>
      <c r="AK148" s="11">
        <f t="shared" si="44"/>
        <v>25</v>
      </c>
      <c r="AL148" s="10">
        <v>25</v>
      </c>
      <c r="AM148" s="11">
        <f t="shared" si="44"/>
        <v>0</v>
      </c>
      <c r="AN148" s="10">
        <v>0</v>
      </c>
      <c r="AO148" s="55">
        <f t="shared" si="48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2"/>
        <v>0</v>
      </c>
    </row>
    <row r="149" spans="1:66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1362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1170750</v>
      </c>
      <c r="AC149" s="55">
        <v>10</v>
      </c>
      <c r="AE149" s="55">
        <f t="shared" ca="1" si="43"/>
        <v>10840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10840</v>
      </c>
      <c r="AG149" s="176">
        <f t="shared" ca="1" si="49"/>
        <v>13265</v>
      </c>
      <c r="AI149" s="11">
        <f t="shared" si="47"/>
        <v>20</v>
      </c>
      <c r="AJ149" s="10">
        <v>20</v>
      </c>
      <c r="AK149" s="11">
        <f t="shared" si="44"/>
        <v>40</v>
      </c>
      <c r="AL149" s="10">
        <v>40</v>
      </c>
      <c r="AM149" s="11">
        <f t="shared" si="44"/>
        <v>0</v>
      </c>
      <c r="AN149" s="10">
        <v>0</v>
      </c>
      <c r="AO149" s="55">
        <f t="shared" si="48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2"/>
        <v>0</v>
      </c>
    </row>
    <row r="150" spans="1:66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1362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1170750</v>
      </c>
      <c r="AC150" s="55">
        <v>10</v>
      </c>
      <c r="AE150" s="55">
        <f t="shared" ca="1" si="43"/>
        <v>36050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36050</v>
      </c>
      <c r="AG150" s="176">
        <f t="shared" ca="1" si="49"/>
        <v>46890</v>
      </c>
      <c r="AI150" s="11">
        <f t="shared" si="47"/>
        <v>30</v>
      </c>
      <c r="AJ150" s="10">
        <v>30</v>
      </c>
      <c r="AK150" s="11">
        <f t="shared" si="44"/>
        <v>50</v>
      </c>
      <c r="AL150" s="10">
        <v>50</v>
      </c>
      <c r="AM150" s="11">
        <f t="shared" si="44"/>
        <v>0</v>
      </c>
      <c r="AN150" s="10">
        <v>0</v>
      </c>
      <c r="AO150" s="55">
        <f t="shared" si="48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2"/>
        <v>0</v>
      </c>
    </row>
    <row r="151" spans="1:66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1363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1956000</v>
      </c>
      <c r="AC151" s="55">
        <v>11</v>
      </c>
      <c r="AE151" s="55">
        <f t="shared" ca="1" si="43"/>
        <v>80100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80100</v>
      </c>
      <c r="AG151" s="176">
        <f t="shared" ca="1" si="49"/>
        <v>116150</v>
      </c>
      <c r="AI151" s="11">
        <f t="shared" si="47"/>
        <v>300</v>
      </c>
      <c r="AJ151" s="10">
        <v>300</v>
      </c>
      <c r="AK151" s="11">
        <f t="shared" si="44"/>
        <v>100</v>
      </c>
      <c r="AL151" s="10">
        <v>100</v>
      </c>
      <c r="AM151" s="11">
        <f t="shared" si="44"/>
        <v>0</v>
      </c>
      <c r="AN151" s="10">
        <v>0</v>
      </c>
      <c r="AO151" s="55">
        <f t="shared" si="48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2"/>
        <v>0</v>
      </c>
    </row>
    <row r="152" spans="1:66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1363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3961500</v>
      </c>
      <c r="AC152" s="55">
        <v>12</v>
      </c>
      <c r="AE152" s="55">
        <f t="shared" ca="1" si="43"/>
        <v>168600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168600</v>
      </c>
      <c r="AG152" s="176">
        <f t="shared" ca="1" si="49"/>
        <v>248700</v>
      </c>
      <c r="AI152" s="11">
        <f t="shared" si="47"/>
        <v>600</v>
      </c>
      <c r="AJ152" s="10">
        <v>600</v>
      </c>
      <c r="AK152" s="11">
        <f t="shared" si="44"/>
        <v>100</v>
      </c>
      <c r="AL152" s="10">
        <v>100</v>
      </c>
      <c r="AM152" s="11">
        <v>500</v>
      </c>
      <c r="AN152" s="10">
        <v>0</v>
      </c>
      <c r="AO152" s="55">
        <f t="shared" si="48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2"/>
        <v>0</v>
      </c>
    </row>
    <row r="153" spans="1:66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1424</v>
      </c>
      <c r="P153" s="55" t="s">
        <v>1426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7772100</v>
      </c>
      <c r="AC153" s="55">
        <v>13</v>
      </c>
      <c r="AE153" s="55">
        <f t="shared" ca="1" si="43"/>
        <v>318150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318150</v>
      </c>
      <c r="AG153" s="176">
        <f t="shared" ca="1" si="49"/>
        <v>486750</v>
      </c>
      <c r="AI153" s="11">
        <f t="shared" si="47"/>
        <v>900</v>
      </c>
      <c r="AJ153" s="10">
        <v>900</v>
      </c>
      <c r="AK153" s="11">
        <f t="shared" si="44"/>
        <v>150</v>
      </c>
      <c r="AL153" s="10">
        <v>150</v>
      </c>
      <c r="AM153" s="11">
        <v>6000</v>
      </c>
      <c r="AN153" s="10">
        <v>0</v>
      </c>
      <c r="AO153" s="55">
        <f t="shared" si="48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3">IF(BN153&lt;100,ROUND(BN153,1-LEN(ROUND(BN153,0))),ROUND(BN153,2-LEN(ROUND(BN153,0))))</f>
        <v>0</v>
      </c>
    </row>
    <row r="154" spans="1:66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1424</v>
      </c>
      <c r="P154" s="55" t="s">
        <v>1426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7772100</v>
      </c>
      <c r="AC154" s="55">
        <v>13</v>
      </c>
      <c r="AE154" s="55">
        <f t="shared" ref="AE154:AE217" ca="1" si="54">ROUND(AF154,0)</f>
        <v>559200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559200</v>
      </c>
      <c r="AG154" s="176">
        <f t="shared" ca="1" si="49"/>
        <v>877350</v>
      </c>
      <c r="AI154" s="11">
        <f t="shared" si="47"/>
        <v>1200</v>
      </c>
      <c r="AJ154" s="10">
        <v>1200</v>
      </c>
      <c r="AK154" s="11">
        <f t="shared" ref="AK154:AM257" si="55">ROUND(AL154,0)</f>
        <v>200</v>
      </c>
      <c r="AL154" s="10">
        <v>200</v>
      </c>
      <c r="AM154" s="11">
        <v>39000</v>
      </c>
      <c r="AN154" s="10">
        <v>0</v>
      </c>
      <c r="AO154" s="55">
        <f t="shared" si="48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3"/>
        <v>0</v>
      </c>
    </row>
    <row r="155" spans="1:66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1423</v>
      </c>
      <c r="P155" s="55" t="s">
        <v>1425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13022450</v>
      </c>
      <c r="AC155" s="55">
        <v>14</v>
      </c>
      <c r="AE155" s="55">
        <f t="shared" ca="1" si="54"/>
        <v>945250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945250</v>
      </c>
      <c r="AG155" s="176">
        <f t="shared" ca="1" si="49"/>
        <v>1504450</v>
      </c>
      <c r="AI155" s="11">
        <f t="shared" si="47"/>
        <v>1500</v>
      </c>
      <c r="AJ155" s="10">
        <v>1500</v>
      </c>
      <c r="AK155" s="11">
        <f t="shared" si="55"/>
        <v>250</v>
      </c>
      <c r="AL155" s="10">
        <v>250</v>
      </c>
      <c r="AM155" s="11">
        <v>65000</v>
      </c>
      <c r="AN155" s="10">
        <v>0</v>
      </c>
      <c r="AO155" s="55">
        <f t="shared" si="48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3"/>
        <v>0</v>
      </c>
    </row>
    <row r="156" spans="1:66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1423</v>
      </c>
      <c r="P156" s="55" t="s">
        <v>1425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23283600</v>
      </c>
      <c r="AC156" s="55">
        <v>15</v>
      </c>
      <c r="AE156" s="55">
        <f t="shared" ca="1" si="54"/>
        <v>1590300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1590300</v>
      </c>
      <c r="AG156" s="176">
        <f t="shared" ca="1" si="49"/>
        <v>2535550</v>
      </c>
      <c r="AI156" s="11">
        <f t="shared" si="47"/>
        <v>1800</v>
      </c>
      <c r="AJ156" s="10">
        <v>1800</v>
      </c>
      <c r="AK156" s="11">
        <f t="shared" si="55"/>
        <v>300</v>
      </c>
      <c r="AL156" s="10">
        <v>300</v>
      </c>
      <c r="AM156" s="11">
        <v>110000</v>
      </c>
      <c r="AN156" s="10">
        <v>0</v>
      </c>
      <c r="AO156" s="55">
        <f t="shared" si="48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3"/>
        <v>0</v>
      </c>
    </row>
    <row r="157" spans="1:66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1423</v>
      </c>
      <c r="P157" s="55" t="s">
        <v>1425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50404400</v>
      </c>
      <c r="AC157" s="55">
        <v>16</v>
      </c>
      <c r="AE157" s="55">
        <f t="shared" ca="1" si="54"/>
        <v>3285350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3285350</v>
      </c>
      <c r="AG157" s="176">
        <f t="shared" ca="1" si="49"/>
        <v>4875650</v>
      </c>
      <c r="AI157" s="11">
        <f t="shared" si="47"/>
        <v>2100</v>
      </c>
      <c r="AJ157" s="10">
        <v>2100</v>
      </c>
      <c r="AK157" s="11">
        <f t="shared" si="55"/>
        <v>350</v>
      </c>
      <c r="AL157" s="10">
        <v>350</v>
      </c>
      <c r="AM157" s="11">
        <v>185000</v>
      </c>
      <c r="AN157" s="10">
        <v>0</v>
      </c>
      <c r="AO157" s="55">
        <f t="shared" si="48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3"/>
        <v>0</v>
      </c>
    </row>
    <row r="158" spans="1:66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1423</v>
      </c>
      <c r="P158" s="55" t="s">
        <v>1425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119976300</v>
      </c>
      <c r="AC158" s="55">
        <v>17</v>
      </c>
      <c r="AE158" s="55">
        <f t="shared" ca="1" si="54"/>
        <v>5160450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5160450</v>
      </c>
      <c r="AG158" s="176">
        <f t="shared" ca="1" si="49"/>
        <v>8445800</v>
      </c>
      <c r="AI158" s="11">
        <f t="shared" si="47"/>
        <v>2400</v>
      </c>
      <c r="AJ158" s="10">
        <v>2400</v>
      </c>
      <c r="AK158" s="11">
        <f t="shared" si="55"/>
        <v>450</v>
      </c>
      <c r="AL158" s="10">
        <v>450</v>
      </c>
      <c r="AM158" s="11">
        <v>310000</v>
      </c>
      <c r="AN158" s="10">
        <v>0</v>
      </c>
      <c r="AO158" s="55">
        <f t="shared" si="48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3"/>
        <v>0</v>
      </c>
    </row>
    <row r="159" spans="1:66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1423</v>
      </c>
      <c r="P159" s="55" t="s">
        <v>1425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223207650</v>
      </c>
      <c r="AC159" s="55">
        <v>18</v>
      </c>
      <c r="AE159" s="55">
        <f t="shared" ca="1" si="54"/>
        <v>10985550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10985550</v>
      </c>
      <c r="AG159" s="176">
        <f t="shared" ca="1" si="49"/>
        <v>16146000</v>
      </c>
      <c r="AI159" s="11">
        <f t="shared" si="47"/>
        <v>2700</v>
      </c>
      <c r="AJ159" s="10">
        <v>2700</v>
      </c>
      <c r="AK159" s="11">
        <f t="shared" si="55"/>
        <v>550</v>
      </c>
      <c r="AL159" s="10">
        <v>550</v>
      </c>
      <c r="AM159" s="11">
        <v>485000</v>
      </c>
      <c r="AN159" s="10">
        <v>0</v>
      </c>
      <c r="AO159" s="55">
        <f t="shared" si="48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3"/>
        <v>0</v>
      </c>
    </row>
    <row r="160" spans="1:66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1423</v>
      </c>
      <c r="P160" s="55" t="s">
        <v>1425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223207650</v>
      </c>
      <c r="AC160" s="55">
        <v>18</v>
      </c>
      <c r="AE160" s="55">
        <f t="shared" ca="1" si="54"/>
        <v>22550700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22550700</v>
      </c>
      <c r="AG160" s="176">
        <f t="shared" ca="1" si="49"/>
        <v>33536250</v>
      </c>
      <c r="AI160" s="11">
        <f t="shared" si="47"/>
        <v>3000</v>
      </c>
      <c r="AJ160" s="10">
        <v>3000</v>
      </c>
      <c r="AK160" s="11">
        <f t="shared" si="55"/>
        <v>700</v>
      </c>
      <c r="AL160" s="10">
        <v>700</v>
      </c>
      <c r="AM160" s="11">
        <v>1050000</v>
      </c>
      <c r="AN160" s="10">
        <v>0</v>
      </c>
      <c r="AO160" s="55">
        <f t="shared" si="48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3"/>
        <v>0</v>
      </c>
    </row>
    <row r="161" spans="1:66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1423</v>
      </c>
      <c r="P161" s="55" t="s">
        <v>1425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223207650</v>
      </c>
      <c r="AC161" s="55">
        <v>18</v>
      </c>
      <c r="AE161" s="55">
        <f t="shared" ca="1" si="54"/>
        <v>42150850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42150850</v>
      </c>
      <c r="AG161" s="176">
        <f t="shared" ca="1" si="49"/>
        <v>64701550</v>
      </c>
      <c r="AI161" s="11">
        <f t="shared" si="47"/>
        <v>3300</v>
      </c>
      <c r="AJ161" s="10">
        <v>3300</v>
      </c>
      <c r="AK161" s="11">
        <f t="shared" si="55"/>
        <v>850</v>
      </c>
      <c r="AL161" s="10">
        <v>850</v>
      </c>
      <c r="AM161" s="11">
        <v>2150000</v>
      </c>
      <c r="AN161" s="10">
        <v>0</v>
      </c>
      <c r="AO161" s="55">
        <f t="shared" si="48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3"/>
        <v>0</v>
      </c>
    </row>
    <row r="162" spans="1:66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1423</v>
      </c>
      <c r="P162" s="55" t="s">
        <v>1425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223207650</v>
      </c>
      <c r="AC162" s="55">
        <v>18</v>
      </c>
      <c r="AE162" s="55">
        <f t="shared" ca="1" si="54"/>
        <v>69001050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69001050</v>
      </c>
      <c r="AG162" s="176">
        <f t="shared" ca="1" si="49"/>
        <v>111151900</v>
      </c>
      <c r="AI162" s="11">
        <f t="shared" si="47"/>
        <v>3600</v>
      </c>
      <c r="AJ162" s="10">
        <v>3600</v>
      </c>
      <c r="AK162" s="11">
        <f t="shared" si="55"/>
        <v>1050</v>
      </c>
      <c r="AL162" s="10">
        <v>1050</v>
      </c>
      <c r="AM162" s="11">
        <v>4000000</v>
      </c>
      <c r="AN162" s="10">
        <v>0</v>
      </c>
      <c r="AO162" s="55">
        <f t="shared" si="48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3"/>
        <v>0</v>
      </c>
    </row>
    <row r="163" spans="1:66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1423</v>
      </c>
      <c r="P163" s="55" t="s">
        <v>1425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223207650</v>
      </c>
      <c r="AC163" s="55">
        <v>18</v>
      </c>
      <c r="AE163" s="55">
        <f t="shared" ca="1" si="54"/>
        <v>106501250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106501250</v>
      </c>
      <c r="AG163" s="176">
        <f t="shared" ca="1" si="49"/>
        <v>175502300</v>
      </c>
      <c r="AI163" s="11">
        <f t="shared" si="47"/>
        <v>3900</v>
      </c>
      <c r="AJ163" s="10">
        <v>3900</v>
      </c>
      <c r="AK163" s="11">
        <f t="shared" si="55"/>
        <v>1250</v>
      </c>
      <c r="AL163" s="10">
        <v>1250</v>
      </c>
      <c r="AM163" s="11">
        <v>6500000</v>
      </c>
      <c r="AN163" s="10">
        <v>0</v>
      </c>
      <c r="AO163" s="55">
        <f t="shared" si="48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3"/>
        <v>0</v>
      </c>
    </row>
    <row r="164" spans="1:66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1423</v>
      </c>
      <c r="P164" s="55" t="s">
        <v>1425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403010500</v>
      </c>
      <c r="AC164" s="55">
        <v>19</v>
      </c>
      <c r="AE164" s="55">
        <f t="shared" ca="1" si="54"/>
        <v>170001500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170001500</v>
      </c>
      <c r="AG164" s="176">
        <f t="shared" ca="1" si="49"/>
        <v>276502750</v>
      </c>
      <c r="AI164" s="11">
        <f t="shared" si="47"/>
        <v>4200</v>
      </c>
      <c r="AJ164" s="10">
        <v>4200</v>
      </c>
      <c r="AK164" s="11">
        <f t="shared" si="55"/>
        <v>1500</v>
      </c>
      <c r="AL164" s="10">
        <v>1500</v>
      </c>
      <c r="AM164" s="11">
        <v>10000000</v>
      </c>
      <c r="AN164" s="10">
        <v>0</v>
      </c>
      <c r="AO164" s="55">
        <f t="shared" si="48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3"/>
        <v>0</v>
      </c>
    </row>
    <row r="165" spans="1:66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1364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3961500</v>
      </c>
      <c r="AC165" s="56">
        <v>12</v>
      </c>
      <c r="AD165" s="76"/>
      <c r="AE165" s="56">
        <f t="shared" ca="1" si="54"/>
        <v>1205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1205</v>
      </c>
      <c r="AG165" s="178">
        <f ca="1">AE165</f>
        <v>1205</v>
      </c>
      <c r="AH165" s="76"/>
      <c r="AI165" s="18">
        <f t="shared" si="47"/>
        <v>3</v>
      </c>
      <c r="AJ165" s="17">
        <v>3</v>
      </c>
      <c r="AK165" s="18">
        <f t="shared" si="55"/>
        <v>5</v>
      </c>
      <c r="AL165" s="17">
        <v>5</v>
      </c>
      <c r="AM165" s="18">
        <f t="shared" si="55"/>
        <v>0</v>
      </c>
      <c r="AN165" s="17">
        <v>0</v>
      </c>
      <c r="AO165" s="56">
        <f t="shared" si="48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3"/>
        <v>0</v>
      </c>
      <c r="BN165" s="17"/>
    </row>
    <row r="166" spans="1:66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1364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3961500</v>
      </c>
      <c r="AC166" s="55">
        <v>12</v>
      </c>
      <c r="AE166" s="55">
        <f t="shared" ca="1" si="54"/>
        <v>410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410</v>
      </c>
      <c r="AG166" s="176">
        <f ca="1">AE165+AE166</f>
        <v>1615</v>
      </c>
      <c r="AI166" s="11">
        <f t="shared" si="47"/>
        <v>5</v>
      </c>
      <c r="AJ166" s="10">
        <v>5</v>
      </c>
      <c r="AK166" s="11">
        <f t="shared" si="55"/>
        <v>10</v>
      </c>
      <c r="AL166" s="10">
        <v>10</v>
      </c>
      <c r="AM166" s="11">
        <f t="shared" si="55"/>
        <v>0</v>
      </c>
      <c r="AN166" s="10">
        <v>0</v>
      </c>
      <c r="AO166" s="55">
        <f t="shared" si="48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3"/>
        <v>0</v>
      </c>
    </row>
    <row r="167" spans="1:66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1364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3961500</v>
      </c>
      <c r="AC167" s="55">
        <v>12</v>
      </c>
      <c r="AE167" s="55">
        <f t="shared" ca="1" si="54"/>
        <v>615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615</v>
      </c>
      <c r="AG167" s="176">
        <f t="shared" ref="AG167:AG184" ca="1" si="56">AE166+AE167</f>
        <v>1025</v>
      </c>
      <c r="AI167" s="11">
        <f t="shared" si="47"/>
        <v>5</v>
      </c>
      <c r="AJ167" s="10">
        <v>5</v>
      </c>
      <c r="AK167" s="11">
        <f t="shared" si="55"/>
        <v>15</v>
      </c>
      <c r="AL167" s="10">
        <v>15</v>
      </c>
      <c r="AM167" s="11">
        <f t="shared" si="55"/>
        <v>0</v>
      </c>
      <c r="AN167" s="10">
        <v>0</v>
      </c>
      <c r="AO167" s="55">
        <f t="shared" si="48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3"/>
        <v>0</v>
      </c>
    </row>
    <row r="168" spans="1:66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1364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3961500</v>
      </c>
      <c r="AC168" s="55">
        <v>12</v>
      </c>
      <c r="AE168" s="55">
        <f t="shared" ca="1" si="54"/>
        <v>2425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2425</v>
      </c>
      <c r="AG168" s="176">
        <f t="shared" ca="1" si="56"/>
        <v>3040</v>
      </c>
      <c r="AI168" s="11">
        <f t="shared" si="47"/>
        <v>15</v>
      </c>
      <c r="AJ168" s="10">
        <v>15</v>
      </c>
      <c r="AK168" s="11">
        <f t="shared" si="55"/>
        <v>25</v>
      </c>
      <c r="AL168" s="10">
        <v>25</v>
      </c>
      <c r="AM168" s="11">
        <f t="shared" si="55"/>
        <v>0</v>
      </c>
      <c r="AN168" s="10">
        <v>0</v>
      </c>
      <c r="AO168" s="55">
        <f t="shared" si="48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3"/>
        <v>0</v>
      </c>
    </row>
    <row r="169" spans="1:66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1364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3961500</v>
      </c>
      <c r="AC169" s="55">
        <v>12</v>
      </c>
      <c r="AE169" s="55">
        <f t="shared" ca="1" si="54"/>
        <v>10840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10840</v>
      </c>
      <c r="AG169" s="176">
        <f t="shared" ca="1" si="56"/>
        <v>13265</v>
      </c>
      <c r="AI169" s="11">
        <f t="shared" si="47"/>
        <v>20</v>
      </c>
      <c r="AJ169" s="10">
        <v>20</v>
      </c>
      <c r="AK169" s="11">
        <f t="shared" si="55"/>
        <v>40</v>
      </c>
      <c r="AL169" s="10">
        <v>40</v>
      </c>
      <c r="AM169" s="11">
        <f t="shared" si="55"/>
        <v>0</v>
      </c>
      <c r="AN169" s="10">
        <v>0</v>
      </c>
      <c r="AO169" s="55">
        <f t="shared" si="48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3"/>
        <v>0</v>
      </c>
    </row>
    <row r="170" spans="1:66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1364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3961500</v>
      </c>
      <c r="AC170" s="55">
        <v>12</v>
      </c>
      <c r="AE170" s="55">
        <f t="shared" ca="1" si="54"/>
        <v>36050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36050</v>
      </c>
      <c r="AG170" s="176">
        <f t="shared" ca="1" si="56"/>
        <v>46890</v>
      </c>
      <c r="AI170" s="11">
        <f t="shared" si="47"/>
        <v>30</v>
      </c>
      <c r="AJ170" s="10">
        <v>30</v>
      </c>
      <c r="AK170" s="11">
        <f t="shared" si="55"/>
        <v>50</v>
      </c>
      <c r="AL170" s="10">
        <v>50</v>
      </c>
      <c r="AM170" s="11">
        <f t="shared" si="55"/>
        <v>0</v>
      </c>
      <c r="AN170" s="10">
        <v>0</v>
      </c>
      <c r="AO170" s="55">
        <f t="shared" si="48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3"/>
        <v>0</v>
      </c>
    </row>
    <row r="171" spans="1:66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1364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3961500</v>
      </c>
      <c r="AC171" s="55">
        <v>12</v>
      </c>
      <c r="AE171" s="55">
        <f t="shared" ca="1" si="54"/>
        <v>80100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80100</v>
      </c>
      <c r="AG171" s="176">
        <f t="shared" ca="1" si="56"/>
        <v>116150</v>
      </c>
      <c r="AI171" s="11">
        <f t="shared" si="47"/>
        <v>300</v>
      </c>
      <c r="AJ171" s="10">
        <v>300</v>
      </c>
      <c r="AK171" s="11">
        <f t="shared" si="55"/>
        <v>100</v>
      </c>
      <c r="AL171" s="10">
        <v>100</v>
      </c>
      <c r="AM171" s="11">
        <f t="shared" si="55"/>
        <v>0</v>
      </c>
      <c r="AN171" s="10">
        <v>0</v>
      </c>
      <c r="AO171" s="55">
        <f t="shared" si="48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3"/>
        <v>0</v>
      </c>
    </row>
    <row r="172" spans="1:66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1364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3961500</v>
      </c>
      <c r="AC172" s="55">
        <v>12</v>
      </c>
      <c r="AE172" s="55">
        <f t="shared" ca="1" si="54"/>
        <v>168600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168600</v>
      </c>
      <c r="AG172" s="176">
        <f t="shared" ca="1" si="56"/>
        <v>248700</v>
      </c>
      <c r="AI172" s="11">
        <f t="shared" si="47"/>
        <v>600</v>
      </c>
      <c r="AJ172" s="10">
        <v>600</v>
      </c>
      <c r="AK172" s="11">
        <f t="shared" si="55"/>
        <v>100</v>
      </c>
      <c r="AL172" s="10">
        <v>100</v>
      </c>
      <c r="AM172" s="11">
        <v>500</v>
      </c>
      <c r="AN172" s="10">
        <v>0</v>
      </c>
      <c r="AO172" s="55">
        <f t="shared" si="48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3"/>
        <v>0</v>
      </c>
    </row>
    <row r="173" spans="1:66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1364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3961500</v>
      </c>
      <c r="AC173" s="55">
        <v>12</v>
      </c>
      <c r="AE173" s="55">
        <f t="shared" ca="1" si="54"/>
        <v>318150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318150</v>
      </c>
      <c r="AG173" s="176">
        <f t="shared" ca="1" si="56"/>
        <v>486750</v>
      </c>
      <c r="AI173" s="11">
        <f t="shared" si="47"/>
        <v>900</v>
      </c>
      <c r="AJ173" s="10">
        <v>900</v>
      </c>
      <c r="AK173" s="11">
        <f t="shared" si="55"/>
        <v>150</v>
      </c>
      <c r="AL173" s="10">
        <v>150</v>
      </c>
      <c r="AM173" s="11">
        <v>6000</v>
      </c>
      <c r="AN173" s="10">
        <v>0</v>
      </c>
      <c r="AO173" s="55">
        <f t="shared" si="48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3"/>
        <v>0</v>
      </c>
    </row>
    <row r="174" spans="1:66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1364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3961500</v>
      </c>
      <c r="AC174" s="55">
        <v>12</v>
      </c>
      <c r="AE174" s="55">
        <f t="shared" ca="1" si="54"/>
        <v>559200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559200</v>
      </c>
      <c r="AG174" s="176">
        <f t="shared" ca="1" si="56"/>
        <v>877350</v>
      </c>
      <c r="AI174" s="11">
        <f t="shared" si="47"/>
        <v>1200</v>
      </c>
      <c r="AJ174" s="10">
        <v>1200</v>
      </c>
      <c r="AK174" s="11">
        <f t="shared" si="55"/>
        <v>200</v>
      </c>
      <c r="AL174" s="10">
        <v>200</v>
      </c>
      <c r="AM174" s="11">
        <v>39000</v>
      </c>
      <c r="AN174" s="10">
        <v>0</v>
      </c>
      <c r="AO174" s="55">
        <f t="shared" si="48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3"/>
        <v>0</v>
      </c>
    </row>
    <row r="175" spans="1:66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1364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3961500</v>
      </c>
      <c r="AC175" s="55">
        <v>12</v>
      </c>
      <c r="AE175" s="55">
        <f t="shared" ca="1" si="54"/>
        <v>945250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945250</v>
      </c>
      <c r="AG175" s="176">
        <f t="shared" ca="1" si="56"/>
        <v>1504450</v>
      </c>
      <c r="AI175" s="11">
        <f t="shared" si="47"/>
        <v>1500</v>
      </c>
      <c r="AJ175" s="10">
        <v>1500</v>
      </c>
      <c r="AK175" s="11">
        <f t="shared" si="55"/>
        <v>250</v>
      </c>
      <c r="AL175" s="10">
        <v>250</v>
      </c>
      <c r="AM175" s="11">
        <v>65000</v>
      </c>
      <c r="AN175" s="10">
        <v>0</v>
      </c>
      <c r="AO175" s="55">
        <f t="shared" si="48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3"/>
        <v>0</v>
      </c>
    </row>
    <row r="176" spans="1:66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1364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3961500</v>
      </c>
      <c r="AC176" s="55">
        <v>12</v>
      </c>
      <c r="AE176" s="55">
        <f t="shared" ca="1" si="54"/>
        <v>1590300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1590300</v>
      </c>
      <c r="AG176" s="176">
        <f t="shared" ca="1" si="56"/>
        <v>2535550</v>
      </c>
      <c r="AI176" s="11">
        <f t="shared" si="47"/>
        <v>1800</v>
      </c>
      <c r="AJ176" s="10">
        <v>1800</v>
      </c>
      <c r="AK176" s="11">
        <f t="shared" si="55"/>
        <v>300</v>
      </c>
      <c r="AL176" s="10">
        <v>300</v>
      </c>
      <c r="AM176" s="11">
        <v>110000</v>
      </c>
      <c r="AN176" s="10">
        <v>0</v>
      </c>
      <c r="AO176" s="55">
        <f t="shared" si="48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3"/>
        <v>0</v>
      </c>
    </row>
    <row r="177" spans="1:66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1364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3961500</v>
      </c>
      <c r="AC177" s="55">
        <v>12</v>
      </c>
      <c r="AE177" s="55">
        <f t="shared" ca="1" si="54"/>
        <v>2665350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2665350</v>
      </c>
      <c r="AG177" s="176">
        <f t="shared" ca="1" si="56"/>
        <v>4255650</v>
      </c>
      <c r="AI177" s="11">
        <f t="shared" si="47"/>
        <v>2100</v>
      </c>
      <c r="AJ177" s="10">
        <v>2100</v>
      </c>
      <c r="AK177" s="11">
        <f t="shared" si="55"/>
        <v>350</v>
      </c>
      <c r="AL177" s="10">
        <v>350</v>
      </c>
      <c r="AM177" s="11">
        <v>185000</v>
      </c>
      <c r="AN177" s="10">
        <v>0</v>
      </c>
      <c r="AO177" s="55">
        <f t="shared" si="48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3"/>
        <v>0</v>
      </c>
    </row>
    <row r="178" spans="1:66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1364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3961500</v>
      </c>
      <c r="AC178" s="55">
        <v>12</v>
      </c>
      <c r="AE178" s="55">
        <f t="shared" ca="1" si="54"/>
        <v>4190450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4190450</v>
      </c>
      <c r="AG178" s="176">
        <f t="shared" ca="1" si="56"/>
        <v>6855800</v>
      </c>
      <c r="AI178" s="11">
        <f t="shared" si="47"/>
        <v>2400</v>
      </c>
      <c r="AJ178" s="10">
        <v>2400</v>
      </c>
      <c r="AK178" s="11">
        <f t="shared" si="55"/>
        <v>450</v>
      </c>
      <c r="AL178" s="10">
        <v>450</v>
      </c>
      <c r="AM178" s="11">
        <v>310000</v>
      </c>
      <c r="AN178" s="10">
        <v>0</v>
      </c>
      <c r="AO178" s="55">
        <f t="shared" si="48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3"/>
        <v>0</v>
      </c>
    </row>
    <row r="179" spans="1:66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1364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3961500</v>
      </c>
      <c r="AC179" s="55">
        <v>12</v>
      </c>
      <c r="AE179" s="55">
        <f t="shared" ca="1" si="54"/>
        <v>8885550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8885550</v>
      </c>
      <c r="AG179" s="176">
        <f t="shared" ca="1" si="56"/>
        <v>13076000</v>
      </c>
      <c r="AI179" s="11">
        <f t="shared" si="47"/>
        <v>2700</v>
      </c>
      <c r="AJ179" s="10">
        <v>2700</v>
      </c>
      <c r="AK179" s="11">
        <f t="shared" si="55"/>
        <v>550</v>
      </c>
      <c r="AL179" s="10">
        <v>550</v>
      </c>
      <c r="AM179" s="11">
        <v>485000</v>
      </c>
      <c r="AN179" s="10">
        <v>0</v>
      </c>
      <c r="AO179" s="55">
        <f t="shared" si="48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3"/>
        <v>0</v>
      </c>
    </row>
    <row r="180" spans="1:66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1364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3961500</v>
      </c>
      <c r="AC180" s="55">
        <v>12</v>
      </c>
      <c r="AE180" s="55">
        <f t="shared" ca="1" si="54"/>
        <v>18250700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18250700</v>
      </c>
      <c r="AG180" s="176">
        <f t="shared" ca="1" si="56"/>
        <v>27136250</v>
      </c>
      <c r="AI180" s="11">
        <f t="shared" si="47"/>
        <v>3000</v>
      </c>
      <c r="AJ180" s="10">
        <v>3000</v>
      </c>
      <c r="AK180" s="11">
        <f t="shared" si="55"/>
        <v>700</v>
      </c>
      <c r="AL180" s="10">
        <v>700</v>
      </c>
      <c r="AM180" s="11">
        <v>1050000</v>
      </c>
      <c r="AN180" s="10">
        <v>0</v>
      </c>
      <c r="AO180" s="55">
        <f t="shared" si="48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3"/>
        <v>0</v>
      </c>
    </row>
    <row r="181" spans="1:66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1364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3961500</v>
      </c>
      <c r="AC181" s="55">
        <v>12</v>
      </c>
      <c r="AE181" s="55">
        <f t="shared" ca="1" si="54"/>
        <v>42150850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42150850</v>
      </c>
      <c r="AG181" s="176">
        <f t="shared" ca="1" si="56"/>
        <v>60401550</v>
      </c>
      <c r="AI181" s="11">
        <f t="shared" si="47"/>
        <v>3300</v>
      </c>
      <c r="AJ181" s="10">
        <v>3300</v>
      </c>
      <c r="AK181" s="11">
        <f t="shared" si="55"/>
        <v>850</v>
      </c>
      <c r="AL181" s="10">
        <v>850</v>
      </c>
      <c r="AM181" s="11">
        <v>2150000</v>
      </c>
      <c r="AN181" s="10">
        <v>0</v>
      </c>
      <c r="AO181" s="55">
        <f t="shared" si="48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3"/>
        <v>0</v>
      </c>
    </row>
    <row r="182" spans="1:66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1364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3961500</v>
      </c>
      <c r="AC182" s="55">
        <v>12</v>
      </c>
      <c r="AE182" s="55">
        <f t="shared" ca="1" si="54"/>
        <v>69001050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69001050</v>
      </c>
      <c r="AG182" s="176">
        <f t="shared" ca="1" si="56"/>
        <v>111151900</v>
      </c>
      <c r="AI182" s="11">
        <f t="shared" si="47"/>
        <v>3600</v>
      </c>
      <c r="AJ182" s="10">
        <v>3600</v>
      </c>
      <c r="AK182" s="11">
        <f t="shared" si="55"/>
        <v>1050</v>
      </c>
      <c r="AL182" s="10">
        <v>1050</v>
      </c>
      <c r="AM182" s="11">
        <v>4000000</v>
      </c>
      <c r="AN182" s="10">
        <v>0</v>
      </c>
      <c r="AO182" s="55">
        <f t="shared" si="48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3"/>
        <v>0</v>
      </c>
    </row>
    <row r="183" spans="1:66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1364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3961500</v>
      </c>
      <c r="AC183" s="55">
        <v>12</v>
      </c>
      <c r="AE183" s="55">
        <f t="shared" ca="1" si="54"/>
        <v>106501250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106501250</v>
      </c>
      <c r="AG183" s="176">
        <f t="shared" ca="1" si="56"/>
        <v>175502300</v>
      </c>
      <c r="AI183" s="11">
        <f t="shared" si="47"/>
        <v>3900</v>
      </c>
      <c r="AJ183" s="10">
        <v>3900</v>
      </c>
      <c r="AK183" s="11">
        <f t="shared" si="55"/>
        <v>1250</v>
      </c>
      <c r="AL183" s="10">
        <v>1250</v>
      </c>
      <c r="AM183" s="11">
        <v>6500000</v>
      </c>
      <c r="AN183" s="10">
        <v>0</v>
      </c>
      <c r="AO183" s="55">
        <f t="shared" si="48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3"/>
        <v>0</v>
      </c>
    </row>
    <row r="184" spans="1:66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1364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3961500</v>
      </c>
      <c r="AC184" s="55">
        <v>12</v>
      </c>
      <c r="AE184" s="55">
        <f t="shared" ca="1" si="54"/>
        <v>170001500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170001500</v>
      </c>
      <c r="AG184" s="176">
        <f t="shared" ca="1" si="56"/>
        <v>276502750</v>
      </c>
      <c r="AI184" s="11">
        <f t="shared" si="47"/>
        <v>4200</v>
      </c>
      <c r="AJ184" s="10">
        <v>4200</v>
      </c>
      <c r="AK184" s="11">
        <f t="shared" si="55"/>
        <v>1500</v>
      </c>
      <c r="AL184" s="10">
        <v>1500</v>
      </c>
      <c r="AM184" s="11">
        <v>10000000</v>
      </c>
      <c r="AN184" s="10">
        <v>0</v>
      </c>
      <c r="AO184" s="55">
        <f t="shared" si="48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3"/>
        <v>0</v>
      </c>
    </row>
    <row r="185" spans="1:66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6</v>
      </c>
      <c r="M185" s="16">
        <v>1</v>
      </c>
      <c r="N185" s="16">
        <v>15</v>
      </c>
      <c r="O185" s="16" t="s">
        <v>1104</v>
      </c>
      <c r="P185" s="56" t="s">
        <v>1365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32560</v>
      </c>
      <c r="AC185" s="56">
        <v>6</v>
      </c>
      <c r="AD185" s="76"/>
      <c r="AE185" s="56">
        <f t="shared" ca="1" si="54"/>
        <v>1230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1230</v>
      </c>
      <c r="AG185" s="178">
        <f ca="1">AE185</f>
        <v>1230</v>
      </c>
      <c r="AH185" s="76"/>
      <c r="AI185" s="18">
        <f t="shared" ref="AI185:AI204" si="60">ROUND(AJ185,0)</f>
        <v>3</v>
      </c>
      <c r="AJ185" s="17">
        <v>3</v>
      </c>
      <c r="AK185" s="18">
        <f t="shared" ref="AK185:AK204" si="61">ROUND(AL185,0)</f>
        <v>5</v>
      </c>
      <c r="AL185" s="17">
        <v>5</v>
      </c>
      <c r="AM185" s="18">
        <v>25</v>
      </c>
      <c r="AN185" s="17">
        <v>0</v>
      </c>
      <c r="AO185" s="56">
        <f t="shared" ref="AO185:AO204" si="62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3">IF(BN185&lt;100,ROUND(BN185,1-LEN(ROUND(BN185,0))),ROUND(BN185,2-LEN(ROUND(BN185,0))))</f>
        <v>0</v>
      </c>
      <c r="BN185" s="17"/>
    </row>
    <row r="186" spans="1:66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1427</v>
      </c>
      <c r="P186" s="55" t="s">
        <v>1365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32560</v>
      </c>
      <c r="AC186" s="55">
        <v>6</v>
      </c>
      <c r="AE186" s="55">
        <f t="shared" ca="1" si="54"/>
        <v>460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460</v>
      </c>
      <c r="AG186" s="176">
        <f ca="1">AE185+AE186</f>
        <v>1690</v>
      </c>
      <c r="AI186" s="11">
        <f t="shared" si="60"/>
        <v>5</v>
      </c>
      <c r="AJ186" s="10">
        <v>5</v>
      </c>
      <c r="AK186" s="11">
        <f t="shared" si="61"/>
        <v>10</v>
      </c>
      <c r="AL186" s="10">
        <v>10</v>
      </c>
      <c r="AM186" s="11">
        <v>50</v>
      </c>
      <c r="AN186" s="10">
        <v>0</v>
      </c>
      <c r="AO186" s="55">
        <f t="shared" si="62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3"/>
        <v>0</v>
      </c>
    </row>
    <row r="187" spans="1:66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1365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240400</v>
      </c>
      <c r="AC187" s="55">
        <v>8</v>
      </c>
      <c r="AE187" s="55">
        <f t="shared" ca="1" si="54"/>
        <v>690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690</v>
      </c>
      <c r="AG187" s="176">
        <f t="shared" ref="AG187:AG204" ca="1" si="64">AE186+AE187</f>
        <v>1150</v>
      </c>
      <c r="AI187" s="11">
        <f t="shared" si="60"/>
        <v>5</v>
      </c>
      <c r="AJ187" s="10">
        <v>5</v>
      </c>
      <c r="AK187" s="11">
        <f t="shared" si="61"/>
        <v>15</v>
      </c>
      <c r="AL187" s="10">
        <v>15</v>
      </c>
      <c r="AM187" s="11">
        <v>75</v>
      </c>
      <c r="AN187" s="10">
        <v>0</v>
      </c>
      <c r="AO187" s="55">
        <f t="shared" si="62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3"/>
        <v>0</v>
      </c>
    </row>
    <row r="188" spans="1:66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1365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240400</v>
      </c>
      <c r="AC188" s="55">
        <v>8</v>
      </c>
      <c r="AE188" s="55">
        <f t="shared" ca="1" si="54"/>
        <v>2725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2725</v>
      </c>
      <c r="AG188" s="176">
        <f t="shared" ca="1" si="64"/>
        <v>3415</v>
      </c>
      <c r="AI188" s="11">
        <f t="shared" si="60"/>
        <v>15</v>
      </c>
      <c r="AJ188" s="10">
        <v>15</v>
      </c>
      <c r="AK188" s="11">
        <f t="shared" si="61"/>
        <v>25</v>
      </c>
      <c r="AL188" s="10">
        <v>25</v>
      </c>
      <c r="AM188" s="11">
        <v>300</v>
      </c>
      <c r="AN188" s="10">
        <v>0</v>
      </c>
      <c r="AO188" s="55">
        <f t="shared" si="62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3"/>
        <v>0</v>
      </c>
    </row>
    <row r="189" spans="1:66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1365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630500</v>
      </c>
      <c r="AC189" s="55">
        <v>9</v>
      </c>
      <c r="AE189" s="55">
        <f t="shared" ca="1" si="54"/>
        <v>12190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12190</v>
      </c>
      <c r="AG189" s="176">
        <f t="shared" ca="1" si="64"/>
        <v>14915</v>
      </c>
      <c r="AI189" s="11">
        <f t="shared" si="60"/>
        <v>20</v>
      </c>
      <c r="AJ189" s="10">
        <v>20</v>
      </c>
      <c r="AK189" s="11">
        <f t="shared" si="61"/>
        <v>40</v>
      </c>
      <c r="AL189" s="10">
        <v>40</v>
      </c>
      <c r="AM189" s="11">
        <v>1350</v>
      </c>
      <c r="AN189" s="10">
        <v>0</v>
      </c>
      <c r="AO189" s="55">
        <f t="shared" si="62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3"/>
        <v>0</v>
      </c>
    </row>
    <row r="190" spans="1:66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1365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630500</v>
      </c>
      <c r="AC190" s="55">
        <v>9</v>
      </c>
      <c r="AE190" s="55">
        <f t="shared" ca="1" si="54"/>
        <v>40550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40550</v>
      </c>
      <c r="AG190" s="176">
        <f t="shared" ca="1" si="64"/>
        <v>52740</v>
      </c>
      <c r="AI190" s="11">
        <f t="shared" si="60"/>
        <v>30</v>
      </c>
      <c r="AJ190" s="10">
        <v>30</v>
      </c>
      <c r="AK190" s="11">
        <f t="shared" si="61"/>
        <v>50</v>
      </c>
      <c r="AL190" s="10">
        <v>50</v>
      </c>
      <c r="AM190" s="11">
        <v>4500</v>
      </c>
      <c r="AN190" s="10">
        <v>0</v>
      </c>
      <c r="AO190" s="55">
        <f t="shared" si="62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3"/>
        <v>0</v>
      </c>
    </row>
    <row r="191" spans="1:66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1365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630500</v>
      </c>
      <c r="AC191" s="55">
        <v>9</v>
      </c>
      <c r="AE191" s="55">
        <f t="shared" ca="1" si="54"/>
        <v>90100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90100</v>
      </c>
      <c r="AG191" s="176">
        <f t="shared" ca="1" si="64"/>
        <v>130650</v>
      </c>
      <c r="AI191" s="11">
        <f t="shared" si="60"/>
        <v>300</v>
      </c>
      <c r="AJ191" s="10">
        <v>300</v>
      </c>
      <c r="AK191" s="11">
        <f t="shared" si="61"/>
        <v>100</v>
      </c>
      <c r="AL191" s="10">
        <v>100</v>
      </c>
      <c r="AM191" s="11">
        <v>10000</v>
      </c>
      <c r="AN191" s="10">
        <v>0</v>
      </c>
      <c r="AO191" s="55">
        <f t="shared" si="62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3"/>
        <v>0</v>
      </c>
    </row>
    <row r="192" spans="1:66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1365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1170750</v>
      </c>
      <c r="AC192" s="55">
        <v>10</v>
      </c>
      <c r="AE192" s="55">
        <f t="shared" ca="1" si="54"/>
        <v>189100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189100</v>
      </c>
      <c r="AG192" s="176">
        <f t="shared" ca="1" si="64"/>
        <v>279200</v>
      </c>
      <c r="AI192" s="11">
        <f t="shared" si="60"/>
        <v>600</v>
      </c>
      <c r="AJ192" s="10">
        <v>600</v>
      </c>
      <c r="AK192" s="11">
        <f t="shared" si="61"/>
        <v>100</v>
      </c>
      <c r="AL192" s="10">
        <v>100</v>
      </c>
      <c r="AM192" s="11">
        <v>21000</v>
      </c>
      <c r="AN192" s="10">
        <v>0</v>
      </c>
      <c r="AO192" s="55">
        <f t="shared" si="62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3"/>
        <v>0</v>
      </c>
    </row>
    <row r="193" spans="1:66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1365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3961500</v>
      </c>
      <c r="AC193" s="55">
        <v>12</v>
      </c>
      <c r="AE193" s="55">
        <f t="shared" ca="1" si="54"/>
        <v>351150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351150</v>
      </c>
      <c r="AG193" s="176">
        <f t="shared" ca="1" si="64"/>
        <v>540250</v>
      </c>
      <c r="AI193" s="11">
        <f t="shared" si="60"/>
        <v>900</v>
      </c>
      <c r="AJ193" s="10">
        <v>900</v>
      </c>
      <c r="AK193" s="11">
        <f t="shared" si="61"/>
        <v>150</v>
      </c>
      <c r="AL193" s="10">
        <v>150</v>
      </c>
      <c r="AM193" s="11">
        <v>39000</v>
      </c>
      <c r="AN193" s="10">
        <v>0</v>
      </c>
      <c r="AO193" s="55">
        <f t="shared" si="62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3"/>
        <v>0</v>
      </c>
    </row>
    <row r="194" spans="1:66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1365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3961500</v>
      </c>
      <c r="AC194" s="55">
        <v>12</v>
      </c>
      <c r="AE194" s="55">
        <f t="shared" ca="1" si="54"/>
        <v>586200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586200</v>
      </c>
      <c r="AG194" s="176">
        <f t="shared" ca="1" si="64"/>
        <v>937350</v>
      </c>
      <c r="AI194" s="11">
        <f t="shared" si="60"/>
        <v>1200</v>
      </c>
      <c r="AJ194" s="10">
        <v>1200</v>
      </c>
      <c r="AK194" s="11">
        <f t="shared" si="61"/>
        <v>200</v>
      </c>
      <c r="AL194" s="10">
        <v>200</v>
      </c>
      <c r="AM194" s="11">
        <v>65000</v>
      </c>
      <c r="AN194" s="10">
        <v>0</v>
      </c>
      <c r="AO194" s="55">
        <f t="shared" si="62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3"/>
        <v>0</v>
      </c>
    </row>
    <row r="195" spans="1:66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1365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3961500</v>
      </c>
      <c r="AC195" s="55">
        <v>12</v>
      </c>
      <c r="AE195" s="55">
        <f t="shared" ca="1" si="54"/>
        <v>990250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990250</v>
      </c>
      <c r="AG195" s="176">
        <f t="shared" ca="1" si="64"/>
        <v>1576450</v>
      </c>
      <c r="AI195" s="11">
        <f t="shared" si="60"/>
        <v>1500</v>
      </c>
      <c r="AJ195" s="10">
        <v>1500</v>
      </c>
      <c r="AK195" s="11">
        <f t="shared" si="61"/>
        <v>250</v>
      </c>
      <c r="AL195" s="10">
        <v>250</v>
      </c>
      <c r="AM195" s="11">
        <v>110000</v>
      </c>
      <c r="AN195" s="10">
        <v>0</v>
      </c>
      <c r="AO195" s="55">
        <f t="shared" si="62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3"/>
        <v>0</v>
      </c>
    </row>
    <row r="196" spans="1:66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1365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223207650</v>
      </c>
      <c r="AC196" s="55">
        <v>18</v>
      </c>
      <c r="AE196" s="55">
        <f t="shared" ca="1" si="54"/>
        <v>3515300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3515300</v>
      </c>
      <c r="AG196" s="176">
        <f t="shared" ca="1" si="64"/>
        <v>4505550</v>
      </c>
      <c r="AI196" s="11">
        <f t="shared" si="60"/>
        <v>1800</v>
      </c>
      <c r="AJ196" s="10">
        <v>1800</v>
      </c>
      <c r="AK196" s="11">
        <f t="shared" si="61"/>
        <v>300</v>
      </c>
      <c r="AL196" s="10">
        <v>300</v>
      </c>
      <c r="AM196" s="11">
        <v>185000</v>
      </c>
      <c r="AN196" s="10">
        <v>0</v>
      </c>
      <c r="AO196" s="55">
        <f t="shared" si="62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3"/>
        <v>0</v>
      </c>
    </row>
    <row r="197" spans="1:66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1365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223207650</v>
      </c>
      <c r="AC197" s="55">
        <v>18</v>
      </c>
      <c r="AE197" s="55">
        <f t="shared" ca="1" si="54"/>
        <v>5890350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5890350</v>
      </c>
      <c r="AG197" s="176">
        <f t="shared" ca="1" si="64"/>
        <v>9405650</v>
      </c>
      <c r="AI197" s="11">
        <f t="shared" si="60"/>
        <v>2100</v>
      </c>
      <c r="AJ197" s="10">
        <v>2100</v>
      </c>
      <c r="AK197" s="11">
        <f t="shared" si="61"/>
        <v>350</v>
      </c>
      <c r="AL197" s="10">
        <v>350</v>
      </c>
      <c r="AM197" s="11">
        <v>310000</v>
      </c>
      <c r="AN197" s="10">
        <v>0</v>
      </c>
      <c r="AO197" s="55">
        <f t="shared" si="62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3"/>
        <v>0</v>
      </c>
    </row>
    <row r="198" spans="1:66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1365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223207650</v>
      </c>
      <c r="AC198" s="55">
        <v>18</v>
      </c>
      <c r="AE198" s="55">
        <f t="shared" ca="1" si="54"/>
        <v>9215450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9215450</v>
      </c>
      <c r="AG198" s="176">
        <f t="shared" ca="1" si="64"/>
        <v>15105800</v>
      </c>
      <c r="AI198" s="11">
        <f t="shared" si="60"/>
        <v>2400</v>
      </c>
      <c r="AJ198" s="10">
        <v>2400</v>
      </c>
      <c r="AK198" s="11">
        <f t="shared" si="61"/>
        <v>450</v>
      </c>
      <c r="AL198" s="10">
        <v>450</v>
      </c>
      <c r="AM198" s="11">
        <v>485000</v>
      </c>
      <c r="AN198" s="10">
        <v>0</v>
      </c>
      <c r="AO198" s="55">
        <f t="shared" si="62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3"/>
        <v>0</v>
      </c>
    </row>
    <row r="199" spans="1:66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1365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223207650</v>
      </c>
      <c r="AC199" s="55">
        <v>18</v>
      </c>
      <c r="AE199" s="55">
        <f t="shared" ca="1" si="54"/>
        <v>19950550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19950550</v>
      </c>
      <c r="AG199" s="176">
        <f t="shared" ca="1" si="64"/>
        <v>29166000</v>
      </c>
      <c r="AI199" s="11">
        <f t="shared" si="60"/>
        <v>2700</v>
      </c>
      <c r="AJ199" s="10">
        <v>2700</v>
      </c>
      <c r="AK199" s="11">
        <f t="shared" si="61"/>
        <v>550</v>
      </c>
      <c r="AL199" s="10">
        <v>550</v>
      </c>
      <c r="AM199" s="11">
        <v>1050000</v>
      </c>
      <c r="AN199" s="10">
        <v>0</v>
      </c>
      <c r="AO199" s="55">
        <f t="shared" si="62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3"/>
        <v>0</v>
      </c>
    </row>
    <row r="200" spans="1:66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1365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223207650</v>
      </c>
      <c r="AC200" s="55">
        <v>18</v>
      </c>
      <c r="AE200" s="55">
        <f t="shared" ca="1" si="54"/>
        <v>40850700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40850700</v>
      </c>
      <c r="AG200" s="176">
        <f t="shared" ca="1" si="64"/>
        <v>60801250</v>
      </c>
      <c r="AI200" s="11">
        <f t="shared" si="60"/>
        <v>3000</v>
      </c>
      <c r="AJ200" s="10">
        <v>3000</v>
      </c>
      <c r="AK200" s="11">
        <f t="shared" si="61"/>
        <v>700</v>
      </c>
      <c r="AL200" s="10">
        <v>700</v>
      </c>
      <c r="AM200" s="11">
        <v>2150000</v>
      </c>
      <c r="AN200" s="10">
        <v>0</v>
      </c>
      <c r="AO200" s="55">
        <f t="shared" si="62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3"/>
        <v>0</v>
      </c>
    </row>
    <row r="201" spans="1:66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1365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223207650</v>
      </c>
      <c r="AC201" s="55">
        <v>18</v>
      </c>
      <c r="AE201" s="55">
        <f t="shared" ca="1" si="54"/>
        <v>76000850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76000850</v>
      </c>
      <c r="AG201" s="176">
        <f t="shared" ca="1" si="64"/>
        <v>116851550</v>
      </c>
      <c r="AI201" s="11">
        <f t="shared" si="60"/>
        <v>3300</v>
      </c>
      <c r="AJ201" s="10">
        <v>3300</v>
      </c>
      <c r="AK201" s="11">
        <f t="shared" si="61"/>
        <v>850</v>
      </c>
      <c r="AL201" s="10">
        <v>850</v>
      </c>
      <c r="AM201" s="11">
        <v>4000000</v>
      </c>
      <c r="AN201" s="10">
        <v>0</v>
      </c>
      <c r="AO201" s="55">
        <f t="shared" si="62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3"/>
        <v>0</v>
      </c>
    </row>
    <row r="202" spans="1:66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1365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223207650</v>
      </c>
      <c r="AC202" s="55">
        <v>18</v>
      </c>
      <c r="AE202" s="55">
        <f t="shared" ca="1" si="54"/>
        <v>123501050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123501050</v>
      </c>
      <c r="AG202" s="176">
        <f t="shared" ca="1" si="64"/>
        <v>199501900</v>
      </c>
      <c r="AI202" s="11">
        <f t="shared" si="60"/>
        <v>3600</v>
      </c>
      <c r="AJ202" s="10">
        <v>3600</v>
      </c>
      <c r="AK202" s="11">
        <f t="shared" si="61"/>
        <v>1050</v>
      </c>
      <c r="AL202" s="10">
        <v>1050</v>
      </c>
      <c r="AM202" s="11">
        <v>6500000</v>
      </c>
      <c r="AN202" s="10">
        <v>0</v>
      </c>
      <c r="AO202" s="55">
        <f t="shared" si="62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3"/>
        <v>0</v>
      </c>
    </row>
    <row r="203" spans="1:66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1365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223207650</v>
      </c>
      <c r="AC203" s="55">
        <v>18</v>
      </c>
      <c r="AE203" s="55">
        <f t="shared" ca="1" si="54"/>
        <v>146001250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146001250</v>
      </c>
      <c r="AG203" s="176">
        <f t="shared" ca="1" si="64"/>
        <v>269502300</v>
      </c>
      <c r="AI203" s="11">
        <f t="shared" si="60"/>
        <v>3900</v>
      </c>
      <c r="AJ203" s="10">
        <v>3900</v>
      </c>
      <c r="AK203" s="11">
        <f t="shared" si="61"/>
        <v>1250</v>
      </c>
      <c r="AL203" s="10">
        <v>1250</v>
      </c>
      <c r="AM203" s="11">
        <v>10000000</v>
      </c>
      <c r="AN203" s="10">
        <v>0</v>
      </c>
      <c r="AO203" s="55">
        <f t="shared" si="62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3"/>
        <v>0</v>
      </c>
    </row>
    <row r="204" spans="1:66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1365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223207650</v>
      </c>
      <c r="AC204" s="55">
        <v>18</v>
      </c>
      <c r="AE204" s="55">
        <f t="shared" ca="1" si="54"/>
        <v>233601500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233601500</v>
      </c>
      <c r="AG204" s="176">
        <f t="shared" ca="1" si="64"/>
        <v>379602750</v>
      </c>
      <c r="AI204" s="11">
        <f t="shared" si="60"/>
        <v>4200</v>
      </c>
      <c r="AJ204" s="10">
        <v>4200</v>
      </c>
      <c r="AK204" s="11">
        <f t="shared" si="61"/>
        <v>1500</v>
      </c>
      <c r="AL204" s="10">
        <v>1500</v>
      </c>
      <c r="AM204" s="11">
        <v>16000000</v>
      </c>
      <c r="AN204" s="10">
        <v>0</v>
      </c>
      <c r="AO204" s="55">
        <f t="shared" si="62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3"/>
        <v>0</v>
      </c>
    </row>
    <row r="205" spans="1:66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6</v>
      </c>
      <c r="M205" s="16">
        <v>1</v>
      </c>
      <c r="N205" s="16">
        <v>15</v>
      </c>
      <c r="O205" s="16" t="s">
        <v>1105</v>
      </c>
      <c r="P205" s="56" t="s">
        <v>1366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5475</v>
      </c>
      <c r="AC205" s="56">
        <v>5</v>
      </c>
      <c r="AD205" s="76"/>
      <c r="AE205" s="56">
        <f t="shared" ca="1" si="54"/>
        <v>1230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1230</v>
      </c>
      <c r="AG205" s="178">
        <f ca="1">AE205</f>
        <v>1230</v>
      </c>
      <c r="AH205" s="76"/>
      <c r="AI205" s="18">
        <f t="shared" ref="AI205:AI224" si="68">ROUND(AJ205,0)</f>
        <v>3</v>
      </c>
      <c r="AJ205" s="17">
        <v>3</v>
      </c>
      <c r="AK205" s="18">
        <f t="shared" ref="AK205:AK224" si="69">ROUND(AL205,0)</f>
        <v>5</v>
      </c>
      <c r="AL205" s="17">
        <v>5</v>
      </c>
      <c r="AM205" s="18">
        <v>25</v>
      </c>
      <c r="AN205" s="17">
        <v>0</v>
      </c>
      <c r="AO205" s="56">
        <f t="shared" ref="AO205:AO224" si="70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1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1366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5475</v>
      </c>
      <c r="AC206" s="55">
        <v>5</v>
      </c>
      <c r="AD206" s="179"/>
      <c r="AE206" s="55">
        <f t="shared" ca="1" si="54"/>
        <v>460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460</v>
      </c>
      <c r="AG206" s="176">
        <f ca="1">AE205+AE206</f>
        <v>1690</v>
      </c>
      <c r="AH206" s="179"/>
      <c r="AI206" s="11">
        <f t="shared" si="68"/>
        <v>5</v>
      </c>
      <c r="AJ206" s="10">
        <v>5</v>
      </c>
      <c r="AK206" s="11">
        <f t="shared" si="69"/>
        <v>10</v>
      </c>
      <c r="AL206" s="10">
        <v>10</v>
      </c>
      <c r="AM206" s="11">
        <v>50</v>
      </c>
      <c r="AN206" s="10">
        <v>0</v>
      </c>
      <c r="AO206" s="55">
        <f t="shared" si="70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1"/>
        <v>0</v>
      </c>
      <c r="BN206" s="10"/>
    </row>
    <row r="207" spans="1:66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1366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5475</v>
      </c>
      <c r="AC207" s="55">
        <v>5</v>
      </c>
      <c r="AE207" s="55">
        <f t="shared" ca="1" si="54"/>
        <v>690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690</v>
      </c>
      <c r="AG207" s="176">
        <f t="shared" ref="AG207:AG224" ca="1" si="72">AE206+AE207</f>
        <v>1150</v>
      </c>
      <c r="AI207" s="11">
        <f t="shared" si="68"/>
        <v>5</v>
      </c>
      <c r="AJ207" s="10">
        <v>5</v>
      </c>
      <c r="AK207" s="11">
        <f t="shared" si="69"/>
        <v>15</v>
      </c>
      <c r="AL207" s="10">
        <v>15</v>
      </c>
      <c r="AM207" s="11">
        <v>75</v>
      </c>
      <c r="AN207" s="10">
        <v>0</v>
      </c>
      <c r="AO207" s="55">
        <f t="shared" si="70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1"/>
        <v>0</v>
      </c>
    </row>
    <row r="208" spans="1:66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1366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32560</v>
      </c>
      <c r="AC208" s="55">
        <v>6</v>
      </c>
      <c r="AE208" s="55">
        <f t="shared" ca="1" si="54"/>
        <v>2725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2725</v>
      </c>
      <c r="AG208" s="176">
        <f t="shared" ca="1" si="72"/>
        <v>3415</v>
      </c>
      <c r="AI208" s="11">
        <f t="shared" si="68"/>
        <v>15</v>
      </c>
      <c r="AJ208" s="10">
        <v>15</v>
      </c>
      <c r="AK208" s="11">
        <f t="shared" si="69"/>
        <v>25</v>
      </c>
      <c r="AL208" s="10">
        <v>25</v>
      </c>
      <c r="AM208" s="11">
        <v>300</v>
      </c>
      <c r="AN208" s="10">
        <v>0</v>
      </c>
      <c r="AO208" s="55">
        <f t="shared" si="70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1"/>
        <v>0</v>
      </c>
    </row>
    <row r="209" spans="1:65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1366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32560</v>
      </c>
      <c r="AC209" s="55">
        <v>6</v>
      </c>
      <c r="AE209" s="55">
        <f t="shared" ca="1" si="54"/>
        <v>12190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12190</v>
      </c>
      <c r="AG209" s="176">
        <f t="shared" ca="1" si="72"/>
        <v>14915</v>
      </c>
      <c r="AI209" s="11">
        <f t="shared" si="68"/>
        <v>20</v>
      </c>
      <c r="AJ209" s="10">
        <v>20</v>
      </c>
      <c r="AK209" s="11">
        <f t="shared" si="69"/>
        <v>40</v>
      </c>
      <c r="AL209" s="10">
        <v>40</v>
      </c>
      <c r="AM209" s="11">
        <v>1350</v>
      </c>
      <c r="AN209" s="10">
        <v>0</v>
      </c>
      <c r="AO209" s="55">
        <f t="shared" si="70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1"/>
        <v>0</v>
      </c>
    </row>
    <row r="210" spans="1:65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1366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32560</v>
      </c>
      <c r="AC210" s="55">
        <v>6</v>
      </c>
      <c r="AE210" s="55">
        <f t="shared" ca="1" si="54"/>
        <v>40550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40550</v>
      </c>
      <c r="AG210" s="176">
        <f t="shared" ca="1" si="72"/>
        <v>52740</v>
      </c>
      <c r="AI210" s="11">
        <f t="shared" si="68"/>
        <v>30</v>
      </c>
      <c r="AJ210" s="10">
        <v>30</v>
      </c>
      <c r="AK210" s="11">
        <f t="shared" si="69"/>
        <v>50</v>
      </c>
      <c r="AL210" s="10">
        <v>50</v>
      </c>
      <c r="AM210" s="11">
        <v>4500</v>
      </c>
      <c r="AN210" s="10">
        <v>0</v>
      </c>
      <c r="AO210" s="55">
        <f t="shared" si="70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1"/>
        <v>0</v>
      </c>
    </row>
    <row r="211" spans="1:65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1366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32560</v>
      </c>
      <c r="AC211" s="55">
        <v>6</v>
      </c>
      <c r="AE211" s="55">
        <f t="shared" ca="1" si="54"/>
        <v>90100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90100</v>
      </c>
      <c r="AG211" s="176">
        <f t="shared" ca="1" si="72"/>
        <v>130650</v>
      </c>
      <c r="AI211" s="11">
        <f t="shared" si="68"/>
        <v>300</v>
      </c>
      <c r="AJ211" s="10">
        <v>300</v>
      </c>
      <c r="AK211" s="11">
        <f t="shared" si="69"/>
        <v>100</v>
      </c>
      <c r="AL211" s="10">
        <v>100</v>
      </c>
      <c r="AM211" s="11">
        <v>10000</v>
      </c>
      <c r="AN211" s="10">
        <v>0</v>
      </c>
      <c r="AO211" s="55">
        <f t="shared" si="70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1"/>
        <v>0</v>
      </c>
    </row>
    <row r="212" spans="1:65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1367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32560</v>
      </c>
      <c r="AC212" s="55">
        <v>6</v>
      </c>
      <c r="AE212" s="55">
        <f t="shared" ca="1" si="54"/>
        <v>189100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189100</v>
      </c>
      <c r="AG212" s="176">
        <f t="shared" ca="1" si="72"/>
        <v>279200</v>
      </c>
      <c r="AI212" s="11">
        <f t="shared" si="68"/>
        <v>600</v>
      </c>
      <c r="AJ212" s="10">
        <v>600</v>
      </c>
      <c r="AK212" s="11">
        <f t="shared" si="69"/>
        <v>100</v>
      </c>
      <c r="AL212" s="10">
        <v>100</v>
      </c>
      <c r="AM212" s="11">
        <v>21000</v>
      </c>
      <c r="AN212" s="10">
        <v>0</v>
      </c>
      <c r="AO212" s="55">
        <f t="shared" si="70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1"/>
        <v>0</v>
      </c>
    </row>
    <row r="213" spans="1:65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1367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32560</v>
      </c>
      <c r="AC213" s="55">
        <v>6</v>
      </c>
      <c r="AE213" s="55">
        <f t="shared" ca="1" si="54"/>
        <v>351150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351150</v>
      </c>
      <c r="AG213" s="176">
        <f t="shared" ca="1" si="72"/>
        <v>540250</v>
      </c>
      <c r="AI213" s="11">
        <f t="shared" si="68"/>
        <v>900</v>
      </c>
      <c r="AJ213" s="10">
        <v>900</v>
      </c>
      <c r="AK213" s="11">
        <f t="shared" si="69"/>
        <v>150</v>
      </c>
      <c r="AL213" s="10">
        <v>150</v>
      </c>
      <c r="AM213" s="11">
        <v>39000</v>
      </c>
      <c r="AN213" s="10">
        <v>0</v>
      </c>
      <c r="AO213" s="55">
        <f t="shared" si="70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1"/>
        <v>0</v>
      </c>
    </row>
    <row r="214" spans="1:65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1368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32560</v>
      </c>
      <c r="AC214" s="55">
        <v>6</v>
      </c>
      <c r="AE214" s="55">
        <f t="shared" ca="1" si="54"/>
        <v>586200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586200</v>
      </c>
      <c r="AG214" s="176">
        <f t="shared" ca="1" si="72"/>
        <v>937350</v>
      </c>
      <c r="AI214" s="11">
        <f t="shared" si="68"/>
        <v>1200</v>
      </c>
      <c r="AJ214" s="10">
        <v>1200</v>
      </c>
      <c r="AK214" s="11">
        <f t="shared" si="69"/>
        <v>200</v>
      </c>
      <c r="AL214" s="10">
        <v>200</v>
      </c>
      <c r="AM214" s="11">
        <v>65000</v>
      </c>
      <c r="AN214" s="10">
        <v>0</v>
      </c>
      <c r="AO214" s="55">
        <f t="shared" si="70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1"/>
        <v>0</v>
      </c>
    </row>
    <row r="215" spans="1:65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1368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240400</v>
      </c>
      <c r="AC215" s="55">
        <v>8</v>
      </c>
      <c r="AE215" s="55">
        <f t="shared" ca="1" si="54"/>
        <v>990250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990250</v>
      </c>
      <c r="AG215" s="176">
        <f t="shared" ca="1" si="72"/>
        <v>1576450</v>
      </c>
      <c r="AI215" s="11">
        <f t="shared" si="68"/>
        <v>1500</v>
      </c>
      <c r="AJ215" s="10">
        <v>1500</v>
      </c>
      <c r="AK215" s="11">
        <f t="shared" si="69"/>
        <v>250</v>
      </c>
      <c r="AL215" s="10">
        <v>250</v>
      </c>
      <c r="AM215" s="11">
        <v>110000</v>
      </c>
      <c r="AN215" s="10">
        <v>0</v>
      </c>
      <c r="AO215" s="55">
        <f t="shared" si="70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1"/>
        <v>0</v>
      </c>
    </row>
    <row r="216" spans="1:65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1368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630500</v>
      </c>
      <c r="AC216" s="55">
        <v>9</v>
      </c>
      <c r="AE216" s="55">
        <f t="shared" ca="1" si="54"/>
        <v>3515300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3515300</v>
      </c>
      <c r="AG216" s="176">
        <f t="shared" ca="1" si="72"/>
        <v>4505550</v>
      </c>
      <c r="AI216" s="11">
        <f t="shared" si="68"/>
        <v>1800</v>
      </c>
      <c r="AJ216" s="10">
        <v>1800</v>
      </c>
      <c r="AK216" s="11">
        <f t="shared" si="69"/>
        <v>300</v>
      </c>
      <c r="AL216" s="10">
        <v>300</v>
      </c>
      <c r="AM216" s="11">
        <v>185000</v>
      </c>
      <c r="AN216" s="10">
        <v>0</v>
      </c>
      <c r="AO216" s="55">
        <f t="shared" si="70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1"/>
        <v>0</v>
      </c>
    </row>
    <row r="217" spans="1:65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1368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1170750</v>
      </c>
      <c r="AC217" s="55">
        <v>10</v>
      </c>
      <c r="AE217" s="55">
        <f t="shared" ca="1" si="54"/>
        <v>5890350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5890350</v>
      </c>
      <c r="AG217" s="176">
        <f t="shared" ca="1" si="72"/>
        <v>9405650</v>
      </c>
      <c r="AI217" s="11">
        <f t="shared" si="68"/>
        <v>2100</v>
      </c>
      <c r="AJ217" s="10">
        <v>2100</v>
      </c>
      <c r="AK217" s="11">
        <f t="shared" si="69"/>
        <v>350</v>
      </c>
      <c r="AL217" s="10">
        <v>350</v>
      </c>
      <c r="AM217" s="11">
        <v>310000</v>
      </c>
      <c r="AN217" s="10">
        <v>0</v>
      </c>
      <c r="AO217" s="55">
        <f t="shared" si="70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1"/>
        <v>0</v>
      </c>
    </row>
    <row r="218" spans="1:65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1368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1956000</v>
      </c>
      <c r="AC218" s="55">
        <v>11</v>
      </c>
      <c r="AE218" s="55">
        <f t="shared" ref="AE218:AE281" ca="1" si="73">ROUND(AF218,0)</f>
        <v>9215450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9215450</v>
      </c>
      <c r="AG218" s="176">
        <f t="shared" ca="1" si="72"/>
        <v>15105800</v>
      </c>
      <c r="AI218" s="11">
        <f t="shared" si="68"/>
        <v>2400</v>
      </c>
      <c r="AJ218" s="10">
        <v>2400</v>
      </c>
      <c r="AK218" s="11">
        <f t="shared" si="69"/>
        <v>450</v>
      </c>
      <c r="AL218" s="10">
        <v>450</v>
      </c>
      <c r="AM218" s="11">
        <v>485000</v>
      </c>
      <c r="AN218" s="10">
        <v>0</v>
      </c>
      <c r="AO218" s="55">
        <f t="shared" si="70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1"/>
        <v>0</v>
      </c>
    </row>
    <row r="219" spans="1:65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1368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3961500</v>
      </c>
      <c r="AC219" s="55">
        <v>12</v>
      </c>
      <c r="AE219" s="55">
        <f t="shared" ca="1" si="73"/>
        <v>19950550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19950550</v>
      </c>
      <c r="AG219" s="176">
        <f t="shared" ca="1" si="72"/>
        <v>29166000</v>
      </c>
      <c r="AI219" s="11">
        <f t="shared" si="68"/>
        <v>2700</v>
      </c>
      <c r="AJ219" s="10">
        <v>2700</v>
      </c>
      <c r="AK219" s="11">
        <f t="shared" si="69"/>
        <v>550</v>
      </c>
      <c r="AL219" s="10">
        <v>550</v>
      </c>
      <c r="AM219" s="11">
        <v>1050000</v>
      </c>
      <c r="AN219" s="10">
        <v>0</v>
      </c>
      <c r="AO219" s="55">
        <f t="shared" si="70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1"/>
        <v>0</v>
      </c>
    </row>
    <row r="220" spans="1:65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1368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7772100</v>
      </c>
      <c r="AC220" s="55">
        <v>13</v>
      </c>
      <c r="AE220" s="55">
        <f t="shared" ca="1" si="73"/>
        <v>40850700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40850700</v>
      </c>
      <c r="AG220" s="176">
        <f t="shared" ca="1" si="72"/>
        <v>60801250</v>
      </c>
      <c r="AI220" s="11">
        <f t="shared" si="68"/>
        <v>3000</v>
      </c>
      <c r="AJ220" s="10">
        <v>3000</v>
      </c>
      <c r="AK220" s="11">
        <f t="shared" si="69"/>
        <v>700</v>
      </c>
      <c r="AL220" s="10">
        <v>700</v>
      </c>
      <c r="AM220" s="11">
        <v>2150000</v>
      </c>
      <c r="AN220" s="10">
        <v>0</v>
      </c>
      <c r="AO220" s="55">
        <f t="shared" si="70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1"/>
        <v>0</v>
      </c>
    </row>
    <row r="221" spans="1:65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1368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13022450</v>
      </c>
      <c r="AC221" s="55">
        <v>14</v>
      </c>
      <c r="AE221" s="55">
        <f t="shared" ca="1" si="73"/>
        <v>76000850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76000850</v>
      </c>
      <c r="AG221" s="176">
        <f t="shared" ca="1" si="72"/>
        <v>116851550</v>
      </c>
      <c r="AI221" s="11">
        <f t="shared" si="68"/>
        <v>3300</v>
      </c>
      <c r="AJ221" s="10">
        <v>3300</v>
      </c>
      <c r="AK221" s="11">
        <f t="shared" si="69"/>
        <v>850</v>
      </c>
      <c r="AL221" s="10">
        <v>850</v>
      </c>
      <c r="AM221" s="11">
        <v>4000000</v>
      </c>
      <c r="AN221" s="10">
        <v>0</v>
      </c>
      <c r="AO221" s="55">
        <f t="shared" si="70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1"/>
        <v>0</v>
      </c>
    </row>
    <row r="222" spans="1:65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1368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23283600</v>
      </c>
      <c r="AC222" s="55">
        <v>15</v>
      </c>
      <c r="AE222" s="55">
        <f t="shared" ca="1" si="73"/>
        <v>123501050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123501050</v>
      </c>
      <c r="AG222" s="176">
        <f t="shared" ca="1" si="72"/>
        <v>199501900</v>
      </c>
      <c r="AI222" s="11">
        <f t="shared" si="68"/>
        <v>3600</v>
      </c>
      <c r="AJ222" s="10">
        <v>3600</v>
      </c>
      <c r="AK222" s="11">
        <f t="shared" si="69"/>
        <v>1050</v>
      </c>
      <c r="AL222" s="10">
        <v>1050</v>
      </c>
      <c r="AM222" s="11">
        <v>6500000</v>
      </c>
      <c r="AN222" s="10">
        <v>0</v>
      </c>
      <c r="AO222" s="55">
        <f t="shared" si="70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1"/>
        <v>0</v>
      </c>
    </row>
    <row r="223" spans="1:65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1368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50404400</v>
      </c>
      <c r="AC223" s="55">
        <v>16</v>
      </c>
      <c r="AE223" s="55">
        <f t="shared" ca="1" si="73"/>
        <v>146001250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146001250</v>
      </c>
      <c r="AG223" s="176">
        <f t="shared" ca="1" si="72"/>
        <v>269502300</v>
      </c>
      <c r="AI223" s="11">
        <f t="shared" si="68"/>
        <v>3900</v>
      </c>
      <c r="AJ223" s="10">
        <v>3900</v>
      </c>
      <c r="AK223" s="11">
        <f t="shared" si="69"/>
        <v>1250</v>
      </c>
      <c r="AL223" s="10">
        <v>1250</v>
      </c>
      <c r="AM223" s="11">
        <v>10000000</v>
      </c>
      <c r="AN223" s="10">
        <v>0</v>
      </c>
      <c r="AO223" s="55">
        <f t="shared" si="70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1"/>
        <v>0</v>
      </c>
    </row>
    <row r="224" spans="1:65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1368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119976300</v>
      </c>
      <c r="AC224" s="55">
        <v>17</v>
      </c>
      <c r="AE224" s="55">
        <f t="shared" ca="1" si="73"/>
        <v>233601500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233601500</v>
      </c>
      <c r="AG224" s="176">
        <f t="shared" ca="1" si="72"/>
        <v>379602750</v>
      </c>
      <c r="AI224" s="11">
        <f t="shared" si="68"/>
        <v>4200</v>
      </c>
      <c r="AJ224" s="10">
        <v>4200</v>
      </c>
      <c r="AK224" s="11">
        <f t="shared" si="69"/>
        <v>1500</v>
      </c>
      <c r="AL224" s="10">
        <v>1500</v>
      </c>
      <c r="AM224" s="11">
        <v>16000000</v>
      </c>
      <c r="AN224" s="10">
        <v>0</v>
      </c>
      <c r="AO224" s="55">
        <f t="shared" si="70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1"/>
        <v>0</v>
      </c>
    </row>
    <row r="225" spans="1:66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1369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56">
        <f t="shared" ca="1" si="73"/>
        <v>1105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1105</v>
      </c>
      <c r="AG225" s="178">
        <f ca="1">AE225</f>
        <v>1105</v>
      </c>
      <c r="AH225" s="76"/>
      <c r="AI225" s="18">
        <f t="shared" si="47"/>
        <v>3</v>
      </c>
      <c r="AJ225" s="17">
        <v>3</v>
      </c>
      <c r="AK225" s="18">
        <f t="shared" si="55"/>
        <v>5</v>
      </c>
      <c r="AL225" s="17">
        <v>5</v>
      </c>
      <c r="AM225" s="18">
        <f t="shared" si="55"/>
        <v>0</v>
      </c>
      <c r="AN225" s="17">
        <v>0</v>
      </c>
      <c r="AO225" s="56">
        <f t="shared" si="48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3"/>
        <v>0</v>
      </c>
      <c r="BN225" s="17"/>
    </row>
    <row r="226" spans="1:66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1369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55">
        <f t="shared" ca="1" si="73"/>
        <v>210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210</v>
      </c>
      <c r="AG226" s="176">
        <f ca="1">AE225+AE226</f>
        <v>1315</v>
      </c>
      <c r="AI226" s="11">
        <f t="shared" si="47"/>
        <v>5</v>
      </c>
      <c r="AJ226" s="10">
        <v>5</v>
      </c>
      <c r="AK226" s="11">
        <f t="shared" si="55"/>
        <v>10</v>
      </c>
      <c r="AL226" s="10">
        <v>10</v>
      </c>
      <c r="AM226" s="11">
        <f t="shared" si="55"/>
        <v>0</v>
      </c>
      <c r="AN226" s="10">
        <v>0</v>
      </c>
      <c r="AO226" s="55">
        <f t="shared" si="48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3"/>
        <v>0</v>
      </c>
    </row>
    <row r="227" spans="1:66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1370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55">
        <f t="shared" ca="1" si="73"/>
        <v>315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315</v>
      </c>
      <c r="AG227" s="176">
        <f t="shared" ref="AG227:AG244" ca="1" si="74">AE226+AE227</f>
        <v>525</v>
      </c>
      <c r="AI227" s="11">
        <f t="shared" si="47"/>
        <v>5</v>
      </c>
      <c r="AJ227" s="10">
        <v>5</v>
      </c>
      <c r="AK227" s="11">
        <f t="shared" si="55"/>
        <v>15</v>
      </c>
      <c r="AL227" s="10">
        <v>15</v>
      </c>
      <c r="AM227" s="11">
        <f t="shared" si="55"/>
        <v>0</v>
      </c>
      <c r="AN227" s="10">
        <v>0</v>
      </c>
      <c r="AO227" s="55">
        <f t="shared" si="48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3"/>
        <v>0</v>
      </c>
    </row>
    <row r="228" spans="1:66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1370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0</v>
      </c>
      <c r="AC228" s="55">
        <v>1</v>
      </c>
      <c r="AE228" s="55">
        <f t="shared" ca="1" si="73"/>
        <v>905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905</v>
      </c>
      <c r="AG228" s="176">
        <f t="shared" ca="1" si="74"/>
        <v>1220</v>
      </c>
      <c r="AI228" s="11">
        <f t="shared" si="47"/>
        <v>15</v>
      </c>
      <c r="AJ228" s="10">
        <v>15</v>
      </c>
      <c r="AK228" s="11">
        <f t="shared" si="55"/>
        <v>25</v>
      </c>
      <c r="AL228" s="10">
        <v>25</v>
      </c>
      <c r="AM228" s="11">
        <f t="shared" si="55"/>
        <v>0</v>
      </c>
      <c r="AN228" s="10">
        <v>0</v>
      </c>
      <c r="AO228" s="55">
        <f t="shared" si="48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3"/>
        <v>0</v>
      </c>
    </row>
    <row r="229" spans="1:66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1371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0</v>
      </c>
      <c r="AC229" s="55">
        <v>1</v>
      </c>
      <c r="AE229" s="55">
        <f t="shared" ca="1" si="73"/>
        <v>3520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3520</v>
      </c>
      <c r="AG229" s="176">
        <f t="shared" ca="1" si="74"/>
        <v>4425</v>
      </c>
      <c r="AI229" s="11">
        <f t="shared" si="47"/>
        <v>20</v>
      </c>
      <c r="AJ229" s="10">
        <v>20</v>
      </c>
      <c r="AK229" s="11">
        <f t="shared" si="55"/>
        <v>40</v>
      </c>
      <c r="AL229" s="10">
        <v>40</v>
      </c>
      <c r="AM229" s="11">
        <f t="shared" si="55"/>
        <v>0</v>
      </c>
      <c r="AN229" s="10">
        <v>0</v>
      </c>
      <c r="AO229" s="55">
        <f t="shared" si="48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3"/>
        <v>0</v>
      </c>
    </row>
    <row r="230" spans="1:66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1371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310</v>
      </c>
      <c r="AC230" s="55">
        <v>3</v>
      </c>
      <c r="AE230" s="55">
        <f t="shared" ca="1" si="73"/>
        <v>11210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11210</v>
      </c>
      <c r="AG230" s="176">
        <f t="shared" ca="1" si="74"/>
        <v>14730</v>
      </c>
      <c r="AI230" s="11">
        <f t="shared" si="47"/>
        <v>30</v>
      </c>
      <c r="AJ230" s="10">
        <v>30</v>
      </c>
      <c r="AK230" s="11">
        <f t="shared" si="55"/>
        <v>50</v>
      </c>
      <c r="AL230" s="10">
        <v>50</v>
      </c>
      <c r="AM230" s="11">
        <f t="shared" si="55"/>
        <v>0</v>
      </c>
      <c r="AN230" s="10">
        <v>0</v>
      </c>
      <c r="AO230" s="55">
        <f t="shared" si="48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3"/>
        <v>0</v>
      </c>
    </row>
    <row r="231" spans="1:66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1372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930</v>
      </c>
      <c r="AC231" s="55">
        <v>4</v>
      </c>
      <c r="AE231" s="55">
        <f t="shared" ca="1" si="73"/>
        <v>25540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25540</v>
      </c>
      <c r="AG231" s="176">
        <f t="shared" ca="1" si="74"/>
        <v>36750</v>
      </c>
      <c r="AI231" s="11">
        <f t="shared" si="47"/>
        <v>300</v>
      </c>
      <c r="AJ231" s="10">
        <v>300</v>
      </c>
      <c r="AK231" s="11">
        <f t="shared" si="55"/>
        <v>100</v>
      </c>
      <c r="AL231" s="10">
        <v>100</v>
      </c>
      <c r="AM231" s="11">
        <f t="shared" si="55"/>
        <v>0</v>
      </c>
      <c r="AN231" s="10">
        <v>0</v>
      </c>
      <c r="AO231" s="55">
        <f t="shared" si="48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3"/>
        <v>0</v>
      </c>
    </row>
    <row r="232" spans="1:66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1372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5475</v>
      </c>
      <c r="AC232" s="55">
        <v>5</v>
      </c>
      <c r="AE232" s="55">
        <f t="shared" ca="1" si="73"/>
        <v>56980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56980</v>
      </c>
      <c r="AG232" s="176">
        <f t="shared" ca="1" si="74"/>
        <v>82520</v>
      </c>
      <c r="AI232" s="11">
        <f t="shared" si="47"/>
        <v>600</v>
      </c>
      <c r="AJ232" s="10">
        <v>600</v>
      </c>
      <c r="AK232" s="11">
        <f t="shared" si="55"/>
        <v>100</v>
      </c>
      <c r="AL232" s="10">
        <v>100</v>
      </c>
      <c r="AM232" s="11">
        <f t="shared" si="55"/>
        <v>0</v>
      </c>
      <c r="AN232" s="10">
        <v>0</v>
      </c>
      <c r="AO232" s="55">
        <f t="shared" si="48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3"/>
        <v>0</v>
      </c>
    </row>
    <row r="233" spans="1:66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1373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32560</v>
      </c>
      <c r="AC233" s="55">
        <v>6</v>
      </c>
      <c r="AE233" s="55">
        <f t="shared" ca="1" si="73"/>
        <v>115350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115350</v>
      </c>
      <c r="AG233" s="176">
        <f t="shared" ca="1" si="74"/>
        <v>172330</v>
      </c>
      <c r="AI233" s="11">
        <f t="shared" si="47"/>
        <v>900</v>
      </c>
      <c r="AJ233" s="10">
        <v>900</v>
      </c>
      <c r="AK233" s="11">
        <f t="shared" si="55"/>
        <v>150</v>
      </c>
      <c r="AL233" s="10">
        <v>150</v>
      </c>
      <c r="AM233" s="11">
        <f t="shared" si="55"/>
        <v>0</v>
      </c>
      <c r="AN233" s="10">
        <v>0</v>
      </c>
      <c r="AO233" s="55">
        <f t="shared" si="48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3"/>
        <v>0</v>
      </c>
    </row>
    <row r="234" spans="1:66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1373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108200</v>
      </c>
      <c r="AC234" s="55">
        <v>7</v>
      </c>
      <c r="AE234" s="55">
        <f t="shared" ca="1" si="73"/>
        <v>205200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205200</v>
      </c>
      <c r="AG234" s="176">
        <f t="shared" ca="1" si="74"/>
        <v>320550</v>
      </c>
      <c r="AI234" s="11">
        <f t="shared" si="47"/>
        <v>1200</v>
      </c>
      <c r="AJ234" s="10">
        <v>1200</v>
      </c>
      <c r="AK234" s="11">
        <f t="shared" si="55"/>
        <v>200</v>
      </c>
      <c r="AL234" s="10">
        <v>200</v>
      </c>
      <c r="AM234" s="11">
        <f t="shared" si="55"/>
        <v>0</v>
      </c>
      <c r="AN234" s="10">
        <v>0</v>
      </c>
      <c r="AO234" s="55">
        <f t="shared" si="48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3"/>
        <v>0</v>
      </c>
    </row>
    <row r="235" spans="1:66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1373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240400</v>
      </c>
      <c r="AC235" s="55">
        <v>8</v>
      </c>
      <c r="AE235" s="55">
        <f t="shared" ca="1" si="73"/>
        <v>365050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365050</v>
      </c>
      <c r="AG235" s="176">
        <f t="shared" ca="1" si="74"/>
        <v>570250</v>
      </c>
      <c r="AI235" s="11">
        <f t="shared" si="47"/>
        <v>1500</v>
      </c>
      <c r="AJ235" s="10">
        <v>1500</v>
      </c>
      <c r="AK235" s="11">
        <f t="shared" si="55"/>
        <v>250</v>
      </c>
      <c r="AL235" s="10">
        <v>250</v>
      </c>
      <c r="AM235" s="11">
        <f t="shared" si="55"/>
        <v>0</v>
      </c>
      <c r="AN235" s="10">
        <v>0</v>
      </c>
      <c r="AO235" s="55">
        <f t="shared" si="48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3"/>
        <v>0</v>
      </c>
    </row>
    <row r="236" spans="1:66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1373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630500</v>
      </c>
      <c r="AC236" s="55">
        <v>9</v>
      </c>
      <c r="AE236" s="55">
        <f t="shared" ca="1" si="73"/>
        <v>631500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631500</v>
      </c>
      <c r="AG236" s="176">
        <f t="shared" ca="1" si="74"/>
        <v>996550</v>
      </c>
      <c r="AI236" s="11">
        <f t="shared" si="47"/>
        <v>1800</v>
      </c>
      <c r="AJ236" s="10">
        <v>1800</v>
      </c>
      <c r="AK236" s="11">
        <f t="shared" si="55"/>
        <v>300</v>
      </c>
      <c r="AL236" s="10">
        <v>300</v>
      </c>
      <c r="AM236" s="11">
        <f t="shared" si="55"/>
        <v>0</v>
      </c>
      <c r="AN236" s="10">
        <v>0</v>
      </c>
      <c r="AO236" s="55">
        <f t="shared" si="48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3"/>
        <v>0</v>
      </c>
    </row>
    <row r="237" spans="1:66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1373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1170750</v>
      </c>
      <c r="AC237" s="55">
        <v>10</v>
      </c>
      <c r="AE237" s="55">
        <f t="shared" ca="1" si="73"/>
        <v>1056350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1056350</v>
      </c>
      <c r="AG237" s="176">
        <f t="shared" ca="1" si="74"/>
        <v>1687850</v>
      </c>
      <c r="AI237" s="11">
        <f t="shared" ref="AI237:AI284" si="75">ROUND(AJ237,0)</f>
        <v>2100</v>
      </c>
      <c r="AJ237" s="10">
        <v>2100</v>
      </c>
      <c r="AK237" s="11">
        <f t="shared" si="55"/>
        <v>350</v>
      </c>
      <c r="AL237" s="10">
        <v>350</v>
      </c>
      <c r="AM237" s="11">
        <f t="shared" si="55"/>
        <v>0</v>
      </c>
      <c r="AN237" s="10">
        <v>0</v>
      </c>
      <c r="AO237" s="55">
        <f t="shared" si="48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3"/>
        <v>0</v>
      </c>
    </row>
    <row r="238" spans="1:66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1373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1956000</v>
      </c>
      <c r="AC238" s="55">
        <v>11</v>
      </c>
      <c r="AE238" s="55">
        <f t="shared" ca="1" si="73"/>
        <v>1824450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1824450</v>
      </c>
      <c r="AG238" s="176">
        <f t="shared" ca="1" si="74"/>
        <v>2880800</v>
      </c>
      <c r="AI238" s="11">
        <f t="shared" si="75"/>
        <v>2400</v>
      </c>
      <c r="AJ238" s="10">
        <v>2400</v>
      </c>
      <c r="AK238" s="11">
        <f t="shared" si="55"/>
        <v>450</v>
      </c>
      <c r="AL238" s="10">
        <v>450</v>
      </c>
      <c r="AM238" s="11">
        <f t="shared" si="55"/>
        <v>0</v>
      </c>
      <c r="AN238" s="10">
        <v>0</v>
      </c>
      <c r="AO238" s="55">
        <f t="shared" ref="AO238:AO284" si="76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3"/>
        <v>0</v>
      </c>
    </row>
    <row r="239" spans="1:66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1373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3961500</v>
      </c>
      <c r="AC239" s="55">
        <v>12</v>
      </c>
      <c r="AE239" s="55">
        <f t="shared" ca="1" si="73"/>
        <v>3630550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3630550</v>
      </c>
      <c r="AG239" s="176">
        <f t="shared" ca="1" si="74"/>
        <v>5455000</v>
      </c>
      <c r="AI239" s="11">
        <f t="shared" si="75"/>
        <v>2700</v>
      </c>
      <c r="AJ239" s="10">
        <v>2700</v>
      </c>
      <c r="AK239" s="11">
        <f t="shared" si="55"/>
        <v>550</v>
      </c>
      <c r="AL239" s="10">
        <v>550</v>
      </c>
      <c r="AM239" s="11">
        <f t="shared" si="55"/>
        <v>0</v>
      </c>
      <c r="AN239" s="10">
        <v>0</v>
      </c>
      <c r="AO239" s="55">
        <f t="shared" si="76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3"/>
        <v>0</v>
      </c>
    </row>
    <row r="240" spans="1:66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1373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7772100</v>
      </c>
      <c r="AC240" s="55">
        <v>13</v>
      </c>
      <c r="AE240" s="55">
        <f t="shared" ca="1" si="73"/>
        <v>8052700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8052700</v>
      </c>
      <c r="AG240" s="176">
        <f t="shared" ca="1" si="74"/>
        <v>11683250</v>
      </c>
      <c r="AI240" s="11">
        <f t="shared" si="75"/>
        <v>3000</v>
      </c>
      <c r="AJ240" s="10">
        <v>3000</v>
      </c>
      <c r="AK240" s="11">
        <f t="shared" si="55"/>
        <v>700</v>
      </c>
      <c r="AL240" s="10">
        <v>700</v>
      </c>
      <c r="AM240" s="11">
        <f t="shared" si="55"/>
        <v>0</v>
      </c>
      <c r="AN240" s="10">
        <v>0</v>
      </c>
      <c r="AO240" s="55">
        <f t="shared" si="76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3"/>
        <v>0</v>
      </c>
    </row>
    <row r="241" spans="1:66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1373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13022450</v>
      </c>
      <c r="AC241" s="55">
        <v>14</v>
      </c>
      <c r="AE241" s="55">
        <f t="shared" ca="1" si="73"/>
        <v>14430850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14430850</v>
      </c>
      <c r="AG241" s="176">
        <f t="shared" ca="1" si="74"/>
        <v>22483550</v>
      </c>
      <c r="AI241" s="11">
        <f t="shared" si="75"/>
        <v>3300</v>
      </c>
      <c r="AJ241" s="10">
        <v>3300</v>
      </c>
      <c r="AK241" s="11">
        <f t="shared" si="55"/>
        <v>850</v>
      </c>
      <c r="AL241" s="10">
        <v>850</v>
      </c>
      <c r="AM241" s="11">
        <f t="shared" si="55"/>
        <v>0</v>
      </c>
      <c r="AN241" s="10">
        <v>0</v>
      </c>
      <c r="AO241" s="55">
        <f t="shared" si="76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3"/>
        <v>0</v>
      </c>
    </row>
    <row r="242" spans="1:66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1373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23283600</v>
      </c>
      <c r="AC242" s="55">
        <v>15</v>
      </c>
      <c r="AE242" s="55">
        <f t="shared" ca="1" si="73"/>
        <v>25021050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25021050</v>
      </c>
      <c r="AG242" s="176">
        <f t="shared" ca="1" si="74"/>
        <v>39451900</v>
      </c>
      <c r="AI242" s="11">
        <f t="shared" si="75"/>
        <v>3600</v>
      </c>
      <c r="AJ242" s="10">
        <v>3600</v>
      </c>
      <c r="AK242" s="11">
        <f t="shared" si="55"/>
        <v>1050</v>
      </c>
      <c r="AL242" s="10">
        <v>1050</v>
      </c>
      <c r="AM242" s="11">
        <f t="shared" si="55"/>
        <v>0</v>
      </c>
      <c r="AN242" s="10">
        <v>0</v>
      </c>
      <c r="AO242" s="55">
        <f t="shared" si="76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3"/>
        <v>0</v>
      </c>
    </row>
    <row r="243" spans="1:66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1373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50404400</v>
      </c>
      <c r="AC243" s="55">
        <v>16</v>
      </c>
      <c r="AE243" s="55">
        <f t="shared" ca="1" si="73"/>
        <v>41701250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41701250</v>
      </c>
      <c r="AG243" s="176">
        <f t="shared" ca="1" si="74"/>
        <v>66722300</v>
      </c>
      <c r="AI243" s="11">
        <f t="shared" si="75"/>
        <v>3900</v>
      </c>
      <c r="AJ243" s="10">
        <v>3900</v>
      </c>
      <c r="AK243" s="11">
        <f t="shared" si="55"/>
        <v>1250</v>
      </c>
      <c r="AL243" s="10">
        <v>1250</v>
      </c>
      <c r="AM243" s="11">
        <f t="shared" si="55"/>
        <v>0</v>
      </c>
      <c r="AN243" s="10">
        <v>0</v>
      </c>
      <c r="AO243" s="55">
        <f t="shared" si="76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3"/>
        <v>0</v>
      </c>
    </row>
    <row r="244" spans="1:66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1373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119976300</v>
      </c>
      <c r="AC244" s="55">
        <v>17</v>
      </c>
      <c r="AE244" s="55">
        <f t="shared" ca="1" si="73"/>
        <v>70081500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70081500</v>
      </c>
      <c r="AG244" s="176">
        <f t="shared" ca="1" si="74"/>
        <v>111782750</v>
      </c>
      <c r="AI244" s="11">
        <f t="shared" si="75"/>
        <v>4200</v>
      </c>
      <c r="AJ244" s="10">
        <v>4200</v>
      </c>
      <c r="AK244" s="11">
        <f t="shared" si="55"/>
        <v>1500</v>
      </c>
      <c r="AL244" s="10">
        <v>1500</v>
      </c>
      <c r="AM244" s="11">
        <f t="shared" si="55"/>
        <v>0</v>
      </c>
      <c r="AN244" s="10">
        <v>0</v>
      </c>
      <c r="AO244" s="55">
        <f t="shared" si="76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3"/>
        <v>0</v>
      </c>
    </row>
    <row r="245" spans="1:66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5</v>
      </c>
      <c r="M245" s="16">
        <v>1</v>
      </c>
      <c r="N245" s="16">
        <v>15</v>
      </c>
      <c r="O245" s="16" t="s">
        <v>1108</v>
      </c>
      <c r="P245" s="56" t="s">
        <v>1374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108200</v>
      </c>
      <c r="AC245" s="56">
        <v>7</v>
      </c>
      <c r="AD245" s="76"/>
      <c r="AE245" s="56">
        <f t="shared" ca="1" si="73"/>
        <v>1405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1405</v>
      </c>
      <c r="AG245" s="178">
        <f ca="1">AE245</f>
        <v>1405</v>
      </c>
      <c r="AH245" s="76"/>
      <c r="AI245" s="18">
        <f t="shared" si="75"/>
        <v>3</v>
      </c>
      <c r="AJ245" s="17">
        <v>3</v>
      </c>
      <c r="AK245" s="18">
        <f t="shared" si="55"/>
        <v>5</v>
      </c>
      <c r="AL245" s="17">
        <v>5</v>
      </c>
      <c r="AM245" s="18">
        <f t="shared" si="55"/>
        <v>0</v>
      </c>
      <c r="AN245" s="17">
        <v>0</v>
      </c>
      <c r="AO245" s="56">
        <f t="shared" si="76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3"/>
        <v>0</v>
      </c>
      <c r="BN245" s="17"/>
    </row>
    <row r="246" spans="1:66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1374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240400</v>
      </c>
      <c r="AC246" s="55">
        <v>8</v>
      </c>
      <c r="AE246" s="55">
        <f t="shared" ca="1" si="73"/>
        <v>810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810</v>
      </c>
      <c r="AG246" s="176">
        <f ca="1">AE245+AE246</f>
        <v>2215</v>
      </c>
      <c r="AI246" s="11">
        <f t="shared" si="75"/>
        <v>5</v>
      </c>
      <c r="AJ246" s="10">
        <v>5</v>
      </c>
      <c r="AK246" s="11">
        <f t="shared" si="55"/>
        <v>10</v>
      </c>
      <c r="AL246" s="10">
        <v>10</v>
      </c>
      <c r="AM246" s="11">
        <f t="shared" si="55"/>
        <v>0</v>
      </c>
      <c r="AN246" s="10">
        <v>0</v>
      </c>
      <c r="AO246" s="55">
        <f t="shared" si="76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3"/>
        <v>0</v>
      </c>
    </row>
    <row r="247" spans="1:66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1375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630500</v>
      </c>
      <c r="AC247" s="55">
        <v>9</v>
      </c>
      <c r="AE247" s="55">
        <f t="shared" ca="1" si="73"/>
        <v>1215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1215</v>
      </c>
      <c r="AG247" s="176">
        <f t="shared" ref="AG247:AG264" ca="1" si="77">AE246+AE247</f>
        <v>2025</v>
      </c>
      <c r="AI247" s="11">
        <f t="shared" si="75"/>
        <v>5</v>
      </c>
      <c r="AJ247" s="10">
        <v>5</v>
      </c>
      <c r="AK247" s="11">
        <f t="shared" si="55"/>
        <v>15</v>
      </c>
      <c r="AL247" s="10">
        <v>15</v>
      </c>
      <c r="AM247" s="11">
        <f t="shared" si="55"/>
        <v>0</v>
      </c>
      <c r="AN247" s="10">
        <v>0</v>
      </c>
      <c r="AO247" s="55">
        <f t="shared" si="76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3"/>
        <v>0</v>
      </c>
    </row>
    <row r="248" spans="1:66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1375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630500</v>
      </c>
      <c r="AC248" s="55">
        <v>9</v>
      </c>
      <c r="AE248" s="55">
        <f t="shared" ca="1" si="73"/>
        <v>4825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4825</v>
      </c>
      <c r="AG248" s="176">
        <f t="shared" ca="1" si="77"/>
        <v>6040</v>
      </c>
      <c r="AI248" s="11">
        <f t="shared" si="75"/>
        <v>15</v>
      </c>
      <c r="AJ248" s="10">
        <v>15</v>
      </c>
      <c r="AK248" s="11">
        <f t="shared" si="55"/>
        <v>25</v>
      </c>
      <c r="AL248" s="10">
        <v>25</v>
      </c>
      <c r="AM248" s="11">
        <f t="shared" si="55"/>
        <v>0</v>
      </c>
      <c r="AN248" s="10">
        <v>0</v>
      </c>
      <c r="AO248" s="55">
        <f t="shared" si="76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3"/>
        <v>0</v>
      </c>
    </row>
    <row r="249" spans="1:66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1376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1170750</v>
      </c>
      <c r="AC249" s="55">
        <v>10</v>
      </c>
      <c r="AE249" s="55">
        <f t="shared" ca="1" si="73"/>
        <v>21640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21640</v>
      </c>
      <c r="AG249" s="176">
        <f t="shared" ca="1" si="77"/>
        <v>26465</v>
      </c>
      <c r="AI249" s="11">
        <f t="shared" si="75"/>
        <v>20</v>
      </c>
      <c r="AJ249" s="10">
        <v>20</v>
      </c>
      <c r="AK249" s="11">
        <f t="shared" si="55"/>
        <v>40</v>
      </c>
      <c r="AL249" s="10">
        <v>40</v>
      </c>
      <c r="AM249" s="11">
        <f t="shared" si="55"/>
        <v>0</v>
      </c>
      <c r="AN249" s="10">
        <v>0</v>
      </c>
      <c r="AO249" s="55">
        <f t="shared" si="76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3"/>
        <v>0</v>
      </c>
    </row>
    <row r="250" spans="1:66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1376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1170750</v>
      </c>
      <c r="AC250" s="55">
        <v>10</v>
      </c>
      <c r="AE250" s="55">
        <f t="shared" ca="1" si="73"/>
        <v>72050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72050</v>
      </c>
      <c r="AG250" s="176">
        <f t="shared" ca="1" si="77"/>
        <v>93690</v>
      </c>
      <c r="AI250" s="11">
        <f t="shared" si="75"/>
        <v>30</v>
      </c>
      <c r="AJ250" s="10">
        <v>30</v>
      </c>
      <c r="AK250" s="11">
        <f t="shared" si="55"/>
        <v>50</v>
      </c>
      <c r="AL250" s="10">
        <v>50</v>
      </c>
      <c r="AM250" s="11">
        <f t="shared" si="55"/>
        <v>0</v>
      </c>
      <c r="AN250" s="10">
        <v>0</v>
      </c>
      <c r="AO250" s="55">
        <f t="shared" si="76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3"/>
        <v>0</v>
      </c>
    </row>
    <row r="251" spans="1:66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1377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1956000</v>
      </c>
      <c r="AC251" s="55">
        <v>11</v>
      </c>
      <c r="AE251" s="55">
        <f t="shared" ca="1" si="73"/>
        <v>160100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160100</v>
      </c>
      <c r="AG251" s="176">
        <f t="shared" ca="1" si="77"/>
        <v>232150</v>
      </c>
      <c r="AI251" s="11">
        <f t="shared" si="75"/>
        <v>300</v>
      </c>
      <c r="AJ251" s="10">
        <v>300</v>
      </c>
      <c r="AK251" s="11">
        <f t="shared" si="55"/>
        <v>100</v>
      </c>
      <c r="AL251" s="10">
        <v>100</v>
      </c>
      <c r="AM251" s="11">
        <f t="shared" si="55"/>
        <v>0</v>
      </c>
      <c r="AN251" s="10">
        <v>0</v>
      </c>
      <c r="AO251" s="55">
        <f t="shared" si="76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3"/>
        <v>0</v>
      </c>
    </row>
    <row r="252" spans="1:66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1377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3961500</v>
      </c>
      <c r="AC252" s="55">
        <v>12</v>
      </c>
      <c r="AE252" s="55">
        <f t="shared" ca="1" si="73"/>
        <v>336100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336100</v>
      </c>
      <c r="AG252" s="176">
        <f t="shared" ca="1" si="77"/>
        <v>496200</v>
      </c>
      <c r="AI252" s="11">
        <f t="shared" si="75"/>
        <v>600</v>
      </c>
      <c r="AJ252" s="10">
        <v>600</v>
      </c>
      <c r="AK252" s="11">
        <f t="shared" si="55"/>
        <v>100</v>
      </c>
      <c r="AL252" s="10">
        <v>100</v>
      </c>
      <c r="AM252" s="11">
        <v>0</v>
      </c>
      <c r="AN252" s="10">
        <v>0</v>
      </c>
      <c r="AO252" s="55">
        <f t="shared" si="76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3"/>
        <v>0</v>
      </c>
    </row>
    <row r="253" spans="1:66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1429</v>
      </c>
      <c r="P253" s="55" t="s">
        <v>1431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7772100</v>
      </c>
      <c r="AC253" s="55">
        <v>13</v>
      </c>
      <c r="AE253" s="55">
        <f t="shared" ca="1" si="73"/>
        <v>624150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624150</v>
      </c>
      <c r="AG253" s="176">
        <f t="shared" ca="1" si="77"/>
        <v>960250</v>
      </c>
      <c r="AI253" s="11">
        <f t="shared" si="75"/>
        <v>900</v>
      </c>
      <c r="AJ253" s="10">
        <v>900</v>
      </c>
      <c r="AK253" s="11">
        <f t="shared" si="55"/>
        <v>150</v>
      </c>
      <c r="AL253" s="10">
        <v>150</v>
      </c>
      <c r="AM253" s="11">
        <v>0</v>
      </c>
      <c r="AN253" s="10">
        <v>0</v>
      </c>
      <c r="AO253" s="55">
        <f t="shared" si="76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3"/>
        <v>0</v>
      </c>
    </row>
    <row r="254" spans="1:66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1429</v>
      </c>
      <c r="P254" s="55" t="s">
        <v>1431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7772100</v>
      </c>
      <c r="AC254" s="55">
        <v>13</v>
      </c>
      <c r="AE254" s="55">
        <f t="shared" ca="1" si="73"/>
        <v>1041200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1041200</v>
      </c>
      <c r="AG254" s="176">
        <f t="shared" ca="1" si="77"/>
        <v>1665350</v>
      </c>
      <c r="AI254" s="11">
        <f t="shared" si="75"/>
        <v>1200</v>
      </c>
      <c r="AJ254" s="10">
        <v>1200</v>
      </c>
      <c r="AK254" s="11">
        <f t="shared" si="55"/>
        <v>200</v>
      </c>
      <c r="AL254" s="10">
        <v>200</v>
      </c>
      <c r="AM254" s="11">
        <v>0</v>
      </c>
      <c r="AN254" s="10">
        <v>0</v>
      </c>
      <c r="AO254" s="55">
        <f t="shared" si="76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3"/>
        <v>0</v>
      </c>
    </row>
    <row r="255" spans="1:66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1428</v>
      </c>
      <c r="P255" s="55" t="s">
        <v>1430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13022450</v>
      </c>
      <c r="AC255" s="55">
        <v>14</v>
      </c>
      <c r="AE255" s="55">
        <f t="shared" ca="1" si="73"/>
        <v>1760750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1760750</v>
      </c>
      <c r="AG255" s="176">
        <f t="shared" ca="1" si="77"/>
        <v>2801950</v>
      </c>
      <c r="AI255" s="11">
        <f t="shared" si="75"/>
        <v>1500</v>
      </c>
      <c r="AJ255" s="10">
        <v>1500</v>
      </c>
      <c r="AK255" s="11">
        <f t="shared" si="55"/>
        <v>250</v>
      </c>
      <c r="AL255" s="10">
        <v>250</v>
      </c>
      <c r="AM255" s="11">
        <v>500</v>
      </c>
      <c r="AN255" s="10">
        <v>0</v>
      </c>
      <c r="AO255" s="55">
        <f t="shared" si="76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3"/>
        <v>0</v>
      </c>
    </row>
    <row r="256" spans="1:66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1428</v>
      </c>
      <c r="P256" s="55" t="s">
        <v>1430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23283600</v>
      </c>
      <c r="AC256" s="55">
        <v>15</v>
      </c>
      <c r="AE256" s="55">
        <f t="shared" ca="1" si="73"/>
        <v>2966300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2966300</v>
      </c>
      <c r="AG256" s="176">
        <f t="shared" ca="1" si="77"/>
        <v>4727050</v>
      </c>
      <c r="AI256" s="11">
        <f t="shared" si="75"/>
        <v>1800</v>
      </c>
      <c r="AJ256" s="10">
        <v>1800</v>
      </c>
      <c r="AK256" s="11">
        <f t="shared" si="55"/>
        <v>300</v>
      </c>
      <c r="AL256" s="10">
        <v>300</v>
      </c>
      <c r="AM256" s="11">
        <v>6000</v>
      </c>
      <c r="AN256" s="10">
        <v>0</v>
      </c>
      <c r="AO256" s="55">
        <f t="shared" si="76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3"/>
        <v>0</v>
      </c>
    </row>
    <row r="257" spans="1:66" x14ac:dyDescent="0.3">
      <c r="A257" s="14">
        <f t="shared" ref="A257:A320" si="78">B257*10000000+C257*1000000+D257*10000+E257*100+F257</f>
        <v>113040013</v>
      </c>
      <c r="B257" s="13">
        <v>11</v>
      </c>
      <c r="C257" s="12">
        <f t="shared" ref="C257:C320" si="79">H257</f>
        <v>3</v>
      </c>
      <c r="D257" s="13">
        <v>4</v>
      </c>
      <c r="E257" s="13">
        <v>0</v>
      </c>
      <c r="F257" s="12">
        <f t="shared" ref="F257:F320" si="80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1428</v>
      </c>
      <c r="P257" s="55" t="s">
        <v>1430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50404400</v>
      </c>
      <c r="AC257" s="55">
        <v>16</v>
      </c>
      <c r="AE257" s="55">
        <f t="shared" ca="1" si="73"/>
        <v>6239350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6239350</v>
      </c>
      <c r="AG257" s="176">
        <f t="shared" ca="1" si="77"/>
        <v>9205650</v>
      </c>
      <c r="AI257" s="11">
        <f t="shared" si="75"/>
        <v>2100</v>
      </c>
      <c r="AJ257" s="10">
        <v>2100</v>
      </c>
      <c r="AK257" s="11">
        <f t="shared" si="55"/>
        <v>350</v>
      </c>
      <c r="AL257" s="10">
        <v>350</v>
      </c>
      <c r="AM257" s="11">
        <v>39000</v>
      </c>
      <c r="AN257" s="10">
        <v>0</v>
      </c>
      <c r="AO257" s="55">
        <f t="shared" si="76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1">IF(BN257&lt;100,ROUND(BN257,1-LEN(ROUND(BN257,0))),ROUND(BN257,2-LEN(ROUND(BN257,0))))</f>
        <v>0</v>
      </c>
    </row>
    <row r="258" spans="1:66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1428</v>
      </c>
      <c r="P258" s="55" t="s">
        <v>1430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119976300</v>
      </c>
      <c r="AC258" s="55">
        <v>17</v>
      </c>
      <c r="AE258" s="55">
        <f t="shared" ca="1" si="73"/>
        <v>10010450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10010450</v>
      </c>
      <c r="AG258" s="176">
        <f t="shared" ca="1" si="77"/>
        <v>16249800</v>
      </c>
      <c r="AI258" s="11">
        <f t="shared" si="75"/>
        <v>2400</v>
      </c>
      <c r="AJ258" s="10">
        <v>2400</v>
      </c>
      <c r="AK258" s="11">
        <f t="shared" ref="AK258:AM321" si="82">ROUND(AL258,0)</f>
        <v>450</v>
      </c>
      <c r="AL258" s="10">
        <v>450</v>
      </c>
      <c r="AM258" s="11">
        <v>310000</v>
      </c>
      <c r="AN258" s="10">
        <v>0</v>
      </c>
      <c r="AO258" s="55">
        <f t="shared" si="76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1"/>
        <v>0</v>
      </c>
    </row>
    <row r="259" spans="1:66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1428</v>
      </c>
      <c r="P259" s="55" t="s">
        <v>1430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223207650</v>
      </c>
      <c r="AC259" s="55">
        <v>18</v>
      </c>
      <c r="AE259" s="55">
        <f t="shared" ca="1" si="73"/>
        <v>21485550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21485550</v>
      </c>
      <c r="AG259" s="176">
        <f t="shared" ca="1" si="77"/>
        <v>31496000</v>
      </c>
      <c r="AI259" s="11">
        <f t="shared" si="75"/>
        <v>2700</v>
      </c>
      <c r="AJ259" s="10">
        <v>2700</v>
      </c>
      <c r="AK259" s="11">
        <f t="shared" si="82"/>
        <v>550</v>
      </c>
      <c r="AL259" s="10">
        <v>550</v>
      </c>
      <c r="AM259" s="11">
        <v>485000</v>
      </c>
      <c r="AN259" s="10">
        <v>0</v>
      </c>
      <c r="AO259" s="55">
        <f t="shared" si="76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1"/>
        <v>0</v>
      </c>
    </row>
    <row r="260" spans="1:66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1428</v>
      </c>
      <c r="P260" s="55" t="s">
        <v>1430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223207650</v>
      </c>
      <c r="AC260" s="55">
        <v>18</v>
      </c>
      <c r="AE260" s="55">
        <f t="shared" ca="1" si="73"/>
        <v>44050700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44050700</v>
      </c>
      <c r="AG260" s="176">
        <f t="shared" ca="1" si="77"/>
        <v>65536250</v>
      </c>
      <c r="AI260" s="11">
        <f t="shared" si="75"/>
        <v>3000</v>
      </c>
      <c r="AJ260" s="10">
        <v>3000</v>
      </c>
      <c r="AK260" s="11">
        <f t="shared" si="82"/>
        <v>700</v>
      </c>
      <c r="AL260" s="10">
        <v>700</v>
      </c>
      <c r="AM260" s="11">
        <v>1050000</v>
      </c>
      <c r="AN260" s="10">
        <v>0</v>
      </c>
      <c r="AO260" s="55">
        <f t="shared" si="76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1"/>
        <v>0</v>
      </c>
    </row>
    <row r="261" spans="1:66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1428</v>
      </c>
      <c r="P261" s="55" t="s">
        <v>1430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223207650</v>
      </c>
      <c r="AC261" s="55">
        <v>18</v>
      </c>
      <c r="AE261" s="55">
        <f t="shared" ca="1" si="73"/>
        <v>82150850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82150850</v>
      </c>
      <c r="AG261" s="176">
        <f t="shared" ca="1" si="77"/>
        <v>126201550</v>
      </c>
      <c r="AI261" s="11">
        <f t="shared" si="75"/>
        <v>3300</v>
      </c>
      <c r="AJ261" s="10">
        <v>3300</v>
      </c>
      <c r="AK261" s="11">
        <f t="shared" si="82"/>
        <v>850</v>
      </c>
      <c r="AL261" s="10">
        <v>850</v>
      </c>
      <c r="AM261" s="11">
        <v>2150000</v>
      </c>
      <c r="AN261" s="10">
        <v>0</v>
      </c>
      <c r="AO261" s="55">
        <f t="shared" si="76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1"/>
        <v>0</v>
      </c>
    </row>
    <row r="262" spans="1:66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1428</v>
      </c>
      <c r="P262" s="55" t="s">
        <v>1430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223207650</v>
      </c>
      <c r="AC262" s="55">
        <v>18</v>
      </c>
      <c r="AE262" s="55">
        <f t="shared" ca="1" si="73"/>
        <v>134001050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134001050</v>
      </c>
      <c r="AG262" s="176">
        <f t="shared" ca="1" si="77"/>
        <v>216151900</v>
      </c>
      <c r="AI262" s="11">
        <f t="shared" si="75"/>
        <v>3600</v>
      </c>
      <c r="AJ262" s="10">
        <v>3600</v>
      </c>
      <c r="AK262" s="11">
        <f t="shared" si="82"/>
        <v>1050</v>
      </c>
      <c r="AL262" s="10">
        <v>1050</v>
      </c>
      <c r="AM262" s="11">
        <v>4000000</v>
      </c>
      <c r="AN262" s="10">
        <v>0</v>
      </c>
      <c r="AO262" s="55">
        <f t="shared" si="76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1"/>
        <v>0</v>
      </c>
    </row>
    <row r="263" spans="1:66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1428</v>
      </c>
      <c r="P263" s="55" t="s">
        <v>1430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223207650</v>
      </c>
      <c r="AC263" s="55">
        <v>18</v>
      </c>
      <c r="AE263" s="55">
        <f t="shared" ca="1" si="73"/>
        <v>206501250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206501250</v>
      </c>
      <c r="AG263" s="176">
        <f t="shared" ca="1" si="77"/>
        <v>340502300</v>
      </c>
      <c r="AI263" s="11">
        <f t="shared" si="75"/>
        <v>3900</v>
      </c>
      <c r="AJ263" s="10">
        <v>3900</v>
      </c>
      <c r="AK263" s="11">
        <f t="shared" si="82"/>
        <v>1250</v>
      </c>
      <c r="AL263" s="10">
        <v>1250</v>
      </c>
      <c r="AM263" s="11">
        <v>6500000</v>
      </c>
      <c r="AN263" s="10">
        <v>0</v>
      </c>
      <c r="AO263" s="55">
        <f t="shared" si="76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1"/>
        <v>0</v>
      </c>
    </row>
    <row r="264" spans="1:66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1428</v>
      </c>
      <c r="P264" s="55" t="s">
        <v>1430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223207650</v>
      </c>
      <c r="AC264" s="55">
        <v>18</v>
      </c>
      <c r="AE264" s="55">
        <f t="shared" ca="1" si="73"/>
        <v>330001500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330001500</v>
      </c>
      <c r="AG264" s="176">
        <f t="shared" ca="1" si="77"/>
        <v>536502750</v>
      </c>
      <c r="AI264" s="11">
        <f t="shared" si="75"/>
        <v>4200</v>
      </c>
      <c r="AJ264" s="10">
        <v>4200</v>
      </c>
      <c r="AK264" s="11">
        <f t="shared" si="82"/>
        <v>1500</v>
      </c>
      <c r="AL264" s="10">
        <v>1500</v>
      </c>
      <c r="AM264" s="11">
        <v>10000000</v>
      </c>
      <c r="AN264" s="10">
        <v>0</v>
      </c>
      <c r="AO264" s="55">
        <f t="shared" si="76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1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23283600</v>
      </c>
      <c r="AC265" s="56">
        <v>15</v>
      </c>
      <c r="AD265" s="76"/>
      <c r="AE265" s="56">
        <f t="shared" ca="1" si="73"/>
        <v>1580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1580</v>
      </c>
      <c r="AG265" s="178">
        <f ca="1">AE265</f>
        <v>1580</v>
      </c>
      <c r="AH265" s="76"/>
      <c r="AI265" s="18">
        <f t="shared" si="75"/>
        <v>3</v>
      </c>
      <c r="AJ265" s="17">
        <v>3</v>
      </c>
      <c r="AK265" s="18">
        <f t="shared" si="82"/>
        <v>5</v>
      </c>
      <c r="AL265" s="17">
        <v>5</v>
      </c>
      <c r="AM265" s="18">
        <v>25</v>
      </c>
      <c r="AN265" s="17">
        <v>0</v>
      </c>
      <c r="AO265" s="56">
        <f t="shared" si="76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1"/>
        <v>0</v>
      </c>
      <c r="BN265" s="17"/>
    </row>
    <row r="266" spans="1:66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50404400</v>
      </c>
      <c r="AC266" s="55">
        <v>16</v>
      </c>
      <c r="AE266" s="55">
        <f t="shared" ca="1" si="73"/>
        <v>1160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1160</v>
      </c>
      <c r="AG266" s="176">
        <f ca="1">AE265+AE266</f>
        <v>2740</v>
      </c>
      <c r="AI266" s="11">
        <f t="shared" si="75"/>
        <v>5</v>
      </c>
      <c r="AJ266" s="10">
        <v>5</v>
      </c>
      <c r="AK266" s="11">
        <f t="shared" si="82"/>
        <v>10</v>
      </c>
      <c r="AL266" s="10">
        <v>10</v>
      </c>
      <c r="AM266" s="11">
        <v>50</v>
      </c>
      <c r="AN266" s="10">
        <v>0</v>
      </c>
      <c r="AO266" s="55">
        <f t="shared" si="76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1"/>
        <v>0</v>
      </c>
    </row>
    <row r="267" spans="1:66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50404400</v>
      </c>
      <c r="AC267" s="55">
        <v>16</v>
      </c>
      <c r="AE267" s="55">
        <f t="shared" ca="1" si="73"/>
        <v>1740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1740</v>
      </c>
      <c r="AG267" s="176">
        <f t="shared" ref="AG267:AG284" ca="1" si="83">AE266+AE267</f>
        <v>2900</v>
      </c>
      <c r="AI267" s="11">
        <f t="shared" si="75"/>
        <v>5</v>
      </c>
      <c r="AJ267" s="10">
        <v>5</v>
      </c>
      <c r="AK267" s="11">
        <f t="shared" si="82"/>
        <v>15</v>
      </c>
      <c r="AL267" s="10">
        <v>15</v>
      </c>
      <c r="AM267" s="11">
        <v>75</v>
      </c>
      <c r="AN267" s="10">
        <v>0</v>
      </c>
      <c r="AO267" s="55">
        <f t="shared" si="76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1"/>
        <v>0</v>
      </c>
    </row>
    <row r="268" spans="1:66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50404400</v>
      </c>
      <c r="AC268" s="55">
        <v>16</v>
      </c>
      <c r="AE268" s="55">
        <f t="shared" ca="1" si="73"/>
        <v>6925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6925</v>
      </c>
      <c r="AG268" s="176">
        <f t="shared" ca="1" si="83"/>
        <v>8665</v>
      </c>
      <c r="AI268" s="11">
        <f t="shared" si="75"/>
        <v>15</v>
      </c>
      <c r="AJ268" s="10">
        <v>15</v>
      </c>
      <c r="AK268" s="11">
        <f t="shared" si="82"/>
        <v>25</v>
      </c>
      <c r="AL268" s="10">
        <v>25</v>
      </c>
      <c r="AM268" s="11">
        <v>300</v>
      </c>
      <c r="AN268" s="10">
        <v>0</v>
      </c>
      <c r="AO268" s="55">
        <f t="shared" si="76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1"/>
        <v>0</v>
      </c>
    </row>
    <row r="269" spans="1:66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50404400</v>
      </c>
      <c r="AC269" s="55">
        <v>16</v>
      </c>
      <c r="AE269" s="55">
        <f t="shared" ca="1" si="73"/>
        <v>31090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31090</v>
      </c>
      <c r="AG269" s="176">
        <f t="shared" ca="1" si="83"/>
        <v>38015</v>
      </c>
      <c r="AI269" s="11">
        <f t="shared" si="75"/>
        <v>20</v>
      </c>
      <c r="AJ269" s="10">
        <v>20</v>
      </c>
      <c r="AK269" s="11">
        <f t="shared" si="82"/>
        <v>40</v>
      </c>
      <c r="AL269" s="10">
        <v>40</v>
      </c>
      <c r="AM269" s="11">
        <v>1350</v>
      </c>
      <c r="AN269" s="10">
        <v>0</v>
      </c>
      <c r="AO269" s="55">
        <f t="shared" si="76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1"/>
        <v>0</v>
      </c>
    </row>
    <row r="270" spans="1:66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50404400</v>
      </c>
      <c r="AC270" s="55">
        <v>16</v>
      </c>
      <c r="AE270" s="55">
        <f t="shared" ca="1" si="73"/>
        <v>103550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103550</v>
      </c>
      <c r="AG270" s="176">
        <f t="shared" ca="1" si="83"/>
        <v>134640</v>
      </c>
      <c r="AI270" s="11">
        <f t="shared" si="75"/>
        <v>30</v>
      </c>
      <c r="AJ270" s="10">
        <v>30</v>
      </c>
      <c r="AK270" s="11">
        <f t="shared" si="82"/>
        <v>50</v>
      </c>
      <c r="AL270" s="10">
        <v>50</v>
      </c>
      <c r="AM270" s="11">
        <v>4500</v>
      </c>
      <c r="AN270" s="10">
        <v>0</v>
      </c>
      <c r="AO270" s="55">
        <f t="shared" si="76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1"/>
        <v>0</v>
      </c>
    </row>
    <row r="271" spans="1:66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50404400</v>
      </c>
      <c r="AC271" s="55">
        <v>16</v>
      </c>
      <c r="AE271" s="55">
        <f t="shared" ca="1" si="73"/>
        <v>230100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230100</v>
      </c>
      <c r="AG271" s="176">
        <f t="shared" ca="1" si="83"/>
        <v>333650</v>
      </c>
      <c r="AI271" s="11">
        <f t="shared" si="75"/>
        <v>300</v>
      </c>
      <c r="AJ271" s="10">
        <v>300</v>
      </c>
      <c r="AK271" s="11">
        <f t="shared" si="82"/>
        <v>100</v>
      </c>
      <c r="AL271" s="10">
        <v>100</v>
      </c>
      <c r="AM271" s="11">
        <v>10000</v>
      </c>
      <c r="AN271" s="10">
        <v>0</v>
      </c>
      <c r="AO271" s="55">
        <f t="shared" si="76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1"/>
        <v>0</v>
      </c>
    </row>
    <row r="272" spans="1:66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50404400</v>
      </c>
      <c r="AC272" s="55">
        <v>16</v>
      </c>
      <c r="AE272" s="55">
        <f t="shared" ca="1" si="73"/>
        <v>484100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484100</v>
      </c>
      <c r="AG272" s="176">
        <f t="shared" ca="1" si="83"/>
        <v>714200</v>
      </c>
      <c r="AI272" s="11">
        <f t="shared" si="75"/>
        <v>600</v>
      </c>
      <c r="AJ272" s="10">
        <v>600</v>
      </c>
      <c r="AK272" s="11">
        <f t="shared" si="82"/>
        <v>100</v>
      </c>
      <c r="AL272" s="10">
        <v>100</v>
      </c>
      <c r="AM272" s="11">
        <v>21000</v>
      </c>
      <c r="AN272" s="10">
        <v>0</v>
      </c>
      <c r="AO272" s="55">
        <f t="shared" si="76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1"/>
        <v>0</v>
      </c>
    </row>
    <row r="273" spans="1:66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50404400</v>
      </c>
      <c r="AC273" s="55">
        <v>16</v>
      </c>
      <c r="AE273" s="55">
        <f t="shared" ca="1" si="73"/>
        <v>897150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897150</v>
      </c>
      <c r="AG273" s="176">
        <f t="shared" ca="1" si="83"/>
        <v>1381250</v>
      </c>
      <c r="AI273" s="11">
        <f t="shared" si="75"/>
        <v>900</v>
      </c>
      <c r="AJ273" s="10">
        <v>900</v>
      </c>
      <c r="AK273" s="11">
        <f t="shared" si="82"/>
        <v>150</v>
      </c>
      <c r="AL273" s="10">
        <v>150</v>
      </c>
      <c r="AM273" s="11">
        <v>39000</v>
      </c>
      <c r="AN273" s="10">
        <v>0</v>
      </c>
      <c r="AO273" s="55">
        <f t="shared" si="76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1"/>
        <v>0</v>
      </c>
    </row>
    <row r="274" spans="1:66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50404400</v>
      </c>
      <c r="AC274" s="55">
        <v>16</v>
      </c>
      <c r="AE274" s="55">
        <f t="shared" ca="1" si="73"/>
        <v>1495200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1495200</v>
      </c>
      <c r="AG274" s="176">
        <f t="shared" ca="1" si="83"/>
        <v>2392350</v>
      </c>
      <c r="AI274" s="11">
        <f t="shared" si="75"/>
        <v>1200</v>
      </c>
      <c r="AJ274" s="10">
        <v>1200</v>
      </c>
      <c r="AK274" s="11">
        <f t="shared" si="82"/>
        <v>200</v>
      </c>
      <c r="AL274" s="10">
        <v>200</v>
      </c>
      <c r="AM274" s="11">
        <v>65000</v>
      </c>
      <c r="AN274" s="10">
        <v>0</v>
      </c>
      <c r="AO274" s="55">
        <f t="shared" si="76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1"/>
        <v>0</v>
      </c>
    </row>
    <row r="275" spans="1:66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50404400</v>
      </c>
      <c r="AC275" s="55">
        <v>16</v>
      </c>
      <c r="AE275" s="55">
        <f t="shared" ca="1" si="73"/>
        <v>2530250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2530250</v>
      </c>
      <c r="AG275" s="176">
        <f t="shared" ca="1" si="83"/>
        <v>4025450</v>
      </c>
      <c r="AI275" s="11">
        <f t="shared" si="75"/>
        <v>1500</v>
      </c>
      <c r="AJ275" s="10">
        <v>1500</v>
      </c>
      <c r="AK275" s="11">
        <f t="shared" si="82"/>
        <v>250</v>
      </c>
      <c r="AL275" s="10">
        <v>250</v>
      </c>
      <c r="AM275" s="11">
        <v>110000</v>
      </c>
      <c r="AN275" s="10">
        <v>0</v>
      </c>
      <c r="AO275" s="55">
        <f t="shared" si="76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1"/>
        <v>0</v>
      </c>
    </row>
    <row r="276" spans="1:66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50404400</v>
      </c>
      <c r="AC276" s="55">
        <v>16</v>
      </c>
      <c r="AE276" s="55">
        <f t="shared" ca="1" si="73"/>
        <v>4255300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4255300</v>
      </c>
      <c r="AG276" s="176">
        <f t="shared" ca="1" si="83"/>
        <v>6785550</v>
      </c>
      <c r="AI276" s="11">
        <f t="shared" si="75"/>
        <v>1800</v>
      </c>
      <c r="AJ276" s="10">
        <v>1800</v>
      </c>
      <c r="AK276" s="11">
        <f t="shared" si="82"/>
        <v>300</v>
      </c>
      <c r="AL276" s="10">
        <v>300</v>
      </c>
      <c r="AM276" s="11">
        <v>185000</v>
      </c>
      <c r="AN276" s="10">
        <v>0</v>
      </c>
      <c r="AO276" s="55">
        <f t="shared" si="76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1"/>
        <v>0</v>
      </c>
    </row>
    <row r="277" spans="1:66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50404400</v>
      </c>
      <c r="AC277" s="55">
        <v>16</v>
      </c>
      <c r="AE277" s="55">
        <f t="shared" ca="1" si="73"/>
        <v>7130350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7130350</v>
      </c>
      <c r="AG277" s="176">
        <f t="shared" ca="1" si="83"/>
        <v>11385650</v>
      </c>
      <c r="AI277" s="11">
        <f t="shared" si="75"/>
        <v>2100</v>
      </c>
      <c r="AJ277" s="10">
        <v>2100</v>
      </c>
      <c r="AK277" s="11">
        <f t="shared" si="82"/>
        <v>350</v>
      </c>
      <c r="AL277" s="10">
        <v>350</v>
      </c>
      <c r="AM277" s="11">
        <v>310000</v>
      </c>
      <c r="AN277" s="10">
        <v>0</v>
      </c>
      <c r="AO277" s="55">
        <f t="shared" si="76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1"/>
        <v>0</v>
      </c>
    </row>
    <row r="278" spans="1:66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50404400</v>
      </c>
      <c r="AC278" s="55">
        <v>16</v>
      </c>
      <c r="AE278" s="55">
        <f t="shared" ca="1" si="73"/>
        <v>11155450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11155450</v>
      </c>
      <c r="AG278" s="176">
        <f t="shared" ca="1" si="83"/>
        <v>18285800</v>
      </c>
      <c r="AI278" s="11">
        <f t="shared" si="75"/>
        <v>2400</v>
      </c>
      <c r="AJ278" s="10">
        <v>2400</v>
      </c>
      <c r="AK278" s="11">
        <f t="shared" si="82"/>
        <v>450</v>
      </c>
      <c r="AL278" s="10">
        <v>450</v>
      </c>
      <c r="AM278" s="11">
        <v>485000</v>
      </c>
      <c r="AN278" s="10">
        <v>0</v>
      </c>
      <c r="AO278" s="55">
        <f t="shared" si="76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1"/>
        <v>0</v>
      </c>
    </row>
    <row r="279" spans="1:66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50404400</v>
      </c>
      <c r="AC279" s="55">
        <v>16</v>
      </c>
      <c r="AE279" s="55">
        <f t="shared" ca="1" si="73"/>
        <v>24150550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24150550</v>
      </c>
      <c r="AG279" s="176">
        <f t="shared" ca="1" si="83"/>
        <v>35306000</v>
      </c>
      <c r="AI279" s="11">
        <f t="shared" si="75"/>
        <v>2700</v>
      </c>
      <c r="AJ279" s="10">
        <v>2700</v>
      </c>
      <c r="AK279" s="11">
        <f t="shared" si="82"/>
        <v>550</v>
      </c>
      <c r="AL279" s="10">
        <v>550</v>
      </c>
      <c r="AM279" s="11">
        <v>1050000</v>
      </c>
      <c r="AN279" s="10">
        <v>0</v>
      </c>
      <c r="AO279" s="55">
        <f t="shared" si="76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1"/>
        <v>0</v>
      </c>
    </row>
    <row r="280" spans="1:66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50404400</v>
      </c>
      <c r="AC280" s="55">
        <v>16</v>
      </c>
      <c r="AE280" s="55">
        <f t="shared" ca="1" si="73"/>
        <v>49450700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49450700</v>
      </c>
      <c r="AG280" s="176">
        <f t="shared" ca="1" si="83"/>
        <v>73601250</v>
      </c>
      <c r="AI280" s="11">
        <f t="shared" si="75"/>
        <v>3000</v>
      </c>
      <c r="AJ280" s="10">
        <v>3000</v>
      </c>
      <c r="AK280" s="11">
        <f t="shared" si="82"/>
        <v>700</v>
      </c>
      <c r="AL280" s="10">
        <v>700</v>
      </c>
      <c r="AM280" s="11">
        <v>2150000</v>
      </c>
      <c r="AN280" s="10">
        <v>0</v>
      </c>
      <c r="AO280" s="55">
        <f t="shared" si="76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1"/>
        <v>0</v>
      </c>
    </row>
    <row r="281" spans="1:66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50404400</v>
      </c>
      <c r="AC281" s="55">
        <v>16</v>
      </c>
      <c r="AE281" s="55">
        <f t="shared" ca="1" si="73"/>
        <v>108000850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108000850</v>
      </c>
      <c r="AG281" s="176">
        <f t="shared" ca="1" si="83"/>
        <v>157451550</v>
      </c>
      <c r="AI281" s="11">
        <f t="shared" si="75"/>
        <v>3300</v>
      </c>
      <c r="AJ281" s="10">
        <v>3300</v>
      </c>
      <c r="AK281" s="11">
        <f t="shared" si="82"/>
        <v>850</v>
      </c>
      <c r="AL281" s="10">
        <v>850</v>
      </c>
      <c r="AM281" s="11">
        <v>4000000</v>
      </c>
      <c r="AN281" s="10">
        <v>0</v>
      </c>
      <c r="AO281" s="55">
        <f t="shared" si="76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1"/>
        <v>0</v>
      </c>
    </row>
    <row r="282" spans="1:66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50404400</v>
      </c>
      <c r="AC282" s="55">
        <v>16</v>
      </c>
      <c r="AE282" s="55">
        <f t="shared" ref="AE282:AE345" ca="1" si="84">ROUND(AF282,0)</f>
        <v>183301050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183301050</v>
      </c>
      <c r="AG282" s="176">
        <f t="shared" ca="1" si="83"/>
        <v>291301900</v>
      </c>
      <c r="AI282" s="11">
        <f t="shared" si="75"/>
        <v>3600</v>
      </c>
      <c r="AJ282" s="10">
        <v>3600</v>
      </c>
      <c r="AK282" s="11">
        <f t="shared" si="82"/>
        <v>1050</v>
      </c>
      <c r="AL282" s="10">
        <v>1050</v>
      </c>
      <c r="AM282" s="11">
        <v>6500000</v>
      </c>
      <c r="AN282" s="10">
        <v>0</v>
      </c>
      <c r="AO282" s="55">
        <f t="shared" si="76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1"/>
        <v>0</v>
      </c>
    </row>
    <row r="283" spans="1:66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50404400</v>
      </c>
      <c r="AC283" s="55">
        <v>16</v>
      </c>
      <c r="AE283" s="55">
        <f t="shared" ca="1" si="84"/>
        <v>282001250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282001250</v>
      </c>
      <c r="AG283" s="176">
        <f t="shared" ca="1" si="83"/>
        <v>465302300</v>
      </c>
      <c r="AI283" s="11">
        <f t="shared" si="75"/>
        <v>3900</v>
      </c>
      <c r="AJ283" s="10">
        <v>3900</v>
      </c>
      <c r="AK283" s="11">
        <f t="shared" si="82"/>
        <v>1250</v>
      </c>
      <c r="AL283" s="10">
        <v>1250</v>
      </c>
      <c r="AM283" s="11">
        <v>10000000</v>
      </c>
      <c r="AN283" s="10">
        <v>0</v>
      </c>
      <c r="AO283" s="55">
        <f t="shared" si="76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1"/>
        <v>0</v>
      </c>
    </row>
    <row r="284" spans="1:66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50404400</v>
      </c>
      <c r="AC284" s="55">
        <v>16</v>
      </c>
      <c r="AE284" s="55">
        <f t="shared" ca="1" si="84"/>
        <v>451201500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451201500</v>
      </c>
      <c r="AG284" s="176">
        <f t="shared" ca="1" si="83"/>
        <v>733202750</v>
      </c>
      <c r="AI284" s="11">
        <f t="shared" si="75"/>
        <v>4200</v>
      </c>
      <c r="AJ284" s="10">
        <v>4200</v>
      </c>
      <c r="AK284" s="11">
        <f t="shared" si="82"/>
        <v>1500</v>
      </c>
      <c r="AL284" s="10">
        <v>1500</v>
      </c>
      <c r="AM284" s="11">
        <v>16000000</v>
      </c>
      <c r="AN284" s="10">
        <v>0</v>
      </c>
      <c r="AO284" s="55">
        <f t="shared" si="76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1"/>
        <v>0</v>
      </c>
    </row>
    <row r="285" spans="1:66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10</v>
      </c>
      <c r="M285" s="16">
        <v>1</v>
      </c>
      <c r="N285" s="16">
        <v>15</v>
      </c>
      <c r="O285" s="137" t="s">
        <v>1030</v>
      </c>
      <c r="P285" s="56" t="s">
        <v>1378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1170750</v>
      </c>
      <c r="AC285" s="56">
        <v>10</v>
      </c>
      <c r="AD285" s="76"/>
      <c r="AE285" s="56">
        <f t="shared" ca="1" si="84"/>
        <v>1430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1430</v>
      </c>
      <c r="AG285" s="178">
        <f ca="1">AE285</f>
        <v>1430</v>
      </c>
      <c r="AH285" s="76"/>
      <c r="AI285" s="18">
        <f t="shared" ref="AI285:AI304" si="88">ROUND(AJ285,0)</f>
        <v>3</v>
      </c>
      <c r="AJ285" s="17">
        <v>3</v>
      </c>
      <c r="AK285" s="18">
        <f t="shared" ref="AK285:AK304" si="89">ROUND(AL285,0)</f>
        <v>5</v>
      </c>
      <c r="AL285" s="17">
        <v>5</v>
      </c>
      <c r="AM285" s="18">
        <v>25</v>
      </c>
      <c r="AN285" s="17">
        <v>0</v>
      </c>
      <c r="AO285" s="56">
        <f t="shared" ref="AO285:AO304" si="90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1">IF(BN285&lt;100,ROUND(BN285,1-LEN(ROUND(BN285,0))),ROUND(BN285,2-LEN(ROUND(BN285,0))))</f>
        <v>0</v>
      </c>
      <c r="BN285" s="17"/>
    </row>
    <row r="286" spans="1:66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1378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1956000</v>
      </c>
      <c r="AC286" s="55">
        <v>11</v>
      </c>
      <c r="AE286" s="55">
        <f t="shared" ca="1" si="84"/>
        <v>860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860</v>
      </c>
      <c r="AG286" s="176">
        <f ca="1">AE285+AE286</f>
        <v>2290</v>
      </c>
      <c r="AI286" s="11">
        <f t="shared" si="88"/>
        <v>5</v>
      </c>
      <c r="AJ286" s="10">
        <v>5</v>
      </c>
      <c r="AK286" s="11">
        <f t="shared" si="89"/>
        <v>10</v>
      </c>
      <c r="AL286" s="10">
        <v>10</v>
      </c>
      <c r="AM286" s="11">
        <v>50</v>
      </c>
      <c r="AN286" s="10">
        <v>0</v>
      </c>
      <c r="AO286" s="55">
        <f t="shared" si="90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1"/>
        <v>0</v>
      </c>
    </row>
    <row r="287" spans="1:66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1378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1956000</v>
      </c>
      <c r="AC287" s="55">
        <v>11</v>
      </c>
      <c r="AE287" s="55">
        <f t="shared" ca="1" si="84"/>
        <v>1290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1290</v>
      </c>
      <c r="AG287" s="176">
        <f t="shared" ref="AG287:AG304" ca="1" si="92">AE286+AE287</f>
        <v>2150</v>
      </c>
      <c r="AI287" s="11">
        <f t="shared" si="88"/>
        <v>5</v>
      </c>
      <c r="AJ287" s="10">
        <v>5</v>
      </c>
      <c r="AK287" s="11">
        <f t="shared" si="89"/>
        <v>15</v>
      </c>
      <c r="AL287" s="10">
        <v>15</v>
      </c>
      <c r="AM287" s="11">
        <v>75</v>
      </c>
      <c r="AN287" s="10">
        <v>0</v>
      </c>
      <c r="AO287" s="55">
        <f t="shared" si="90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1"/>
        <v>0</v>
      </c>
    </row>
    <row r="288" spans="1:66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1378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1956000</v>
      </c>
      <c r="AC288" s="55">
        <v>11</v>
      </c>
      <c r="AE288" s="55">
        <f t="shared" ca="1" si="84"/>
        <v>5125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5125</v>
      </c>
      <c r="AG288" s="176">
        <f t="shared" ca="1" si="92"/>
        <v>6415</v>
      </c>
      <c r="AI288" s="11">
        <f t="shared" si="88"/>
        <v>15</v>
      </c>
      <c r="AJ288" s="10">
        <v>15</v>
      </c>
      <c r="AK288" s="11">
        <f t="shared" si="89"/>
        <v>25</v>
      </c>
      <c r="AL288" s="10">
        <v>25</v>
      </c>
      <c r="AM288" s="11">
        <v>300</v>
      </c>
      <c r="AN288" s="10">
        <v>0</v>
      </c>
      <c r="AO288" s="55">
        <f t="shared" si="90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1"/>
        <v>0</v>
      </c>
    </row>
    <row r="289" spans="1:65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1378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1956000</v>
      </c>
      <c r="AC289" s="55">
        <v>11</v>
      </c>
      <c r="AE289" s="55">
        <f t="shared" ca="1" si="84"/>
        <v>22990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22990</v>
      </c>
      <c r="AG289" s="176">
        <f t="shared" ca="1" si="92"/>
        <v>28115</v>
      </c>
      <c r="AI289" s="11">
        <f t="shared" si="88"/>
        <v>20</v>
      </c>
      <c r="AJ289" s="10">
        <v>20</v>
      </c>
      <c r="AK289" s="11">
        <f t="shared" si="89"/>
        <v>40</v>
      </c>
      <c r="AL289" s="10">
        <v>40</v>
      </c>
      <c r="AM289" s="11">
        <v>1350</v>
      </c>
      <c r="AN289" s="10">
        <v>0</v>
      </c>
      <c r="AO289" s="55">
        <f t="shared" si="90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1"/>
        <v>0</v>
      </c>
    </row>
    <row r="290" spans="1:65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1378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1956000</v>
      </c>
      <c r="AC290" s="55">
        <v>11</v>
      </c>
      <c r="AE290" s="55">
        <f t="shared" ca="1" si="84"/>
        <v>76550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76550</v>
      </c>
      <c r="AG290" s="176">
        <f t="shared" ca="1" si="92"/>
        <v>99540</v>
      </c>
      <c r="AI290" s="11">
        <f t="shared" si="88"/>
        <v>30</v>
      </c>
      <c r="AJ290" s="10">
        <v>30</v>
      </c>
      <c r="AK290" s="11">
        <f t="shared" si="89"/>
        <v>50</v>
      </c>
      <c r="AL290" s="10">
        <v>50</v>
      </c>
      <c r="AM290" s="11">
        <v>4500</v>
      </c>
      <c r="AN290" s="10">
        <v>0</v>
      </c>
      <c r="AO290" s="55">
        <f t="shared" si="90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1"/>
        <v>0</v>
      </c>
    </row>
    <row r="291" spans="1:65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1378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1956000</v>
      </c>
      <c r="AC291" s="55">
        <v>11</v>
      </c>
      <c r="AE291" s="55">
        <f t="shared" ca="1" si="84"/>
        <v>170100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170100</v>
      </c>
      <c r="AG291" s="176">
        <f t="shared" ca="1" si="92"/>
        <v>246650</v>
      </c>
      <c r="AI291" s="11">
        <f t="shared" si="88"/>
        <v>300</v>
      </c>
      <c r="AJ291" s="10">
        <v>300</v>
      </c>
      <c r="AK291" s="11">
        <f t="shared" si="89"/>
        <v>100</v>
      </c>
      <c r="AL291" s="10">
        <v>100</v>
      </c>
      <c r="AM291" s="11">
        <v>10000</v>
      </c>
      <c r="AN291" s="10">
        <v>0</v>
      </c>
      <c r="AO291" s="55">
        <f t="shared" si="90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1"/>
        <v>0</v>
      </c>
    </row>
    <row r="292" spans="1:65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1378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1956000</v>
      </c>
      <c r="AC292" s="55">
        <v>11</v>
      </c>
      <c r="AE292" s="55">
        <f t="shared" ca="1" si="84"/>
        <v>358100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358100</v>
      </c>
      <c r="AG292" s="176">
        <f t="shared" ca="1" si="92"/>
        <v>528200</v>
      </c>
      <c r="AI292" s="11">
        <f t="shared" si="88"/>
        <v>600</v>
      </c>
      <c r="AJ292" s="10">
        <v>600</v>
      </c>
      <c r="AK292" s="11">
        <f t="shared" si="89"/>
        <v>100</v>
      </c>
      <c r="AL292" s="10">
        <v>100</v>
      </c>
      <c r="AM292" s="11">
        <v>21000</v>
      </c>
      <c r="AN292" s="10">
        <v>0</v>
      </c>
      <c r="AO292" s="55">
        <f t="shared" si="90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1"/>
        <v>0</v>
      </c>
    </row>
    <row r="293" spans="1:65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1378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1956000</v>
      </c>
      <c r="AC293" s="55">
        <v>11</v>
      </c>
      <c r="AE293" s="55">
        <f t="shared" ca="1" si="84"/>
        <v>663150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663150</v>
      </c>
      <c r="AG293" s="176">
        <f t="shared" ca="1" si="92"/>
        <v>1021250</v>
      </c>
      <c r="AI293" s="11">
        <f t="shared" si="88"/>
        <v>900</v>
      </c>
      <c r="AJ293" s="10">
        <v>900</v>
      </c>
      <c r="AK293" s="11">
        <f t="shared" si="89"/>
        <v>150</v>
      </c>
      <c r="AL293" s="10">
        <v>150</v>
      </c>
      <c r="AM293" s="11">
        <v>39000</v>
      </c>
      <c r="AN293" s="10">
        <v>0</v>
      </c>
      <c r="AO293" s="55">
        <f t="shared" si="90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1"/>
        <v>0</v>
      </c>
    </row>
    <row r="294" spans="1:65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1378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1956000</v>
      </c>
      <c r="AC294" s="55">
        <v>11</v>
      </c>
      <c r="AE294" s="55">
        <f t="shared" ca="1" si="84"/>
        <v>1105200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1105200</v>
      </c>
      <c r="AG294" s="176">
        <f t="shared" ca="1" si="92"/>
        <v>1768350</v>
      </c>
      <c r="AI294" s="11">
        <f t="shared" si="88"/>
        <v>1200</v>
      </c>
      <c r="AJ294" s="10">
        <v>1200</v>
      </c>
      <c r="AK294" s="11">
        <f t="shared" si="89"/>
        <v>200</v>
      </c>
      <c r="AL294" s="10">
        <v>200</v>
      </c>
      <c r="AM294" s="11">
        <v>65000</v>
      </c>
      <c r="AN294" s="10">
        <v>0</v>
      </c>
      <c r="AO294" s="55">
        <f t="shared" si="90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1"/>
        <v>0</v>
      </c>
    </row>
    <row r="295" spans="1:65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1378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1956000</v>
      </c>
      <c r="AC295" s="55">
        <v>11</v>
      </c>
      <c r="AE295" s="55">
        <f t="shared" ca="1" si="84"/>
        <v>1870250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1870250</v>
      </c>
      <c r="AG295" s="176">
        <f t="shared" ca="1" si="92"/>
        <v>2975450</v>
      </c>
      <c r="AI295" s="11">
        <f t="shared" si="88"/>
        <v>1500</v>
      </c>
      <c r="AJ295" s="10">
        <v>1500</v>
      </c>
      <c r="AK295" s="11">
        <f t="shared" si="89"/>
        <v>250</v>
      </c>
      <c r="AL295" s="10">
        <v>250</v>
      </c>
      <c r="AM295" s="11">
        <v>110000</v>
      </c>
      <c r="AN295" s="10">
        <v>0</v>
      </c>
      <c r="AO295" s="55">
        <f t="shared" si="90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1"/>
        <v>0</v>
      </c>
    </row>
    <row r="296" spans="1:65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1378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1956000</v>
      </c>
      <c r="AC296" s="55">
        <v>11</v>
      </c>
      <c r="AE296" s="55">
        <f t="shared" ca="1" si="84"/>
        <v>3145300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3145300</v>
      </c>
      <c r="AG296" s="176">
        <f t="shared" ca="1" si="92"/>
        <v>5015550</v>
      </c>
      <c r="AI296" s="11">
        <f t="shared" si="88"/>
        <v>1800</v>
      </c>
      <c r="AJ296" s="10">
        <v>1800</v>
      </c>
      <c r="AK296" s="11">
        <f t="shared" si="89"/>
        <v>300</v>
      </c>
      <c r="AL296" s="10">
        <v>300</v>
      </c>
      <c r="AM296" s="11">
        <v>185000</v>
      </c>
      <c r="AN296" s="10">
        <v>0</v>
      </c>
      <c r="AO296" s="55">
        <f t="shared" si="90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1"/>
        <v>0</v>
      </c>
    </row>
    <row r="297" spans="1:65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1378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1956000</v>
      </c>
      <c r="AC297" s="55">
        <v>11</v>
      </c>
      <c r="AE297" s="55">
        <f t="shared" ca="1" si="84"/>
        <v>5270350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5270350</v>
      </c>
      <c r="AG297" s="176">
        <f t="shared" ca="1" si="92"/>
        <v>8415650</v>
      </c>
      <c r="AI297" s="11">
        <f t="shared" si="88"/>
        <v>2100</v>
      </c>
      <c r="AJ297" s="10">
        <v>2100</v>
      </c>
      <c r="AK297" s="11">
        <f t="shared" si="89"/>
        <v>350</v>
      </c>
      <c r="AL297" s="10">
        <v>350</v>
      </c>
      <c r="AM297" s="11">
        <v>310000</v>
      </c>
      <c r="AN297" s="10">
        <v>0</v>
      </c>
      <c r="AO297" s="55">
        <f t="shared" si="90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1"/>
        <v>0</v>
      </c>
    </row>
    <row r="298" spans="1:65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1378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1956000</v>
      </c>
      <c r="AC298" s="55">
        <v>11</v>
      </c>
      <c r="AE298" s="55">
        <f t="shared" ca="1" si="84"/>
        <v>8245450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8245450</v>
      </c>
      <c r="AG298" s="176">
        <f t="shared" ca="1" si="92"/>
        <v>13515800</v>
      </c>
      <c r="AI298" s="11">
        <f t="shared" si="88"/>
        <v>2400</v>
      </c>
      <c r="AJ298" s="10">
        <v>2400</v>
      </c>
      <c r="AK298" s="11">
        <f t="shared" si="89"/>
        <v>450</v>
      </c>
      <c r="AL298" s="10">
        <v>450</v>
      </c>
      <c r="AM298" s="11">
        <v>485000</v>
      </c>
      <c r="AN298" s="10">
        <v>0</v>
      </c>
      <c r="AO298" s="55">
        <f t="shared" si="90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1"/>
        <v>0</v>
      </c>
    </row>
    <row r="299" spans="1:65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1378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1956000</v>
      </c>
      <c r="AC299" s="55">
        <v>11</v>
      </c>
      <c r="AE299" s="55">
        <f t="shared" ca="1" si="84"/>
        <v>17850550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17850550</v>
      </c>
      <c r="AG299" s="176">
        <f t="shared" ca="1" si="92"/>
        <v>26096000</v>
      </c>
      <c r="AI299" s="11">
        <f t="shared" si="88"/>
        <v>2700</v>
      </c>
      <c r="AJ299" s="10">
        <v>2700</v>
      </c>
      <c r="AK299" s="11">
        <f t="shared" si="89"/>
        <v>550</v>
      </c>
      <c r="AL299" s="10">
        <v>550</v>
      </c>
      <c r="AM299" s="11">
        <v>1050000</v>
      </c>
      <c r="AN299" s="10">
        <v>0</v>
      </c>
      <c r="AO299" s="55">
        <f t="shared" si="90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1"/>
        <v>0</v>
      </c>
    </row>
    <row r="300" spans="1:65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1378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3961500</v>
      </c>
      <c r="AC300" s="55">
        <v>12</v>
      </c>
      <c r="AE300" s="55">
        <f t="shared" ca="1" si="84"/>
        <v>36550700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36550700</v>
      </c>
      <c r="AG300" s="176">
        <f t="shared" ca="1" si="92"/>
        <v>54401250</v>
      </c>
      <c r="AI300" s="11">
        <f t="shared" si="88"/>
        <v>3000</v>
      </c>
      <c r="AJ300" s="10">
        <v>3000</v>
      </c>
      <c r="AK300" s="11">
        <f t="shared" si="89"/>
        <v>700</v>
      </c>
      <c r="AL300" s="10">
        <v>700</v>
      </c>
      <c r="AM300" s="11">
        <v>2150000</v>
      </c>
      <c r="AN300" s="10">
        <v>0</v>
      </c>
      <c r="AO300" s="55">
        <f t="shared" si="90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1"/>
        <v>0</v>
      </c>
    </row>
    <row r="301" spans="1:65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1378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23283600</v>
      </c>
      <c r="AC301" s="55">
        <v>15</v>
      </c>
      <c r="AE301" s="55">
        <f t="shared" ca="1" si="84"/>
        <v>84000850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84000850</v>
      </c>
      <c r="AG301" s="176">
        <f t="shared" ca="1" si="92"/>
        <v>120551550</v>
      </c>
      <c r="AI301" s="11">
        <f t="shared" si="88"/>
        <v>3300</v>
      </c>
      <c r="AJ301" s="10">
        <v>3300</v>
      </c>
      <c r="AK301" s="11">
        <f t="shared" si="89"/>
        <v>850</v>
      </c>
      <c r="AL301" s="10">
        <v>850</v>
      </c>
      <c r="AM301" s="11">
        <v>4000000</v>
      </c>
      <c r="AN301" s="10">
        <v>0</v>
      </c>
      <c r="AO301" s="55">
        <f t="shared" si="90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1"/>
        <v>0</v>
      </c>
    </row>
    <row r="302" spans="1:65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1378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119976300</v>
      </c>
      <c r="AC302" s="55">
        <v>17</v>
      </c>
      <c r="AE302" s="55">
        <f t="shared" ref="AE302:AE304" ca="1" si="93">ROUND(AF302,0)</f>
        <v>136501050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136501050</v>
      </c>
      <c r="AG302" s="176">
        <f t="shared" ca="1" si="92"/>
        <v>220501900</v>
      </c>
      <c r="AI302" s="11">
        <f t="shared" si="88"/>
        <v>3600</v>
      </c>
      <c r="AJ302" s="10">
        <v>3600</v>
      </c>
      <c r="AK302" s="11">
        <f t="shared" si="89"/>
        <v>1050</v>
      </c>
      <c r="AL302" s="10">
        <v>1050</v>
      </c>
      <c r="AM302" s="11">
        <v>6500000</v>
      </c>
      <c r="AN302" s="10">
        <v>0</v>
      </c>
      <c r="AO302" s="55">
        <f t="shared" si="90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1"/>
        <v>0</v>
      </c>
    </row>
    <row r="303" spans="1:65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1378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223207650</v>
      </c>
      <c r="AC303" s="55">
        <v>18</v>
      </c>
      <c r="AE303" s="55">
        <f t="shared" ca="1" si="93"/>
        <v>210001250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210001250</v>
      </c>
      <c r="AG303" s="176">
        <f t="shared" ca="1" si="92"/>
        <v>346502300</v>
      </c>
      <c r="AI303" s="11">
        <f t="shared" si="88"/>
        <v>3900</v>
      </c>
      <c r="AJ303" s="10">
        <v>3900</v>
      </c>
      <c r="AK303" s="11">
        <f t="shared" si="89"/>
        <v>1250</v>
      </c>
      <c r="AL303" s="10">
        <v>1250</v>
      </c>
      <c r="AM303" s="11">
        <v>10000000</v>
      </c>
      <c r="AN303" s="10">
        <v>0</v>
      </c>
      <c r="AO303" s="55">
        <f t="shared" si="90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1"/>
        <v>0</v>
      </c>
    </row>
    <row r="304" spans="1:65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1378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682013750</v>
      </c>
      <c r="AC304" s="55">
        <v>20</v>
      </c>
      <c r="AE304" s="55">
        <f t="shared" ca="1" si="93"/>
        <v>336001500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336001500</v>
      </c>
      <c r="AG304" s="176">
        <f t="shared" ca="1" si="92"/>
        <v>546002750</v>
      </c>
      <c r="AI304" s="11">
        <f t="shared" si="88"/>
        <v>4200</v>
      </c>
      <c r="AJ304" s="10">
        <v>4200</v>
      </c>
      <c r="AK304" s="11">
        <f t="shared" si="89"/>
        <v>1500</v>
      </c>
      <c r="AL304" s="10">
        <v>1500</v>
      </c>
      <c r="AM304" s="11">
        <v>16000000</v>
      </c>
      <c r="AN304" s="10">
        <v>0</v>
      </c>
      <c r="AO304" s="55">
        <f t="shared" si="90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1"/>
        <v>0</v>
      </c>
    </row>
    <row r="305" spans="1:66" s="15" customFormat="1" x14ac:dyDescent="0.3">
      <c r="A305" s="21">
        <f t="shared" si="78"/>
        <v>111080001</v>
      </c>
      <c r="B305" s="20">
        <v>11</v>
      </c>
      <c r="C305" s="19">
        <f t="shared" si="79"/>
        <v>1</v>
      </c>
      <c r="D305" s="20">
        <v>8</v>
      </c>
      <c r="E305" s="20">
        <v>0</v>
      </c>
      <c r="F305" s="19">
        <f t="shared" si="80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4</v>
      </c>
      <c r="M305" s="16">
        <v>1</v>
      </c>
      <c r="N305" s="16">
        <v>15</v>
      </c>
      <c r="O305" s="16" t="s">
        <v>1114</v>
      </c>
      <c r="P305" s="56" t="s">
        <v>1379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108200</v>
      </c>
      <c r="AC305" s="56">
        <v>7</v>
      </c>
      <c r="AD305" s="76"/>
      <c r="AE305" s="56">
        <f t="shared" ca="1" si="84"/>
        <v>1405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1405</v>
      </c>
      <c r="AG305" s="178">
        <f ca="1">AE305</f>
        <v>1405</v>
      </c>
      <c r="AH305" s="76"/>
      <c r="AI305" s="18">
        <f t="shared" ref="AI305:AI364" si="94">ROUND(AJ305,0)</f>
        <v>3</v>
      </c>
      <c r="AJ305" s="17">
        <v>3</v>
      </c>
      <c r="AK305" s="18">
        <f t="shared" si="82"/>
        <v>5</v>
      </c>
      <c r="AL305" s="17">
        <v>5</v>
      </c>
      <c r="AM305" s="18">
        <f t="shared" si="82"/>
        <v>0</v>
      </c>
      <c r="AN305" s="17">
        <v>0</v>
      </c>
      <c r="AO305" s="56">
        <f t="shared" ref="AO305:AO365" si="95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50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78"/>
        <v>111080002</v>
      </c>
      <c r="B306" s="13">
        <v>11</v>
      </c>
      <c r="C306" s="12">
        <f t="shared" si="79"/>
        <v>1</v>
      </c>
      <c r="D306" s="13">
        <v>8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1379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240400</v>
      </c>
      <c r="AC306" s="55">
        <v>8</v>
      </c>
      <c r="AE306" s="55">
        <f t="shared" ca="1" si="84"/>
        <v>810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810</v>
      </c>
      <c r="AG306" s="176">
        <f ca="1">AE305+AE306</f>
        <v>2215</v>
      </c>
      <c r="AI306" s="11">
        <f t="shared" si="94"/>
        <v>5</v>
      </c>
      <c r="AJ306" s="10">
        <v>5</v>
      </c>
      <c r="AK306" s="11">
        <f t="shared" si="82"/>
        <v>10</v>
      </c>
      <c r="AL306" s="10">
        <v>10</v>
      </c>
      <c r="AM306" s="11">
        <f t="shared" si="82"/>
        <v>0</v>
      </c>
      <c r="AN306" s="10">
        <v>0</v>
      </c>
      <c r="AO306" s="55">
        <f t="shared" si="95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78"/>
        <v>111080003</v>
      </c>
      <c r="B307" s="13">
        <v>11</v>
      </c>
      <c r="C307" s="12">
        <f t="shared" si="79"/>
        <v>1</v>
      </c>
      <c r="D307" s="13">
        <v>8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1380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630500</v>
      </c>
      <c r="AC307" s="55">
        <v>9</v>
      </c>
      <c r="AE307" s="55">
        <f t="shared" ca="1" si="84"/>
        <v>1215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1215</v>
      </c>
      <c r="AG307" s="176">
        <f t="shared" ref="AG307:AG324" ca="1" si="96">AE306+AE307</f>
        <v>2025</v>
      </c>
      <c r="AI307" s="11">
        <f t="shared" si="94"/>
        <v>5</v>
      </c>
      <c r="AJ307" s="10">
        <v>5</v>
      </c>
      <c r="AK307" s="11">
        <f t="shared" si="82"/>
        <v>15</v>
      </c>
      <c r="AL307" s="10">
        <v>15</v>
      </c>
      <c r="AM307" s="11">
        <f t="shared" si="82"/>
        <v>0</v>
      </c>
      <c r="AN307" s="10">
        <v>0</v>
      </c>
      <c r="AO307" s="55">
        <f t="shared" si="95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150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78"/>
        <v>111080004</v>
      </c>
      <c r="B308" s="13">
        <v>11</v>
      </c>
      <c r="C308" s="12">
        <f t="shared" si="79"/>
        <v>1</v>
      </c>
      <c r="D308" s="13">
        <v>8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1380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630500</v>
      </c>
      <c r="AC308" s="55">
        <v>9</v>
      </c>
      <c r="AE308" s="55">
        <f t="shared" ca="1" si="84"/>
        <v>4825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4825</v>
      </c>
      <c r="AG308" s="176">
        <f t="shared" ca="1" si="96"/>
        <v>6040</v>
      </c>
      <c r="AI308" s="11">
        <f t="shared" si="94"/>
        <v>15</v>
      </c>
      <c r="AJ308" s="10">
        <v>15</v>
      </c>
      <c r="AK308" s="11">
        <f t="shared" si="82"/>
        <v>25</v>
      </c>
      <c r="AL308" s="10">
        <v>25</v>
      </c>
      <c r="AM308" s="11">
        <f t="shared" si="82"/>
        <v>0</v>
      </c>
      <c r="AN308" s="10">
        <v>0</v>
      </c>
      <c r="AO308" s="55">
        <f t="shared" si="95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600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78"/>
        <v>111080005</v>
      </c>
      <c r="B309" s="13">
        <v>11</v>
      </c>
      <c r="C309" s="12">
        <f t="shared" si="79"/>
        <v>1</v>
      </c>
      <c r="D309" s="13">
        <v>8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1381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1170750</v>
      </c>
      <c r="AC309" s="55">
        <v>10</v>
      </c>
      <c r="AE309" s="55">
        <f t="shared" ca="1" si="84"/>
        <v>21640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21640</v>
      </c>
      <c r="AG309" s="176">
        <f t="shared" ca="1" si="96"/>
        <v>26465</v>
      </c>
      <c r="AI309" s="11">
        <f t="shared" si="94"/>
        <v>20</v>
      </c>
      <c r="AJ309" s="10">
        <v>20</v>
      </c>
      <c r="AK309" s="11">
        <f t="shared" si="82"/>
        <v>40</v>
      </c>
      <c r="AL309" s="10">
        <v>40</v>
      </c>
      <c r="AM309" s="11">
        <f t="shared" si="82"/>
        <v>0</v>
      </c>
      <c r="AN309" s="10">
        <v>0</v>
      </c>
      <c r="AO309" s="55">
        <f t="shared" si="95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2700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78"/>
        <v>111080006</v>
      </c>
      <c r="B310" s="13">
        <v>11</v>
      </c>
      <c r="C310" s="12">
        <f t="shared" si="79"/>
        <v>1</v>
      </c>
      <c r="D310" s="13">
        <v>8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1381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1170750</v>
      </c>
      <c r="AC310" s="55">
        <v>10</v>
      </c>
      <c r="AE310" s="55">
        <f t="shared" ca="1" si="84"/>
        <v>72050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72050</v>
      </c>
      <c r="AG310" s="176">
        <f t="shared" ca="1" si="96"/>
        <v>93690</v>
      </c>
      <c r="AI310" s="11">
        <f t="shared" si="94"/>
        <v>30</v>
      </c>
      <c r="AJ310" s="10">
        <v>30</v>
      </c>
      <c r="AK310" s="11">
        <f t="shared" si="82"/>
        <v>50</v>
      </c>
      <c r="AL310" s="10">
        <v>50</v>
      </c>
      <c r="AM310" s="11">
        <f t="shared" si="82"/>
        <v>0</v>
      </c>
      <c r="AN310" s="10">
        <v>0</v>
      </c>
      <c r="AO310" s="55">
        <f t="shared" si="95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9000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78"/>
        <v>111080007</v>
      </c>
      <c r="B311" s="13">
        <v>11</v>
      </c>
      <c r="C311" s="12">
        <f t="shared" si="79"/>
        <v>1</v>
      </c>
      <c r="D311" s="13">
        <v>8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1382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1956000</v>
      </c>
      <c r="AC311" s="55">
        <v>11</v>
      </c>
      <c r="AE311" s="55">
        <f t="shared" ca="1" si="84"/>
        <v>160100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160100</v>
      </c>
      <c r="AG311" s="176">
        <f t="shared" ca="1" si="96"/>
        <v>232150</v>
      </c>
      <c r="AI311" s="11">
        <f t="shared" si="94"/>
        <v>300</v>
      </c>
      <c r="AJ311" s="10">
        <v>300</v>
      </c>
      <c r="AK311" s="11">
        <f t="shared" si="82"/>
        <v>100</v>
      </c>
      <c r="AL311" s="10">
        <v>100</v>
      </c>
      <c r="AM311" s="11">
        <f t="shared" si="82"/>
        <v>0</v>
      </c>
      <c r="AN311" s="10">
        <v>0</v>
      </c>
      <c r="AO311" s="55">
        <f t="shared" si="95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20000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78"/>
        <v>111080008</v>
      </c>
      <c r="B312" s="13">
        <v>11</v>
      </c>
      <c r="C312" s="12">
        <f t="shared" si="79"/>
        <v>1</v>
      </c>
      <c r="D312" s="13">
        <v>8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1382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3961500</v>
      </c>
      <c r="AC312" s="55">
        <v>12</v>
      </c>
      <c r="AE312" s="55">
        <f t="shared" ca="1" si="84"/>
        <v>336100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336100</v>
      </c>
      <c r="AG312" s="176">
        <f t="shared" ca="1" si="96"/>
        <v>496200</v>
      </c>
      <c r="AI312" s="11">
        <f t="shared" si="94"/>
        <v>600</v>
      </c>
      <c r="AJ312" s="10">
        <v>600</v>
      </c>
      <c r="AK312" s="11">
        <f t="shared" si="82"/>
        <v>100</v>
      </c>
      <c r="AL312" s="10">
        <v>100</v>
      </c>
      <c r="AM312" s="11">
        <f t="shared" si="82"/>
        <v>0</v>
      </c>
      <c r="AN312" s="10">
        <v>0</v>
      </c>
      <c r="AO312" s="55">
        <f t="shared" si="95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42000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78"/>
        <v>111080009</v>
      </c>
      <c r="B313" s="13">
        <v>11</v>
      </c>
      <c r="C313" s="12">
        <f t="shared" si="79"/>
        <v>1</v>
      </c>
      <c r="D313" s="13">
        <v>8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1433</v>
      </c>
      <c r="P313" s="55" t="s">
        <v>1435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7772100</v>
      </c>
      <c r="AC313" s="55">
        <v>13</v>
      </c>
      <c r="AE313" s="55">
        <f t="shared" ca="1" si="84"/>
        <v>624150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624150</v>
      </c>
      <c r="AG313" s="176">
        <f t="shared" ca="1" si="96"/>
        <v>960250</v>
      </c>
      <c r="AI313" s="11">
        <f t="shared" si="94"/>
        <v>900</v>
      </c>
      <c r="AJ313" s="10">
        <v>900</v>
      </c>
      <c r="AK313" s="11">
        <f t="shared" si="82"/>
        <v>150</v>
      </c>
      <c r="AL313" s="10">
        <v>150</v>
      </c>
      <c r="AM313" s="11">
        <f t="shared" si="82"/>
        <v>0</v>
      </c>
      <c r="AN313" s="10">
        <v>0</v>
      </c>
      <c r="AO313" s="55">
        <f t="shared" si="95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78000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78"/>
        <v>111080010</v>
      </c>
      <c r="B314" s="13">
        <v>11</v>
      </c>
      <c r="C314" s="12">
        <f t="shared" si="79"/>
        <v>1</v>
      </c>
      <c r="D314" s="13">
        <v>8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1433</v>
      </c>
      <c r="P314" s="55" t="s">
        <v>1435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7772100</v>
      </c>
      <c r="AC314" s="55">
        <v>13</v>
      </c>
      <c r="AE314" s="55">
        <f t="shared" ca="1" si="84"/>
        <v>1040200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1040200</v>
      </c>
      <c r="AG314" s="176">
        <f t="shared" ca="1" si="96"/>
        <v>1664350</v>
      </c>
      <c r="AI314" s="11">
        <f t="shared" si="94"/>
        <v>1200</v>
      </c>
      <c r="AJ314" s="10">
        <v>1200</v>
      </c>
      <c r="AK314" s="11">
        <f t="shared" si="82"/>
        <v>200</v>
      </c>
      <c r="AL314" s="10">
        <v>200</v>
      </c>
      <c r="AM314" s="11">
        <f t="shared" si="82"/>
        <v>0</v>
      </c>
      <c r="AN314" s="10">
        <v>0</v>
      </c>
      <c r="AO314" s="55">
        <f t="shared" si="95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130000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78"/>
        <v>111080011</v>
      </c>
      <c r="B315" s="13">
        <v>11</v>
      </c>
      <c r="C315" s="12">
        <f t="shared" si="79"/>
        <v>1</v>
      </c>
      <c r="D315" s="13">
        <v>8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1432</v>
      </c>
      <c r="P315" s="55" t="s">
        <v>1434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13022450</v>
      </c>
      <c r="AC315" s="55">
        <v>14</v>
      </c>
      <c r="AE315" s="55">
        <f t="shared" ca="1" si="84"/>
        <v>1760750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1760750</v>
      </c>
      <c r="AG315" s="176">
        <f t="shared" ca="1" si="96"/>
        <v>2800950</v>
      </c>
      <c r="AI315" s="11">
        <f t="shared" si="94"/>
        <v>1500</v>
      </c>
      <c r="AJ315" s="10">
        <v>1500</v>
      </c>
      <c r="AK315" s="11">
        <f t="shared" si="82"/>
        <v>250</v>
      </c>
      <c r="AL315" s="10">
        <v>250</v>
      </c>
      <c r="AM315" s="11">
        <v>500</v>
      </c>
      <c r="AN315" s="10">
        <v>0</v>
      </c>
      <c r="AO315" s="55">
        <f t="shared" si="95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220000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78"/>
        <v>111080012</v>
      </c>
      <c r="B316" s="13">
        <v>11</v>
      </c>
      <c r="C316" s="12">
        <f t="shared" si="79"/>
        <v>1</v>
      </c>
      <c r="D316" s="13">
        <v>8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1432</v>
      </c>
      <c r="P316" s="55" t="s">
        <v>1434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23283600</v>
      </c>
      <c r="AC316" s="55">
        <v>15</v>
      </c>
      <c r="AE316" s="55">
        <f t="shared" ca="1" si="84"/>
        <v>2966300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2966300</v>
      </c>
      <c r="AG316" s="176">
        <f t="shared" ca="1" si="96"/>
        <v>4727050</v>
      </c>
      <c r="AI316" s="11">
        <f t="shared" si="94"/>
        <v>1800</v>
      </c>
      <c r="AJ316" s="10">
        <v>1800</v>
      </c>
      <c r="AK316" s="11">
        <f t="shared" si="82"/>
        <v>300</v>
      </c>
      <c r="AL316" s="10">
        <v>300</v>
      </c>
      <c r="AM316" s="11">
        <v>6000</v>
      </c>
      <c r="AN316" s="10">
        <v>0</v>
      </c>
      <c r="AO316" s="55">
        <f t="shared" si="95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370000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78"/>
        <v>111080013</v>
      </c>
      <c r="B317" s="13">
        <v>11</v>
      </c>
      <c r="C317" s="12">
        <f t="shared" si="79"/>
        <v>1</v>
      </c>
      <c r="D317" s="13">
        <v>8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1432</v>
      </c>
      <c r="P317" s="55" t="s">
        <v>1434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50404400</v>
      </c>
      <c r="AC317" s="55">
        <v>16</v>
      </c>
      <c r="AE317" s="55">
        <f t="shared" ca="1" si="84"/>
        <v>4999350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4999350</v>
      </c>
      <c r="AG317" s="176">
        <f t="shared" ca="1" si="96"/>
        <v>7965650</v>
      </c>
      <c r="AI317" s="11">
        <f t="shared" si="94"/>
        <v>2100</v>
      </c>
      <c r="AJ317" s="10">
        <v>2100</v>
      </c>
      <c r="AK317" s="11">
        <f t="shared" si="82"/>
        <v>350</v>
      </c>
      <c r="AL317" s="10">
        <v>350</v>
      </c>
      <c r="AM317" s="11">
        <v>39000</v>
      </c>
      <c r="AN317" s="10">
        <v>0</v>
      </c>
      <c r="AO317" s="55">
        <f t="shared" si="95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620000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78"/>
        <v>111080014</v>
      </c>
      <c r="B318" s="13">
        <v>11</v>
      </c>
      <c r="C318" s="12">
        <f t="shared" si="79"/>
        <v>1</v>
      </c>
      <c r="D318" s="13">
        <v>8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1432</v>
      </c>
      <c r="P318" s="55" t="s">
        <v>1434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119976300</v>
      </c>
      <c r="AC318" s="55">
        <v>17</v>
      </c>
      <c r="AE318" s="55">
        <f t="shared" ca="1" si="84"/>
        <v>8071450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8071450</v>
      </c>
      <c r="AG318" s="176">
        <f t="shared" ca="1" si="96"/>
        <v>13070800</v>
      </c>
      <c r="AI318" s="11">
        <f t="shared" si="94"/>
        <v>2400</v>
      </c>
      <c r="AJ318" s="10">
        <v>2400</v>
      </c>
      <c r="AK318" s="11">
        <f t="shared" si="82"/>
        <v>450</v>
      </c>
      <c r="AL318" s="10">
        <v>450</v>
      </c>
      <c r="AM318" s="11">
        <v>310000</v>
      </c>
      <c r="AN318" s="10">
        <v>0</v>
      </c>
      <c r="AO318" s="55">
        <f t="shared" si="95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970000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78"/>
        <v>111080015</v>
      </c>
      <c r="B319" s="13">
        <v>11</v>
      </c>
      <c r="C319" s="12">
        <f t="shared" si="79"/>
        <v>1</v>
      </c>
      <c r="D319" s="13">
        <v>8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1432</v>
      </c>
      <c r="P319" s="55" t="s">
        <v>1434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223207650</v>
      </c>
      <c r="AC319" s="55">
        <v>18</v>
      </c>
      <c r="AE319" s="55">
        <f t="shared" ca="1" si="84"/>
        <v>17285550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17285550</v>
      </c>
      <c r="AG319" s="176">
        <f t="shared" ca="1" si="96"/>
        <v>25357000</v>
      </c>
      <c r="AI319" s="11">
        <f t="shared" si="94"/>
        <v>2700</v>
      </c>
      <c r="AJ319" s="10">
        <v>2700</v>
      </c>
      <c r="AK319" s="11">
        <f t="shared" si="82"/>
        <v>550</v>
      </c>
      <c r="AL319" s="10">
        <v>550</v>
      </c>
      <c r="AM319" s="11">
        <v>485000</v>
      </c>
      <c r="AN319" s="10">
        <v>0</v>
      </c>
      <c r="AO319" s="55">
        <f t="shared" si="95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2100000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78"/>
        <v>111080016</v>
      </c>
      <c r="B320" s="13">
        <v>11</v>
      </c>
      <c r="C320" s="12">
        <f t="shared" si="79"/>
        <v>1</v>
      </c>
      <c r="D320" s="13">
        <v>8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1432</v>
      </c>
      <c r="P320" s="55" t="s">
        <v>1434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223207650</v>
      </c>
      <c r="AC320" s="55">
        <v>18</v>
      </c>
      <c r="AE320" s="55">
        <f t="shared" ca="1" si="84"/>
        <v>35450700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35450700</v>
      </c>
      <c r="AG320" s="176">
        <f t="shared" ca="1" si="96"/>
        <v>52736250</v>
      </c>
      <c r="AI320" s="11">
        <f t="shared" si="94"/>
        <v>3000</v>
      </c>
      <c r="AJ320" s="10">
        <v>3000</v>
      </c>
      <c r="AK320" s="11">
        <f t="shared" si="82"/>
        <v>700</v>
      </c>
      <c r="AL320" s="10">
        <v>700</v>
      </c>
      <c r="AM320" s="11">
        <v>1050000</v>
      </c>
      <c r="AN320" s="10">
        <v>0</v>
      </c>
      <c r="AO320" s="55">
        <f t="shared" si="95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4300000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97">B321*10000000+C321*1000000+D321*10000+E321*100+F321</f>
        <v>111080017</v>
      </c>
      <c r="B321" s="13">
        <v>11</v>
      </c>
      <c r="C321" s="12">
        <f t="shared" ref="C321:C384" si="98">H321</f>
        <v>1</v>
      </c>
      <c r="D321" s="13">
        <v>8</v>
      </c>
      <c r="E321" s="13">
        <v>0</v>
      </c>
      <c r="F321" s="12">
        <f t="shared" ref="F321:F384" si="99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1432</v>
      </c>
      <c r="P321" s="55" t="s">
        <v>1434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223207650</v>
      </c>
      <c r="AC321" s="55">
        <v>18</v>
      </c>
      <c r="AE321" s="55">
        <f t="shared" ca="1" si="84"/>
        <v>66150850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66150850</v>
      </c>
      <c r="AG321" s="176">
        <f t="shared" ca="1" si="96"/>
        <v>101601550</v>
      </c>
      <c r="AI321" s="11">
        <f t="shared" si="94"/>
        <v>3300</v>
      </c>
      <c r="AJ321" s="10">
        <v>3300</v>
      </c>
      <c r="AK321" s="11">
        <f t="shared" si="82"/>
        <v>850</v>
      </c>
      <c r="AL321" s="10">
        <v>850</v>
      </c>
      <c r="AM321" s="11">
        <v>2150000</v>
      </c>
      <c r="AN321" s="10">
        <v>0</v>
      </c>
      <c r="AO321" s="55">
        <f t="shared" si="95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8000000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97"/>
        <v>111080018</v>
      </c>
      <c r="B322" s="13">
        <v>11</v>
      </c>
      <c r="C322" s="12">
        <f t="shared" si="98"/>
        <v>1</v>
      </c>
      <c r="D322" s="13">
        <v>8</v>
      </c>
      <c r="E322" s="13">
        <v>0</v>
      </c>
      <c r="F322" s="12">
        <f t="shared" si="99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1432</v>
      </c>
      <c r="P322" s="55" t="s">
        <v>1434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223207650</v>
      </c>
      <c r="AC322" s="55">
        <v>18</v>
      </c>
      <c r="AE322" s="55">
        <f t="shared" ca="1" si="84"/>
        <v>108001050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108001050</v>
      </c>
      <c r="AG322" s="176">
        <f t="shared" ca="1" si="96"/>
        <v>174151900</v>
      </c>
      <c r="AI322" s="11">
        <f t="shared" si="94"/>
        <v>3600</v>
      </c>
      <c r="AJ322" s="10">
        <v>3600</v>
      </c>
      <c r="AK322" s="11">
        <f t="shared" ref="AK322:AM384" si="100">ROUND(AL322,0)</f>
        <v>1050</v>
      </c>
      <c r="AL322" s="10">
        <v>1050</v>
      </c>
      <c r="AM322" s="11">
        <v>4000000</v>
      </c>
      <c r="AN322" s="10">
        <v>0</v>
      </c>
      <c r="AO322" s="55">
        <f t="shared" si="95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13000000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97"/>
        <v>111080019</v>
      </c>
      <c r="B323" s="13">
        <v>11</v>
      </c>
      <c r="C323" s="12">
        <f t="shared" si="98"/>
        <v>1</v>
      </c>
      <c r="D323" s="13">
        <v>8</v>
      </c>
      <c r="E323" s="13">
        <v>0</v>
      </c>
      <c r="F323" s="12">
        <f t="shared" si="99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1432</v>
      </c>
      <c r="P323" s="55" t="s">
        <v>1434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223207650</v>
      </c>
      <c r="AC323" s="55">
        <v>18</v>
      </c>
      <c r="AE323" s="55">
        <f t="shared" ca="1" si="84"/>
        <v>206501250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206501250</v>
      </c>
      <c r="AG323" s="176">
        <f t="shared" ca="1" si="96"/>
        <v>314502300</v>
      </c>
      <c r="AI323" s="11">
        <f t="shared" si="94"/>
        <v>3900</v>
      </c>
      <c r="AJ323" s="10">
        <v>3900</v>
      </c>
      <c r="AK323" s="11">
        <f t="shared" si="100"/>
        <v>1250</v>
      </c>
      <c r="AL323" s="10">
        <v>1250</v>
      </c>
      <c r="AM323" s="11">
        <v>6500000</v>
      </c>
      <c r="AN323" s="10">
        <v>0</v>
      </c>
      <c r="AO323" s="55">
        <f t="shared" si="95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20000000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97"/>
        <v>111080020</v>
      </c>
      <c r="B324" s="13">
        <v>11</v>
      </c>
      <c r="C324" s="12">
        <f t="shared" si="98"/>
        <v>1</v>
      </c>
      <c r="D324" s="13">
        <v>8</v>
      </c>
      <c r="E324" s="13">
        <v>0</v>
      </c>
      <c r="F324" s="12">
        <f t="shared" si="99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1432</v>
      </c>
      <c r="P324" s="55" t="s">
        <v>1434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223207650</v>
      </c>
      <c r="AC324" s="55">
        <v>18</v>
      </c>
      <c r="AE324" s="55">
        <f t="shared" ca="1" si="84"/>
        <v>330001500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330001500</v>
      </c>
      <c r="AG324" s="176">
        <f t="shared" ca="1" si="96"/>
        <v>536502750</v>
      </c>
      <c r="AI324" s="11">
        <f t="shared" si="94"/>
        <v>4200</v>
      </c>
      <c r="AJ324" s="10">
        <v>4200</v>
      </c>
      <c r="AK324" s="11">
        <f t="shared" si="100"/>
        <v>1500</v>
      </c>
      <c r="AL324" s="10">
        <v>1500</v>
      </c>
      <c r="AM324" s="11">
        <v>10000000</v>
      </c>
      <c r="AN324" s="10">
        <v>0</v>
      </c>
      <c r="AO324" s="55">
        <f t="shared" si="95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32000000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97"/>
        <v>112040001</v>
      </c>
      <c r="B325" s="20">
        <v>11</v>
      </c>
      <c r="C325" s="19">
        <f t="shared" si="98"/>
        <v>2</v>
      </c>
      <c r="D325" s="20">
        <v>4</v>
      </c>
      <c r="E325" s="20">
        <v>0</v>
      </c>
      <c r="F325" s="19">
        <f t="shared" si="99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10</v>
      </c>
      <c r="M325" s="16">
        <v>1</v>
      </c>
      <c r="N325" s="16">
        <v>15</v>
      </c>
      <c r="O325" s="16" t="s">
        <v>741</v>
      </c>
      <c r="P325" s="56" t="s">
        <v>1383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1956000</v>
      </c>
      <c r="AC325" s="56">
        <v>11</v>
      </c>
      <c r="AD325" s="76"/>
      <c r="AE325" s="56">
        <f t="shared" ca="1" si="84"/>
        <v>1275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1275</v>
      </c>
      <c r="AG325" s="178">
        <f ca="1">AE325</f>
        <v>1275</v>
      </c>
      <c r="AH325" s="76"/>
      <c r="AI325" s="18">
        <f t="shared" si="94"/>
        <v>3</v>
      </c>
      <c r="AJ325" s="17">
        <v>3</v>
      </c>
      <c r="AK325" s="18">
        <f t="shared" si="100"/>
        <v>5</v>
      </c>
      <c r="AL325" s="17">
        <v>5</v>
      </c>
      <c r="AM325" s="18">
        <v>50</v>
      </c>
      <c r="AN325" s="17">
        <v>0</v>
      </c>
      <c r="AO325" s="56">
        <f t="shared" si="95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20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97"/>
        <v>112040002</v>
      </c>
      <c r="B326" s="13">
        <v>11</v>
      </c>
      <c r="C326" s="12">
        <f t="shared" si="98"/>
        <v>2</v>
      </c>
      <c r="D326" s="13">
        <v>4</v>
      </c>
      <c r="E326" s="13">
        <v>0</v>
      </c>
      <c r="F326" s="12">
        <f t="shared" si="99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1383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1956000</v>
      </c>
      <c r="AC326" s="55">
        <v>11</v>
      </c>
      <c r="AE326" s="55">
        <f t="shared" ca="1" si="84"/>
        <v>550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550</v>
      </c>
      <c r="AG326" s="176">
        <f ca="1">AE325+AE326</f>
        <v>1825</v>
      </c>
      <c r="AI326" s="11">
        <f t="shared" si="94"/>
        <v>5</v>
      </c>
      <c r="AJ326" s="10">
        <v>5</v>
      </c>
      <c r="AK326" s="11">
        <f t="shared" si="100"/>
        <v>10</v>
      </c>
      <c r="AL326" s="10">
        <v>10</v>
      </c>
      <c r="AM326" s="11">
        <v>100</v>
      </c>
      <c r="AN326" s="10">
        <v>0</v>
      </c>
      <c r="AO326" s="55">
        <f t="shared" si="95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40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97"/>
        <v>112040003</v>
      </c>
      <c r="B327" s="13">
        <v>11</v>
      </c>
      <c r="C327" s="12">
        <f t="shared" si="98"/>
        <v>2</v>
      </c>
      <c r="D327" s="13">
        <v>4</v>
      </c>
      <c r="E327" s="13">
        <v>0</v>
      </c>
      <c r="F327" s="12">
        <f t="shared" si="99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1383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3961500</v>
      </c>
      <c r="AC327" s="55">
        <v>12</v>
      </c>
      <c r="AE327" s="55">
        <f t="shared" ca="1" si="84"/>
        <v>825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825</v>
      </c>
      <c r="AG327" s="176">
        <f t="shared" ref="AG327:AG344" ca="1" si="101">AE326+AE327</f>
        <v>1375</v>
      </c>
      <c r="AI327" s="11">
        <f t="shared" si="94"/>
        <v>5</v>
      </c>
      <c r="AJ327" s="10">
        <v>5</v>
      </c>
      <c r="AK327" s="11">
        <f t="shared" si="100"/>
        <v>15</v>
      </c>
      <c r="AL327" s="10">
        <v>15</v>
      </c>
      <c r="AM327" s="11">
        <v>150</v>
      </c>
      <c r="AN327" s="10">
        <v>0</v>
      </c>
      <c r="AO327" s="55">
        <f t="shared" si="95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60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97"/>
        <v>112040004</v>
      </c>
      <c r="B328" s="13">
        <v>11</v>
      </c>
      <c r="C328" s="12">
        <f t="shared" si="98"/>
        <v>2</v>
      </c>
      <c r="D328" s="13">
        <v>4</v>
      </c>
      <c r="E328" s="13">
        <v>0</v>
      </c>
      <c r="F328" s="12">
        <f t="shared" si="99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1383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7772100</v>
      </c>
      <c r="AC328" s="55">
        <v>13</v>
      </c>
      <c r="AE328" s="55">
        <f t="shared" ca="1" si="84"/>
        <v>3265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3265</v>
      </c>
      <c r="AG328" s="176">
        <f t="shared" ca="1" si="101"/>
        <v>4090</v>
      </c>
      <c r="AI328" s="11">
        <f t="shared" si="94"/>
        <v>15</v>
      </c>
      <c r="AJ328" s="10">
        <v>15</v>
      </c>
      <c r="AK328" s="11">
        <f t="shared" si="100"/>
        <v>25</v>
      </c>
      <c r="AL328" s="10">
        <v>25</v>
      </c>
      <c r="AM328" s="11">
        <v>600</v>
      </c>
      <c r="AN328" s="10">
        <v>0</v>
      </c>
      <c r="AO328" s="55">
        <f t="shared" si="95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240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97"/>
        <v>112040005</v>
      </c>
      <c r="B329" s="13">
        <v>11</v>
      </c>
      <c r="C329" s="12">
        <f t="shared" si="98"/>
        <v>2</v>
      </c>
      <c r="D329" s="13">
        <v>4</v>
      </c>
      <c r="E329" s="13">
        <v>0</v>
      </c>
      <c r="F329" s="12">
        <f t="shared" si="99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1383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7772100</v>
      </c>
      <c r="AC329" s="55">
        <v>13</v>
      </c>
      <c r="AE329" s="55">
        <f t="shared" ca="1" si="84"/>
        <v>14620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14620</v>
      </c>
      <c r="AG329" s="176">
        <f t="shared" ca="1" si="101"/>
        <v>17885</v>
      </c>
      <c r="AI329" s="11">
        <f t="shared" si="94"/>
        <v>20</v>
      </c>
      <c r="AJ329" s="10">
        <v>20</v>
      </c>
      <c r="AK329" s="11">
        <f t="shared" si="100"/>
        <v>40</v>
      </c>
      <c r="AL329" s="10">
        <v>40</v>
      </c>
      <c r="AM329" s="11">
        <v>2700</v>
      </c>
      <c r="AN329" s="10">
        <v>0</v>
      </c>
      <c r="AO329" s="55">
        <f t="shared" si="95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1080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97"/>
        <v>112040006</v>
      </c>
      <c r="B330" s="13">
        <v>11</v>
      </c>
      <c r="C330" s="12">
        <f t="shared" si="98"/>
        <v>2</v>
      </c>
      <c r="D330" s="13">
        <v>4</v>
      </c>
      <c r="E330" s="13">
        <v>0</v>
      </c>
      <c r="F330" s="12">
        <f t="shared" si="99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1383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50404400</v>
      </c>
      <c r="AC330" s="55">
        <v>16</v>
      </c>
      <c r="AE330" s="55">
        <f t="shared" ca="1" si="84"/>
        <v>48650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48650</v>
      </c>
      <c r="AG330" s="176">
        <f t="shared" ca="1" si="101"/>
        <v>63270</v>
      </c>
      <c r="AI330" s="11">
        <f t="shared" si="94"/>
        <v>30</v>
      </c>
      <c r="AJ330" s="10">
        <v>30</v>
      </c>
      <c r="AK330" s="11">
        <f t="shared" si="100"/>
        <v>50</v>
      </c>
      <c r="AL330" s="10">
        <v>50</v>
      </c>
      <c r="AM330" s="11">
        <v>9000</v>
      </c>
      <c r="AN330" s="10">
        <v>0</v>
      </c>
      <c r="AO330" s="55">
        <f t="shared" si="95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3600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97"/>
        <v>112040007</v>
      </c>
      <c r="B331" s="13">
        <v>11</v>
      </c>
      <c r="C331" s="12">
        <f t="shared" si="98"/>
        <v>2</v>
      </c>
      <c r="D331" s="13">
        <v>4</v>
      </c>
      <c r="E331" s="13">
        <v>0</v>
      </c>
      <c r="F331" s="12">
        <f t="shared" si="99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1383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50404400</v>
      </c>
      <c r="AC331" s="55">
        <v>16</v>
      </c>
      <c r="AE331" s="55">
        <f t="shared" ca="1" si="84"/>
        <v>108100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108100</v>
      </c>
      <c r="AG331" s="176">
        <f t="shared" ca="1" si="101"/>
        <v>156750</v>
      </c>
      <c r="AI331" s="11">
        <f t="shared" si="94"/>
        <v>300</v>
      </c>
      <c r="AJ331" s="10">
        <v>300</v>
      </c>
      <c r="AK331" s="11">
        <f t="shared" si="100"/>
        <v>100</v>
      </c>
      <c r="AL331" s="10">
        <v>100</v>
      </c>
      <c r="AM331" s="11">
        <v>20000</v>
      </c>
      <c r="AN331" s="10">
        <v>0</v>
      </c>
      <c r="AO331" s="55">
        <f t="shared" si="95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8000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97"/>
        <v>112040008</v>
      </c>
      <c r="B332" s="13">
        <v>11</v>
      </c>
      <c r="C332" s="12">
        <f t="shared" si="98"/>
        <v>2</v>
      </c>
      <c r="D332" s="13">
        <v>4</v>
      </c>
      <c r="E332" s="13">
        <v>0</v>
      </c>
      <c r="F332" s="12">
        <f t="shared" si="99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1383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50404400</v>
      </c>
      <c r="AC332" s="55">
        <v>16</v>
      </c>
      <c r="AE332" s="55">
        <f t="shared" ca="1" si="84"/>
        <v>231900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231900</v>
      </c>
      <c r="AG332" s="176">
        <f t="shared" ca="1" si="101"/>
        <v>340000</v>
      </c>
      <c r="AI332" s="11">
        <f t="shared" si="94"/>
        <v>600</v>
      </c>
      <c r="AJ332" s="10">
        <v>600</v>
      </c>
      <c r="AK332" s="11">
        <f t="shared" si="100"/>
        <v>100</v>
      </c>
      <c r="AL332" s="10">
        <v>100</v>
      </c>
      <c r="AM332" s="11">
        <v>42000</v>
      </c>
      <c r="AN332" s="10">
        <v>0</v>
      </c>
      <c r="AO332" s="55">
        <f t="shared" si="95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16800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97"/>
        <v>112040009</v>
      </c>
      <c r="B333" s="13">
        <v>11</v>
      </c>
      <c r="C333" s="12">
        <f t="shared" si="98"/>
        <v>2</v>
      </c>
      <c r="D333" s="13">
        <v>4</v>
      </c>
      <c r="E333" s="13">
        <v>0</v>
      </c>
      <c r="F333" s="12">
        <f t="shared" si="99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1383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50404400</v>
      </c>
      <c r="AC333" s="55">
        <v>16</v>
      </c>
      <c r="AE333" s="55">
        <f t="shared" ca="1" si="84"/>
        <v>440070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440070</v>
      </c>
      <c r="AG333" s="176">
        <f t="shared" ca="1" si="101"/>
        <v>671970</v>
      </c>
      <c r="AI333" s="11">
        <f t="shared" si="94"/>
        <v>900</v>
      </c>
      <c r="AJ333" s="10">
        <v>900</v>
      </c>
      <c r="AK333" s="11">
        <f t="shared" si="100"/>
        <v>150</v>
      </c>
      <c r="AL333" s="10">
        <v>150</v>
      </c>
      <c r="AM333" s="11">
        <v>78000</v>
      </c>
      <c r="AN333" s="10">
        <v>0</v>
      </c>
      <c r="AO333" s="55">
        <f t="shared" si="95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31200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97"/>
        <v>112040010</v>
      </c>
      <c r="B334" s="13">
        <v>11</v>
      </c>
      <c r="C334" s="12">
        <f t="shared" si="98"/>
        <v>2</v>
      </c>
      <c r="D334" s="13">
        <v>4</v>
      </c>
      <c r="E334" s="13">
        <v>0</v>
      </c>
      <c r="F334" s="12">
        <f t="shared" si="99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1383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50404400</v>
      </c>
      <c r="AC334" s="55">
        <v>16</v>
      </c>
      <c r="AE334" s="55">
        <f t="shared" ca="1" si="84"/>
        <v>733400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733400</v>
      </c>
      <c r="AG334" s="176">
        <f t="shared" ca="1" si="101"/>
        <v>1173470</v>
      </c>
      <c r="AI334" s="11">
        <f t="shared" si="94"/>
        <v>1200</v>
      </c>
      <c r="AJ334" s="10">
        <v>1200</v>
      </c>
      <c r="AK334" s="11">
        <f t="shared" si="100"/>
        <v>200</v>
      </c>
      <c r="AL334" s="10">
        <v>200</v>
      </c>
      <c r="AM334" s="11">
        <v>130000</v>
      </c>
      <c r="AN334" s="10">
        <v>0</v>
      </c>
      <c r="AO334" s="55">
        <f t="shared" si="95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52000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97"/>
        <v>112040011</v>
      </c>
      <c r="B335" s="13">
        <v>11</v>
      </c>
      <c r="C335" s="12">
        <f t="shared" si="98"/>
        <v>2</v>
      </c>
      <c r="D335" s="13">
        <v>4</v>
      </c>
      <c r="E335" s="13">
        <v>0</v>
      </c>
      <c r="F335" s="12">
        <f t="shared" si="99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1383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50404400</v>
      </c>
      <c r="AC335" s="55">
        <v>16</v>
      </c>
      <c r="AE335" s="55">
        <f t="shared" ca="1" si="84"/>
        <v>1241050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1241050</v>
      </c>
      <c r="AG335" s="176">
        <f t="shared" ca="1" si="101"/>
        <v>1974450</v>
      </c>
      <c r="AI335" s="11">
        <f t="shared" si="94"/>
        <v>1500</v>
      </c>
      <c r="AJ335" s="10">
        <v>1500</v>
      </c>
      <c r="AK335" s="11">
        <f t="shared" si="100"/>
        <v>250</v>
      </c>
      <c r="AL335" s="10">
        <v>250</v>
      </c>
      <c r="AM335" s="11">
        <v>220000</v>
      </c>
      <c r="AN335" s="10">
        <v>0</v>
      </c>
      <c r="AO335" s="55">
        <f t="shared" si="95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88000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97"/>
        <v>112040012</v>
      </c>
      <c r="B336" s="13">
        <v>11</v>
      </c>
      <c r="C336" s="12">
        <f t="shared" si="98"/>
        <v>2</v>
      </c>
      <c r="D336" s="13">
        <v>4</v>
      </c>
      <c r="E336" s="13">
        <v>0</v>
      </c>
      <c r="F336" s="12">
        <f t="shared" si="99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1383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50404400</v>
      </c>
      <c r="AC336" s="55">
        <v>16</v>
      </c>
      <c r="AE336" s="55">
        <f t="shared" ca="1" si="84"/>
        <v>2087100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2087100</v>
      </c>
      <c r="AG336" s="176">
        <f t="shared" ca="1" si="101"/>
        <v>3328150</v>
      </c>
      <c r="AI336" s="11">
        <f t="shared" si="94"/>
        <v>1800</v>
      </c>
      <c r="AJ336" s="10">
        <v>1800</v>
      </c>
      <c r="AK336" s="11">
        <f t="shared" si="100"/>
        <v>300</v>
      </c>
      <c r="AL336" s="10">
        <v>300</v>
      </c>
      <c r="AM336" s="11">
        <v>370000</v>
      </c>
      <c r="AN336" s="10">
        <v>0</v>
      </c>
      <c r="AO336" s="55">
        <f t="shared" si="95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148000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97"/>
        <v>112040013</v>
      </c>
      <c r="B337" s="13">
        <v>11</v>
      </c>
      <c r="C337" s="12">
        <f t="shared" si="98"/>
        <v>2</v>
      </c>
      <c r="D337" s="13">
        <v>4</v>
      </c>
      <c r="E337" s="13">
        <v>0</v>
      </c>
      <c r="F337" s="12">
        <f t="shared" si="99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1383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50404400</v>
      </c>
      <c r="AC337" s="55">
        <v>16</v>
      </c>
      <c r="AE337" s="55">
        <f t="shared" ca="1" si="84"/>
        <v>3497150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3497150</v>
      </c>
      <c r="AG337" s="176">
        <f t="shared" ca="1" si="101"/>
        <v>5584250</v>
      </c>
      <c r="AI337" s="11">
        <f t="shared" si="94"/>
        <v>2100</v>
      </c>
      <c r="AJ337" s="10">
        <v>2100</v>
      </c>
      <c r="AK337" s="11">
        <f t="shared" si="100"/>
        <v>350</v>
      </c>
      <c r="AL337" s="10">
        <v>350</v>
      </c>
      <c r="AM337" s="11">
        <v>620000</v>
      </c>
      <c r="AN337" s="10">
        <v>0</v>
      </c>
      <c r="AO337" s="55">
        <f t="shared" si="95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248000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97"/>
        <v>112040014</v>
      </c>
      <c r="B338" s="13">
        <v>11</v>
      </c>
      <c r="C338" s="12">
        <f t="shared" si="98"/>
        <v>2</v>
      </c>
      <c r="D338" s="13">
        <v>4</v>
      </c>
      <c r="E338" s="13">
        <v>0</v>
      </c>
      <c r="F338" s="12">
        <f t="shared" si="99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1383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50404400</v>
      </c>
      <c r="AC338" s="55">
        <v>16</v>
      </c>
      <c r="AE338" s="55">
        <f t="shared" ca="1" si="84"/>
        <v>5471250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5471250</v>
      </c>
      <c r="AG338" s="176">
        <f t="shared" ca="1" si="101"/>
        <v>8968400</v>
      </c>
      <c r="AI338" s="11">
        <f t="shared" si="94"/>
        <v>2400</v>
      </c>
      <c r="AJ338" s="10">
        <v>2400</v>
      </c>
      <c r="AK338" s="11">
        <f t="shared" si="100"/>
        <v>450</v>
      </c>
      <c r="AL338" s="10">
        <v>450</v>
      </c>
      <c r="AM338" s="11">
        <v>970000</v>
      </c>
      <c r="AN338" s="10">
        <v>0</v>
      </c>
      <c r="AO338" s="55">
        <f t="shared" si="95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388000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97"/>
        <v>112040015</v>
      </c>
      <c r="B339" s="13">
        <v>11</v>
      </c>
      <c r="C339" s="12">
        <f t="shared" si="98"/>
        <v>2</v>
      </c>
      <c r="D339" s="13">
        <v>4</v>
      </c>
      <c r="E339" s="13">
        <v>0</v>
      </c>
      <c r="F339" s="12">
        <f t="shared" si="99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1383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50404400</v>
      </c>
      <c r="AC339" s="55">
        <v>16</v>
      </c>
      <c r="AE339" s="55">
        <f t="shared" ca="1" si="84"/>
        <v>11844550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11844550</v>
      </c>
      <c r="AG339" s="176">
        <f t="shared" ca="1" si="101"/>
        <v>17315800</v>
      </c>
      <c r="AI339" s="11">
        <f t="shared" si="94"/>
        <v>2700</v>
      </c>
      <c r="AJ339" s="10">
        <v>2700</v>
      </c>
      <c r="AK339" s="11">
        <f t="shared" si="100"/>
        <v>550</v>
      </c>
      <c r="AL339" s="10">
        <v>550</v>
      </c>
      <c r="AM339" s="11">
        <v>2100000</v>
      </c>
      <c r="AN339" s="10">
        <v>0</v>
      </c>
      <c r="AO339" s="55">
        <f t="shared" si="95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840000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97"/>
        <v>112040016</v>
      </c>
      <c r="B340" s="13">
        <v>11</v>
      </c>
      <c r="C340" s="12">
        <f t="shared" si="98"/>
        <v>2</v>
      </c>
      <c r="D340" s="13">
        <v>4</v>
      </c>
      <c r="E340" s="13">
        <v>0</v>
      </c>
      <c r="F340" s="12">
        <f t="shared" si="99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1383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50404400</v>
      </c>
      <c r="AC340" s="55">
        <v>16</v>
      </c>
      <c r="AE340" s="55">
        <f t="shared" ca="1" si="84"/>
        <v>24252700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24252700</v>
      </c>
      <c r="AG340" s="176">
        <f t="shared" ca="1" si="101"/>
        <v>36097250</v>
      </c>
      <c r="AI340" s="11">
        <f t="shared" si="94"/>
        <v>3000</v>
      </c>
      <c r="AJ340" s="10">
        <v>3000</v>
      </c>
      <c r="AK340" s="11">
        <f t="shared" si="100"/>
        <v>700</v>
      </c>
      <c r="AL340" s="10">
        <v>700</v>
      </c>
      <c r="AM340" s="11">
        <v>4300000</v>
      </c>
      <c r="AN340" s="10">
        <v>0</v>
      </c>
      <c r="AO340" s="55">
        <f t="shared" si="95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1720000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97"/>
        <v>112040017</v>
      </c>
      <c r="B341" s="13">
        <v>11</v>
      </c>
      <c r="C341" s="12">
        <f t="shared" si="98"/>
        <v>2</v>
      </c>
      <c r="D341" s="13">
        <v>4</v>
      </c>
      <c r="E341" s="13">
        <v>0</v>
      </c>
      <c r="F341" s="12">
        <f t="shared" si="99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1383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50404400</v>
      </c>
      <c r="AC341" s="55">
        <v>16</v>
      </c>
      <c r="AE341" s="55">
        <f t="shared" ca="1" si="84"/>
        <v>45120850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45120850</v>
      </c>
      <c r="AG341" s="176">
        <f t="shared" ca="1" si="101"/>
        <v>69373550</v>
      </c>
      <c r="AI341" s="11">
        <f t="shared" si="94"/>
        <v>3300</v>
      </c>
      <c r="AJ341" s="10">
        <v>3300</v>
      </c>
      <c r="AK341" s="11">
        <f t="shared" si="100"/>
        <v>850</v>
      </c>
      <c r="AL341" s="10">
        <v>850</v>
      </c>
      <c r="AM341" s="11">
        <v>8000000</v>
      </c>
      <c r="AN341" s="10">
        <v>0</v>
      </c>
      <c r="AO341" s="55">
        <f t="shared" si="95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3200000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97"/>
        <v>112040018</v>
      </c>
      <c r="B342" s="13">
        <v>11</v>
      </c>
      <c r="C342" s="12">
        <f t="shared" si="98"/>
        <v>2</v>
      </c>
      <c r="D342" s="13">
        <v>4</v>
      </c>
      <c r="E342" s="13">
        <v>0</v>
      </c>
      <c r="F342" s="12">
        <f t="shared" si="99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1383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50404400</v>
      </c>
      <c r="AC342" s="55">
        <v>16</v>
      </c>
      <c r="AE342" s="55">
        <f t="shared" ca="1" si="84"/>
        <v>73321050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73321050</v>
      </c>
      <c r="AG342" s="176">
        <f t="shared" ca="1" si="101"/>
        <v>118441900</v>
      </c>
      <c r="AI342" s="11">
        <f t="shared" si="94"/>
        <v>3600</v>
      </c>
      <c r="AJ342" s="10">
        <v>3600</v>
      </c>
      <c r="AK342" s="11">
        <f t="shared" si="100"/>
        <v>1050</v>
      </c>
      <c r="AL342" s="10">
        <v>1050</v>
      </c>
      <c r="AM342" s="11">
        <v>13000000</v>
      </c>
      <c r="AN342" s="10">
        <v>0</v>
      </c>
      <c r="AO342" s="55">
        <f t="shared" si="95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5200000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97"/>
        <v>112040019</v>
      </c>
      <c r="B343" s="13">
        <v>11</v>
      </c>
      <c r="C343" s="12">
        <f t="shared" si="98"/>
        <v>2</v>
      </c>
      <c r="D343" s="13">
        <v>4</v>
      </c>
      <c r="E343" s="13">
        <v>0</v>
      </c>
      <c r="F343" s="12">
        <f t="shared" si="99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1383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50404400</v>
      </c>
      <c r="AC343" s="55">
        <v>16</v>
      </c>
      <c r="AE343" s="55">
        <f t="shared" ca="1" si="84"/>
        <v>112801250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112801250</v>
      </c>
      <c r="AG343" s="176">
        <f t="shared" ca="1" si="101"/>
        <v>186122300</v>
      </c>
      <c r="AI343" s="11">
        <f t="shared" si="94"/>
        <v>3900</v>
      </c>
      <c r="AJ343" s="10">
        <v>3900</v>
      </c>
      <c r="AK343" s="11">
        <f t="shared" si="100"/>
        <v>1250</v>
      </c>
      <c r="AL343" s="10">
        <v>1250</v>
      </c>
      <c r="AM343" s="11">
        <v>20000000</v>
      </c>
      <c r="AN343" s="10">
        <v>0</v>
      </c>
      <c r="AO343" s="55">
        <f t="shared" si="95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8000000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97"/>
        <v>112040020</v>
      </c>
      <c r="B344" s="13">
        <v>11</v>
      </c>
      <c r="C344" s="12">
        <f t="shared" si="98"/>
        <v>2</v>
      </c>
      <c r="D344" s="13">
        <v>4</v>
      </c>
      <c r="E344" s="13">
        <v>0</v>
      </c>
      <c r="F344" s="12">
        <f t="shared" si="99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1383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50404400</v>
      </c>
      <c r="AC344" s="55">
        <v>16</v>
      </c>
      <c r="AE344" s="55">
        <f t="shared" ca="1" si="84"/>
        <v>180481500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180481500</v>
      </c>
      <c r="AG344" s="176">
        <f t="shared" ca="1" si="101"/>
        <v>293282750</v>
      </c>
      <c r="AI344" s="11">
        <f t="shared" si="94"/>
        <v>4200</v>
      </c>
      <c r="AJ344" s="10">
        <v>4200</v>
      </c>
      <c r="AK344" s="11">
        <f t="shared" si="100"/>
        <v>1500</v>
      </c>
      <c r="AL344" s="10">
        <v>1500</v>
      </c>
      <c r="AM344" s="11">
        <v>32000000</v>
      </c>
      <c r="AN344" s="10">
        <v>0</v>
      </c>
      <c r="AO344" s="55">
        <f t="shared" si="95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12800000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97"/>
        <v>112050001</v>
      </c>
      <c r="B345" s="20">
        <v>11</v>
      </c>
      <c r="C345" s="19">
        <f t="shared" si="98"/>
        <v>2</v>
      </c>
      <c r="D345" s="20">
        <v>5</v>
      </c>
      <c r="E345" s="20">
        <v>0</v>
      </c>
      <c r="F345" s="19">
        <f t="shared" si="99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10</v>
      </c>
      <c r="M345" s="16">
        <v>1</v>
      </c>
      <c r="N345" s="16">
        <v>15</v>
      </c>
      <c r="O345" s="16" t="s">
        <v>742</v>
      </c>
      <c r="P345" s="56" t="s">
        <v>1384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1956000</v>
      </c>
      <c r="AC345" s="56">
        <v>11</v>
      </c>
      <c r="AD345" s="76"/>
      <c r="AE345" s="56">
        <f t="shared" ca="1" si="84"/>
        <v>1275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1275</v>
      </c>
      <c r="AG345" s="178">
        <f ca="1">AE345</f>
        <v>1275</v>
      </c>
      <c r="AH345" s="76"/>
      <c r="AI345" s="18">
        <f t="shared" si="94"/>
        <v>3</v>
      </c>
      <c r="AJ345" s="17">
        <v>3</v>
      </c>
      <c r="AK345" s="18">
        <f t="shared" si="100"/>
        <v>5</v>
      </c>
      <c r="AL345" s="17">
        <v>5</v>
      </c>
      <c r="AM345" s="18">
        <v>50</v>
      </c>
      <c r="AN345" s="17">
        <v>0</v>
      </c>
      <c r="AO345" s="56">
        <f t="shared" si="95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20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97"/>
        <v>112050002</v>
      </c>
      <c r="B346" s="13">
        <v>11</v>
      </c>
      <c r="C346" s="12">
        <f t="shared" si="98"/>
        <v>2</v>
      </c>
      <c r="D346" s="13">
        <v>5</v>
      </c>
      <c r="E346" s="13">
        <v>0</v>
      </c>
      <c r="F346" s="12">
        <f t="shared" si="99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1384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1956000</v>
      </c>
      <c r="AC346" s="55">
        <v>11</v>
      </c>
      <c r="AE346" s="55">
        <f t="shared" ref="AE346:AE409" ca="1" si="102">ROUND(AF346,0)</f>
        <v>550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550</v>
      </c>
      <c r="AG346" s="176">
        <f ca="1">AE345+AE346</f>
        <v>1825</v>
      </c>
      <c r="AI346" s="11">
        <f t="shared" si="94"/>
        <v>5</v>
      </c>
      <c r="AJ346" s="10">
        <v>5</v>
      </c>
      <c r="AK346" s="11">
        <f t="shared" si="100"/>
        <v>10</v>
      </c>
      <c r="AL346" s="10">
        <v>10</v>
      </c>
      <c r="AM346" s="11">
        <v>100</v>
      </c>
      <c r="AN346" s="10">
        <v>0</v>
      </c>
      <c r="AO346" s="55">
        <f t="shared" si="95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40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97"/>
        <v>112050003</v>
      </c>
      <c r="B347" s="13">
        <v>11</v>
      </c>
      <c r="C347" s="12">
        <f t="shared" si="98"/>
        <v>2</v>
      </c>
      <c r="D347" s="13">
        <v>5</v>
      </c>
      <c r="E347" s="13">
        <v>0</v>
      </c>
      <c r="F347" s="12">
        <f t="shared" si="99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1384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3961500</v>
      </c>
      <c r="AC347" s="55">
        <v>12</v>
      </c>
      <c r="AE347" s="55">
        <f t="shared" ca="1" si="102"/>
        <v>825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825</v>
      </c>
      <c r="AG347" s="176">
        <f t="shared" ref="AG347:AG364" ca="1" si="103">AE346+AE347</f>
        <v>1375</v>
      </c>
      <c r="AI347" s="11">
        <f t="shared" si="94"/>
        <v>5</v>
      </c>
      <c r="AJ347" s="10">
        <v>5</v>
      </c>
      <c r="AK347" s="11">
        <f t="shared" si="100"/>
        <v>15</v>
      </c>
      <c r="AL347" s="10">
        <v>15</v>
      </c>
      <c r="AM347" s="11">
        <v>150</v>
      </c>
      <c r="AN347" s="10">
        <v>0</v>
      </c>
      <c r="AO347" s="55">
        <f t="shared" si="95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60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97"/>
        <v>112050004</v>
      </c>
      <c r="B348" s="13">
        <v>11</v>
      </c>
      <c r="C348" s="12">
        <f t="shared" si="98"/>
        <v>2</v>
      </c>
      <c r="D348" s="13">
        <v>5</v>
      </c>
      <c r="E348" s="13">
        <v>0</v>
      </c>
      <c r="F348" s="12">
        <f t="shared" si="99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1384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7772100</v>
      </c>
      <c r="AC348" s="55">
        <v>13</v>
      </c>
      <c r="AE348" s="55">
        <f t="shared" ca="1" si="102"/>
        <v>3265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3265</v>
      </c>
      <c r="AG348" s="176">
        <f t="shared" ca="1" si="103"/>
        <v>4090</v>
      </c>
      <c r="AI348" s="11">
        <f t="shared" si="94"/>
        <v>15</v>
      </c>
      <c r="AJ348" s="10">
        <v>15</v>
      </c>
      <c r="AK348" s="11">
        <f t="shared" si="100"/>
        <v>25</v>
      </c>
      <c r="AL348" s="10">
        <v>25</v>
      </c>
      <c r="AM348" s="11">
        <v>600</v>
      </c>
      <c r="AN348" s="10">
        <v>0</v>
      </c>
      <c r="AO348" s="55">
        <f t="shared" si="95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240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97"/>
        <v>112050005</v>
      </c>
      <c r="B349" s="13">
        <v>11</v>
      </c>
      <c r="C349" s="12">
        <f t="shared" si="98"/>
        <v>2</v>
      </c>
      <c r="D349" s="13">
        <v>5</v>
      </c>
      <c r="E349" s="13">
        <v>0</v>
      </c>
      <c r="F349" s="12">
        <f t="shared" si="99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1384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7772100</v>
      </c>
      <c r="AC349" s="55">
        <v>13</v>
      </c>
      <c r="AE349" s="55">
        <f t="shared" ca="1" si="102"/>
        <v>14620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14620</v>
      </c>
      <c r="AG349" s="176">
        <f t="shared" ca="1" si="103"/>
        <v>17885</v>
      </c>
      <c r="AI349" s="11">
        <f t="shared" si="94"/>
        <v>20</v>
      </c>
      <c r="AJ349" s="10">
        <v>20</v>
      </c>
      <c r="AK349" s="11">
        <f t="shared" si="100"/>
        <v>40</v>
      </c>
      <c r="AL349" s="10">
        <v>40</v>
      </c>
      <c r="AM349" s="11">
        <v>2700</v>
      </c>
      <c r="AN349" s="10">
        <v>0</v>
      </c>
      <c r="AO349" s="55">
        <f t="shared" si="95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1080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97"/>
        <v>112050006</v>
      </c>
      <c r="B350" s="13">
        <v>11</v>
      </c>
      <c r="C350" s="12">
        <f t="shared" si="98"/>
        <v>2</v>
      </c>
      <c r="D350" s="13">
        <v>5</v>
      </c>
      <c r="E350" s="13">
        <v>0</v>
      </c>
      <c r="F350" s="12">
        <f t="shared" si="99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1384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50404400</v>
      </c>
      <c r="AC350" s="55">
        <v>16</v>
      </c>
      <c r="AE350" s="55">
        <f t="shared" ca="1" si="102"/>
        <v>48650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48650</v>
      </c>
      <c r="AG350" s="176">
        <f t="shared" ca="1" si="103"/>
        <v>63270</v>
      </c>
      <c r="AI350" s="11">
        <f t="shared" si="94"/>
        <v>30</v>
      </c>
      <c r="AJ350" s="10">
        <v>30</v>
      </c>
      <c r="AK350" s="11">
        <f t="shared" si="100"/>
        <v>50</v>
      </c>
      <c r="AL350" s="10">
        <v>50</v>
      </c>
      <c r="AM350" s="11">
        <v>9000</v>
      </c>
      <c r="AN350" s="10">
        <v>0</v>
      </c>
      <c r="AO350" s="55">
        <f t="shared" si="95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3600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97"/>
        <v>112050007</v>
      </c>
      <c r="B351" s="13">
        <v>11</v>
      </c>
      <c r="C351" s="12">
        <f t="shared" si="98"/>
        <v>2</v>
      </c>
      <c r="D351" s="13">
        <v>5</v>
      </c>
      <c r="E351" s="13">
        <v>0</v>
      </c>
      <c r="F351" s="12">
        <f t="shared" si="99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1384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50404400</v>
      </c>
      <c r="AC351" s="55">
        <v>16</v>
      </c>
      <c r="AE351" s="55">
        <f t="shared" ca="1" si="102"/>
        <v>118100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118100</v>
      </c>
      <c r="AG351" s="176">
        <f t="shared" ca="1" si="103"/>
        <v>166750</v>
      </c>
      <c r="AI351" s="11">
        <f t="shared" si="94"/>
        <v>300</v>
      </c>
      <c r="AJ351" s="10">
        <v>300</v>
      </c>
      <c r="AK351" s="11">
        <f t="shared" si="100"/>
        <v>100</v>
      </c>
      <c r="AL351" s="10">
        <v>100</v>
      </c>
      <c r="AM351" s="11">
        <v>20000</v>
      </c>
      <c r="AN351" s="10">
        <v>0</v>
      </c>
      <c r="AO351" s="55">
        <f t="shared" si="95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8000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97"/>
        <v>112050008</v>
      </c>
      <c r="B352" s="13">
        <v>11</v>
      </c>
      <c r="C352" s="12">
        <f t="shared" si="98"/>
        <v>2</v>
      </c>
      <c r="D352" s="13">
        <v>5</v>
      </c>
      <c r="E352" s="13">
        <v>0</v>
      </c>
      <c r="F352" s="12">
        <f t="shared" si="99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1384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50404400</v>
      </c>
      <c r="AC352" s="55">
        <v>16</v>
      </c>
      <c r="AE352" s="55">
        <f t="shared" ca="1" si="102"/>
        <v>226900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226900</v>
      </c>
      <c r="AG352" s="176">
        <f t="shared" ca="1" si="103"/>
        <v>345000</v>
      </c>
      <c r="AI352" s="11">
        <f t="shared" si="94"/>
        <v>600</v>
      </c>
      <c r="AJ352" s="10">
        <v>600</v>
      </c>
      <c r="AK352" s="11">
        <f t="shared" si="100"/>
        <v>100</v>
      </c>
      <c r="AL352" s="10">
        <v>100</v>
      </c>
      <c r="AM352" s="11">
        <v>42000</v>
      </c>
      <c r="AN352" s="10">
        <v>0</v>
      </c>
      <c r="AO352" s="55">
        <f t="shared" si="95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16800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97"/>
        <v>112050009</v>
      </c>
      <c r="B353" s="13">
        <v>11</v>
      </c>
      <c r="C353" s="12">
        <f t="shared" si="98"/>
        <v>2</v>
      </c>
      <c r="D353" s="13">
        <v>5</v>
      </c>
      <c r="E353" s="13">
        <v>0</v>
      </c>
      <c r="F353" s="12">
        <f t="shared" si="99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1384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50404400</v>
      </c>
      <c r="AC353" s="55">
        <v>16</v>
      </c>
      <c r="AE353" s="55">
        <f t="shared" ca="1" si="102"/>
        <v>421350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421350</v>
      </c>
      <c r="AG353" s="176">
        <f t="shared" ca="1" si="103"/>
        <v>648250</v>
      </c>
      <c r="AI353" s="11">
        <f t="shared" si="94"/>
        <v>900</v>
      </c>
      <c r="AJ353" s="10">
        <v>900</v>
      </c>
      <c r="AK353" s="11">
        <f t="shared" si="100"/>
        <v>150</v>
      </c>
      <c r="AL353" s="10">
        <v>150</v>
      </c>
      <c r="AM353" s="11">
        <v>78000</v>
      </c>
      <c r="AN353" s="10">
        <v>0</v>
      </c>
      <c r="AO353" s="55">
        <f t="shared" si="95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31200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97"/>
        <v>112050010</v>
      </c>
      <c r="B354" s="13">
        <v>11</v>
      </c>
      <c r="C354" s="12">
        <f t="shared" si="98"/>
        <v>2</v>
      </c>
      <c r="D354" s="13">
        <v>5</v>
      </c>
      <c r="E354" s="13">
        <v>0</v>
      </c>
      <c r="F354" s="12">
        <f t="shared" si="99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1384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50404400</v>
      </c>
      <c r="AC354" s="55">
        <v>16</v>
      </c>
      <c r="AE354" s="55">
        <f t="shared" ca="1" si="102"/>
        <v>702200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702200</v>
      </c>
      <c r="AG354" s="176">
        <f t="shared" ca="1" si="103"/>
        <v>1123550</v>
      </c>
      <c r="AI354" s="11">
        <f t="shared" si="94"/>
        <v>1200</v>
      </c>
      <c r="AJ354" s="10">
        <v>1200</v>
      </c>
      <c r="AK354" s="11">
        <f t="shared" si="100"/>
        <v>200</v>
      </c>
      <c r="AL354" s="10">
        <v>200</v>
      </c>
      <c r="AM354" s="11">
        <v>130000</v>
      </c>
      <c r="AN354" s="10">
        <v>0</v>
      </c>
      <c r="AO354" s="55">
        <f t="shared" si="95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52000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97"/>
        <v>112050011</v>
      </c>
      <c r="B355" s="13">
        <v>11</v>
      </c>
      <c r="C355" s="12">
        <f t="shared" si="98"/>
        <v>2</v>
      </c>
      <c r="D355" s="13">
        <v>5</v>
      </c>
      <c r="E355" s="13">
        <v>0</v>
      </c>
      <c r="F355" s="12">
        <f t="shared" si="99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1384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50404400</v>
      </c>
      <c r="AC355" s="55">
        <v>16</v>
      </c>
      <c r="AE355" s="55">
        <f t="shared" ca="1" si="102"/>
        <v>1188250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1188250</v>
      </c>
      <c r="AG355" s="176">
        <f t="shared" ca="1" si="103"/>
        <v>1890450</v>
      </c>
      <c r="AI355" s="11">
        <f t="shared" si="94"/>
        <v>1500</v>
      </c>
      <c r="AJ355" s="10">
        <v>1500</v>
      </c>
      <c r="AK355" s="11">
        <f t="shared" si="100"/>
        <v>250</v>
      </c>
      <c r="AL355" s="10">
        <v>250</v>
      </c>
      <c r="AM355" s="11">
        <v>220000</v>
      </c>
      <c r="AN355" s="10">
        <v>0</v>
      </c>
      <c r="AO355" s="55">
        <f t="shared" si="95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88000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97"/>
        <v>112050012</v>
      </c>
      <c r="B356" s="13">
        <v>11</v>
      </c>
      <c r="C356" s="12">
        <f t="shared" si="98"/>
        <v>2</v>
      </c>
      <c r="D356" s="13">
        <v>5</v>
      </c>
      <c r="E356" s="13">
        <v>0</v>
      </c>
      <c r="F356" s="12">
        <f t="shared" si="99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1384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50404400</v>
      </c>
      <c r="AC356" s="55">
        <v>16</v>
      </c>
      <c r="AE356" s="55">
        <f t="shared" ca="1" si="102"/>
        <v>2087100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2087100</v>
      </c>
      <c r="AG356" s="176">
        <f t="shared" ca="1" si="103"/>
        <v>3275350</v>
      </c>
      <c r="AI356" s="11">
        <f t="shared" si="94"/>
        <v>1800</v>
      </c>
      <c r="AJ356" s="10">
        <v>1800</v>
      </c>
      <c r="AK356" s="11">
        <f t="shared" si="100"/>
        <v>300</v>
      </c>
      <c r="AL356" s="10">
        <v>300</v>
      </c>
      <c r="AM356" s="11">
        <v>370000</v>
      </c>
      <c r="AN356" s="10">
        <v>0</v>
      </c>
      <c r="AO356" s="55">
        <f t="shared" si="95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148000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97"/>
        <v>112050013</v>
      </c>
      <c r="B357" s="13">
        <v>11</v>
      </c>
      <c r="C357" s="12">
        <f t="shared" si="98"/>
        <v>2</v>
      </c>
      <c r="D357" s="13">
        <v>5</v>
      </c>
      <c r="E357" s="13">
        <v>0</v>
      </c>
      <c r="F357" s="12">
        <f t="shared" si="99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1384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50404400</v>
      </c>
      <c r="AC357" s="55">
        <v>16</v>
      </c>
      <c r="AE357" s="55">
        <f t="shared" ca="1" si="102"/>
        <v>3497150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3497150</v>
      </c>
      <c r="AG357" s="176">
        <f t="shared" ca="1" si="103"/>
        <v>5584250</v>
      </c>
      <c r="AI357" s="11">
        <f t="shared" si="94"/>
        <v>2100</v>
      </c>
      <c r="AJ357" s="10">
        <v>2100</v>
      </c>
      <c r="AK357" s="11">
        <f t="shared" si="100"/>
        <v>350</v>
      </c>
      <c r="AL357" s="10">
        <v>350</v>
      </c>
      <c r="AM357" s="11">
        <v>620000</v>
      </c>
      <c r="AN357" s="10">
        <v>0</v>
      </c>
      <c r="AO357" s="55">
        <f t="shared" si="95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248000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97"/>
        <v>112050014</v>
      </c>
      <c r="B358" s="13">
        <v>11</v>
      </c>
      <c r="C358" s="12">
        <f t="shared" si="98"/>
        <v>2</v>
      </c>
      <c r="D358" s="13">
        <v>5</v>
      </c>
      <c r="E358" s="13">
        <v>0</v>
      </c>
      <c r="F358" s="12">
        <f t="shared" si="99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1384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50404400</v>
      </c>
      <c r="AC358" s="55">
        <v>16</v>
      </c>
      <c r="AE358" s="55">
        <f t="shared" ca="1" si="102"/>
        <v>5471250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5471250</v>
      </c>
      <c r="AG358" s="176">
        <f t="shared" ca="1" si="103"/>
        <v>8968400</v>
      </c>
      <c r="AI358" s="11">
        <f t="shared" si="94"/>
        <v>2400</v>
      </c>
      <c r="AJ358" s="10">
        <v>2400</v>
      </c>
      <c r="AK358" s="11">
        <f t="shared" si="100"/>
        <v>450</v>
      </c>
      <c r="AL358" s="10">
        <v>450</v>
      </c>
      <c r="AM358" s="11">
        <v>970000</v>
      </c>
      <c r="AN358" s="10">
        <v>0</v>
      </c>
      <c r="AO358" s="55">
        <f t="shared" si="95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388000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97"/>
        <v>112050015</v>
      </c>
      <c r="B359" s="13">
        <v>11</v>
      </c>
      <c r="C359" s="12">
        <f t="shared" si="98"/>
        <v>2</v>
      </c>
      <c r="D359" s="13">
        <v>5</v>
      </c>
      <c r="E359" s="13">
        <v>0</v>
      </c>
      <c r="F359" s="12">
        <f t="shared" si="99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1384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50404400</v>
      </c>
      <c r="AC359" s="55">
        <v>16</v>
      </c>
      <c r="AE359" s="55">
        <f t="shared" ca="1" si="102"/>
        <v>11844550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11844550</v>
      </c>
      <c r="AG359" s="176">
        <f t="shared" ca="1" si="103"/>
        <v>17315800</v>
      </c>
      <c r="AI359" s="11">
        <f t="shared" si="94"/>
        <v>2700</v>
      </c>
      <c r="AJ359" s="10">
        <v>2700</v>
      </c>
      <c r="AK359" s="11">
        <f t="shared" si="100"/>
        <v>550</v>
      </c>
      <c r="AL359" s="10">
        <v>550</v>
      </c>
      <c r="AM359" s="11">
        <v>2100000</v>
      </c>
      <c r="AN359" s="10">
        <v>0</v>
      </c>
      <c r="AO359" s="55">
        <f t="shared" si="95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840000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97"/>
        <v>112050016</v>
      </c>
      <c r="B360" s="13">
        <v>11</v>
      </c>
      <c r="C360" s="12">
        <f t="shared" si="98"/>
        <v>2</v>
      </c>
      <c r="D360" s="13">
        <v>5</v>
      </c>
      <c r="E360" s="13">
        <v>0</v>
      </c>
      <c r="F360" s="12">
        <f t="shared" si="99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1384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50404400</v>
      </c>
      <c r="AC360" s="55">
        <v>16</v>
      </c>
      <c r="AE360" s="55">
        <f t="shared" ca="1" si="102"/>
        <v>24252700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24252700</v>
      </c>
      <c r="AG360" s="176">
        <f t="shared" ca="1" si="103"/>
        <v>36097250</v>
      </c>
      <c r="AI360" s="11">
        <f t="shared" si="94"/>
        <v>3000</v>
      </c>
      <c r="AJ360" s="10">
        <v>3000</v>
      </c>
      <c r="AK360" s="11">
        <f t="shared" si="100"/>
        <v>700</v>
      </c>
      <c r="AL360" s="10">
        <v>700</v>
      </c>
      <c r="AM360" s="11">
        <v>4300000</v>
      </c>
      <c r="AN360" s="10">
        <v>0</v>
      </c>
      <c r="AO360" s="55">
        <f t="shared" si="95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1720000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97"/>
        <v>112050017</v>
      </c>
      <c r="B361" s="13">
        <v>11</v>
      </c>
      <c r="C361" s="12">
        <f t="shared" si="98"/>
        <v>2</v>
      </c>
      <c r="D361" s="13">
        <v>5</v>
      </c>
      <c r="E361" s="13">
        <v>0</v>
      </c>
      <c r="F361" s="12">
        <f t="shared" si="99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1384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50404400</v>
      </c>
      <c r="AC361" s="55">
        <v>16</v>
      </c>
      <c r="AE361" s="55">
        <f t="shared" ca="1" si="102"/>
        <v>45120850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45120850</v>
      </c>
      <c r="AG361" s="176">
        <f t="shared" ca="1" si="103"/>
        <v>69373550</v>
      </c>
      <c r="AI361" s="11">
        <f t="shared" si="94"/>
        <v>3300</v>
      </c>
      <c r="AJ361" s="10">
        <v>3300</v>
      </c>
      <c r="AK361" s="11">
        <f t="shared" si="100"/>
        <v>850</v>
      </c>
      <c r="AL361" s="10">
        <v>850</v>
      </c>
      <c r="AM361" s="11">
        <v>8000000</v>
      </c>
      <c r="AN361" s="10">
        <v>0</v>
      </c>
      <c r="AO361" s="55">
        <f t="shared" si="95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3200000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97"/>
        <v>112050018</v>
      </c>
      <c r="B362" s="13">
        <v>11</v>
      </c>
      <c r="C362" s="12">
        <f t="shared" si="98"/>
        <v>2</v>
      </c>
      <c r="D362" s="13">
        <v>5</v>
      </c>
      <c r="E362" s="13">
        <v>0</v>
      </c>
      <c r="F362" s="12">
        <f t="shared" si="99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1384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50404400</v>
      </c>
      <c r="AC362" s="55">
        <v>16</v>
      </c>
      <c r="AE362" s="55">
        <f t="shared" ca="1" si="102"/>
        <v>73321050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73321050</v>
      </c>
      <c r="AG362" s="176">
        <f t="shared" ca="1" si="103"/>
        <v>118441900</v>
      </c>
      <c r="AI362" s="11">
        <f t="shared" si="94"/>
        <v>3600</v>
      </c>
      <c r="AJ362" s="10">
        <v>3600</v>
      </c>
      <c r="AK362" s="11">
        <f t="shared" si="100"/>
        <v>1050</v>
      </c>
      <c r="AL362" s="10">
        <v>1050</v>
      </c>
      <c r="AM362" s="11">
        <v>13000000</v>
      </c>
      <c r="AN362" s="10">
        <v>0</v>
      </c>
      <c r="AO362" s="55">
        <f t="shared" si="95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5200000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97"/>
        <v>112050019</v>
      </c>
      <c r="B363" s="13">
        <v>11</v>
      </c>
      <c r="C363" s="12">
        <f t="shared" si="98"/>
        <v>2</v>
      </c>
      <c r="D363" s="13">
        <v>5</v>
      </c>
      <c r="E363" s="13">
        <v>0</v>
      </c>
      <c r="F363" s="12">
        <f t="shared" si="99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1384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50404400</v>
      </c>
      <c r="AC363" s="55">
        <v>16</v>
      </c>
      <c r="AE363" s="55">
        <f t="shared" ca="1" si="102"/>
        <v>112801250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112801250</v>
      </c>
      <c r="AG363" s="176">
        <f t="shared" ca="1" si="103"/>
        <v>186122300</v>
      </c>
      <c r="AI363" s="11">
        <f t="shared" si="94"/>
        <v>3900</v>
      </c>
      <c r="AJ363" s="10">
        <v>3900</v>
      </c>
      <c r="AK363" s="11">
        <f t="shared" si="100"/>
        <v>1250</v>
      </c>
      <c r="AL363" s="10">
        <v>1250</v>
      </c>
      <c r="AM363" s="11">
        <v>20000000</v>
      </c>
      <c r="AN363" s="10">
        <v>0</v>
      </c>
      <c r="AO363" s="55">
        <f t="shared" si="95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8000000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97"/>
        <v>112050020</v>
      </c>
      <c r="B364" s="13">
        <v>11</v>
      </c>
      <c r="C364" s="12">
        <f t="shared" si="98"/>
        <v>2</v>
      </c>
      <c r="D364" s="13">
        <v>5</v>
      </c>
      <c r="E364" s="13">
        <v>0</v>
      </c>
      <c r="F364" s="12">
        <f t="shared" si="99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1384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50404400</v>
      </c>
      <c r="AC364" s="55">
        <v>16</v>
      </c>
      <c r="AE364" s="55">
        <f t="shared" ca="1" si="102"/>
        <v>180481500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180481500</v>
      </c>
      <c r="AG364" s="176">
        <f t="shared" ca="1" si="103"/>
        <v>293282750</v>
      </c>
      <c r="AI364" s="11">
        <f t="shared" si="94"/>
        <v>4200</v>
      </c>
      <c r="AJ364" s="10">
        <v>4200</v>
      </c>
      <c r="AK364" s="11">
        <f t="shared" si="100"/>
        <v>1500</v>
      </c>
      <c r="AL364" s="10">
        <v>1500</v>
      </c>
      <c r="AM364" s="11">
        <v>32000000</v>
      </c>
      <c r="AN364" s="10">
        <v>0</v>
      </c>
      <c r="AO364" s="55">
        <f t="shared" si="95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12800000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97"/>
        <v>111090001</v>
      </c>
      <c r="B365" s="20">
        <v>11</v>
      </c>
      <c r="C365" s="19">
        <f t="shared" si="98"/>
        <v>1</v>
      </c>
      <c r="D365" s="20">
        <v>9</v>
      </c>
      <c r="E365" s="20">
        <v>0</v>
      </c>
      <c r="F365" s="19">
        <f t="shared" si="99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1385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56">
        <f t="shared" ca="1" si="102"/>
        <v>1025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1025</v>
      </c>
      <c r="AG365" s="178">
        <f ca="1">AE365</f>
        <v>1025</v>
      </c>
      <c r="AH365" s="76"/>
      <c r="AI365" s="18">
        <f t="shared" ref="AI365:AI408" si="104">ROUND(AJ365,0)</f>
        <v>3</v>
      </c>
      <c r="AJ365" s="17">
        <v>3</v>
      </c>
      <c r="AK365" s="18">
        <f t="shared" si="100"/>
        <v>5</v>
      </c>
      <c r="AL365" s="17">
        <v>5</v>
      </c>
      <c r="AM365" s="18">
        <f t="shared" si="100"/>
        <v>0</v>
      </c>
      <c r="AN365" s="17">
        <v>0</v>
      </c>
      <c r="AO365" s="56">
        <f t="shared" si="95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97"/>
        <v>111090002</v>
      </c>
      <c r="B366" s="13">
        <v>11</v>
      </c>
      <c r="C366" s="12">
        <f t="shared" si="98"/>
        <v>1</v>
      </c>
      <c r="D366" s="13">
        <v>9</v>
      </c>
      <c r="E366" s="13">
        <v>0</v>
      </c>
      <c r="F366" s="12">
        <f t="shared" si="99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1385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100</v>
      </c>
      <c r="AC366" s="55">
        <v>2</v>
      </c>
      <c r="AE366" s="55">
        <f t="shared" ca="1" si="102"/>
        <v>50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50</v>
      </c>
      <c r="AG366" s="176">
        <f ca="1">AE365+AE366</f>
        <v>1075</v>
      </c>
      <c r="AI366" s="11">
        <f t="shared" si="104"/>
        <v>5</v>
      </c>
      <c r="AJ366" s="10">
        <v>5</v>
      </c>
      <c r="AK366" s="11">
        <f t="shared" si="100"/>
        <v>10</v>
      </c>
      <c r="AL366" s="10">
        <v>10</v>
      </c>
      <c r="AM366" s="11">
        <f t="shared" si="100"/>
        <v>0</v>
      </c>
      <c r="AN366" s="10">
        <v>0</v>
      </c>
      <c r="AO366" s="55">
        <f t="shared" ref="AO366:AO409" si="105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97"/>
        <v>111090003</v>
      </c>
      <c r="B367" s="13">
        <v>11</v>
      </c>
      <c r="C367" s="12">
        <f t="shared" si="98"/>
        <v>1</v>
      </c>
      <c r="D367" s="13">
        <v>9</v>
      </c>
      <c r="E367" s="13">
        <v>0</v>
      </c>
      <c r="F367" s="12">
        <f t="shared" si="99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1386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310</v>
      </c>
      <c r="AC367" s="55">
        <v>3</v>
      </c>
      <c r="AE367" s="55">
        <f t="shared" ca="1" si="102"/>
        <v>75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75</v>
      </c>
      <c r="AG367" s="176">
        <f t="shared" ref="AG367:AG384" ca="1" si="106">AE366+AE367</f>
        <v>125</v>
      </c>
      <c r="AI367" s="11">
        <f t="shared" si="104"/>
        <v>5</v>
      </c>
      <c r="AJ367" s="10">
        <v>5</v>
      </c>
      <c r="AK367" s="11">
        <f t="shared" si="100"/>
        <v>15</v>
      </c>
      <c r="AL367" s="10">
        <v>15</v>
      </c>
      <c r="AM367" s="11">
        <f t="shared" si="100"/>
        <v>0</v>
      </c>
      <c r="AN367" s="10">
        <v>0</v>
      </c>
      <c r="AO367" s="55">
        <f t="shared" si="105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97"/>
        <v>111090004</v>
      </c>
      <c r="B368" s="13">
        <v>11</v>
      </c>
      <c r="C368" s="12">
        <f t="shared" si="98"/>
        <v>1</v>
      </c>
      <c r="D368" s="13">
        <v>9</v>
      </c>
      <c r="E368" s="13">
        <v>0</v>
      </c>
      <c r="F368" s="12">
        <f t="shared" si="99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1386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310</v>
      </c>
      <c r="AC368" s="55">
        <v>3</v>
      </c>
      <c r="AE368" s="55">
        <f t="shared" ca="1" si="102"/>
        <v>265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265</v>
      </c>
      <c r="AG368" s="176">
        <f t="shared" ca="1" si="106"/>
        <v>340</v>
      </c>
      <c r="AI368" s="11">
        <f t="shared" si="104"/>
        <v>15</v>
      </c>
      <c r="AJ368" s="10">
        <v>15</v>
      </c>
      <c r="AK368" s="11">
        <f t="shared" si="100"/>
        <v>25</v>
      </c>
      <c r="AL368" s="10">
        <v>25</v>
      </c>
      <c r="AM368" s="11">
        <f t="shared" si="100"/>
        <v>0</v>
      </c>
      <c r="AN368" s="10">
        <v>0</v>
      </c>
      <c r="AO368" s="55">
        <f t="shared" si="105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97"/>
        <v>111090005</v>
      </c>
      <c r="B369" s="13">
        <v>11</v>
      </c>
      <c r="C369" s="12">
        <f t="shared" si="98"/>
        <v>1</v>
      </c>
      <c r="D369" s="13">
        <v>9</v>
      </c>
      <c r="E369" s="13">
        <v>0</v>
      </c>
      <c r="F369" s="12">
        <f t="shared" si="99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1387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930</v>
      </c>
      <c r="AC369" s="55">
        <v>4</v>
      </c>
      <c r="AE369" s="55">
        <f t="shared" ca="1" si="102"/>
        <v>1660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1660</v>
      </c>
      <c r="AG369" s="176">
        <f t="shared" ca="1" si="106"/>
        <v>1925</v>
      </c>
      <c r="AI369" s="11">
        <f t="shared" si="104"/>
        <v>20</v>
      </c>
      <c r="AJ369" s="10">
        <v>20</v>
      </c>
      <c r="AK369" s="11">
        <f t="shared" si="100"/>
        <v>40</v>
      </c>
      <c r="AL369" s="10">
        <v>40</v>
      </c>
      <c r="AM369" s="11">
        <f t="shared" si="100"/>
        <v>0</v>
      </c>
      <c r="AN369" s="10">
        <v>0</v>
      </c>
      <c r="AO369" s="55">
        <f t="shared" si="105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97"/>
        <v>111090006</v>
      </c>
      <c r="B370" s="13">
        <v>11</v>
      </c>
      <c r="C370" s="12">
        <f t="shared" si="98"/>
        <v>1</v>
      </c>
      <c r="D370" s="13">
        <v>9</v>
      </c>
      <c r="E370" s="13">
        <v>0</v>
      </c>
      <c r="F370" s="12">
        <f t="shared" si="99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1387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930</v>
      </c>
      <c r="AC370" s="55">
        <v>4</v>
      </c>
      <c r="AE370" s="55">
        <f t="shared" ca="1" si="102"/>
        <v>5450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5450</v>
      </c>
      <c r="AG370" s="176">
        <f t="shared" ca="1" si="106"/>
        <v>7110</v>
      </c>
      <c r="AI370" s="11">
        <f t="shared" si="104"/>
        <v>30</v>
      </c>
      <c r="AJ370" s="10">
        <v>30</v>
      </c>
      <c r="AK370" s="11">
        <f t="shared" si="100"/>
        <v>50</v>
      </c>
      <c r="AL370" s="10">
        <v>50</v>
      </c>
      <c r="AM370" s="11">
        <f t="shared" si="100"/>
        <v>0</v>
      </c>
      <c r="AN370" s="10">
        <v>0</v>
      </c>
      <c r="AO370" s="55">
        <f t="shared" si="105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97"/>
        <v>111090007</v>
      </c>
      <c r="B371" s="13">
        <v>11</v>
      </c>
      <c r="C371" s="12">
        <f t="shared" si="98"/>
        <v>1</v>
      </c>
      <c r="D371" s="13">
        <v>9</v>
      </c>
      <c r="E371" s="13">
        <v>0</v>
      </c>
      <c r="F371" s="12">
        <f t="shared" si="99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1388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930</v>
      </c>
      <c r="AC371" s="55">
        <v>4</v>
      </c>
      <c r="AE371" s="55">
        <f t="shared" ca="1" si="102"/>
        <v>12100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12100</v>
      </c>
      <c r="AG371" s="176">
        <f t="shared" ca="1" si="106"/>
        <v>17550</v>
      </c>
      <c r="AI371" s="11">
        <f t="shared" si="104"/>
        <v>300</v>
      </c>
      <c r="AJ371" s="10">
        <v>300</v>
      </c>
      <c r="AK371" s="11">
        <f t="shared" si="100"/>
        <v>100</v>
      </c>
      <c r="AL371" s="10">
        <v>100</v>
      </c>
      <c r="AM371" s="11">
        <f t="shared" si="100"/>
        <v>0</v>
      </c>
      <c r="AN371" s="10">
        <v>0</v>
      </c>
      <c r="AO371" s="55">
        <f t="shared" si="105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97"/>
        <v>111090008</v>
      </c>
      <c r="B372" s="13">
        <v>11</v>
      </c>
      <c r="C372" s="12">
        <f t="shared" si="98"/>
        <v>1</v>
      </c>
      <c r="D372" s="13">
        <v>9</v>
      </c>
      <c r="E372" s="13">
        <v>0</v>
      </c>
      <c r="F372" s="12">
        <f t="shared" si="99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1388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5475</v>
      </c>
      <c r="AC372" s="55">
        <v>5</v>
      </c>
      <c r="AE372" s="55">
        <f t="shared" ca="1" si="102"/>
        <v>25300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25300</v>
      </c>
      <c r="AG372" s="176">
        <f t="shared" ca="1" si="106"/>
        <v>37400</v>
      </c>
      <c r="AI372" s="11">
        <f t="shared" si="104"/>
        <v>600</v>
      </c>
      <c r="AJ372" s="10">
        <v>600</v>
      </c>
      <c r="AK372" s="11">
        <f t="shared" si="100"/>
        <v>100</v>
      </c>
      <c r="AL372" s="10">
        <v>100</v>
      </c>
      <c r="AM372" s="11">
        <f t="shared" si="100"/>
        <v>0</v>
      </c>
      <c r="AN372" s="10">
        <v>0</v>
      </c>
      <c r="AO372" s="55">
        <f t="shared" si="105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97"/>
        <v>111090009</v>
      </c>
      <c r="B373" s="13">
        <v>11</v>
      </c>
      <c r="C373" s="12">
        <f t="shared" si="98"/>
        <v>1</v>
      </c>
      <c r="D373" s="13">
        <v>9</v>
      </c>
      <c r="E373" s="13">
        <v>0</v>
      </c>
      <c r="F373" s="12">
        <f t="shared" si="99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1437</v>
      </c>
      <c r="P373" s="55" t="s">
        <v>1439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32560</v>
      </c>
      <c r="AC373" s="55">
        <v>6</v>
      </c>
      <c r="AE373" s="55">
        <f t="shared" ca="1" si="102"/>
        <v>46950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46950</v>
      </c>
      <c r="AG373" s="176">
        <f t="shared" ca="1" si="106"/>
        <v>72250</v>
      </c>
      <c r="AI373" s="11">
        <f t="shared" si="104"/>
        <v>900</v>
      </c>
      <c r="AJ373" s="10">
        <v>900</v>
      </c>
      <c r="AK373" s="11">
        <f t="shared" si="100"/>
        <v>150</v>
      </c>
      <c r="AL373" s="10">
        <v>150</v>
      </c>
      <c r="AM373" s="11">
        <f t="shared" si="100"/>
        <v>0</v>
      </c>
      <c r="AN373" s="10">
        <v>0</v>
      </c>
      <c r="AO373" s="55">
        <f t="shared" si="105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97"/>
        <v>111090010</v>
      </c>
      <c r="B374" s="13">
        <v>11</v>
      </c>
      <c r="C374" s="12">
        <f t="shared" si="98"/>
        <v>1</v>
      </c>
      <c r="D374" s="13">
        <v>9</v>
      </c>
      <c r="E374" s="13">
        <v>0</v>
      </c>
      <c r="F374" s="12">
        <f t="shared" si="99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1437</v>
      </c>
      <c r="P374" s="55" t="s">
        <v>1439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108200</v>
      </c>
      <c r="AC374" s="55">
        <v>7</v>
      </c>
      <c r="AE374" s="55">
        <f t="shared" ca="1" si="102"/>
        <v>78200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78200</v>
      </c>
      <c r="AG374" s="176">
        <f t="shared" ca="1" si="106"/>
        <v>125150</v>
      </c>
      <c r="AI374" s="11">
        <f t="shared" si="104"/>
        <v>1200</v>
      </c>
      <c r="AJ374" s="10">
        <v>1200</v>
      </c>
      <c r="AK374" s="11">
        <f t="shared" si="100"/>
        <v>200</v>
      </c>
      <c r="AL374" s="10">
        <v>200</v>
      </c>
      <c r="AM374" s="11">
        <f t="shared" si="100"/>
        <v>0</v>
      </c>
      <c r="AN374" s="10">
        <v>0</v>
      </c>
      <c r="AO374" s="55">
        <f t="shared" si="105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97"/>
        <v>111090011</v>
      </c>
      <c r="B375" s="13">
        <v>11</v>
      </c>
      <c r="C375" s="12">
        <f t="shared" si="98"/>
        <v>1</v>
      </c>
      <c r="D375" s="13">
        <v>9</v>
      </c>
      <c r="E375" s="13">
        <v>0</v>
      </c>
      <c r="F375" s="12">
        <f t="shared" si="99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1436</v>
      </c>
      <c r="P375" s="55" t="s">
        <v>1438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240400</v>
      </c>
      <c r="AC375" s="55">
        <v>8</v>
      </c>
      <c r="AE375" s="55">
        <f t="shared" ca="1" si="102"/>
        <v>132250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132250</v>
      </c>
      <c r="AG375" s="176">
        <f t="shared" ca="1" si="106"/>
        <v>210450</v>
      </c>
      <c r="AI375" s="11">
        <f t="shared" si="104"/>
        <v>1500</v>
      </c>
      <c r="AJ375" s="10">
        <v>1500</v>
      </c>
      <c r="AK375" s="11">
        <f t="shared" si="100"/>
        <v>250</v>
      </c>
      <c r="AL375" s="10">
        <v>250</v>
      </c>
      <c r="AM375" s="11">
        <f t="shared" si="100"/>
        <v>0</v>
      </c>
      <c r="AN375" s="10">
        <v>0</v>
      </c>
      <c r="AO375" s="55">
        <f t="shared" si="105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97"/>
        <v>111090012</v>
      </c>
      <c r="B376" s="13">
        <v>11</v>
      </c>
      <c r="C376" s="12">
        <f t="shared" si="98"/>
        <v>1</v>
      </c>
      <c r="D376" s="13">
        <v>9</v>
      </c>
      <c r="E376" s="13">
        <v>0</v>
      </c>
      <c r="F376" s="12">
        <f t="shared" si="99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1436</v>
      </c>
      <c r="P376" s="55" t="s">
        <v>1438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630500</v>
      </c>
      <c r="AC376" s="55">
        <v>9</v>
      </c>
      <c r="AE376" s="55">
        <f t="shared" ca="1" si="102"/>
        <v>222300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222300</v>
      </c>
      <c r="AG376" s="176">
        <f t="shared" ca="1" si="106"/>
        <v>354550</v>
      </c>
      <c r="AI376" s="11">
        <f t="shared" si="104"/>
        <v>1800</v>
      </c>
      <c r="AJ376" s="10">
        <v>1800</v>
      </c>
      <c r="AK376" s="11">
        <f t="shared" si="100"/>
        <v>300</v>
      </c>
      <c r="AL376" s="10">
        <v>300</v>
      </c>
      <c r="AM376" s="11">
        <f t="shared" si="100"/>
        <v>0</v>
      </c>
      <c r="AN376" s="10">
        <v>0</v>
      </c>
      <c r="AO376" s="55">
        <f t="shared" si="105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97"/>
        <v>111090013</v>
      </c>
      <c r="B377" s="13">
        <v>11</v>
      </c>
      <c r="C377" s="12">
        <f t="shared" si="98"/>
        <v>1</v>
      </c>
      <c r="D377" s="13">
        <v>9</v>
      </c>
      <c r="E377" s="13">
        <v>0</v>
      </c>
      <c r="F377" s="12">
        <f t="shared" si="99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1436</v>
      </c>
      <c r="P377" s="55" t="s">
        <v>1438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1170750</v>
      </c>
      <c r="AC377" s="55">
        <v>10</v>
      </c>
      <c r="AE377" s="55">
        <f t="shared" ca="1" si="102"/>
        <v>372350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372350</v>
      </c>
      <c r="AG377" s="176">
        <f t="shared" ca="1" si="106"/>
        <v>594650</v>
      </c>
      <c r="AI377" s="11">
        <f t="shared" si="104"/>
        <v>2100</v>
      </c>
      <c r="AJ377" s="10">
        <v>2100</v>
      </c>
      <c r="AK377" s="11">
        <f t="shared" si="100"/>
        <v>350</v>
      </c>
      <c r="AL377" s="10">
        <v>350</v>
      </c>
      <c r="AM377" s="11">
        <f t="shared" si="100"/>
        <v>0</v>
      </c>
      <c r="AN377" s="10">
        <v>0</v>
      </c>
      <c r="AO377" s="55">
        <f t="shared" si="105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97"/>
        <v>111090014</v>
      </c>
      <c r="B378" s="13">
        <v>11</v>
      </c>
      <c r="C378" s="12">
        <f t="shared" si="98"/>
        <v>1</v>
      </c>
      <c r="D378" s="13">
        <v>9</v>
      </c>
      <c r="E378" s="13">
        <v>0</v>
      </c>
      <c r="F378" s="12">
        <f t="shared" si="99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1436</v>
      </c>
      <c r="P378" s="55" t="s">
        <v>1438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1956000</v>
      </c>
      <c r="AC378" s="55">
        <v>11</v>
      </c>
      <c r="AE378" s="55">
        <f t="shared" ca="1" si="102"/>
        <v>582450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582450</v>
      </c>
      <c r="AG378" s="176">
        <f t="shared" ca="1" si="106"/>
        <v>954800</v>
      </c>
      <c r="AI378" s="11">
        <f t="shared" si="104"/>
        <v>2400</v>
      </c>
      <c r="AJ378" s="10">
        <v>2400</v>
      </c>
      <c r="AK378" s="11">
        <f t="shared" si="100"/>
        <v>450</v>
      </c>
      <c r="AL378" s="10">
        <v>450</v>
      </c>
      <c r="AM378" s="11">
        <f t="shared" si="100"/>
        <v>0</v>
      </c>
      <c r="AN378" s="10">
        <v>0</v>
      </c>
      <c r="AO378" s="55">
        <f t="shared" si="105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97"/>
        <v>111090015</v>
      </c>
      <c r="B379" s="13">
        <v>11</v>
      </c>
      <c r="C379" s="12">
        <f t="shared" si="98"/>
        <v>1</v>
      </c>
      <c r="D379" s="13">
        <v>9</v>
      </c>
      <c r="E379" s="13">
        <v>0</v>
      </c>
      <c r="F379" s="12">
        <f t="shared" si="99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1436</v>
      </c>
      <c r="P379" s="55" t="s">
        <v>1438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3961500</v>
      </c>
      <c r="AC379" s="55">
        <v>12</v>
      </c>
      <c r="AE379" s="55">
        <f t="shared" ca="1" si="102"/>
        <v>1428550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1428550</v>
      </c>
      <c r="AG379" s="176">
        <f t="shared" ca="1" si="106"/>
        <v>2011000</v>
      </c>
      <c r="AI379" s="11">
        <f t="shared" si="104"/>
        <v>2700</v>
      </c>
      <c r="AJ379" s="10">
        <v>2700</v>
      </c>
      <c r="AK379" s="11">
        <f t="shared" si="100"/>
        <v>550</v>
      </c>
      <c r="AL379" s="10">
        <v>550</v>
      </c>
      <c r="AM379" s="11">
        <f t="shared" si="100"/>
        <v>0</v>
      </c>
      <c r="AN379" s="10">
        <v>0</v>
      </c>
      <c r="AO379" s="55">
        <f t="shared" si="105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97"/>
        <v>111090016</v>
      </c>
      <c r="B380" s="13">
        <v>11</v>
      </c>
      <c r="C380" s="12">
        <f t="shared" si="98"/>
        <v>1</v>
      </c>
      <c r="D380" s="13">
        <v>9</v>
      </c>
      <c r="E380" s="13">
        <v>0</v>
      </c>
      <c r="F380" s="12">
        <f t="shared" si="99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1436</v>
      </c>
      <c r="P380" s="55" t="s">
        <v>1438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7772100</v>
      </c>
      <c r="AC380" s="55">
        <v>13</v>
      </c>
      <c r="AE380" s="55">
        <f t="shared" ca="1" si="102"/>
        <v>2924700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2924700</v>
      </c>
      <c r="AG380" s="176">
        <f t="shared" ca="1" si="106"/>
        <v>4353250</v>
      </c>
      <c r="AI380" s="11">
        <f t="shared" si="104"/>
        <v>3000</v>
      </c>
      <c r="AJ380" s="10">
        <v>3000</v>
      </c>
      <c r="AK380" s="11">
        <f t="shared" si="100"/>
        <v>700</v>
      </c>
      <c r="AL380" s="10">
        <v>700</v>
      </c>
      <c r="AM380" s="11">
        <f t="shared" si="100"/>
        <v>0</v>
      </c>
      <c r="AN380" s="10">
        <v>0</v>
      </c>
      <c r="AO380" s="55">
        <f t="shared" si="105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97"/>
        <v>111090017</v>
      </c>
      <c r="B381" s="13">
        <v>11</v>
      </c>
      <c r="C381" s="12">
        <f t="shared" si="98"/>
        <v>1</v>
      </c>
      <c r="D381" s="13">
        <v>9</v>
      </c>
      <c r="E381" s="13">
        <v>0</v>
      </c>
      <c r="F381" s="12">
        <f t="shared" si="99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1436</v>
      </c>
      <c r="P381" s="55" t="s">
        <v>1438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13022450</v>
      </c>
      <c r="AC381" s="55">
        <v>14</v>
      </c>
      <c r="AE381" s="55">
        <f t="shared" ca="1" si="102"/>
        <v>5440850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5440850</v>
      </c>
      <c r="AG381" s="176">
        <f t="shared" ca="1" si="106"/>
        <v>8365550</v>
      </c>
      <c r="AI381" s="11">
        <f t="shared" si="104"/>
        <v>3300</v>
      </c>
      <c r="AJ381" s="10">
        <v>3300</v>
      </c>
      <c r="AK381" s="11">
        <f t="shared" si="100"/>
        <v>850</v>
      </c>
      <c r="AL381" s="10">
        <v>850</v>
      </c>
      <c r="AM381" s="11">
        <f t="shared" si="100"/>
        <v>0</v>
      </c>
      <c r="AN381" s="10">
        <v>0</v>
      </c>
      <c r="AO381" s="55">
        <f t="shared" si="105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97"/>
        <v>111090018</v>
      </c>
      <c r="B382" s="13">
        <v>11</v>
      </c>
      <c r="C382" s="12">
        <f t="shared" si="98"/>
        <v>1</v>
      </c>
      <c r="D382" s="13">
        <v>9</v>
      </c>
      <c r="E382" s="13">
        <v>0</v>
      </c>
      <c r="F382" s="12">
        <f t="shared" si="99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1436</v>
      </c>
      <c r="P382" s="55" t="s">
        <v>1438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23283600</v>
      </c>
      <c r="AC382" s="55">
        <v>15</v>
      </c>
      <c r="AE382" s="55">
        <f t="shared" ca="1" si="102"/>
        <v>8841050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8841050</v>
      </c>
      <c r="AG382" s="176">
        <f t="shared" ca="1" si="106"/>
        <v>14281900</v>
      </c>
      <c r="AI382" s="11">
        <f t="shared" si="104"/>
        <v>3600</v>
      </c>
      <c r="AJ382" s="10">
        <v>3600</v>
      </c>
      <c r="AK382" s="11">
        <f t="shared" si="100"/>
        <v>1050</v>
      </c>
      <c r="AL382" s="10">
        <v>1050</v>
      </c>
      <c r="AM382" s="11">
        <f t="shared" si="100"/>
        <v>0</v>
      </c>
      <c r="AN382" s="10">
        <v>0</v>
      </c>
      <c r="AO382" s="55">
        <f t="shared" si="105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97"/>
        <v>111090019</v>
      </c>
      <c r="B383" s="13">
        <v>11</v>
      </c>
      <c r="C383" s="12">
        <f t="shared" si="98"/>
        <v>1</v>
      </c>
      <c r="D383" s="13">
        <v>9</v>
      </c>
      <c r="E383" s="13">
        <v>0</v>
      </c>
      <c r="F383" s="12">
        <f t="shared" si="99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1436</v>
      </c>
      <c r="P383" s="55" t="s">
        <v>1438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50404400</v>
      </c>
      <c r="AC383" s="55">
        <v>16</v>
      </c>
      <c r="AE383" s="55">
        <f t="shared" ca="1" si="102"/>
        <v>13601250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13601250</v>
      </c>
      <c r="AG383" s="176">
        <f t="shared" ca="1" si="106"/>
        <v>22442300</v>
      </c>
      <c r="AI383" s="11">
        <f t="shared" si="104"/>
        <v>3900</v>
      </c>
      <c r="AJ383" s="10">
        <v>3900</v>
      </c>
      <c r="AK383" s="11">
        <f t="shared" si="100"/>
        <v>1250</v>
      </c>
      <c r="AL383" s="10">
        <v>1250</v>
      </c>
      <c r="AM383" s="11">
        <f t="shared" si="100"/>
        <v>0</v>
      </c>
      <c r="AN383" s="10">
        <v>0</v>
      </c>
      <c r="AO383" s="55">
        <f t="shared" si="105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97"/>
        <v>111090020</v>
      </c>
      <c r="B384" s="13">
        <v>11</v>
      </c>
      <c r="C384" s="12">
        <f t="shared" si="98"/>
        <v>1</v>
      </c>
      <c r="D384" s="13">
        <v>9</v>
      </c>
      <c r="E384" s="13">
        <v>0</v>
      </c>
      <c r="F384" s="12">
        <f t="shared" si="99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1436</v>
      </c>
      <c r="P384" s="55" t="s">
        <v>1438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119976300</v>
      </c>
      <c r="AC384" s="55">
        <v>17</v>
      </c>
      <c r="AE384" s="55">
        <f t="shared" ca="1" si="102"/>
        <v>21761500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21761500</v>
      </c>
      <c r="AG384" s="176">
        <f t="shared" ca="1" si="106"/>
        <v>35362750</v>
      </c>
      <c r="AI384" s="11">
        <f t="shared" si="104"/>
        <v>4200</v>
      </c>
      <c r="AJ384" s="10">
        <v>4200</v>
      </c>
      <c r="AK384" s="11">
        <f t="shared" si="100"/>
        <v>1500</v>
      </c>
      <c r="AL384" s="10">
        <v>1500</v>
      </c>
      <c r="AM384" s="11">
        <f t="shared" si="100"/>
        <v>0</v>
      </c>
      <c r="AN384" s="10">
        <v>0</v>
      </c>
      <c r="AO384" s="55">
        <f t="shared" si="105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07">B385*10000000+C385*1000000+D385*10000+E385*100+F385</f>
        <v>112060001</v>
      </c>
      <c r="B385" s="20">
        <v>11</v>
      </c>
      <c r="C385" s="19">
        <f t="shared" ref="C385:C428" si="108">H385</f>
        <v>2</v>
      </c>
      <c r="D385" s="20">
        <v>6</v>
      </c>
      <c r="E385" s="20">
        <v>0</v>
      </c>
      <c r="F385" s="19">
        <f t="shared" ref="F385:F428" si="109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1389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1170750</v>
      </c>
      <c r="AC385" s="56">
        <v>10</v>
      </c>
      <c r="AD385" s="76"/>
      <c r="AE385" s="56">
        <f t="shared" ca="1" si="102"/>
        <v>1215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1215</v>
      </c>
      <c r="AG385" s="178">
        <f ca="1">AE385</f>
        <v>1215</v>
      </c>
      <c r="AH385" s="76"/>
      <c r="AI385" s="18">
        <f t="shared" si="104"/>
        <v>3</v>
      </c>
      <c r="AJ385" s="17">
        <v>3</v>
      </c>
      <c r="AK385" s="18">
        <f t="shared" ref="AK385:AM429" si="110">ROUND(AL385,0)</f>
        <v>5</v>
      </c>
      <c r="AL385" s="17">
        <v>5</v>
      </c>
      <c r="AM385" s="18">
        <v>50</v>
      </c>
      <c r="AN385" s="17">
        <v>0</v>
      </c>
      <c r="AO385" s="56">
        <f t="shared" si="105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20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07"/>
        <v>112060002</v>
      </c>
      <c r="B386" s="13">
        <v>11</v>
      </c>
      <c r="C386" s="12">
        <f t="shared" si="108"/>
        <v>2</v>
      </c>
      <c r="D386" s="13">
        <v>6</v>
      </c>
      <c r="E386" s="13">
        <v>0</v>
      </c>
      <c r="F386" s="12">
        <f t="shared" si="109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1389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1170750</v>
      </c>
      <c r="AC386" s="55">
        <v>10</v>
      </c>
      <c r="AE386" s="55">
        <f t="shared" ca="1" si="102"/>
        <v>430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430</v>
      </c>
      <c r="AG386" s="176">
        <f ca="1">AE385+AE386</f>
        <v>1645</v>
      </c>
      <c r="AI386" s="11">
        <f t="shared" si="104"/>
        <v>5</v>
      </c>
      <c r="AJ386" s="10">
        <v>5</v>
      </c>
      <c r="AK386" s="11">
        <f t="shared" si="110"/>
        <v>10</v>
      </c>
      <c r="AL386" s="10">
        <v>10</v>
      </c>
      <c r="AM386" s="11">
        <v>100</v>
      </c>
      <c r="AN386" s="10">
        <v>0</v>
      </c>
      <c r="AO386" s="55">
        <f t="shared" si="105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40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07"/>
        <v>112060003</v>
      </c>
      <c r="B387" s="13">
        <v>11</v>
      </c>
      <c r="C387" s="12">
        <f t="shared" si="108"/>
        <v>2</v>
      </c>
      <c r="D387" s="13">
        <v>6</v>
      </c>
      <c r="E387" s="13">
        <v>0</v>
      </c>
      <c r="F387" s="12">
        <f t="shared" si="109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1389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1170750</v>
      </c>
      <c r="AC387" s="55">
        <v>10</v>
      </c>
      <c r="AE387" s="55">
        <f t="shared" ca="1" si="102"/>
        <v>645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645</v>
      </c>
      <c r="AG387" s="176">
        <f t="shared" ref="AG387:AG404" ca="1" si="111">AE386+AE387</f>
        <v>1075</v>
      </c>
      <c r="AI387" s="11">
        <f t="shared" si="104"/>
        <v>5</v>
      </c>
      <c r="AJ387" s="10">
        <v>5</v>
      </c>
      <c r="AK387" s="11">
        <f t="shared" si="110"/>
        <v>15</v>
      </c>
      <c r="AL387" s="10">
        <v>15</v>
      </c>
      <c r="AM387" s="11">
        <v>150</v>
      </c>
      <c r="AN387" s="10">
        <v>0</v>
      </c>
      <c r="AO387" s="55">
        <f t="shared" si="105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60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07"/>
        <v>112060004</v>
      </c>
      <c r="B388" s="13">
        <v>11</v>
      </c>
      <c r="C388" s="12">
        <f t="shared" si="108"/>
        <v>2</v>
      </c>
      <c r="D388" s="13">
        <v>6</v>
      </c>
      <c r="E388" s="13">
        <v>0</v>
      </c>
      <c r="F388" s="12">
        <f t="shared" si="109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1389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1170750</v>
      </c>
      <c r="AC388" s="55">
        <v>10</v>
      </c>
      <c r="AE388" s="55">
        <f t="shared" ca="1" si="102"/>
        <v>2545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2545</v>
      </c>
      <c r="AG388" s="176">
        <f t="shared" ca="1" si="111"/>
        <v>3190</v>
      </c>
      <c r="AI388" s="11">
        <f t="shared" si="104"/>
        <v>15</v>
      </c>
      <c r="AJ388" s="10">
        <v>15</v>
      </c>
      <c r="AK388" s="11">
        <f t="shared" si="110"/>
        <v>25</v>
      </c>
      <c r="AL388" s="10">
        <v>25</v>
      </c>
      <c r="AM388" s="11">
        <v>600</v>
      </c>
      <c r="AN388" s="10">
        <v>0</v>
      </c>
      <c r="AO388" s="55">
        <f t="shared" si="105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240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07"/>
        <v>112060005</v>
      </c>
      <c r="B389" s="13">
        <v>11</v>
      </c>
      <c r="C389" s="12">
        <f t="shared" si="108"/>
        <v>2</v>
      </c>
      <c r="D389" s="13">
        <v>6</v>
      </c>
      <c r="E389" s="13">
        <v>0</v>
      </c>
      <c r="F389" s="12">
        <f t="shared" si="109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1389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1170750</v>
      </c>
      <c r="AC389" s="55">
        <v>10</v>
      </c>
      <c r="AE389" s="55">
        <f t="shared" ca="1" si="102"/>
        <v>11380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11380</v>
      </c>
      <c r="AG389" s="176">
        <f t="shared" ca="1" si="111"/>
        <v>13925</v>
      </c>
      <c r="AI389" s="11">
        <f t="shared" si="104"/>
        <v>20</v>
      </c>
      <c r="AJ389" s="10">
        <v>20</v>
      </c>
      <c r="AK389" s="11">
        <f t="shared" si="110"/>
        <v>40</v>
      </c>
      <c r="AL389" s="10">
        <v>40</v>
      </c>
      <c r="AM389" s="11">
        <v>2700</v>
      </c>
      <c r="AN389" s="10">
        <v>0</v>
      </c>
      <c r="AO389" s="55">
        <f t="shared" si="105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1080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07"/>
        <v>112060006</v>
      </c>
      <c r="B390" s="13">
        <v>11</v>
      </c>
      <c r="C390" s="12">
        <f t="shared" si="108"/>
        <v>2</v>
      </c>
      <c r="D390" s="13">
        <v>6</v>
      </c>
      <c r="E390" s="13">
        <v>0</v>
      </c>
      <c r="F390" s="12">
        <f t="shared" si="109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1389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1170750</v>
      </c>
      <c r="AC390" s="55">
        <v>10</v>
      </c>
      <c r="AE390" s="55">
        <f t="shared" ca="1" si="102"/>
        <v>42850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42850</v>
      </c>
      <c r="AG390" s="176">
        <f t="shared" ca="1" si="111"/>
        <v>54230</v>
      </c>
      <c r="AI390" s="11">
        <f t="shared" si="104"/>
        <v>30</v>
      </c>
      <c r="AJ390" s="10">
        <v>30</v>
      </c>
      <c r="AK390" s="11">
        <f t="shared" si="110"/>
        <v>50</v>
      </c>
      <c r="AL390" s="10">
        <v>50</v>
      </c>
      <c r="AM390" s="11">
        <v>9000</v>
      </c>
      <c r="AN390" s="10">
        <v>0</v>
      </c>
      <c r="AO390" s="55">
        <f t="shared" si="105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3600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07"/>
        <v>112060007</v>
      </c>
      <c r="B391" s="13">
        <v>11</v>
      </c>
      <c r="C391" s="12">
        <f t="shared" si="108"/>
        <v>2</v>
      </c>
      <c r="D391" s="13">
        <v>6</v>
      </c>
      <c r="E391" s="13">
        <v>0</v>
      </c>
      <c r="F391" s="12">
        <f t="shared" si="109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1389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1956000</v>
      </c>
      <c r="AC391" s="55">
        <v>11</v>
      </c>
      <c r="AE391" s="55">
        <f t="shared" ca="1" si="102"/>
        <v>84100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84100</v>
      </c>
      <c r="AG391" s="176">
        <f t="shared" ca="1" si="111"/>
        <v>126950</v>
      </c>
      <c r="AI391" s="11">
        <f t="shared" si="104"/>
        <v>300</v>
      </c>
      <c r="AJ391" s="10">
        <v>300</v>
      </c>
      <c r="AK391" s="11">
        <f t="shared" si="110"/>
        <v>100</v>
      </c>
      <c r="AL391" s="10">
        <v>100</v>
      </c>
      <c r="AM391" s="11">
        <v>20000</v>
      </c>
      <c r="AN391" s="10">
        <v>0</v>
      </c>
      <c r="AO391" s="55">
        <f t="shared" si="105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8000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07"/>
        <v>112060008</v>
      </c>
      <c r="B392" s="13">
        <v>11</v>
      </c>
      <c r="C392" s="12">
        <f t="shared" si="108"/>
        <v>2</v>
      </c>
      <c r="D392" s="13">
        <v>6</v>
      </c>
      <c r="E392" s="13">
        <v>0</v>
      </c>
      <c r="F392" s="12">
        <f t="shared" si="109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1389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3961500</v>
      </c>
      <c r="AC392" s="55">
        <v>12</v>
      </c>
      <c r="AE392" s="55">
        <f t="shared" ca="1" si="102"/>
        <v>176500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176500</v>
      </c>
      <c r="AG392" s="176">
        <f t="shared" ca="1" si="111"/>
        <v>260600</v>
      </c>
      <c r="AI392" s="11">
        <f t="shared" si="104"/>
        <v>600</v>
      </c>
      <c r="AJ392" s="10">
        <v>600</v>
      </c>
      <c r="AK392" s="11">
        <f t="shared" si="110"/>
        <v>100</v>
      </c>
      <c r="AL392" s="10">
        <v>100</v>
      </c>
      <c r="AM392" s="11">
        <v>42000</v>
      </c>
      <c r="AN392" s="10">
        <v>0</v>
      </c>
      <c r="AO392" s="55">
        <f t="shared" si="105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16800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07"/>
        <v>112060009</v>
      </c>
      <c r="B393" s="13">
        <v>11</v>
      </c>
      <c r="C393" s="12">
        <f t="shared" si="108"/>
        <v>2</v>
      </c>
      <c r="D393" s="13">
        <v>6</v>
      </c>
      <c r="E393" s="13">
        <v>0</v>
      </c>
      <c r="F393" s="12">
        <f t="shared" si="109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1389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7772100</v>
      </c>
      <c r="AC393" s="55">
        <v>13</v>
      </c>
      <c r="AE393" s="55">
        <f t="shared" ca="1" si="102"/>
        <v>327750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327750</v>
      </c>
      <c r="AG393" s="176">
        <f t="shared" ca="1" si="111"/>
        <v>504250</v>
      </c>
      <c r="AI393" s="11">
        <f t="shared" si="104"/>
        <v>900</v>
      </c>
      <c r="AJ393" s="10">
        <v>900</v>
      </c>
      <c r="AK393" s="11">
        <f t="shared" si="110"/>
        <v>150</v>
      </c>
      <c r="AL393" s="10">
        <v>150</v>
      </c>
      <c r="AM393" s="11">
        <v>78000</v>
      </c>
      <c r="AN393" s="10">
        <v>0</v>
      </c>
      <c r="AO393" s="55">
        <f t="shared" si="105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31200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07"/>
        <v>112060010</v>
      </c>
      <c r="B394" s="13">
        <v>11</v>
      </c>
      <c r="C394" s="12">
        <f t="shared" si="108"/>
        <v>2</v>
      </c>
      <c r="D394" s="13">
        <v>6</v>
      </c>
      <c r="E394" s="13">
        <v>0</v>
      </c>
      <c r="F394" s="12">
        <f t="shared" si="109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1389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7772100</v>
      </c>
      <c r="AC394" s="55">
        <v>13</v>
      </c>
      <c r="AE394" s="55">
        <f t="shared" ca="1" si="102"/>
        <v>546200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546200</v>
      </c>
      <c r="AG394" s="176">
        <f t="shared" ca="1" si="111"/>
        <v>873950</v>
      </c>
      <c r="AI394" s="11">
        <f t="shared" si="104"/>
        <v>1200</v>
      </c>
      <c r="AJ394" s="10">
        <v>1200</v>
      </c>
      <c r="AK394" s="11">
        <f t="shared" si="110"/>
        <v>200</v>
      </c>
      <c r="AL394" s="10">
        <v>200</v>
      </c>
      <c r="AM394" s="11">
        <v>130000</v>
      </c>
      <c r="AN394" s="10">
        <v>0</v>
      </c>
      <c r="AO394" s="55">
        <f t="shared" si="105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52000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07"/>
        <v>112060011</v>
      </c>
      <c r="B395" s="13">
        <v>11</v>
      </c>
      <c r="C395" s="12">
        <f t="shared" si="108"/>
        <v>2</v>
      </c>
      <c r="D395" s="13">
        <v>6</v>
      </c>
      <c r="E395" s="13">
        <v>0</v>
      </c>
      <c r="F395" s="12">
        <f t="shared" si="109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1389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13022450</v>
      </c>
      <c r="AC395" s="55">
        <v>14</v>
      </c>
      <c r="AE395" s="55">
        <f t="shared" ca="1" si="102"/>
        <v>924250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924250</v>
      </c>
      <c r="AG395" s="176">
        <f t="shared" ca="1" si="111"/>
        <v>1470450</v>
      </c>
      <c r="AI395" s="11">
        <f t="shared" si="104"/>
        <v>1500</v>
      </c>
      <c r="AJ395" s="10">
        <v>1500</v>
      </c>
      <c r="AK395" s="11">
        <f t="shared" si="110"/>
        <v>250</v>
      </c>
      <c r="AL395" s="10">
        <v>250</v>
      </c>
      <c r="AM395" s="11">
        <v>220000</v>
      </c>
      <c r="AN395" s="10">
        <v>0</v>
      </c>
      <c r="AO395" s="55">
        <f t="shared" si="105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88000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07"/>
        <v>112060012</v>
      </c>
      <c r="B396" s="13">
        <v>11</v>
      </c>
      <c r="C396" s="12">
        <f t="shared" si="108"/>
        <v>2</v>
      </c>
      <c r="D396" s="13">
        <v>6</v>
      </c>
      <c r="E396" s="13">
        <v>0</v>
      </c>
      <c r="F396" s="12">
        <f t="shared" si="109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1389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23283600</v>
      </c>
      <c r="AC396" s="55">
        <v>15</v>
      </c>
      <c r="AE396" s="55">
        <f t="shared" ca="1" si="102"/>
        <v>1554300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1554300</v>
      </c>
      <c r="AG396" s="176">
        <f t="shared" ca="1" si="111"/>
        <v>2478550</v>
      </c>
      <c r="AI396" s="11">
        <f t="shared" si="104"/>
        <v>1800</v>
      </c>
      <c r="AJ396" s="10">
        <v>1800</v>
      </c>
      <c r="AK396" s="11">
        <f t="shared" si="110"/>
        <v>300</v>
      </c>
      <c r="AL396" s="10">
        <v>300</v>
      </c>
      <c r="AM396" s="11">
        <v>370000</v>
      </c>
      <c r="AN396" s="10">
        <v>0</v>
      </c>
      <c r="AO396" s="55">
        <f t="shared" si="105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148000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07"/>
        <v>112060013</v>
      </c>
      <c r="B397" s="13">
        <v>11</v>
      </c>
      <c r="C397" s="12">
        <f t="shared" si="108"/>
        <v>2</v>
      </c>
      <c r="D397" s="13">
        <v>6</v>
      </c>
      <c r="E397" s="13">
        <v>0</v>
      </c>
      <c r="F397" s="12">
        <f t="shared" si="109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1389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50404400</v>
      </c>
      <c r="AC397" s="55">
        <v>16</v>
      </c>
      <c r="AE397" s="55">
        <f t="shared" ca="1" si="102"/>
        <v>2604350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2604350</v>
      </c>
      <c r="AG397" s="176">
        <f t="shared" ca="1" si="111"/>
        <v>4158650</v>
      </c>
      <c r="AI397" s="11">
        <f t="shared" si="104"/>
        <v>2100</v>
      </c>
      <c r="AJ397" s="10">
        <v>2100</v>
      </c>
      <c r="AK397" s="11">
        <f t="shared" si="110"/>
        <v>350</v>
      </c>
      <c r="AL397" s="10">
        <v>350</v>
      </c>
      <c r="AM397" s="11">
        <v>620000</v>
      </c>
      <c r="AN397" s="10">
        <v>0</v>
      </c>
      <c r="AO397" s="55">
        <f t="shared" si="105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248000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07"/>
        <v>112060014</v>
      </c>
      <c r="B398" s="13">
        <v>11</v>
      </c>
      <c r="C398" s="12">
        <f t="shared" si="108"/>
        <v>2</v>
      </c>
      <c r="D398" s="13">
        <v>6</v>
      </c>
      <c r="E398" s="13">
        <v>0</v>
      </c>
      <c r="F398" s="12">
        <f t="shared" si="109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1389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119976300</v>
      </c>
      <c r="AC398" s="55">
        <v>17</v>
      </c>
      <c r="AE398" s="55">
        <f t="shared" ca="1" si="102"/>
        <v>4074450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4074450</v>
      </c>
      <c r="AG398" s="176">
        <f t="shared" ca="1" si="111"/>
        <v>6678800</v>
      </c>
      <c r="AI398" s="11">
        <f t="shared" si="104"/>
        <v>2400</v>
      </c>
      <c r="AJ398" s="10">
        <v>2400</v>
      </c>
      <c r="AK398" s="11">
        <f t="shared" si="110"/>
        <v>450</v>
      </c>
      <c r="AL398" s="10">
        <v>450</v>
      </c>
      <c r="AM398" s="11">
        <v>970000</v>
      </c>
      <c r="AN398" s="10">
        <v>0</v>
      </c>
      <c r="AO398" s="55">
        <f t="shared" si="105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388000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07"/>
        <v>112060015</v>
      </c>
      <c r="B399" s="13">
        <v>11</v>
      </c>
      <c r="C399" s="12">
        <f t="shared" si="108"/>
        <v>2</v>
      </c>
      <c r="D399" s="13">
        <v>6</v>
      </c>
      <c r="E399" s="13">
        <v>0</v>
      </c>
      <c r="F399" s="12">
        <f t="shared" si="109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1389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223207650</v>
      </c>
      <c r="AC399" s="55">
        <v>18</v>
      </c>
      <c r="AE399" s="55">
        <f t="shared" ca="1" si="102"/>
        <v>8820550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8820550</v>
      </c>
      <c r="AG399" s="176">
        <f t="shared" ca="1" si="111"/>
        <v>12895000</v>
      </c>
      <c r="AI399" s="11">
        <f t="shared" si="104"/>
        <v>2700</v>
      </c>
      <c r="AJ399" s="10">
        <v>2700</v>
      </c>
      <c r="AK399" s="11">
        <f t="shared" si="110"/>
        <v>550</v>
      </c>
      <c r="AL399" s="10">
        <v>550</v>
      </c>
      <c r="AM399" s="11">
        <v>2100000</v>
      </c>
      <c r="AN399" s="10">
        <v>0</v>
      </c>
      <c r="AO399" s="55">
        <f t="shared" si="105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840000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07"/>
        <v>112060016</v>
      </c>
      <c r="B400" s="13">
        <v>11</v>
      </c>
      <c r="C400" s="12">
        <f t="shared" si="108"/>
        <v>2</v>
      </c>
      <c r="D400" s="13">
        <v>6</v>
      </c>
      <c r="E400" s="13">
        <v>0</v>
      </c>
      <c r="F400" s="12">
        <f t="shared" si="109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1389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223207650</v>
      </c>
      <c r="AC400" s="55">
        <v>18</v>
      </c>
      <c r="AE400" s="55">
        <f t="shared" ca="1" si="102"/>
        <v>18060700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18060700</v>
      </c>
      <c r="AG400" s="176">
        <f t="shared" ca="1" si="111"/>
        <v>26881250</v>
      </c>
      <c r="AI400" s="11">
        <f t="shared" si="104"/>
        <v>3000</v>
      </c>
      <c r="AJ400" s="10">
        <v>3000</v>
      </c>
      <c r="AK400" s="11">
        <f t="shared" si="110"/>
        <v>700</v>
      </c>
      <c r="AL400" s="10">
        <v>700</v>
      </c>
      <c r="AM400" s="11">
        <v>4300000</v>
      </c>
      <c r="AN400" s="10">
        <v>0</v>
      </c>
      <c r="AO400" s="55">
        <f t="shared" si="105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1720000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07"/>
        <v>112060017</v>
      </c>
      <c r="B401" s="13">
        <v>11</v>
      </c>
      <c r="C401" s="12">
        <f t="shared" si="108"/>
        <v>2</v>
      </c>
      <c r="D401" s="13">
        <v>6</v>
      </c>
      <c r="E401" s="13">
        <v>0</v>
      </c>
      <c r="F401" s="12">
        <f t="shared" si="109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1389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223207650</v>
      </c>
      <c r="AC401" s="55">
        <v>18</v>
      </c>
      <c r="AE401" s="55">
        <f t="shared" ca="1" si="102"/>
        <v>33600850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33600850</v>
      </c>
      <c r="AG401" s="176">
        <f t="shared" ca="1" si="111"/>
        <v>51661550</v>
      </c>
      <c r="AI401" s="11">
        <f t="shared" si="104"/>
        <v>3300</v>
      </c>
      <c r="AJ401" s="10">
        <v>3300</v>
      </c>
      <c r="AK401" s="11">
        <f t="shared" si="110"/>
        <v>850</v>
      </c>
      <c r="AL401" s="10">
        <v>850</v>
      </c>
      <c r="AM401" s="11">
        <v>8000000</v>
      </c>
      <c r="AN401" s="10">
        <v>0</v>
      </c>
      <c r="AO401" s="55">
        <f t="shared" si="105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3200000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07"/>
        <v>112060018</v>
      </c>
      <c r="B402" s="13">
        <v>11</v>
      </c>
      <c r="C402" s="12">
        <f t="shared" si="108"/>
        <v>2</v>
      </c>
      <c r="D402" s="13">
        <v>6</v>
      </c>
      <c r="E402" s="13">
        <v>0</v>
      </c>
      <c r="F402" s="12">
        <f t="shared" si="109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1389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223207650</v>
      </c>
      <c r="AC402" s="55">
        <v>18</v>
      </c>
      <c r="AE402" s="55">
        <f t="shared" ca="1" si="102"/>
        <v>54601050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54601050</v>
      </c>
      <c r="AG402" s="176">
        <f t="shared" ca="1" si="111"/>
        <v>88201900</v>
      </c>
      <c r="AI402" s="11">
        <f t="shared" si="104"/>
        <v>3600</v>
      </c>
      <c r="AJ402" s="10">
        <v>3600</v>
      </c>
      <c r="AK402" s="11">
        <f t="shared" si="110"/>
        <v>1050</v>
      </c>
      <c r="AL402" s="10">
        <v>1050</v>
      </c>
      <c r="AM402" s="11">
        <v>13000000</v>
      </c>
      <c r="AN402" s="10">
        <v>0</v>
      </c>
      <c r="AO402" s="55">
        <f t="shared" si="105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5200000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07"/>
        <v>112060019</v>
      </c>
      <c r="B403" s="13">
        <v>11</v>
      </c>
      <c r="C403" s="12">
        <f t="shared" si="108"/>
        <v>2</v>
      </c>
      <c r="D403" s="13">
        <v>6</v>
      </c>
      <c r="E403" s="13">
        <v>0</v>
      </c>
      <c r="F403" s="12">
        <f t="shared" si="109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1389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223207650</v>
      </c>
      <c r="AC403" s="55">
        <v>18</v>
      </c>
      <c r="AE403" s="55">
        <f t="shared" ca="1" si="102"/>
        <v>84001250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84001250</v>
      </c>
      <c r="AG403" s="176">
        <f t="shared" ca="1" si="111"/>
        <v>138602300</v>
      </c>
      <c r="AI403" s="11">
        <f t="shared" si="104"/>
        <v>3900</v>
      </c>
      <c r="AJ403" s="10">
        <v>3900</v>
      </c>
      <c r="AK403" s="11">
        <f t="shared" si="110"/>
        <v>1250</v>
      </c>
      <c r="AL403" s="10">
        <v>1250</v>
      </c>
      <c r="AM403" s="11">
        <v>20000000</v>
      </c>
      <c r="AN403" s="10">
        <v>0</v>
      </c>
      <c r="AO403" s="55">
        <f t="shared" si="105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8000000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07"/>
        <v>112060020</v>
      </c>
      <c r="B404" s="13">
        <v>11</v>
      </c>
      <c r="C404" s="12">
        <f t="shared" si="108"/>
        <v>2</v>
      </c>
      <c r="D404" s="13">
        <v>6</v>
      </c>
      <c r="E404" s="13">
        <v>0</v>
      </c>
      <c r="F404" s="12">
        <f t="shared" si="109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1389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223207650</v>
      </c>
      <c r="AC404" s="55">
        <v>18</v>
      </c>
      <c r="AE404" s="55">
        <f t="shared" ca="1" si="102"/>
        <v>134401500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134401500</v>
      </c>
      <c r="AG404" s="176">
        <f t="shared" ca="1" si="111"/>
        <v>218402750</v>
      </c>
      <c r="AI404" s="11">
        <f t="shared" si="104"/>
        <v>4200</v>
      </c>
      <c r="AJ404" s="10">
        <v>4200</v>
      </c>
      <c r="AK404" s="11">
        <f t="shared" si="110"/>
        <v>1500</v>
      </c>
      <c r="AL404" s="10">
        <v>1500</v>
      </c>
      <c r="AM404" s="11">
        <v>32000000</v>
      </c>
      <c r="AN404" s="10">
        <v>0</v>
      </c>
      <c r="AO404" s="55">
        <f t="shared" si="105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12800000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07"/>
        <v>112070001</v>
      </c>
      <c r="B405" s="20">
        <v>11</v>
      </c>
      <c r="C405" s="19">
        <f t="shared" si="108"/>
        <v>2</v>
      </c>
      <c r="D405" s="20">
        <v>7</v>
      </c>
      <c r="E405" s="20">
        <v>0</v>
      </c>
      <c r="F405" s="19">
        <f t="shared" si="109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1390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108200</v>
      </c>
      <c r="AC405" s="56">
        <v>7</v>
      </c>
      <c r="AD405" s="76"/>
      <c r="AE405" s="56">
        <f t="shared" ca="1" si="102"/>
        <v>1225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1225</v>
      </c>
      <c r="AG405" s="178">
        <f ca="1">AE405</f>
        <v>1225</v>
      </c>
      <c r="AH405" s="76"/>
      <c r="AI405" s="18">
        <f t="shared" si="104"/>
        <v>3</v>
      </c>
      <c r="AJ405" s="17">
        <v>3</v>
      </c>
      <c r="AK405" s="18">
        <f t="shared" si="110"/>
        <v>5</v>
      </c>
      <c r="AL405" s="17">
        <v>5</v>
      </c>
      <c r="AM405" s="18">
        <f t="shared" ref="AM405:AM411" si="112">ROUND(AN405,0)</f>
        <v>0</v>
      </c>
      <c r="AN405" s="17">
        <v>0</v>
      </c>
      <c r="AO405" s="56">
        <f t="shared" si="105"/>
        <v>3</v>
      </c>
      <c r="AP405" s="18"/>
      <c r="AQ405" s="18">
        <f ca="1">IFERROR(OFFSET(ITEM_RES!$A$1,MATCH(AR405,ITEM_RES!$J:$J,0)-1,0),0)</f>
        <v>211020801</v>
      </c>
      <c r="AR405" s="17" t="s">
        <v>1448</v>
      </c>
      <c r="AS405" s="18">
        <v>20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07"/>
        <v>112070002</v>
      </c>
      <c r="B406" s="13">
        <v>11</v>
      </c>
      <c r="C406" s="12">
        <f t="shared" si="108"/>
        <v>2</v>
      </c>
      <c r="D406" s="13">
        <v>7</v>
      </c>
      <c r="E406" s="13">
        <v>0</v>
      </c>
      <c r="F406" s="12">
        <f t="shared" si="109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1390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240400</v>
      </c>
      <c r="AC406" s="55">
        <v>8</v>
      </c>
      <c r="AE406" s="55">
        <f t="shared" ca="1" si="102"/>
        <v>450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450</v>
      </c>
      <c r="AG406" s="176">
        <f ca="1">AE405+AE406</f>
        <v>1675</v>
      </c>
      <c r="AI406" s="11">
        <f t="shared" si="104"/>
        <v>5</v>
      </c>
      <c r="AJ406" s="10">
        <v>5</v>
      </c>
      <c r="AK406" s="11">
        <f t="shared" si="110"/>
        <v>10</v>
      </c>
      <c r="AL406" s="10">
        <v>10</v>
      </c>
      <c r="AM406" s="11">
        <f t="shared" si="112"/>
        <v>0</v>
      </c>
      <c r="AN406" s="10">
        <v>0</v>
      </c>
      <c r="AO406" s="55">
        <f t="shared" si="105"/>
        <v>2</v>
      </c>
      <c r="AQ406" s="11">
        <f ca="1">IFERROR(OFFSET(ITEM_RES!$A$1,MATCH(AR406,ITEM_RES!$J:$J,0)-1,0),0)</f>
        <v>211020801</v>
      </c>
      <c r="AR406" s="10" t="s">
        <v>1448</v>
      </c>
      <c r="AS406" s="11">
        <v>40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07"/>
        <v>112070003</v>
      </c>
      <c r="B407" s="13">
        <v>11</v>
      </c>
      <c r="C407" s="12">
        <f t="shared" si="108"/>
        <v>2</v>
      </c>
      <c r="D407" s="13">
        <v>7</v>
      </c>
      <c r="E407" s="13">
        <v>0</v>
      </c>
      <c r="F407" s="12">
        <f t="shared" si="109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1391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630500</v>
      </c>
      <c r="AC407" s="55">
        <v>9</v>
      </c>
      <c r="AE407" s="55">
        <f t="shared" ca="1" si="102"/>
        <v>675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675</v>
      </c>
      <c r="AG407" s="176">
        <f t="shared" ref="AG407:AG424" ca="1" si="113">AE406+AE407</f>
        <v>1125</v>
      </c>
      <c r="AI407" s="11">
        <f t="shared" si="104"/>
        <v>5</v>
      </c>
      <c r="AJ407" s="10">
        <v>5</v>
      </c>
      <c r="AK407" s="11">
        <f t="shared" si="110"/>
        <v>15</v>
      </c>
      <c r="AL407" s="10">
        <v>15</v>
      </c>
      <c r="AM407" s="11">
        <f t="shared" si="112"/>
        <v>0</v>
      </c>
      <c r="AN407" s="10">
        <v>0</v>
      </c>
      <c r="AO407" s="55">
        <f t="shared" si="105"/>
        <v>2</v>
      </c>
      <c r="AQ407" s="11">
        <f ca="1">IFERROR(OFFSET(ITEM_RES!$A$1,MATCH(AR407,ITEM_RES!$J:$J,0)-1,0),0)</f>
        <v>211020801</v>
      </c>
      <c r="AR407" s="10" t="s">
        <v>1448</v>
      </c>
      <c r="AS407" s="11">
        <v>60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07"/>
        <v>112070004</v>
      </c>
      <c r="B408" s="13">
        <v>11</v>
      </c>
      <c r="C408" s="12">
        <f t="shared" si="108"/>
        <v>2</v>
      </c>
      <c r="D408" s="13">
        <v>7</v>
      </c>
      <c r="E408" s="13">
        <v>0</v>
      </c>
      <c r="F408" s="12">
        <f t="shared" si="109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1391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630500</v>
      </c>
      <c r="AC408" s="55">
        <v>9</v>
      </c>
      <c r="AE408" s="55">
        <f t="shared" ca="1" si="102"/>
        <v>2665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2665</v>
      </c>
      <c r="AG408" s="176">
        <f t="shared" ca="1" si="113"/>
        <v>3340</v>
      </c>
      <c r="AI408" s="11">
        <f t="shared" si="104"/>
        <v>15</v>
      </c>
      <c r="AJ408" s="10">
        <v>15</v>
      </c>
      <c r="AK408" s="11">
        <f t="shared" si="110"/>
        <v>25</v>
      </c>
      <c r="AL408" s="10">
        <v>25</v>
      </c>
      <c r="AM408" s="11">
        <f t="shared" si="112"/>
        <v>0</v>
      </c>
      <c r="AN408" s="10">
        <v>0</v>
      </c>
      <c r="AO408" s="55">
        <f t="shared" si="105"/>
        <v>2</v>
      </c>
      <c r="AQ408" s="11">
        <f ca="1">IFERROR(OFFSET(ITEM_RES!$A$1,MATCH(AR408,ITEM_RES!$J:$J,0)-1,0),0)</f>
        <v>211020801</v>
      </c>
      <c r="AR408" s="10" t="s">
        <v>1448</v>
      </c>
      <c r="AS408" s="11">
        <v>240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07"/>
        <v>112070005</v>
      </c>
      <c r="B409" s="13">
        <v>11</v>
      </c>
      <c r="C409" s="12">
        <f t="shared" si="108"/>
        <v>2</v>
      </c>
      <c r="D409" s="13">
        <v>7</v>
      </c>
      <c r="E409" s="13">
        <v>0</v>
      </c>
      <c r="F409" s="12">
        <f t="shared" si="109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1392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1170750</v>
      </c>
      <c r="AC409" s="55">
        <v>10</v>
      </c>
      <c r="AE409" s="55">
        <f t="shared" ca="1" si="102"/>
        <v>11920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11920</v>
      </c>
      <c r="AG409" s="176">
        <f t="shared" ca="1" si="113"/>
        <v>14585</v>
      </c>
      <c r="AI409" s="11">
        <f t="shared" ref="AI409:AI472" si="114">ROUND(AJ409,0)</f>
        <v>20</v>
      </c>
      <c r="AJ409" s="10">
        <v>20</v>
      </c>
      <c r="AK409" s="11">
        <f t="shared" si="110"/>
        <v>40</v>
      </c>
      <c r="AL409" s="10">
        <v>40</v>
      </c>
      <c r="AM409" s="11">
        <f t="shared" si="112"/>
        <v>0</v>
      </c>
      <c r="AN409" s="10">
        <v>0</v>
      </c>
      <c r="AO409" s="55">
        <f t="shared" si="105"/>
        <v>2</v>
      </c>
      <c r="AQ409" s="11">
        <f ca="1">IFERROR(OFFSET(ITEM_RES!$A$1,MATCH(AR409,ITEM_RES!$J:$J,0)-1,0),0)</f>
        <v>211020801</v>
      </c>
      <c r="AR409" s="10" t="s">
        <v>1448</v>
      </c>
      <c r="AS409" s="11">
        <v>1080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07"/>
        <v>112070006</v>
      </c>
      <c r="B410" s="13">
        <v>11</v>
      </c>
      <c r="C410" s="12">
        <f t="shared" si="108"/>
        <v>2</v>
      </c>
      <c r="D410" s="13">
        <v>7</v>
      </c>
      <c r="E410" s="13">
        <v>0</v>
      </c>
      <c r="F410" s="12">
        <f t="shared" si="109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1392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1170750</v>
      </c>
      <c r="AC410" s="55">
        <v>10</v>
      </c>
      <c r="AE410" s="55">
        <f t="shared" ref="AE410:AE473" ca="1" si="115">ROUND(AF410,0)</f>
        <v>39650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39650</v>
      </c>
      <c r="AG410" s="176">
        <f t="shared" ca="1" si="113"/>
        <v>51570</v>
      </c>
      <c r="AI410" s="11">
        <f t="shared" si="114"/>
        <v>30</v>
      </c>
      <c r="AJ410" s="10">
        <v>30</v>
      </c>
      <c r="AK410" s="11">
        <f t="shared" si="110"/>
        <v>50</v>
      </c>
      <c r="AL410" s="10">
        <v>50</v>
      </c>
      <c r="AM410" s="11">
        <f t="shared" si="112"/>
        <v>0</v>
      </c>
      <c r="AN410" s="10">
        <v>0</v>
      </c>
      <c r="AO410" s="55">
        <f t="shared" ref="AO410:AO473" si="116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1448</v>
      </c>
      <c r="AS410" s="11">
        <v>3600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07"/>
        <v>112070007</v>
      </c>
      <c r="B411" s="13">
        <v>11</v>
      </c>
      <c r="C411" s="12">
        <f t="shared" si="108"/>
        <v>2</v>
      </c>
      <c r="D411" s="13">
        <v>7</v>
      </c>
      <c r="E411" s="13">
        <v>0</v>
      </c>
      <c r="F411" s="12">
        <f t="shared" si="109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1393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1956000</v>
      </c>
      <c r="AC411" s="55">
        <v>11</v>
      </c>
      <c r="AE411" s="55">
        <f t="shared" ca="1" si="115"/>
        <v>88100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88100</v>
      </c>
      <c r="AG411" s="176">
        <f t="shared" ca="1" si="113"/>
        <v>127750</v>
      </c>
      <c r="AI411" s="11">
        <f t="shared" si="114"/>
        <v>300</v>
      </c>
      <c r="AJ411" s="10">
        <v>300</v>
      </c>
      <c r="AK411" s="11">
        <f t="shared" si="110"/>
        <v>100</v>
      </c>
      <c r="AL411" s="10">
        <v>100</v>
      </c>
      <c r="AM411" s="11">
        <f t="shared" si="112"/>
        <v>0</v>
      </c>
      <c r="AN411" s="10">
        <v>0</v>
      </c>
      <c r="AO411" s="55">
        <f t="shared" si="116"/>
        <v>2</v>
      </c>
      <c r="AQ411" s="11">
        <f ca="1">IFERROR(OFFSET(ITEM_RES!$A$1,MATCH(AR411,ITEM_RES!$J:$J,0)-1,0),0)</f>
        <v>211020801</v>
      </c>
      <c r="AR411" s="10" t="s">
        <v>1448</v>
      </c>
      <c r="AS411" s="11">
        <v>8000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07"/>
        <v>112070008</v>
      </c>
      <c r="B412" s="13">
        <v>11</v>
      </c>
      <c r="C412" s="12">
        <f t="shared" si="108"/>
        <v>2</v>
      </c>
      <c r="D412" s="13">
        <v>7</v>
      </c>
      <c r="E412" s="13">
        <v>0</v>
      </c>
      <c r="F412" s="12">
        <f t="shared" si="109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1393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3961500</v>
      </c>
      <c r="AC412" s="55">
        <v>12</v>
      </c>
      <c r="AE412" s="55">
        <f t="shared" ca="1" si="115"/>
        <v>185400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185400</v>
      </c>
      <c r="AG412" s="176">
        <f t="shared" ca="1" si="113"/>
        <v>273500</v>
      </c>
      <c r="AI412" s="11">
        <f t="shared" si="114"/>
        <v>600</v>
      </c>
      <c r="AJ412" s="10">
        <v>600</v>
      </c>
      <c r="AK412" s="11">
        <f t="shared" si="110"/>
        <v>100</v>
      </c>
      <c r="AL412" s="10">
        <v>100</v>
      </c>
      <c r="AM412" s="11">
        <v>500</v>
      </c>
      <c r="AN412" s="10">
        <v>0</v>
      </c>
      <c r="AO412" s="55">
        <f t="shared" si="116"/>
        <v>2</v>
      </c>
      <c r="AQ412" s="11">
        <f ca="1">IFERROR(OFFSET(ITEM_RES!$A$1,MATCH(AR412,ITEM_RES!$J:$J,0)-1,0),0)</f>
        <v>211020801</v>
      </c>
      <c r="AR412" s="10" t="s">
        <v>1448</v>
      </c>
      <c r="AS412" s="11">
        <v>16800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07"/>
        <v>112070009</v>
      </c>
      <c r="B413" s="13">
        <v>11</v>
      </c>
      <c r="C413" s="12">
        <f t="shared" si="108"/>
        <v>2</v>
      </c>
      <c r="D413" s="13">
        <v>7</v>
      </c>
      <c r="E413" s="13">
        <v>0</v>
      </c>
      <c r="F413" s="12">
        <f t="shared" si="109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1441</v>
      </c>
      <c r="P413" s="55" t="s">
        <v>1443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7772100</v>
      </c>
      <c r="AC413" s="55">
        <v>13</v>
      </c>
      <c r="AE413" s="55">
        <f t="shared" ca="1" si="115"/>
        <v>349350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349350</v>
      </c>
      <c r="AG413" s="176">
        <f t="shared" ca="1" si="113"/>
        <v>534750</v>
      </c>
      <c r="AI413" s="11">
        <f t="shared" si="114"/>
        <v>900</v>
      </c>
      <c r="AJ413" s="10">
        <v>900</v>
      </c>
      <c r="AK413" s="11">
        <f t="shared" si="110"/>
        <v>150</v>
      </c>
      <c r="AL413" s="10">
        <v>150</v>
      </c>
      <c r="AM413" s="11">
        <v>6000</v>
      </c>
      <c r="AN413" s="10">
        <v>0</v>
      </c>
      <c r="AO413" s="55">
        <f t="shared" si="116"/>
        <v>2</v>
      </c>
      <c r="AQ413" s="11">
        <f ca="1">IFERROR(OFFSET(ITEM_RES!$A$1,MATCH(AR413,ITEM_RES!$J:$J,0)-1,0),0)</f>
        <v>211020801</v>
      </c>
      <c r="AR413" s="10" t="s">
        <v>1448</v>
      </c>
      <c r="AS413" s="11">
        <v>31200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07"/>
        <v>112070010</v>
      </c>
      <c r="B414" s="13">
        <v>11</v>
      </c>
      <c r="C414" s="12">
        <f t="shared" si="108"/>
        <v>2</v>
      </c>
      <c r="D414" s="13">
        <v>7</v>
      </c>
      <c r="E414" s="13">
        <v>0</v>
      </c>
      <c r="F414" s="12">
        <f t="shared" si="109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1441</v>
      </c>
      <c r="P414" s="55" t="s">
        <v>1443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7772100</v>
      </c>
      <c r="AC414" s="55">
        <v>13</v>
      </c>
      <c r="AE414" s="55">
        <f t="shared" ca="1" si="115"/>
        <v>611200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611200</v>
      </c>
      <c r="AG414" s="176">
        <f t="shared" ca="1" si="113"/>
        <v>960550</v>
      </c>
      <c r="AI414" s="11">
        <f t="shared" si="114"/>
        <v>1200</v>
      </c>
      <c r="AJ414" s="10">
        <v>1200</v>
      </c>
      <c r="AK414" s="11">
        <f t="shared" si="110"/>
        <v>200</v>
      </c>
      <c r="AL414" s="10">
        <v>200</v>
      </c>
      <c r="AM414" s="11">
        <v>39000</v>
      </c>
      <c r="AN414" s="10">
        <v>0</v>
      </c>
      <c r="AO414" s="55">
        <f t="shared" si="116"/>
        <v>2</v>
      </c>
      <c r="AQ414" s="11">
        <f ca="1">IFERROR(OFFSET(ITEM_RES!$A$1,MATCH(AR414,ITEM_RES!$J:$J,0)-1,0),0)</f>
        <v>211020801</v>
      </c>
      <c r="AR414" s="10" t="s">
        <v>1448</v>
      </c>
      <c r="AS414" s="11">
        <v>52000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07"/>
        <v>112070011</v>
      </c>
      <c r="B415" s="13">
        <v>11</v>
      </c>
      <c r="C415" s="12">
        <f t="shared" si="108"/>
        <v>2</v>
      </c>
      <c r="D415" s="13">
        <v>7</v>
      </c>
      <c r="E415" s="13">
        <v>0</v>
      </c>
      <c r="F415" s="12">
        <f t="shared" si="109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1440</v>
      </c>
      <c r="P415" s="55" t="s">
        <v>1442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13022450</v>
      </c>
      <c r="AC415" s="55">
        <v>14</v>
      </c>
      <c r="AE415" s="55">
        <f t="shared" ca="1" si="115"/>
        <v>1036250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1036250</v>
      </c>
      <c r="AG415" s="176">
        <f t="shared" ca="1" si="113"/>
        <v>1647450</v>
      </c>
      <c r="AI415" s="11">
        <f t="shared" si="114"/>
        <v>1500</v>
      </c>
      <c r="AJ415" s="10">
        <v>1500</v>
      </c>
      <c r="AK415" s="11">
        <f t="shared" si="110"/>
        <v>250</v>
      </c>
      <c r="AL415" s="10">
        <v>250</v>
      </c>
      <c r="AM415" s="11">
        <v>65000</v>
      </c>
      <c r="AN415" s="10">
        <v>0</v>
      </c>
      <c r="AO415" s="55">
        <f t="shared" si="116"/>
        <v>3</v>
      </c>
      <c r="AQ415" s="11">
        <f ca="1">IFERROR(OFFSET(ITEM_RES!$A$1,MATCH(AR415,ITEM_RES!$J:$J,0)-1,0),0)</f>
        <v>211020801</v>
      </c>
      <c r="AR415" s="10" t="s">
        <v>1448</v>
      </c>
      <c r="AS415" s="11">
        <v>88000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07"/>
        <v>112070012</v>
      </c>
      <c r="B416" s="13">
        <v>11</v>
      </c>
      <c r="C416" s="12">
        <f t="shared" si="108"/>
        <v>2</v>
      </c>
      <c r="D416" s="13">
        <v>7</v>
      </c>
      <c r="E416" s="13">
        <v>0</v>
      </c>
      <c r="F416" s="12">
        <f t="shared" si="109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1440</v>
      </c>
      <c r="P416" s="55" t="s">
        <v>1442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23283600</v>
      </c>
      <c r="AC416" s="55">
        <v>15</v>
      </c>
      <c r="AE416" s="55">
        <f t="shared" ca="1" si="115"/>
        <v>1738300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1738300</v>
      </c>
      <c r="AG416" s="176">
        <f t="shared" ca="1" si="113"/>
        <v>2774550</v>
      </c>
      <c r="AI416" s="11">
        <f t="shared" si="114"/>
        <v>1800</v>
      </c>
      <c r="AJ416" s="10">
        <v>1800</v>
      </c>
      <c r="AK416" s="11">
        <f t="shared" si="110"/>
        <v>300</v>
      </c>
      <c r="AL416" s="10">
        <v>300</v>
      </c>
      <c r="AM416" s="11">
        <v>110000</v>
      </c>
      <c r="AN416" s="10">
        <v>0</v>
      </c>
      <c r="AO416" s="55">
        <f t="shared" si="116"/>
        <v>2</v>
      </c>
      <c r="AQ416" s="11">
        <f ca="1">IFERROR(OFFSET(ITEM_RES!$A$1,MATCH(AR416,ITEM_RES!$J:$J,0)-1,0),0)</f>
        <v>211020801</v>
      </c>
      <c r="AR416" s="10" t="s">
        <v>1448</v>
      </c>
      <c r="AS416" s="11">
        <v>148000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07"/>
        <v>112070013</v>
      </c>
      <c r="B417" s="13">
        <v>11</v>
      </c>
      <c r="C417" s="12">
        <f t="shared" si="108"/>
        <v>2</v>
      </c>
      <c r="D417" s="13">
        <v>7</v>
      </c>
      <c r="E417" s="13">
        <v>0</v>
      </c>
      <c r="F417" s="12">
        <f t="shared" si="109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1440</v>
      </c>
      <c r="P417" s="55" t="s">
        <v>1442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50404400</v>
      </c>
      <c r="AC417" s="55">
        <v>16</v>
      </c>
      <c r="AE417" s="55">
        <f t="shared" ca="1" si="115"/>
        <v>2913350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2913350</v>
      </c>
      <c r="AG417" s="176">
        <f t="shared" ca="1" si="113"/>
        <v>4651650</v>
      </c>
      <c r="AI417" s="11">
        <f t="shared" si="114"/>
        <v>2100</v>
      </c>
      <c r="AJ417" s="10">
        <v>2100</v>
      </c>
      <c r="AK417" s="11">
        <f t="shared" si="110"/>
        <v>350</v>
      </c>
      <c r="AL417" s="10">
        <v>350</v>
      </c>
      <c r="AM417" s="11">
        <v>185000</v>
      </c>
      <c r="AN417" s="10">
        <v>0</v>
      </c>
      <c r="AO417" s="55">
        <f t="shared" si="116"/>
        <v>2</v>
      </c>
      <c r="AQ417" s="11">
        <f ca="1">IFERROR(OFFSET(ITEM_RES!$A$1,MATCH(AR417,ITEM_RES!$J:$J,0)-1,0),0)</f>
        <v>211020801</v>
      </c>
      <c r="AR417" s="10" t="s">
        <v>1448</v>
      </c>
      <c r="AS417" s="11">
        <v>248000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07"/>
        <v>112070014</v>
      </c>
      <c r="B418" s="13">
        <v>11</v>
      </c>
      <c r="C418" s="12">
        <f t="shared" si="108"/>
        <v>2</v>
      </c>
      <c r="D418" s="13">
        <v>7</v>
      </c>
      <c r="E418" s="13">
        <v>0</v>
      </c>
      <c r="F418" s="12">
        <f t="shared" si="109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1440</v>
      </c>
      <c r="P418" s="55" t="s">
        <v>1442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119976300</v>
      </c>
      <c r="AC418" s="55">
        <v>17</v>
      </c>
      <c r="AE418" s="55">
        <f t="shared" ca="1" si="115"/>
        <v>5354450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5354450</v>
      </c>
      <c r="AG418" s="176">
        <f t="shared" ca="1" si="113"/>
        <v>8267800</v>
      </c>
      <c r="AI418" s="11">
        <f t="shared" si="114"/>
        <v>2400</v>
      </c>
      <c r="AJ418" s="10">
        <v>2400</v>
      </c>
      <c r="AK418" s="11">
        <f t="shared" si="110"/>
        <v>450</v>
      </c>
      <c r="AL418" s="10">
        <v>450</v>
      </c>
      <c r="AM418" s="11">
        <v>310000</v>
      </c>
      <c r="AN418" s="10">
        <v>0</v>
      </c>
      <c r="AO418" s="55">
        <f t="shared" si="116"/>
        <v>2</v>
      </c>
      <c r="AQ418" s="11">
        <f ca="1">IFERROR(OFFSET(ITEM_RES!$A$1,MATCH(AR418,ITEM_RES!$J:$J,0)-1,0),0)</f>
        <v>211020901</v>
      </c>
      <c r="AR418" s="10" t="s">
        <v>1449</v>
      </c>
      <c r="AS418" s="11">
        <v>388000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07"/>
        <v>112070015</v>
      </c>
      <c r="B419" s="13">
        <v>11</v>
      </c>
      <c r="C419" s="12">
        <f t="shared" si="108"/>
        <v>2</v>
      </c>
      <c r="D419" s="13">
        <v>7</v>
      </c>
      <c r="E419" s="13">
        <v>0</v>
      </c>
      <c r="F419" s="12">
        <f t="shared" si="109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1440</v>
      </c>
      <c r="P419" s="55" t="s">
        <v>1442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223207650</v>
      </c>
      <c r="AC419" s="55">
        <v>18</v>
      </c>
      <c r="AE419" s="55">
        <f t="shared" ca="1" si="115"/>
        <v>11909550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11909550</v>
      </c>
      <c r="AG419" s="176">
        <f t="shared" ca="1" si="113"/>
        <v>17264000</v>
      </c>
      <c r="AI419" s="11">
        <f t="shared" si="114"/>
        <v>2700</v>
      </c>
      <c r="AJ419" s="10">
        <v>2700</v>
      </c>
      <c r="AK419" s="11">
        <f t="shared" si="110"/>
        <v>550</v>
      </c>
      <c r="AL419" s="10">
        <v>550</v>
      </c>
      <c r="AM419" s="11">
        <v>485000</v>
      </c>
      <c r="AN419" s="10">
        <v>0</v>
      </c>
      <c r="AO419" s="55">
        <f t="shared" si="116"/>
        <v>2</v>
      </c>
      <c r="AQ419" s="11">
        <f ca="1">IFERROR(OFFSET(ITEM_RES!$A$1,MATCH(AR419,ITEM_RES!$J:$J,0)-1,0),0)</f>
        <v>211020901</v>
      </c>
      <c r="AR419" s="10" t="s">
        <v>1449</v>
      </c>
      <c r="AS419" s="11">
        <v>840000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07"/>
        <v>112070016</v>
      </c>
      <c r="B420" s="13">
        <v>11</v>
      </c>
      <c r="C420" s="12">
        <f t="shared" si="108"/>
        <v>2</v>
      </c>
      <c r="D420" s="13">
        <v>7</v>
      </c>
      <c r="E420" s="13">
        <v>0</v>
      </c>
      <c r="F420" s="12">
        <f t="shared" si="109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1440</v>
      </c>
      <c r="P420" s="55" t="s">
        <v>1442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223207650</v>
      </c>
      <c r="AC420" s="55">
        <v>18</v>
      </c>
      <c r="AE420" s="55">
        <f t="shared" ca="1" si="115"/>
        <v>24442700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24442700</v>
      </c>
      <c r="AG420" s="176">
        <f t="shared" ca="1" si="113"/>
        <v>36352250</v>
      </c>
      <c r="AI420" s="11">
        <f t="shared" si="114"/>
        <v>3000</v>
      </c>
      <c r="AJ420" s="10">
        <v>3000</v>
      </c>
      <c r="AK420" s="11">
        <f t="shared" si="110"/>
        <v>700</v>
      </c>
      <c r="AL420" s="10">
        <v>700</v>
      </c>
      <c r="AM420" s="11">
        <v>1050000</v>
      </c>
      <c r="AN420" s="10">
        <v>0</v>
      </c>
      <c r="AO420" s="55">
        <f t="shared" si="116"/>
        <v>2</v>
      </c>
      <c r="AQ420" s="11">
        <f ca="1">IFERROR(OFFSET(ITEM_RES!$A$1,MATCH(AR420,ITEM_RES!$J:$J,0)-1,0),0)</f>
        <v>211020901</v>
      </c>
      <c r="AR420" s="10" t="s">
        <v>1449</v>
      </c>
      <c r="AS420" s="11">
        <v>1720000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07"/>
        <v>112070017</v>
      </c>
      <c r="B421" s="13">
        <v>11</v>
      </c>
      <c r="C421" s="12">
        <f t="shared" si="108"/>
        <v>2</v>
      </c>
      <c r="D421" s="13">
        <v>7</v>
      </c>
      <c r="E421" s="13">
        <v>0</v>
      </c>
      <c r="F421" s="12">
        <f t="shared" si="109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1440</v>
      </c>
      <c r="P421" s="55" t="s">
        <v>1442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223207650</v>
      </c>
      <c r="AC421" s="55">
        <v>18</v>
      </c>
      <c r="AE421" s="55">
        <f t="shared" ca="1" si="115"/>
        <v>45670850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45670850</v>
      </c>
      <c r="AG421" s="176">
        <f t="shared" ca="1" si="113"/>
        <v>70113550</v>
      </c>
      <c r="AI421" s="11">
        <f t="shared" si="114"/>
        <v>3300</v>
      </c>
      <c r="AJ421" s="10">
        <v>3300</v>
      </c>
      <c r="AK421" s="11">
        <f t="shared" si="110"/>
        <v>850</v>
      </c>
      <c r="AL421" s="10">
        <v>850</v>
      </c>
      <c r="AM421" s="11">
        <v>2150000</v>
      </c>
      <c r="AN421" s="10">
        <v>0</v>
      </c>
      <c r="AO421" s="55">
        <f t="shared" si="116"/>
        <v>2</v>
      </c>
      <c r="AQ421" s="11">
        <f ca="1">IFERROR(OFFSET(ITEM_RES!$A$1,MATCH(AR421,ITEM_RES!$J:$J,0)-1,0),0)</f>
        <v>211020901</v>
      </c>
      <c r="AR421" s="10" t="s">
        <v>1449</v>
      </c>
      <c r="AS421" s="11">
        <v>3200000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07"/>
        <v>112070018</v>
      </c>
      <c r="B422" s="13">
        <v>11</v>
      </c>
      <c r="C422" s="12">
        <f t="shared" si="108"/>
        <v>2</v>
      </c>
      <c r="D422" s="13">
        <v>7</v>
      </c>
      <c r="E422" s="13">
        <v>0</v>
      </c>
      <c r="F422" s="12">
        <f t="shared" si="109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1440</v>
      </c>
      <c r="P422" s="55" t="s">
        <v>1442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223207650</v>
      </c>
      <c r="AC422" s="55">
        <v>18</v>
      </c>
      <c r="AE422" s="55">
        <f t="shared" ca="1" si="115"/>
        <v>74721050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74721050</v>
      </c>
      <c r="AG422" s="176">
        <f t="shared" ca="1" si="113"/>
        <v>120391900</v>
      </c>
      <c r="AI422" s="11">
        <f t="shared" si="114"/>
        <v>3600</v>
      </c>
      <c r="AJ422" s="10">
        <v>3600</v>
      </c>
      <c r="AK422" s="11">
        <f t="shared" si="110"/>
        <v>1050</v>
      </c>
      <c r="AL422" s="10">
        <v>1050</v>
      </c>
      <c r="AM422" s="11">
        <v>4000000</v>
      </c>
      <c r="AN422" s="10">
        <v>0</v>
      </c>
      <c r="AO422" s="55">
        <f t="shared" si="116"/>
        <v>2</v>
      </c>
      <c r="AQ422" s="11">
        <f ca="1">IFERROR(OFFSET(ITEM_RES!$A$1,MATCH(AR422,ITEM_RES!$J:$J,0)-1,0),0)</f>
        <v>211020901</v>
      </c>
      <c r="AR422" s="10" t="s">
        <v>1449</v>
      </c>
      <c r="AS422" s="11">
        <v>5200000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07"/>
        <v>112070019</v>
      </c>
      <c r="B423" s="13">
        <v>11</v>
      </c>
      <c r="C423" s="12">
        <f t="shared" si="108"/>
        <v>2</v>
      </c>
      <c r="D423" s="13">
        <v>7</v>
      </c>
      <c r="E423" s="13">
        <v>0</v>
      </c>
      <c r="F423" s="12">
        <f t="shared" si="109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1440</v>
      </c>
      <c r="P423" s="55" t="s">
        <v>1442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223207650</v>
      </c>
      <c r="AC423" s="55">
        <v>18</v>
      </c>
      <c r="AE423" s="55">
        <f t="shared" ca="1" si="115"/>
        <v>115301250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115301250</v>
      </c>
      <c r="AG423" s="176">
        <f t="shared" ca="1" si="113"/>
        <v>190022300</v>
      </c>
      <c r="AI423" s="11">
        <f t="shared" si="114"/>
        <v>3900</v>
      </c>
      <c r="AJ423" s="10">
        <v>3900</v>
      </c>
      <c r="AK423" s="11">
        <f t="shared" si="110"/>
        <v>1250</v>
      </c>
      <c r="AL423" s="10">
        <v>1250</v>
      </c>
      <c r="AM423" s="11">
        <v>6500000</v>
      </c>
      <c r="AN423" s="10">
        <v>0</v>
      </c>
      <c r="AO423" s="55">
        <f t="shared" si="116"/>
        <v>2</v>
      </c>
      <c r="AQ423" s="11">
        <f ca="1">IFERROR(OFFSET(ITEM_RES!$A$1,MATCH(AR423,ITEM_RES!$J:$J,0)-1,0),0)</f>
        <v>211020901</v>
      </c>
      <c r="AR423" s="10" t="s">
        <v>1449</v>
      </c>
      <c r="AS423" s="11">
        <v>8000000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07"/>
        <v>112070020</v>
      </c>
      <c r="B424" s="13">
        <v>11</v>
      </c>
      <c r="C424" s="12">
        <f t="shared" si="108"/>
        <v>2</v>
      </c>
      <c r="D424" s="13">
        <v>7</v>
      </c>
      <c r="E424" s="13">
        <v>0</v>
      </c>
      <c r="F424" s="12">
        <f t="shared" si="109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1440</v>
      </c>
      <c r="P424" s="55" t="s">
        <v>1442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223207650</v>
      </c>
      <c r="AC424" s="55">
        <v>18</v>
      </c>
      <c r="AE424" s="55">
        <f t="shared" ca="1" si="115"/>
        <v>184081500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184081500</v>
      </c>
      <c r="AG424" s="176">
        <f t="shared" ca="1" si="113"/>
        <v>299382750</v>
      </c>
      <c r="AI424" s="11">
        <f t="shared" si="114"/>
        <v>4200</v>
      </c>
      <c r="AJ424" s="10">
        <v>4200</v>
      </c>
      <c r="AK424" s="11">
        <f t="shared" si="110"/>
        <v>1500</v>
      </c>
      <c r="AL424" s="10">
        <v>1500</v>
      </c>
      <c r="AM424" s="11">
        <v>10000000</v>
      </c>
      <c r="AN424" s="10">
        <v>0</v>
      </c>
      <c r="AO424" s="55">
        <f t="shared" si="116"/>
        <v>2</v>
      </c>
      <c r="AQ424" s="11">
        <f ca="1">IFERROR(OFFSET(ITEM_RES!$A$1,MATCH(AR424,ITEM_RES!$J:$J,0)-1,0),0)</f>
        <v>211020901</v>
      </c>
      <c r="AR424" s="10" t="s">
        <v>1449</v>
      </c>
      <c r="AS424" s="11">
        <v>12800000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07"/>
        <v>114010001</v>
      </c>
      <c r="B425" s="20">
        <v>11</v>
      </c>
      <c r="C425" s="19">
        <f t="shared" si="108"/>
        <v>4</v>
      </c>
      <c r="D425" s="20">
        <v>1</v>
      </c>
      <c r="E425" s="20">
        <v>0</v>
      </c>
      <c r="F425" s="19">
        <f t="shared" si="109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56">
        <f t="shared" ca="1" si="115"/>
        <v>1155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1155</v>
      </c>
      <c r="AG425" s="178">
        <f ca="1">AE425</f>
        <v>1155</v>
      </c>
      <c r="AH425" s="76"/>
      <c r="AI425" s="18">
        <f t="shared" si="114"/>
        <v>3</v>
      </c>
      <c r="AJ425" s="17">
        <v>3</v>
      </c>
      <c r="AK425" s="18">
        <f t="shared" si="110"/>
        <v>5</v>
      </c>
      <c r="AL425" s="17">
        <v>5</v>
      </c>
      <c r="AM425" s="18">
        <f t="shared" si="110"/>
        <v>0</v>
      </c>
      <c r="AN425" s="17">
        <v>0</v>
      </c>
      <c r="AO425" s="56">
        <f t="shared" si="116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07"/>
        <v>114010002</v>
      </c>
      <c r="B426" s="13">
        <v>11</v>
      </c>
      <c r="C426" s="12">
        <f t="shared" si="108"/>
        <v>4</v>
      </c>
      <c r="D426" s="13">
        <v>1</v>
      </c>
      <c r="E426" s="13">
        <v>0</v>
      </c>
      <c r="F426" s="12">
        <f t="shared" si="109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55">
        <f t="shared" ca="1" si="115"/>
        <v>310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310</v>
      </c>
      <c r="AG426" s="176">
        <f ca="1">AE425+AE426</f>
        <v>1465</v>
      </c>
      <c r="AI426" s="11">
        <f t="shared" si="114"/>
        <v>5</v>
      </c>
      <c r="AJ426" s="10">
        <v>5</v>
      </c>
      <c r="AK426" s="11">
        <f t="shared" si="110"/>
        <v>10</v>
      </c>
      <c r="AL426" s="10">
        <v>10</v>
      </c>
      <c r="AM426" s="11">
        <f t="shared" si="110"/>
        <v>0</v>
      </c>
      <c r="AN426" s="10">
        <v>0</v>
      </c>
      <c r="AO426" s="55">
        <f t="shared" si="116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07"/>
        <v>114010003</v>
      </c>
      <c r="B427" s="13">
        <v>11</v>
      </c>
      <c r="C427" s="12">
        <f t="shared" si="108"/>
        <v>4</v>
      </c>
      <c r="D427" s="13">
        <v>1</v>
      </c>
      <c r="E427" s="13">
        <v>0</v>
      </c>
      <c r="F427" s="12">
        <f t="shared" si="109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55">
        <f t="shared" ca="1" si="115"/>
        <v>465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465</v>
      </c>
      <c r="AG427" s="176">
        <f t="shared" ref="AG427:AG444" ca="1" si="117">AE426+AE427</f>
        <v>775</v>
      </c>
      <c r="AI427" s="11">
        <f t="shared" si="114"/>
        <v>5</v>
      </c>
      <c r="AJ427" s="10">
        <v>5</v>
      </c>
      <c r="AK427" s="11">
        <f t="shared" si="110"/>
        <v>15</v>
      </c>
      <c r="AL427" s="10">
        <v>15</v>
      </c>
      <c r="AM427" s="11">
        <f t="shared" si="110"/>
        <v>0</v>
      </c>
      <c r="AN427" s="10">
        <v>0</v>
      </c>
      <c r="AO427" s="55">
        <f t="shared" si="116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07"/>
        <v>114010004</v>
      </c>
      <c r="B428" s="13">
        <v>11</v>
      </c>
      <c r="C428" s="12">
        <f t="shared" si="108"/>
        <v>4</v>
      </c>
      <c r="D428" s="13">
        <v>1</v>
      </c>
      <c r="E428" s="13">
        <v>0</v>
      </c>
      <c r="F428" s="12">
        <f t="shared" si="109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100</v>
      </c>
      <c r="AC428" s="55">
        <v>2</v>
      </c>
      <c r="AE428" s="55">
        <f t="shared" ca="1" si="115"/>
        <v>1825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1825</v>
      </c>
      <c r="AG428" s="176">
        <f t="shared" ca="1" si="117"/>
        <v>2290</v>
      </c>
      <c r="AI428" s="11">
        <f t="shared" si="114"/>
        <v>15</v>
      </c>
      <c r="AJ428" s="10">
        <v>15</v>
      </c>
      <c r="AK428" s="11">
        <f t="shared" si="110"/>
        <v>25</v>
      </c>
      <c r="AL428" s="10">
        <v>25</v>
      </c>
      <c r="AM428" s="11">
        <f t="shared" si="110"/>
        <v>0</v>
      </c>
      <c r="AN428" s="10">
        <v>0</v>
      </c>
      <c r="AO428" s="55">
        <f t="shared" si="116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18">B429*10000000+C429*1000000+D429*10000+E429*100+F429</f>
        <v>114010005</v>
      </c>
      <c r="B429" s="13">
        <v>11</v>
      </c>
      <c r="C429" s="12">
        <f t="shared" ref="C429:C492" si="119">H429</f>
        <v>4</v>
      </c>
      <c r="D429" s="13">
        <v>1</v>
      </c>
      <c r="E429" s="13">
        <v>0</v>
      </c>
      <c r="F429" s="12">
        <f t="shared" ref="F429:F492" si="120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100</v>
      </c>
      <c r="AC429" s="55">
        <v>2</v>
      </c>
      <c r="AE429" s="55">
        <f t="shared" ca="1" si="115"/>
        <v>8140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8140</v>
      </c>
      <c r="AG429" s="176">
        <f t="shared" ca="1" si="117"/>
        <v>9965</v>
      </c>
      <c r="AI429" s="11">
        <f t="shared" si="114"/>
        <v>20</v>
      </c>
      <c r="AJ429" s="10">
        <v>20</v>
      </c>
      <c r="AK429" s="11">
        <f t="shared" si="110"/>
        <v>40</v>
      </c>
      <c r="AL429" s="10">
        <v>40</v>
      </c>
      <c r="AM429" s="11">
        <f t="shared" si="110"/>
        <v>0</v>
      </c>
      <c r="AN429" s="10">
        <v>0</v>
      </c>
      <c r="AO429" s="55">
        <f t="shared" si="116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18"/>
        <v>114010006</v>
      </c>
      <c r="B430" s="13">
        <v>11</v>
      </c>
      <c r="C430" s="12">
        <f t="shared" si="119"/>
        <v>4</v>
      </c>
      <c r="D430" s="13">
        <v>1</v>
      </c>
      <c r="E430" s="13">
        <v>0</v>
      </c>
      <c r="F430" s="12">
        <f t="shared" si="120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100</v>
      </c>
      <c r="AC430" s="55">
        <v>2</v>
      </c>
      <c r="AE430" s="55">
        <f t="shared" ca="1" si="115"/>
        <v>27050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27050</v>
      </c>
      <c r="AG430" s="176">
        <f t="shared" ca="1" si="117"/>
        <v>35190</v>
      </c>
      <c r="AI430" s="11">
        <f t="shared" si="114"/>
        <v>30</v>
      </c>
      <c r="AJ430" s="10">
        <v>30</v>
      </c>
      <c r="AK430" s="11">
        <f t="shared" ref="AK430:AM493" si="121">ROUND(AL430,0)</f>
        <v>50</v>
      </c>
      <c r="AL430" s="10">
        <v>50</v>
      </c>
      <c r="AM430" s="11">
        <f t="shared" si="121"/>
        <v>0</v>
      </c>
      <c r="AN430" s="10">
        <v>0</v>
      </c>
      <c r="AO430" s="55">
        <f t="shared" si="116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18"/>
        <v>114010007</v>
      </c>
      <c r="B431" s="13">
        <v>11</v>
      </c>
      <c r="C431" s="12">
        <f t="shared" si="119"/>
        <v>4</v>
      </c>
      <c r="D431" s="13">
        <v>1</v>
      </c>
      <c r="E431" s="13">
        <v>0</v>
      </c>
      <c r="F431" s="12">
        <f t="shared" si="120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100</v>
      </c>
      <c r="AC431" s="55">
        <v>2</v>
      </c>
      <c r="AE431" s="55">
        <f t="shared" ca="1" si="115"/>
        <v>60100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60100</v>
      </c>
      <c r="AG431" s="176">
        <f t="shared" ca="1" si="117"/>
        <v>87150</v>
      </c>
      <c r="AI431" s="11">
        <f t="shared" si="114"/>
        <v>300</v>
      </c>
      <c r="AJ431" s="10">
        <v>300</v>
      </c>
      <c r="AK431" s="11">
        <f t="shared" si="121"/>
        <v>100</v>
      </c>
      <c r="AL431" s="10">
        <v>100</v>
      </c>
      <c r="AM431" s="11">
        <f t="shared" si="121"/>
        <v>0</v>
      </c>
      <c r="AN431" s="10">
        <v>0</v>
      </c>
      <c r="AO431" s="55">
        <f t="shared" si="116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18"/>
        <v>114010008</v>
      </c>
      <c r="B432" s="13">
        <v>11</v>
      </c>
      <c r="C432" s="12">
        <f t="shared" si="119"/>
        <v>4</v>
      </c>
      <c r="D432" s="13">
        <v>1</v>
      </c>
      <c r="E432" s="13">
        <v>0</v>
      </c>
      <c r="F432" s="12">
        <f t="shared" si="120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310</v>
      </c>
      <c r="AC432" s="55">
        <v>3</v>
      </c>
      <c r="AE432" s="55">
        <f t="shared" ca="1" si="115"/>
        <v>151300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151300</v>
      </c>
      <c r="AG432" s="176">
        <f t="shared" ca="1" si="117"/>
        <v>211400</v>
      </c>
      <c r="AI432" s="11">
        <f t="shared" si="114"/>
        <v>600</v>
      </c>
      <c r="AJ432" s="10">
        <v>600</v>
      </c>
      <c r="AK432" s="11">
        <f t="shared" si="121"/>
        <v>100</v>
      </c>
      <c r="AL432" s="10">
        <v>100</v>
      </c>
      <c r="AM432" s="11">
        <f t="shared" si="121"/>
        <v>0</v>
      </c>
      <c r="AN432" s="10">
        <v>0</v>
      </c>
      <c r="AO432" s="55">
        <f t="shared" si="116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18"/>
        <v>114010009</v>
      </c>
      <c r="B433" s="13">
        <v>11</v>
      </c>
      <c r="C433" s="12">
        <f t="shared" si="119"/>
        <v>4</v>
      </c>
      <c r="D433" s="13">
        <v>1</v>
      </c>
      <c r="E433" s="13">
        <v>0</v>
      </c>
      <c r="F433" s="12">
        <f t="shared" si="120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310</v>
      </c>
      <c r="AC433" s="55">
        <v>3</v>
      </c>
      <c r="AE433" s="55">
        <f t="shared" ca="1" si="115"/>
        <v>280950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280950</v>
      </c>
      <c r="AG433" s="176">
        <f t="shared" ca="1" si="117"/>
        <v>432250</v>
      </c>
      <c r="AI433" s="11">
        <f t="shared" si="114"/>
        <v>900</v>
      </c>
      <c r="AJ433" s="10">
        <v>900</v>
      </c>
      <c r="AK433" s="11">
        <f t="shared" si="121"/>
        <v>150</v>
      </c>
      <c r="AL433" s="10">
        <v>150</v>
      </c>
      <c r="AM433" s="11">
        <f t="shared" si="121"/>
        <v>0</v>
      </c>
      <c r="AN433" s="10">
        <v>0</v>
      </c>
      <c r="AO433" s="55">
        <f t="shared" si="116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18"/>
        <v>114010010</v>
      </c>
      <c r="B434" s="13">
        <v>11</v>
      </c>
      <c r="C434" s="12">
        <f t="shared" si="119"/>
        <v>4</v>
      </c>
      <c r="D434" s="13">
        <v>1</v>
      </c>
      <c r="E434" s="13">
        <v>0</v>
      </c>
      <c r="F434" s="12">
        <f t="shared" si="120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310</v>
      </c>
      <c r="AC434" s="55">
        <v>3</v>
      </c>
      <c r="AE434" s="55">
        <f t="shared" ca="1" si="115"/>
        <v>468200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468200</v>
      </c>
      <c r="AG434" s="176">
        <f t="shared" ca="1" si="117"/>
        <v>749150</v>
      </c>
      <c r="AI434" s="11">
        <f t="shared" si="114"/>
        <v>1200</v>
      </c>
      <c r="AJ434" s="10">
        <v>1200</v>
      </c>
      <c r="AK434" s="11">
        <f t="shared" si="121"/>
        <v>200</v>
      </c>
      <c r="AL434" s="10">
        <v>200</v>
      </c>
      <c r="AM434" s="11">
        <f t="shared" si="121"/>
        <v>0</v>
      </c>
      <c r="AN434" s="10">
        <v>0</v>
      </c>
      <c r="AO434" s="55">
        <f t="shared" si="116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18"/>
        <v>114010011</v>
      </c>
      <c r="B435" s="13">
        <v>11</v>
      </c>
      <c r="C435" s="12">
        <f t="shared" si="119"/>
        <v>4</v>
      </c>
      <c r="D435" s="13">
        <v>1</v>
      </c>
      <c r="E435" s="13">
        <v>0</v>
      </c>
      <c r="F435" s="12">
        <f t="shared" si="120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310</v>
      </c>
      <c r="AC435" s="55">
        <v>3</v>
      </c>
      <c r="AE435" s="55">
        <f t="shared" ca="1" si="115"/>
        <v>792250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792250</v>
      </c>
      <c r="AG435" s="176">
        <f t="shared" ca="1" si="117"/>
        <v>1260450</v>
      </c>
      <c r="AI435" s="11">
        <f t="shared" si="114"/>
        <v>1500</v>
      </c>
      <c r="AJ435" s="10">
        <v>1500</v>
      </c>
      <c r="AK435" s="11">
        <f t="shared" si="121"/>
        <v>250</v>
      </c>
      <c r="AL435" s="10">
        <v>250</v>
      </c>
      <c r="AM435" s="11">
        <f t="shared" si="121"/>
        <v>0</v>
      </c>
      <c r="AN435" s="10">
        <v>0</v>
      </c>
      <c r="AO435" s="55">
        <f t="shared" si="116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18"/>
        <v>114010012</v>
      </c>
      <c r="B436" s="13">
        <v>11</v>
      </c>
      <c r="C436" s="12">
        <f t="shared" si="119"/>
        <v>4</v>
      </c>
      <c r="D436" s="13">
        <v>1</v>
      </c>
      <c r="E436" s="13">
        <v>0</v>
      </c>
      <c r="F436" s="12">
        <f t="shared" si="120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930</v>
      </c>
      <c r="AC436" s="55">
        <v>4</v>
      </c>
      <c r="AE436" s="55">
        <f t="shared" ca="1" si="115"/>
        <v>1332300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1332300</v>
      </c>
      <c r="AG436" s="176">
        <f t="shared" ca="1" si="117"/>
        <v>2124550</v>
      </c>
      <c r="AI436" s="11">
        <f t="shared" si="114"/>
        <v>1800</v>
      </c>
      <c r="AJ436" s="10">
        <v>1800</v>
      </c>
      <c r="AK436" s="11">
        <f t="shared" si="121"/>
        <v>300</v>
      </c>
      <c r="AL436" s="10">
        <v>300</v>
      </c>
      <c r="AM436" s="11">
        <f t="shared" si="121"/>
        <v>0</v>
      </c>
      <c r="AN436" s="10">
        <v>0</v>
      </c>
      <c r="AO436" s="55">
        <f t="shared" si="116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18"/>
        <v>114010013</v>
      </c>
      <c r="B437" s="13">
        <v>11</v>
      </c>
      <c r="C437" s="12">
        <f t="shared" si="119"/>
        <v>4</v>
      </c>
      <c r="D437" s="13">
        <v>1</v>
      </c>
      <c r="E437" s="13">
        <v>0</v>
      </c>
      <c r="F437" s="12">
        <f t="shared" si="120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930</v>
      </c>
      <c r="AC437" s="55">
        <v>4</v>
      </c>
      <c r="AE437" s="55">
        <f t="shared" ca="1" si="115"/>
        <v>2237350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2237350</v>
      </c>
      <c r="AG437" s="176">
        <f t="shared" ca="1" si="117"/>
        <v>3569650</v>
      </c>
      <c r="AI437" s="11">
        <f t="shared" si="114"/>
        <v>2100</v>
      </c>
      <c r="AJ437" s="10">
        <v>2100</v>
      </c>
      <c r="AK437" s="11">
        <f t="shared" si="121"/>
        <v>350</v>
      </c>
      <c r="AL437" s="10">
        <v>350</v>
      </c>
      <c r="AM437" s="11">
        <f t="shared" si="121"/>
        <v>0</v>
      </c>
      <c r="AN437" s="10">
        <v>0</v>
      </c>
      <c r="AO437" s="55">
        <f t="shared" si="116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18"/>
        <v>114010014</v>
      </c>
      <c r="B438" s="13">
        <v>11</v>
      </c>
      <c r="C438" s="12">
        <f t="shared" si="119"/>
        <v>4</v>
      </c>
      <c r="D438" s="13">
        <v>1</v>
      </c>
      <c r="E438" s="13">
        <v>0</v>
      </c>
      <c r="F438" s="12">
        <f t="shared" si="120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930</v>
      </c>
      <c r="AC438" s="55">
        <v>4</v>
      </c>
      <c r="AE438" s="55">
        <f t="shared" ca="1" si="115"/>
        <v>3492450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3492450</v>
      </c>
      <c r="AG438" s="176">
        <f t="shared" ca="1" si="117"/>
        <v>5729800</v>
      </c>
      <c r="AI438" s="11">
        <f t="shared" si="114"/>
        <v>2400</v>
      </c>
      <c r="AJ438" s="10">
        <v>2400</v>
      </c>
      <c r="AK438" s="11">
        <f t="shared" si="121"/>
        <v>450</v>
      </c>
      <c r="AL438" s="10">
        <v>450</v>
      </c>
      <c r="AM438" s="11">
        <f t="shared" si="121"/>
        <v>0</v>
      </c>
      <c r="AN438" s="10">
        <v>0</v>
      </c>
      <c r="AO438" s="55">
        <f t="shared" si="116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18"/>
        <v>114010015</v>
      </c>
      <c r="B439" s="13">
        <v>11</v>
      </c>
      <c r="C439" s="12">
        <f t="shared" si="119"/>
        <v>4</v>
      </c>
      <c r="D439" s="13">
        <v>1</v>
      </c>
      <c r="E439" s="13">
        <v>0</v>
      </c>
      <c r="F439" s="12">
        <f t="shared" si="120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5475</v>
      </c>
      <c r="AC439" s="55">
        <v>5</v>
      </c>
      <c r="AE439" s="55">
        <f t="shared" ca="1" si="115"/>
        <v>7560550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7560550</v>
      </c>
      <c r="AG439" s="176">
        <f t="shared" ca="1" si="117"/>
        <v>11053000</v>
      </c>
      <c r="AI439" s="11">
        <f t="shared" si="114"/>
        <v>2700</v>
      </c>
      <c r="AJ439" s="10">
        <v>2700</v>
      </c>
      <c r="AK439" s="11">
        <f t="shared" si="121"/>
        <v>550</v>
      </c>
      <c r="AL439" s="10">
        <v>550</v>
      </c>
      <c r="AM439" s="11">
        <f t="shared" si="121"/>
        <v>0</v>
      </c>
      <c r="AN439" s="10">
        <v>0</v>
      </c>
      <c r="AO439" s="55">
        <f t="shared" si="116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18"/>
        <v>114010016</v>
      </c>
      <c r="B440" s="13">
        <v>11</v>
      </c>
      <c r="C440" s="12">
        <f t="shared" si="119"/>
        <v>4</v>
      </c>
      <c r="D440" s="13">
        <v>1</v>
      </c>
      <c r="E440" s="13">
        <v>0</v>
      </c>
      <c r="F440" s="12">
        <f t="shared" si="120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5475</v>
      </c>
      <c r="AC440" s="55">
        <v>5</v>
      </c>
      <c r="AE440" s="55">
        <f t="shared" ca="1" si="115"/>
        <v>15480700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15480700</v>
      </c>
      <c r="AG440" s="176">
        <f t="shared" ca="1" si="117"/>
        <v>23041250</v>
      </c>
      <c r="AI440" s="11">
        <f t="shared" si="114"/>
        <v>3000</v>
      </c>
      <c r="AJ440" s="10">
        <v>3000</v>
      </c>
      <c r="AK440" s="11">
        <f t="shared" si="121"/>
        <v>700</v>
      </c>
      <c r="AL440" s="10">
        <v>700</v>
      </c>
      <c r="AM440" s="11">
        <f t="shared" si="121"/>
        <v>0</v>
      </c>
      <c r="AN440" s="10">
        <v>0</v>
      </c>
      <c r="AO440" s="55">
        <f t="shared" si="116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18"/>
        <v>114010017</v>
      </c>
      <c r="B441" s="13">
        <v>11</v>
      </c>
      <c r="C441" s="12">
        <f t="shared" si="119"/>
        <v>4</v>
      </c>
      <c r="D441" s="13">
        <v>1</v>
      </c>
      <c r="E441" s="13">
        <v>0</v>
      </c>
      <c r="F441" s="12">
        <f t="shared" si="120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32560</v>
      </c>
      <c r="AC441" s="55">
        <v>6</v>
      </c>
      <c r="AE441" s="55">
        <f t="shared" ca="1" si="115"/>
        <v>28800850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28800850</v>
      </c>
      <c r="AG441" s="176">
        <f t="shared" ca="1" si="117"/>
        <v>44281550</v>
      </c>
      <c r="AI441" s="11">
        <f t="shared" si="114"/>
        <v>3300</v>
      </c>
      <c r="AJ441" s="10">
        <v>3300</v>
      </c>
      <c r="AK441" s="11">
        <f t="shared" si="121"/>
        <v>850</v>
      </c>
      <c r="AL441" s="10">
        <v>850</v>
      </c>
      <c r="AM441" s="11">
        <f t="shared" si="121"/>
        <v>0</v>
      </c>
      <c r="AN441" s="10">
        <v>0</v>
      </c>
      <c r="AO441" s="55">
        <f t="shared" si="116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18"/>
        <v>114010018</v>
      </c>
      <c r="B442" s="13">
        <v>11</v>
      </c>
      <c r="C442" s="12">
        <f t="shared" si="119"/>
        <v>4</v>
      </c>
      <c r="D442" s="13">
        <v>1</v>
      </c>
      <c r="E442" s="13">
        <v>0</v>
      </c>
      <c r="F442" s="12">
        <f t="shared" si="120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108200</v>
      </c>
      <c r="AC442" s="55">
        <v>7</v>
      </c>
      <c r="AE442" s="55">
        <f t="shared" ca="1" si="115"/>
        <v>46801050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46801050</v>
      </c>
      <c r="AG442" s="176">
        <f t="shared" ca="1" si="117"/>
        <v>75601900</v>
      </c>
      <c r="AI442" s="11">
        <f t="shared" si="114"/>
        <v>3600</v>
      </c>
      <c r="AJ442" s="10">
        <v>3600</v>
      </c>
      <c r="AK442" s="11">
        <f t="shared" si="121"/>
        <v>1050</v>
      </c>
      <c r="AL442" s="10">
        <v>1050</v>
      </c>
      <c r="AM442" s="11">
        <f t="shared" si="121"/>
        <v>0</v>
      </c>
      <c r="AN442" s="10">
        <v>0</v>
      </c>
      <c r="AO442" s="55">
        <f t="shared" si="116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18"/>
        <v>114010019</v>
      </c>
      <c r="B443" s="13">
        <v>11</v>
      </c>
      <c r="C443" s="12">
        <f t="shared" si="119"/>
        <v>4</v>
      </c>
      <c r="D443" s="13">
        <v>1</v>
      </c>
      <c r="E443" s="13">
        <v>0</v>
      </c>
      <c r="F443" s="12">
        <f t="shared" si="120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108200</v>
      </c>
      <c r="AC443" s="55">
        <v>7</v>
      </c>
      <c r="AE443" s="55">
        <f t="shared" ca="1" si="115"/>
        <v>72001250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72001250</v>
      </c>
      <c r="AG443" s="176">
        <f t="shared" ca="1" si="117"/>
        <v>118802300</v>
      </c>
      <c r="AI443" s="11">
        <f t="shared" si="114"/>
        <v>3900</v>
      </c>
      <c r="AJ443" s="10">
        <v>3900</v>
      </c>
      <c r="AK443" s="11">
        <f t="shared" si="121"/>
        <v>1250</v>
      </c>
      <c r="AL443" s="10">
        <v>1250</v>
      </c>
      <c r="AM443" s="11">
        <f t="shared" si="121"/>
        <v>0</v>
      </c>
      <c r="AN443" s="10">
        <v>0</v>
      </c>
      <c r="AO443" s="55">
        <f t="shared" si="116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18"/>
        <v>114010020</v>
      </c>
      <c r="B444" s="13">
        <v>11</v>
      </c>
      <c r="C444" s="12">
        <f t="shared" si="119"/>
        <v>4</v>
      </c>
      <c r="D444" s="13">
        <v>1</v>
      </c>
      <c r="E444" s="13">
        <v>0</v>
      </c>
      <c r="F444" s="12">
        <f t="shared" si="120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108200</v>
      </c>
      <c r="AC444" s="55">
        <v>7</v>
      </c>
      <c r="AE444" s="55">
        <f t="shared" ca="1" si="115"/>
        <v>115201500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115201500</v>
      </c>
      <c r="AG444" s="176">
        <f t="shared" ca="1" si="117"/>
        <v>187202750</v>
      </c>
      <c r="AI444" s="11">
        <f t="shared" si="114"/>
        <v>4200</v>
      </c>
      <c r="AJ444" s="10">
        <v>4200</v>
      </c>
      <c r="AK444" s="11">
        <f t="shared" si="121"/>
        <v>1500</v>
      </c>
      <c r="AL444" s="10">
        <v>1500</v>
      </c>
      <c r="AM444" s="11">
        <f t="shared" si="121"/>
        <v>0</v>
      </c>
      <c r="AN444" s="10">
        <v>0</v>
      </c>
      <c r="AO444" s="55">
        <f t="shared" si="116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18"/>
        <v>114020001</v>
      </c>
      <c r="B445" s="20">
        <v>11</v>
      </c>
      <c r="C445" s="19">
        <f t="shared" si="119"/>
        <v>4</v>
      </c>
      <c r="D445" s="20">
        <v>2</v>
      </c>
      <c r="E445" s="20">
        <v>0</v>
      </c>
      <c r="F445" s="19">
        <f t="shared" si="120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1394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56">
        <f t="shared" ca="1" si="115"/>
        <v>1175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1175</v>
      </c>
      <c r="AG445" s="178">
        <f ca="1">AE445</f>
        <v>1175</v>
      </c>
      <c r="AH445" s="76"/>
      <c r="AI445" s="18">
        <f t="shared" si="114"/>
        <v>3</v>
      </c>
      <c r="AJ445" s="17">
        <v>3</v>
      </c>
      <c r="AK445" s="18">
        <f t="shared" si="121"/>
        <v>5</v>
      </c>
      <c r="AL445" s="17">
        <v>5</v>
      </c>
      <c r="AM445" s="18">
        <f t="shared" si="121"/>
        <v>0</v>
      </c>
      <c r="AN445" s="17">
        <v>0</v>
      </c>
      <c r="AO445" s="56">
        <f t="shared" si="116"/>
        <v>3</v>
      </c>
      <c r="AP445" s="18"/>
      <c r="AQ445" s="18">
        <f ca="1">IFERROR(OFFSET(ITEM_RES!$A$1,MATCH(AR445,ITEM_RES!$J:$J,0)-1,0),0)</f>
        <v>211020201</v>
      </c>
      <c r="AR445" s="17" t="s">
        <v>1334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1448</v>
      </c>
      <c r="AX445" s="18">
        <v>15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18"/>
        <v>114020002</v>
      </c>
      <c r="B446" s="13">
        <v>11</v>
      </c>
      <c r="C446" s="12">
        <f t="shared" si="119"/>
        <v>4</v>
      </c>
      <c r="D446" s="13">
        <v>2</v>
      </c>
      <c r="E446" s="13">
        <v>0</v>
      </c>
      <c r="F446" s="12">
        <f t="shared" si="120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1394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55">
        <f t="shared" ca="1" si="115"/>
        <v>350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350</v>
      </c>
      <c r="AG446" s="176">
        <f ca="1">AE445+AE446</f>
        <v>1525</v>
      </c>
      <c r="AI446" s="11">
        <f t="shared" si="114"/>
        <v>5</v>
      </c>
      <c r="AJ446" s="10">
        <v>5</v>
      </c>
      <c r="AK446" s="11">
        <f t="shared" si="121"/>
        <v>10</v>
      </c>
      <c r="AL446" s="10">
        <v>10</v>
      </c>
      <c r="AM446" s="11">
        <f t="shared" si="121"/>
        <v>0</v>
      </c>
      <c r="AN446" s="10">
        <v>0</v>
      </c>
      <c r="AO446" s="55">
        <f t="shared" si="116"/>
        <v>2</v>
      </c>
      <c r="AQ446" s="11">
        <f ca="1">IFERROR(OFFSET(ITEM_RES!$A$1,MATCH(AR446,ITEM_RES!$J:$J,0)-1,0),0)</f>
        <v>211020201</v>
      </c>
      <c r="AR446" s="10" t="s">
        <v>1334</v>
      </c>
      <c r="AS446" s="11">
        <v>100</v>
      </c>
      <c r="AV446" s="11">
        <f ca="1">IFERROR(OFFSET(ITEM_RES!$A$1,MATCH(AW446,ITEM_RES!$J:$J,0)-1,0),0)</f>
        <v>211020801</v>
      </c>
      <c r="AW446" s="10" t="s">
        <v>1448</v>
      </c>
      <c r="AX446" s="11">
        <v>30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18"/>
        <v>114020003</v>
      </c>
      <c r="B447" s="13">
        <v>11</v>
      </c>
      <c r="C447" s="12">
        <f t="shared" si="119"/>
        <v>4</v>
      </c>
      <c r="D447" s="13">
        <v>2</v>
      </c>
      <c r="E447" s="13">
        <v>0</v>
      </c>
      <c r="F447" s="12">
        <f t="shared" si="120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1395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55">
        <f t="shared" ca="1" si="115"/>
        <v>525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525</v>
      </c>
      <c r="AG447" s="176">
        <f t="shared" ref="AG447:AG464" ca="1" si="122">AE446+AE447</f>
        <v>875</v>
      </c>
      <c r="AI447" s="11">
        <f t="shared" si="114"/>
        <v>5</v>
      </c>
      <c r="AJ447" s="10">
        <v>5</v>
      </c>
      <c r="AK447" s="11">
        <f t="shared" si="121"/>
        <v>15</v>
      </c>
      <c r="AL447" s="10">
        <v>15</v>
      </c>
      <c r="AM447" s="11">
        <f t="shared" si="121"/>
        <v>0</v>
      </c>
      <c r="AN447" s="10">
        <v>0</v>
      </c>
      <c r="AO447" s="55">
        <f t="shared" si="116"/>
        <v>2</v>
      </c>
      <c r="AQ447" s="11">
        <f ca="1">IFERROR(OFFSET(ITEM_RES!$A$1,MATCH(AR447,ITEM_RES!$J:$J,0)-1,0),0)</f>
        <v>211020201</v>
      </c>
      <c r="AR447" s="10" t="s">
        <v>1334</v>
      </c>
      <c r="AS447" s="11">
        <v>150</v>
      </c>
      <c r="AV447" s="11">
        <f ca="1">IFERROR(OFFSET(ITEM_RES!$A$1,MATCH(AW447,ITEM_RES!$J:$J,0)-1,0),0)</f>
        <v>211020801</v>
      </c>
      <c r="AW447" s="10" t="s">
        <v>1448</v>
      </c>
      <c r="AX447" s="11">
        <v>45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18"/>
        <v>114020004</v>
      </c>
      <c r="B448" s="13">
        <v>11</v>
      </c>
      <c r="C448" s="12">
        <f t="shared" si="119"/>
        <v>4</v>
      </c>
      <c r="D448" s="13">
        <v>2</v>
      </c>
      <c r="E448" s="13">
        <v>0</v>
      </c>
      <c r="F448" s="12">
        <f t="shared" si="120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1395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55">
        <f t="shared" ca="1" si="115"/>
        <v>2065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2065</v>
      </c>
      <c r="AG448" s="176">
        <f t="shared" ca="1" si="122"/>
        <v>2590</v>
      </c>
      <c r="AI448" s="11">
        <f t="shared" si="114"/>
        <v>15</v>
      </c>
      <c r="AJ448" s="10">
        <v>15</v>
      </c>
      <c r="AK448" s="11">
        <f t="shared" si="121"/>
        <v>25</v>
      </c>
      <c r="AL448" s="10">
        <v>25</v>
      </c>
      <c r="AM448" s="11">
        <f t="shared" si="121"/>
        <v>0</v>
      </c>
      <c r="AN448" s="10">
        <v>0</v>
      </c>
      <c r="AO448" s="55">
        <f t="shared" si="116"/>
        <v>2</v>
      </c>
      <c r="AQ448" s="11">
        <f ca="1">IFERROR(OFFSET(ITEM_RES!$A$1,MATCH(AR448,ITEM_RES!$J:$J,0)-1,0),0)</f>
        <v>211020201</v>
      </c>
      <c r="AR448" s="10" t="s">
        <v>1334</v>
      </c>
      <c r="AS448" s="11">
        <v>600</v>
      </c>
      <c r="AV448" s="11">
        <f ca="1">IFERROR(OFFSET(ITEM_RES!$A$1,MATCH(AW448,ITEM_RES!$J:$J,0)-1,0),0)</f>
        <v>211020801</v>
      </c>
      <c r="AW448" s="10" t="s">
        <v>1448</v>
      </c>
      <c r="AX448" s="11">
        <v>180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18"/>
        <v>114020005</v>
      </c>
      <c r="B449" s="13">
        <v>11</v>
      </c>
      <c r="C449" s="12">
        <f t="shared" si="119"/>
        <v>4</v>
      </c>
      <c r="D449" s="13">
        <v>2</v>
      </c>
      <c r="E449" s="13">
        <v>0</v>
      </c>
      <c r="F449" s="12">
        <f t="shared" si="120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1396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55">
        <f t="shared" ca="1" si="115"/>
        <v>9220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9220</v>
      </c>
      <c r="AG449" s="176">
        <f t="shared" ca="1" si="122"/>
        <v>11285</v>
      </c>
      <c r="AI449" s="11">
        <f t="shared" si="114"/>
        <v>20</v>
      </c>
      <c r="AJ449" s="10">
        <v>20</v>
      </c>
      <c r="AK449" s="11">
        <f t="shared" si="121"/>
        <v>40</v>
      </c>
      <c r="AL449" s="10">
        <v>40</v>
      </c>
      <c r="AM449" s="11">
        <f t="shared" si="121"/>
        <v>0</v>
      </c>
      <c r="AN449" s="10">
        <v>0</v>
      </c>
      <c r="AO449" s="55">
        <f t="shared" si="116"/>
        <v>2</v>
      </c>
      <c r="AQ449" s="11">
        <f ca="1">IFERROR(OFFSET(ITEM_RES!$A$1,MATCH(AR449,ITEM_RES!$J:$J,0)-1,0),0)</f>
        <v>211020201</v>
      </c>
      <c r="AR449" s="10" t="s">
        <v>1334</v>
      </c>
      <c r="AS449" s="11">
        <v>2700</v>
      </c>
      <c r="AV449" s="11">
        <f ca="1">IFERROR(OFFSET(ITEM_RES!$A$1,MATCH(AW449,ITEM_RES!$J:$J,0)-1,0),0)</f>
        <v>211020801</v>
      </c>
      <c r="AW449" s="10" t="s">
        <v>1448</v>
      </c>
      <c r="AX449" s="11">
        <v>810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18"/>
        <v>114020006</v>
      </c>
      <c r="B450" s="13">
        <v>11</v>
      </c>
      <c r="C450" s="12">
        <f t="shared" si="119"/>
        <v>4</v>
      </c>
      <c r="D450" s="13">
        <v>2</v>
      </c>
      <c r="E450" s="13">
        <v>0</v>
      </c>
      <c r="F450" s="12">
        <f t="shared" si="120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1396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310</v>
      </c>
      <c r="AC450" s="55">
        <v>3</v>
      </c>
      <c r="AE450" s="55">
        <f t="shared" ca="1" si="115"/>
        <v>30650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30650</v>
      </c>
      <c r="AG450" s="176">
        <f t="shared" ca="1" si="122"/>
        <v>39870</v>
      </c>
      <c r="AI450" s="11">
        <f t="shared" si="114"/>
        <v>30</v>
      </c>
      <c r="AJ450" s="10">
        <v>30</v>
      </c>
      <c r="AK450" s="11">
        <f t="shared" si="121"/>
        <v>50</v>
      </c>
      <c r="AL450" s="10">
        <v>50</v>
      </c>
      <c r="AM450" s="11">
        <f t="shared" si="121"/>
        <v>0</v>
      </c>
      <c r="AN450" s="10">
        <v>0</v>
      </c>
      <c r="AO450" s="55">
        <f t="shared" si="116"/>
        <v>2</v>
      </c>
      <c r="AQ450" s="11">
        <f ca="1">IFERROR(OFFSET(ITEM_RES!$A$1,MATCH(AR450,ITEM_RES!$J:$J,0)-1,0),0)</f>
        <v>211020201</v>
      </c>
      <c r="AR450" s="10" t="s">
        <v>1334</v>
      </c>
      <c r="AS450" s="11">
        <v>9000</v>
      </c>
      <c r="AV450" s="11">
        <f ca="1">IFERROR(OFFSET(ITEM_RES!$A$1,MATCH(AW450,ITEM_RES!$J:$J,0)-1,0),0)</f>
        <v>211020801</v>
      </c>
      <c r="AW450" s="10" t="s">
        <v>1448</v>
      </c>
      <c r="AX450" s="11">
        <v>2700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18"/>
        <v>114020007</v>
      </c>
      <c r="B451" s="13">
        <v>11</v>
      </c>
      <c r="C451" s="12">
        <f t="shared" si="119"/>
        <v>4</v>
      </c>
      <c r="D451" s="13">
        <v>2</v>
      </c>
      <c r="E451" s="13">
        <v>0</v>
      </c>
      <c r="F451" s="12">
        <f t="shared" si="120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1397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930</v>
      </c>
      <c r="AC451" s="55">
        <v>4</v>
      </c>
      <c r="AE451" s="55">
        <f t="shared" ca="1" si="115"/>
        <v>68100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68100</v>
      </c>
      <c r="AG451" s="176">
        <f t="shared" ca="1" si="122"/>
        <v>98750</v>
      </c>
      <c r="AI451" s="11">
        <f t="shared" si="114"/>
        <v>300</v>
      </c>
      <c r="AJ451" s="10">
        <v>300</v>
      </c>
      <c r="AK451" s="11">
        <f t="shared" si="121"/>
        <v>100</v>
      </c>
      <c r="AL451" s="10">
        <v>100</v>
      </c>
      <c r="AM451" s="11">
        <f t="shared" si="121"/>
        <v>0</v>
      </c>
      <c r="AN451" s="10">
        <v>0</v>
      </c>
      <c r="AO451" s="55">
        <f t="shared" si="116"/>
        <v>2</v>
      </c>
      <c r="AQ451" s="11">
        <f ca="1">IFERROR(OFFSET(ITEM_RES!$A$1,MATCH(AR451,ITEM_RES!$J:$J,0)-1,0),0)</f>
        <v>211020201</v>
      </c>
      <c r="AR451" s="10" t="s">
        <v>1334</v>
      </c>
      <c r="AS451" s="11">
        <v>20000</v>
      </c>
      <c r="AV451" s="11">
        <f ca="1">IFERROR(OFFSET(ITEM_RES!$A$1,MATCH(AW451,ITEM_RES!$J:$J,0)-1,0),0)</f>
        <v>211020801</v>
      </c>
      <c r="AW451" s="10" t="s">
        <v>1448</v>
      </c>
      <c r="AX451" s="11">
        <v>6000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18"/>
        <v>114020008</v>
      </c>
      <c r="B452" s="13">
        <v>11</v>
      </c>
      <c r="C452" s="12">
        <f t="shared" si="119"/>
        <v>4</v>
      </c>
      <c r="D452" s="13">
        <v>2</v>
      </c>
      <c r="E452" s="13">
        <v>0</v>
      </c>
      <c r="F452" s="12">
        <f t="shared" si="120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1397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5475</v>
      </c>
      <c r="AC452" s="55">
        <v>5</v>
      </c>
      <c r="AE452" s="55">
        <f t="shared" ca="1" si="115"/>
        <v>151300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151300</v>
      </c>
      <c r="AG452" s="176">
        <f t="shared" ca="1" si="122"/>
        <v>219400</v>
      </c>
      <c r="AI452" s="11">
        <f t="shared" si="114"/>
        <v>600</v>
      </c>
      <c r="AJ452" s="10">
        <v>600</v>
      </c>
      <c r="AK452" s="11">
        <f t="shared" si="121"/>
        <v>100</v>
      </c>
      <c r="AL452" s="10">
        <v>100</v>
      </c>
      <c r="AM452" s="11">
        <v>0</v>
      </c>
      <c r="AN452" s="10">
        <v>0</v>
      </c>
      <c r="AO452" s="55">
        <f t="shared" si="116"/>
        <v>2</v>
      </c>
      <c r="AQ452" s="11">
        <f ca="1">IFERROR(OFFSET(ITEM_RES!$A$1,MATCH(AR452,ITEM_RES!$J:$J,0)-1,0),0)</f>
        <v>211020301</v>
      </c>
      <c r="AR452" s="10" t="s">
        <v>1335</v>
      </c>
      <c r="AS452" s="11">
        <v>42000</v>
      </c>
      <c r="AV452" s="11">
        <f ca="1">IFERROR(OFFSET(ITEM_RES!$A$1,MATCH(AW452,ITEM_RES!$J:$J,0)-1,0),0)</f>
        <v>211020801</v>
      </c>
      <c r="AW452" s="10" t="s">
        <v>1448</v>
      </c>
      <c r="AX452" s="11">
        <v>12600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18"/>
        <v>114020009</v>
      </c>
      <c r="B453" s="13">
        <v>11</v>
      </c>
      <c r="C453" s="12">
        <f t="shared" si="119"/>
        <v>4</v>
      </c>
      <c r="D453" s="13">
        <v>2</v>
      </c>
      <c r="E453" s="13">
        <v>0</v>
      </c>
      <c r="F453" s="12">
        <f t="shared" si="120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1445</v>
      </c>
      <c r="P453" s="55" t="s">
        <v>1447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32560</v>
      </c>
      <c r="AC453" s="55">
        <v>6</v>
      </c>
      <c r="AE453" s="55">
        <f t="shared" ca="1" si="115"/>
        <v>280950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280950</v>
      </c>
      <c r="AG453" s="176">
        <f t="shared" ca="1" si="122"/>
        <v>432250</v>
      </c>
      <c r="AI453" s="11">
        <f t="shared" si="114"/>
        <v>900</v>
      </c>
      <c r="AJ453" s="10">
        <v>900</v>
      </c>
      <c r="AK453" s="11">
        <f t="shared" si="121"/>
        <v>150</v>
      </c>
      <c r="AL453" s="10">
        <v>150</v>
      </c>
      <c r="AM453" s="11">
        <v>0</v>
      </c>
      <c r="AN453" s="10">
        <v>0</v>
      </c>
      <c r="AO453" s="55">
        <f t="shared" si="116"/>
        <v>2</v>
      </c>
      <c r="AQ453" s="11">
        <f ca="1">IFERROR(OFFSET(ITEM_RES!$A$1,MATCH(AR453,ITEM_RES!$J:$J,0)-1,0),0)</f>
        <v>211020301</v>
      </c>
      <c r="AR453" s="10" t="s">
        <v>1335</v>
      </c>
      <c r="AS453" s="11">
        <v>78000</v>
      </c>
      <c r="AV453" s="11">
        <f ca="1">IFERROR(OFFSET(ITEM_RES!$A$1,MATCH(AW453,ITEM_RES!$J:$J,0)-1,0),0)</f>
        <v>211020801</v>
      </c>
      <c r="AW453" s="10" t="s">
        <v>1448</v>
      </c>
      <c r="AX453" s="11">
        <v>23400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18"/>
        <v>114020010</v>
      </c>
      <c r="B454" s="13">
        <v>11</v>
      </c>
      <c r="C454" s="12">
        <f t="shared" si="119"/>
        <v>4</v>
      </c>
      <c r="D454" s="13">
        <v>2</v>
      </c>
      <c r="E454" s="13">
        <v>0</v>
      </c>
      <c r="F454" s="12">
        <f t="shared" si="120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1445</v>
      </c>
      <c r="P454" s="55" t="s">
        <v>1447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108200</v>
      </c>
      <c r="AC454" s="55">
        <v>7</v>
      </c>
      <c r="AE454" s="55">
        <f t="shared" ca="1" si="115"/>
        <v>468700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468700</v>
      </c>
      <c r="AG454" s="176">
        <f t="shared" ca="1" si="122"/>
        <v>749650</v>
      </c>
      <c r="AI454" s="11">
        <f t="shared" si="114"/>
        <v>1200</v>
      </c>
      <c r="AJ454" s="10">
        <v>1200</v>
      </c>
      <c r="AK454" s="11">
        <f t="shared" si="121"/>
        <v>200</v>
      </c>
      <c r="AL454" s="10">
        <v>200</v>
      </c>
      <c r="AM454" s="11">
        <v>500</v>
      </c>
      <c r="AN454" s="10">
        <v>0</v>
      </c>
      <c r="AO454" s="55">
        <f t="shared" si="116"/>
        <v>2</v>
      </c>
      <c r="AQ454" s="11">
        <f ca="1">IFERROR(OFFSET(ITEM_RES!$A$1,MATCH(AR454,ITEM_RES!$J:$J,0)-1,0),0)</f>
        <v>211020301</v>
      </c>
      <c r="AR454" s="10" t="s">
        <v>1335</v>
      </c>
      <c r="AS454" s="11">
        <v>130000</v>
      </c>
      <c r="AV454" s="11">
        <f ca="1">IFERROR(OFFSET(ITEM_RES!$A$1,MATCH(AW454,ITEM_RES!$J:$J,0)-1,0),0)</f>
        <v>211020801</v>
      </c>
      <c r="AW454" s="10" t="s">
        <v>1448</v>
      </c>
      <c r="AX454" s="11">
        <v>39000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18"/>
        <v>114020011</v>
      </c>
      <c r="B455" s="13">
        <v>11</v>
      </c>
      <c r="C455" s="12">
        <f t="shared" si="119"/>
        <v>4</v>
      </c>
      <c r="D455" s="13">
        <v>2</v>
      </c>
      <c r="E455" s="13">
        <v>0</v>
      </c>
      <c r="F455" s="12">
        <f t="shared" si="120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1444</v>
      </c>
      <c r="P455" s="55" t="s">
        <v>1446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240400</v>
      </c>
      <c r="AC455" s="55">
        <v>8</v>
      </c>
      <c r="AE455" s="55">
        <f t="shared" ca="1" si="115"/>
        <v>798250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798250</v>
      </c>
      <c r="AG455" s="176">
        <f t="shared" ca="1" si="122"/>
        <v>1266950</v>
      </c>
      <c r="AI455" s="11">
        <f t="shared" si="114"/>
        <v>1500</v>
      </c>
      <c r="AJ455" s="10">
        <v>1500</v>
      </c>
      <c r="AK455" s="11">
        <f t="shared" si="121"/>
        <v>250</v>
      </c>
      <c r="AL455" s="10">
        <v>250</v>
      </c>
      <c r="AM455" s="11">
        <v>6000</v>
      </c>
      <c r="AN455" s="10">
        <v>0</v>
      </c>
      <c r="AO455" s="55">
        <f t="shared" si="116"/>
        <v>2</v>
      </c>
      <c r="AQ455" s="11">
        <f ca="1">IFERROR(OFFSET(ITEM_RES!$A$1,MATCH(AR455,ITEM_RES!$J:$J,0)-1,0),0)</f>
        <v>211020301</v>
      </c>
      <c r="AR455" s="10" t="s">
        <v>1335</v>
      </c>
      <c r="AS455" s="11">
        <v>220000</v>
      </c>
      <c r="AV455" s="11">
        <f ca="1">IFERROR(OFFSET(ITEM_RES!$A$1,MATCH(AW455,ITEM_RES!$J:$J,0)-1,0),0)</f>
        <v>211020801</v>
      </c>
      <c r="AW455" s="10" t="s">
        <v>1448</v>
      </c>
      <c r="AX455" s="11">
        <v>66000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18"/>
        <v>114020012</v>
      </c>
      <c r="B456" s="13">
        <v>11</v>
      </c>
      <c r="C456" s="12">
        <f t="shared" si="119"/>
        <v>4</v>
      </c>
      <c r="D456" s="13">
        <v>2</v>
      </c>
      <c r="E456" s="13">
        <v>0</v>
      </c>
      <c r="F456" s="12">
        <f t="shared" si="120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1444</v>
      </c>
      <c r="P456" s="55" t="s">
        <v>1446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630500</v>
      </c>
      <c r="AC456" s="55">
        <v>9</v>
      </c>
      <c r="AE456" s="55">
        <f t="shared" ca="1" si="115"/>
        <v>3888300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3888300</v>
      </c>
      <c r="AG456" s="176">
        <f t="shared" ca="1" si="122"/>
        <v>4686550</v>
      </c>
      <c r="AI456" s="11">
        <f t="shared" si="114"/>
        <v>1800</v>
      </c>
      <c r="AJ456" s="10">
        <v>1800</v>
      </c>
      <c r="AK456" s="11">
        <f t="shared" si="121"/>
        <v>300</v>
      </c>
      <c r="AL456" s="10">
        <v>300</v>
      </c>
      <c r="AM456" s="11">
        <v>39000</v>
      </c>
      <c r="AN456" s="10">
        <v>0</v>
      </c>
      <c r="AO456" s="55">
        <f t="shared" si="116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1448</v>
      </c>
      <c r="AX456" s="11">
        <v>111000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18"/>
        <v>114020013</v>
      </c>
      <c r="B457" s="13">
        <v>11</v>
      </c>
      <c r="C457" s="12">
        <f t="shared" si="119"/>
        <v>4</v>
      </c>
      <c r="D457" s="13">
        <v>2</v>
      </c>
      <c r="E457" s="13">
        <v>0</v>
      </c>
      <c r="F457" s="12">
        <f t="shared" si="120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1444</v>
      </c>
      <c r="P457" s="55" t="s">
        <v>1446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1170750</v>
      </c>
      <c r="AC457" s="55">
        <v>10</v>
      </c>
      <c r="AE457" s="55">
        <f t="shared" ca="1" si="115"/>
        <v>6633350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6633350</v>
      </c>
      <c r="AG457" s="176">
        <f t="shared" ca="1" si="122"/>
        <v>10521650</v>
      </c>
      <c r="AI457" s="11">
        <f t="shared" si="114"/>
        <v>2100</v>
      </c>
      <c r="AJ457" s="10">
        <v>2100</v>
      </c>
      <c r="AK457" s="11">
        <f t="shared" si="121"/>
        <v>350</v>
      </c>
      <c r="AL457" s="10">
        <v>350</v>
      </c>
      <c r="AM457" s="11">
        <v>185000</v>
      </c>
      <c r="AN457" s="10">
        <v>0</v>
      </c>
      <c r="AO457" s="55">
        <f t="shared" si="116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1448</v>
      </c>
      <c r="AX457" s="11">
        <v>186000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18"/>
        <v>114020014</v>
      </c>
      <c r="B458" s="13">
        <v>11</v>
      </c>
      <c r="C458" s="12">
        <f t="shared" si="119"/>
        <v>4</v>
      </c>
      <c r="D458" s="13">
        <v>2</v>
      </c>
      <c r="E458" s="13">
        <v>0</v>
      </c>
      <c r="F458" s="12">
        <f t="shared" si="120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1444</v>
      </c>
      <c r="P458" s="55" t="s">
        <v>1446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1956000</v>
      </c>
      <c r="AC458" s="55">
        <v>11</v>
      </c>
      <c r="AE458" s="55">
        <f t="shared" ca="1" si="115"/>
        <v>10980450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10980450</v>
      </c>
      <c r="AG458" s="176">
        <f t="shared" ca="1" si="122"/>
        <v>17613800</v>
      </c>
      <c r="AI458" s="11">
        <f t="shared" si="114"/>
        <v>2400</v>
      </c>
      <c r="AJ458" s="10">
        <v>2400</v>
      </c>
      <c r="AK458" s="11">
        <f t="shared" si="121"/>
        <v>450</v>
      </c>
      <c r="AL458" s="10">
        <v>450</v>
      </c>
      <c r="AM458" s="11">
        <v>310000</v>
      </c>
      <c r="AN458" s="10">
        <v>0</v>
      </c>
      <c r="AO458" s="55">
        <f t="shared" si="116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1449</v>
      </c>
      <c r="AX458" s="11">
        <v>291000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18"/>
        <v>114020015</v>
      </c>
      <c r="B459" s="13">
        <v>11</v>
      </c>
      <c r="C459" s="12">
        <f t="shared" si="119"/>
        <v>4</v>
      </c>
      <c r="D459" s="13">
        <v>2</v>
      </c>
      <c r="E459" s="13">
        <v>0</v>
      </c>
      <c r="F459" s="12">
        <f t="shared" si="120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1444</v>
      </c>
      <c r="P459" s="55" t="s">
        <v>1446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3961500</v>
      </c>
      <c r="AC459" s="55">
        <v>12</v>
      </c>
      <c r="AE459" s="55">
        <f t="shared" ca="1" si="115"/>
        <v>23585550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23585550</v>
      </c>
      <c r="AG459" s="176">
        <f t="shared" ca="1" si="122"/>
        <v>34566000</v>
      </c>
      <c r="AI459" s="11">
        <f t="shared" si="114"/>
        <v>2700</v>
      </c>
      <c r="AJ459" s="10">
        <v>2700</v>
      </c>
      <c r="AK459" s="11">
        <f t="shared" si="121"/>
        <v>550</v>
      </c>
      <c r="AL459" s="10">
        <v>550</v>
      </c>
      <c r="AM459" s="11">
        <v>485000</v>
      </c>
      <c r="AN459" s="10">
        <v>0</v>
      </c>
      <c r="AO459" s="55">
        <f t="shared" si="116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1449</v>
      </c>
      <c r="AX459" s="11">
        <v>630000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18"/>
        <v>114020016</v>
      </c>
      <c r="B460" s="13">
        <v>11</v>
      </c>
      <c r="C460" s="12">
        <f t="shared" si="119"/>
        <v>4</v>
      </c>
      <c r="D460" s="13">
        <v>2</v>
      </c>
      <c r="E460" s="13">
        <v>0</v>
      </c>
      <c r="F460" s="12">
        <f t="shared" si="120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1444</v>
      </c>
      <c r="P460" s="55" t="s">
        <v>1446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7772100</v>
      </c>
      <c r="AC460" s="55">
        <v>13</v>
      </c>
      <c r="AE460" s="55">
        <f t="shared" ca="1" si="115"/>
        <v>56950700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56950700</v>
      </c>
      <c r="AG460" s="176">
        <f t="shared" ca="1" si="122"/>
        <v>80536250</v>
      </c>
      <c r="AI460" s="11">
        <f t="shared" si="114"/>
        <v>3000</v>
      </c>
      <c r="AJ460" s="10">
        <v>3000</v>
      </c>
      <c r="AK460" s="11">
        <f t="shared" si="121"/>
        <v>700</v>
      </c>
      <c r="AL460" s="10">
        <v>700</v>
      </c>
      <c r="AM460" s="11">
        <v>1050000</v>
      </c>
      <c r="AN460" s="10">
        <v>0</v>
      </c>
      <c r="AO460" s="55">
        <f t="shared" si="116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1449</v>
      </c>
      <c r="AX460" s="11">
        <v>1290000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18"/>
        <v>114020017</v>
      </c>
      <c r="B461" s="13">
        <v>11</v>
      </c>
      <c r="C461" s="12">
        <f t="shared" si="119"/>
        <v>4</v>
      </c>
      <c r="D461" s="13">
        <v>2</v>
      </c>
      <c r="E461" s="13">
        <v>0</v>
      </c>
      <c r="F461" s="12">
        <f t="shared" si="120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1444</v>
      </c>
      <c r="P461" s="55" t="s">
        <v>1446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13022450</v>
      </c>
      <c r="AC461" s="55">
        <v>14</v>
      </c>
      <c r="AE461" s="55">
        <f t="shared" ca="1" si="115"/>
        <v>106150850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106150850</v>
      </c>
      <c r="AG461" s="176">
        <f t="shared" ca="1" si="122"/>
        <v>163101550</v>
      </c>
      <c r="AI461" s="11">
        <f t="shared" si="114"/>
        <v>3300</v>
      </c>
      <c r="AJ461" s="10">
        <v>3300</v>
      </c>
      <c r="AK461" s="11">
        <f t="shared" si="121"/>
        <v>850</v>
      </c>
      <c r="AL461" s="10">
        <v>850</v>
      </c>
      <c r="AM461" s="11">
        <v>2150000</v>
      </c>
      <c r="AN461" s="10">
        <v>0</v>
      </c>
      <c r="AO461" s="55">
        <f t="shared" si="116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1449</v>
      </c>
      <c r="AX461" s="11">
        <v>2400000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18"/>
        <v>114020018</v>
      </c>
      <c r="B462" s="13">
        <v>11</v>
      </c>
      <c r="C462" s="12">
        <f t="shared" si="119"/>
        <v>4</v>
      </c>
      <c r="D462" s="13">
        <v>2</v>
      </c>
      <c r="E462" s="13">
        <v>0</v>
      </c>
      <c r="F462" s="12">
        <f t="shared" si="120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1444</v>
      </c>
      <c r="P462" s="55" t="s">
        <v>1446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23283600</v>
      </c>
      <c r="AC462" s="55">
        <v>15</v>
      </c>
      <c r="AE462" s="55">
        <f t="shared" ca="1" si="115"/>
        <v>173001050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173001050</v>
      </c>
      <c r="AG462" s="176">
        <f t="shared" ca="1" si="122"/>
        <v>279151900</v>
      </c>
      <c r="AI462" s="11">
        <f t="shared" si="114"/>
        <v>3600</v>
      </c>
      <c r="AJ462" s="10">
        <v>3600</v>
      </c>
      <c r="AK462" s="11">
        <f t="shared" si="121"/>
        <v>1050</v>
      </c>
      <c r="AL462" s="10">
        <v>1050</v>
      </c>
      <c r="AM462" s="11">
        <v>4000000</v>
      </c>
      <c r="AN462" s="10">
        <v>0</v>
      </c>
      <c r="AO462" s="55">
        <f t="shared" si="116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1449</v>
      </c>
      <c r="AX462" s="11">
        <v>3900000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18"/>
        <v>114020019</v>
      </c>
      <c r="B463" s="13">
        <v>11</v>
      </c>
      <c r="C463" s="12">
        <f t="shared" si="119"/>
        <v>4</v>
      </c>
      <c r="D463" s="13">
        <v>2</v>
      </c>
      <c r="E463" s="13">
        <v>0</v>
      </c>
      <c r="F463" s="12">
        <f t="shared" si="120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1444</v>
      </c>
      <c r="P463" s="55" t="s">
        <v>1446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50404400</v>
      </c>
      <c r="AC463" s="55">
        <v>16</v>
      </c>
      <c r="AE463" s="55">
        <f t="shared" ca="1" si="115"/>
        <v>266501250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266501250</v>
      </c>
      <c r="AG463" s="176">
        <f t="shared" ca="1" si="122"/>
        <v>439502300</v>
      </c>
      <c r="AI463" s="11">
        <f t="shared" si="114"/>
        <v>3900</v>
      </c>
      <c r="AJ463" s="10">
        <v>3900</v>
      </c>
      <c r="AK463" s="11">
        <f t="shared" si="121"/>
        <v>1250</v>
      </c>
      <c r="AL463" s="10">
        <v>1250</v>
      </c>
      <c r="AM463" s="11">
        <v>6500000</v>
      </c>
      <c r="AN463" s="10">
        <v>0</v>
      </c>
      <c r="AO463" s="55">
        <f t="shared" si="116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1449</v>
      </c>
      <c r="AX463" s="11">
        <v>6000000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18"/>
        <v>114020020</v>
      </c>
      <c r="B464" s="13">
        <v>11</v>
      </c>
      <c r="C464" s="12">
        <f t="shared" si="119"/>
        <v>4</v>
      </c>
      <c r="D464" s="13">
        <v>2</v>
      </c>
      <c r="E464" s="13">
        <v>0</v>
      </c>
      <c r="F464" s="12">
        <f t="shared" si="120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1444</v>
      </c>
      <c r="P464" s="55" t="s">
        <v>1446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119976300</v>
      </c>
      <c r="AC464" s="55">
        <v>17</v>
      </c>
      <c r="AE464" s="55">
        <f t="shared" ca="1" si="115"/>
        <v>426001500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426001500</v>
      </c>
      <c r="AG464" s="176">
        <f t="shared" ca="1" si="122"/>
        <v>692502750</v>
      </c>
      <c r="AI464" s="11">
        <f t="shared" si="114"/>
        <v>4200</v>
      </c>
      <c r="AJ464" s="10">
        <v>4200</v>
      </c>
      <c r="AK464" s="11">
        <f t="shared" si="121"/>
        <v>1500</v>
      </c>
      <c r="AL464" s="10">
        <v>1500</v>
      </c>
      <c r="AM464" s="11">
        <v>10000000</v>
      </c>
      <c r="AN464" s="10">
        <v>0</v>
      </c>
      <c r="AO464" s="55">
        <f t="shared" si="116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1449</v>
      </c>
      <c r="AX464" s="11">
        <v>9600000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18"/>
        <v>115010001</v>
      </c>
      <c r="B465" s="20">
        <v>11</v>
      </c>
      <c r="C465" s="19">
        <f t="shared" si="119"/>
        <v>5</v>
      </c>
      <c r="D465" s="20">
        <v>1</v>
      </c>
      <c r="E465" s="20">
        <v>0</v>
      </c>
      <c r="F465" s="19">
        <f t="shared" si="120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1398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56">
        <f t="shared" ca="1" si="115"/>
        <v>2405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2405</v>
      </c>
      <c r="AG465" s="178">
        <f ca="1">AE465</f>
        <v>2405</v>
      </c>
      <c r="AH465" s="76"/>
      <c r="AI465" s="18">
        <f t="shared" si="114"/>
        <v>3</v>
      </c>
      <c r="AJ465" s="17">
        <v>3</v>
      </c>
      <c r="AK465" s="18">
        <f t="shared" si="121"/>
        <v>5</v>
      </c>
      <c r="AL465" s="17">
        <v>5</v>
      </c>
      <c r="AM465" s="18">
        <v>0</v>
      </c>
      <c r="AN465" s="17">
        <v>0</v>
      </c>
      <c r="AO465" s="56">
        <f t="shared" si="116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50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18"/>
        <v>115010002</v>
      </c>
      <c r="B466" s="13">
        <v>11</v>
      </c>
      <c r="C466" s="12">
        <f t="shared" si="119"/>
        <v>5</v>
      </c>
      <c r="D466" s="13">
        <v>1</v>
      </c>
      <c r="E466" s="13">
        <v>0</v>
      </c>
      <c r="F466" s="12">
        <f t="shared" si="120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1398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55">
        <f t="shared" ca="1" si="115"/>
        <v>810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810</v>
      </c>
      <c r="AG466" s="176">
        <f ca="1">AE465+AE466</f>
        <v>3215</v>
      </c>
      <c r="AI466" s="11">
        <f t="shared" si="114"/>
        <v>5</v>
      </c>
      <c r="AJ466" s="10">
        <v>5</v>
      </c>
      <c r="AK466" s="11">
        <f t="shared" si="121"/>
        <v>10</v>
      </c>
      <c r="AL466" s="10">
        <v>10</v>
      </c>
      <c r="AM466" s="11">
        <v>0</v>
      </c>
      <c r="AN466" s="10">
        <v>0</v>
      </c>
      <c r="AO466" s="55">
        <f t="shared" si="116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100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18"/>
        <v>115010003</v>
      </c>
      <c r="B467" s="13">
        <v>11</v>
      </c>
      <c r="C467" s="12">
        <f t="shared" si="119"/>
        <v>5</v>
      </c>
      <c r="D467" s="13">
        <v>1</v>
      </c>
      <c r="E467" s="13">
        <v>0</v>
      </c>
      <c r="F467" s="12">
        <f t="shared" si="120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1399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55">
        <f t="shared" ca="1" si="115"/>
        <v>1215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1215</v>
      </c>
      <c r="AG467" s="176">
        <f t="shared" ref="AG467:AG484" ca="1" si="123">AE466+AE467</f>
        <v>2025</v>
      </c>
      <c r="AI467" s="11">
        <f t="shared" si="114"/>
        <v>5</v>
      </c>
      <c r="AJ467" s="10">
        <v>5</v>
      </c>
      <c r="AK467" s="11">
        <f t="shared" si="121"/>
        <v>15</v>
      </c>
      <c r="AL467" s="10">
        <v>15</v>
      </c>
      <c r="AM467" s="11">
        <v>0</v>
      </c>
      <c r="AN467" s="10">
        <v>0</v>
      </c>
      <c r="AO467" s="55">
        <f t="shared" si="116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150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18"/>
        <v>115010004</v>
      </c>
      <c r="B468" s="13">
        <v>11</v>
      </c>
      <c r="C468" s="12">
        <f t="shared" si="119"/>
        <v>5</v>
      </c>
      <c r="D468" s="13">
        <v>1</v>
      </c>
      <c r="E468" s="13">
        <v>0</v>
      </c>
      <c r="F468" s="12">
        <f t="shared" si="120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1399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55">
        <f t="shared" ca="1" si="115"/>
        <v>4850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4850</v>
      </c>
      <c r="AG468" s="176">
        <f t="shared" ca="1" si="123"/>
        <v>6065</v>
      </c>
      <c r="AI468" s="11">
        <f t="shared" si="114"/>
        <v>15</v>
      </c>
      <c r="AJ468" s="10">
        <v>15</v>
      </c>
      <c r="AK468" s="11">
        <f t="shared" si="121"/>
        <v>25</v>
      </c>
      <c r="AL468" s="10">
        <v>25</v>
      </c>
      <c r="AM468" s="11">
        <v>25</v>
      </c>
      <c r="AN468" s="10">
        <v>0</v>
      </c>
      <c r="AO468" s="55">
        <f t="shared" si="116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600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18"/>
        <v>115010005</v>
      </c>
      <c r="B469" s="13">
        <v>11</v>
      </c>
      <c r="C469" s="12">
        <f t="shared" si="119"/>
        <v>5</v>
      </c>
      <c r="D469" s="13">
        <v>1</v>
      </c>
      <c r="E469" s="13">
        <v>0</v>
      </c>
      <c r="F469" s="12">
        <f t="shared" si="120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1399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55">
        <f t="shared" ca="1" si="115"/>
        <v>22990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22990</v>
      </c>
      <c r="AG469" s="176">
        <f t="shared" ca="1" si="123"/>
        <v>27840</v>
      </c>
      <c r="AI469" s="11">
        <f t="shared" si="114"/>
        <v>20</v>
      </c>
      <c r="AJ469" s="10">
        <v>20</v>
      </c>
      <c r="AK469" s="11">
        <f t="shared" si="121"/>
        <v>40</v>
      </c>
      <c r="AL469" s="10">
        <v>40</v>
      </c>
      <c r="AM469" s="11">
        <v>1350</v>
      </c>
      <c r="AN469" s="10">
        <v>0</v>
      </c>
      <c r="AO469" s="55">
        <f t="shared" si="116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2700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18"/>
        <v>115010006</v>
      </c>
      <c r="B470" s="13">
        <v>11</v>
      </c>
      <c r="C470" s="12">
        <f t="shared" si="119"/>
        <v>5</v>
      </c>
      <c r="D470" s="13">
        <v>1</v>
      </c>
      <c r="E470" s="13">
        <v>0</v>
      </c>
      <c r="F470" s="12">
        <f t="shared" si="120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1399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310</v>
      </c>
      <c r="AC470" s="55">
        <v>3</v>
      </c>
      <c r="AE470" s="55">
        <f t="shared" ca="1" si="115"/>
        <v>76550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76550</v>
      </c>
      <c r="AG470" s="176">
        <f t="shared" ca="1" si="123"/>
        <v>99540</v>
      </c>
      <c r="AI470" s="11">
        <f t="shared" si="114"/>
        <v>30</v>
      </c>
      <c r="AJ470" s="10">
        <v>30</v>
      </c>
      <c r="AK470" s="11">
        <f t="shared" si="121"/>
        <v>50</v>
      </c>
      <c r="AL470" s="10">
        <v>50</v>
      </c>
      <c r="AM470" s="11">
        <v>4500</v>
      </c>
      <c r="AN470" s="10">
        <v>0</v>
      </c>
      <c r="AO470" s="55">
        <f t="shared" si="116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9000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18"/>
        <v>115010007</v>
      </c>
      <c r="B471" s="13">
        <v>11</v>
      </c>
      <c r="C471" s="12">
        <f t="shared" si="119"/>
        <v>5</v>
      </c>
      <c r="D471" s="13">
        <v>1</v>
      </c>
      <c r="E471" s="13">
        <v>0</v>
      </c>
      <c r="F471" s="12">
        <f t="shared" si="120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1399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930</v>
      </c>
      <c r="AC471" s="55">
        <v>4</v>
      </c>
      <c r="AE471" s="55">
        <f t="shared" ca="1" si="115"/>
        <v>170100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170100</v>
      </c>
      <c r="AG471" s="176">
        <f t="shared" ca="1" si="123"/>
        <v>246650</v>
      </c>
      <c r="AI471" s="11">
        <f t="shared" si="114"/>
        <v>300</v>
      </c>
      <c r="AJ471" s="10">
        <v>300</v>
      </c>
      <c r="AK471" s="11">
        <f t="shared" si="121"/>
        <v>100</v>
      </c>
      <c r="AL471" s="10">
        <v>100</v>
      </c>
      <c r="AM471" s="11">
        <v>10000</v>
      </c>
      <c r="AN471" s="10">
        <v>0</v>
      </c>
      <c r="AO471" s="55">
        <f t="shared" si="116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20000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18"/>
        <v>115010008</v>
      </c>
      <c r="B472" s="13">
        <v>11</v>
      </c>
      <c r="C472" s="12">
        <f t="shared" si="119"/>
        <v>5</v>
      </c>
      <c r="D472" s="13">
        <v>1</v>
      </c>
      <c r="E472" s="13">
        <v>0</v>
      </c>
      <c r="F472" s="12">
        <f t="shared" si="120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1399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5475</v>
      </c>
      <c r="AC472" s="55">
        <v>5</v>
      </c>
      <c r="AE472" s="55">
        <f t="shared" ca="1" si="115"/>
        <v>357100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357100</v>
      </c>
      <c r="AG472" s="176">
        <f t="shared" ca="1" si="123"/>
        <v>527200</v>
      </c>
      <c r="AI472" s="11">
        <f t="shared" si="114"/>
        <v>600</v>
      </c>
      <c r="AJ472" s="10">
        <v>600</v>
      </c>
      <c r="AK472" s="11">
        <f t="shared" si="121"/>
        <v>100</v>
      </c>
      <c r="AL472" s="10">
        <v>100</v>
      </c>
      <c r="AM472" s="11">
        <v>21000</v>
      </c>
      <c r="AN472" s="10">
        <v>0</v>
      </c>
      <c r="AO472" s="55">
        <f t="shared" si="116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42000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18"/>
        <v>115010009</v>
      </c>
      <c r="B473" s="13">
        <v>11</v>
      </c>
      <c r="C473" s="12">
        <f t="shared" si="119"/>
        <v>5</v>
      </c>
      <c r="D473" s="13">
        <v>1</v>
      </c>
      <c r="E473" s="13">
        <v>0</v>
      </c>
      <c r="F473" s="12">
        <f t="shared" si="120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1400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32560</v>
      </c>
      <c r="AC473" s="55">
        <v>6</v>
      </c>
      <c r="AE473" s="55">
        <f t="shared" ca="1" si="115"/>
        <v>663150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663150</v>
      </c>
      <c r="AG473" s="176">
        <f t="shared" ca="1" si="123"/>
        <v>1020250</v>
      </c>
      <c r="AI473" s="11">
        <f t="shared" ref="AI473:AI504" si="124">ROUND(AJ473,0)</f>
        <v>900</v>
      </c>
      <c r="AJ473" s="10">
        <v>900</v>
      </c>
      <c r="AK473" s="11">
        <f t="shared" si="121"/>
        <v>150</v>
      </c>
      <c r="AL473" s="10">
        <v>150</v>
      </c>
      <c r="AM473" s="11">
        <v>39000</v>
      </c>
      <c r="AN473" s="10">
        <v>0</v>
      </c>
      <c r="AO473" s="55">
        <f t="shared" si="116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78000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18"/>
        <v>115010010</v>
      </c>
      <c r="B474" s="13">
        <v>11</v>
      </c>
      <c r="C474" s="12">
        <f t="shared" si="119"/>
        <v>5</v>
      </c>
      <c r="D474" s="13">
        <v>1</v>
      </c>
      <c r="E474" s="13">
        <v>0</v>
      </c>
      <c r="F474" s="12">
        <f t="shared" si="120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1400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108200</v>
      </c>
      <c r="AC474" s="55">
        <v>7</v>
      </c>
      <c r="AE474" s="55">
        <f t="shared" ref="AE474:AE504" ca="1" si="125">ROUND(AF474,0)</f>
        <v>1106200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1106200</v>
      </c>
      <c r="AG474" s="176">
        <f t="shared" ca="1" si="123"/>
        <v>1769350</v>
      </c>
      <c r="AI474" s="11">
        <f t="shared" si="124"/>
        <v>1200</v>
      </c>
      <c r="AJ474" s="10">
        <v>1200</v>
      </c>
      <c r="AK474" s="11">
        <f t="shared" si="121"/>
        <v>200</v>
      </c>
      <c r="AL474" s="10">
        <v>200</v>
      </c>
      <c r="AM474" s="11">
        <v>65000</v>
      </c>
      <c r="AN474" s="10">
        <v>0</v>
      </c>
      <c r="AO474" s="55">
        <f t="shared" ref="AO474:AO504" si="126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130000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18"/>
        <v>115010011</v>
      </c>
      <c r="B475" s="13">
        <v>11</v>
      </c>
      <c r="C475" s="12">
        <f t="shared" si="119"/>
        <v>5</v>
      </c>
      <c r="D475" s="13">
        <v>1</v>
      </c>
      <c r="E475" s="13">
        <v>0</v>
      </c>
      <c r="F475" s="12">
        <f t="shared" si="120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1400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240400</v>
      </c>
      <c r="AC475" s="55">
        <v>8</v>
      </c>
      <c r="AE475" s="55">
        <f t="shared" ca="1" si="125"/>
        <v>1870250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1870250</v>
      </c>
      <c r="AG475" s="176">
        <f t="shared" ca="1" si="123"/>
        <v>2976450</v>
      </c>
      <c r="AI475" s="11">
        <f t="shared" si="124"/>
        <v>1500</v>
      </c>
      <c r="AJ475" s="10">
        <v>1500</v>
      </c>
      <c r="AK475" s="11">
        <f t="shared" si="121"/>
        <v>250</v>
      </c>
      <c r="AL475" s="10">
        <v>250</v>
      </c>
      <c r="AM475" s="11">
        <v>110000</v>
      </c>
      <c r="AN475" s="10">
        <v>0</v>
      </c>
      <c r="AO475" s="55">
        <f t="shared" si="126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220000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18"/>
        <v>115010012</v>
      </c>
      <c r="B476" s="13">
        <v>11</v>
      </c>
      <c r="C476" s="12">
        <f t="shared" si="119"/>
        <v>5</v>
      </c>
      <c r="D476" s="13">
        <v>1</v>
      </c>
      <c r="E476" s="13">
        <v>0</v>
      </c>
      <c r="F476" s="12">
        <f t="shared" si="120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1400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630500</v>
      </c>
      <c r="AC476" s="55">
        <v>9</v>
      </c>
      <c r="AE476" s="55">
        <f t="shared" ca="1" si="125"/>
        <v>3145300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3145300</v>
      </c>
      <c r="AG476" s="176">
        <f t="shared" ca="1" si="123"/>
        <v>5015550</v>
      </c>
      <c r="AI476" s="11">
        <f t="shared" si="124"/>
        <v>1800</v>
      </c>
      <c r="AJ476" s="10">
        <v>1800</v>
      </c>
      <c r="AK476" s="11">
        <f t="shared" si="121"/>
        <v>300</v>
      </c>
      <c r="AL476" s="10">
        <v>300</v>
      </c>
      <c r="AM476" s="11">
        <v>185000</v>
      </c>
      <c r="AN476" s="10">
        <v>0</v>
      </c>
      <c r="AO476" s="55">
        <f t="shared" si="126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370000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18"/>
        <v>115010013</v>
      </c>
      <c r="B477" s="13">
        <v>11</v>
      </c>
      <c r="C477" s="12">
        <f t="shared" si="119"/>
        <v>5</v>
      </c>
      <c r="D477" s="13">
        <v>1</v>
      </c>
      <c r="E477" s="13">
        <v>0</v>
      </c>
      <c r="F477" s="12">
        <f t="shared" si="120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1401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1170750</v>
      </c>
      <c r="AC477" s="55">
        <v>10</v>
      </c>
      <c r="AE477" s="55">
        <f t="shared" ca="1" si="125"/>
        <v>5270350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5270350</v>
      </c>
      <c r="AG477" s="176">
        <f t="shared" ca="1" si="123"/>
        <v>8415650</v>
      </c>
      <c r="AI477" s="11">
        <f t="shared" si="124"/>
        <v>2100</v>
      </c>
      <c r="AJ477" s="10">
        <v>2100</v>
      </c>
      <c r="AK477" s="11">
        <f t="shared" si="121"/>
        <v>350</v>
      </c>
      <c r="AL477" s="10">
        <v>350</v>
      </c>
      <c r="AM477" s="11">
        <v>310000</v>
      </c>
      <c r="AN477" s="10">
        <v>0</v>
      </c>
      <c r="AO477" s="55">
        <f t="shared" si="126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620000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18"/>
        <v>115010014</v>
      </c>
      <c r="B478" s="13">
        <v>11</v>
      </c>
      <c r="C478" s="12">
        <f t="shared" si="119"/>
        <v>5</v>
      </c>
      <c r="D478" s="13">
        <v>1</v>
      </c>
      <c r="E478" s="13">
        <v>0</v>
      </c>
      <c r="F478" s="12">
        <f t="shared" si="120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1401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1956000</v>
      </c>
      <c r="AC478" s="55">
        <v>11</v>
      </c>
      <c r="AE478" s="55">
        <f t="shared" ca="1" si="125"/>
        <v>8245450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8245450</v>
      </c>
      <c r="AG478" s="176">
        <f t="shared" ca="1" si="123"/>
        <v>13515800</v>
      </c>
      <c r="AI478" s="11">
        <f t="shared" si="124"/>
        <v>2400</v>
      </c>
      <c r="AJ478" s="10">
        <v>2400</v>
      </c>
      <c r="AK478" s="11">
        <f t="shared" si="121"/>
        <v>450</v>
      </c>
      <c r="AL478" s="10">
        <v>450</v>
      </c>
      <c r="AM478" s="11">
        <v>485000</v>
      </c>
      <c r="AN478" s="10">
        <v>0</v>
      </c>
      <c r="AO478" s="55">
        <f t="shared" si="126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970000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18"/>
        <v>115010015</v>
      </c>
      <c r="B479" s="13">
        <v>11</v>
      </c>
      <c r="C479" s="12">
        <f t="shared" si="119"/>
        <v>5</v>
      </c>
      <c r="D479" s="13">
        <v>1</v>
      </c>
      <c r="E479" s="13">
        <v>0</v>
      </c>
      <c r="F479" s="12">
        <f t="shared" si="120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1402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3961500</v>
      </c>
      <c r="AC479" s="55">
        <v>12</v>
      </c>
      <c r="AE479" s="55">
        <f t="shared" ca="1" si="125"/>
        <v>17850550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17850550</v>
      </c>
      <c r="AG479" s="176">
        <f t="shared" ca="1" si="123"/>
        <v>26096000</v>
      </c>
      <c r="AI479" s="11">
        <f t="shared" si="124"/>
        <v>2700</v>
      </c>
      <c r="AJ479" s="10">
        <v>2700</v>
      </c>
      <c r="AK479" s="11">
        <f t="shared" si="121"/>
        <v>550</v>
      </c>
      <c r="AL479" s="10">
        <v>550</v>
      </c>
      <c r="AM479" s="11">
        <v>1050000</v>
      </c>
      <c r="AN479" s="10">
        <v>0</v>
      </c>
      <c r="AO479" s="55">
        <f t="shared" si="126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2100000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18"/>
        <v>115010016</v>
      </c>
      <c r="B480" s="13">
        <v>11</v>
      </c>
      <c r="C480" s="12">
        <f t="shared" si="119"/>
        <v>5</v>
      </c>
      <c r="D480" s="13">
        <v>1</v>
      </c>
      <c r="E480" s="13">
        <v>0</v>
      </c>
      <c r="F480" s="12">
        <f t="shared" si="120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1402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7772100</v>
      </c>
      <c r="AC480" s="55">
        <v>13</v>
      </c>
      <c r="AE480" s="55">
        <f t="shared" ca="1" si="125"/>
        <v>45150700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45150700</v>
      </c>
      <c r="AG480" s="176">
        <f t="shared" ca="1" si="123"/>
        <v>63001250</v>
      </c>
      <c r="AI480" s="11">
        <f t="shared" si="124"/>
        <v>3000</v>
      </c>
      <c r="AJ480" s="10">
        <v>3000</v>
      </c>
      <c r="AK480" s="11">
        <f t="shared" si="121"/>
        <v>700</v>
      </c>
      <c r="AL480" s="10">
        <v>700</v>
      </c>
      <c r="AM480" s="11">
        <v>2150000</v>
      </c>
      <c r="AN480" s="10">
        <v>0</v>
      </c>
      <c r="AO480" s="55">
        <f t="shared" si="126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4300000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18"/>
        <v>115010017</v>
      </c>
      <c r="B481" s="13">
        <v>11</v>
      </c>
      <c r="C481" s="12">
        <f t="shared" si="119"/>
        <v>5</v>
      </c>
      <c r="D481" s="13">
        <v>1</v>
      </c>
      <c r="E481" s="13">
        <v>0</v>
      </c>
      <c r="F481" s="12">
        <f t="shared" si="120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1402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13022450</v>
      </c>
      <c r="AC481" s="55">
        <v>14</v>
      </c>
      <c r="AE481" s="55">
        <f t="shared" ca="1" si="125"/>
        <v>84000850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84000850</v>
      </c>
      <c r="AG481" s="176">
        <f t="shared" ca="1" si="123"/>
        <v>129151550</v>
      </c>
      <c r="AI481" s="11">
        <f t="shared" si="124"/>
        <v>3300</v>
      </c>
      <c r="AJ481" s="10">
        <v>3300</v>
      </c>
      <c r="AK481" s="11">
        <f t="shared" si="121"/>
        <v>850</v>
      </c>
      <c r="AL481" s="10">
        <v>850</v>
      </c>
      <c r="AM481" s="11">
        <v>4000000</v>
      </c>
      <c r="AN481" s="10">
        <v>0</v>
      </c>
      <c r="AO481" s="55">
        <f t="shared" si="126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8000000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18"/>
        <v>115010018</v>
      </c>
      <c r="B482" s="13">
        <v>11</v>
      </c>
      <c r="C482" s="12">
        <f t="shared" si="119"/>
        <v>5</v>
      </c>
      <c r="D482" s="13">
        <v>1</v>
      </c>
      <c r="E482" s="13">
        <v>0</v>
      </c>
      <c r="F482" s="12">
        <f t="shared" si="120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1402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23283600</v>
      </c>
      <c r="AC482" s="55">
        <v>15</v>
      </c>
      <c r="AE482" s="55">
        <f t="shared" ca="1" si="125"/>
        <v>136501050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136501050</v>
      </c>
      <c r="AG482" s="176">
        <f t="shared" ca="1" si="123"/>
        <v>220501900</v>
      </c>
      <c r="AI482" s="11">
        <f t="shared" si="124"/>
        <v>3600</v>
      </c>
      <c r="AJ482" s="10">
        <v>3600</v>
      </c>
      <c r="AK482" s="11">
        <f t="shared" si="121"/>
        <v>1050</v>
      </c>
      <c r="AL482" s="10">
        <v>1050</v>
      </c>
      <c r="AM482" s="11">
        <v>6500000</v>
      </c>
      <c r="AN482" s="10">
        <v>0</v>
      </c>
      <c r="AO482" s="55">
        <f t="shared" si="126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13000000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18"/>
        <v>115010019</v>
      </c>
      <c r="B483" s="13">
        <v>11</v>
      </c>
      <c r="C483" s="12">
        <f t="shared" si="119"/>
        <v>5</v>
      </c>
      <c r="D483" s="13">
        <v>1</v>
      </c>
      <c r="E483" s="13">
        <v>0</v>
      </c>
      <c r="F483" s="12">
        <f t="shared" si="120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1402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50404400</v>
      </c>
      <c r="AC483" s="55">
        <v>16</v>
      </c>
      <c r="AE483" s="55">
        <f t="shared" ca="1" si="125"/>
        <v>210001250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210001250</v>
      </c>
      <c r="AG483" s="176">
        <f t="shared" ca="1" si="123"/>
        <v>346502300</v>
      </c>
      <c r="AI483" s="11">
        <f t="shared" si="124"/>
        <v>3900</v>
      </c>
      <c r="AJ483" s="10">
        <v>3900</v>
      </c>
      <c r="AK483" s="11">
        <f t="shared" si="121"/>
        <v>1250</v>
      </c>
      <c r="AL483" s="10">
        <v>1250</v>
      </c>
      <c r="AM483" s="11">
        <v>10000000</v>
      </c>
      <c r="AN483" s="10">
        <v>0</v>
      </c>
      <c r="AO483" s="55">
        <f t="shared" si="126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20000000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18"/>
        <v>115010020</v>
      </c>
      <c r="B484" s="13">
        <v>11</v>
      </c>
      <c r="C484" s="12">
        <f t="shared" si="119"/>
        <v>5</v>
      </c>
      <c r="D484" s="13">
        <v>1</v>
      </c>
      <c r="E484" s="13">
        <v>0</v>
      </c>
      <c r="F484" s="12">
        <f t="shared" si="120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1402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119976300</v>
      </c>
      <c r="AC484" s="55">
        <v>17</v>
      </c>
      <c r="AE484" s="55">
        <f t="shared" ca="1" si="125"/>
        <v>336001500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336001500</v>
      </c>
      <c r="AG484" s="176">
        <f t="shared" ca="1" si="123"/>
        <v>546002750</v>
      </c>
      <c r="AI484" s="11">
        <f t="shared" si="124"/>
        <v>4200</v>
      </c>
      <c r="AJ484" s="10">
        <v>4200</v>
      </c>
      <c r="AK484" s="11">
        <f t="shared" si="121"/>
        <v>1500</v>
      </c>
      <c r="AL484" s="10">
        <v>1500</v>
      </c>
      <c r="AM484" s="11">
        <v>16000000</v>
      </c>
      <c r="AN484" s="10">
        <v>0</v>
      </c>
      <c r="AO484" s="55">
        <f t="shared" si="126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32000000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18"/>
        <v>115020001</v>
      </c>
      <c r="B485" s="20">
        <v>11</v>
      </c>
      <c r="C485" s="19">
        <f t="shared" si="119"/>
        <v>5</v>
      </c>
      <c r="D485" s="20">
        <v>2</v>
      </c>
      <c r="E485" s="20">
        <v>0</v>
      </c>
      <c r="F485" s="19">
        <f t="shared" si="120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1403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56">
        <f t="shared" ca="1" si="125"/>
        <v>2205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2205</v>
      </c>
      <c r="AG485" s="178">
        <f ca="1">AE485</f>
        <v>2205</v>
      </c>
      <c r="AH485" s="76"/>
      <c r="AI485" s="18">
        <f t="shared" si="124"/>
        <v>3</v>
      </c>
      <c r="AJ485" s="17">
        <v>3</v>
      </c>
      <c r="AK485" s="18">
        <f t="shared" si="121"/>
        <v>5</v>
      </c>
      <c r="AL485" s="17">
        <v>5</v>
      </c>
      <c r="AM485" s="18">
        <f t="shared" si="121"/>
        <v>0</v>
      </c>
      <c r="AN485" s="17">
        <v>0</v>
      </c>
      <c r="AO485" s="56">
        <f t="shared" si="126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18"/>
        <v>115020002</v>
      </c>
      <c r="B486" s="13">
        <v>11</v>
      </c>
      <c r="C486" s="12">
        <f t="shared" si="119"/>
        <v>5</v>
      </c>
      <c r="D486" s="13">
        <v>2</v>
      </c>
      <c r="E486" s="13">
        <v>0</v>
      </c>
      <c r="F486" s="12">
        <f t="shared" si="120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1403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55">
        <f t="shared" ca="1" si="125"/>
        <v>410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410</v>
      </c>
      <c r="AG486" s="176">
        <f ca="1">AE485+AE486</f>
        <v>2615</v>
      </c>
      <c r="AI486" s="11">
        <f t="shared" si="124"/>
        <v>5</v>
      </c>
      <c r="AJ486" s="10">
        <v>5</v>
      </c>
      <c r="AK486" s="11">
        <f t="shared" si="121"/>
        <v>10</v>
      </c>
      <c r="AL486" s="10">
        <v>10</v>
      </c>
      <c r="AM486" s="11">
        <f t="shared" si="121"/>
        <v>0</v>
      </c>
      <c r="AN486" s="10">
        <v>0</v>
      </c>
      <c r="AO486" s="55">
        <f t="shared" si="126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18"/>
        <v>115020003</v>
      </c>
      <c r="B487" s="13">
        <v>11</v>
      </c>
      <c r="C487" s="12">
        <f t="shared" si="119"/>
        <v>5</v>
      </c>
      <c r="D487" s="13">
        <v>2</v>
      </c>
      <c r="E487" s="13">
        <v>0</v>
      </c>
      <c r="F487" s="12">
        <f t="shared" si="120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1403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55">
        <f t="shared" ca="1" si="125"/>
        <v>615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615</v>
      </c>
      <c r="AG487" s="176">
        <f t="shared" ref="AG487:AG504" ca="1" si="127">AE486+AE487</f>
        <v>1025</v>
      </c>
      <c r="AI487" s="11">
        <f t="shared" si="124"/>
        <v>5</v>
      </c>
      <c r="AJ487" s="10">
        <v>5</v>
      </c>
      <c r="AK487" s="11">
        <f t="shared" si="121"/>
        <v>15</v>
      </c>
      <c r="AL487" s="10">
        <v>15</v>
      </c>
      <c r="AM487" s="11">
        <f t="shared" si="121"/>
        <v>0</v>
      </c>
      <c r="AN487" s="10">
        <v>0</v>
      </c>
      <c r="AO487" s="55">
        <f t="shared" si="126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18"/>
        <v>115020004</v>
      </c>
      <c r="B488" s="13">
        <v>11</v>
      </c>
      <c r="C488" s="12">
        <f t="shared" si="119"/>
        <v>5</v>
      </c>
      <c r="D488" s="13">
        <v>2</v>
      </c>
      <c r="E488" s="13">
        <v>0</v>
      </c>
      <c r="F488" s="12">
        <f t="shared" si="120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1404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55">
        <f t="shared" ca="1" si="125"/>
        <v>2425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2425</v>
      </c>
      <c r="AG488" s="176">
        <f t="shared" ca="1" si="127"/>
        <v>3040</v>
      </c>
      <c r="AI488" s="11">
        <f t="shared" si="124"/>
        <v>15</v>
      </c>
      <c r="AJ488" s="10">
        <v>15</v>
      </c>
      <c r="AK488" s="11">
        <f t="shared" si="121"/>
        <v>25</v>
      </c>
      <c r="AL488" s="10">
        <v>25</v>
      </c>
      <c r="AM488" s="11">
        <f t="shared" si="121"/>
        <v>0</v>
      </c>
      <c r="AN488" s="10">
        <v>0</v>
      </c>
      <c r="AO488" s="55">
        <f t="shared" si="126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300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18"/>
        <v>115020005</v>
      </c>
      <c r="B489" s="13">
        <v>11</v>
      </c>
      <c r="C489" s="12">
        <f t="shared" si="119"/>
        <v>5</v>
      </c>
      <c r="D489" s="13">
        <v>2</v>
      </c>
      <c r="E489" s="13">
        <v>0</v>
      </c>
      <c r="F489" s="12">
        <f t="shared" si="120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1404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55">
        <f t="shared" ca="1" si="125"/>
        <v>10840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10840</v>
      </c>
      <c r="AG489" s="176">
        <f t="shared" ca="1" si="127"/>
        <v>13265</v>
      </c>
      <c r="AI489" s="11">
        <f t="shared" si="124"/>
        <v>20</v>
      </c>
      <c r="AJ489" s="10">
        <v>20</v>
      </c>
      <c r="AK489" s="11">
        <f t="shared" si="121"/>
        <v>40</v>
      </c>
      <c r="AL489" s="10">
        <v>40</v>
      </c>
      <c r="AM489" s="11">
        <f t="shared" si="121"/>
        <v>0</v>
      </c>
      <c r="AN489" s="10">
        <v>0</v>
      </c>
      <c r="AO489" s="55">
        <f t="shared" si="126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1350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18"/>
        <v>115020006</v>
      </c>
      <c r="B490" s="13">
        <v>11</v>
      </c>
      <c r="C490" s="12">
        <f t="shared" si="119"/>
        <v>5</v>
      </c>
      <c r="D490" s="13">
        <v>2</v>
      </c>
      <c r="E490" s="13">
        <v>0</v>
      </c>
      <c r="F490" s="12">
        <f t="shared" si="120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1404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310</v>
      </c>
      <c r="AC490" s="55">
        <v>3</v>
      </c>
      <c r="AE490" s="55">
        <f t="shared" ca="1" si="125"/>
        <v>36050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36050</v>
      </c>
      <c r="AG490" s="176">
        <f t="shared" ca="1" si="127"/>
        <v>46890</v>
      </c>
      <c r="AI490" s="11">
        <f t="shared" si="124"/>
        <v>30</v>
      </c>
      <c r="AJ490" s="10">
        <v>30</v>
      </c>
      <c r="AK490" s="11">
        <f t="shared" si="121"/>
        <v>50</v>
      </c>
      <c r="AL490" s="10">
        <v>50</v>
      </c>
      <c r="AM490" s="11">
        <f t="shared" si="121"/>
        <v>0</v>
      </c>
      <c r="AN490" s="10">
        <v>0</v>
      </c>
      <c r="AO490" s="55">
        <f t="shared" si="126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4500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18"/>
        <v>115020007</v>
      </c>
      <c r="B491" s="13">
        <v>11</v>
      </c>
      <c r="C491" s="12">
        <f t="shared" si="119"/>
        <v>5</v>
      </c>
      <c r="D491" s="13">
        <v>2</v>
      </c>
      <c r="E491" s="13">
        <v>0</v>
      </c>
      <c r="F491" s="12">
        <f t="shared" si="120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1405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930</v>
      </c>
      <c r="AC491" s="55">
        <v>4</v>
      </c>
      <c r="AE491" s="55">
        <f t="shared" ca="1" si="125"/>
        <v>80100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80100</v>
      </c>
      <c r="AG491" s="176">
        <f t="shared" ca="1" si="127"/>
        <v>116150</v>
      </c>
      <c r="AI491" s="11">
        <f t="shared" si="124"/>
        <v>300</v>
      </c>
      <c r="AJ491" s="10">
        <v>300</v>
      </c>
      <c r="AK491" s="11">
        <f t="shared" si="121"/>
        <v>100</v>
      </c>
      <c r="AL491" s="10">
        <v>100</v>
      </c>
      <c r="AM491" s="11">
        <f t="shared" si="121"/>
        <v>0</v>
      </c>
      <c r="AN491" s="10">
        <v>0</v>
      </c>
      <c r="AO491" s="55">
        <f t="shared" si="126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10000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18"/>
        <v>115020008</v>
      </c>
      <c r="B492" s="13">
        <v>11</v>
      </c>
      <c r="C492" s="12">
        <f t="shared" si="119"/>
        <v>5</v>
      </c>
      <c r="D492" s="13">
        <v>2</v>
      </c>
      <c r="E492" s="13">
        <v>0</v>
      </c>
      <c r="F492" s="12">
        <f t="shared" si="120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1405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5475</v>
      </c>
      <c r="AC492" s="55">
        <v>5</v>
      </c>
      <c r="AE492" s="55">
        <f t="shared" ca="1" si="125"/>
        <v>168100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168100</v>
      </c>
      <c r="AG492" s="176">
        <f t="shared" ca="1" si="127"/>
        <v>248200</v>
      </c>
      <c r="AI492" s="11">
        <f t="shared" si="124"/>
        <v>600</v>
      </c>
      <c r="AJ492" s="10">
        <v>600</v>
      </c>
      <c r="AK492" s="11">
        <f t="shared" si="121"/>
        <v>100</v>
      </c>
      <c r="AL492" s="10">
        <v>100</v>
      </c>
      <c r="AM492" s="11">
        <v>0</v>
      </c>
      <c r="AN492" s="10">
        <v>0</v>
      </c>
      <c r="AO492" s="55">
        <f t="shared" si="126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21000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28">B493*10000000+C493*1000000+D493*10000+E493*100+F493</f>
        <v>115020009</v>
      </c>
      <c r="B493" s="13">
        <v>11</v>
      </c>
      <c r="C493" s="12">
        <f t="shared" ref="C493:C504" si="129">H493</f>
        <v>5</v>
      </c>
      <c r="D493" s="13">
        <v>2</v>
      </c>
      <c r="E493" s="13">
        <v>0</v>
      </c>
      <c r="F493" s="12">
        <f t="shared" ref="F493:F504" si="130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1405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32560</v>
      </c>
      <c r="AC493" s="55">
        <v>6</v>
      </c>
      <c r="AE493" s="55">
        <f t="shared" ca="1" si="125"/>
        <v>312150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312150</v>
      </c>
      <c r="AG493" s="176">
        <f t="shared" ca="1" si="127"/>
        <v>480250</v>
      </c>
      <c r="AI493" s="11">
        <f t="shared" si="124"/>
        <v>900</v>
      </c>
      <c r="AJ493" s="10">
        <v>900</v>
      </c>
      <c r="AK493" s="11">
        <f t="shared" si="121"/>
        <v>150</v>
      </c>
      <c r="AL493" s="10">
        <v>150</v>
      </c>
      <c r="AM493" s="11">
        <v>0</v>
      </c>
      <c r="AN493" s="10">
        <v>0</v>
      </c>
      <c r="AO493" s="55">
        <f t="shared" si="126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39000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28"/>
        <v>115020010</v>
      </c>
      <c r="B494" s="13">
        <v>11</v>
      </c>
      <c r="C494" s="12">
        <f t="shared" si="129"/>
        <v>5</v>
      </c>
      <c r="D494" s="13">
        <v>2</v>
      </c>
      <c r="E494" s="13">
        <v>0</v>
      </c>
      <c r="F494" s="12">
        <f t="shared" si="130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1405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108200</v>
      </c>
      <c r="AC494" s="55">
        <v>7</v>
      </c>
      <c r="AE494" s="55">
        <f t="shared" ca="1" si="125"/>
        <v>525700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525700</v>
      </c>
      <c r="AG494" s="176">
        <f t="shared" ca="1" si="127"/>
        <v>837850</v>
      </c>
      <c r="AI494" s="11">
        <f t="shared" si="124"/>
        <v>1200</v>
      </c>
      <c r="AJ494" s="10">
        <v>1200</v>
      </c>
      <c r="AK494" s="11">
        <f t="shared" ref="AK494:AK504" si="131">ROUND(AL494,0)</f>
        <v>200</v>
      </c>
      <c r="AL494" s="10">
        <v>200</v>
      </c>
      <c r="AM494" s="11">
        <v>500</v>
      </c>
      <c r="AN494" s="10">
        <v>0</v>
      </c>
      <c r="AO494" s="55">
        <f t="shared" si="126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65000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28"/>
        <v>115020011</v>
      </c>
      <c r="B495" s="13">
        <v>11</v>
      </c>
      <c r="C495" s="12">
        <f t="shared" si="129"/>
        <v>5</v>
      </c>
      <c r="D495" s="13">
        <v>2</v>
      </c>
      <c r="E495" s="13">
        <v>0</v>
      </c>
      <c r="F495" s="12">
        <f t="shared" si="130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1406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240400</v>
      </c>
      <c r="AC495" s="55">
        <v>8</v>
      </c>
      <c r="AE495" s="55">
        <f t="shared" ca="1" si="125"/>
        <v>886250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886250</v>
      </c>
      <c r="AG495" s="176">
        <f t="shared" ca="1" si="127"/>
        <v>1411950</v>
      </c>
      <c r="AI495" s="11">
        <f t="shared" si="124"/>
        <v>1500</v>
      </c>
      <c r="AJ495" s="10">
        <v>1500</v>
      </c>
      <c r="AK495" s="11">
        <f t="shared" si="131"/>
        <v>250</v>
      </c>
      <c r="AL495" s="10">
        <v>250</v>
      </c>
      <c r="AM495" s="11">
        <v>6000</v>
      </c>
      <c r="AN495" s="10">
        <v>0</v>
      </c>
      <c r="AO495" s="55">
        <f t="shared" si="126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110000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28"/>
        <v>115020012</v>
      </c>
      <c r="B496" s="13">
        <v>11</v>
      </c>
      <c r="C496" s="12">
        <f t="shared" si="129"/>
        <v>5</v>
      </c>
      <c r="D496" s="13">
        <v>2</v>
      </c>
      <c r="E496" s="13">
        <v>0</v>
      </c>
      <c r="F496" s="12">
        <f t="shared" si="130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1406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630500</v>
      </c>
      <c r="AC496" s="55">
        <v>9</v>
      </c>
      <c r="AE496" s="55">
        <f t="shared" ca="1" si="125"/>
        <v>1519300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1519300</v>
      </c>
      <c r="AG496" s="176">
        <f t="shared" ca="1" si="127"/>
        <v>2405550</v>
      </c>
      <c r="AI496" s="11">
        <f t="shared" si="124"/>
        <v>1800</v>
      </c>
      <c r="AJ496" s="10">
        <v>1800</v>
      </c>
      <c r="AK496" s="11">
        <f t="shared" si="131"/>
        <v>300</v>
      </c>
      <c r="AL496" s="10">
        <v>300</v>
      </c>
      <c r="AM496" s="11">
        <v>39000</v>
      </c>
      <c r="AN496" s="10">
        <v>0</v>
      </c>
      <c r="AO496" s="55">
        <f t="shared" si="126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185000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28"/>
        <v>115020013</v>
      </c>
      <c r="B497" s="13">
        <v>11</v>
      </c>
      <c r="C497" s="12">
        <f t="shared" si="129"/>
        <v>5</v>
      </c>
      <c r="D497" s="13">
        <v>2</v>
      </c>
      <c r="E497" s="13">
        <v>0</v>
      </c>
      <c r="F497" s="12">
        <f t="shared" si="130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1406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1170750</v>
      </c>
      <c r="AC497" s="55">
        <v>10</v>
      </c>
      <c r="AE497" s="55">
        <f t="shared" ca="1" si="125"/>
        <v>2665350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2665350</v>
      </c>
      <c r="AG497" s="176">
        <f t="shared" ca="1" si="127"/>
        <v>4184650</v>
      </c>
      <c r="AI497" s="11">
        <f t="shared" si="124"/>
        <v>2100</v>
      </c>
      <c r="AJ497" s="10">
        <v>2100</v>
      </c>
      <c r="AK497" s="11">
        <f t="shared" si="131"/>
        <v>350</v>
      </c>
      <c r="AL497" s="10">
        <v>350</v>
      </c>
      <c r="AM497" s="11">
        <v>185000</v>
      </c>
      <c r="AN497" s="10">
        <v>0</v>
      </c>
      <c r="AO497" s="55">
        <f t="shared" si="126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310000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28"/>
        <v>115020014</v>
      </c>
      <c r="B498" s="13">
        <v>11</v>
      </c>
      <c r="C498" s="12">
        <f t="shared" si="129"/>
        <v>5</v>
      </c>
      <c r="D498" s="13">
        <v>2</v>
      </c>
      <c r="E498" s="13">
        <v>0</v>
      </c>
      <c r="F498" s="12">
        <f t="shared" si="130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1406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1956000</v>
      </c>
      <c r="AC498" s="55">
        <v>11</v>
      </c>
      <c r="AE498" s="55">
        <f t="shared" ca="1" si="125"/>
        <v>4190450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4190450</v>
      </c>
      <c r="AG498" s="176">
        <f t="shared" ca="1" si="127"/>
        <v>6855800</v>
      </c>
      <c r="AI498" s="11">
        <f t="shared" si="124"/>
        <v>2400</v>
      </c>
      <c r="AJ498" s="10">
        <v>2400</v>
      </c>
      <c r="AK498" s="11">
        <f t="shared" si="131"/>
        <v>450</v>
      </c>
      <c r="AL498" s="10">
        <v>450</v>
      </c>
      <c r="AM498" s="11">
        <v>310000</v>
      </c>
      <c r="AN498" s="10">
        <v>0</v>
      </c>
      <c r="AO498" s="55">
        <f t="shared" si="126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485000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28"/>
        <v>115020015</v>
      </c>
      <c r="B499" s="13">
        <v>11</v>
      </c>
      <c r="C499" s="12">
        <f t="shared" si="129"/>
        <v>5</v>
      </c>
      <c r="D499" s="13">
        <v>2</v>
      </c>
      <c r="E499" s="13">
        <v>0</v>
      </c>
      <c r="F499" s="12">
        <f t="shared" si="130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1406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3961500</v>
      </c>
      <c r="AC499" s="55">
        <v>12</v>
      </c>
      <c r="AE499" s="55">
        <f t="shared" ca="1" si="125"/>
        <v>10985550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10985550</v>
      </c>
      <c r="AG499" s="176">
        <f t="shared" ca="1" si="127"/>
        <v>15176000</v>
      </c>
      <c r="AI499" s="11">
        <f t="shared" si="124"/>
        <v>2700</v>
      </c>
      <c r="AJ499" s="10">
        <v>2700</v>
      </c>
      <c r="AK499" s="11">
        <f t="shared" si="131"/>
        <v>550</v>
      </c>
      <c r="AL499" s="10">
        <v>550</v>
      </c>
      <c r="AM499" s="11">
        <v>485000</v>
      </c>
      <c r="AN499" s="10">
        <v>0</v>
      </c>
      <c r="AO499" s="55">
        <f t="shared" si="126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1050000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28"/>
        <v>115020016</v>
      </c>
      <c r="B500" s="13">
        <v>11</v>
      </c>
      <c r="C500" s="12">
        <f t="shared" si="129"/>
        <v>5</v>
      </c>
      <c r="D500" s="13">
        <v>2</v>
      </c>
      <c r="E500" s="13">
        <v>0</v>
      </c>
      <c r="F500" s="12">
        <f t="shared" si="130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1406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7772100</v>
      </c>
      <c r="AC500" s="55">
        <v>13</v>
      </c>
      <c r="AE500" s="55">
        <f t="shared" ca="1" si="125"/>
        <v>22550700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22550700</v>
      </c>
      <c r="AG500" s="176">
        <f t="shared" ca="1" si="127"/>
        <v>33536250</v>
      </c>
      <c r="AI500" s="11">
        <f t="shared" si="124"/>
        <v>3000</v>
      </c>
      <c r="AJ500" s="10">
        <v>3000</v>
      </c>
      <c r="AK500" s="11">
        <f t="shared" si="131"/>
        <v>700</v>
      </c>
      <c r="AL500" s="10">
        <v>700</v>
      </c>
      <c r="AM500" s="11">
        <v>1050000</v>
      </c>
      <c r="AN500" s="10">
        <v>0</v>
      </c>
      <c r="AO500" s="55">
        <f t="shared" si="126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2150000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28"/>
        <v>115020017</v>
      </c>
      <c r="B501" s="13">
        <v>11</v>
      </c>
      <c r="C501" s="12">
        <f t="shared" si="129"/>
        <v>5</v>
      </c>
      <c r="D501" s="13">
        <v>2</v>
      </c>
      <c r="E501" s="13">
        <v>0</v>
      </c>
      <c r="F501" s="12">
        <f t="shared" si="130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1406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13022450</v>
      </c>
      <c r="AC501" s="55">
        <v>14</v>
      </c>
      <c r="AE501" s="55">
        <f t="shared" ca="1" si="125"/>
        <v>42150850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42150850</v>
      </c>
      <c r="AG501" s="176">
        <f t="shared" ca="1" si="127"/>
        <v>64701550</v>
      </c>
      <c r="AI501" s="11">
        <f t="shared" si="124"/>
        <v>3300</v>
      </c>
      <c r="AJ501" s="10">
        <v>3300</v>
      </c>
      <c r="AK501" s="11">
        <f t="shared" si="131"/>
        <v>850</v>
      </c>
      <c r="AL501" s="10">
        <v>850</v>
      </c>
      <c r="AM501" s="11">
        <v>2150000</v>
      </c>
      <c r="AN501" s="10">
        <v>0</v>
      </c>
      <c r="AO501" s="55">
        <f t="shared" si="126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4000000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28"/>
        <v>115020018</v>
      </c>
      <c r="B502" s="13">
        <v>11</v>
      </c>
      <c r="C502" s="12">
        <f t="shared" si="129"/>
        <v>5</v>
      </c>
      <c r="D502" s="13">
        <v>2</v>
      </c>
      <c r="E502" s="13">
        <v>0</v>
      </c>
      <c r="F502" s="12">
        <f t="shared" si="130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1406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23283600</v>
      </c>
      <c r="AC502" s="55">
        <v>15</v>
      </c>
      <c r="AE502" s="55">
        <f t="shared" ca="1" si="125"/>
        <v>69001050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69001050</v>
      </c>
      <c r="AG502" s="176">
        <f t="shared" ca="1" si="127"/>
        <v>111151900</v>
      </c>
      <c r="AI502" s="11">
        <f t="shared" si="124"/>
        <v>3600</v>
      </c>
      <c r="AJ502" s="10">
        <v>3600</v>
      </c>
      <c r="AK502" s="11">
        <f t="shared" si="131"/>
        <v>1050</v>
      </c>
      <c r="AL502" s="10">
        <v>1050</v>
      </c>
      <c r="AM502" s="11">
        <v>4000000</v>
      </c>
      <c r="AN502" s="10">
        <v>0</v>
      </c>
      <c r="AO502" s="55">
        <f t="shared" si="126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6500000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28"/>
        <v>115020019</v>
      </c>
      <c r="B503" s="13">
        <v>11</v>
      </c>
      <c r="C503" s="12">
        <f t="shared" si="129"/>
        <v>5</v>
      </c>
      <c r="D503" s="13">
        <v>2</v>
      </c>
      <c r="E503" s="13">
        <v>0</v>
      </c>
      <c r="F503" s="12">
        <f t="shared" si="130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1406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50404400</v>
      </c>
      <c r="AC503" s="55">
        <v>16</v>
      </c>
      <c r="AE503" s="55">
        <f t="shared" ca="1" si="125"/>
        <v>106501250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106501250</v>
      </c>
      <c r="AG503" s="176">
        <f t="shared" ca="1" si="127"/>
        <v>175502300</v>
      </c>
      <c r="AI503" s="11">
        <f t="shared" si="124"/>
        <v>3900</v>
      </c>
      <c r="AJ503" s="10">
        <v>3900</v>
      </c>
      <c r="AK503" s="11">
        <f t="shared" si="131"/>
        <v>1250</v>
      </c>
      <c r="AL503" s="10">
        <v>1250</v>
      </c>
      <c r="AM503" s="11">
        <v>6500000</v>
      </c>
      <c r="AN503" s="10">
        <v>0</v>
      </c>
      <c r="AO503" s="55">
        <f t="shared" si="126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10000000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28"/>
        <v>115020020</v>
      </c>
      <c r="B504" s="13">
        <v>11</v>
      </c>
      <c r="C504" s="12">
        <f t="shared" si="129"/>
        <v>5</v>
      </c>
      <c r="D504" s="13">
        <v>2</v>
      </c>
      <c r="E504" s="13">
        <v>0</v>
      </c>
      <c r="F504" s="12">
        <f t="shared" si="130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1406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119976300</v>
      </c>
      <c r="AC504" s="55">
        <v>17</v>
      </c>
      <c r="AE504" s="55">
        <f t="shared" ca="1" si="125"/>
        <v>170001500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170001500</v>
      </c>
      <c r="AG504" s="176">
        <f t="shared" ca="1" si="127"/>
        <v>276502750</v>
      </c>
      <c r="AI504" s="11">
        <f t="shared" si="124"/>
        <v>4200</v>
      </c>
      <c r="AJ504" s="10">
        <v>4200</v>
      </c>
      <c r="AK504" s="11">
        <f t="shared" si="131"/>
        <v>1500</v>
      </c>
      <c r="AL504" s="10">
        <v>1500</v>
      </c>
      <c r="AM504" s="11">
        <v>10000000</v>
      </c>
      <c r="AN504" s="10">
        <v>0</v>
      </c>
      <c r="AO504" s="55">
        <f t="shared" si="126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16000000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56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="90" zoomScaleNormal="90" workbookViewId="0">
      <pane xSplit="10" ySplit="4" topLeftCell="K35" activePane="bottomRight" state="frozen"/>
      <selection pane="topRight" activeCell="K1" sqref="K1"/>
      <selection pane="bottomLeft" activeCell="A5" sqref="A5"/>
      <selection pane="bottomRight" activeCell="N50" sqref="N50:N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1000</v>
      </c>
      <c r="S5" s="39">
        <v>1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1500</v>
      </c>
      <c r="S6" s="148">
        <v>1.5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1500</v>
      </c>
      <c r="S7" s="148">
        <v>1.5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1000</v>
      </c>
      <c r="S10" s="148">
        <v>1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8000</v>
      </c>
      <c r="S13" s="148">
        <v>8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8000</v>
      </c>
      <c r="S14" s="39">
        <v>8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600</v>
      </c>
      <c r="S54" s="148">
        <v>0.6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8000</v>
      </c>
      <c r="S55" s="39">
        <v>8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10000</v>
      </c>
      <c r="S56" s="148">
        <v>10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K10" sqref="K10"/>
    </sheetView>
  </sheetViews>
  <sheetFormatPr defaultRowHeight="16.5" x14ac:dyDescent="0.15"/>
  <cols>
    <col min="1" max="1" width="9" style="91"/>
    <col min="2" max="2" width="14.125" style="91" customWidth="1"/>
    <col min="3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1000</v>
      </c>
      <c r="C5" s="110">
        <v>0</v>
      </c>
      <c r="D5" s="110">
        <v>0</v>
      </c>
      <c r="E5" s="110">
        <v>1000</v>
      </c>
      <c r="F5" s="110">
        <v>1000</v>
      </c>
      <c r="G5" s="110">
        <v>1000</v>
      </c>
      <c r="H5" s="110">
        <v>1000</v>
      </c>
      <c r="I5" s="110">
        <v>0</v>
      </c>
      <c r="J5" s="110">
        <v>0</v>
      </c>
      <c r="K5" s="110">
        <v>1000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1500</v>
      </c>
      <c r="C6" s="91">
        <v>0</v>
      </c>
      <c r="D6" s="91">
        <v>0</v>
      </c>
      <c r="E6" s="91">
        <v>1500</v>
      </c>
      <c r="F6" s="91">
        <v>1500</v>
      </c>
      <c r="G6" s="91">
        <v>1500</v>
      </c>
      <c r="H6" s="91">
        <v>1500</v>
      </c>
      <c r="I6" s="91">
        <v>0</v>
      </c>
      <c r="J6" s="91">
        <v>0</v>
      </c>
      <c r="K6" s="91">
        <v>1500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3000</v>
      </c>
      <c r="C7" s="91">
        <v>0</v>
      </c>
      <c r="D7" s="91">
        <v>0</v>
      </c>
      <c r="E7" s="91">
        <v>3000</v>
      </c>
      <c r="F7" s="91">
        <v>3000</v>
      </c>
      <c r="G7" s="91">
        <v>3000</v>
      </c>
      <c r="H7" s="91">
        <v>3000</v>
      </c>
      <c r="I7" s="91">
        <v>0</v>
      </c>
      <c r="J7" s="91">
        <v>0</v>
      </c>
      <c r="K7" s="91">
        <v>3000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9000</v>
      </c>
      <c r="C8" s="91">
        <v>9000</v>
      </c>
      <c r="D8" s="91">
        <v>0</v>
      </c>
      <c r="E8" s="91">
        <v>9000</v>
      </c>
      <c r="F8" s="91">
        <v>9000</v>
      </c>
      <c r="G8" s="91">
        <v>9000</v>
      </c>
      <c r="H8" s="91">
        <v>9000</v>
      </c>
      <c r="I8" s="91">
        <v>0</v>
      </c>
      <c r="J8" s="91">
        <v>0</v>
      </c>
      <c r="K8" s="91">
        <v>9000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18000</v>
      </c>
      <c r="C9" s="91">
        <v>18000</v>
      </c>
      <c r="D9" s="91">
        <v>18000</v>
      </c>
      <c r="E9" s="91">
        <v>18000</v>
      </c>
      <c r="F9" s="91">
        <v>18000</v>
      </c>
      <c r="G9" s="91">
        <v>18000</v>
      </c>
      <c r="H9" s="91">
        <v>18000</v>
      </c>
      <c r="I9" s="91">
        <v>18000</v>
      </c>
      <c r="J9" s="91">
        <v>0</v>
      </c>
      <c r="K9" s="91">
        <v>18000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25000</v>
      </c>
      <c r="C10" s="91">
        <v>25000</v>
      </c>
      <c r="D10" s="91">
        <v>25000</v>
      </c>
      <c r="E10" s="91">
        <v>25000</v>
      </c>
      <c r="F10" s="91">
        <v>25000</v>
      </c>
      <c r="G10" s="91">
        <v>25000</v>
      </c>
      <c r="H10" s="91">
        <v>25000</v>
      </c>
      <c r="I10" s="91">
        <v>25000</v>
      </c>
      <c r="J10" s="91">
        <v>0</v>
      </c>
      <c r="K10" s="91">
        <v>25000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35000</v>
      </c>
      <c r="C11" s="91">
        <v>35000</v>
      </c>
      <c r="D11" s="91">
        <v>35000</v>
      </c>
      <c r="E11" s="91">
        <v>35000</v>
      </c>
      <c r="F11" s="91">
        <v>35000</v>
      </c>
      <c r="G11" s="91">
        <v>35000</v>
      </c>
      <c r="H11" s="91">
        <v>35000</v>
      </c>
      <c r="I11" s="91">
        <v>35000</v>
      </c>
      <c r="J11" s="91">
        <v>0</v>
      </c>
      <c r="K11" s="91">
        <v>35000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46000</v>
      </c>
      <c r="C12" s="91">
        <v>46000</v>
      </c>
      <c r="D12" s="91">
        <v>46000</v>
      </c>
      <c r="E12" s="91">
        <v>46000</v>
      </c>
      <c r="F12" s="91">
        <v>46000</v>
      </c>
      <c r="G12" s="91">
        <v>46000</v>
      </c>
      <c r="H12" s="91">
        <v>46000</v>
      </c>
      <c r="I12" s="91">
        <v>46000</v>
      </c>
      <c r="J12" s="91">
        <v>0</v>
      </c>
      <c r="K12" s="91">
        <v>46000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55000</v>
      </c>
      <c r="C13" s="91">
        <v>55000</v>
      </c>
      <c r="D13" s="91">
        <v>55000</v>
      </c>
      <c r="E13" s="91">
        <v>55000</v>
      </c>
      <c r="F13" s="91">
        <v>55000</v>
      </c>
      <c r="G13" s="91">
        <v>55000</v>
      </c>
      <c r="H13" s="91">
        <v>55000</v>
      </c>
      <c r="I13" s="91">
        <v>55000</v>
      </c>
      <c r="J13" s="91">
        <v>0</v>
      </c>
      <c r="K13" s="91">
        <v>55000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66000</v>
      </c>
      <c r="C14" s="91">
        <v>66000</v>
      </c>
      <c r="D14" s="91">
        <v>66000</v>
      </c>
      <c r="E14" s="91">
        <v>66000</v>
      </c>
      <c r="F14" s="91">
        <v>66000</v>
      </c>
      <c r="G14" s="91">
        <v>66000</v>
      </c>
      <c r="H14" s="91">
        <v>66000</v>
      </c>
      <c r="I14" s="91">
        <v>66000</v>
      </c>
      <c r="J14" s="91">
        <v>66000</v>
      </c>
      <c r="K14" s="91">
        <v>66000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72000</v>
      </c>
      <c r="C15" s="91">
        <v>72000</v>
      </c>
      <c r="D15" s="91">
        <v>72000</v>
      </c>
      <c r="E15" s="91">
        <v>72000</v>
      </c>
      <c r="F15" s="91">
        <v>72000</v>
      </c>
      <c r="G15" s="91">
        <v>72000</v>
      </c>
      <c r="H15" s="91">
        <v>72000</v>
      </c>
      <c r="I15" s="91">
        <v>72000</v>
      </c>
      <c r="J15" s="91">
        <v>72000</v>
      </c>
      <c r="K15" s="91">
        <v>72000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86000</v>
      </c>
      <c r="C16" s="91">
        <v>86000</v>
      </c>
      <c r="D16" s="91">
        <v>86000</v>
      </c>
      <c r="E16" s="91">
        <v>86000</v>
      </c>
      <c r="F16" s="91">
        <v>86000</v>
      </c>
      <c r="G16" s="91">
        <v>86000</v>
      </c>
      <c r="H16" s="91">
        <v>86000</v>
      </c>
      <c r="I16" s="91">
        <v>86000</v>
      </c>
      <c r="J16" s="91">
        <v>86000</v>
      </c>
      <c r="K16" s="91">
        <v>86000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95000</v>
      </c>
      <c r="C17" s="91">
        <v>95000</v>
      </c>
      <c r="D17" s="91">
        <v>95000</v>
      </c>
      <c r="E17" s="91">
        <v>95000</v>
      </c>
      <c r="F17" s="91">
        <v>95000</v>
      </c>
      <c r="G17" s="91">
        <v>95000</v>
      </c>
      <c r="H17" s="91">
        <v>95000</v>
      </c>
      <c r="I17" s="91">
        <v>95000</v>
      </c>
      <c r="J17" s="91">
        <v>95000</v>
      </c>
      <c r="K17" s="91">
        <v>95000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110000</v>
      </c>
      <c r="C18" s="91">
        <v>110000</v>
      </c>
      <c r="D18" s="91">
        <v>110000</v>
      </c>
      <c r="E18" s="91">
        <v>110000</v>
      </c>
      <c r="F18" s="91">
        <v>110000</v>
      </c>
      <c r="G18" s="91">
        <v>110000</v>
      </c>
      <c r="H18" s="91">
        <v>110000</v>
      </c>
      <c r="I18" s="91">
        <v>110000</v>
      </c>
      <c r="J18" s="91">
        <v>110000</v>
      </c>
      <c r="K18" s="91">
        <v>110000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130000</v>
      </c>
      <c r="C19" s="91">
        <v>130000</v>
      </c>
      <c r="D19" s="91">
        <v>130000</v>
      </c>
      <c r="E19" s="91">
        <v>130000</v>
      </c>
      <c r="F19" s="91">
        <v>130000</v>
      </c>
      <c r="G19" s="91">
        <v>130000</v>
      </c>
      <c r="H19" s="91">
        <v>130000</v>
      </c>
      <c r="I19" s="91">
        <v>130000</v>
      </c>
      <c r="J19" s="91">
        <v>130000</v>
      </c>
      <c r="K19" s="91">
        <v>130000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150000</v>
      </c>
      <c r="C20" s="91">
        <v>150000</v>
      </c>
      <c r="D20" s="91">
        <v>150000</v>
      </c>
      <c r="E20" s="91">
        <v>150000</v>
      </c>
      <c r="F20" s="91">
        <v>150000</v>
      </c>
      <c r="G20" s="91">
        <v>150000</v>
      </c>
      <c r="H20" s="91">
        <v>150000</v>
      </c>
      <c r="I20" s="91">
        <v>150000</v>
      </c>
      <c r="J20" s="91">
        <v>150000</v>
      </c>
      <c r="K20" s="91">
        <v>150000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170000</v>
      </c>
      <c r="C21" s="91">
        <v>170000</v>
      </c>
      <c r="D21" s="91">
        <v>170000</v>
      </c>
      <c r="E21" s="91">
        <v>170000</v>
      </c>
      <c r="F21" s="91">
        <v>170000</v>
      </c>
      <c r="G21" s="91">
        <v>170000</v>
      </c>
      <c r="H21" s="91">
        <v>170000</v>
      </c>
      <c r="I21" s="91">
        <v>170000</v>
      </c>
      <c r="J21" s="91">
        <v>170000</v>
      </c>
      <c r="K21" s="91">
        <v>170000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190000</v>
      </c>
      <c r="C22" s="91">
        <v>190000</v>
      </c>
      <c r="D22" s="91">
        <v>190000</v>
      </c>
      <c r="E22" s="91">
        <v>190000</v>
      </c>
      <c r="F22" s="91">
        <v>190000</v>
      </c>
      <c r="G22" s="91">
        <v>190000</v>
      </c>
      <c r="H22" s="91">
        <v>190000</v>
      </c>
      <c r="I22" s="91">
        <v>190000</v>
      </c>
      <c r="J22" s="91">
        <v>190000</v>
      </c>
      <c r="K22" s="91">
        <v>190000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230000</v>
      </c>
      <c r="C23" s="91">
        <v>230000</v>
      </c>
      <c r="D23" s="91">
        <v>230000</v>
      </c>
      <c r="E23" s="91">
        <v>230000</v>
      </c>
      <c r="F23" s="91">
        <v>230000</v>
      </c>
      <c r="G23" s="91">
        <v>230000</v>
      </c>
      <c r="H23" s="91">
        <v>230000</v>
      </c>
      <c r="I23" s="91">
        <v>230000</v>
      </c>
      <c r="J23" s="91">
        <v>230000</v>
      </c>
      <c r="K23" s="91">
        <v>230000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260000</v>
      </c>
      <c r="C24" s="91">
        <v>260000</v>
      </c>
      <c r="D24" s="91">
        <v>260000</v>
      </c>
      <c r="E24" s="91">
        <v>260000</v>
      </c>
      <c r="F24" s="91">
        <v>260000</v>
      </c>
      <c r="G24" s="91">
        <v>260000</v>
      </c>
      <c r="H24" s="91">
        <v>260000</v>
      </c>
      <c r="I24" s="91">
        <v>260000</v>
      </c>
      <c r="J24" s="91">
        <v>260000</v>
      </c>
      <c r="K24" s="91">
        <v>260000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16384" width="9" style="88"/>
  </cols>
  <sheetData>
    <row r="1" spans="1:2" x14ac:dyDescent="0.15">
      <c r="A1" s="55" t="s">
        <v>553</v>
      </c>
      <c r="B1" s="55" t="s">
        <v>60</v>
      </c>
    </row>
    <row r="2" spans="1:2" x14ac:dyDescent="0.15">
      <c r="A2" s="55" t="s">
        <v>61</v>
      </c>
      <c r="B2" s="55" t="s">
        <v>61</v>
      </c>
    </row>
    <row r="3" spans="1:2" x14ac:dyDescent="0.15">
      <c r="A3" s="55" t="s">
        <v>648</v>
      </c>
      <c r="B3" s="55" t="s">
        <v>550</v>
      </c>
    </row>
    <row r="4" spans="1:2" ht="17.25" thickBot="1" x14ac:dyDescent="0.2">
      <c r="A4" s="57" t="s">
        <v>548</v>
      </c>
      <c r="B4" s="57" t="s">
        <v>549</v>
      </c>
    </row>
    <row r="5" spans="1:2" x14ac:dyDescent="0.15">
      <c r="A5" s="55">
        <v>1</v>
      </c>
      <c r="B5" s="55">
        <v>100</v>
      </c>
    </row>
    <row r="6" spans="1:2" x14ac:dyDescent="0.15">
      <c r="A6" s="55">
        <v>2</v>
      </c>
      <c r="B6" s="55">
        <v>310</v>
      </c>
    </row>
    <row r="7" spans="1:2" x14ac:dyDescent="0.15">
      <c r="A7" s="55">
        <v>3</v>
      </c>
      <c r="B7" s="55">
        <v>930</v>
      </c>
    </row>
    <row r="8" spans="1:2" x14ac:dyDescent="0.15">
      <c r="A8" s="55">
        <v>4</v>
      </c>
      <c r="B8" s="55">
        <v>5475</v>
      </c>
    </row>
    <row r="9" spans="1:2" x14ac:dyDescent="0.15">
      <c r="A9" s="55">
        <v>5</v>
      </c>
      <c r="B9" s="55">
        <v>32560</v>
      </c>
    </row>
    <row r="10" spans="1:2" x14ac:dyDescent="0.15">
      <c r="A10" s="55">
        <v>6</v>
      </c>
      <c r="B10" s="55">
        <v>108200</v>
      </c>
    </row>
    <row r="11" spans="1:2" x14ac:dyDescent="0.15">
      <c r="A11" s="55">
        <v>7</v>
      </c>
      <c r="B11" s="55">
        <v>240400</v>
      </c>
    </row>
    <row r="12" spans="1:2" x14ac:dyDescent="0.15">
      <c r="A12" s="55">
        <v>8</v>
      </c>
      <c r="B12" s="55">
        <v>630500</v>
      </c>
    </row>
    <row r="13" spans="1:2" x14ac:dyDescent="0.15">
      <c r="A13" s="55">
        <v>9</v>
      </c>
      <c r="B13" s="55">
        <v>1170750</v>
      </c>
    </row>
    <row r="14" spans="1:2" x14ac:dyDescent="0.15">
      <c r="A14" s="55">
        <v>10</v>
      </c>
      <c r="B14" s="55">
        <v>1956000</v>
      </c>
    </row>
    <row r="15" spans="1:2" x14ac:dyDescent="0.15">
      <c r="A15" s="55">
        <v>11</v>
      </c>
      <c r="B15" s="55">
        <v>3961500</v>
      </c>
    </row>
    <row r="16" spans="1:2" x14ac:dyDescent="0.15">
      <c r="A16" s="55">
        <v>12</v>
      </c>
      <c r="B16" s="55">
        <v>7772100</v>
      </c>
    </row>
    <row r="17" spans="1:2" x14ac:dyDescent="0.15">
      <c r="A17" s="55">
        <v>13</v>
      </c>
      <c r="B17" s="55">
        <v>13022450</v>
      </c>
    </row>
    <row r="18" spans="1:2" x14ac:dyDescent="0.15">
      <c r="A18" s="55">
        <v>14</v>
      </c>
      <c r="B18" s="55">
        <v>23283600</v>
      </c>
    </row>
    <row r="19" spans="1:2" x14ac:dyDescent="0.15">
      <c r="A19" s="55">
        <v>15</v>
      </c>
      <c r="B19" s="55">
        <v>50404400</v>
      </c>
    </row>
    <row r="20" spans="1:2" x14ac:dyDescent="0.15">
      <c r="A20" s="55">
        <v>16</v>
      </c>
      <c r="B20" s="55">
        <v>119976300</v>
      </c>
    </row>
    <row r="21" spans="1:2" x14ac:dyDescent="0.15">
      <c r="A21" s="55">
        <v>17</v>
      </c>
      <c r="B21" s="55">
        <v>223207650</v>
      </c>
    </row>
    <row r="22" spans="1:2" x14ac:dyDescent="0.15">
      <c r="A22" s="55">
        <v>18</v>
      </c>
      <c r="B22" s="55">
        <v>403010500</v>
      </c>
    </row>
    <row r="23" spans="1:2" x14ac:dyDescent="0.15">
      <c r="A23" s="55">
        <v>19</v>
      </c>
      <c r="B23" s="55">
        <v>682013750</v>
      </c>
    </row>
    <row r="24" spans="1:2" x14ac:dyDescent="0.15">
      <c r="A24" s="55">
        <v>20</v>
      </c>
      <c r="B24" s="55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50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155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465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2737.5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16280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54100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120200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315250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585375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978000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1980750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3886050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6511225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11641800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25202200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59988150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111603825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201505250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341006875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545608250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topLeftCell="A2"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tabSelected="1" zoomScaleNormal="100" workbookViewId="0">
      <pane xSplit="7" ySplit="4" topLeftCell="N5" activePane="bottomRight" state="frozen"/>
      <selection pane="topRight" activeCell="H1" sqref="H1"/>
      <selection pane="bottomLeft" activeCell="A5" sqref="A5"/>
      <selection pane="bottomRight" activeCell="Q16" sqref="Q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55" t="s">
        <v>1241</v>
      </c>
      <c r="DE3" s="55" t="s">
        <v>1242</v>
      </c>
      <c r="DF3" s="55" t="s">
        <v>1243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1332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1452</v>
      </c>
      <c r="DE4" s="35" t="s">
        <v>1453</v>
      </c>
      <c r="DF4" s="35" t="s">
        <v>1454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360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360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360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360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360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360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360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360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360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360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360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360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360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360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360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5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5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5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360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360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360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360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360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360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360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360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360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360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360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360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360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360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360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360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360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360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360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360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360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360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0.30244932813489689</v>
      </c>
      <c r="Y85" s="172">
        <f>IF((U85/100000)*L85=0,"",(U85/100000)*L85)</f>
        <v>0.36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360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0.51359854717556819</v>
      </c>
      <c r="Y86" s="171">
        <f t="shared" ref="Y86:Y149" si="13">IF((U86/100000)*L86=0,"",(U86/100000)*L86)</f>
        <v>0.72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360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0.66095527471417181</v>
      </c>
      <c r="Y87" s="171">
        <f t="shared" si="13"/>
        <v>1.08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360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0.30244932813489689</v>
      </c>
      <c r="Y88" s="171">
        <f t="shared" si="13"/>
        <v>0.36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360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0.51359854717556819</v>
      </c>
      <c r="Y89" s="171">
        <f t="shared" si="13"/>
        <v>0.72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360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0.66095527471417181</v>
      </c>
      <c r="Y90" s="171">
        <f t="shared" si="13"/>
        <v>1.08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70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5" sqref="H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1333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1450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1451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80</v>
      </c>
      <c r="N15" s="10">
        <f>IF((1-(1-M15/10000)^1440)=0,"",1-(1-M15/10000)^1440)</f>
        <v>0.99999052000950239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1336</v>
      </c>
      <c r="H19" s="11" t="s">
        <v>1337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2018-09-20T13:15:46Z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