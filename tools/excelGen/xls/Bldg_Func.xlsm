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6" activeTab="20"/>
  </bookViews>
  <sheets>
    <sheet name="全部建筑-属性" sheetId="27" r:id="rId1"/>
    <sheet name="粗算 (5)" sheetId="47" r:id="rId2"/>
    <sheet name="粗算 (4)" sheetId="44" r:id="rId3"/>
    <sheet name="粗算 (2)" sheetId="39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CANGKU" sheetId="31" r:id="rId16"/>
    <sheet name="LEIDA" sheetId="43" r:id="rId17"/>
    <sheet name="DIANCHIZU" sheetId="28" r:id="rId18"/>
    <sheet name="JIANSHENFANG" sheetId="11" r:id="rId19"/>
    <sheet name="CHE1" sheetId="46" r:id="rId20"/>
    <sheet name="JSFADIANJI" sheetId="12" r:id="rId21"/>
    <sheet name="TAIYANGNENG" sheetId="13" r:id="rId22"/>
    <sheet name="LIANYOU" sheetId="36" r:id="rId23"/>
    <sheet name="LIANGANG" sheetId="37" r:id="rId24"/>
    <sheet name="HUNNINGTU" sheetId="38" r:id="rId25"/>
    <sheet name="SONGSHU" sheetId="16" r:id="rId26"/>
    <sheet name="MUCAIJIAGONG" sheetId="19" r:id="rId27"/>
    <sheet name="QIANG" sheetId="26" r:id="rId28"/>
    <sheet name="DAMEN" sheetId="25" r:id="rId29"/>
    <sheet name="MAKEQIN" sheetId="20" r:id="rId30"/>
    <sheet name="MG42" sheetId="21" r:id="rId3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31" l="1"/>
  <c r="B16" i="31"/>
  <c r="B17" i="31"/>
  <c r="B18" i="31"/>
  <c r="B19" i="31"/>
  <c r="B20" i="31"/>
  <c r="B21" i="31"/>
  <c r="B22" i="31"/>
  <c r="B23" i="31"/>
  <c r="B24" i="31"/>
  <c r="D5" i="31"/>
  <c r="C5" i="31" s="1"/>
  <c r="B5" i="31" s="1"/>
  <c r="D6" i="31"/>
  <c r="C6" i="31" s="1"/>
  <c r="B6" i="31" s="1"/>
  <c r="D7" i="31"/>
  <c r="C7" i="31" s="1"/>
  <c r="B7" i="31" s="1"/>
  <c r="D8" i="31"/>
  <c r="C8" i="31" s="1"/>
  <c r="B8" i="31" s="1"/>
  <c r="D9" i="31"/>
  <c r="C9" i="31" s="1"/>
  <c r="B9" i="31" s="1"/>
  <c r="D10" i="31"/>
  <c r="C10" i="31" s="1"/>
  <c r="B10" i="31" s="1"/>
  <c r="D11" i="31"/>
  <c r="C11" i="31" s="1"/>
  <c r="B11" i="31" s="1"/>
  <c r="D12" i="31"/>
  <c r="C12" i="31" s="1"/>
  <c r="B12" i="31" s="1"/>
  <c r="D13" i="31"/>
  <c r="C13" i="31" s="1"/>
  <c r="B13" i="31" s="1"/>
  <c r="D14" i="31"/>
  <c r="C14" i="31" s="1"/>
  <c r="B14" i="31" s="1"/>
  <c r="D15" i="31"/>
  <c r="C15" i="31" s="1"/>
  <c r="D16" i="31"/>
  <c r="C16" i="31" s="1"/>
  <c r="D17" i="31"/>
  <c r="C17" i="31" s="1"/>
  <c r="D18" i="31"/>
  <c r="C18" i="31" s="1"/>
  <c r="D19" i="31"/>
  <c r="C19" i="31" s="1"/>
  <c r="D20" i="31"/>
  <c r="C20" i="31" s="1"/>
  <c r="D21" i="31"/>
  <c r="C21" i="31" s="1"/>
  <c r="D22" i="31"/>
  <c r="C22" i="31" s="1"/>
  <c r="D23" i="31"/>
  <c r="C23" i="31" s="1"/>
  <c r="D24" i="31"/>
  <c r="C24" i="31" s="1"/>
  <c r="N3" i="47"/>
  <c r="N4" i="47"/>
  <c r="N2" i="47"/>
  <c r="M3" i="47"/>
  <c r="M4" i="47"/>
  <c r="M2" i="47"/>
  <c r="L3" i="47"/>
  <c r="L4" i="47"/>
  <c r="L2" i="47"/>
  <c r="W3" i="47" l="1"/>
  <c r="R3" i="47" l="1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 s="1"/>
  <c r="O6" i="47" s="1"/>
  <c r="O7" i="47" s="1"/>
  <c r="O8" i="47" s="1"/>
  <c r="K4" i="47"/>
  <c r="I4" i="47" s="1"/>
  <c r="F4" i="47"/>
  <c r="F5" i="47" s="1"/>
  <c r="D4" i="47"/>
  <c r="B4" i="47" s="1"/>
  <c r="AB4" i="47" s="1"/>
  <c r="AB3" i="47"/>
  <c r="O3" i="47"/>
  <c r="K3" i="47"/>
  <c r="Z3" i="47" s="1"/>
  <c r="AA3" i="47" s="1"/>
  <c r="C3" i="47"/>
  <c r="B3" i="47"/>
  <c r="AA2" i="47"/>
  <c r="U2" i="47"/>
  <c r="T2" i="47"/>
  <c r="Q2" i="47"/>
  <c r="V2" i="47" s="1"/>
  <c r="I2" i="47"/>
  <c r="K2" i="47"/>
  <c r="Z2" i="47" s="1"/>
  <c r="J2" i="47"/>
  <c r="B2" i="47"/>
  <c r="E2" i="47" s="1"/>
  <c r="AB2" i="47" l="1"/>
  <c r="AC2" i="47" s="1"/>
  <c r="C2" i="47"/>
  <c r="F6" i="47"/>
  <c r="F7" i="47" s="1"/>
  <c r="D7" i="47" s="1"/>
  <c r="G5" i="47"/>
  <c r="D5" i="47"/>
  <c r="B5" i="47" s="1"/>
  <c r="C5" i="47" s="1"/>
  <c r="H3" i="47"/>
  <c r="J3" i="47"/>
  <c r="Q3" i="47"/>
  <c r="V3" i="47" s="1"/>
  <c r="R4" i="47"/>
  <c r="AC4" i="47"/>
  <c r="K7" i="47"/>
  <c r="C4" i="47"/>
  <c r="AD2" i="47"/>
  <c r="K6" i="47"/>
  <c r="AD3" i="47"/>
  <c r="K8" i="47"/>
  <c r="O9" i="47"/>
  <c r="AC3" i="47"/>
  <c r="E3" i="47"/>
  <c r="E4" i="47" s="1"/>
  <c r="K5" i="47"/>
  <c r="J4" i="47"/>
  <c r="H4" i="47"/>
  <c r="Z4" i="47"/>
  <c r="AA4" i="47" s="1"/>
  <c r="I3" i="47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M8" i="47" l="1"/>
  <c r="N8" i="47"/>
  <c r="L8" i="47"/>
  <c r="M5" i="47"/>
  <c r="N5" i="47"/>
  <c r="L5" i="47"/>
  <c r="H5" i="47" s="1"/>
  <c r="M7" i="47"/>
  <c r="N7" i="47"/>
  <c r="L7" i="47"/>
  <c r="L6" i="47"/>
  <c r="N6" i="47"/>
  <c r="M6" i="47"/>
  <c r="G6" i="47"/>
  <c r="F8" i="47"/>
  <c r="F9" i="47" s="1"/>
  <c r="X5" i="47"/>
  <c r="E5" i="47"/>
  <c r="D6" i="47"/>
  <c r="B6" i="47" s="1"/>
  <c r="AB5" i="47"/>
  <c r="S3" i="47"/>
  <c r="U3" i="47"/>
  <c r="Z6" i="47"/>
  <c r="AA6" i="47" s="1"/>
  <c r="AD4" i="47"/>
  <c r="AC5" i="47"/>
  <c r="U4" i="47"/>
  <c r="S4" i="47"/>
  <c r="T4" i="47"/>
  <c r="R5" i="47"/>
  <c r="Q4" i="47"/>
  <c r="V4" i="47" s="1"/>
  <c r="B7" i="47"/>
  <c r="X7" i="47"/>
  <c r="H2" i="47"/>
  <c r="S2" i="47"/>
  <c r="G7" i="47"/>
  <c r="Z5" i="47"/>
  <c r="AA5" i="47" s="1"/>
  <c r="I5" i="47"/>
  <c r="J5" i="47"/>
  <c r="K9" i="47"/>
  <c r="O10" i="47"/>
  <c r="Z8" i="47"/>
  <c r="AA8" i="47" s="1"/>
  <c r="Z7" i="47"/>
  <c r="AA7" i="47" s="1"/>
  <c r="T3" i="47"/>
  <c r="F4" i="44"/>
  <c r="F5" i="44" s="1"/>
  <c r="R3" i="44"/>
  <c r="O3" i="44"/>
  <c r="O4" i="44" s="1"/>
  <c r="K4" i="44" s="1"/>
  <c r="B3" i="44"/>
  <c r="AB3" i="44" s="1"/>
  <c r="Q2" i="44"/>
  <c r="K2" i="44"/>
  <c r="N2" i="44" s="1"/>
  <c r="B2" i="44"/>
  <c r="H6" i="47" l="1"/>
  <c r="L9" i="47"/>
  <c r="N9" i="47"/>
  <c r="M9" i="47"/>
  <c r="X6" i="47"/>
  <c r="I6" i="47"/>
  <c r="J6" i="47"/>
  <c r="D8" i="47"/>
  <c r="X8" i="47" s="1"/>
  <c r="AD5" i="47"/>
  <c r="E6" i="47"/>
  <c r="E7" i="47" s="1"/>
  <c r="AB6" i="47"/>
  <c r="C6" i="47"/>
  <c r="D9" i="47"/>
  <c r="F10" i="47"/>
  <c r="R6" i="47"/>
  <c r="U5" i="47"/>
  <c r="S5" i="47"/>
  <c r="Q5" i="47"/>
  <c r="V5" i="47" s="1"/>
  <c r="T5" i="47"/>
  <c r="K10" i="47"/>
  <c r="O11" i="47"/>
  <c r="G8" i="47"/>
  <c r="J7" i="47"/>
  <c r="H7" i="47"/>
  <c r="I7" i="47"/>
  <c r="Z9" i="47"/>
  <c r="AA9" i="47" s="1"/>
  <c r="AB7" i="47"/>
  <c r="C7" i="47"/>
  <c r="M2" i="44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M10" i="47" l="1"/>
  <c r="L10" i="47"/>
  <c r="N10" i="47"/>
  <c r="B8" i="47"/>
  <c r="C8" i="47" s="1"/>
  <c r="F11" i="47"/>
  <c r="D10" i="47"/>
  <c r="X9" i="47"/>
  <c r="B9" i="47"/>
  <c r="Z10" i="47"/>
  <c r="AA10" i="47" s="1"/>
  <c r="AD6" i="47"/>
  <c r="AC6" i="47"/>
  <c r="S6" i="47"/>
  <c r="T6" i="47"/>
  <c r="Q6" i="47"/>
  <c r="V6" i="47" s="1"/>
  <c r="R7" i="47"/>
  <c r="U6" i="47"/>
  <c r="AD7" i="47"/>
  <c r="AC7" i="47"/>
  <c r="G9" i="47"/>
  <c r="I8" i="47"/>
  <c r="J8" i="47"/>
  <c r="H8" i="47"/>
  <c r="O12" i="47"/>
  <c r="K11" i="47"/>
  <c r="T4" i="44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E8" i="47" l="1"/>
  <c r="E9" i="47" s="1"/>
  <c r="N11" i="47"/>
  <c r="L11" i="47"/>
  <c r="M11" i="47"/>
  <c r="AB8" i="47"/>
  <c r="X10" i="47"/>
  <c r="B10" i="47"/>
  <c r="Z11" i="47"/>
  <c r="AA11" i="47" s="1"/>
  <c r="K12" i="47"/>
  <c r="O13" i="47"/>
  <c r="R8" i="47"/>
  <c r="U7" i="47"/>
  <c r="S7" i="47"/>
  <c r="T7" i="47"/>
  <c r="Q7" i="47"/>
  <c r="V7" i="47" s="1"/>
  <c r="H9" i="47"/>
  <c r="I9" i="47"/>
  <c r="J9" i="47"/>
  <c r="G10" i="47"/>
  <c r="AB9" i="47"/>
  <c r="C9" i="47"/>
  <c r="AC8" i="47"/>
  <c r="AD8" i="47"/>
  <c r="F12" i="47"/>
  <c r="D11" i="47"/>
  <c r="Q5" i="44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M12" i="47" l="1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 s="1"/>
  <c r="Z12" i="47"/>
  <c r="AA12" i="47" s="1"/>
  <c r="E10" i="47"/>
  <c r="C10" i="47"/>
  <c r="AB10" i="47"/>
  <c r="B11" i="47"/>
  <c r="X11" i="47"/>
  <c r="O14" i="47"/>
  <c r="K13" i="47"/>
  <c r="D12" i="47"/>
  <c r="F13" i="47"/>
  <c r="T5" i="44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M13" i="47" l="1"/>
  <c r="N13" i="47"/>
  <c r="L13" i="47"/>
  <c r="D13" i="47"/>
  <c r="F14" i="47"/>
  <c r="Q9" i="47"/>
  <c r="V9" i="47" s="1"/>
  <c r="R10" i="47"/>
  <c r="U9" i="47"/>
  <c r="S9" i="47"/>
  <c r="T9" i="47"/>
  <c r="X12" i="47"/>
  <c r="B12" i="47"/>
  <c r="Z13" i="47"/>
  <c r="AA13" i="47" s="1"/>
  <c r="O15" i="47"/>
  <c r="K14" i="47"/>
  <c r="G12" i="47"/>
  <c r="J11" i="47"/>
  <c r="I11" i="47"/>
  <c r="H11" i="47"/>
  <c r="AB11" i="47"/>
  <c r="C11" i="47"/>
  <c r="E11" i="47"/>
  <c r="AC10" i="47"/>
  <c r="AD10" i="47"/>
  <c r="T6" i="44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L14" i="47" l="1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 s="1"/>
  <c r="AC11" i="47"/>
  <c r="AD11" i="47"/>
  <c r="T10" i="47"/>
  <c r="R11" i="47"/>
  <c r="U10" i="47"/>
  <c r="S10" i="47"/>
  <c r="Q10" i="47"/>
  <c r="V10" i="47" s="1"/>
  <c r="B13" i="47"/>
  <c r="X13" i="47"/>
  <c r="H7" i="44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M15" i="47" l="1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 s="1"/>
  <c r="T11" i="47"/>
  <c r="U11" i="47"/>
  <c r="R12" i="47"/>
  <c r="X14" i="47"/>
  <c r="B14" i="47"/>
  <c r="AC12" i="47"/>
  <c r="AD12" i="47"/>
  <c r="D15" i="47"/>
  <c r="F16" i="47"/>
  <c r="Z15" i="47"/>
  <c r="AA15" i="47" s="1"/>
  <c r="I8" i="44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L16" i="47" l="1"/>
  <c r="M16" i="47"/>
  <c r="N16" i="47"/>
  <c r="Z16" i="47"/>
  <c r="AA16" i="47" s="1"/>
  <c r="T12" i="47"/>
  <c r="Q12" i="47"/>
  <c r="V12" i="47" s="1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H9" i="44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M17" i="47" l="1"/>
  <c r="N17" i="47"/>
  <c r="L17" i="47"/>
  <c r="AD14" i="47"/>
  <c r="AC14" i="47"/>
  <c r="E15" i="47"/>
  <c r="AB15" i="47"/>
  <c r="C15" i="47"/>
  <c r="R14" i="47"/>
  <c r="U13" i="47"/>
  <c r="S13" i="47"/>
  <c r="Q13" i="47"/>
  <c r="V13" i="47" s="1"/>
  <c r="T13" i="47"/>
  <c r="K18" i="47"/>
  <c r="O19" i="47"/>
  <c r="Z17" i="47"/>
  <c r="AA17" i="47" s="1"/>
  <c r="B16" i="47"/>
  <c r="X16" i="47"/>
  <c r="D17" i="47"/>
  <c r="F18" i="47"/>
  <c r="G16" i="47"/>
  <c r="J15" i="47"/>
  <c r="I15" i="47"/>
  <c r="H15" i="47"/>
  <c r="H10" i="44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N18" i="47" l="1"/>
  <c r="M18" i="47"/>
  <c r="L18" i="47"/>
  <c r="S14" i="47"/>
  <c r="Q14" i="47"/>
  <c r="V14" i="47" s="1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 s="1"/>
  <c r="C16" i="47"/>
  <c r="AB16" i="47"/>
  <c r="E16" i="47"/>
  <c r="O20" i="47"/>
  <c r="K19" i="47"/>
  <c r="H11" i="44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N19" i="47" l="1"/>
  <c r="L19" i="47"/>
  <c r="M19" i="47"/>
  <c r="AB17" i="47"/>
  <c r="E17" i="47"/>
  <c r="C17" i="47"/>
  <c r="H17" i="47"/>
  <c r="I17" i="47"/>
  <c r="G18" i="47"/>
  <c r="J17" i="47"/>
  <c r="Z19" i="47"/>
  <c r="AA19" i="47" s="1"/>
  <c r="AC16" i="47"/>
  <c r="AD16" i="47"/>
  <c r="R16" i="47"/>
  <c r="U15" i="47"/>
  <c r="S15" i="47"/>
  <c r="Q15" i="47"/>
  <c r="V15" i="47" s="1"/>
  <c r="T15" i="47"/>
  <c r="F20" i="47"/>
  <c r="D19" i="47"/>
  <c r="K20" i="47"/>
  <c r="O21" i="47"/>
  <c r="K21" i="47" s="1"/>
  <c r="X18" i="47"/>
  <c r="B18" i="47"/>
  <c r="H12" i="44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L20" i="47" l="1"/>
  <c r="N20" i="47"/>
  <c r="M20" i="47"/>
  <c r="N21" i="47"/>
  <c r="L21" i="47"/>
  <c r="M21" i="47"/>
  <c r="E18" i="47"/>
  <c r="C18" i="47"/>
  <c r="AB18" i="47"/>
  <c r="Z21" i="47"/>
  <c r="AA21" i="47" s="1"/>
  <c r="T16" i="47"/>
  <c r="R17" i="47"/>
  <c r="U16" i="47"/>
  <c r="S16" i="47"/>
  <c r="Q16" i="47"/>
  <c r="V16" i="47" s="1"/>
  <c r="I18" i="47"/>
  <c r="H18" i="47"/>
  <c r="J18" i="47"/>
  <c r="G19" i="47"/>
  <c r="Z20" i="47"/>
  <c r="AA20" i="47" s="1"/>
  <c r="F21" i="47"/>
  <c r="D21" i="47" s="1"/>
  <c r="D20" i="47"/>
  <c r="B19" i="47"/>
  <c r="X19" i="47"/>
  <c r="AD17" i="47"/>
  <c r="AC17" i="47"/>
  <c r="I13" i="44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AB19" i="47" l="1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 s="1"/>
  <c r="R18" i="47"/>
  <c r="U17" i="47"/>
  <c r="S17" i="47"/>
  <c r="T17" i="47"/>
  <c r="H14" i="44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H20" i="47" l="1"/>
  <c r="J20" i="47"/>
  <c r="I20" i="47"/>
  <c r="G21" i="47"/>
  <c r="R19" i="47"/>
  <c r="U18" i="47"/>
  <c r="T18" i="47"/>
  <c r="S18" i="47"/>
  <c r="Q18" i="47"/>
  <c r="V18" i="47" s="1"/>
  <c r="E20" i="47"/>
  <c r="E21" i="47" s="1"/>
  <c r="C20" i="47"/>
  <c r="AB20" i="47"/>
  <c r="AC19" i="47"/>
  <c r="AD19" i="47"/>
  <c r="C21" i="47"/>
  <c r="AB21" i="47"/>
  <c r="I15" i="44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S19" i="47" l="1"/>
  <c r="Q19" i="47"/>
  <c r="V19" i="47" s="1"/>
  <c r="T19" i="47"/>
  <c r="U19" i="47"/>
  <c r="R20" i="47"/>
  <c r="AC20" i="47"/>
  <c r="AD20" i="47"/>
  <c r="J21" i="47"/>
  <c r="H21" i="47"/>
  <c r="I21" i="47"/>
  <c r="AD21" i="47"/>
  <c r="AC21" i="47"/>
  <c r="I16" i="44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T20" i="47" l="1"/>
  <c r="Q20" i="47"/>
  <c r="V20" i="47" s="1"/>
  <c r="R21" i="47"/>
  <c r="U20" i="47"/>
  <c r="S20" i="47"/>
  <c r="H17" i="44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U21" i="47" l="1"/>
  <c r="T21" i="47"/>
  <c r="S21" i="47"/>
  <c r="Q21" i="47"/>
  <c r="V21" i="47" s="1"/>
  <c r="I18" i="44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<sst xmlns="http://schemas.openxmlformats.org/spreadsheetml/2006/main" count="646" uniqueCount="267">
  <si>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</si>
  <si>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</si>
  <si>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</si>
  <si>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</si>
  <si>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</si>
  <si>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</si>
  <si>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</si>
  <si>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</si>
  <si>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</si>
  <si>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</si>
  <si>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</si>
  <si>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</si>
  <si>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</si>
  <si>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</si>
  <si>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</si>
  <si>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</si>
  <si>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</si>
  <si>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</si>
  <si>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</si>
  <si>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</si>
  <si>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</si>
  <si>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</si>
  <si>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</si>
  <si>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</si>
  <si>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</si>
  <si>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</si>
  <si>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</si>
  <si>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</si>
  <si>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</si>
  <si>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</si>
  <si>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</si>
  <si>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</si>
  <si>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</si>
  <si>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</si>
  <si>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</si>
  <si>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</si>
  <si>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</si>
  <si>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</si>
  <si>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</si>
  <si>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</si>
  <si>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</si>
  <si>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</si>
  <si>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</si>
  <si>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</si>
  <si>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</si>
  <si>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</si>
  <si>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</si>
  <si>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</si>
  <si>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</si>
  <si>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</si>
  <si>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</si>
  <si>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</si>
  <si>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</si>
  <si>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</si>
  <si>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</si>
  <si>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</si>
  <si>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</si>
  <si>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</si>
  <si>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</si>
  <si>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</si>
  <si>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</si>
  <si>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</si>
  <si>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</si>
  <si>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</si>
  <si>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</si>
  <si>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</si>
  <si>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</si>
  <si>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</si>
  <si>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</si>
  <si>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</si>
  <si>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</si>
  <si>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</si>
  <si>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</si>
  <si>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</si>
  <si>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</si>
  <si>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</si>
  <si>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</si>
  <si>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</si>
  <si>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</si>
  <si>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</si>
  <si>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</si>
  <si>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</si>
  <si>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</si>
  <si>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</si>
  <si>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</si>
  <si>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</si>
  <si>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</si>
  <si>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</si>
  <si>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</si>
  <si>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</si>
  <si>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</si>
  <si>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</si>
  <si>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</si>
  <si>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</si>
  <si>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</si>
  <si>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</si>
  <si>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</si>
  <si>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</si>
  <si>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</si>
  <si>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</si>
  <si>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</si>
  <si>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</si>
  <si>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</si>
  <si>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</si>
  <si>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</si>
  <si>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</si>
  <si>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</si>
  <si>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</si>
  <si>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</si>
  <si>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</si>
  <si>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</si>
  <si>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</si>
  <si>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</si>
  <si>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</si>
  <si>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</si>
  <si>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</si>
  <si>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</si>
  <si>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</si>
  <si>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</si>
  <si>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</si>
  <si>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</si>
  <si>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</si>
  <si>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</si>
  <si>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</si>
  <si>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</si>
  <si>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</si>
  <si>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</si>
  <si>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</si>
  <si>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</si>
  <si>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</si>
  <si>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</si>
  <si>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</si>
  <si>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</si>
  <si>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</si>
  <si>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</si>
  <si>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</si>
  <si>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</si>
  <si>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</si>
  <si>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</si>
  <si>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</si>
  <si>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</si>
  <si>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</si>
  <si>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</si>
  <si>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</si>
  <si>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</si>
  <si>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</si>
  <si>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</si>
  <si>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</si>
  <si>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</si>
  <si>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</si>
  <si>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</si>
  <si>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</si>
  <si>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</si>
  <si>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</si>
  <si>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</si>
  <si>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</si>
  <si>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</si>
  <si>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</si>
  <si>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</si>
  <si>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</si>
  <si>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</si>
  <si>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</si>
  <si>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</si>
  <si>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</si>
  <si>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</si>
  <si>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</si>
  <si>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</si>
  <si>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</si>
  <si>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</si>
  <si>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</si>
  <si>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</si>
  <si>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</si>
  <si>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</si>
  <si>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</si>
  <si>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</si>
  <si>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</si>
  <si>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</si>
  <si>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</si>
  <si>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</si>
  <si>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</si>
  <si>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</si>
  <si>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</si>
  <si>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</si>
  <si>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</si>
  <si>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</si>
  <si>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</si>
  <si>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</si>
  <si>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</si>
  <si>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</si>
  <si>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</si>
  <si>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</si>
  <si>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</si>
  <si>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</si>
  <si>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</si>
  <si>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</si>
  <si>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</si>
  <si>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</si>
  <si>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</si>
  <si>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</si>
  <si>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</si>
  <si>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</si>
  <si>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</si>
  <si>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</si>
  <si>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</si>
  <si>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</si>
  <si>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</si>
  <si>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</si>
  <si>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</si>
  <si>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</si>
  <si>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</si>
  <si>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</si>
  <si>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</si>
  <si>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</si>
  <si>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</si>
  <si>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</si>
  <si>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</si>
  <si>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</si>
  <si>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</si>
  <si>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</si>
  <si>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</si>
  <si>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</si>
  <si>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</si>
  <si>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</si>
  <si>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</si>
  <si>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</si>
  <si>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</si>
  <si>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</si>
  <si>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</si>
  <si>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</si>
  <si>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</si>
  <si>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</si>
  <si>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</si>
  <si>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</si>
  <si>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</si>
  <si>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</si>
  <si>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</si>
  <si>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</si>
  <si>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</si>
  <si>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</si>
  <si>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</si>
  <si>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</si>
  <si>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</si>
  <si>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</si>
  <si>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</si>
  <si>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</si>
  <si>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</si>
  <si>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</si>
  <si>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</si>
  <si>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</si>
  <si>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</si>
  <si>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</si>
  <si>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</si>
  <si>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</si>
  <si>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</si>
  <si>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</si>
  <si>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</si>
  <si>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</si>
  <si>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</si>
  <si>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</si>
  <si>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</si>
  <si>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</si>
  <si>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</si>
  <si>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</si>
  <si>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</si>
  <si>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</si>
  <si>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jsfadianji_spd</t>
    <phoneticPr fontId="3" type="noConversion"/>
  </si>
  <si>
    <t>jsfadianji_cap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</si>
</sst>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83801168"/>
        <c:axId val="583801728"/>
      </c:scatterChart>
      <c:valAx>
        <c:axId val="5838011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801728"/>
        <c:crosses val="autoZero"/>
        <c:crossBetween val="midCat"/>
      </c:valAx>
      <c:valAx>
        <c:axId val="5838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80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805648"/>
        <c:axId val="583806208"/>
      </c:scatterChart>
      <c:valAx>
        <c:axId val="58380564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806208"/>
        <c:crosses val="autoZero"/>
        <c:crossBetween val="midCat"/>
        <c:majorUnit val="125"/>
      </c:valAx>
      <c:valAx>
        <c:axId val="58380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80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81824496"/>
        <c:axId val="581825056"/>
      </c:scatterChart>
      <c:valAx>
        <c:axId val="581824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25056"/>
        <c:crosses val="autoZero"/>
        <c:crossBetween val="midCat"/>
      </c:valAx>
      <c:valAx>
        <c:axId val="5818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2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829536"/>
        <c:axId val="581830096"/>
      </c:scatterChart>
      <c:valAx>
        <c:axId val="58182953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30096"/>
        <c:crosses val="autoZero"/>
        <c:crossBetween val="midCat"/>
        <c:majorUnit val="125"/>
      </c:valAx>
      <c:valAx>
        <c:axId val="58183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2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81834576"/>
        <c:axId val="581835136"/>
      </c:scatterChart>
      <c:valAx>
        <c:axId val="58183457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35136"/>
        <c:crosses val="autoZero"/>
        <c:crossBetween val="midCat"/>
      </c:valAx>
      <c:valAx>
        <c:axId val="58183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3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839616"/>
        <c:axId val="582429952"/>
      </c:scatterChart>
      <c:valAx>
        <c:axId val="58183961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2429952"/>
        <c:crosses val="autoZero"/>
        <c:crossBetween val="midCat"/>
        <c:majorUnit val="125"/>
      </c:valAx>
      <c:valAx>
        <c:axId val="58242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83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85" zoomScaleNormal="85" workbookViewId="0">
      <selection activeCell="K2" sqref="K2:K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50</v>
      </c>
      <c r="C2" s="21">
        <f>B2/5</f>
        <v>10</v>
      </c>
      <c r="D2" s="24">
        <v>50</v>
      </c>
      <c r="E2" s="22">
        <f>B2</f>
        <v>50</v>
      </c>
      <c r="F2" s="21">
        <v>0</v>
      </c>
      <c r="H2" s="23">
        <f>G2/((L2*4)/K2)</f>
        <v>0</v>
      </c>
      <c r="I2" s="23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K2*2.8/4</f>
        <v>70</v>
      </c>
      <c r="M2" s="22">
        <f>K2*2.2/3</f>
        <v>73.333333333333343</v>
      </c>
      <c r="N2" s="22">
        <f>K2*1.6/2</f>
        <v>80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1.7857142857142858</v>
      </c>
      <c r="T2" s="22">
        <f>(R2/3)/M2</f>
        <v>2.2727272727272725</v>
      </c>
      <c r="U2" s="22">
        <f t="shared" ref="U2:U21" si="0">(R2/2)/N2</f>
        <v>3.125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50</v>
      </c>
      <c r="AC2" s="21">
        <f>AB2</f>
        <v>50</v>
      </c>
      <c r="AD2" s="21">
        <f>AB2/Z2</f>
        <v>0.5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150</v>
      </c>
      <c r="F3" s="23">
        <v>0</v>
      </c>
      <c r="G3" s="23"/>
      <c r="H3" s="23">
        <f t="shared" ref="H3:H21" si="6">G3/((L3*4)/K3)</f>
        <v>0</v>
      </c>
      <c r="I3" s="23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150</v>
      </c>
      <c r="L3" s="21">
        <f t="shared" ref="L3:L21" si="10">K3*2.8/4</f>
        <v>105</v>
      </c>
      <c r="M3" s="22">
        <f t="shared" ref="M3:M21" si="11">K3*2.2/3</f>
        <v>110</v>
      </c>
      <c r="N3" s="22">
        <f t="shared" ref="N3:N21" si="12">K3*1.6/2</f>
        <v>120</v>
      </c>
      <c r="O3" s="22">
        <f t="shared" ref="O3:O21" si="13">O2*Y3</f>
        <v>150</v>
      </c>
      <c r="Q3" s="21">
        <f t="shared" ref="Q3:Q21" si="14">IF(R3&lt;100,ROUND(R3,1-LEN(ROUND(R3,0))),ROUND(R3,2-LEN(ROUND(R3,0))))</f>
        <v>900</v>
      </c>
      <c r="R3" s="21">
        <f t="shared" ref="R3:R21" si="15">R2*W3</f>
        <v>900</v>
      </c>
      <c r="S3" s="22">
        <f t="shared" ref="S3:S21" si="16">(R3/4)/L3</f>
        <v>2.1428571428571428</v>
      </c>
      <c r="T3" s="22">
        <f t="shared" ref="T3:T21" si="17">(R3/3)/M3</f>
        <v>2.7272727272727271</v>
      </c>
      <c r="U3" s="22">
        <f t="shared" si="0"/>
        <v>3.75</v>
      </c>
      <c r="V3" s="22">
        <f t="shared" si="1"/>
        <v>6</v>
      </c>
      <c r="W3" s="24">
        <f>Y3+0.3</f>
        <v>1.8</v>
      </c>
      <c r="Y3" s="24">
        <v>1.5</v>
      </c>
      <c r="Z3" s="22">
        <f>K3-K2</f>
        <v>50</v>
      </c>
      <c r="AA3" s="22">
        <f t="shared" ref="AA3:AA21" si="18">Z3*2.5</f>
        <v>125</v>
      </c>
      <c r="AB3" s="21">
        <f t="shared" si="2"/>
        <v>100</v>
      </c>
      <c r="AC3" s="21">
        <f>AB3+AB2</f>
        <v>150</v>
      </c>
      <c r="AD3" s="21">
        <f t="shared" ref="AD3:AD21" si="19">AB3/Z3</f>
        <v>2</v>
      </c>
    </row>
    <row r="4" spans="1:30" x14ac:dyDescent="0.35">
      <c r="A4" s="21">
        <v>3</v>
      </c>
      <c r="B4" s="21">
        <f t="shared" si="3"/>
        <v>150</v>
      </c>
      <c r="C4" s="21">
        <f t="shared" si="4"/>
        <v>30</v>
      </c>
      <c r="D4" s="22">
        <f t="shared" ref="D4:D21" si="20">F4*O3</f>
        <v>150</v>
      </c>
      <c r="E4" s="22">
        <f t="shared" si="5"/>
        <v>300</v>
      </c>
      <c r="F4" s="23">
        <f>P4</f>
        <v>1</v>
      </c>
      <c r="G4" s="23">
        <v>1</v>
      </c>
      <c r="H4" s="23">
        <f t="shared" si="6"/>
        <v>0.35714285714285715</v>
      </c>
      <c r="I4" s="23">
        <f t="shared" si="7"/>
        <v>0.45454545454545453</v>
      </c>
      <c r="J4" s="21">
        <f t="shared" si="8"/>
        <v>0.625</v>
      </c>
      <c r="K4" s="21">
        <f t="shared" si="9"/>
        <v>300</v>
      </c>
      <c r="L4" s="21">
        <f t="shared" si="10"/>
        <v>210</v>
      </c>
      <c r="M4" s="22">
        <f t="shared" si="11"/>
        <v>220</v>
      </c>
      <c r="N4" s="22">
        <f t="shared" si="12"/>
        <v>240</v>
      </c>
      <c r="O4" s="22">
        <f t="shared" si="13"/>
        <v>300</v>
      </c>
      <c r="P4" s="24">
        <v>1</v>
      </c>
      <c r="Q4" s="21">
        <f t="shared" si="14"/>
        <v>2500</v>
      </c>
      <c r="R4" s="21">
        <f t="shared" si="15"/>
        <v>2520</v>
      </c>
      <c r="S4" s="22">
        <f t="shared" si="16"/>
        <v>3</v>
      </c>
      <c r="T4" s="22">
        <f t="shared" si="17"/>
        <v>3.8181818181818183</v>
      </c>
      <c r="U4" s="22">
        <f t="shared" si="0"/>
        <v>5.25</v>
      </c>
      <c r="V4" s="22">
        <f t="shared" si="1"/>
        <v>8.3333333333333339</v>
      </c>
      <c r="W4" s="24">
        <f>Y4+0.8</f>
        <v>2.8</v>
      </c>
      <c r="Y4" s="24">
        <v>2</v>
      </c>
      <c r="Z4" s="22">
        <f t="shared" ref="Z4:Z21" si="21">K4-K3</f>
        <v>150</v>
      </c>
      <c r="AA4" s="22">
        <f t="shared" si="18"/>
        <v>375</v>
      </c>
      <c r="AB4" s="21">
        <f t="shared" si="2"/>
        <v>150</v>
      </c>
      <c r="AC4" s="21">
        <f t="shared" ref="AC4:AC21" si="22">AB4+AB3</f>
        <v>250</v>
      </c>
      <c r="AD4" s="21">
        <f t="shared" si="19"/>
        <v>1</v>
      </c>
    </row>
    <row r="5" spans="1:30" x14ac:dyDescent="0.35">
      <c r="A5" s="21">
        <v>4</v>
      </c>
      <c r="B5" s="21">
        <f t="shared" si="3"/>
        <v>600</v>
      </c>
      <c r="C5" s="21">
        <f t="shared" si="4"/>
        <v>120</v>
      </c>
      <c r="D5" s="22">
        <f t="shared" si="20"/>
        <v>600</v>
      </c>
      <c r="E5" s="22">
        <f t="shared" si="5"/>
        <v>900</v>
      </c>
      <c r="F5" s="23">
        <f t="shared" ref="F5:F21" si="23">F4+P5</f>
        <v>2</v>
      </c>
      <c r="G5" s="23">
        <f>G4+F5</f>
        <v>3</v>
      </c>
      <c r="H5" s="23">
        <f t="shared" si="6"/>
        <v>1.0714285714285714</v>
      </c>
      <c r="I5" s="23">
        <f t="shared" si="7"/>
        <v>1.3636363636363633</v>
      </c>
      <c r="J5" s="21">
        <f t="shared" si="8"/>
        <v>1.875</v>
      </c>
      <c r="K5" s="21">
        <f t="shared" si="9"/>
        <v>900</v>
      </c>
      <c r="L5" s="21">
        <f t="shared" si="10"/>
        <v>630</v>
      </c>
      <c r="M5" s="22">
        <f t="shared" si="11"/>
        <v>660.00000000000011</v>
      </c>
      <c r="N5" s="22">
        <f t="shared" si="12"/>
        <v>720</v>
      </c>
      <c r="O5" s="22">
        <f t="shared" si="13"/>
        <v>900</v>
      </c>
      <c r="P5" s="24">
        <v>1</v>
      </c>
      <c r="Q5" s="21">
        <f t="shared" si="14"/>
        <v>8600</v>
      </c>
      <c r="R5" s="21">
        <f t="shared" si="15"/>
        <v>8568</v>
      </c>
      <c r="S5" s="22">
        <f t="shared" si="16"/>
        <v>3.4</v>
      </c>
      <c r="T5" s="22">
        <f t="shared" si="17"/>
        <v>4.3272727272727263</v>
      </c>
      <c r="U5" s="22">
        <f t="shared" si="0"/>
        <v>5.95</v>
      </c>
      <c r="V5" s="22">
        <f t="shared" si="1"/>
        <v>9.5555555555555554</v>
      </c>
      <c r="W5" s="24">
        <f t="shared" ref="W5:W6" si="24">Y5+0.4</f>
        <v>3.4</v>
      </c>
      <c r="X5" s="23">
        <f t="shared" ref="X5:X21" si="25">D5/D4</f>
        <v>4</v>
      </c>
      <c r="Y5" s="24">
        <v>3</v>
      </c>
      <c r="Z5" s="22">
        <f t="shared" si="21"/>
        <v>600</v>
      </c>
      <c r="AA5" s="22">
        <f t="shared" si="18"/>
        <v>1500</v>
      </c>
      <c r="AB5" s="21">
        <f t="shared" si="2"/>
        <v>600</v>
      </c>
      <c r="AC5" s="21">
        <f t="shared" si="22"/>
        <v>750</v>
      </c>
      <c r="AD5" s="21">
        <f t="shared" si="19"/>
        <v>1</v>
      </c>
    </row>
    <row r="6" spans="1:30" x14ac:dyDescent="0.35">
      <c r="A6" s="21">
        <v>5</v>
      </c>
      <c r="B6" s="21">
        <f t="shared" si="3"/>
        <v>2700</v>
      </c>
      <c r="C6" s="21">
        <f t="shared" si="4"/>
        <v>540</v>
      </c>
      <c r="D6" s="22">
        <f t="shared" si="20"/>
        <v>2700</v>
      </c>
      <c r="E6" s="22">
        <f t="shared" si="5"/>
        <v>3600</v>
      </c>
      <c r="F6" s="23">
        <f t="shared" si="23"/>
        <v>3</v>
      </c>
      <c r="G6" s="23">
        <f t="shared" ref="G6:G21" si="26">G5+F6</f>
        <v>6</v>
      </c>
      <c r="H6" s="23">
        <f t="shared" si="6"/>
        <v>2.1428571428571428</v>
      </c>
      <c r="I6" s="23">
        <f t="shared" si="7"/>
        <v>2.7272727272727266</v>
      </c>
      <c r="J6" s="21">
        <f t="shared" si="8"/>
        <v>3.75</v>
      </c>
      <c r="K6" s="21">
        <f t="shared" si="9"/>
        <v>1800</v>
      </c>
      <c r="L6" s="21">
        <f t="shared" si="10"/>
        <v>1260</v>
      </c>
      <c r="M6" s="22">
        <f t="shared" si="11"/>
        <v>1320.0000000000002</v>
      </c>
      <c r="N6" s="22">
        <f t="shared" si="12"/>
        <v>1440</v>
      </c>
      <c r="O6" s="22">
        <f t="shared" si="13"/>
        <v>1800</v>
      </c>
      <c r="P6" s="24">
        <v>1</v>
      </c>
      <c r="Q6" s="21">
        <f t="shared" si="14"/>
        <v>21000</v>
      </c>
      <c r="R6" s="21">
        <f t="shared" si="15"/>
        <v>20563.2</v>
      </c>
      <c r="S6" s="22">
        <f t="shared" si="16"/>
        <v>4.08</v>
      </c>
      <c r="T6" s="22">
        <f t="shared" si="17"/>
        <v>5.1927272727272724</v>
      </c>
      <c r="U6" s="22">
        <f t="shared" si="0"/>
        <v>7.1400000000000006</v>
      </c>
      <c r="V6" s="22">
        <f t="shared" si="1"/>
        <v>11.666666666666666</v>
      </c>
      <c r="W6" s="24">
        <f t="shared" si="24"/>
        <v>2.4</v>
      </c>
      <c r="X6" s="23">
        <f t="shared" si="25"/>
        <v>4.5</v>
      </c>
      <c r="Y6" s="24">
        <v>2</v>
      </c>
      <c r="Z6" s="22">
        <f t="shared" si="21"/>
        <v>900</v>
      </c>
      <c r="AA6" s="22">
        <f t="shared" si="18"/>
        <v>2250</v>
      </c>
      <c r="AB6" s="21">
        <f t="shared" si="2"/>
        <v>2700</v>
      </c>
      <c r="AC6" s="21">
        <f t="shared" si="22"/>
        <v>3300</v>
      </c>
      <c r="AD6" s="21">
        <f t="shared" si="19"/>
        <v>3</v>
      </c>
    </row>
    <row r="7" spans="1:30" s="31" customFormat="1" x14ac:dyDescent="0.35">
      <c r="A7" s="31">
        <v>6</v>
      </c>
      <c r="B7" s="31">
        <f t="shared" si="3"/>
        <v>9000</v>
      </c>
      <c r="C7" s="31">
        <f t="shared" si="4"/>
        <v>1800</v>
      </c>
      <c r="D7" s="32">
        <f t="shared" si="20"/>
        <v>9000</v>
      </c>
      <c r="E7" s="32">
        <f t="shared" si="5"/>
        <v>12600</v>
      </c>
      <c r="F7" s="33">
        <f t="shared" si="23"/>
        <v>5</v>
      </c>
      <c r="G7" s="33">
        <f t="shared" si="26"/>
        <v>11</v>
      </c>
      <c r="H7" s="33">
        <f t="shared" si="6"/>
        <v>3.9285714285714288</v>
      </c>
      <c r="I7" s="33">
        <f t="shared" si="7"/>
        <v>5</v>
      </c>
      <c r="J7" s="31">
        <f t="shared" si="8"/>
        <v>6.875</v>
      </c>
      <c r="K7" s="31">
        <f t="shared" si="9"/>
        <v>2500</v>
      </c>
      <c r="L7" s="31">
        <f t="shared" si="10"/>
        <v>1750</v>
      </c>
      <c r="M7" s="32">
        <f t="shared" si="11"/>
        <v>1833.3333333333333</v>
      </c>
      <c r="N7" s="32">
        <f t="shared" si="12"/>
        <v>2000</v>
      </c>
      <c r="O7" s="32">
        <f t="shared" si="13"/>
        <v>2520</v>
      </c>
      <c r="P7" s="31">
        <v>2</v>
      </c>
      <c r="Q7" s="31">
        <f t="shared" si="14"/>
        <v>37000</v>
      </c>
      <c r="R7" s="31">
        <f t="shared" si="15"/>
        <v>37013.759999999995</v>
      </c>
      <c r="S7" s="32">
        <f t="shared" si="16"/>
        <v>5.287679999999999</v>
      </c>
      <c r="T7" s="32">
        <f t="shared" si="17"/>
        <v>6.7297745454545446</v>
      </c>
      <c r="U7" s="32">
        <f t="shared" si="0"/>
        <v>9.2534399999999994</v>
      </c>
      <c r="V7" s="32">
        <f t="shared" si="1"/>
        <v>14.8</v>
      </c>
      <c r="W7" s="31">
        <f>Y7+0.4</f>
        <v>1.7999999999999998</v>
      </c>
      <c r="X7" s="33">
        <f t="shared" si="25"/>
        <v>3.3333333333333335</v>
      </c>
      <c r="Y7" s="31">
        <v>1.4</v>
      </c>
      <c r="Z7" s="32">
        <f t="shared" si="21"/>
        <v>700</v>
      </c>
      <c r="AA7" s="32">
        <f t="shared" si="18"/>
        <v>1750</v>
      </c>
      <c r="AB7" s="31">
        <f t="shared" si="2"/>
        <v>9000</v>
      </c>
      <c r="AC7" s="31">
        <f t="shared" si="22"/>
        <v>11700</v>
      </c>
      <c r="AD7" s="31">
        <f t="shared" si="19"/>
        <v>12.857142857142858</v>
      </c>
    </row>
    <row r="8" spans="1:30" x14ac:dyDescent="0.35">
      <c r="A8" s="21">
        <v>7</v>
      </c>
      <c r="B8" s="21">
        <f t="shared" si="3"/>
        <v>20000</v>
      </c>
      <c r="C8" s="21">
        <f t="shared" si="4"/>
        <v>4000</v>
      </c>
      <c r="D8" s="22">
        <f t="shared" si="20"/>
        <v>20160</v>
      </c>
      <c r="E8" s="22">
        <f t="shared" si="5"/>
        <v>32600</v>
      </c>
      <c r="F8" s="23">
        <f t="shared" si="23"/>
        <v>8</v>
      </c>
      <c r="G8" s="23">
        <f t="shared" si="26"/>
        <v>19</v>
      </c>
      <c r="H8" s="23">
        <f t="shared" si="6"/>
        <v>6.7857142857142865</v>
      </c>
      <c r="I8" s="23">
        <f t="shared" si="7"/>
        <v>8.6363636363636349</v>
      </c>
      <c r="J8" s="21">
        <f t="shared" si="8"/>
        <v>11.875</v>
      </c>
      <c r="K8" s="21">
        <f t="shared" si="9"/>
        <v>3500</v>
      </c>
      <c r="L8" s="21">
        <f t="shared" si="10"/>
        <v>2450</v>
      </c>
      <c r="M8" s="22">
        <f t="shared" si="11"/>
        <v>2566.666666666667</v>
      </c>
      <c r="N8" s="22">
        <f t="shared" si="12"/>
        <v>2800</v>
      </c>
      <c r="O8" s="22">
        <f t="shared" si="13"/>
        <v>3528</v>
      </c>
      <c r="P8" s="24">
        <v>3</v>
      </c>
      <c r="Q8" s="21">
        <f t="shared" si="14"/>
        <v>67000</v>
      </c>
      <c r="R8" s="21">
        <f t="shared" si="15"/>
        <v>66624.767999999982</v>
      </c>
      <c r="S8" s="22">
        <f t="shared" si="16"/>
        <v>6.7984457142857124</v>
      </c>
      <c r="T8" s="22">
        <f t="shared" si="17"/>
        <v>8.6525672727272696</v>
      </c>
      <c r="U8" s="22">
        <f t="shared" si="0"/>
        <v>11.897279999999997</v>
      </c>
      <c r="V8" s="22">
        <f t="shared" si="1"/>
        <v>19.142857142857142</v>
      </c>
      <c r="W8" s="24">
        <f>Y8+0.4</f>
        <v>1.7999999999999998</v>
      </c>
      <c r="X8" s="23">
        <f t="shared" si="25"/>
        <v>2.2400000000000002</v>
      </c>
      <c r="Y8" s="24">
        <v>1.4</v>
      </c>
      <c r="Z8" s="22">
        <f t="shared" si="21"/>
        <v>1000</v>
      </c>
      <c r="AA8" s="22">
        <f t="shared" si="18"/>
        <v>2500</v>
      </c>
      <c r="AB8" s="21">
        <f t="shared" si="2"/>
        <v>20000</v>
      </c>
      <c r="AC8" s="21">
        <f t="shared" si="22"/>
        <v>29000</v>
      </c>
      <c r="AD8" s="21">
        <f t="shared" si="19"/>
        <v>20</v>
      </c>
    </row>
    <row r="9" spans="1:30" s="31" customFormat="1" x14ac:dyDescent="0.35">
      <c r="A9" s="31">
        <v>8</v>
      </c>
      <c r="B9" s="31">
        <f t="shared" si="3"/>
        <v>42000</v>
      </c>
      <c r="C9" s="31">
        <f t="shared" si="4"/>
        <v>8400</v>
      </c>
      <c r="D9" s="32">
        <f t="shared" si="20"/>
        <v>42336</v>
      </c>
      <c r="E9" s="32">
        <f t="shared" si="5"/>
        <v>74600</v>
      </c>
      <c r="F9" s="33">
        <f t="shared" si="23"/>
        <v>12</v>
      </c>
      <c r="G9" s="33">
        <f t="shared" si="26"/>
        <v>31</v>
      </c>
      <c r="H9" s="33">
        <f t="shared" si="6"/>
        <v>11.071428571428573</v>
      </c>
      <c r="I9" s="33">
        <f t="shared" si="7"/>
        <v>14.09090909090909</v>
      </c>
      <c r="J9" s="31">
        <f t="shared" si="8"/>
        <v>19.375</v>
      </c>
      <c r="K9" s="31">
        <f t="shared" si="9"/>
        <v>4600</v>
      </c>
      <c r="L9" s="31">
        <f t="shared" si="10"/>
        <v>3220</v>
      </c>
      <c r="M9" s="32">
        <f t="shared" si="11"/>
        <v>3373.3333333333335</v>
      </c>
      <c r="N9" s="32">
        <f t="shared" si="12"/>
        <v>3680</v>
      </c>
      <c r="O9" s="32">
        <f t="shared" si="13"/>
        <v>4586.4000000000005</v>
      </c>
      <c r="P9" s="31">
        <v>4</v>
      </c>
      <c r="Q9" s="31">
        <f t="shared" si="14"/>
        <v>110000</v>
      </c>
      <c r="R9" s="31">
        <f t="shared" si="15"/>
        <v>113262.10559999998</v>
      </c>
      <c r="S9" s="32">
        <f t="shared" si="16"/>
        <v>8.7936417391304325</v>
      </c>
      <c r="T9" s="32">
        <f t="shared" si="17"/>
        <v>11.191907667984186</v>
      </c>
      <c r="U9" s="32">
        <f t="shared" si="0"/>
        <v>15.388873043478258</v>
      </c>
      <c r="V9" s="32">
        <f t="shared" si="1"/>
        <v>23.913043478260871</v>
      </c>
      <c r="W9" s="31">
        <f>Y9+0.4</f>
        <v>1.7000000000000002</v>
      </c>
      <c r="X9" s="33">
        <f t="shared" si="25"/>
        <v>2.1</v>
      </c>
      <c r="Y9" s="31">
        <v>1.3</v>
      </c>
      <c r="Z9" s="32">
        <f t="shared" si="21"/>
        <v>1100</v>
      </c>
      <c r="AA9" s="32">
        <f t="shared" si="18"/>
        <v>2750</v>
      </c>
      <c r="AB9" s="31">
        <f t="shared" si="2"/>
        <v>42000</v>
      </c>
      <c r="AC9" s="31">
        <f t="shared" si="22"/>
        <v>62000</v>
      </c>
      <c r="AD9" s="31">
        <f t="shared" si="19"/>
        <v>38.18181818181818</v>
      </c>
    </row>
    <row r="10" spans="1:30" s="37" customFormat="1" x14ac:dyDescent="0.35">
      <c r="A10" s="37">
        <v>9</v>
      </c>
      <c r="B10" s="37">
        <f t="shared" si="3"/>
        <v>78000</v>
      </c>
      <c r="C10" s="37">
        <f t="shared" si="4"/>
        <v>15600</v>
      </c>
      <c r="D10" s="38">
        <f t="shared" si="20"/>
        <v>77968.800000000003</v>
      </c>
      <c r="E10" s="38">
        <f t="shared" si="5"/>
        <v>152600</v>
      </c>
      <c r="F10" s="39">
        <f t="shared" si="23"/>
        <v>17</v>
      </c>
      <c r="G10" s="39">
        <f t="shared" si="26"/>
        <v>48</v>
      </c>
      <c r="H10" s="39">
        <f t="shared" si="6"/>
        <v>17.142857142857142</v>
      </c>
      <c r="I10" s="39">
        <f t="shared" si="7"/>
        <v>21.818181818181817</v>
      </c>
      <c r="J10" s="37">
        <f t="shared" si="8"/>
        <v>30</v>
      </c>
      <c r="K10" s="37">
        <f t="shared" si="9"/>
        <v>5500</v>
      </c>
      <c r="L10" s="37">
        <f t="shared" si="10"/>
        <v>3849.9999999999995</v>
      </c>
      <c r="M10" s="38">
        <f t="shared" si="11"/>
        <v>4033.3333333333339</v>
      </c>
      <c r="N10" s="38">
        <f t="shared" si="12"/>
        <v>4400</v>
      </c>
      <c r="O10" s="38">
        <f t="shared" si="13"/>
        <v>5503.68</v>
      </c>
      <c r="P10" s="37">
        <v>5</v>
      </c>
      <c r="Q10" s="37">
        <f t="shared" si="14"/>
        <v>170000</v>
      </c>
      <c r="R10" s="37">
        <f t="shared" si="15"/>
        <v>169893.15839999996</v>
      </c>
      <c r="S10" s="38">
        <f t="shared" si="16"/>
        <v>11.032023272727271</v>
      </c>
      <c r="T10" s="38">
        <f t="shared" si="17"/>
        <v>14.040756892561976</v>
      </c>
      <c r="U10" s="38">
        <f t="shared" si="0"/>
        <v>19.306040727272723</v>
      </c>
      <c r="V10" s="38">
        <f t="shared" si="1"/>
        <v>30.90909090909091</v>
      </c>
      <c r="W10" s="37">
        <f>Y10+0.3</f>
        <v>1.5</v>
      </c>
      <c r="X10" s="39">
        <f t="shared" si="25"/>
        <v>1.8416666666666668</v>
      </c>
      <c r="Y10" s="37">
        <v>1.2</v>
      </c>
      <c r="Z10" s="38">
        <f t="shared" si="21"/>
        <v>900</v>
      </c>
      <c r="AA10" s="38">
        <f t="shared" si="18"/>
        <v>2250</v>
      </c>
      <c r="AB10" s="37">
        <f t="shared" si="2"/>
        <v>78000</v>
      </c>
      <c r="AC10" s="37">
        <f t="shared" si="22"/>
        <v>120000</v>
      </c>
      <c r="AD10" s="37">
        <f t="shared" si="19"/>
        <v>86.666666666666671</v>
      </c>
    </row>
    <row r="11" spans="1:30" x14ac:dyDescent="0.35">
      <c r="A11" s="21">
        <v>10</v>
      </c>
      <c r="B11" s="21">
        <f t="shared" si="3"/>
        <v>130000</v>
      </c>
      <c r="C11" s="21">
        <f t="shared" si="4"/>
        <v>26000</v>
      </c>
      <c r="D11" s="22">
        <f t="shared" si="20"/>
        <v>132088.32000000001</v>
      </c>
      <c r="E11" s="22">
        <f t="shared" si="5"/>
        <v>282600</v>
      </c>
      <c r="F11" s="23">
        <f t="shared" si="23"/>
        <v>24</v>
      </c>
      <c r="G11" s="23">
        <f t="shared" si="26"/>
        <v>72</v>
      </c>
      <c r="H11" s="23">
        <f t="shared" si="6"/>
        <v>25.714285714285715</v>
      </c>
      <c r="I11" s="23">
        <f t="shared" si="7"/>
        <v>32.72727272727272</v>
      </c>
      <c r="J11" s="21">
        <f t="shared" si="8"/>
        <v>45</v>
      </c>
      <c r="K11" s="21">
        <f t="shared" si="9"/>
        <v>6600</v>
      </c>
      <c r="L11" s="21">
        <f t="shared" si="10"/>
        <v>4620</v>
      </c>
      <c r="M11" s="22">
        <f t="shared" si="11"/>
        <v>4840.0000000000009</v>
      </c>
      <c r="N11" s="22">
        <f t="shared" si="12"/>
        <v>5280</v>
      </c>
      <c r="O11" s="22">
        <f t="shared" si="13"/>
        <v>6604.4160000000002</v>
      </c>
      <c r="P11" s="24">
        <v>7</v>
      </c>
      <c r="Q11" s="21">
        <f t="shared" si="14"/>
        <v>250000</v>
      </c>
      <c r="R11" s="21">
        <f t="shared" si="15"/>
        <v>254839.73759999993</v>
      </c>
      <c r="S11" s="22">
        <f t="shared" si="16"/>
        <v>13.790029090909087</v>
      </c>
      <c r="T11" s="22">
        <f t="shared" si="17"/>
        <v>17.550946115702473</v>
      </c>
      <c r="U11" s="22">
        <f t="shared" si="0"/>
        <v>24.132550909090902</v>
      </c>
      <c r="V11" s="22">
        <f t="shared" si="1"/>
        <v>37.878787878787875</v>
      </c>
      <c r="W11" s="24">
        <f>Y11+0.3</f>
        <v>1.5</v>
      </c>
      <c r="X11" s="23">
        <f t="shared" si="25"/>
        <v>1.6941176470588235</v>
      </c>
      <c r="Y11" s="24">
        <v>1.2</v>
      </c>
      <c r="Z11" s="22">
        <f t="shared" si="21"/>
        <v>1100</v>
      </c>
      <c r="AA11" s="22">
        <f t="shared" si="18"/>
        <v>2750</v>
      </c>
      <c r="AB11" s="21">
        <f t="shared" si="2"/>
        <v>130000</v>
      </c>
      <c r="AC11" s="21">
        <f t="shared" si="22"/>
        <v>208000</v>
      </c>
      <c r="AD11" s="21">
        <f t="shared" si="19"/>
        <v>118.18181818181819</v>
      </c>
    </row>
    <row r="12" spans="1:30" x14ac:dyDescent="0.35">
      <c r="A12" s="21">
        <v>11</v>
      </c>
      <c r="B12" s="21">
        <f t="shared" si="3"/>
        <v>220000</v>
      </c>
      <c r="C12" s="21">
        <f t="shared" si="4"/>
        <v>44000</v>
      </c>
      <c r="D12" s="22">
        <f t="shared" si="20"/>
        <v>224550.144</v>
      </c>
      <c r="E12" s="22">
        <f t="shared" si="5"/>
        <v>502600</v>
      </c>
      <c r="F12" s="23">
        <f t="shared" si="23"/>
        <v>34</v>
      </c>
      <c r="G12" s="23">
        <f t="shared" si="26"/>
        <v>106</v>
      </c>
      <c r="H12" s="23">
        <f t="shared" si="6"/>
        <v>37.857142857142861</v>
      </c>
      <c r="I12" s="23">
        <f t="shared" si="7"/>
        <v>48.181818181818166</v>
      </c>
      <c r="J12" s="21">
        <f t="shared" si="8"/>
        <v>66.25</v>
      </c>
      <c r="K12" s="21">
        <f t="shared" si="9"/>
        <v>7200</v>
      </c>
      <c r="L12" s="21">
        <f t="shared" si="10"/>
        <v>5040</v>
      </c>
      <c r="M12" s="22">
        <f t="shared" si="11"/>
        <v>5280.0000000000009</v>
      </c>
      <c r="N12" s="22">
        <f t="shared" si="12"/>
        <v>5760</v>
      </c>
      <c r="O12" s="22">
        <f t="shared" si="13"/>
        <v>7198.8134400000008</v>
      </c>
      <c r="P12" s="24">
        <v>10</v>
      </c>
      <c r="Q12" s="21">
        <f t="shared" si="14"/>
        <v>330000</v>
      </c>
      <c r="R12" s="21">
        <f t="shared" si="15"/>
        <v>328743.26150399994</v>
      </c>
      <c r="S12" s="22">
        <f t="shared" si="16"/>
        <v>16.306709399999995</v>
      </c>
      <c r="T12" s="22">
        <f t="shared" si="17"/>
        <v>20.753993781818174</v>
      </c>
      <c r="U12" s="22">
        <f t="shared" si="0"/>
        <v>28.536741449999994</v>
      </c>
      <c r="V12" s="22">
        <f t="shared" si="1"/>
        <v>45.833333333333336</v>
      </c>
      <c r="W12" s="24">
        <f>Y12+0.2</f>
        <v>1.29</v>
      </c>
      <c r="X12" s="23">
        <f t="shared" si="25"/>
        <v>1.7</v>
      </c>
      <c r="Y12" s="24">
        <v>1.0900000000000001</v>
      </c>
      <c r="Z12" s="22">
        <f t="shared" si="21"/>
        <v>600</v>
      </c>
      <c r="AA12" s="22">
        <f t="shared" si="18"/>
        <v>1500</v>
      </c>
      <c r="AB12" s="21">
        <f t="shared" si="2"/>
        <v>220000</v>
      </c>
      <c r="AC12" s="21">
        <f t="shared" si="22"/>
        <v>350000</v>
      </c>
      <c r="AD12" s="21">
        <f t="shared" si="19"/>
        <v>366.66666666666669</v>
      </c>
    </row>
    <row r="13" spans="1:30" s="37" customFormat="1" x14ac:dyDescent="0.35">
      <c r="A13" s="37">
        <v>12</v>
      </c>
      <c r="B13" s="37">
        <f t="shared" si="3"/>
        <v>370000</v>
      </c>
      <c r="C13" s="37">
        <f t="shared" si="4"/>
        <v>74000</v>
      </c>
      <c r="D13" s="38">
        <f t="shared" si="20"/>
        <v>374338.29888000002</v>
      </c>
      <c r="E13" s="38">
        <f t="shared" si="5"/>
        <v>872600</v>
      </c>
      <c r="F13" s="39">
        <f t="shared" si="23"/>
        <v>52</v>
      </c>
      <c r="G13" s="39">
        <f t="shared" si="26"/>
        <v>158</v>
      </c>
      <c r="H13" s="39">
        <f t="shared" si="6"/>
        <v>56.428571428571431</v>
      </c>
      <c r="I13" s="39">
        <f t="shared" si="7"/>
        <v>71.818181818181813</v>
      </c>
      <c r="J13" s="37">
        <f t="shared" si="8"/>
        <v>98.75</v>
      </c>
      <c r="K13" s="37">
        <f t="shared" si="9"/>
        <v>8600</v>
      </c>
      <c r="L13" s="37">
        <f t="shared" si="10"/>
        <v>6020</v>
      </c>
      <c r="M13" s="38">
        <f t="shared" si="11"/>
        <v>6306.666666666667</v>
      </c>
      <c r="N13" s="38">
        <f t="shared" si="12"/>
        <v>6880</v>
      </c>
      <c r="O13" s="38">
        <f t="shared" si="13"/>
        <v>8638.5761280000006</v>
      </c>
      <c r="P13" s="37">
        <v>18</v>
      </c>
      <c r="Q13" s="37">
        <f t="shared" si="14"/>
        <v>460000</v>
      </c>
      <c r="R13" s="37">
        <f t="shared" si="15"/>
        <v>460240.56610559986</v>
      </c>
      <c r="S13" s="38">
        <f t="shared" si="16"/>
        <v>19.112980319999995</v>
      </c>
      <c r="T13" s="38">
        <f t="shared" si="17"/>
        <v>24.325611316363627</v>
      </c>
      <c r="U13" s="38">
        <f t="shared" si="0"/>
        <v>33.447715559999992</v>
      </c>
      <c r="V13" s="38">
        <f t="shared" si="1"/>
        <v>53.488372093023258</v>
      </c>
      <c r="W13" s="37">
        <f>Y13+0.2</f>
        <v>1.4</v>
      </c>
      <c r="X13" s="39">
        <f t="shared" si="25"/>
        <v>1.6670588235294119</v>
      </c>
      <c r="Y13" s="37">
        <v>1.2</v>
      </c>
      <c r="Z13" s="38">
        <f t="shared" si="21"/>
        <v>1400</v>
      </c>
      <c r="AA13" s="38">
        <f t="shared" si="18"/>
        <v>3500</v>
      </c>
      <c r="AB13" s="37">
        <f t="shared" si="2"/>
        <v>370000</v>
      </c>
      <c r="AC13" s="37">
        <f t="shared" si="22"/>
        <v>590000</v>
      </c>
      <c r="AD13" s="37">
        <f t="shared" si="19"/>
        <v>264.28571428571428</v>
      </c>
    </row>
    <row r="14" spans="1:30" x14ac:dyDescent="0.35">
      <c r="A14" s="21">
        <v>13</v>
      </c>
      <c r="B14" s="21">
        <f t="shared" si="3"/>
        <v>620000</v>
      </c>
      <c r="C14" s="21">
        <f t="shared" si="4"/>
        <v>124000</v>
      </c>
      <c r="D14" s="22">
        <f t="shared" si="20"/>
        <v>621977.48121600004</v>
      </c>
      <c r="E14" s="22">
        <f t="shared" si="5"/>
        <v>1492600</v>
      </c>
      <c r="F14" s="23">
        <f t="shared" si="23"/>
        <v>72</v>
      </c>
      <c r="G14" s="23">
        <f t="shared" si="26"/>
        <v>230</v>
      </c>
      <c r="H14" s="23">
        <f t="shared" si="6"/>
        <v>82.142857142857153</v>
      </c>
      <c r="I14" s="23">
        <f t="shared" si="7"/>
        <v>104.54545454545453</v>
      </c>
      <c r="J14" s="21">
        <f t="shared" si="8"/>
        <v>143.75</v>
      </c>
      <c r="K14" s="21">
        <f t="shared" si="9"/>
        <v>9500</v>
      </c>
      <c r="L14" s="21">
        <f t="shared" si="10"/>
        <v>6650</v>
      </c>
      <c r="M14" s="22">
        <f t="shared" si="11"/>
        <v>6966.666666666667</v>
      </c>
      <c r="N14" s="22">
        <f t="shared" si="12"/>
        <v>7600</v>
      </c>
      <c r="O14" s="22">
        <f t="shared" si="13"/>
        <v>9502.433740800001</v>
      </c>
      <c r="P14" s="24">
        <v>20</v>
      </c>
      <c r="Q14" s="21">
        <f t="shared" si="14"/>
        <v>600000</v>
      </c>
      <c r="R14" s="21">
        <f t="shared" si="15"/>
        <v>598312.73593727988</v>
      </c>
      <c r="S14" s="22">
        <f t="shared" si="16"/>
        <v>22.4929599976421</v>
      </c>
      <c r="T14" s="22">
        <f t="shared" si="17"/>
        <v>28.627403633362672</v>
      </c>
      <c r="U14" s="22">
        <f t="shared" si="0"/>
        <v>39.362679995873677</v>
      </c>
      <c r="V14" s="22">
        <f t="shared" si="1"/>
        <v>63.157894736842103</v>
      </c>
      <c r="W14" s="24">
        <f>Y14+0.2</f>
        <v>1.3</v>
      </c>
      <c r="X14" s="23">
        <f t="shared" si="25"/>
        <v>1.6615384615384616</v>
      </c>
      <c r="Y14" s="24">
        <v>1.1000000000000001</v>
      </c>
      <c r="Z14" s="22">
        <f t="shared" si="21"/>
        <v>900</v>
      </c>
      <c r="AA14" s="22">
        <f t="shared" si="18"/>
        <v>2250</v>
      </c>
      <c r="AB14" s="21">
        <f t="shared" si="2"/>
        <v>620000</v>
      </c>
      <c r="AC14" s="21">
        <f t="shared" si="22"/>
        <v>990000</v>
      </c>
      <c r="AD14" s="21">
        <f t="shared" si="19"/>
        <v>688.88888888888891</v>
      </c>
    </row>
    <row r="15" spans="1:30" s="34" customFormat="1" x14ac:dyDescent="0.35">
      <c r="A15" s="34">
        <v>14</v>
      </c>
      <c r="B15" s="34">
        <f t="shared" si="3"/>
        <v>970000</v>
      </c>
      <c r="C15" s="34">
        <f t="shared" si="4"/>
        <v>194000</v>
      </c>
      <c r="D15" s="35">
        <f t="shared" si="20"/>
        <v>969248.24156160012</v>
      </c>
      <c r="E15" s="35">
        <f t="shared" si="5"/>
        <v>2462600</v>
      </c>
      <c r="F15" s="36">
        <f t="shared" si="23"/>
        <v>102</v>
      </c>
      <c r="G15" s="36">
        <f t="shared" si="26"/>
        <v>332</v>
      </c>
      <c r="H15" s="36">
        <f t="shared" si="6"/>
        <v>118.57142857142858</v>
      </c>
      <c r="I15" s="36">
        <f t="shared" si="7"/>
        <v>150.90909090909091</v>
      </c>
      <c r="J15" s="36">
        <f t="shared" si="8"/>
        <v>207.5</v>
      </c>
      <c r="K15" s="34">
        <f t="shared" si="9"/>
        <v>11000</v>
      </c>
      <c r="L15" s="34">
        <f t="shared" si="10"/>
        <v>7699.9999999999991</v>
      </c>
      <c r="M15" s="35">
        <f t="shared" si="11"/>
        <v>8066.6666666666679</v>
      </c>
      <c r="N15" s="35">
        <f t="shared" si="12"/>
        <v>8800</v>
      </c>
      <c r="O15" s="35">
        <f t="shared" si="13"/>
        <v>11402.920488960001</v>
      </c>
      <c r="P15" s="34">
        <v>30</v>
      </c>
      <c r="Q15" s="34">
        <f t="shared" si="14"/>
        <v>810000</v>
      </c>
      <c r="R15" s="34">
        <f t="shared" si="15"/>
        <v>807722.19351532776</v>
      </c>
      <c r="S15" s="35">
        <f t="shared" si="16"/>
        <v>26.22474654270545</v>
      </c>
      <c r="T15" s="35">
        <f t="shared" si="17"/>
        <v>33.376950145261468</v>
      </c>
      <c r="U15" s="35">
        <f t="shared" si="0"/>
        <v>45.893306449734531</v>
      </c>
      <c r="V15" s="35">
        <f t="shared" si="1"/>
        <v>73.63636363636364</v>
      </c>
      <c r="W15" s="34">
        <f>Y15+0.15</f>
        <v>1.3499999999999999</v>
      </c>
      <c r="X15" s="36">
        <f t="shared" si="25"/>
        <v>1.5583333333333333</v>
      </c>
      <c r="Y15" s="34">
        <v>1.2</v>
      </c>
      <c r="Z15" s="35">
        <f t="shared" si="21"/>
        <v>1500</v>
      </c>
      <c r="AA15" s="35">
        <f t="shared" si="18"/>
        <v>3750</v>
      </c>
      <c r="AB15" s="34">
        <f t="shared" si="2"/>
        <v>970000</v>
      </c>
      <c r="AC15" s="34">
        <f t="shared" si="22"/>
        <v>1590000</v>
      </c>
      <c r="AD15" s="34">
        <f t="shared" si="19"/>
        <v>646.66666666666663</v>
      </c>
    </row>
    <row r="16" spans="1:30" x14ac:dyDescent="0.35">
      <c r="A16" s="21">
        <v>15</v>
      </c>
      <c r="B16" s="21">
        <f t="shared" si="3"/>
        <v>2100000</v>
      </c>
      <c r="C16" s="21">
        <f t="shared" si="4"/>
        <v>420000</v>
      </c>
      <c r="D16" s="22">
        <f t="shared" si="20"/>
        <v>2075331.5289907202</v>
      </c>
      <c r="E16" s="22">
        <f t="shared" si="5"/>
        <v>4562600</v>
      </c>
      <c r="F16" s="23">
        <f t="shared" si="23"/>
        <v>182</v>
      </c>
      <c r="G16" s="23">
        <f t="shared" si="26"/>
        <v>514</v>
      </c>
      <c r="H16" s="23">
        <f t="shared" si="6"/>
        <v>183.57142857142858</v>
      </c>
      <c r="I16" s="23">
        <f t="shared" si="7"/>
        <v>233.63636363636363</v>
      </c>
      <c r="J16" s="21">
        <f t="shared" si="8"/>
        <v>321.25</v>
      </c>
      <c r="K16" s="21">
        <f t="shared" si="9"/>
        <v>13000</v>
      </c>
      <c r="L16" s="21">
        <f t="shared" si="10"/>
        <v>9100</v>
      </c>
      <c r="M16" s="22">
        <f t="shared" si="11"/>
        <v>9533.3333333333339</v>
      </c>
      <c r="N16" s="22">
        <f t="shared" si="12"/>
        <v>10400</v>
      </c>
      <c r="O16" s="22">
        <f t="shared" si="13"/>
        <v>12999.329357414399</v>
      </c>
      <c r="P16" s="24">
        <v>80</v>
      </c>
      <c r="Q16" s="21">
        <f t="shared" si="14"/>
        <v>1000000</v>
      </c>
      <c r="R16" s="21">
        <f t="shared" si="15"/>
        <v>1001575.5199590065</v>
      </c>
      <c r="S16" s="22">
        <f t="shared" si="16"/>
        <v>27.515810987884795</v>
      </c>
      <c r="T16" s="22">
        <f t="shared" si="17"/>
        <v>35.020123075489735</v>
      </c>
      <c r="U16" s="22">
        <f t="shared" si="0"/>
        <v>48.152669228798388</v>
      </c>
      <c r="V16" s="22">
        <f t="shared" si="1"/>
        <v>76.92307692307692</v>
      </c>
      <c r="W16" s="24">
        <f t="shared" ref="W16:W21" si="27">Y16+0.1</f>
        <v>1.24</v>
      </c>
      <c r="X16" s="23">
        <f t="shared" si="25"/>
        <v>2.1411764705882352</v>
      </c>
      <c r="Y16" s="24">
        <v>1.1399999999999999</v>
      </c>
      <c r="Z16" s="22">
        <f t="shared" si="21"/>
        <v>2000</v>
      </c>
      <c r="AA16" s="22">
        <f t="shared" si="18"/>
        <v>5000</v>
      </c>
      <c r="AB16" s="21">
        <f t="shared" si="2"/>
        <v>2100000</v>
      </c>
      <c r="AC16" s="21">
        <f t="shared" si="22"/>
        <v>3070000</v>
      </c>
      <c r="AD16" s="21">
        <f t="shared" si="19"/>
        <v>1050</v>
      </c>
    </row>
    <row r="17" spans="1:30" x14ac:dyDescent="0.35">
      <c r="A17" s="21">
        <v>16</v>
      </c>
      <c r="B17" s="21">
        <f t="shared" si="3"/>
        <v>4300000</v>
      </c>
      <c r="C17" s="21">
        <f t="shared" si="4"/>
        <v>860000</v>
      </c>
      <c r="D17" s="22">
        <f t="shared" si="20"/>
        <v>4315777.3466615807</v>
      </c>
      <c r="E17" s="22">
        <f t="shared" si="5"/>
        <v>8862600</v>
      </c>
      <c r="F17" s="23">
        <f t="shared" si="23"/>
        <v>332</v>
      </c>
      <c r="G17" s="23">
        <f t="shared" si="26"/>
        <v>846</v>
      </c>
      <c r="H17" s="23">
        <f t="shared" si="6"/>
        <v>302.14285714285717</v>
      </c>
      <c r="I17" s="23">
        <f t="shared" si="7"/>
        <v>384.5454545454545</v>
      </c>
      <c r="J17" s="21">
        <f t="shared" si="8"/>
        <v>528.75</v>
      </c>
      <c r="K17" s="21">
        <f t="shared" si="9"/>
        <v>15000</v>
      </c>
      <c r="L17" s="21">
        <f t="shared" si="10"/>
        <v>10500</v>
      </c>
      <c r="M17" s="22">
        <f t="shared" si="11"/>
        <v>11000</v>
      </c>
      <c r="N17" s="22">
        <f t="shared" si="12"/>
        <v>12000</v>
      </c>
      <c r="O17" s="22">
        <f t="shared" si="13"/>
        <v>14949.228761026558</v>
      </c>
      <c r="P17" s="24">
        <v>150</v>
      </c>
      <c r="Q17" s="21">
        <f t="shared" si="14"/>
        <v>1300000</v>
      </c>
      <c r="R17" s="21">
        <f t="shared" si="15"/>
        <v>1251969.3999487581</v>
      </c>
      <c r="S17" s="22">
        <f t="shared" si="16"/>
        <v>29.808795236875191</v>
      </c>
      <c r="T17" s="22">
        <f t="shared" si="17"/>
        <v>37.938466665113879</v>
      </c>
      <c r="U17" s="22">
        <f t="shared" si="0"/>
        <v>52.165391664531583</v>
      </c>
      <c r="V17" s="22">
        <f t="shared" si="1"/>
        <v>86.666666666666671</v>
      </c>
      <c r="W17" s="24">
        <f t="shared" si="27"/>
        <v>1.25</v>
      </c>
      <c r="X17" s="23">
        <f t="shared" si="25"/>
        <v>2.0795604395604395</v>
      </c>
      <c r="Y17" s="24">
        <v>1.1499999999999999</v>
      </c>
      <c r="Z17" s="22">
        <f t="shared" si="21"/>
        <v>2000</v>
      </c>
      <c r="AA17" s="22">
        <f t="shared" si="18"/>
        <v>5000</v>
      </c>
      <c r="AB17" s="21">
        <f t="shared" si="2"/>
        <v>4300000</v>
      </c>
      <c r="AC17" s="21">
        <f t="shared" si="22"/>
        <v>6400000</v>
      </c>
      <c r="AD17" s="21">
        <f t="shared" si="19"/>
        <v>2150</v>
      </c>
    </row>
    <row r="18" spans="1:30" x14ac:dyDescent="0.35">
      <c r="A18" s="21">
        <v>17</v>
      </c>
      <c r="B18" s="21">
        <f t="shared" si="3"/>
        <v>8000000</v>
      </c>
      <c r="C18" s="21">
        <f t="shared" si="4"/>
        <v>1600000</v>
      </c>
      <c r="D18" s="22">
        <f t="shared" si="20"/>
        <v>7952989.7008661283</v>
      </c>
      <c r="E18" s="22">
        <f t="shared" si="5"/>
        <v>16862600</v>
      </c>
      <c r="F18" s="23">
        <f t="shared" si="23"/>
        <v>532</v>
      </c>
      <c r="G18" s="23">
        <f t="shared" si="26"/>
        <v>1378</v>
      </c>
      <c r="H18" s="23">
        <f t="shared" si="6"/>
        <v>492.14285714285717</v>
      </c>
      <c r="I18" s="23">
        <f t="shared" si="7"/>
        <v>626.36363636363626</v>
      </c>
      <c r="J18" s="21">
        <f t="shared" si="8"/>
        <v>861.25</v>
      </c>
      <c r="K18" s="21">
        <f t="shared" si="9"/>
        <v>17000</v>
      </c>
      <c r="L18" s="21">
        <f t="shared" si="10"/>
        <v>11900</v>
      </c>
      <c r="M18" s="22">
        <f t="shared" si="11"/>
        <v>12466.666666666666</v>
      </c>
      <c r="N18" s="22">
        <f t="shared" si="12"/>
        <v>13600</v>
      </c>
      <c r="O18" s="22">
        <f t="shared" si="13"/>
        <v>17191.613075180539</v>
      </c>
      <c r="P18" s="24">
        <v>200</v>
      </c>
      <c r="Q18" s="21">
        <f t="shared" si="14"/>
        <v>1600000</v>
      </c>
      <c r="R18" s="21">
        <f t="shared" si="15"/>
        <v>1564961.7499359476</v>
      </c>
      <c r="S18" s="22">
        <f t="shared" si="16"/>
        <v>32.877347687729994</v>
      </c>
      <c r="T18" s="22">
        <f t="shared" si="17"/>
        <v>41.843897057110901</v>
      </c>
      <c r="U18" s="22">
        <f t="shared" si="0"/>
        <v>57.535358453527486</v>
      </c>
      <c r="V18" s="22">
        <f t="shared" si="1"/>
        <v>94.117647058823536</v>
      </c>
      <c r="W18" s="24">
        <f t="shared" si="27"/>
        <v>1.25</v>
      </c>
      <c r="X18" s="23">
        <f t="shared" si="25"/>
        <v>1.842771084337349</v>
      </c>
      <c r="Y18" s="24">
        <v>1.1499999999999999</v>
      </c>
      <c r="Z18" s="22">
        <f t="shared" si="21"/>
        <v>2000</v>
      </c>
      <c r="AA18" s="22">
        <f t="shared" si="18"/>
        <v>5000</v>
      </c>
      <c r="AB18" s="21">
        <f t="shared" si="2"/>
        <v>8000000</v>
      </c>
      <c r="AC18" s="21">
        <f t="shared" si="22"/>
        <v>12300000</v>
      </c>
      <c r="AD18" s="21">
        <f t="shared" si="19"/>
        <v>4000</v>
      </c>
    </row>
    <row r="19" spans="1:30" x14ac:dyDescent="0.35">
      <c r="A19" s="21">
        <v>18</v>
      </c>
      <c r="B19" s="21">
        <f t="shared" si="3"/>
        <v>13000000</v>
      </c>
      <c r="C19" s="21">
        <f t="shared" si="4"/>
        <v>2600000</v>
      </c>
      <c r="D19" s="22">
        <f t="shared" si="20"/>
        <v>13443841.424791181</v>
      </c>
      <c r="E19" s="22">
        <f t="shared" si="5"/>
        <v>29862600</v>
      </c>
      <c r="F19" s="23">
        <f t="shared" si="23"/>
        <v>782</v>
      </c>
      <c r="G19" s="23">
        <f t="shared" si="26"/>
        <v>2160</v>
      </c>
      <c r="H19" s="23">
        <f t="shared" si="6"/>
        <v>771.42857142857144</v>
      </c>
      <c r="I19" s="23">
        <f t="shared" si="7"/>
        <v>981.81818181818176</v>
      </c>
      <c r="J19" s="21">
        <f t="shared" si="8"/>
        <v>1350</v>
      </c>
      <c r="K19" s="21">
        <f t="shared" si="9"/>
        <v>19000</v>
      </c>
      <c r="L19" s="21">
        <f t="shared" si="10"/>
        <v>13300</v>
      </c>
      <c r="M19" s="22">
        <f t="shared" si="11"/>
        <v>13933.333333333334</v>
      </c>
      <c r="N19" s="22">
        <f t="shared" si="12"/>
        <v>15200</v>
      </c>
      <c r="O19" s="22">
        <f t="shared" si="13"/>
        <v>18910.774382698593</v>
      </c>
      <c r="P19" s="24">
        <v>250</v>
      </c>
      <c r="Q19" s="21">
        <f t="shared" si="14"/>
        <v>1900000</v>
      </c>
      <c r="R19" s="21">
        <f t="shared" si="15"/>
        <v>1877954.0999231373</v>
      </c>
      <c r="S19" s="22">
        <f t="shared" si="16"/>
        <v>35.299889096299573</v>
      </c>
      <c r="T19" s="22">
        <f t="shared" si="17"/>
        <v>44.927131577108547</v>
      </c>
      <c r="U19" s="22">
        <f t="shared" si="0"/>
        <v>61.774805918524258</v>
      </c>
      <c r="V19" s="22">
        <f t="shared" si="1"/>
        <v>100</v>
      </c>
      <c r="W19" s="24">
        <f t="shared" si="27"/>
        <v>1.2000000000000002</v>
      </c>
      <c r="X19" s="23">
        <f t="shared" si="25"/>
        <v>1.6904135338345863</v>
      </c>
      <c r="Y19" s="24">
        <v>1.1000000000000001</v>
      </c>
      <c r="Z19" s="22">
        <f t="shared" si="21"/>
        <v>2000</v>
      </c>
      <c r="AA19" s="22">
        <f t="shared" si="18"/>
        <v>5000</v>
      </c>
      <c r="AB19" s="21">
        <f t="shared" si="2"/>
        <v>13000000</v>
      </c>
      <c r="AC19" s="21">
        <f t="shared" si="22"/>
        <v>21000000</v>
      </c>
      <c r="AD19" s="21">
        <f t="shared" si="19"/>
        <v>6500</v>
      </c>
    </row>
    <row r="20" spans="1:30" s="34" customFormat="1" x14ac:dyDescent="0.35">
      <c r="A20" s="34">
        <v>19</v>
      </c>
      <c r="B20" s="34">
        <f t="shared" si="3"/>
        <v>20000000</v>
      </c>
      <c r="C20" s="34">
        <f t="shared" si="4"/>
        <v>4000000</v>
      </c>
      <c r="D20" s="35">
        <f t="shared" si="20"/>
        <v>20461457.882079877</v>
      </c>
      <c r="E20" s="35">
        <f t="shared" si="5"/>
        <v>49862600</v>
      </c>
      <c r="F20" s="36">
        <f t="shared" si="23"/>
        <v>1082</v>
      </c>
      <c r="G20" s="36">
        <f t="shared" si="26"/>
        <v>3242</v>
      </c>
      <c r="H20" s="36">
        <f t="shared" si="6"/>
        <v>1157.8571428571429</v>
      </c>
      <c r="I20" s="36">
        <f t="shared" si="7"/>
        <v>1473.6363636363635</v>
      </c>
      <c r="J20" s="36">
        <f t="shared" si="8"/>
        <v>2026.25</v>
      </c>
      <c r="K20" s="34">
        <f t="shared" si="9"/>
        <v>23000</v>
      </c>
      <c r="L20" s="34">
        <f t="shared" si="10"/>
        <v>16099.999999999998</v>
      </c>
      <c r="M20" s="35">
        <f t="shared" si="11"/>
        <v>16866.666666666668</v>
      </c>
      <c r="N20" s="35">
        <f t="shared" si="12"/>
        <v>18400</v>
      </c>
      <c r="O20" s="35">
        <f t="shared" si="13"/>
        <v>22692.92925923831</v>
      </c>
      <c r="P20" s="34">
        <v>300</v>
      </c>
      <c r="Q20" s="34">
        <f t="shared" si="14"/>
        <v>2400000</v>
      </c>
      <c r="R20" s="34">
        <f t="shared" si="15"/>
        <v>2441340.3299000785</v>
      </c>
      <c r="S20" s="35">
        <f t="shared" si="16"/>
        <v>37.909011333852156</v>
      </c>
      <c r="T20" s="35">
        <f t="shared" si="17"/>
        <v>48.24783260672092</v>
      </c>
      <c r="U20" s="35">
        <f t="shared" si="0"/>
        <v>66.340769834241257</v>
      </c>
      <c r="V20" s="35">
        <f t="shared" si="1"/>
        <v>104.34782608695652</v>
      </c>
      <c r="W20" s="34">
        <f t="shared" si="27"/>
        <v>1.3</v>
      </c>
      <c r="X20" s="36">
        <f t="shared" si="25"/>
        <v>1.5219948849104858</v>
      </c>
      <c r="Y20" s="34">
        <v>1.2</v>
      </c>
      <c r="Z20" s="35">
        <f t="shared" si="21"/>
        <v>4000</v>
      </c>
      <c r="AA20" s="35">
        <f t="shared" si="18"/>
        <v>10000</v>
      </c>
      <c r="AB20" s="34">
        <f t="shared" si="2"/>
        <v>20000000</v>
      </c>
      <c r="AC20" s="34">
        <f t="shared" si="22"/>
        <v>33000000</v>
      </c>
      <c r="AD20" s="34">
        <f t="shared" si="19"/>
        <v>5000</v>
      </c>
    </row>
    <row r="21" spans="1:30" x14ac:dyDescent="0.35">
      <c r="A21" s="21">
        <v>20</v>
      </c>
      <c r="B21" s="21">
        <f t="shared" si="3"/>
        <v>32000000</v>
      </c>
      <c r="C21" s="21">
        <f t="shared" si="4"/>
        <v>6400000</v>
      </c>
      <c r="D21" s="22">
        <f t="shared" si="20"/>
        <v>32496274.699229259</v>
      </c>
      <c r="E21" s="22">
        <f t="shared" si="5"/>
        <v>81862600</v>
      </c>
      <c r="F21" s="23">
        <f t="shared" si="23"/>
        <v>1432</v>
      </c>
      <c r="G21" s="23">
        <f t="shared" si="26"/>
        <v>4674</v>
      </c>
      <c r="H21" s="23">
        <f t="shared" si="6"/>
        <v>1669.2857142857144</v>
      </c>
      <c r="I21" s="23">
        <f t="shared" si="7"/>
        <v>2124.5454545454545</v>
      </c>
      <c r="J21" s="21">
        <f t="shared" si="8"/>
        <v>2921.25</v>
      </c>
      <c r="K21" s="21">
        <f t="shared" si="9"/>
        <v>26000</v>
      </c>
      <c r="L21" s="21">
        <f t="shared" si="10"/>
        <v>18200</v>
      </c>
      <c r="M21" s="22">
        <f t="shared" si="11"/>
        <v>19066.666666666668</v>
      </c>
      <c r="N21" s="22">
        <f t="shared" si="12"/>
        <v>20800</v>
      </c>
      <c r="O21" s="22">
        <f t="shared" si="13"/>
        <v>26096.868648124055</v>
      </c>
      <c r="P21" s="24">
        <v>350</v>
      </c>
      <c r="Q21" s="21">
        <f t="shared" si="14"/>
        <v>3100000</v>
      </c>
      <c r="R21" s="21">
        <f t="shared" si="15"/>
        <v>3051675.4123750981</v>
      </c>
      <c r="S21" s="22">
        <f t="shared" si="16"/>
        <v>41.918618301855744</v>
      </c>
      <c r="T21" s="22">
        <f t="shared" si="17"/>
        <v>53.350968747816395</v>
      </c>
      <c r="U21" s="22">
        <f t="shared" si="0"/>
        <v>73.357582028247549</v>
      </c>
      <c r="V21" s="22">
        <f t="shared" si="1"/>
        <v>119.23076923076923</v>
      </c>
      <c r="W21" s="24">
        <f t="shared" si="27"/>
        <v>1.25</v>
      </c>
      <c r="X21" s="23">
        <f t="shared" si="25"/>
        <v>1.588170055452865</v>
      </c>
      <c r="Y21" s="24">
        <v>1.1499999999999999</v>
      </c>
      <c r="Z21" s="22">
        <f t="shared" si="21"/>
        <v>3000</v>
      </c>
      <c r="AA21" s="22">
        <f t="shared" si="18"/>
        <v>7500</v>
      </c>
      <c r="AB21" s="21">
        <f t="shared" si="2"/>
        <v>32000000</v>
      </c>
      <c r="AC21" s="21">
        <f t="shared" si="22"/>
        <v>52000000</v>
      </c>
      <c r="AD21" s="21">
        <f t="shared" si="19"/>
        <v>10666.666666666666</v>
      </c>
    </row>
    <row r="22" spans="1:30" x14ac:dyDescent="0.35">
      <c r="I22" s="23"/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B21" sqref="B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150</v>
      </c>
      <c r="C6" s="10">
        <v>900</v>
      </c>
    </row>
    <row r="7" spans="1:3" s="5" customFormat="1" x14ac:dyDescent="0.15">
      <c r="A7" s="2">
        <v>3</v>
      </c>
      <c r="B7" s="2">
        <v>300</v>
      </c>
      <c r="C7" s="10">
        <v>2500</v>
      </c>
    </row>
    <row r="8" spans="1:3" s="5" customFormat="1" x14ac:dyDescent="0.15">
      <c r="A8" s="2">
        <v>4</v>
      </c>
      <c r="B8" s="2">
        <v>900</v>
      </c>
      <c r="C8" s="10">
        <v>8600</v>
      </c>
    </row>
    <row r="9" spans="1:3" s="5" customFormat="1" x14ac:dyDescent="0.15">
      <c r="A9" s="2">
        <v>5</v>
      </c>
      <c r="B9" s="2">
        <v>1800</v>
      </c>
      <c r="C9" s="10">
        <v>21000</v>
      </c>
    </row>
    <row r="10" spans="1:3" s="5" customFormat="1" x14ac:dyDescent="0.15">
      <c r="A10" s="2">
        <v>6</v>
      </c>
      <c r="B10" s="2">
        <v>2500</v>
      </c>
      <c r="C10" s="10">
        <v>37000</v>
      </c>
    </row>
    <row r="11" spans="1:3" s="5" customFormat="1" x14ac:dyDescent="0.15">
      <c r="A11" s="2">
        <v>7</v>
      </c>
      <c r="B11" s="2">
        <v>3500</v>
      </c>
      <c r="C11" s="10">
        <v>67000</v>
      </c>
    </row>
    <row r="12" spans="1:3" s="5" customFormat="1" x14ac:dyDescent="0.15">
      <c r="A12" s="2">
        <v>8</v>
      </c>
      <c r="B12" s="2">
        <v>4600</v>
      </c>
      <c r="C12" s="10">
        <v>110000</v>
      </c>
    </row>
    <row r="13" spans="1:3" s="5" customFormat="1" x14ac:dyDescent="0.15">
      <c r="A13" s="2">
        <v>9</v>
      </c>
      <c r="B13" s="2">
        <v>5500</v>
      </c>
      <c r="C13" s="10">
        <v>170000</v>
      </c>
    </row>
    <row r="14" spans="1:3" s="5" customFormat="1" x14ac:dyDescent="0.15">
      <c r="A14" s="2">
        <v>10</v>
      </c>
      <c r="B14" s="2">
        <v>6600</v>
      </c>
      <c r="C14" s="10">
        <v>250000</v>
      </c>
    </row>
    <row r="15" spans="1:3" s="5" customFormat="1" x14ac:dyDescent="0.15">
      <c r="A15" s="2">
        <v>11</v>
      </c>
      <c r="B15" s="2">
        <v>7200</v>
      </c>
      <c r="C15" s="10">
        <v>330000</v>
      </c>
    </row>
    <row r="16" spans="1:3" s="5" customFormat="1" x14ac:dyDescent="0.15">
      <c r="A16" s="2">
        <v>12</v>
      </c>
      <c r="B16" s="2">
        <v>8600</v>
      </c>
      <c r="C16" s="10">
        <v>460000</v>
      </c>
    </row>
    <row r="17" spans="1:3" s="5" customFormat="1" x14ac:dyDescent="0.15">
      <c r="A17" s="2">
        <v>13</v>
      </c>
      <c r="B17" s="2">
        <v>9500</v>
      </c>
      <c r="C17" s="10">
        <v>600000</v>
      </c>
    </row>
    <row r="18" spans="1:3" s="5" customFormat="1" x14ac:dyDescent="0.15">
      <c r="A18" s="2">
        <v>14</v>
      </c>
      <c r="B18" s="2">
        <v>11000</v>
      </c>
      <c r="C18" s="10">
        <v>810000</v>
      </c>
    </row>
    <row r="19" spans="1:3" s="5" customFormat="1" x14ac:dyDescent="0.15">
      <c r="A19" s="2">
        <v>15</v>
      </c>
      <c r="B19" s="2">
        <v>13000</v>
      </c>
      <c r="C19" s="10">
        <v>1000000</v>
      </c>
    </row>
    <row r="20" spans="1:3" s="5" customFormat="1" x14ac:dyDescent="0.15">
      <c r="A20" s="2">
        <v>16</v>
      </c>
      <c r="B20" s="2">
        <v>15000</v>
      </c>
      <c r="C20" s="10">
        <v>1300000</v>
      </c>
    </row>
    <row r="21" spans="1:3" s="5" customFormat="1" x14ac:dyDescent="0.15">
      <c r="A21" s="2">
        <v>17</v>
      </c>
      <c r="B21" s="2">
        <v>17000</v>
      </c>
      <c r="C21" s="10">
        <v>1600000</v>
      </c>
    </row>
    <row r="22" spans="1:3" s="5" customFormat="1" x14ac:dyDescent="0.15">
      <c r="A22" s="2">
        <v>18</v>
      </c>
      <c r="B22" s="2">
        <v>19000</v>
      </c>
      <c r="C22" s="10">
        <v>1900000</v>
      </c>
    </row>
    <row r="23" spans="1:3" s="5" customFormat="1" x14ac:dyDescent="0.15">
      <c r="A23" s="2">
        <v>19</v>
      </c>
      <c r="B23" s="2">
        <v>23000</v>
      </c>
      <c r="C23" s="10">
        <v>2400000</v>
      </c>
    </row>
    <row r="24" spans="1:3" s="5" customFormat="1" x14ac:dyDescent="0.15">
      <c r="A24" s="2">
        <v>20</v>
      </c>
      <c r="B24" s="2">
        <v>26000</v>
      </c>
      <c r="C24" s="10">
        <v>3100000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L12" sqref="L12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1" customWidth="1"/>
    <col min="4" max="4" width="18" style="41" customWidth="1"/>
    <col min="5" max="5" width="22.75" style="41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123</v>
      </c>
    </row>
    <row r="4" spans="1:7" s="3" customFormat="1" ht="17.25" thickBot="1" x14ac:dyDescent="0.2">
      <c r="A4" s="6" t="s">
        <v>0</v>
      </c>
      <c r="B4" s="3" t="s">
        <v>23</v>
      </c>
      <c r="C4" s="42" t="s">
        <v>23</v>
      </c>
      <c r="D4" s="42" t="s">
        <v>261</v>
      </c>
      <c r="E4" s="42" t="s">
        <v>264</v>
      </c>
      <c r="F4" s="3" t="s">
        <v>262</v>
      </c>
      <c r="G4" s="3" t="s">
        <v>263</v>
      </c>
    </row>
    <row r="5" spans="1:7" s="5" customFormat="1" x14ac:dyDescent="0.15">
      <c r="A5" s="2">
        <v>1</v>
      </c>
      <c r="B5" s="5">
        <f>ROUND(C5,2-LEN(ROUND(C5,0)))</f>
        <v>14000</v>
      </c>
      <c r="C5" s="43">
        <f>D5*E5</f>
        <v>14400</v>
      </c>
      <c r="D5" s="43">
        <f>F5*24</f>
        <v>2400</v>
      </c>
      <c r="E5" s="43">
        <v>6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25000</v>
      </c>
      <c r="C6" s="43">
        <f t="shared" ref="C6:C24" si="1">D6*E6</f>
        <v>25200</v>
      </c>
      <c r="D6" s="43">
        <f t="shared" ref="D6:D24" si="2">F6*24</f>
        <v>3600</v>
      </c>
      <c r="E6" s="43">
        <v>7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50000</v>
      </c>
      <c r="C7" s="43">
        <f t="shared" si="1"/>
        <v>50400</v>
      </c>
      <c r="D7" s="43">
        <f t="shared" si="2"/>
        <v>7200</v>
      </c>
      <c r="E7" s="43">
        <v>7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150000</v>
      </c>
      <c r="C8" s="43">
        <f t="shared" si="1"/>
        <v>151200</v>
      </c>
      <c r="D8" s="43">
        <f t="shared" si="2"/>
        <v>21600</v>
      </c>
      <c r="E8" s="43">
        <v>7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300000</v>
      </c>
      <c r="C9" s="43">
        <f t="shared" si="1"/>
        <v>302400</v>
      </c>
      <c r="D9" s="43">
        <f t="shared" si="2"/>
        <v>43200</v>
      </c>
      <c r="E9" s="43">
        <v>7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420000</v>
      </c>
      <c r="C10" s="43">
        <f t="shared" si="1"/>
        <v>420000</v>
      </c>
      <c r="D10" s="43">
        <f t="shared" si="2"/>
        <v>60000</v>
      </c>
      <c r="E10" s="41">
        <v>7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590000</v>
      </c>
      <c r="C11" s="43">
        <f t="shared" si="1"/>
        <v>588000</v>
      </c>
      <c r="D11" s="43">
        <f t="shared" si="2"/>
        <v>84000</v>
      </c>
      <c r="E11" s="41">
        <v>7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880000</v>
      </c>
      <c r="C12" s="43">
        <f t="shared" si="1"/>
        <v>883200</v>
      </c>
      <c r="D12" s="43">
        <f t="shared" si="2"/>
        <v>110400</v>
      </c>
      <c r="E12" s="41">
        <v>8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1100000</v>
      </c>
      <c r="C13" s="43">
        <f t="shared" si="1"/>
        <v>1056000</v>
      </c>
      <c r="D13" s="43">
        <f t="shared" si="2"/>
        <v>132000</v>
      </c>
      <c r="E13" s="41">
        <v>8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3">
        <f t="shared" si="1"/>
        <v>1267200</v>
      </c>
      <c r="D14" s="43">
        <f t="shared" si="2"/>
        <v>158400</v>
      </c>
      <c r="E14" s="41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3">
        <f t="shared" si="1"/>
        <v>1382400</v>
      </c>
      <c r="D15" s="43">
        <f t="shared" si="2"/>
        <v>172800</v>
      </c>
      <c r="E15" s="41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3">
        <f t="shared" si="1"/>
        <v>1857600</v>
      </c>
      <c r="D16" s="43">
        <f t="shared" si="2"/>
        <v>206400</v>
      </c>
      <c r="E16" s="41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3">
        <f t="shared" si="1"/>
        <v>2280000</v>
      </c>
      <c r="D17" s="43">
        <f t="shared" si="2"/>
        <v>228000</v>
      </c>
      <c r="E17" s="41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3">
        <f t="shared" si="1"/>
        <v>3168000</v>
      </c>
      <c r="D18" s="43">
        <f t="shared" si="2"/>
        <v>264000</v>
      </c>
      <c r="E18" s="41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3">
        <f t="shared" si="1"/>
        <v>4368000</v>
      </c>
      <c r="D19" s="43">
        <f t="shared" si="2"/>
        <v>312000</v>
      </c>
      <c r="E19" s="41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3">
        <f t="shared" si="1"/>
        <v>5760000</v>
      </c>
      <c r="D20" s="43">
        <f t="shared" si="2"/>
        <v>360000</v>
      </c>
      <c r="E20" s="41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3">
        <f t="shared" si="1"/>
        <v>7344000</v>
      </c>
      <c r="D21" s="43">
        <f t="shared" si="2"/>
        <v>408000</v>
      </c>
      <c r="E21" s="41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3">
        <f t="shared" si="1"/>
        <v>9120000</v>
      </c>
      <c r="D22" s="43">
        <f t="shared" si="2"/>
        <v>456000</v>
      </c>
      <c r="E22" s="41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3">
        <f t="shared" si="1"/>
        <v>11592000</v>
      </c>
      <c r="D23" s="43">
        <f t="shared" si="2"/>
        <v>552000</v>
      </c>
      <c r="E23" s="41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3">
        <f t="shared" si="1"/>
        <v>13728000</v>
      </c>
      <c r="D24" s="43">
        <f t="shared" si="2"/>
        <v>624000</v>
      </c>
      <c r="E24" s="41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8" sqref="G1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7200</v>
      </c>
    </row>
    <row r="6" spans="1:8" s="5" customFormat="1" x14ac:dyDescent="0.15">
      <c r="A6" s="2">
        <v>2</v>
      </c>
      <c r="B6" s="10">
        <v>11000</v>
      </c>
    </row>
    <row r="7" spans="1:8" s="5" customFormat="1" x14ac:dyDescent="0.15">
      <c r="A7" s="2">
        <v>3</v>
      </c>
      <c r="B7" s="10">
        <v>29000</v>
      </c>
    </row>
    <row r="8" spans="1:8" s="5" customFormat="1" x14ac:dyDescent="0.15">
      <c r="A8" s="2">
        <v>4</v>
      </c>
      <c r="B8" s="10">
        <v>86000</v>
      </c>
    </row>
    <row r="9" spans="1:8" s="5" customFormat="1" x14ac:dyDescent="0.15">
      <c r="A9" s="2">
        <v>5</v>
      </c>
      <c r="B9" s="10">
        <v>220000</v>
      </c>
    </row>
    <row r="10" spans="1:8" x14ac:dyDescent="0.15">
      <c r="A10" s="2">
        <v>6</v>
      </c>
      <c r="B10" s="10">
        <v>360000</v>
      </c>
      <c r="G10" s="5"/>
      <c r="H10" s="5"/>
    </row>
    <row r="11" spans="1:8" x14ac:dyDescent="0.15">
      <c r="A11" s="2">
        <v>7</v>
      </c>
      <c r="B11" s="10">
        <v>500000</v>
      </c>
      <c r="G11" s="5"/>
      <c r="H11" s="5"/>
    </row>
    <row r="12" spans="1:8" x14ac:dyDescent="0.15">
      <c r="A12" s="2">
        <v>8</v>
      </c>
      <c r="B12" s="10">
        <v>770000</v>
      </c>
      <c r="G12" s="5"/>
      <c r="H12" s="5"/>
    </row>
    <row r="13" spans="1:8" x14ac:dyDescent="0.15">
      <c r="A13" s="2">
        <v>9</v>
      </c>
      <c r="B13" s="10">
        <v>920000</v>
      </c>
      <c r="G13" s="5"/>
      <c r="H13" s="5"/>
    </row>
    <row r="14" spans="1:8" x14ac:dyDescent="0.15">
      <c r="A14" s="2">
        <v>10</v>
      </c>
      <c r="B14" s="10">
        <v>1300000</v>
      </c>
      <c r="G14" s="5"/>
      <c r="H14" s="5"/>
    </row>
    <row r="15" spans="1:8" x14ac:dyDescent="0.15">
      <c r="A15" s="2">
        <v>11</v>
      </c>
      <c r="B15" s="10">
        <v>1400000</v>
      </c>
      <c r="G15" s="5"/>
      <c r="H15" s="5"/>
    </row>
    <row r="16" spans="1:8" x14ac:dyDescent="0.15">
      <c r="A16" s="2">
        <v>12</v>
      </c>
      <c r="B16" s="10">
        <v>1900000</v>
      </c>
      <c r="G16" s="5"/>
      <c r="H16" s="5"/>
    </row>
    <row r="17" spans="1:8" x14ac:dyDescent="0.15">
      <c r="A17" s="2">
        <v>13</v>
      </c>
      <c r="B17" s="10">
        <v>2300000</v>
      </c>
      <c r="G17" s="5"/>
      <c r="H17" s="5"/>
    </row>
    <row r="18" spans="1:8" x14ac:dyDescent="0.15">
      <c r="A18" s="2">
        <v>14</v>
      </c>
      <c r="B18" s="10">
        <v>3200000</v>
      </c>
      <c r="G18" s="5"/>
      <c r="H18" s="5"/>
    </row>
    <row r="19" spans="1:8" x14ac:dyDescent="0.15">
      <c r="A19" s="2">
        <v>15</v>
      </c>
      <c r="B19" s="10">
        <v>4400000</v>
      </c>
      <c r="G19" s="5"/>
      <c r="H19" s="5"/>
    </row>
    <row r="20" spans="1:8" x14ac:dyDescent="0.15">
      <c r="A20" s="2">
        <v>16</v>
      </c>
      <c r="B20" s="10">
        <v>5800000</v>
      </c>
      <c r="G20" s="5"/>
      <c r="H20" s="5"/>
    </row>
    <row r="21" spans="1:8" x14ac:dyDescent="0.15">
      <c r="A21" s="2">
        <v>17</v>
      </c>
      <c r="B21" s="10">
        <v>7300000</v>
      </c>
      <c r="G21" s="5"/>
      <c r="H21" s="5"/>
    </row>
    <row r="22" spans="1:8" x14ac:dyDescent="0.15">
      <c r="A22" s="2">
        <v>18</v>
      </c>
      <c r="B22" s="10">
        <v>9100000</v>
      </c>
      <c r="G22" s="5"/>
      <c r="H22" s="5"/>
    </row>
    <row r="23" spans="1:8" x14ac:dyDescent="0.15">
      <c r="A23" s="2">
        <v>19</v>
      </c>
      <c r="B23" s="10">
        <v>12000000</v>
      </c>
      <c r="G23" s="5"/>
      <c r="H23" s="5"/>
    </row>
    <row r="24" spans="1:8" x14ac:dyDescent="0.15">
      <c r="A24" s="2">
        <v>20</v>
      </c>
      <c r="B24" s="10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100</v>
      </c>
      <c r="C5" s="10">
        <v>500</v>
      </c>
    </row>
    <row r="6" spans="1:10" s="5" customFormat="1" x14ac:dyDescent="0.15">
      <c r="A6" s="2">
        <v>2</v>
      </c>
      <c r="B6" s="10">
        <v>150</v>
      </c>
      <c r="C6" s="10">
        <v>900</v>
      </c>
    </row>
    <row r="7" spans="1:10" s="5" customFormat="1" x14ac:dyDescent="0.15">
      <c r="A7" s="2">
        <v>3</v>
      </c>
      <c r="B7" s="10">
        <v>300</v>
      </c>
      <c r="C7" s="10">
        <v>2500</v>
      </c>
    </row>
    <row r="8" spans="1:10" s="5" customFormat="1" x14ac:dyDescent="0.15">
      <c r="A8" s="2">
        <v>4</v>
      </c>
      <c r="B8" s="10">
        <v>900</v>
      </c>
      <c r="C8" s="10">
        <v>8600</v>
      </c>
    </row>
    <row r="9" spans="1:10" s="5" customFormat="1" x14ac:dyDescent="0.15">
      <c r="A9" s="2">
        <v>5</v>
      </c>
      <c r="B9" s="10">
        <v>1800</v>
      </c>
      <c r="C9" s="10">
        <v>21000</v>
      </c>
    </row>
    <row r="10" spans="1:10" x14ac:dyDescent="0.15">
      <c r="A10" s="2">
        <v>6</v>
      </c>
      <c r="B10" s="10">
        <v>2500</v>
      </c>
      <c r="C10" s="8">
        <v>37000</v>
      </c>
      <c r="J10" s="5"/>
    </row>
    <row r="11" spans="1:10" x14ac:dyDescent="0.15">
      <c r="A11" s="2">
        <v>7</v>
      </c>
      <c r="B11" s="10">
        <v>3500</v>
      </c>
      <c r="C11" s="8">
        <v>67000</v>
      </c>
      <c r="J11" s="5"/>
    </row>
    <row r="12" spans="1:10" x14ac:dyDescent="0.15">
      <c r="A12" s="2">
        <v>8</v>
      </c>
      <c r="B12" s="10">
        <v>4600</v>
      </c>
      <c r="C12" s="8">
        <v>110000</v>
      </c>
      <c r="J12" s="5"/>
    </row>
    <row r="13" spans="1:10" x14ac:dyDescent="0.15">
      <c r="A13" s="2">
        <v>9</v>
      </c>
      <c r="B13" s="10">
        <v>5500</v>
      </c>
      <c r="C13" s="8">
        <v>170000</v>
      </c>
      <c r="J13" s="5"/>
    </row>
    <row r="14" spans="1:10" x14ac:dyDescent="0.15">
      <c r="A14" s="2">
        <v>10</v>
      </c>
      <c r="B14" s="10">
        <v>6600</v>
      </c>
      <c r="C14" s="8">
        <v>250000</v>
      </c>
      <c r="J14" s="5"/>
    </row>
    <row r="15" spans="1:10" x14ac:dyDescent="0.15">
      <c r="A15" s="2">
        <v>11</v>
      </c>
      <c r="B15" s="10">
        <v>7200</v>
      </c>
      <c r="C15" s="8">
        <v>330000</v>
      </c>
      <c r="J15" s="5"/>
    </row>
    <row r="16" spans="1:10" x14ac:dyDescent="0.15">
      <c r="A16" s="2">
        <v>12</v>
      </c>
      <c r="B16" s="10">
        <v>8600</v>
      </c>
      <c r="C16" s="8">
        <v>460000</v>
      </c>
      <c r="J16" s="5"/>
    </row>
    <row r="17" spans="1:10" x14ac:dyDescent="0.15">
      <c r="A17" s="2">
        <v>13</v>
      </c>
      <c r="B17" s="10">
        <v>9500</v>
      </c>
      <c r="C17" s="8">
        <v>600000</v>
      </c>
      <c r="J17" s="5"/>
    </row>
    <row r="18" spans="1:10" x14ac:dyDescent="0.15">
      <c r="A18" s="2">
        <v>14</v>
      </c>
      <c r="B18" s="10">
        <v>11000</v>
      </c>
      <c r="C18" s="8">
        <v>810000</v>
      </c>
      <c r="J18" s="5"/>
    </row>
    <row r="19" spans="1:10" x14ac:dyDescent="0.15">
      <c r="A19" s="2">
        <v>15</v>
      </c>
      <c r="B19" s="10">
        <v>13000</v>
      </c>
      <c r="C19" s="8">
        <v>1000000</v>
      </c>
      <c r="J19" s="5"/>
    </row>
    <row r="20" spans="1:10" x14ac:dyDescent="0.15">
      <c r="A20" s="2">
        <v>16</v>
      </c>
      <c r="B20" s="10">
        <v>15000</v>
      </c>
      <c r="C20" s="8">
        <v>1300000</v>
      </c>
      <c r="J20" s="5"/>
    </row>
    <row r="21" spans="1:10" x14ac:dyDescent="0.15">
      <c r="A21" s="2">
        <v>17</v>
      </c>
      <c r="B21" s="10">
        <v>17000</v>
      </c>
      <c r="C21" s="8">
        <v>1600000</v>
      </c>
      <c r="J21" s="5"/>
    </row>
    <row r="22" spans="1:10" x14ac:dyDescent="0.15">
      <c r="A22" s="2">
        <v>18</v>
      </c>
      <c r="B22" s="10">
        <v>19000</v>
      </c>
      <c r="C22" s="8">
        <v>1900000</v>
      </c>
      <c r="J22" s="5"/>
    </row>
    <row r="23" spans="1:10" x14ac:dyDescent="0.15">
      <c r="A23" s="2">
        <v>19</v>
      </c>
      <c r="B23" s="10">
        <v>23000</v>
      </c>
      <c r="C23" s="8">
        <v>2400000</v>
      </c>
      <c r="J23" s="5"/>
    </row>
    <row r="24" spans="1:10" x14ac:dyDescent="0.15">
      <c r="A24" s="2">
        <v>20</v>
      </c>
      <c r="B24" s="10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tabSelected="1" workbookViewId="0">
      <selection activeCell="M10" sqref="M10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265</v>
      </c>
      <c r="C3" s="8" t="s">
        <v>266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200</v>
      </c>
    </row>
    <row r="6" spans="1:2" s="5" customFormat="1" x14ac:dyDescent="0.15">
      <c r="A6" s="2">
        <v>2</v>
      </c>
      <c r="B6" s="10">
        <v>400</v>
      </c>
    </row>
    <row r="7" spans="1:2" s="5" customFormat="1" x14ac:dyDescent="0.15">
      <c r="A7" s="2">
        <v>3</v>
      </c>
      <c r="B7" s="10">
        <v>600</v>
      </c>
    </row>
    <row r="8" spans="1:2" s="5" customFormat="1" x14ac:dyDescent="0.15">
      <c r="A8" s="2">
        <v>4</v>
      </c>
      <c r="B8" s="10">
        <v>800</v>
      </c>
    </row>
    <row r="9" spans="1:2" s="5" customFormat="1" x14ac:dyDescent="0.15">
      <c r="A9" s="2">
        <v>5</v>
      </c>
      <c r="B9" s="10">
        <v>1000</v>
      </c>
    </row>
    <row r="10" spans="1:2" x14ac:dyDescent="0.15">
      <c r="A10" s="2">
        <v>6</v>
      </c>
      <c r="B10" s="10">
        <v>1200</v>
      </c>
    </row>
    <row r="11" spans="1:2" x14ac:dyDescent="0.15">
      <c r="A11" s="2">
        <v>7</v>
      </c>
      <c r="B11" s="10">
        <v>1400</v>
      </c>
    </row>
    <row r="12" spans="1:2" x14ac:dyDescent="0.15">
      <c r="A12" s="2">
        <v>8</v>
      </c>
      <c r="B12" s="10">
        <v>1600</v>
      </c>
    </row>
    <row r="13" spans="1:2" x14ac:dyDescent="0.15">
      <c r="A13" s="2">
        <v>9</v>
      </c>
      <c r="B13" s="10">
        <v>1800</v>
      </c>
    </row>
    <row r="14" spans="1:2" x14ac:dyDescent="0.15">
      <c r="A14" s="2">
        <v>10</v>
      </c>
      <c r="B14" s="10">
        <v>2000</v>
      </c>
    </row>
    <row r="15" spans="1:2" x14ac:dyDescent="0.15">
      <c r="A15" s="2">
        <v>11</v>
      </c>
      <c r="B15" s="10">
        <v>2200</v>
      </c>
    </row>
    <row r="16" spans="1:2" x14ac:dyDescent="0.15">
      <c r="A16" s="2">
        <v>12</v>
      </c>
      <c r="B16" s="10">
        <v>2400</v>
      </c>
    </row>
    <row r="17" spans="1:2" x14ac:dyDescent="0.15">
      <c r="A17" s="2">
        <v>13</v>
      </c>
      <c r="B17" s="10">
        <v>2600</v>
      </c>
    </row>
    <row r="18" spans="1:2" x14ac:dyDescent="0.15">
      <c r="A18" s="2">
        <v>14</v>
      </c>
      <c r="B18" s="10">
        <v>2800</v>
      </c>
    </row>
    <row r="19" spans="1:2" x14ac:dyDescent="0.15">
      <c r="A19" s="2">
        <v>15</v>
      </c>
      <c r="B19" s="10">
        <v>3000</v>
      </c>
    </row>
    <row r="20" spans="1:2" x14ac:dyDescent="0.15">
      <c r="A20" s="2">
        <v>16</v>
      </c>
      <c r="B20" s="10">
        <v>3200</v>
      </c>
    </row>
    <row r="21" spans="1:2" x14ac:dyDescent="0.15">
      <c r="A21" s="2">
        <v>17</v>
      </c>
      <c r="B21" s="10">
        <v>3400</v>
      </c>
    </row>
    <row r="22" spans="1:2" x14ac:dyDescent="0.15">
      <c r="A22" s="2">
        <v>18</v>
      </c>
      <c r="B22" s="10">
        <v>3600</v>
      </c>
    </row>
    <row r="23" spans="1:2" x14ac:dyDescent="0.15">
      <c r="A23" s="2">
        <v>19</v>
      </c>
      <c r="B23" s="10">
        <v>3800</v>
      </c>
    </row>
    <row r="24" spans="1:2" x14ac:dyDescent="0.15">
      <c r="A24" s="2">
        <v>20</v>
      </c>
      <c r="B24" s="10">
        <v>4000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300</v>
      </c>
    </row>
    <row r="6" spans="1:2" s="5" customFormat="1" x14ac:dyDescent="0.15">
      <c r="A6" s="2">
        <v>2</v>
      </c>
      <c r="B6" s="10">
        <v>600</v>
      </c>
    </row>
    <row r="7" spans="1:2" s="5" customFormat="1" x14ac:dyDescent="0.15">
      <c r="A7" s="2">
        <v>3</v>
      </c>
      <c r="B7" s="10">
        <v>900</v>
      </c>
    </row>
    <row r="8" spans="1:2" s="5" customFormat="1" x14ac:dyDescent="0.15">
      <c r="A8" s="2">
        <v>4</v>
      </c>
      <c r="B8" s="10">
        <v>1200</v>
      </c>
    </row>
    <row r="9" spans="1:2" s="5" customFormat="1" x14ac:dyDescent="0.15">
      <c r="A9" s="2">
        <v>5</v>
      </c>
      <c r="B9" s="10">
        <v>1500</v>
      </c>
    </row>
    <row r="10" spans="1:2" x14ac:dyDescent="0.15">
      <c r="A10" s="2">
        <v>6</v>
      </c>
      <c r="B10" s="10">
        <v>1800</v>
      </c>
    </row>
    <row r="11" spans="1:2" x14ac:dyDescent="0.15">
      <c r="A11" s="2">
        <v>7</v>
      </c>
      <c r="B11" s="10">
        <v>2100</v>
      </c>
    </row>
    <row r="12" spans="1:2" x14ac:dyDescent="0.15">
      <c r="A12" s="2">
        <v>8</v>
      </c>
      <c r="B12" s="10">
        <v>2400</v>
      </c>
    </row>
    <row r="13" spans="1:2" x14ac:dyDescent="0.15">
      <c r="A13" s="2">
        <v>9</v>
      </c>
      <c r="B13" s="10">
        <v>2700</v>
      </c>
    </row>
    <row r="14" spans="1:2" x14ac:dyDescent="0.15">
      <c r="A14" s="2">
        <v>10</v>
      </c>
      <c r="B14" s="10">
        <v>3000</v>
      </c>
    </row>
    <row r="15" spans="1:2" x14ac:dyDescent="0.15">
      <c r="A15" s="2">
        <v>11</v>
      </c>
      <c r="B15" s="10">
        <v>3300</v>
      </c>
    </row>
    <row r="16" spans="1:2" x14ac:dyDescent="0.15">
      <c r="A16" s="2">
        <v>12</v>
      </c>
      <c r="B16" s="10">
        <v>3600</v>
      </c>
    </row>
    <row r="17" spans="1:2" x14ac:dyDescent="0.15">
      <c r="A17" s="2">
        <v>13</v>
      </c>
      <c r="B17" s="10">
        <v>3900</v>
      </c>
    </row>
    <row r="18" spans="1:2" x14ac:dyDescent="0.15">
      <c r="A18" s="2">
        <v>14</v>
      </c>
      <c r="B18" s="10">
        <v>4200</v>
      </c>
    </row>
    <row r="19" spans="1:2" x14ac:dyDescent="0.15">
      <c r="A19" s="2">
        <v>15</v>
      </c>
      <c r="B19" s="10">
        <v>4500</v>
      </c>
    </row>
    <row r="20" spans="1:2" x14ac:dyDescent="0.15">
      <c r="A20" s="2">
        <v>16</v>
      </c>
      <c r="B20" s="10">
        <v>4800</v>
      </c>
    </row>
    <row r="21" spans="1:2" x14ac:dyDescent="0.15">
      <c r="A21" s="2">
        <v>17</v>
      </c>
      <c r="B21" s="10">
        <v>5100</v>
      </c>
    </row>
    <row r="22" spans="1:2" x14ac:dyDescent="0.15">
      <c r="A22" s="2">
        <v>18</v>
      </c>
      <c r="B22" s="10">
        <v>5400</v>
      </c>
    </row>
    <row r="23" spans="1:2" x14ac:dyDescent="0.15">
      <c r="A23" s="2">
        <v>19</v>
      </c>
      <c r="B23" s="10">
        <v>5700</v>
      </c>
    </row>
    <row r="24" spans="1:2" x14ac:dyDescent="0.15">
      <c r="A24" s="2">
        <v>20</v>
      </c>
      <c r="B24" s="10">
        <v>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全部建筑-属性</vt:lpstr>
      <vt:lpstr>粗算 (5)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JSFADIANJI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2018-09-12T09:14:51Z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