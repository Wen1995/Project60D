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6" activeTab="26"/>
  </bookViews>
  <sheets>
    <sheet name="粗算 (3)" sheetId="41" r:id="rId1"/>
    <sheet name="全部建筑-属性" sheetId="27" r:id="rId2"/>
    <sheet name="粗算 (2)" sheetId="39" r:id="rId3"/>
    <sheet name="粗算" sheetId="3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DIANCHIZU" sheetId="28" r:id="rId16"/>
    <sheet name="JIANSHENFANG" sheetId="11" r:id="rId17"/>
    <sheet name="JSFADIANZHAN" sheetId="12" r:id="rId18"/>
    <sheet name="TAIYANGNENG" sheetId="13" r:id="rId19"/>
    <sheet name="LIANYOU" sheetId="36" r:id="rId20"/>
    <sheet name="LIANGANG" sheetId="37" r:id="rId21"/>
    <sheet name="HUNNINGTU" sheetId="38" r:id="rId22"/>
    <sheet name="SONGSHU" sheetId="16" r:id="rId23"/>
    <sheet name="MUCAIJIAGONG" sheetId="19" r:id="rId24"/>
    <sheet name="QIANG" sheetId="26" r:id="rId25"/>
    <sheet name="DAMEN" sheetId="25" r:id="rId26"/>
    <sheet name="MAKEQIN" sheetId="20" r:id="rId27"/>
    <sheet name="MG42" sheetId="21" r:id="rId28"/>
    <sheet name="M134" sheetId="22" r:id="rId29"/>
    <sheet name="GAU-8" sheetId="24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39" l="1"/>
  <c r="P20" i="39"/>
  <c r="P21" i="39"/>
  <c r="P18" i="39"/>
  <c r="P16" i="39"/>
  <c r="P17" i="39"/>
  <c r="P15" i="39"/>
  <c r="P14" i="39"/>
  <c r="P11" i="39"/>
  <c r="P12" i="39"/>
  <c r="P13" i="39"/>
  <c r="P10" i="39"/>
  <c r="P4" i="39"/>
  <c r="P5" i="39"/>
  <c r="P6" i="39"/>
  <c r="P7" i="39"/>
  <c r="P8" i="39"/>
  <c r="P9" i="39"/>
  <c r="P3" i="39"/>
  <c r="G3" i="39"/>
  <c r="G4" i="39"/>
  <c r="G2" i="39"/>
  <c r="E4" i="39"/>
  <c r="H2" i="39"/>
  <c r="I2" i="39" s="1"/>
  <c r="B3" i="39"/>
  <c r="B2" i="39"/>
  <c r="D2" i="39" s="1"/>
  <c r="L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U3" i="39"/>
  <c r="M3" i="39"/>
  <c r="J3" i="39"/>
  <c r="U2" i="39"/>
  <c r="S2" i="39"/>
  <c r="T2" i="39" s="1"/>
  <c r="O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G5" i="39" l="1"/>
  <c r="M4" i="39"/>
  <c r="L4" i="39" s="1"/>
  <c r="L3" i="39"/>
  <c r="W2" i="39"/>
  <c r="C4" i="39"/>
  <c r="B4" i="39" s="1"/>
  <c r="H3" i="39"/>
  <c r="I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J4" i="39"/>
  <c r="S3" i="39"/>
  <c r="T3" i="39" s="1"/>
  <c r="V3" i="39"/>
  <c r="V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W3" i="39" l="1"/>
  <c r="M5" i="39"/>
  <c r="L5" i="39" s="1"/>
  <c r="U4" i="39"/>
  <c r="D4" i="39"/>
  <c r="S4" i="39"/>
  <c r="T4" i="39" s="1"/>
  <c r="H4" i="39"/>
  <c r="I4" i="39" s="1"/>
  <c r="F6" i="39"/>
  <c r="O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J5" i="39"/>
  <c r="H5" i="39" s="1"/>
  <c r="I5" i="39" s="1"/>
  <c r="C5" i="39"/>
  <c r="E9" i="39"/>
  <c r="I2" i="32"/>
  <c r="J3" i="32"/>
  <c r="I3" i="32" s="1"/>
  <c r="O4" i="39" l="1"/>
  <c r="M6" i="39"/>
  <c r="L6" i="39" s="1"/>
  <c r="F7" i="39"/>
  <c r="G6" i="39"/>
  <c r="V4" i="39"/>
  <c r="W4" i="39"/>
  <c r="B5" i="39"/>
  <c r="U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Q5" i="39"/>
  <c r="C6" i="39"/>
  <c r="B6" i="39" s="1"/>
  <c r="S5" i="39"/>
  <c r="T5" i="39" s="1"/>
  <c r="O5" i="39"/>
  <c r="J6" i="39"/>
  <c r="H6" i="39" s="1"/>
  <c r="I6" i="39" s="1"/>
  <c r="E10" i="39"/>
  <c r="J4" i="32"/>
  <c r="M7" i="39" l="1"/>
  <c r="L7" i="39" s="1"/>
  <c r="V5" i="39"/>
  <c r="W5" i="39"/>
  <c r="D5" i="39"/>
  <c r="D6" i="39" s="1"/>
  <c r="F8" i="39"/>
  <c r="G7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U6" i="39"/>
  <c r="Q6" i="39"/>
  <c r="C7" i="39"/>
  <c r="B7" i="39" s="1"/>
  <c r="S6" i="39"/>
  <c r="T6" i="39" s="1"/>
  <c r="O6" i="39"/>
  <c r="J7" i="39"/>
  <c r="H7" i="39" s="1"/>
  <c r="I7" i="39" s="1"/>
  <c r="E11" i="39"/>
  <c r="J5" i="32"/>
  <c r="I5" i="32" s="1"/>
  <c r="I4" i="32"/>
  <c r="M8" i="39" l="1"/>
  <c r="L8" i="39" s="1"/>
  <c r="D7" i="39"/>
  <c r="G8" i="39"/>
  <c r="F9" i="39"/>
  <c r="V6" i="39"/>
  <c r="W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O7" i="39"/>
  <c r="J8" i="39"/>
  <c r="H8" i="39" s="1"/>
  <c r="I8" i="39" s="1"/>
  <c r="S7" i="39"/>
  <c r="T7" i="39" s="1"/>
  <c r="Q7" i="39"/>
  <c r="U7" i="39"/>
  <c r="E12" i="39"/>
  <c r="J6" i="32"/>
  <c r="M9" i="39" l="1"/>
  <c r="L9" i="39" s="1"/>
  <c r="D8" i="39"/>
  <c r="W7" i="39"/>
  <c r="G9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V7" i="39"/>
  <c r="C9" i="39"/>
  <c r="B9" i="39" s="1"/>
  <c r="O8" i="39"/>
  <c r="J9" i="39"/>
  <c r="H9" i="39" s="1"/>
  <c r="I9" i="39" s="1"/>
  <c r="S8" i="39"/>
  <c r="T8" i="39" s="1"/>
  <c r="U8" i="39"/>
  <c r="Q8" i="39"/>
  <c r="E13" i="39"/>
  <c r="J7" i="32"/>
  <c r="I6" i="32"/>
  <c r="M10" i="39" l="1"/>
  <c r="L10" i="39" s="1"/>
  <c r="D9" i="39"/>
  <c r="W8" i="39"/>
  <c r="G10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V8" i="39"/>
  <c r="C10" i="39"/>
  <c r="B10" i="39" s="1"/>
  <c r="D10" i="39" s="1"/>
  <c r="O9" i="39"/>
  <c r="J10" i="39"/>
  <c r="H10" i="39" s="1"/>
  <c r="I10" i="39" s="1"/>
  <c r="S9" i="39"/>
  <c r="T9" i="39" s="1"/>
  <c r="U9" i="39"/>
  <c r="Q9" i="39"/>
  <c r="E14" i="39"/>
  <c r="J8" i="32"/>
  <c r="I7" i="32"/>
  <c r="M11" i="39" l="1"/>
  <c r="L11" i="39" s="1"/>
  <c r="V9" i="39"/>
  <c r="W9" i="39"/>
  <c r="G11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D11" i="39" s="1"/>
  <c r="J11" i="39"/>
  <c r="H11" i="39" s="1"/>
  <c r="I11" i="39" s="1"/>
  <c r="O10" i="39"/>
  <c r="S10" i="39"/>
  <c r="T10" i="39" s="1"/>
  <c r="U10" i="39"/>
  <c r="Q10" i="39"/>
  <c r="E15" i="39"/>
  <c r="J9" i="32"/>
  <c r="I8" i="32"/>
  <c r="M12" i="39" l="1"/>
  <c r="L12" i="39" s="1"/>
  <c r="V10" i="39"/>
  <c r="W10" i="39"/>
  <c r="G12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D12" i="39" s="1"/>
  <c r="O11" i="39"/>
  <c r="S11" i="39"/>
  <c r="T11" i="39" s="1"/>
  <c r="J12" i="39"/>
  <c r="H12" i="39" s="1"/>
  <c r="I12" i="39" s="1"/>
  <c r="Q11" i="39"/>
  <c r="U11" i="39"/>
  <c r="E16" i="39"/>
  <c r="J10" i="32"/>
  <c r="I9" i="32"/>
  <c r="M13" i="39" l="1"/>
  <c r="L13" i="39" s="1"/>
  <c r="V11" i="39"/>
  <c r="W11" i="39"/>
  <c r="G13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D13" i="39" s="1"/>
  <c r="S12" i="39"/>
  <c r="T12" i="39" s="1"/>
  <c r="O12" i="39"/>
  <c r="J13" i="39"/>
  <c r="H13" i="39" s="1"/>
  <c r="I13" i="39" s="1"/>
  <c r="U12" i="39"/>
  <c r="Q12" i="39"/>
  <c r="E17" i="39"/>
  <c r="J11" i="32"/>
  <c r="I10" i="32"/>
  <c r="M14" i="39" l="1"/>
  <c r="L14" i="39" s="1"/>
  <c r="V12" i="39"/>
  <c r="W12" i="39"/>
  <c r="G14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O13" i="39"/>
  <c r="C14" i="39"/>
  <c r="B14" i="39" s="1"/>
  <c r="D14" i="39" s="1"/>
  <c r="J14" i="39"/>
  <c r="H14" i="39" s="1"/>
  <c r="I14" i="39" s="1"/>
  <c r="S13" i="39"/>
  <c r="T13" i="39" s="1"/>
  <c r="U13" i="39"/>
  <c r="Q13" i="39"/>
  <c r="E18" i="39"/>
  <c r="J12" i="32"/>
  <c r="I11" i="32"/>
  <c r="M15" i="39" l="1"/>
  <c r="L15" i="39" s="1"/>
  <c r="W13" i="39"/>
  <c r="G15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D15" i="39" s="1"/>
  <c r="O14" i="39"/>
  <c r="J15" i="39"/>
  <c r="H15" i="39" s="1"/>
  <c r="I15" i="39" s="1"/>
  <c r="S14" i="39"/>
  <c r="T14" i="39" s="1"/>
  <c r="V13" i="39"/>
  <c r="Q14" i="39"/>
  <c r="U14" i="39"/>
  <c r="E19" i="39"/>
  <c r="J13" i="32"/>
  <c r="I12" i="32"/>
  <c r="M16" i="39" l="1"/>
  <c r="L16" i="39" s="1"/>
  <c r="W14" i="39"/>
  <c r="G16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O15" i="39"/>
  <c r="J16" i="39"/>
  <c r="H16" i="39" s="1"/>
  <c r="I16" i="39" s="1"/>
  <c r="S15" i="39"/>
  <c r="T15" i="39" s="1"/>
  <c r="Q15" i="39"/>
  <c r="U15" i="39"/>
  <c r="V14" i="39"/>
  <c r="E20" i="39"/>
  <c r="M17" i="39"/>
  <c r="L17" i="39" s="1"/>
  <c r="J14" i="32"/>
  <c r="I13" i="32"/>
  <c r="W15" i="39" l="1"/>
  <c r="G17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V15" i="39"/>
  <c r="C17" i="39"/>
  <c r="B17" i="39" s="1"/>
  <c r="D17" i="39" s="1"/>
  <c r="O16" i="39"/>
  <c r="J17" i="39"/>
  <c r="H17" i="39" s="1"/>
  <c r="I17" i="39" s="1"/>
  <c r="S16" i="39"/>
  <c r="T16" i="39" s="1"/>
  <c r="Q16" i="39"/>
  <c r="U16" i="39"/>
  <c r="M18" i="39"/>
  <c r="L18" i="39" s="1"/>
  <c r="E21" i="39"/>
  <c r="J15" i="32"/>
  <c r="I14" i="32"/>
  <c r="W16" i="39" l="1"/>
  <c r="G18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O17" i="39"/>
  <c r="J18" i="39"/>
  <c r="H18" i="39" s="1"/>
  <c r="I18" i="39" s="1"/>
  <c r="S17" i="39"/>
  <c r="T17" i="39" s="1"/>
  <c r="U17" i="39"/>
  <c r="Q17" i="39"/>
  <c r="V16" i="39"/>
  <c r="M19" i="39"/>
  <c r="L19" i="39" s="1"/>
  <c r="J16" i="32"/>
  <c r="I15" i="32"/>
  <c r="W17" i="39" l="1"/>
  <c r="G19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J19" i="39"/>
  <c r="H19" i="39" s="1"/>
  <c r="I19" i="39" s="1"/>
  <c r="S18" i="39"/>
  <c r="T18" i="39" s="1"/>
  <c r="O18" i="39"/>
  <c r="U18" i="39"/>
  <c r="Q18" i="39"/>
  <c r="V17" i="39"/>
  <c r="M20" i="39"/>
  <c r="L20" i="39" s="1"/>
  <c r="J17" i="32"/>
  <c r="I16" i="32"/>
  <c r="W18" i="39" l="1"/>
  <c r="G20" i="39"/>
  <c r="F21" i="39"/>
  <c r="S21" i="41"/>
  <c r="R21" i="41"/>
  <c r="L21" i="41"/>
  <c r="R20" i="41"/>
  <c r="S20" i="41"/>
  <c r="V18" i="39"/>
  <c r="C20" i="39"/>
  <c r="B20" i="39" s="1"/>
  <c r="D20" i="39" s="1"/>
  <c r="O19" i="39"/>
  <c r="J20" i="39"/>
  <c r="H20" i="39" s="1"/>
  <c r="I20" i="39" s="1"/>
  <c r="S19" i="39"/>
  <c r="T19" i="39" s="1"/>
  <c r="Q19" i="39"/>
  <c r="U19" i="39"/>
  <c r="M21" i="39"/>
  <c r="L21" i="39" s="1"/>
  <c r="J18" i="32"/>
  <c r="I17" i="32"/>
  <c r="G21" i="39" l="1"/>
  <c r="W19" i="39"/>
  <c r="C21" i="39"/>
  <c r="B21" i="39" s="1"/>
  <c r="D21" i="39" s="1"/>
  <c r="J21" i="39"/>
  <c r="H21" i="39" s="1"/>
  <c r="I21" i="39" s="1"/>
  <c r="S20" i="39"/>
  <c r="T20" i="39" s="1"/>
  <c r="O20" i="39"/>
  <c r="Q20" i="39"/>
  <c r="U20" i="39"/>
  <c r="V19" i="39"/>
  <c r="J19" i="32"/>
  <c r="I18" i="32"/>
  <c r="V20" i="39" l="1"/>
  <c r="W20" i="39"/>
  <c r="O21" i="39"/>
  <c r="S21" i="39"/>
  <c r="T21" i="39" s="1"/>
  <c r="Q21" i="39"/>
  <c r="U21" i="39"/>
  <c r="J20" i="32"/>
  <c r="I19" i="32"/>
  <c r="V21" i="39" l="1"/>
  <c r="W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<sst xmlns="http://schemas.openxmlformats.org/spreadsheetml/2006/main" count="559" uniqueCount="213">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</sst>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61296"/>
        <c:axId val="521556816"/>
      </c:scatterChart>
      <c:valAx>
        <c:axId val="52156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556816"/>
        <c:crosses val="autoZero"/>
        <c:crossBetween val="midCat"/>
      </c:valAx>
      <c:valAx>
        <c:axId val="52155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56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(2)'!$F$1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58048"/>
        <c:axId val="518749088"/>
      </c:scatterChart>
      <c:valAx>
        <c:axId val="5187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49088"/>
        <c:crosses val="autoZero"/>
        <c:crossBetween val="midCat"/>
      </c:valAx>
      <c:valAx>
        <c:axId val="51874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5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3.25</c:v>
                </c:pt>
                <c:pt idx="4">
                  <c:v>11.25</c:v>
                </c:pt>
                <c:pt idx="5">
                  <c:v>24.25</c:v>
                </c:pt>
                <c:pt idx="6">
                  <c:v>44.25</c:v>
                </c:pt>
                <c:pt idx="7">
                  <c:v>70.75</c:v>
                </c:pt>
                <c:pt idx="8">
                  <c:v>103.25</c:v>
                </c:pt>
                <c:pt idx="9">
                  <c:v>141.25</c:v>
                </c:pt>
                <c:pt idx="10">
                  <c:v>204.25</c:v>
                </c:pt>
                <c:pt idx="11">
                  <c:v>271.75</c:v>
                </c:pt>
                <c:pt idx="12">
                  <c:v>364.25</c:v>
                </c:pt>
                <c:pt idx="13">
                  <c:v>494.25</c:v>
                </c:pt>
                <c:pt idx="14">
                  <c:v>674.25</c:v>
                </c:pt>
                <c:pt idx="15">
                  <c:v>891.75</c:v>
                </c:pt>
                <c:pt idx="16">
                  <c:v>1184.25</c:v>
                </c:pt>
                <c:pt idx="17">
                  <c:v>1564.25</c:v>
                </c:pt>
                <c:pt idx="18">
                  <c:v>2044.25</c:v>
                </c:pt>
                <c:pt idx="19">
                  <c:v>2674.25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(2)'!$F$1:$F$21</c:f>
              <c:strCache>
                <c:ptCount val="21"/>
                <c:pt idx="0">
                  <c:v>花费总时间（h）</c:v>
                </c:pt>
                <c:pt idx="3">
                  <c:v>1.0</c:v>
                </c:pt>
                <c:pt idx="4">
                  <c:v>13.0</c:v>
                </c:pt>
                <c:pt idx="5">
                  <c:v>45.0</c:v>
                </c:pt>
                <c:pt idx="6">
                  <c:v>97.0</c:v>
                </c:pt>
                <c:pt idx="7">
                  <c:v>177.0</c:v>
                </c:pt>
                <c:pt idx="8">
                  <c:v>283.0</c:v>
                </c:pt>
                <c:pt idx="9">
                  <c:v>413.0</c:v>
                </c:pt>
                <c:pt idx="10">
                  <c:v>565.0</c:v>
                </c:pt>
                <c:pt idx="11">
                  <c:v>817.0</c:v>
                </c:pt>
                <c:pt idx="12">
                  <c:v>1087.0</c:v>
                </c:pt>
                <c:pt idx="13">
                  <c:v>1457.0</c:v>
                </c:pt>
                <c:pt idx="14">
                  <c:v>1977.0</c:v>
                </c:pt>
                <c:pt idx="15">
                  <c:v>2697.0</c:v>
                </c:pt>
                <c:pt idx="16">
                  <c:v>3567.0</c:v>
                </c:pt>
                <c:pt idx="17">
                  <c:v>4737.0</c:v>
                </c:pt>
                <c:pt idx="18">
                  <c:v>6257.0</c:v>
                </c:pt>
                <c:pt idx="19">
                  <c:v>8177.0</c:v>
                </c:pt>
                <c:pt idx="20">
                  <c:v>10697.0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89503968"/>
        <c:axId val="789504528"/>
      </c:scatterChart>
      <c:valAx>
        <c:axId val="7895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9504528"/>
        <c:crosses val="autoZero"/>
        <c:crossBetween val="midCat"/>
      </c:valAx>
      <c:valAx>
        <c:axId val="7895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950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66336"/>
        <c:axId val="521567456"/>
      </c:scatterChart>
      <c:valAx>
        <c:axId val="52156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567456"/>
        <c:crosses val="autoZero"/>
        <c:crossBetween val="midCat"/>
      </c:valAx>
      <c:valAx>
        <c:axId val="5215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56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25</xdr:row>
      <xdr:rowOff>142876</xdr:rowOff>
    </xdr:from>
    <xdr:to>
      <xdr:col>14</xdr:col>
      <xdr:colOff>1238249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209550</xdr:colOff>
      <xdr:row>42</xdr:row>
      <xdr:rowOff>104775</xdr:rowOff>
    </xdr:from>
    <xdr:to>
      <xdr:col>14</xdr:col>
      <xdr:colOff>1190624</xdr:colOff>
      <xdr:row>57</xdr:row>
      <xdr:rowOff>76200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196</v>
      </c>
      <c r="Q1" s="24" t="s">
        <v>197</v>
      </c>
      <c r="R1" s="24" t="s">
        <v>199</v>
      </c>
      <c r="S1" s="24" t="s">
        <v>198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18" sqref="X18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5" t="s">
        <v>46</v>
      </c>
      <c r="B1" s="36"/>
      <c r="C1" s="13" t="s">
        <v>47</v>
      </c>
      <c r="D1" s="37" t="s">
        <v>48</v>
      </c>
      <c r="E1" s="37"/>
      <c r="F1" s="37"/>
      <c r="G1" s="37"/>
      <c r="H1" s="38"/>
      <c r="X1" s="30" t="s">
        <v>46</v>
      </c>
      <c r="Y1" s="13" t="s">
        <v>110</v>
      </c>
      <c r="Z1" s="39" t="s">
        <v>111</v>
      </c>
      <c r="AA1" s="39"/>
      <c r="AB1" s="39"/>
      <c r="AC1" s="39"/>
      <c r="AD1" s="40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3"/>
  <sheetViews>
    <sheetView workbookViewId="0">
      <selection activeCell="G21" sqref="G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7" width="14.25" style="24" customWidth="1"/>
    <col min="8" max="9" width="18.75" style="24" customWidth="1"/>
    <col min="10" max="10" width="14.5" style="24" customWidth="1"/>
    <col min="11" max="16" width="18.625" style="24" customWidth="1"/>
    <col min="17" max="17" width="11" style="24" customWidth="1"/>
    <col min="18" max="18" width="10.75" style="24" customWidth="1"/>
    <col min="19" max="16384" width="9" style="24"/>
  </cols>
  <sheetData>
    <row r="1" spans="1:23" x14ac:dyDescent="0.35">
      <c r="B1" s="24" t="s">
        <v>100</v>
      </c>
      <c r="C1" s="24" t="s">
        <v>87</v>
      </c>
      <c r="D1" s="24" t="s">
        <v>203</v>
      </c>
      <c r="E1" s="24" t="s">
        <v>93</v>
      </c>
      <c r="F1" s="24" t="s">
        <v>88</v>
      </c>
      <c r="G1" s="24" t="s">
        <v>207</v>
      </c>
      <c r="H1" s="24" t="s">
        <v>205</v>
      </c>
      <c r="I1" s="24" t="s">
        <v>204</v>
      </c>
      <c r="J1" s="24" t="s">
        <v>89</v>
      </c>
      <c r="K1" s="24" t="s">
        <v>90</v>
      </c>
      <c r="L1" s="24" t="s">
        <v>206</v>
      </c>
      <c r="M1" s="24" t="s">
        <v>95</v>
      </c>
      <c r="N1" s="24" t="s">
        <v>99</v>
      </c>
      <c r="O1" s="24" t="s">
        <v>97</v>
      </c>
      <c r="P1" s="24" t="s">
        <v>96</v>
      </c>
      <c r="Q1" s="24" t="s">
        <v>91</v>
      </c>
      <c r="R1" s="24" t="s">
        <v>92</v>
      </c>
      <c r="S1" s="24" t="s">
        <v>196</v>
      </c>
      <c r="T1" s="24" t="s">
        <v>202</v>
      </c>
      <c r="U1" s="24" t="s">
        <v>197</v>
      </c>
      <c r="V1" s="24" t="s">
        <v>199</v>
      </c>
      <c r="W1" s="24" t="s">
        <v>198</v>
      </c>
    </row>
    <row r="2" spans="1:23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F2/4</f>
        <v>0</v>
      </c>
      <c r="H2" s="24">
        <f>IF(J2&lt;100,ROUND(J2,1-LEN(ROUND(J2,0))),ROUND(J2,2-LEN(ROUND(J2,0))))</f>
        <v>100</v>
      </c>
      <c r="I2" s="24">
        <f>H2*2.5/4</f>
        <v>62.5</v>
      </c>
      <c r="J2" s="29">
        <v>100</v>
      </c>
      <c r="L2" s="24">
        <f>IF(M2&lt;100,ROUND(M2,1-LEN(ROUND(M2,0))),ROUND(M2,2-LEN(ROUND(M2,0))))</f>
        <v>500</v>
      </c>
      <c r="M2" s="28">
        <v>500</v>
      </c>
      <c r="O2" s="25">
        <f t="shared" ref="O2:O21" si="0">L2/H2</f>
        <v>5</v>
      </c>
      <c r="S2" s="25">
        <f>J2</f>
        <v>100</v>
      </c>
      <c r="T2" s="25">
        <f>S2*4</f>
        <v>400</v>
      </c>
      <c r="U2" s="24">
        <f>B2</f>
        <v>100</v>
      </c>
      <c r="V2" s="24">
        <f>U2</f>
        <v>100</v>
      </c>
      <c r="W2" s="24">
        <f>U2/S2</f>
        <v>1</v>
      </c>
    </row>
    <row r="3" spans="1:23" x14ac:dyDescent="0.35">
      <c r="A3" s="24">
        <v>2</v>
      </c>
      <c r="B3" s="24">
        <f t="shared" ref="B3:B21" si="1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2">F3/4</f>
        <v>0</v>
      </c>
      <c r="H3" s="24">
        <f t="shared" ref="H3:H21" si="3">IF(J3&lt;100,ROUND(J3,1-LEN(ROUND(J3,0))),ROUND(J3,2-LEN(ROUND(J3,0))))</f>
        <v>600</v>
      </c>
      <c r="I3" s="24">
        <f t="shared" ref="I3:I21" si="4">H3*2.5/4</f>
        <v>375</v>
      </c>
      <c r="J3" s="25">
        <f t="shared" ref="J3:J21" si="5">J2*R3</f>
        <v>600</v>
      </c>
      <c r="L3" s="24">
        <f t="shared" ref="L3:L21" si="6">IF(M3&lt;100,ROUND(M3,1-LEN(ROUND(M3,0))),ROUND(M3,2-LEN(ROUND(M3,0))))</f>
        <v>3100</v>
      </c>
      <c r="M3" s="24">
        <f>M2*P3</f>
        <v>3100</v>
      </c>
      <c r="O3" s="25">
        <f t="shared" si="0"/>
        <v>5.166666666666667</v>
      </c>
      <c r="P3" s="28">
        <f>R3+0.2</f>
        <v>6.2</v>
      </c>
      <c r="R3" s="28">
        <v>6</v>
      </c>
      <c r="S3" s="25">
        <f>J3-J2</f>
        <v>500</v>
      </c>
      <c r="T3" s="25">
        <f t="shared" ref="T3:T21" si="7">S3*4</f>
        <v>2000</v>
      </c>
      <c r="U3" s="24">
        <f>B3</f>
        <v>100</v>
      </c>
      <c r="V3" s="24">
        <f>U3+U2</f>
        <v>200</v>
      </c>
      <c r="W3" s="24">
        <f t="shared" ref="W3:W21" si="8">U3/S3</f>
        <v>0.2</v>
      </c>
    </row>
    <row r="4" spans="1:23" x14ac:dyDescent="0.35">
      <c r="A4" s="24">
        <v>3</v>
      </c>
      <c r="B4" s="24">
        <f t="shared" si="1"/>
        <v>2400</v>
      </c>
      <c r="C4" s="25">
        <f>E4*J3</f>
        <v>2400</v>
      </c>
      <c r="D4" s="25">
        <f t="shared" ref="D4:D21" si="9">B4+D3</f>
        <v>2600</v>
      </c>
      <c r="E4" s="26">
        <f>K4</f>
        <v>4</v>
      </c>
      <c r="F4" s="26">
        <v>1</v>
      </c>
      <c r="G4" s="24">
        <f t="shared" si="2"/>
        <v>0.25</v>
      </c>
      <c r="H4" s="24">
        <f t="shared" si="3"/>
        <v>3000</v>
      </c>
      <c r="I4" s="24">
        <f t="shared" si="4"/>
        <v>1875</v>
      </c>
      <c r="J4" s="25">
        <f t="shared" si="5"/>
        <v>3000</v>
      </c>
      <c r="K4" s="28">
        <v>4</v>
      </c>
      <c r="L4" s="24">
        <f t="shared" si="6"/>
        <v>16000</v>
      </c>
      <c r="M4" s="24">
        <f t="shared" ref="M4:M21" si="10">M3*P4</f>
        <v>16120</v>
      </c>
      <c r="O4" s="25">
        <f t="shared" si="0"/>
        <v>5.333333333333333</v>
      </c>
      <c r="P4" s="28">
        <f t="shared" ref="P4:P21" si="11">R4+0.2</f>
        <v>5.2</v>
      </c>
      <c r="R4" s="28">
        <v>5</v>
      </c>
      <c r="S4" s="25">
        <f t="shared" ref="S4:S21" si="12">J4-J3</f>
        <v>2400</v>
      </c>
      <c r="T4" s="25">
        <f t="shared" si="7"/>
        <v>9600</v>
      </c>
      <c r="U4" s="24">
        <f>B4</f>
        <v>2400</v>
      </c>
      <c r="V4" s="24">
        <f t="shared" ref="V4:V21" si="13">U4+U3</f>
        <v>2500</v>
      </c>
      <c r="W4" s="24">
        <f t="shared" si="8"/>
        <v>1</v>
      </c>
    </row>
    <row r="5" spans="1:23" x14ac:dyDescent="0.35">
      <c r="A5" s="24">
        <v>4</v>
      </c>
      <c r="B5" s="24">
        <f t="shared" si="1"/>
        <v>36000</v>
      </c>
      <c r="C5" s="25">
        <f>E5*J4</f>
        <v>36000</v>
      </c>
      <c r="D5" s="25">
        <f t="shared" si="9"/>
        <v>38600</v>
      </c>
      <c r="E5" s="26">
        <f>E4+K5</f>
        <v>12</v>
      </c>
      <c r="F5" s="26">
        <f>F4+E5</f>
        <v>13</v>
      </c>
      <c r="G5" s="24">
        <f t="shared" si="2"/>
        <v>3.25</v>
      </c>
      <c r="H5" s="24">
        <f t="shared" si="3"/>
        <v>12000</v>
      </c>
      <c r="I5" s="24">
        <f t="shared" si="4"/>
        <v>7500</v>
      </c>
      <c r="J5" s="25">
        <f t="shared" si="5"/>
        <v>12000</v>
      </c>
      <c r="K5" s="28">
        <v>8</v>
      </c>
      <c r="L5" s="24">
        <f t="shared" si="6"/>
        <v>68000</v>
      </c>
      <c r="M5" s="24">
        <f t="shared" si="10"/>
        <v>67704</v>
      </c>
      <c r="O5" s="25">
        <f t="shared" si="0"/>
        <v>5.666666666666667</v>
      </c>
      <c r="P5" s="28">
        <f t="shared" si="11"/>
        <v>4.2</v>
      </c>
      <c r="Q5" s="26">
        <f>C5/C4</f>
        <v>15</v>
      </c>
      <c r="R5" s="28">
        <v>4</v>
      </c>
      <c r="S5" s="25">
        <f t="shared" si="12"/>
        <v>9000</v>
      </c>
      <c r="T5" s="25">
        <f t="shared" si="7"/>
        <v>36000</v>
      </c>
      <c r="U5" s="24">
        <f>B5</f>
        <v>36000</v>
      </c>
      <c r="V5" s="24">
        <f t="shared" si="13"/>
        <v>38400</v>
      </c>
      <c r="W5" s="24">
        <f t="shared" si="8"/>
        <v>4</v>
      </c>
    </row>
    <row r="6" spans="1:23" x14ac:dyDescent="0.35">
      <c r="A6" s="24">
        <v>5</v>
      </c>
      <c r="B6" s="24">
        <f t="shared" si="1"/>
        <v>380000</v>
      </c>
      <c r="C6" s="25">
        <f>E6*J5</f>
        <v>384000</v>
      </c>
      <c r="D6" s="25">
        <f t="shared" si="9"/>
        <v>418600</v>
      </c>
      <c r="E6" s="26">
        <f>E5+K6</f>
        <v>32</v>
      </c>
      <c r="F6" s="26">
        <f t="shared" ref="F6:F21" si="14">F5+E6</f>
        <v>45</v>
      </c>
      <c r="G6" s="24">
        <f t="shared" si="2"/>
        <v>11.25</v>
      </c>
      <c r="H6" s="24">
        <f t="shared" si="3"/>
        <v>36000</v>
      </c>
      <c r="I6" s="24">
        <f t="shared" si="4"/>
        <v>22500</v>
      </c>
      <c r="J6" s="25">
        <f t="shared" si="5"/>
        <v>36000</v>
      </c>
      <c r="K6" s="28">
        <v>20</v>
      </c>
      <c r="L6" s="24">
        <f t="shared" si="6"/>
        <v>220000</v>
      </c>
      <c r="M6" s="24">
        <f t="shared" si="10"/>
        <v>216652.80000000002</v>
      </c>
      <c r="O6" s="25">
        <f t="shared" si="0"/>
        <v>6.1111111111111107</v>
      </c>
      <c r="P6" s="28">
        <f t="shared" si="11"/>
        <v>3.2</v>
      </c>
      <c r="Q6" s="26">
        <f>C6/C5</f>
        <v>10.666666666666666</v>
      </c>
      <c r="R6" s="28">
        <v>3</v>
      </c>
      <c r="S6" s="25">
        <f t="shared" si="12"/>
        <v>24000</v>
      </c>
      <c r="T6" s="25">
        <f t="shared" si="7"/>
        <v>96000</v>
      </c>
      <c r="U6" s="24">
        <f>B6</f>
        <v>380000</v>
      </c>
      <c r="V6" s="24">
        <f t="shared" si="13"/>
        <v>416000</v>
      </c>
      <c r="W6" s="24">
        <f t="shared" si="8"/>
        <v>15.833333333333334</v>
      </c>
    </row>
    <row r="7" spans="1:23" x14ac:dyDescent="0.35">
      <c r="A7" s="24">
        <v>6</v>
      </c>
      <c r="B7" s="24">
        <f t="shared" si="1"/>
        <v>1900000</v>
      </c>
      <c r="C7" s="25">
        <f>E7*J6</f>
        <v>1872000</v>
      </c>
      <c r="D7" s="25">
        <f t="shared" si="9"/>
        <v>2318600</v>
      </c>
      <c r="E7" s="26">
        <f>E6+K7</f>
        <v>52</v>
      </c>
      <c r="F7" s="26">
        <f t="shared" si="14"/>
        <v>97</v>
      </c>
      <c r="G7" s="24">
        <f t="shared" si="2"/>
        <v>24.25</v>
      </c>
      <c r="H7" s="24">
        <f t="shared" si="3"/>
        <v>72000</v>
      </c>
      <c r="I7" s="24">
        <f t="shared" si="4"/>
        <v>45000</v>
      </c>
      <c r="J7" s="25">
        <f t="shared" si="5"/>
        <v>72000</v>
      </c>
      <c r="K7" s="28">
        <v>20</v>
      </c>
      <c r="L7" s="24">
        <f t="shared" si="6"/>
        <v>480000</v>
      </c>
      <c r="M7" s="24">
        <f t="shared" si="10"/>
        <v>476636.16000000009</v>
      </c>
      <c r="O7" s="25">
        <f t="shared" si="0"/>
        <v>6.666666666666667</v>
      </c>
      <c r="P7" s="28">
        <f t="shared" si="11"/>
        <v>2.2000000000000002</v>
      </c>
      <c r="Q7" s="26">
        <f>C7/C6</f>
        <v>4.875</v>
      </c>
      <c r="R7" s="28">
        <v>2</v>
      </c>
      <c r="S7" s="25">
        <f t="shared" si="12"/>
        <v>36000</v>
      </c>
      <c r="T7" s="25">
        <f t="shared" si="7"/>
        <v>144000</v>
      </c>
      <c r="U7" s="24">
        <f>B7</f>
        <v>1900000</v>
      </c>
      <c r="V7" s="24">
        <f t="shared" si="13"/>
        <v>2280000</v>
      </c>
      <c r="W7" s="24">
        <f t="shared" si="8"/>
        <v>52.777777777777779</v>
      </c>
    </row>
    <row r="8" spans="1:23" s="41" customFormat="1" x14ac:dyDescent="0.35">
      <c r="A8" s="41">
        <v>7</v>
      </c>
      <c r="B8" s="41">
        <f t="shared" si="1"/>
        <v>5800000</v>
      </c>
      <c r="C8" s="42">
        <f>E8*J7</f>
        <v>5760000</v>
      </c>
      <c r="D8" s="42">
        <f t="shared" si="9"/>
        <v>8118600</v>
      </c>
      <c r="E8" s="43">
        <f>E7+K8</f>
        <v>80</v>
      </c>
      <c r="F8" s="43">
        <f t="shared" si="14"/>
        <v>177</v>
      </c>
      <c r="G8" s="41">
        <f t="shared" si="2"/>
        <v>44.25</v>
      </c>
      <c r="H8" s="41">
        <f t="shared" si="3"/>
        <v>140000</v>
      </c>
      <c r="I8" s="41">
        <f t="shared" si="4"/>
        <v>87500</v>
      </c>
      <c r="J8" s="42">
        <f t="shared" si="5"/>
        <v>144000</v>
      </c>
      <c r="K8" s="41">
        <v>28</v>
      </c>
      <c r="L8" s="41">
        <f t="shared" si="6"/>
        <v>1000000</v>
      </c>
      <c r="M8" s="41">
        <f t="shared" si="10"/>
        <v>1048599.5520000004</v>
      </c>
      <c r="O8" s="42">
        <f t="shared" si="0"/>
        <v>7.1428571428571432</v>
      </c>
      <c r="P8" s="41">
        <f t="shared" si="11"/>
        <v>2.2000000000000002</v>
      </c>
      <c r="Q8" s="43">
        <f>C8/C7</f>
        <v>3.0769230769230771</v>
      </c>
      <c r="R8" s="41">
        <v>2</v>
      </c>
      <c r="S8" s="42">
        <f t="shared" si="12"/>
        <v>72000</v>
      </c>
      <c r="T8" s="42">
        <f t="shared" si="7"/>
        <v>288000</v>
      </c>
      <c r="U8" s="41">
        <f>B8</f>
        <v>5800000</v>
      </c>
      <c r="V8" s="41">
        <f t="shared" si="13"/>
        <v>7700000</v>
      </c>
      <c r="W8" s="41">
        <f t="shared" si="8"/>
        <v>80.555555555555557</v>
      </c>
    </row>
    <row r="9" spans="1:23" x14ac:dyDescent="0.35">
      <c r="A9" s="24">
        <v>8</v>
      </c>
      <c r="B9" s="24">
        <f t="shared" si="1"/>
        <v>15000000</v>
      </c>
      <c r="C9" s="25">
        <f>E9*J8</f>
        <v>15264000</v>
      </c>
      <c r="D9" s="25">
        <f t="shared" si="9"/>
        <v>23118600</v>
      </c>
      <c r="E9" s="26">
        <f>E8+K9</f>
        <v>106</v>
      </c>
      <c r="F9" s="26">
        <f t="shared" si="14"/>
        <v>283</v>
      </c>
      <c r="G9" s="24">
        <f t="shared" si="2"/>
        <v>70.75</v>
      </c>
      <c r="H9" s="24">
        <f t="shared" si="3"/>
        <v>260000</v>
      </c>
      <c r="I9" s="24">
        <f t="shared" si="4"/>
        <v>162500</v>
      </c>
      <c r="J9" s="25">
        <f t="shared" si="5"/>
        <v>259200</v>
      </c>
      <c r="K9" s="28">
        <v>26</v>
      </c>
      <c r="L9" s="24">
        <f t="shared" si="6"/>
        <v>2100000</v>
      </c>
      <c r="M9" s="24">
        <f t="shared" si="10"/>
        <v>2097199.1040000007</v>
      </c>
      <c r="O9" s="25">
        <f t="shared" si="0"/>
        <v>8.0769230769230766</v>
      </c>
      <c r="P9" s="28">
        <f t="shared" si="11"/>
        <v>2</v>
      </c>
      <c r="Q9" s="26">
        <f>C9/C8</f>
        <v>2.65</v>
      </c>
      <c r="R9" s="28">
        <v>1.8</v>
      </c>
      <c r="S9" s="25">
        <f t="shared" si="12"/>
        <v>115200</v>
      </c>
      <c r="T9" s="25">
        <f t="shared" si="7"/>
        <v>460800</v>
      </c>
      <c r="U9" s="24">
        <f>B9</f>
        <v>15000000</v>
      </c>
      <c r="V9" s="24">
        <f t="shared" si="13"/>
        <v>20800000</v>
      </c>
      <c r="W9" s="24">
        <f t="shared" si="8"/>
        <v>130.20833333333334</v>
      </c>
    </row>
    <row r="10" spans="1:23" x14ac:dyDescent="0.35">
      <c r="A10" s="24">
        <v>9</v>
      </c>
      <c r="B10" s="24">
        <f t="shared" si="1"/>
        <v>34000000</v>
      </c>
      <c r="C10" s="25">
        <f>E10*J9</f>
        <v>33696000</v>
      </c>
      <c r="D10" s="25">
        <f t="shared" si="9"/>
        <v>57118600</v>
      </c>
      <c r="E10" s="26">
        <f>E9+K10</f>
        <v>130</v>
      </c>
      <c r="F10" s="26">
        <f t="shared" si="14"/>
        <v>413</v>
      </c>
      <c r="G10" s="24">
        <f t="shared" si="2"/>
        <v>103.25</v>
      </c>
      <c r="H10" s="24">
        <f t="shared" si="3"/>
        <v>290000</v>
      </c>
      <c r="I10" s="24">
        <f t="shared" si="4"/>
        <v>181250</v>
      </c>
      <c r="J10" s="25">
        <f t="shared" si="5"/>
        <v>285120</v>
      </c>
      <c r="K10" s="28">
        <v>24</v>
      </c>
      <c r="L10" s="24">
        <f t="shared" si="6"/>
        <v>2600000</v>
      </c>
      <c r="M10" s="24">
        <f t="shared" si="10"/>
        <v>2621498.8800000008</v>
      </c>
      <c r="O10" s="25">
        <f t="shared" si="0"/>
        <v>8.9655172413793096</v>
      </c>
      <c r="P10" s="28">
        <f>R10+0.15</f>
        <v>1.25</v>
      </c>
      <c r="Q10" s="26">
        <f>C10/C9</f>
        <v>2.2075471698113209</v>
      </c>
      <c r="R10" s="28">
        <v>1.1000000000000001</v>
      </c>
      <c r="S10" s="25">
        <f t="shared" si="12"/>
        <v>25920</v>
      </c>
      <c r="T10" s="25">
        <f t="shared" si="7"/>
        <v>103680</v>
      </c>
      <c r="U10" s="24">
        <f>B10</f>
        <v>34000000</v>
      </c>
      <c r="V10" s="24">
        <f t="shared" si="13"/>
        <v>49000000</v>
      </c>
      <c r="W10" s="24">
        <f t="shared" si="8"/>
        <v>1311.7283950617284</v>
      </c>
    </row>
    <row r="11" spans="1:23" x14ac:dyDescent="0.35">
      <c r="A11" s="24">
        <v>10</v>
      </c>
      <c r="B11" s="24">
        <f t="shared" si="1"/>
        <v>43000000</v>
      </c>
      <c r="C11" s="25">
        <f>E11*J10</f>
        <v>43338240</v>
      </c>
      <c r="D11" s="25">
        <f t="shared" si="9"/>
        <v>100118600</v>
      </c>
      <c r="E11" s="26">
        <f>E10+K11</f>
        <v>152</v>
      </c>
      <c r="F11" s="26">
        <f t="shared" si="14"/>
        <v>565</v>
      </c>
      <c r="G11" s="24">
        <f t="shared" si="2"/>
        <v>141.25</v>
      </c>
      <c r="H11" s="24">
        <f t="shared" si="3"/>
        <v>310000</v>
      </c>
      <c r="I11" s="24">
        <f t="shared" si="4"/>
        <v>193750</v>
      </c>
      <c r="J11" s="25">
        <f t="shared" si="5"/>
        <v>310780.80000000005</v>
      </c>
      <c r="K11" s="28">
        <v>22</v>
      </c>
      <c r="L11" s="24">
        <f t="shared" si="6"/>
        <v>3300000</v>
      </c>
      <c r="M11" s="24">
        <f t="shared" si="10"/>
        <v>3250658.6112000011</v>
      </c>
      <c r="O11" s="25">
        <f t="shared" si="0"/>
        <v>10.64516129032258</v>
      </c>
      <c r="P11" s="28">
        <f t="shared" ref="P11:P21" si="15">R11+0.15</f>
        <v>1.24</v>
      </c>
      <c r="Q11" s="26">
        <f>C11/C10</f>
        <v>1.2861538461538462</v>
      </c>
      <c r="R11" s="28">
        <v>1.0900000000000001</v>
      </c>
      <c r="S11" s="25">
        <f t="shared" si="12"/>
        <v>25660.800000000047</v>
      </c>
      <c r="T11" s="25">
        <f t="shared" si="7"/>
        <v>102643.20000000019</v>
      </c>
      <c r="U11" s="24">
        <f>B11</f>
        <v>43000000</v>
      </c>
      <c r="V11" s="24">
        <f t="shared" si="13"/>
        <v>77000000</v>
      </c>
      <c r="W11" s="24">
        <f t="shared" si="8"/>
        <v>1675.7076942262097</v>
      </c>
    </row>
    <row r="12" spans="1:23" s="41" customFormat="1" x14ac:dyDescent="0.35">
      <c r="A12" s="41">
        <v>11</v>
      </c>
      <c r="B12" s="41">
        <f t="shared" si="1"/>
        <v>78000000</v>
      </c>
      <c r="C12" s="42">
        <f>E12*J11</f>
        <v>78316761.600000009</v>
      </c>
      <c r="D12" s="42">
        <f t="shared" si="9"/>
        <v>178118600</v>
      </c>
      <c r="E12" s="43">
        <f>E11+K12</f>
        <v>252</v>
      </c>
      <c r="F12" s="43">
        <f t="shared" si="14"/>
        <v>817</v>
      </c>
      <c r="G12" s="41">
        <f t="shared" si="2"/>
        <v>204.25</v>
      </c>
      <c r="H12" s="41">
        <f t="shared" si="3"/>
        <v>340000</v>
      </c>
      <c r="I12" s="41">
        <f t="shared" si="4"/>
        <v>212500</v>
      </c>
      <c r="J12" s="42">
        <f t="shared" si="5"/>
        <v>338751.0720000001</v>
      </c>
      <c r="K12" s="41">
        <v>100</v>
      </c>
      <c r="L12" s="41">
        <f t="shared" si="6"/>
        <v>4000000</v>
      </c>
      <c r="M12" s="41">
        <f t="shared" si="10"/>
        <v>4030816.6778880013</v>
      </c>
      <c r="O12" s="42">
        <f t="shared" si="0"/>
        <v>11.764705882352942</v>
      </c>
      <c r="P12" s="41">
        <f t="shared" si="15"/>
        <v>1.24</v>
      </c>
      <c r="Q12" s="43">
        <f>C12/C11</f>
        <v>1.807105263157895</v>
      </c>
      <c r="R12" s="41">
        <v>1.0900000000000001</v>
      </c>
      <c r="S12" s="42">
        <f t="shared" si="12"/>
        <v>27970.272000000055</v>
      </c>
      <c r="T12" s="42">
        <f t="shared" si="7"/>
        <v>111881.08800000022</v>
      </c>
      <c r="U12" s="41">
        <f>B12</f>
        <v>78000000</v>
      </c>
      <c r="V12" s="41">
        <f t="shared" si="13"/>
        <v>121000000</v>
      </c>
      <c r="W12" s="41">
        <f t="shared" si="8"/>
        <v>2788.6750618656783</v>
      </c>
    </row>
    <row r="13" spans="1:23" x14ac:dyDescent="0.35">
      <c r="A13" s="24">
        <v>12</v>
      </c>
      <c r="B13" s="24">
        <f t="shared" si="1"/>
        <v>91000000</v>
      </c>
      <c r="C13" s="25">
        <f>E13*J12</f>
        <v>91462789.440000027</v>
      </c>
      <c r="D13" s="25">
        <f t="shared" si="9"/>
        <v>269118600</v>
      </c>
      <c r="E13" s="26">
        <f>E12+K13</f>
        <v>270</v>
      </c>
      <c r="F13" s="26">
        <f t="shared" si="14"/>
        <v>1087</v>
      </c>
      <c r="G13" s="24">
        <f t="shared" si="2"/>
        <v>271.75</v>
      </c>
      <c r="H13" s="24">
        <f t="shared" si="3"/>
        <v>370000</v>
      </c>
      <c r="I13" s="24">
        <f t="shared" si="4"/>
        <v>231250</v>
      </c>
      <c r="J13" s="25">
        <f t="shared" si="5"/>
        <v>369238.66848000011</v>
      </c>
      <c r="K13" s="28">
        <v>18</v>
      </c>
      <c r="L13" s="24">
        <f t="shared" si="6"/>
        <v>5000000</v>
      </c>
      <c r="M13" s="24">
        <f t="shared" si="10"/>
        <v>4998212.6805811217</v>
      </c>
      <c r="O13" s="25">
        <f t="shared" si="0"/>
        <v>13.513513513513514</v>
      </c>
      <c r="P13" s="28">
        <f t="shared" si="15"/>
        <v>1.24</v>
      </c>
      <c r="Q13" s="26">
        <f>C13/C12</f>
        <v>1.1678571428571431</v>
      </c>
      <c r="R13" s="28">
        <v>1.0900000000000001</v>
      </c>
      <c r="S13" s="25">
        <f t="shared" si="12"/>
        <v>30487.596480000007</v>
      </c>
      <c r="T13" s="25">
        <f t="shared" si="7"/>
        <v>121950.38592000003</v>
      </c>
      <c r="U13" s="24">
        <f>B13</f>
        <v>91000000</v>
      </c>
      <c r="V13" s="24">
        <f t="shared" si="13"/>
        <v>169000000</v>
      </c>
      <c r="W13" s="24">
        <f t="shared" si="8"/>
        <v>2984.8204026085291</v>
      </c>
    </row>
    <row r="14" spans="1:23" x14ac:dyDescent="0.35">
      <c r="A14" s="24">
        <v>13</v>
      </c>
      <c r="B14" s="24">
        <f t="shared" si="1"/>
        <v>140000000</v>
      </c>
      <c r="C14" s="25">
        <f>E14*J13</f>
        <v>136618307.33760005</v>
      </c>
      <c r="D14" s="25">
        <f t="shared" si="9"/>
        <v>409118600</v>
      </c>
      <c r="E14" s="26">
        <f>E13+K14</f>
        <v>370</v>
      </c>
      <c r="F14" s="26">
        <f t="shared" si="14"/>
        <v>1457</v>
      </c>
      <c r="G14" s="24">
        <f t="shared" si="2"/>
        <v>364.25</v>
      </c>
      <c r="H14" s="24">
        <f t="shared" si="3"/>
        <v>410000</v>
      </c>
      <c r="I14" s="24">
        <f t="shared" si="4"/>
        <v>256250</v>
      </c>
      <c r="J14" s="25">
        <f t="shared" si="5"/>
        <v>406162.53532800014</v>
      </c>
      <c r="K14" s="28">
        <v>100</v>
      </c>
      <c r="L14" s="24">
        <f t="shared" si="6"/>
        <v>6200000</v>
      </c>
      <c r="M14" s="24">
        <f t="shared" si="10"/>
        <v>6247765.8507264024</v>
      </c>
      <c r="O14" s="25">
        <f t="shared" si="0"/>
        <v>15.121951219512194</v>
      </c>
      <c r="P14" s="28">
        <f t="shared" si="15"/>
        <v>1.25</v>
      </c>
      <c r="Q14" s="26">
        <f>C14/C13</f>
        <v>1.4937037037037038</v>
      </c>
      <c r="R14" s="28">
        <v>1.1000000000000001</v>
      </c>
      <c r="S14" s="25">
        <f t="shared" si="12"/>
        <v>36923.866848000034</v>
      </c>
      <c r="T14" s="25">
        <f t="shared" si="7"/>
        <v>147695.46739200014</v>
      </c>
      <c r="U14" s="24">
        <f>B14</f>
        <v>140000000</v>
      </c>
      <c r="V14" s="24">
        <f t="shared" si="13"/>
        <v>231000000</v>
      </c>
      <c r="W14" s="24">
        <f t="shared" si="8"/>
        <v>3791.5855502437184</v>
      </c>
    </row>
    <row r="15" spans="1:23" x14ac:dyDescent="0.35">
      <c r="A15" s="24">
        <v>14</v>
      </c>
      <c r="B15" s="24">
        <f t="shared" si="1"/>
        <v>210000000</v>
      </c>
      <c r="C15" s="25">
        <f>E15*J14</f>
        <v>211204518.37056008</v>
      </c>
      <c r="D15" s="25">
        <f t="shared" si="9"/>
        <v>619118600</v>
      </c>
      <c r="E15" s="26">
        <f>E14+K15</f>
        <v>520</v>
      </c>
      <c r="F15" s="26">
        <f t="shared" si="14"/>
        <v>1977</v>
      </c>
      <c r="G15" s="24">
        <f t="shared" si="2"/>
        <v>494.25</v>
      </c>
      <c r="H15" s="24">
        <f t="shared" si="3"/>
        <v>470000</v>
      </c>
      <c r="I15" s="24">
        <f t="shared" si="4"/>
        <v>293750</v>
      </c>
      <c r="J15" s="25">
        <f t="shared" si="5"/>
        <v>471148.54098048015</v>
      </c>
      <c r="K15" s="28">
        <v>150</v>
      </c>
      <c r="L15" s="24">
        <f t="shared" si="6"/>
        <v>7900000</v>
      </c>
      <c r="M15" s="24">
        <f t="shared" si="10"/>
        <v>7872184.9719152674</v>
      </c>
      <c r="O15" s="25">
        <f t="shared" si="0"/>
        <v>16.808510638297872</v>
      </c>
      <c r="P15" s="28">
        <f>R15+0.1</f>
        <v>1.26</v>
      </c>
      <c r="Q15" s="26">
        <f>C15/C14</f>
        <v>1.5459459459459459</v>
      </c>
      <c r="R15" s="28">
        <v>1.1599999999999999</v>
      </c>
      <c r="S15" s="25">
        <f t="shared" si="12"/>
        <v>64986.005652480002</v>
      </c>
      <c r="T15" s="25">
        <f t="shared" si="7"/>
        <v>259944.02260992001</v>
      </c>
      <c r="U15" s="24">
        <f>B15</f>
        <v>210000000</v>
      </c>
      <c r="V15" s="24">
        <f t="shared" si="13"/>
        <v>350000000</v>
      </c>
      <c r="W15" s="24">
        <f t="shared" si="8"/>
        <v>3231.4649575940812</v>
      </c>
    </row>
    <row r="16" spans="1:23" x14ac:dyDescent="0.35">
      <c r="A16" s="24">
        <v>15</v>
      </c>
      <c r="B16" s="24">
        <f t="shared" si="1"/>
        <v>340000000</v>
      </c>
      <c r="C16" s="25">
        <f>E16*J15</f>
        <v>339226949.50594568</v>
      </c>
      <c r="D16" s="25">
        <f t="shared" si="9"/>
        <v>959118600</v>
      </c>
      <c r="E16" s="26">
        <f>E15+K16</f>
        <v>720</v>
      </c>
      <c r="F16" s="26">
        <f t="shared" si="14"/>
        <v>2697</v>
      </c>
      <c r="G16" s="24">
        <f t="shared" si="2"/>
        <v>674.25</v>
      </c>
      <c r="H16" s="24">
        <f t="shared" si="3"/>
        <v>540000</v>
      </c>
      <c r="I16" s="24">
        <f t="shared" si="4"/>
        <v>337500</v>
      </c>
      <c r="J16" s="25">
        <f t="shared" si="5"/>
        <v>537109.33671774727</v>
      </c>
      <c r="K16" s="28">
        <v>200</v>
      </c>
      <c r="L16" s="24">
        <f t="shared" si="6"/>
        <v>9800000</v>
      </c>
      <c r="M16" s="24">
        <f t="shared" si="10"/>
        <v>9761509.3651749324</v>
      </c>
      <c r="O16" s="25">
        <f t="shared" si="0"/>
        <v>18.148148148148149</v>
      </c>
      <c r="P16" s="28">
        <f t="shared" ref="P16:P21" si="16">R16+0.1</f>
        <v>1.24</v>
      </c>
      <c r="Q16" s="26">
        <f>C16/C15</f>
        <v>1.606153846153846</v>
      </c>
      <c r="R16" s="28">
        <v>1.1399999999999999</v>
      </c>
      <c r="S16" s="25">
        <f t="shared" si="12"/>
        <v>65960.795737267123</v>
      </c>
      <c r="T16" s="25">
        <f t="shared" si="7"/>
        <v>263843.18294906849</v>
      </c>
      <c r="U16" s="24">
        <f>B16</f>
        <v>340000000</v>
      </c>
      <c r="V16" s="24">
        <f t="shared" si="13"/>
        <v>550000000</v>
      </c>
      <c r="W16" s="24">
        <f t="shared" si="8"/>
        <v>5154.5769907670128</v>
      </c>
    </row>
    <row r="17" spans="1:23" x14ac:dyDescent="0.35">
      <c r="A17" s="24">
        <v>16</v>
      </c>
      <c r="B17" s="24">
        <f t="shared" si="1"/>
        <v>470000000</v>
      </c>
      <c r="C17" s="25">
        <f>E17*J16</f>
        <v>467285122.94444013</v>
      </c>
      <c r="D17" s="25">
        <f t="shared" si="9"/>
        <v>1429118600</v>
      </c>
      <c r="E17" s="26">
        <f>E16+K17</f>
        <v>870</v>
      </c>
      <c r="F17" s="26">
        <f t="shared" si="14"/>
        <v>3567</v>
      </c>
      <c r="G17" s="24">
        <f t="shared" si="2"/>
        <v>891.75</v>
      </c>
      <c r="H17" s="24">
        <f t="shared" si="3"/>
        <v>600000</v>
      </c>
      <c r="I17" s="24">
        <f t="shared" si="4"/>
        <v>375000</v>
      </c>
      <c r="J17" s="25">
        <f t="shared" si="5"/>
        <v>601562.45712387701</v>
      </c>
      <c r="K17" s="28">
        <v>150</v>
      </c>
      <c r="L17" s="24">
        <f t="shared" si="6"/>
        <v>12000000</v>
      </c>
      <c r="M17" s="24">
        <f t="shared" si="10"/>
        <v>11909041.42551342</v>
      </c>
      <c r="O17" s="25">
        <f t="shared" si="0"/>
        <v>20</v>
      </c>
      <c r="P17" s="28">
        <f t="shared" si="16"/>
        <v>1.2200000000000002</v>
      </c>
      <c r="Q17" s="26">
        <f>C17/C16</f>
        <v>1.3774999999999999</v>
      </c>
      <c r="R17" s="28">
        <v>1.1200000000000001</v>
      </c>
      <c r="S17" s="25">
        <f t="shared" si="12"/>
        <v>64453.120406129747</v>
      </c>
      <c r="T17" s="25">
        <f t="shared" si="7"/>
        <v>257812.48162451899</v>
      </c>
      <c r="U17" s="24">
        <f>B17</f>
        <v>470000000</v>
      </c>
      <c r="V17" s="24">
        <f t="shared" si="13"/>
        <v>810000000</v>
      </c>
      <c r="W17" s="24">
        <f t="shared" si="8"/>
        <v>7292.1217318642211</v>
      </c>
    </row>
    <row r="18" spans="1:23" x14ac:dyDescent="0.35">
      <c r="A18" s="24">
        <v>17</v>
      </c>
      <c r="B18" s="24">
        <f t="shared" si="1"/>
        <v>700000000</v>
      </c>
      <c r="C18" s="25">
        <f>E18*J17</f>
        <v>703828074.83493614</v>
      </c>
      <c r="D18" s="25">
        <f t="shared" si="9"/>
        <v>2129118600</v>
      </c>
      <c r="E18" s="26">
        <f>E17+K18</f>
        <v>1170</v>
      </c>
      <c r="F18" s="26">
        <f t="shared" si="14"/>
        <v>4737</v>
      </c>
      <c r="G18" s="24">
        <f t="shared" si="2"/>
        <v>1184.25</v>
      </c>
      <c r="H18" s="24">
        <f t="shared" si="3"/>
        <v>660000</v>
      </c>
      <c r="I18" s="24">
        <f t="shared" si="4"/>
        <v>412500</v>
      </c>
      <c r="J18" s="25">
        <f t="shared" si="5"/>
        <v>661718.70283626474</v>
      </c>
      <c r="K18" s="28">
        <v>300</v>
      </c>
      <c r="L18" s="24">
        <f t="shared" si="6"/>
        <v>14000000</v>
      </c>
      <c r="M18" s="24">
        <f t="shared" si="10"/>
        <v>14052668.882105839</v>
      </c>
      <c r="O18" s="25">
        <f t="shared" si="0"/>
        <v>21.212121212121211</v>
      </c>
      <c r="P18" s="28">
        <f>R18+0.08</f>
        <v>1.1800000000000002</v>
      </c>
      <c r="Q18" s="26">
        <f>C18/C17</f>
        <v>1.5062068965517244</v>
      </c>
      <c r="R18" s="28">
        <v>1.1000000000000001</v>
      </c>
      <c r="S18" s="25">
        <f t="shared" si="12"/>
        <v>60156.245712387725</v>
      </c>
      <c r="T18" s="25">
        <f t="shared" si="7"/>
        <v>240624.9828495509</v>
      </c>
      <c r="U18" s="24">
        <f>B18</f>
        <v>700000000</v>
      </c>
      <c r="V18" s="24">
        <f t="shared" si="13"/>
        <v>1170000000</v>
      </c>
      <c r="W18" s="24">
        <f t="shared" si="8"/>
        <v>11636.364465740786</v>
      </c>
    </row>
    <row r="19" spans="1:23" x14ac:dyDescent="0.35">
      <c r="A19" s="24">
        <v>18</v>
      </c>
      <c r="B19" s="24">
        <f t="shared" si="1"/>
        <v>1000000000</v>
      </c>
      <c r="C19" s="25">
        <f>E19*J18</f>
        <v>1005812428.3111224</v>
      </c>
      <c r="D19" s="25">
        <f t="shared" si="9"/>
        <v>3129118600</v>
      </c>
      <c r="E19" s="26">
        <f>E18+K19</f>
        <v>1520</v>
      </c>
      <c r="F19" s="26">
        <f t="shared" si="14"/>
        <v>6257</v>
      </c>
      <c r="G19" s="24">
        <f t="shared" si="2"/>
        <v>1564.25</v>
      </c>
      <c r="H19" s="24">
        <f t="shared" si="3"/>
        <v>720000</v>
      </c>
      <c r="I19" s="24">
        <f t="shared" si="4"/>
        <v>450000</v>
      </c>
      <c r="J19" s="25">
        <f t="shared" si="5"/>
        <v>721273.38609152858</v>
      </c>
      <c r="K19" s="28">
        <v>350</v>
      </c>
      <c r="L19" s="24">
        <f t="shared" si="6"/>
        <v>16000000</v>
      </c>
      <c r="M19" s="24">
        <f t="shared" si="10"/>
        <v>16441622.592063833</v>
      </c>
      <c r="O19" s="25">
        <f t="shared" si="0"/>
        <v>22.222222222222221</v>
      </c>
      <c r="P19" s="28">
        <f t="shared" ref="P19:P21" si="17">R19+0.08</f>
        <v>1.1700000000000002</v>
      </c>
      <c r="Q19" s="26">
        <f>C19/C18</f>
        <v>1.4290598290598291</v>
      </c>
      <c r="R19" s="28">
        <v>1.0900000000000001</v>
      </c>
      <c r="S19" s="25">
        <f t="shared" si="12"/>
        <v>59554.683255263837</v>
      </c>
      <c r="T19" s="25">
        <f t="shared" si="7"/>
        <v>238218.73302105535</v>
      </c>
      <c r="U19" s="24">
        <f>B19</f>
        <v>1000000000</v>
      </c>
      <c r="V19" s="24">
        <f t="shared" si="13"/>
        <v>1700000000</v>
      </c>
      <c r="W19" s="24">
        <f t="shared" si="8"/>
        <v>16791.290715354673</v>
      </c>
    </row>
    <row r="20" spans="1:23" x14ac:dyDescent="0.35">
      <c r="A20" s="24">
        <v>19</v>
      </c>
      <c r="B20" s="24">
        <f t="shared" si="1"/>
        <v>1400000000</v>
      </c>
      <c r="C20" s="25">
        <f>E20*J19</f>
        <v>1384844901.2957349</v>
      </c>
      <c r="D20" s="25">
        <f t="shared" si="9"/>
        <v>4529118600</v>
      </c>
      <c r="E20" s="26">
        <f>E19+K20</f>
        <v>1920</v>
      </c>
      <c r="F20" s="26">
        <f t="shared" si="14"/>
        <v>8177</v>
      </c>
      <c r="G20" s="24">
        <f t="shared" si="2"/>
        <v>2044.25</v>
      </c>
      <c r="H20" s="24">
        <f t="shared" si="3"/>
        <v>790000</v>
      </c>
      <c r="I20" s="24">
        <f t="shared" si="4"/>
        <v>493750</v>
      </c>
      <c r="J20" s="25">
        <f t="shared" si="5"/>
        <v>786187.99083976622</v>
      </c>
      <c r="K20" s="28">
        <v>400</v>
      </c>
      <c r="L20" s="24">
        <f t="shared" si="6"/>
        <v>19000000</v>
      </c>
      <c r="M20" s="24">
        <f t="shared" si="10"/>
        <v>19236698.432714686</v>
      </c>
      <c r="O20" s="25">
        <f t="shared" si="0"/>
        <v>24.050632911392405</v>
      </c>
      <c r="P20" s="28">
        <f t="shared" si="17"/>
        <v>1.1700000000000002</v>
      </c>
      <c r="Q20" s="26">
        <f>C20/C19</f>
        <v>1.3768421052631579</v>
      </c>
      <c r="R20" s="28">
        <v>1.0900000000000001</v>
      </c>
      <c r="S20" s="25">
        <f t="shared" si="12"/>
        <v>64914.604748237645</v>
      </c>
      <c r="T20" s="25">
        <f t="shared" si="7"/>
        <v>259658.41899295058</v>
      </c>
      <c r="U20" s="24">
        <f>B20</f>
        <v>1400000000</v>
      </c>
      <c r="V20" s="24">
        <f t="shared" si="13"/>
        <v>2400000000</v>
      </c>
      <c r="W20" s="24">
        <f t="shared" si="8"/>
        <v>21566.795414216987</v>
      </c>
    </row>
    <row r="21" spans="1:23" x14ac:dyDescent="0.35">
      <c r="A21" s="24">
        <v>20</v>
      </c>
      <c r="B21" s="24">
        <f t="shared" si="1"/>
        <v>2000000000</v>
      </c>
      <c r="C21" s="25">
        <f>E21*J20</f>
        <v>1981193736.9162109</v>
      </c>
      <c r="D21" s="25">
        <f t="shared" si="9"/>
        <v>6529118600</v>
      </c>
      <c r="E21" s="26">
        <f>E20+K21</f>
        <v>2520</v>
      </c>
      <c r="F21" s="26">
        <f t="shared" si="14"/>
        <v>10697</v>
      </c>
      <c r="G21" s="24">
        <f t="shared" si="2"/>
        <v>2674.25</v>
      </c>
      <c r="H21" s="24">
        <f t="shared" si="3"/>
        <v>860000</v>
      </c>
      <c r="I21" s="24">
        <f t="shared" si="4"/>
        <v>537500</v>
      </c>
      <c r="J21" s="25">
        <f t="shared" si="5"/>
        <v>856944.9100153452</v>
      </c>
      <c r="K21" s="28">
        <v>600</v>
      </c>
      <c r="L21" s="24">
        <f t="shared" si="6"/>
        <v>23000000</v>
      </c>
      <c r="M21" s="24">
        <f t="shared" si="10"/>
        <v>22506937.166276187</v>
      </c>
      <c r="O21" s="25">
        <f t="shared" si="0"/>
        <v>26.744186046511629</v>
      </c>
      <c r="P21" s="28">
        <f t="shared" si="17"/>
        <v>1.1700000000000002</v>
      </c>
      <c r="Q21" s="26">
        <f>C21/C20</f>
        <v>1.430625</v>
      </c>
      <c r="R21" s="28">
        <v>1.0900000000000001</v>
      </c>
      <c r="S21" s="25">
        <f t="shared" si="12"/>
        <v>70756.91917557898</v>
      </c>
      <c r="T21" s="25">
        <f t="shared" si="7"/>
        <v>283027.67670231592</v>
      </c>
      <c r="U21" s="24">
        <f>B21</f>
        <v>2000000000</v>
      </c>
      <c r="V21" s="24">
        <f t="shared" si="13"/>
        <v>3400000000</v>
      </c>
      <c r="W21" s="24">
        <f t="shared" si="8"/>
        <v>28265.786912473141</v>
      </c>
    </row>
    <row r="25" spans="1:23" x14ac:dyDescent="0.35">
      <c r="T25" s="28">
        <v>1.5</v>
      </c>
    </row>
    <row r="26" spans="1:23" x14ac:dyDescent="0.35">
      <c r="T26" s="28">
        <v>1.5</v>
      </c>
    </row>
    <row r="27" spans="1:23" x14ac:dyDescent="0.35">
      <c r="T27" s="28">
        <v>1.5</v>
      </c>
    </row>
    <row r="28" spans="1:23" x14ac:dyDescent="0.35">
      <c r="T28" s="28">
        <v>1.5</v>
      </c>
    </row>
    <row r="29" spans="1:23" x14ac:dyDescent="0.35">
      <c r="T29" s="28">
        <v>1.4</v>
      </c>
    </row>
    <row r="30" spans="1:23" x14ac:dyDescent="0.35">
      <c r="T30" s="28">
        <v>1.4</v>
      </c>
    </row>
    <row r="31" spans="1:23" x14ac:dyDescent="0.35">
      <c r="T31" s="28">
        <v>1.4</v>
      </c>
    </row>
    <row r="32" spans="1:23" x14ac:dyDescent="0.35">
      <c r="T32" s="28">
        <v>1.4</v>
      </c>
    </row>
    <row r="33" spans="20:20" x14ac:dyDescent="0.35">
      <c r="T33" s="28">
        <v>1.3</v>
      </c>
    </row>
    <row r="34" spans="20:20" x14ac:dyDescent="0.35">
      <c r="T34" s="28">
        <v>1.3</v>
      </c>
    </row>
    <row r="35" spans="20:20" x14ac:dyDescent="0.35">
      <c r="T35" s="28">
        <v>1.3</v>
      </c>
    </row>
    <row r="36" spans="20:20" x14ac:dyDescent="0.35">
      <c r="T36" s="28">
        <v>1.3</v>
      </c>
    </row>
    <row r="37" spans="20:20" x14ac:dyDescent="0.35">
      <c r="T37" s="28">
        <v>1.3</v>
      </c>
    </row>
    <row r="38" spans="20:20" x14ac:dyDescent="0.35">
      <c r="T38" s="28">
        <v>1.3</v>
      </c>
    </row>
    <row r="39" spans="20:20" x14ac:dyDescent="0.35">
      <c r="T39" s="28">
        <v>1.3</v>
      </c>
    </row>
    <row r="40" spans="20:20" x14ac:dyDescent="0.35">
      <c r="T40" s="28">
        <v>1.3</v>
      </c>
    </row>
    <row r="41" spans="20:20" x14ac:dyDescent="0.35">
      <c r="T41" s="28">
        <v>1.3</v>
      </c>
    </row>
    <row r="42" spans="20:20" x14ac:dyDescent="0.35">
      <c r="T42" s="28">
        <v>1.3</v>
      </c>
    </row>
    <row r="43" spans="20:20" x14ac:dyDescent="0.35">
      <c r="T43" s="28">
        <v>1.3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196</v>
      </c>
      <c r="Q1" s="24" t="s">
        <v>197</v>
      </c>
      <c r="R1" s="24" t="s">
        <v>199</v>
      </c>
      <c r="S1" s="24" t="s">
        <v>198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7" t="s">
        <v>165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2" t="s">
        <v>166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40" sqref="G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167</v>
      </c>
      <c r="C3" s="2" t="s">
        <v>168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169</v>
      </c>
      <c r="C3" s="2" t="s">
        <v>170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171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6" sqref="C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208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174</v>
      </c>
      <c r="C3" s="8" t="s">
        <v>175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178</v>
      </c>
      <c r="C3" s="2" t="s">
        <v>179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C26" sqref="C26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200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21" sqref="G21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180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181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182</v>
      </c>
      <c r="C3" s="8" t="s">
        <v>183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209</v>
      </c>
      <c r="C3" s="8" t="s">
        <v>210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184</v>
      </c>
      <c r="C3" s="8" t="s">
        <v>185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186</v>
      </c>
      <c r="C3" s="2" t="s">
        <v>187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188</v>
      </c>
      <c r="C3" s="2" t="s">
        <v>189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192</v>
      </c>
      <c r="C3" s="8" t="s">
        <v>193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211</v>
      </c>
      <c r="C3" s="8" t="s">
        <v>212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195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tabSelected="1"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粗算 (3)</vt:lpstr>
      <vt:lpstr>全部建筑-属性</vt:lpstr>
      <vt:lpstr>粗算 (2)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2018-08-19T08:45:25Z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