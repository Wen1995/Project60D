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A265" i="9" l="1"/>
  <c r="A19" i="53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7" i="57"/>
  <c r="O28" i="57"/>
  <c r="O29" i="57"/>
  <c r="O30" i="57"/>
  <c r="O31" i="57"/>
  <c r="O32" i="57"/>
  <c r="O33" i="57"/>
  <c r="O34" i="57"/>
  <c r="O35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O71" i="57"/>
  <c r="O72" i="57"/>
  <c r="O73" i="57"/>
  <c r="O74" i="57"/>
  <c r="O75" i="57"/>
  <c r="O76" i="57"/>
  <c r="O77" i="57"/>
  <c r="O78" i="57"/>
  <c r="O79" i="57"/>
  <c r="O80" i="57"/>
  <c r="O81" i="57"/>
  <c r="O82" i="57"/>
  <c r="O83" i="57"/>
  <c r="O84" i="57"/>
  <c r="O85" i="57"/>
  <c r="O86" i="57"/>
  <c r="O87" i="57"/>
  <c r="O88" i="57"/>
  <c r="O89" i="57"/>
  <c r="O90" i="57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O5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BF1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21" i="9"/>
  <c r="AV21" i="9"/>
  <c r="AF21" i="9"/>
  <c r="AE21" i="9"/>
  <c r="AQ22" i="9"/>
  <c r="AF22" i="9"/>
  <c r="AE22" i="9"/>
  <c r="AG22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19" i="9"/>
  <c r="AF19" i="9"/>
  <c r="AE19" i="9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7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12" i="9"/>
  <c r="AQ53" i="9"/>
  <c r="AQ8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16" i="9"/>
  <c r="AV16" i="9"/>
  <c r="AF16" i="9"/>
  <c r="AE16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18" i="9"/>
  <c r="AV18" i="9"/>
  <c r="AF18" i="9"/>
  <c r="AE1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20" i="9"/>
  <c r="AQ44" i="9"/>
  <c r="AQ61" i="9"/>
  <c r="AV61" i="9"/>
  <c r="AF61" i="9"/>
  <c r="AE61" i="9"/>
  <c r="AQ41" i="9"/>
  <c r="AQ82" i="9"/>
  <c r="AQ24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Q23" i="9"/>
  <c r="AF502" i="9"/>
  <c r="AE502" i="9"/>
  <c r="AQ54" i="9"/>
  <c r="AQ13" i="9"/>
  <c r="AF13" i="9"/>
  <c r="AE13" i="9"/>
  <c r="AQ14" i="9"/>
  <c r="AF14" i="9"/>
  <c r="AE14" i="9"/>
  <c r="AG1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8" i="9"/>
  <c r="AF8" i="9"/>
  <c r="AE8" i="9"/>
  <c r="AV12" i="9"/>
  <c r="AF12" i="9"/>
  <c r="AE12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11" i="9"/>
  <c r="AF11" i="9"/>
  <c r="AE11" i="9"/>
  <c r="AV378" i="9"/>
  <c r="AV367" i="9"/>
  <c r="AF367" i="9"/>
  <c r="AE367" i="9"/>
  <c r="AV45" i="9"/>
  <c r="AV20" i="9"/>
  <c r="AV6" i="9"/>
  <c r="AV5" i="9"/>
  <c r="W65" i="9"/>
  <c r="W76" i="9"/>
  <c r="AV32" i="9"/>
  <c r="AF32" i="9"/>
  <c r="AE32" i="9"/>
  <c r="AV376" i="9"/>
  <c r="AF376" i="9"/>
  <c r="AE376" i="9"/>
  <c r="AV23" i="9"/>
  <c r="AV29" i="9"/>
  <c r="W73" i="9"/>
  <c r="W84" i="9"/>
  <c r="AV31" i="9"/>
  <c r="AV17" i="9"/>
  <c r="AV7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AV24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15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0" i="9"/>
  <c r="AE10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9" i="9"/>
  <c r="AE9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5" i="9"/>
  <c r="AE5" i="9"/>
  <c r="AG5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15" i="9"/>
  <c r="AE15" i="9"/>
  <c r="AG15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F23" i="9"/>
  <c r="AE23" i="9"/>
  <c r="AG23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" i="9"/>
  <c r="AE6" i="9"/>
  <c r="AG6" i="9"/>
  <c r="AF24" i="9"/>
  <c r="AE24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7" i="9"/>
  <c r="AE7" i="9"/>
  <c r="AG8" i="9"/>
  <c r="AF20" i="9"/>
  <c r="AE20" i="9"/>
  <c r="AG21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F17" i="9"/>
  <c r="AE17" i="9"/>
  <c r="AG18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<sst xmlns="http://schemas.openxmlformats.org/spreadsheetml/2006/main" count="5553" uniqueCount="1454">
  <si>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</si>
  <si>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</si>
  <si>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</si>
  <si>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</si>
  <si>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</si>
  <si>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</si>
  <si>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</si>
  <si>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</si>
  <si>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</si>
  <si>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</si>
  <si>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</si>
  <si>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</si>
  <si>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</si>
  <si>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</si>
  <si>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</si>
  <si>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</si>
  <si>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</si>
  <si>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</si>
  <si>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</si>
  <si>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</si>
  <si>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</si>
  <si>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</si>
  <si>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</si>
  <si>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</si>
  <si>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</si>
  <si>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</si>
  <si>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</si>
  <si>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</si>
  <si>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</si>
  <si>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</si>
  <si>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</si>
  <si>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</si>
  <si>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</si>
  <si>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</si>
  <si>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</si>
  <si>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</si>
  <si>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</si>
  <si>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</si>
  <si>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</si>
  <si>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</si>
  <si>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</si>
  <si>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</si>
  <si>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</si>
  <si>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</si>
  <si>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</si>
  <si>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</si>
  <si>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</si>
  <si>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</si>
  <si>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</si>
  <si>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</si>
  <si>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</si>
  <si>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</si>
  <si>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</si>
  <si>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</si>
  <si>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</si>
  <si>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</si>
  <si>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</si>
  <si>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</si>
  <si>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</si>
  <si>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</si>
  <si>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</si>
  <si>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</si>
  <si>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</si>
  <si>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</si>
  <si>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</si>
  <si>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</si>
  <si>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</si>
  <si>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</si>
  <si>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</si>
  <si>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</si>
  <si>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</si>
  <si>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</si>
  <si>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</si>
  <si>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</si>
  <si>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</si>
  <si>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</si>
  <si>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</si>
  <si>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</si>
  <si>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</si>
  <si>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</si>
  <si>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</si>
  <si>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</si>
  <si>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</si>
  <si>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</si>
  <si>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</si>
  <si>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</si>
  <si>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</si>
  <si>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</si>
  <si>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</si>
  <si>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</si>
  <si>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</si>
  <si>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</si>
  <si>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</si>
  <si>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</si>
  <si>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</si>
  <si>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</si>
  <si>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</si>
  <si>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</si>
  <si>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</si>
  <si>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</si>
  <si>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</si>
  <si>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</si>
  <si>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</si>
  <si>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</si>
  <si>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</si>
  <si>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</si>
  <si>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</si>
  <si>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</si>
  <si>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</si>
  <si>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</si>
  <si>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</si>
  <si>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</si>
  <si>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</si>
  <si>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</si>
  <si>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</si>
  <si>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</si>
  <si>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</si>
  <si>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</si>
  <si>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</si>
  <si>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</si>
  <si>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</si>
  <si>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</si>
  <si>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</si>
  <si>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</si>
  <si>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</si>
  <si>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</si>
  <si>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</si>
  <si>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</si>
  <si>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</si>
  <si>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</si>
  <si>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</si>
  <si>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</si>
  <si>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</si>
  <si>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</si>
  <si>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</si>
  <si>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</si>
  <si>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</si>
  <si>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</si>
  <si>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</si>
  <si>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</si>
  <si>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</si>
  <si>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</si>
  <si>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</si>
  <si>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</si>
  <si>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</si>
  <si>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</si>
  <si>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</si>
  <si>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</si>
  <si>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</si>
  <si>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</si>
  <si>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</si>
  <si>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</si>
  <si>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</si>
  <si>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</si>
  <si>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</si>
  <si>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</si>
  <si>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</si>
  <si>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</si>
  <si>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</si>
  <si>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</si>
  <si>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</si>
  <si>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</si>
  <si>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</si>
  <si>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</si>
  <si>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</si>
  <si>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</si>
  <si>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</si>
  <si>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</si>
  <si>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</si>
  <si>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</si>
  <si>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</si>
  <si>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</si>
  <si>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</si>
  <si>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</si>
  <si>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</si>
  <si>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</si>
  <si>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</si>
  <si>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</si>
  <si>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</si>
  <si>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</si>
  <si>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</si>
  <si>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</si>
  <si>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</si>
  <si>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</si>
  <si>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</si>
  <si>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</si>
  <si>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</si>
  <si>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</si>
  <si>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</si>
  <si>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</si>
  <si>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</si>
  <si>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</si>
  <si>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</si>
  <si>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</si>
  <si>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</si>
  <si>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</si>
  <si>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</si>
  <si>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</si>
  <si>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</si>
  <si>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</si>
  <si>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</si>
  <si>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</si>
  <si>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</si>
  <si>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</si>
  <si>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</si>
  <si>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</si>
  <si>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</si>
  <si>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</si>
  <si>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</si>
  <si>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</si>
  <si>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</si>
  <si>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</si>
  <si>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</si>
  <si>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</si>
  <si>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</si>
  <si>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</si>
  <si>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</si>
  <si>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</si>
  <si>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</si>
  <si>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</si>
  <si>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</si>
  <si>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</si>
  <si>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</si>
  <si>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</si>
  <si>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</si>
  <si>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</si>
  <si>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</si>
  <si>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</si>
  <si>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</si>
  <si>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</si>
  <si>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</si>
  <si>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</si>
  <si>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</si>
  <si>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</si>
  <si>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</si>
  <si>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</si>
  <si>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</si>
  <si>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</si>
  <si>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</si>
  <si>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</si>
  <si>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</si>
  <si>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</si>
  <si>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</si>
  <si>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</si>
  <si>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</si>
  <si>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</si>
  <si>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</si>
  <si>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</si>
  <si>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</si>
  <si>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</si>
  <si>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</si>
  <si>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</si>
  <si>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</si>
  <si>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</si>
  <si>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</si>
  <si>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</si>
  <si>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</si>
  <si>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</si>
  <si>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</si>
  <si>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</si>
  <si>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</si>
  <si>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</si>
  <si>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</si>
  <si>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</si>
  <si>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</si>
  <si>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</si>
  <si>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</si>
  <si>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</si>
  <si>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</si>
  <si>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</si>
  <si>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</si>
  <si>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</si>
  <si>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</si>
  <si>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</si>
  <si>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</si>
  <si>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</si>
  <si>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</si>
  <si>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</si>
  <si>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</si>
  <si>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</si>
  <si>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</si>
  <si>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</si>
  <si>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</si>
  <si>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</si>
  <si>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</si>
  <si>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</si>
  <si>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</si>
  <si>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</si>
  <si>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</si>
  <si>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</si>
  <si>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</si>
  <si>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</si>
  <si>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</si>
  <si>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</si>
  <si>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</si>
  <si>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</si>
  <si>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</si>
  <si>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</si>
  <si>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</si>
  <si>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</si>
  <si>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</si>
  <si>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</si>
  <si>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</si>
  <si>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</si>
  <si>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</si>
  <si>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</si>
  <si>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</si>
  <si>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</si>
  <si>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</si>
  <si>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</si>
  <si>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</si>
  <si>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</si>
  <si>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</si>
  <si>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</si>
  <si>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</si>
  <si>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</si>
  <si>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</si>
  <si>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</si>
  <si>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</si>
  <si>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</si>
  <si>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</si>
  <si>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</si>
  <si>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</si>
  <si>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</si>
  <si>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</si>
  <si>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</si>
  <si>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</si>
  <si>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</si>
  <si>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</si>
  <si>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</si>
  <si>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</si>
  <si>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</si>
  <si>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</si>
  <si>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</si>
  <si>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</si>
  <si>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</si>
  <si>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</si>
  <si>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</si>
  <si>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</si>
  <si>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</si>
  <si>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</si>
  <si>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</si>
  <si>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</si>
  <si>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</si>
  <si>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</si>
  <si>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</si>
  <si>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</si>
  <si>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</si>
  <si>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</si>
  <si>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</si>
  <si>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</si>
  <si>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</si>
  <si>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</si>
  <si>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</si>
  <si>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</si>
  <si>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</si>
  <si>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</si>
  <si>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</si>
  <si>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</si>
  <si>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</si>
  <si>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</si>
  <si>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</si>
  <si>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</si>
  <si>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</si>
  <si>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</si>
  <si>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</si>
  <si>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</si>
  <si>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</si>
  <si>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</si>
  <si>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</si>
  <si>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</si>
  <si>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</si>
  <si>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</si>
  <si>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</si>
  <si>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</si>
  <si>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</si>
  <si>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</si>
  <si>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</si>
  <si>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</si>
  <si>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</si>
  <si>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</si>
  <si>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</si>
  <si>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</si>
  <si>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</si>
  <si>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</si>
  <si>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</si>
  <si>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</si>
  <si>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</si>
  <si>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</si>
  <si>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</si>
  <si>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</si>
  <si>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</si>
  <si>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</si>
  <si>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</si>
  <si>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</si>
  <si>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</si>
  <si>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</si>
  <si>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</si>
  <si>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</si>
  <si>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</si>
  <si>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</si>
  <si>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</si>
  <si>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</si>
  <si>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</si>
  <si>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</si>
  <si>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</si>
  <si>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</si>
  <si>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</si>
  <si>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</si>
  <si>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</si>
  <si>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</si>
  <si>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</si>
  <si>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</si>
  <si>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</si>
  <si>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</si>
  <si>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</si>
  <si>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</si>
  <si>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</si>
  <si>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</si>
  <si>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</si>
  <si>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</si>
  <si>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</si>
  <si>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</si>
  <si>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</si>
  <si>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</si>
  <si>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</si>
  <si>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</si>
  <si>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</si>
  <si>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</si>
  <si>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</si>
  <si>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</si>
  <si>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</si>
  <si>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</si>
  <si>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</si>
  <si>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</si>
  <si>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</si>
  <si>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</si>
  <si>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</si>
  <si>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</si>
  <si>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</si>
  <si>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</si>
  <si>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</si>
  <si>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</si>
  <si>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</si>
  <si>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</si>
  <si>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</si>
  <si>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</si>
  <si>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</si>
  <si>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</si>
  <si>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</si>
  <si>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</si>
  <si>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</si>
  <si>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</si>
  <si>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</si>
  <si>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</si>
  <si>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</si>
  <si>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</si>
  <si>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</si>
  <si>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</si>
  <si>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</si>
  <si>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</si>
  <si>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</si>
  <si>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</si>
  <si>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</si>
  <si>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</si>
  <si>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</si>
  <si>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</si>
  <si>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</si>
  <si>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</si>
  <si>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</si>
  <si>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</si>
  <si>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</si>
  <si>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</si>
  <si>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</si>
  <si>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</si>
  <si>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</si>
  <si>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</si>
  <si>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</si>
  <si>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</si>
  <si>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</si>
  <si>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</si>
  <si>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</si>
  <si>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</si>
  <si>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</si>
  <si>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</si>
  <si>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</si>
  <si>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</si>
  <si>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</si>
  <si>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</si>
  <si>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</si>
  <si>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</si>
  <si>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</si>
  <si>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</si>
  <si>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</si>
  <si>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</si>
  <si>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</si>
  <si>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</si>
  <si>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</si>
  <si>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</si>
  <si>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</si>
  <si>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</si>
  <si>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</si>
  <si>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</si>
  <si>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</si>
  <si>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</si>
  <si>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</si>
  <si>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</si>
  <si>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</si>
  <si>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</si>
  <si>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</si>
  <si>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</si>
  <si>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</si>
  <si>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</si>
  <si>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</si>
  <si>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</si>
  <si>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</si>
  <si>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</si>
  <si>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</si>
  <si>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</si>
  <si>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</si>
  <si>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</si>
  <si>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</si>
  <si>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</si>
  <si>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</si>
  <si>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</si>
  <si>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</si>
  <si>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</si>
  <si>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</si>
  <si>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</si>
  <si>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</si>
  <si>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</si>
  <si>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</si>
  <si>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</si>
  <si>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</si>
  <si>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</si>
  <si>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</si>
  <si>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</si>
  <si>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</si>
  <si>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</si>
  <si>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</si>
  <si>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</si>
  <si>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</si>
  <si>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</si>
  <si>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</si>
  <si>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</si>
  <si>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</si>
  <si>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</si>
  <si>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</si>
  <si>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</si>
  <si>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</si>
  <si>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</si>
  <si>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</si>
  <si>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</si>
  <si>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</si>
  <si>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</si>
  <si>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</si>
  <si>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</si>
  <si>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</si>
  <si>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</si>
  <si>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</si>
  <si>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</si>
  <si>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</si>
  <si>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</si>
  <si>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</si>
  <si>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</si>
  <si>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</si>
  <si>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</si>
  <si>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</si>
  <si>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</si>
  <si>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</si>
  <si>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</si>
  <si>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</si>
  <si>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</si>
  <si>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</si>
  <si>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</si>
  <si>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</si>
  <si>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</si>
  <si>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</si>
  <si>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</si>
  <si>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</si>
  <si>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</si>
  <si>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</si>
  <si>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</si>
  <si>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</si>
  <si>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</si>
  <si>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</si>
  <si>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</si>
  <si>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</si>
  <si>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</si>
  <si>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</si>
  <si>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</si>
  <si>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</si>
  <si>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</si>
  <si>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</si>
  <si>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</si>
  <si>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</si>
  <si>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</si>
  <si>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</si>
  <si>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</si>
  <si>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</si>
  <si>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</si>
  <si>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</si>
  <si>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</si>
  <si>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</si>
  <si>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</si>
  <si>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</si>
  <si>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</si>
  <si>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</si>
  <si>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</si>
  <si>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</si>
  <si>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</si>
  <si>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</si>
  <si>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</si>
  <si>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</si>
  <si>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</si>
  <si>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</si>
  <si>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</si>
  <si>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</si>
  <si>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</si>
  <si>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</si>
  <si>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</si>
  <si>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</si>
  <si>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</si>
  <si>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</si>
  <si>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</si>
  <si>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</si>
  <si>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</si>
  <si>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</si>
  <si>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</si>
  <si>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</si>
  <si>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</si>
  <si>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</si>
  <si>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</si>
  <si>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</si>
  <si>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</si>
  <si>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</si>
  <si>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</si>
  <si>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</si>
  <si>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</si>
  <si>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</si>
  <si>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</si>
  <si>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</si>
  <si>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</si>
  <si>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</si>
  <si>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</si>
  <si>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</si>
  <si>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</si>
  <si>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</si>
  <si>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</si>
  <si>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</si>
  <si>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</si>
  <si>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</si>
  <si>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</si>
  <si>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</si>
  <si>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</si>
  <si>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</si>
  <si>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</si>
  <si>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</si>
  <si>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</si>
  <si>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</si>
  <si>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</si>
  <si>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</si>
  <si>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</si>
  <si>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</si>
  <si>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</si>
  <si>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</si>
  <si>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</si>
  <si>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</si>
  <si>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</si>
  <si>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</si>
  <si>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</si>
  <si>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</si>
  <si>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</si>
  <si>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</si>
  <si>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</si>
  <si>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</si>
  <si>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</si>
  <si>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</si>
  <si>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</si>
  <si>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</si>
  <si>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</si>
  <si>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</si>
  <si>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</si>
  <si>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</si>
  <si>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</si>
  <si>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</si>
  <si>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</si>
  <si>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</si>
  <si>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</si>
  <si>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</si>
  <si>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</si>
  <si>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</si>
  <si>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</si>
  <si>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</si>
  <si>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</si>
  <si>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</si>
  <si>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</si>
  <si>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</si>
  <si>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</si>
  <si>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</si>
  <si>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</si>
  <si>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</si>
  <si>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</si>
  <si>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</si>
  <si>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</si>
  <si>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</si>
  <si>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</si>
  <si>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</si>
  <si>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</si>
  <si>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</si>
  <si>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</si>
  <si>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</si>
  <si>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</si>
  <si>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</si>
  <si>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</si>
  <si>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</si>
  <si>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</si>
  <si>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</si>
  <si>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</si>
  <si>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</si>
  <si>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</si>
  <si>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</si>
  <si>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</si>
  <si>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</si>
  <si>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</si>
  <si>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</si>
  <si>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</si>
  <si>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</si>
  <si>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</si>
  <si>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</si>
  <si>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</si>
  <si>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</si>
  <si>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</si>
  <si>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</si>
  <si>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</si>
  <si>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</si>
  <si>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</si>
  <si>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</si>
  <si>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</si>
  <si>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</si>
  <si>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</si>
  <si>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</si>
  <si>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</si>
  <si>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</si>
  <si>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</si>
  <si>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</si>
  <si>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</si>
  <si>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</si>
  <si>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</si>
  <si>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</si>
  <si>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</si>
  <si>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</si>
  <si>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</si>
  <si>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</si>
  <si>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</si>
  <si>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</si>
  <si>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</si>
  <si>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</si>
  <si>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</si>
  <si>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</si>
  <si>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</si>
  <si>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</si>
  <si>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</si>
  <si>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</si>
  <si>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</si>
  <si>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</si>
  <si>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</si>
  <si>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</si>
  <si>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</si>
  <si>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</si>
  <si>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</si>
  <si>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</si>
  <si>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</si>
  <si>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</si>
  <si>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</si>
  <si>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</si>
  <si>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</si>
  <si>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</si>
  <si>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</si>
  <si>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</si>
  <si>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</si>
  <si>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</si>
  <si>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</si>
  <si>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</si>
  <si>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</si>
  <si>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</si>
  <si>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</si>
  <si>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</si>
  <si>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</si>
  <si>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</si>
  <si>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</si>
  <si>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</si>
  <si>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</si>
  <si>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</si>
  <si>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</si>
  <si>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</si>
  <si>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</si>
  <si>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</si>
  <si>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</si>
  <si>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</si>
  <si>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</si>
  <si>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</si>
  <si>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</si>
  <si>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</si>
  <si>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</si>
  <si>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</si>
  <si>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</si>
  <si>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</si>
  <si>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</si>
  <si>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</si>
  <si>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</si>
  <si>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</si>
  <si>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</si>
  <si>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</si>
  <si>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</si>
  <si>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</si>
  <si>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</si>
  <si>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</si>
  <si>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</si>
  <si>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</si>
  <si>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</si>
  <si>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</si>
  <si>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</si>
  <si>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</si>
  <si>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</si>
  <si>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</si>
  <si>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</si>
  <si>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</si>
  <si>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</si>
  <si>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</si>
  <si>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</si>
  <si>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</si>
  <si>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</si>
  <si>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</si>
  <si>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</si>
  <si>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</si>
  <si>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</si>
  <si>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</si>
  <si>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</si>
  <si>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</si>
  <si>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</si>
  <si>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</si>
  <si>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</si>
  <si>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</si>
  <si>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</si>
  <si>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</si>
  <si>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</si>
  <si>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</si>
  <si>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</si>
  <si>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</si>
  <si>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</si>
  <si>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</si>
  <si>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</si>
  <si>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</si>
  <si>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</si>
  <si>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</si>
  <si>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</si>
  <si>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</si>
  <si>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</si>
  <si>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</si>
  <si>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</si>
  <si>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</si>
  <si>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</si>
  <si>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</si>
  <si>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</si>
  <si>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</si>
  <si>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</si>
  <si>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</si>
  <si>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</si>
  <si>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</si>
  <si>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</si>
  <si>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</si>
  <si>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</si>
  <si>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</si>
  <si>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</si>
  <si>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</si>
  <si>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</si>
  <si>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</si>
  <si>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</si>
  <si>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</si>
  <si>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</si>
  <si>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</si>
  <si>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</si>
  <si>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</si>
  <si>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</si>
  <si>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</si>
  <si>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</si>
  <si>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</si>
  <si>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</si>
  <si>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</si>
  <si>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</si>
  <si>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</si>
  <si>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</si>
  <si>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</si>
  <si>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</si>
  <si>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</si>
  <si>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</si>
  <si>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</si>
  <si>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</si>
  <si>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</si>
  <si>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</si>
  <si>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</si>
  <si>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</si>
  <si>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</si>
  <si>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</si>
  <si>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</si>
  <si>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</si>
  <si>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</si>
  <si>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</si>
  <si>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</si>
  <si>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</si>
  <si>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</si>
  <si>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</si>
  <si>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</si>
  <si>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</si>
  <si>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</si>
  <si>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</si>
  <si>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</si>
  <si>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</si>
  <si>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</si>
  <si>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</si>
  <si>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</si>
  <si>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</si>
  <si>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</si>
  <si>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</si>
  <si>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</si>
  <si>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</si>
  <si>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</si>
  <si>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</si>
  <si>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</si>
  <si>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</si>
  <si>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</si>
  <si>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</si>
  <si>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</si>
  <si>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</si>
  <si>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</si>
  <si>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</si>
  <si>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</si>
  <si>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</si>
  <si>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</si>
  <si>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</si>
  <si>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</si>
  <si>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</si>
  <si>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</si>
  <si>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</si>
  <si>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</si>
  <si>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</si>
  <si>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</si>
  <si>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</si>
  <si>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</si>
  <si>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</si>
  <si>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</si>
  <si>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</si>
  <si>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</si>
  <si>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</si>
  <si>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</si>
  <si>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</si>
  <si>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</si>
  <si>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</si>
  <si>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</si>
  <si>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</si>
  <si>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</si>
  <si>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</si>
  <si>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</si>
  <si>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</si>
  <si>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</si>
  <si>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</si>
  <si>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</si>
  <si>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</si>
  <si>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</si>
  <si>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</si>
  <si>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</si>
  <si>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</si>
  <si>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</si>
  <si>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</si>
  <si>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</si>
  <si>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</si>
  <si>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</si>
  <si>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</si>
  <si>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</si>
  <si>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</si>
  <si>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</si>
  <si>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</si>
  <si>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</si>
  <si>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</si>
  <si>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</si>
  <si>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</si>
  <si>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</si>
  <si>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</si>
  <si>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</si>
  <si>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</si>
  <si>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</si>
  <si>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</si>
  <si>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</si>
  <si>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</si>
  <si>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</si>
  <si>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</si>
  <si>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</si>
  <si>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</si>
  <si>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</si>
  <si>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</si>
  <si>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</si>
  <si>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</si>
  <si>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</si>
  <si>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</si>
  <si>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</si>
  <si>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</si>
  <si>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</si>
  <si>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</si>
  <si>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</si>
  <si>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</si>
  <si>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</si>
  <si>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</si>
  <si>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</si>
  <si>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</si>
  <si>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</si>
  <si>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</si>
  <si>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</si>
  <si>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</si>
  <si>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</si>
  <si>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</si>
  <si>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</si>
  <si>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</si>
  <si>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</si>
  <si>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</si>
  <si>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</si>
  <si>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</si>
  <si>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</si>
  <si>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</si>
  <si>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</si>
  <si>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</si>
  <si>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</si>
  <si>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</si>
  <si>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</si>
  <si>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</si>
  <si>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</si>
  <si>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</si>
  <si>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</si>
  <si>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</si>
  <si>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</si>
  <si>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</si>
  <si>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</si>
  <si>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</si>
  <si>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</si>
  <si>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</si>
  <si>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</si>
  <si>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</si>
  <si>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</si>
  <si>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</si>
  <si>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</si>
  <si>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</si>
  <si>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</si>
  <si>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</si>
  <si>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</si>
  <si>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</si>
  <si>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</si>
  <si>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</si>
  <si>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</si>
  <si>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</si>
  <si>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</si>
  <si>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</si>
  <si>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</si>
  <si>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</si>
  <si>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</si>
  <si>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</si>
  <si>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</si>
  <si>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</si>
  <si>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</si>
  <si>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</si>
  <si>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纯净水</t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</si>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</sst>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559</v>
      </c>
    </row>
    <row r="16" spans="1:7" x14ac:dyDescent="0.15">
      <c r="B16" s="43">
        <v>2</v>
      </c>
      <c r="D16" s="43" t="s">
        <v>258</v>
      </c>
      <c r="F16" s="43" t="s">
        <v>560</v>
      </c>
    </row>
    <row r="17" spans="2:6" x14ac:dyDescent="0.15">
      <c r="B17" s="43">
        <v>3</v>
      </c>
      <c r="D17" s="43" t="s">
        <v>257</v>
      </c>
      <c r="F17" s="43" t="s">
        <v>655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579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476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400" zoomScaleNormal="100" workbookViewId="0">
      <pane xSplit="12" topLeftCell="AE1" activePane="topRight" state="frozen"/>
      <selection pane="topRight" activeCell="AF16" sqref="AF16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984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1006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985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472</v>
      </c>
      <c r="T2" s="9" t="s">
        <v>494</v>
      </c>
      <c r="U2" s="11" t="s">
        <v>61</v>
      </c>
      <c r="W2" s="11" t="s">
        <v>494</v>
      </c>
      <c r="Y2" s="9" t="s">
        <v>62</v>
      </c>
      <c r="Z2" s="9" t="s">
        <v>61</v>
      </c>
      <c r="AB2" s="11" t="s">
        <v>61</v>
      </c>
      <c r="AC2" s="55" t="s">
        <v>1005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986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474</v>
      </c>
      <c r="T3" s="9" t="s">
        <v>520</v>
      </c>
      <c r="U3" s="11" t="s">
        <v>544</v>
      </c>
      <c r="W3" s="11" t="s">
        <v>495</v>
      </c>
      <c r="Y3" s="9" t="s">
        <v>335</v>
      </c>
      <c r="Z3" s="9" t="s">
        <v>340</v>
      </c>
      <c r="AB3" s="11" t="s">
        <v>411</v>
      </c>
      <c r="AC3" s="55" t="s">
        <v>1004</v>
      </c>
      <c r="AE3" s="55" t="s">
        <v>433</v>
      </c>
      <c r="AI3" s="31" t="s">
        <v>246</v>
      </c>
      <c r="AJ3" s="30"/>
      <c r="AK3" s="31" t="s">
        <v>413</v>
      </c>
      <c r="AL3" s="30"/>
      <c r="AM3" s="31" t="s">
        <v>475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545</v>
      </c>
      <c r="I4" s="27" t="s">
        <v>239</v>
      </c>
      <c r="J4" s="75" t="s">
        <v>352</v>
      </c>
      <c r="K4" s="27" t="s">
        <v>240</v>
      </c>
      <c r="L4" s="27" t="s">
        <v>987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473</v>
      </c>
      <c r="R4" s="75" t="s">
        <v>542</v>
      </c>
      <c r="S4" s="82" t="s">
        <v>524</v>
      </c>
      <c r="T4" s="27" t="s">
        <v>522</v>
      </c>
      <c r="U4" s="85" t="s">
        <v>552</v>
      </c>
      <c r="V4" s="82" t="s">
        <v>523</v>
      </c>
      <c r="W4" s="85" t="s">
        <v>521</v>
      </c>
      <c r="X4" s="75" t="s">
        <v>541</v>
      </c>
      <c r="Y4" s="27" t="s">
        <v>334</v>
      </c>
      <c r="Z4" s="27" t="s">
        <v>339</v>
      </c>
      <c r="AA4" s="75" t="s">
        <v>410</v>
      </c>
      <c r="AB4" s="85" t="s">
        <v>574</v>
      </c>
      <c r="AC4" s="86" t="s">
        <v>1002</v>
      </c>
      <c r="AD4" s="75" t="s">
        <v>543</v>
      </c>
      <c r="AE4" s="86" t="s">
        <v>660</v>
      </c>
      <c r="AF4" s="87" t="s">
        <v>1001</v>
      </c>
      <c r="AG4" s="177" t="s">
        <v>573</v>
      </c>
      <c r="AH4" s="75" t="s">
        <v>171</v>
      </c>
      <c r="AI4" s="64" t="s">
        <v>318</v>
      </c>
      <c r="AJ4" s="63" t="s">
        <v>999</v>
      </c>
      <c r="AK4" s="64" t="s">
        <v>412</v>
      </c>
      <c r="AL4" s="63" t="s">
        <v>998</v>
      </c>
      <c r="AM4" s="64" t="s">
        <v>419</v>
      </c>
      <c r="AN4" s="63" t="s">
        <v>1000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1335</v>
      </c>
      <c r="L5" s="16">
        <v>1</v>
      </c>
      <c r="M5" s="16">
        <v>1</v>
      </c>
      <c r="N5" s="16">
        <v>15</v>
      </c>
      <c r="O5" s="16" t="s">
        <v>1079</v>
      </c>
      <c r="P5" s="56" t="s">
        <v>1344</v>
      </c>
      <c r="Q5" s="16" t="s">
        <v>672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525</v>
      </c>
      <c r="W5" s="18">
        <f ca="1">IFERROR(OFFSET(ITEM_RES!$A$5,MATCH(BUILDING!V5,ITEM_RES!$J$5:$J$229,0)-1,0),0)</f>
        <v>211010101</v>
      </c>
      <c r="X5" s="76"/>
      <c r="Y5" s="16" t="s">
        <v>496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1080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1080</v>
      </c>
      <c r="AG5" s="178">
        <f ca="1">AE5</f>
        <v>1080</v>
      </c>
      <c r="AH5" s="76"/>
      <c r="AI5" s="18">
        <f t="shared" ref="AI5:AI68" si="4">ROUND(AJ5,0)</f>
        <v>5</v>
      </c>
      <c r="AJ5" s="17">
        <v>5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3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211020101</v>
      </c>
      <c r="AW5" s="17" t="s">
        <v>438</v>
      </c>
      <c r="AX5" s="18">
        <v>50</v>
      </c>
      <c r="AY5" s="17"/>
      <c r="AZ5" s="18"/>
      <c r="BA5" s="18">
        <f ca="1">IFERROR(OFFSET(ITEM_RES!$A$1,MATCH(BB5,ITEM_RES!$J:$J,0)-1,0),0)</f>
        <v>213010101</v>
      </c>
      <c r="BB5" s="17" t="s">
        <v>442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1335</v>
      </c>
      <c r="M6" s="9">
        <v>1</v>
      </c>
      <c r="N6" s="9">
        <v>15</v>
      </c>
      <c r="O6" s="9" t="s">
        <v>1079</v>
      </c>
      <c r="P6" s="55" t="s">
        <v>1344</v>
      </c>
      <c r="Q6" s="9" t="s">
        <v>667</v>
      </c>
      <c r="T6" s="9">
        <f ca="1">IFERROR(OFFSET(ITEM_RES!$A$5,MATCH(BUILDING!S6,ITEM_RES!$J$5:$J$229,0)-1,0),0)</f>
        <v>0</v>
      </c>
      <c r="V6" s="81" t="s">
        <v>525</v>
      </c>
      <c r="W6" s="11">
        <f ca="1">IFERROR(OFFSET(ITEM_RES!$A$5,MATCH(BUILDING!V6,ITEM_RES!$J$5:$J$229,0)-1,0),0)</f>
        <v>211010101</v>
      </c>
      <c r="Y6" s="9" t="s">
        <v>496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160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160</v>
      </c>
      <c r="AG6" s="176">
        <f ca="1">AE5+AE6</f>
        <v>1240</v>
      </c>
      <c r="AI6" s="11">
        <f t="shared" si="4"/>
        <v>10</v>
      </c>
      <c r="AJ6" s="10">
        <v>10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2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211020101</v>
      </c>
      <c r="AW6" s="10" t="s">
        <v>438</v>
      </c>
      <c r="AX6" s="11">
        <v>100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1335</v>
      </c>
      <c r="M7" s="9">
        <v>1</v>
      </c>
      <c r="N7" s="9">
        <v>15</v>
      </c>
      <c r="O7" s="9" t="s">
        <v>1080</v>
      </c>
      <c r="P7" s="55" t="s">
        <v>1345</v>
      </c>
      <c r="Q7" s="9" t="s">
        <v>667</v>
      </c>
      <c r="T7" s="9">
        <f ca="1">IFERROR(OFFSET(ITEM_RES!$A$5,MATCH(BUILDING!S7,ITEM_RES!$J$5:$J$229,0)-1,0),0)</f>
        <v>0</v>
      </c>
      <c r="V7" s="81" t="s">
        <v>525</v>
      </c>
      <c r="W7" s="11">
        <f ca="1">IFERROR(OFFSET(ITEM_RES!$A$5,MATCH(BUILDING!V7,ITEM_RES!$J$5:$J$229,0)-1,0),0)</f>
        <v>211010101</v>
      </c>
      <c r="Y7" s="9" t="s">
        <v>496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240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240</v>
      </c>
      <c r="AG7" s="176">
        <f t="shared" ref="AG7:AG24" ca="1" si="8">AE6+AE7</f>
        <v>400</v>
      </c>
      <c r="AI7" s="11">
        <f t="shared" si="4"/>
        <v>30</v>
      </c>
      <c r="AJ7" s="10">
        <v>30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2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211020101</v>
      </c>
      <c r="AW7" s="10" t="s">
        <v>438</v>
      </c>
      <c r="AX7" s="11">
        <v>150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1335</v>
      </c>
      <c r="M8" s="9">
        <v>1</v>
      </c>
      <c r="N8" s="9">
        <v>15</v>
      </c>
      <c r="O8" s="9" t="s">
        <v>1081</v>
      </c>
      <c r="P8" s="55" t="s">
        <v>1345</v>
      </c>
      <c r="Q8" s="9" t="s">
        <v>668</v>
      </c>
      <c r="T8" s="9">
        <f ca="1">IFERROR(OFFSET(ITEM_RES!$A$5,MATCH(BUILDING!S8,ITEM_RES!$J$5:$J$229,0)-1,0),0)</f>
        <v>0</v>
      </c>
      <c r="V8" s="81" t="s">
        <v>525</v>
      </c>
      <c r="W8" s="11">
        <f ca="1">IFERROR(OFFSET(ITEM_RES!$A$5,MATCH(BUILDING!V8,ITEM_RES!$J$5:$J$229,0)-1,0),0)</f>
        <v>211010101</v>
      </c>
      <c r="Y8" s="9" t="s">
        <v>496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925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925</v>
      </c>
      <c r="AG8" s="176">
        <f t="shared" ca="1" si="8"/>
        <v>1165</v>
      </c>
      <c r="AI8" s="11">
        <f t="shared" si="4"/>
        <v>300</v>
      </c>
      <c r="AJ8" s="10">
        <v>300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2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211020101</v>
      </c>
      <c r="AW8" s="10" t="s">
        <v>438</v>
      </c>
      <c r="AX8" s="11">
        <v>600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1335</v>
      </c>
      <c r="M9" s="9">
        <v>1</v>
      </c>
      <c r="N9" s="9">
        <v>15</v>
      </c>
      <c r="O9" s="9" t="s">
        <v>1082</v>
      </c>
      <c r="P9" s="55" t="s">
        <v>1346</v>
      </c>
      <c r="Q9" s="9" t="s">
        <v>668</v>
      </c>
      <c r="T9" s="9">
        <f ca="1">IFERROR(OFFSET(ITEM_RES!$A$5,MATCH(BUILDING!S9,ITEM_RES!$J$5:$J$229,0)-1,0),0)</f>
        <v>0</v>
      </c>
      <c r="V9" s="81" t="s">
        <v>525</v>
      </c>
      <c r="W9" s="11">
        <f ca="1">IFERROR(OFFSET(ITEM_RES!$A$5,MATCH(BUILDING!V9,ITEM_RES!$J$5:$J$229,0)-1,0),0)</f>
        <v>211010101</v>
      </c>
      <c r="Y9" s="9" t="s">
        <v>496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4090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4090</v>
      </c>
      <c r="AG9" s="176">
        <f t="shared" ca="1" si="8"/>
        <v>5015</v>
      </c>
      <c r="AI9" s="11">
        <f t="shared" si="4"/>
        <v>600</v>
      </c>
      <c r="AJ9" s="10">
        <v>600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2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211020101</v>
      </c>
      <c r="AW9" s="10" t="s">
        <v>438</v>
      </c>
      <c r="AX9" s="11">
        <v>2700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1335</v>
      </c>
      <c r="M10" s="9">
        <v>1</v>
      </c>
      <c r="N10" s="9">
        <v>15</v>
      </c>
      <c r="O10" s="9" t="s">
        <v>1084</v>
      </c>
      <c r="P10" s="55" t="s">
        <v>1346</v>
      </c>
      <c r="Q10" s="9" t="s">
        <v>668</v>
      </c>
      <c r="T10" s="9">
        <f ca="1">IFERROR(OFFSET(ITEM_RES!$A$5,MATCH(BUILDING!S10,ITEM_RES!$J$5:$J$229,0)-1,0),0)</f>
        <v>0</v>
      </c>
      <c r="V10" s="81" t="s">
        <v>525</v>
      </c>
      <c r="W10" s="11">
        <f ca="1">IFERROR(OFFSET(ITEM_RES!$A$5,MATCH(BUILDING!V10,ITEM_RES!$J$5:$J$229,0)-1,0),0)</f>
        <v>211010101</v>
      </c>
      <c r="Y10" s="9" t="s">
        <v>496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13550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13550</v>
      </c>
      <c r="AG10" s="176">
        <f t="shared" ca="1" si="8"/>
        <v>17640</v>
      </c>
      <c r="AI10" s="11">
        <f t="shared" si="4"/>
        <v>1200</v>
      </c>
      <c r="AJ10" s="10">
        <v>1200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2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211020101</v>
      </c>
      <c r="AW10" s="10" t="s">
        <v>438</v>
      </c>
      <c r="AX10" s="11">
        <v>9000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1335</v>
      </c>
      <c r="M11" s="9">
        <v>1</v>
      </c>
      <c r="N11" s="9">
        <v>15</v>
      </c>
      <c r="O11" s="9" t="s">
        <v>1083</v>
      </c>
      <c r="P11" s="55" t="s">
        <v>1347</v>
      </c>
      <c r="Q11" s="9" t="s">
        <v>668</v>
      </c>
      <c r="T11" s="9">
        <f ca="1">IFERROR(OFFSET(ITEM_RES!$A$5,MATCH(BUILDING!S11,ITEM_RES!$J$5:$J$229,0)-1,0),0)</f>
        <v>0</v>
      </c>
      <c r="V11" s="81" t="s">
        <v>525</v>
      </c>
      <c r="W11" s="11">
        <f ca="1">IFERROR(OFFSET(ITEM_RES!$A$5,MATCH(BUILDING!V11,ITEM_RES!$J$5:$J$229,0)-1,0),0)</f>
        <v>211010101</v>
      </c>
      <c r="Y11" s="9" t="s">
        <v>496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30100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30100</v>
      </c>
      <c r="AG11" s="176">
        <f t="shared" ca="1" si="8"/>
        <v>43650</v>
      </c>
      <c r="AI11" s="11">
        <f t="shared" si="4"/>
        <v>1800</v>
      </c>
      <c r="AJ11" s="10">
        <v>1800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438</v>
      </c>
      <c r="AX11" s="11">
        <v>20000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1335</v>
      </c>
      <c r="M12" s="9">
        <v>1</v>
      </c>
      <c r="N12" s="9">
        <v>15</v>
      </c>
      <c r="O12" s="9" t="s">
        <v>1083</v>
      </c>
      <c r="P12" s="55" t="s">
        <v>1347</v>
      </c>
      <c r="Q12" s="9" t="s">
        <v>668</v>
      </c>
      <c r="T12" s="9">
        <f ca="1">IFERROR(OFFSET(ITEM_RES!$A$5,MATCH(BUILDING!S12,ITEM_RES!$J$5:$J$229,0)-1,0),0)</f>
        <v>0</v>
      </c>
      <c r="V12" s="81" t="s">
        <v>525</v>
      </c>
      <c r="W12" s="11">
        <f ca="1">IFERROR(OFFSET(ITEM_RES!$A$5,MATCH(BUILDING!V12,ITEM_RES!$J$5:$J$229,0)-1,0),0)</f>
        <v>211010101</v>
      </c>
      <c r="Y12" s="9" t="s">
        <v>496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63100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63100</v>
      </c>
      <c r="AG12" s="176">
        <f t="shared" ca="1" si="8"/>
        <v>93200</v>
      </c>
      <c r="AI12" s="11">
        <f t="shared" si="4"/>
        <v>3600</v>
      </c>
      <c r="AJ12" s="10">
        <v>3600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438</v>
      </c>
      <c r="AX12" s="11">
        <v>42000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1335</v>
      </c>
      <c r="M13" s="9">
        <v>1</v>
      </c>
      <c r="N13" s="9">
        <v>15</v>
      </c>
      <c r="O13" s="9" t="s">
        <v>1414</v>
      </c>
      <c r="P13" s="55" t="s">
        <v>1416</v>
      </c>
      <c r="Q13" s="9" t="s">
        <v>669</v>
      </c>
      <c r="T13" s="9">
        <f ca="1">IFERROR(OFFSET(ITEM_RES!$A$5,MATCH(BUILDING!S13,ITEM_RES!$J$5:$J$229,0)-1,0),0)</f>
        <v>0</v>
      </c>
      <c r="V13" s="81" t="s">
        <v>525</v>
      </c>
      <c r="W13" s="11">
        <f ca="1">IFERROR(OFFSET(ITEM_RES!$A$5,MATCH(BUILDING!V13,ITEM_RES!$J$5:$J$229,0)-1,0),0)</f>
        <v>211010101</v>
      </c>
      <c r="Y13" s="9" t="s">
        <v>496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117150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117150</v>
      </c>
      <c r="AG13" s="176">
        <f t="shared" ca="1" si="8"/>
        <v>180250</v>
      </c>
      <c r="AI13" s="11">
        <f t="shared" si="4"/>
        <v>5400</v>
      </c>
      <c r="AJ13" s="10">
        <v>5400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438</v>
      </c>
      <c r="AX13" s="11">
        <v>78000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1335</v>
      </c>
      <c r="M14" s="9">
        <v>1</v>
      </c>
      <c r="N14" s="9">
        <v>15</v>
      </c>
      <c r="O14" s="9" t="s">
        <v>1414</v>
      </c>
      <c r="P14" s="55" t="s">
        <v>1416</v>
      </c>
      <c r="Q14" s="9" t="s">
        <v>669</v>
      </c>
      <c r="T14" s="9">
        <f ca="1">IFERROR(OFFSET(ITEM_RES!$A$5,MATCH(BUILDING!S14,ITEM_RES!$J$5:$J$229,0)-1,0),0)</f>
        <v>0</v>
      </c>
      <c r="V14" s="81" t="s">
        <v>525</v>
      </c>
      <c r="W14" s="11">
        <f ca="1">IFERROR(OFFSET(ITEM_RES!$A$5,MATCH(BUILDING!V14,ITEM_RES!$J$5:$J$229,0)-1,0),0)</f>
        <v>211010101</v>
      </c>
      <c r="Y14" s="9" t="s">
        <v>496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196200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196200</v>
      </c>
      <c r="AG14" s="176">
        <f t="shared" ca="1" si="8"/>
        <v>313350</v>
      </c>
      <c r="AI14" s="11">
        <f t="shared" si="4"/>
        <v>7200</v>
      </c>
      <c r="AJ14" s="10">
        <v>7200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438</v>
      </c>
      <c r="AX14" s="11">
        <v>130000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449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1335</v>
      </c>
      <c r="M15" s="9">
        <v>1</v>
      </c>
      <c r="N15" s="9">
        <v>15</v>
      </c>
      <c r="O15" s="9" t="s">
        <v>1413</v>
      </c>
      <c r="P15" s="55" t="s">
        <v>1415</v>
      </c>
      <c r="Q15" s="9" t="s">
        <v>669</v>
      </c>
      <c r="T15" s="9">
        <f ca="1">IFERROR(OFFSET(ITEM_RES!$A$5,MATCH(BUILDING!S15,ITEM_RES!$J$5:$J$229,0)-1,0),0)</f>
        <v>0</v>
      </c>
      <c r="V15" s="81" t="s">
        <v>525</v>
      </c>
      <c r="W15" s="11">
        <f ca="1">IFERROR(OFFSET(ITEM_RES!$A$5,MATCH(BUILDING!V15,ITEM_RES!$J$5:$J$229,0)-1,0),0)</f>
        <v>211010101</v>
      </c>
      <c r="Y15" s="9" t="s">
        <v>496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330250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330250</v>
      </c>
      <c r="AG15" s="176">
        <f t="shared" ca="1" si="8"/>
        <v>526450</v>
      </c>
      <c r="AI15" s="11">
        <f t="shared" si="4"/>
        <v>9000</v>
      </c>
      <c r="AJ15" s="10">
        <v>9000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438</v>
      </c>
      <c r="AX15" s="11">
        <v>220000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1335</v>
      </c>
      <c r="M16" s="9">
        <v>1</v>
      </c>
      <c r="N16" s="9">
        <v>15</v>
      </c>
      <c r="O16" s="9" t="s">
        <v>1413</v>
      </c>
      <c r="P16" s="55" t="s">
        <v>1415</v>
      </c>
      <c r="Q16" s="9" t="s">
        <v>669</v>
      </c>
      <c r="T16" s="9">
        <f ca="1">IFERROR(OFFSET(ITEM_RES!$A$5,MATCH(BUILDING!S16,ITEM_RES!$J$5:$J$229,0)-1,0),0)</f>
        <v>0</v>
      </c>
      <c r="V16" s="81" t="s">
        <v>525</v>
      </c>
      <c r="W16" s="11">
        <f ca="1">IFERROR(OFFSET(ITEM_RES!$A$5,MATCH(BUILDING!V16,ITEM_RES!$J$5:$J$229,0)-1,0),0)</f>
        <v>211010101</v>
      </c>
      <c r="Y16" s="9" t="s">
        <v>496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555300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555300</v>
      </c>
      <c r="AG16" s="176">
        <f t="shared" ca="1" si="8"/>
        <v>885550</v>
      </c>
      <c r="AI16" s="11">
        <f t="shared" si="4"/>
        <v>10800</v>
      </c>
      <c r="AJ16" s="10">
        <v>10800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438</v>
      </c>
      <c r="AX16" s="11">
        <v>370000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1335</v>
      </c>
      <c r="M17" s="9">
        <v>1</v>
      </c>
      <c r="N17" s="9">
        <v>15</v>
      </c>
      <c r="O17" s="9" t="s">
        <v>1413</v>
      </c>
      <c r="P17" s="55" t="s">
        <v>1415</v>
      </c>
      <c r="Q17" s="9" t="s">
        <v>669</v>
      </c>
      <c r="T17" s="9">
        <f ca="1">IFERROR(OFFSET(ITEM_RES!$A$5,MATCH(BUILDING!S17,ITEM_RES!$J$5:$J$229,0)-1,0),0)</f>
        <v>0</v>
      </c>
      <c r="V17" s="81" t="s">
        <v>525</v>
      </c>
      <c r="W17" s="11">
        <f ca="1">IFERROR(OFFSET(ITEM_RES!$A$5,MATCH(BUILDING!V17,ITEM_RES!$J$5:$J$229,0)-1,0),0)</f>
        <v>211010101</v>
      </c>
      <c r="Y17" s="9" t="s">
        <v>496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930350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930350</v>
      </c>
      <c r="AG17" s="176">
        <f t="shared" ca="1" si="8"/>
        <v>1485650</v>
      </c>
      <c r="AI17" s="11">
        <f t="shared" si="4"/>
        <v>12600</v>
      </c>
      <c r="AJ17" s="10">
        <v>12600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438</v>
      </c>
      <c r="AX17" s="11">
        <v>620000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1335</v>
      </c>
      <c r="M18" s="9">
        <v>1</v>
      </c>
      <c r="N18" s="9">
        <v>15</v>
      </c>
      <c r="O18" s="9" t="s">
        <v>1413</v>
      </c>
      <c r="P18" s="55" t="s">
        <v>1415</v>
      </c>
      <c r="Q18" s="9" t="s">
        <v>669</v>
      </c>
      <c r="T18" s="9">
        <f ca="1">IFERROR(OFFSET(ITEM_RES!$A$5,MATCH(BUILDING!S18,ITEM_RES!$J$5:$J$229,0)-1,0),0)</f>
        <v>0</v>
      </c>
      <c r="V18" s="81" t="s">
        <v>525</v>
      </c>
      <c r="W18" s="11">
        <f ca="1">IFERROR(OFFSET(ITEM_RES!$A$5,MATCH(BUILDING!V18,ITEM_RES!$J$5:$J$229,0)-1,0),0)</f>
        <v>211010101</v>
      </c>
      <c r="Y18" s="9" t="s">
        <v>496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1455450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1455450</v>
      </c>
      <c r="AG18" s="176">
        <f t="shared" ca="1" si="8"/>
        <v>2385800</v>
      </c>
      <c r="AI18" s="11">
        <f t="shared" si="4"/>
        <v>14400</v>
      </c>
      <c r="AJ18" s="10">
        <v>14400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438</v>
      </c>
      <c r="AX18" s="11">
        <v>970000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1335</v>
      </c>
      <c r="M19" s="9">
        <v>1</v>
      </c>
      <c r="N19" s="9">
        <v>15</v>
      </c>
      <c r="O19" s="9" t="s">
        <v>1413</v>
      </c>
      <c r="P19" s="55" t="s">
        <v>1415</v>
      </c>
      <c r="Q19" s="9" t="s">
        <v>669</v>
      </c>
      <c r="T19" s="9">
        <f ca="1">IFERROR(OFFSET(ITEM_RES!$A$5,MATCH(BUILDING!S19,ITEM_RES!$J$5:$J$229,0)-1,0),0)</f>
        <v>0</v>
      </c>
      <c r="V19" s="81" t="s">
        <v>525</v>
      </c>
      <c r="W19" s="11">
        <f ca="1">IFERROR(OFFSET(ITEM_RES!$A$5,MATCH(BUILDING!V19,ITEM_RES!$J$5:$J$229,0)-1,0),0)</f>
        <v>211010101</v>
      </c>
      <c r="Y19" s="9" t="s">
        <v>496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3150550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3150550</v>
      </c>
      <c r="AG19" s="176">
        <f t="shared" ca="1" si="8"/>
        <v>4606000</v>
      </c>
      <c r="AI19" s="11">
        <f t="shared" si="4"/>
        <v>16200</v>
      </c>
      <c r="AJ19" s="10">
        <v>16200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438</v>
      </c>
      <c r="AX19" s="11">
        <v>2100000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1335</v>
      </c>
      <c r="M20" s="9">
        <v>0</v>
      </c>
      <c r="N20" s="9">
        <v>15</v>
      </c>
      <c r="O20" s="9" t="s">
        <v>1413</v>
      </c>
      <c r="P20" s="55" t="s">
        <v>1415</v>
      </c>
      <c r="Q20" s="9" t="s">
        <v>670</v>
      </c>
      <c r="T20" s="9">
        <f ca="1">IFERROR(OFFSET(ITEM_RES!$A$5,MATCH(BUILDING!S20,ITEM_RES!$J$5:$J$229,0)-1,0),0)</f>
        <v>0</v>
      </c>
      <c r="V20" s="81" t="s">
        <v>525</v>
      </c>
      <c r="W20" s="11">
        <f ca="1">IFERROR(OFFSET(ITEM_RES!$A$5,MATCH(BUILDING!V20,ITEM_RES!$J$5:$J$229,0)-1,0),0)</f>
        <v>211010101</v>
      </c>
      <c r="Y20" s="9" t="s">
        <v>496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6880700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6880700</v>
      </c>
      <c r="AG20" s="176">
        <f t="shared" ca="1" si="8"/>
        <v>10031250</v>
      </c>
      <c r="AI20" s="11">
        <f t="shared" si="4"/>
        <v>18000</v>
      </c>
      <c r="AJ20" s="10">
        <v>18000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434</v>
      </c>
      <c r="AS20" s="11">
        <v>4300000</v>
      </c>
      <c r="AV20" s="11">
        <f ca="1">IFERROR(OFFSET(ITEM_RES!$A$1,MATCH(AW20,ITEM_RES!$J:$J,0)-1,0),0)</f>
        <v>211020101</v>
      </c>
      <c r="AW20" s="10" t="s">
        <v>438</v>
      </c>
      <c r="AX20" s="11">
        <v>4300000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1335</v>
      </c>
      <c r="M21" s="9">
        <v>0</v>
      </c>
      <c r="N21" s="9">
        <v>15</v>
      </c>
      <c r="O21" s="9" t="s">
        <v>1413</v>
      </c>
      <c r="P21" s="55" t="s">
        <v>1415</v>
      </c>
      <c r="Q21" s="9" t="s">
        <v>670</v>
      </c>
      <c r="T21" s="9">
        <f ca="1">IFERROR(OFFSET(ITEM_RES!$A$5,MATCH(BUILDING!S21,ITEM_RES!$J$5:$J$229,0)-1,0),0)</f>
        <v>0</v>
      </c>
      <c r="V21" s="81" t="s">
        <v>525</v>
      </c>
      <c r="W21" s="11">
        <f ca="1">IFERROR(OFFSET(ITEM_RES!$A$5,MATCH(BUILDING!V21,ITEM_RES!$J$5:$J$229,0)-1,0),0)</f>
        <v>211010101</v>
      </c>
      <c r="Y21" s="9" t="s">
        <v>496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12800850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12800850</v>
      </c>
      <c r="AG21" s="176">
        <f t="shared" ca="1" si="8"/>
        <v>19681550</v>
      </c>
      <c r="AI21" s="11">
        <f t="shared" si="4"/>
        <v>19800</v>
      </c>
      <c r="AJ21" s="10">
        <v>19800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434</v>
      </c>
      <c r="AS21" s="11">
        <v>8000000</v>
      </c>
      <c r="AV21" s="11">
        <f ca="1">IFERROR(OFFSET(ITEM_RES!$A$1,MATCH(AW21,ITEM_RES!$J:$J,0)-1,0),0)</f>
        <v>211020101</v>
      </c>
      <c r="AW21" s="10" t="s">
        <v>438</v>
      </c>
      <c r="AX21" s="11">
        <v>8000000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1335</v>
      </c>
      <c r="M22" s="9">
        <v>0</v>
      </c>
      <c r="N22" s="9">
        <v>15</v>
      </c>
      <c r="O22" s="9" t="s">
        <v>1413</v>
      </c>
      <c r="P22" s="55" t="s">
        <v>1415</v>
      </c>
      <c r="Q22" s="9" t="s">
        <v>670</v>
      </c>
      <c r="T22" s="9">
        <f ca="1">IFERROR(OFFSET(ITEM_RES!$A$5,MATCH(BUILDING!S22,ITEM_RES!$J$5:$J$229,0)-1,0),0)</f>
        <v>0</v>
      </c>
      <c r="V22" s="81" t="s">
        <v>525</v>
      </c>
      <c r="W22" s="11">
        <f ca="1">IFERROR(OFFSET(ITEM_RES!$A$5,MATCH(BUILDING!V22,ITEM_RES!$J$5:$J$229,0)-1,0),0)</f>
        <v>211010101</v>
      </c>
      <c r="Y22" s="9" t="s">
        <v>496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20801050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20801050</v>
      </c>
      <c r="AG22" s="176">
        <f t="shared" ca="1" si="8"/>
        <v>33601900</v>
      </c>
      <c r="AI22" s="11">
        <f t="shared" si="4"/>
        <v>21600</v>
      </c>
      <c r="AJ22" s="10">
        <v>21600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434</v>
      </c>
      <c r="AS22" s="11">
        <v>13000000</v>
      </c>
      <c r="AV22" s="11">
        <f ca="1">IFERROR(OFFSET(ITEM_RES!$A$1,MATCH(AW22,ITEM_RES!$J:$J,0)-1,0),0)</f>
        <v>211020101</v>
      </c>
      <c r="AW22" s="10" t="s">
        <v>438</v>
      </c>
      <c r="AX22" s="11">
        <v>13000000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1335</v>
      </c>
      <c r="M23" s="9">
        <v>0</v>
      </c>
      <c r="N23" s="9">
        <v>15</v>
      </c>
      <c r="O23" s="9" t="s">
        <v>1413</v>
      </c>
      <c r="P23" s="55" t="s">
        <v>1415</v>
      </c>
      <c r="Q23" s="9" t="s">
        <v>670</v>
      </c>
      <c r="T23" s="9">
        <f ca="1">IFERROR(OFFSET(ITEM_RES!$A$5,MATCH(BUILDING!S23,ITEM_RES!$J$5:$J$229,0)-1,0),0)</f>
        <v>0</v>
      </c>
      <c r="V23" s="81" t="s">
        <v>525</v>
      </c>
      <c r="W23" s="11">
        <f ca="1">IFERROR(OFFSET(ITEM_RES!$A$5,MATCH(BUILDING!V23,ITEM_RES!$J$5:$J$229,0)-1,0),0)</f>
        <v>211010101</v>
      </c>
      <c r="Y23" s="9" t="s">
        <v>496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32001250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32001250</v>
      </c>
      <c r="AG23" s="176">
        <f t="shared" ca="1" si="8"/>
        <v>52802300</v>
      </c>
      <c r="AI23" s="11">
        <f t="shared" si="4"/>
        <v>23400</v>
      </c>
      <c r="AJ23" s="10">
        <v>23400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434</v>
      </c>
      <c r="AS23" s="11">
        <v>20000000</v>
      </c>
      <c r="AV23" s="11">
        <f ca="1">IFERROR(OFFSET(ITEM_RES!$A$1,MATCH(AW23,ITEM_RES!$J:$J,0)-1,0),0)</f>
        <v>211020101</v>
      </c>
      <c r="AW23" s="10" t="s">
        <v>438</v>
      </c>
      <c r="AX23" s="11">
        <v>20000000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1335</v>
      </c>
      <c r="M24" s="9">
        <v>0</v>
      </c>
      <c r="N24" s="9">
        <v>15</v>
      </c>
      <c r="O24" s="9" t="s">
        <v>1413</v>
      </c>
      <c r="P24" s="55" t="s">
        <v>1415</v>
      </c>
      <c r="Q24" s="9" t="s">
        <v>671</v>
      </c>
      <c r="T24" s="9">
        <f ca="1">IFERROR(OFFSET(ITEM_RES!$A$5,MATCH(BUILDING!S24,ITEM_RES!$J$5:$J$229,0)-1,0),0)</f>
        <v>0</v>
      </c>
      <c r="V24" s="81" t="s">
        <v>525</v>
      </c>
      <c r="W24" s="11">
        <f ca="1">IFERROR(OFFSET(ITEM_RES!$A$5,MATCH(BUILDING!V24,ITEM_RES!$J$5:$J$229,0)-1,0),0)</f>
        <v>211010101</v>
      </c>
      <c r="Y24" s="9" t="s">
        <v>496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51201500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51201500</v>
      </c>
      <c r="AG24" s="176">
        <f t="shared" ca="1" si="8"/>
        <v>83202750</v>
      </c>
      <c r="AI24" s="11">
        <f t="shared" si="4"/>
        <v>25200</v>
      </c>
      <c r="AJ24" s="10">
        <v>25200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434</v>
      </c>
      <c r="AS24" s="11">
        <v>32000000</v>
      </c>
      <c r="AV24" s="11">
        <f ca="1">IFERROR(OFFSET(ITEM_RES!$A$1,MATCH(AW24,ITEM_RES!$J:$J,0)-1,0),0)</f>
        <v>211020101</v>
      </c>
      <c r="AW24" s="10" t="s">
        <v>438</v>
      </c>
      <c r="AX24" s="11">
        <v>32000000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553</v>
      </c>
      <c r="L25" s="16">
        <v>2</v>
      </c>
      <c r="M25" s="16">
        <v>1</v>
      </c>
      <c r="N25" s="16">
        <v>15</v>
      </c>
      <c r="O25" s="16" t="s">
        <v>1085</v>
      </c>
      <c r="P25" s="56" t="s">
        <v>1348</v>
      </c>
      <c r="Q25" s="16" t="s">
        <v>673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526</v>
      </c>
      <c r="W25" s="18">
        <f ca="1">IFERROR(OFFSET(ITEM_RES!$A$5,MATCH(BUILDING!V25,ITEM_RES!$J$5:$J$229,0)-1,0),0)</f>
        <v>211010201</v>
      </c>
      <c r="X25" s="76"/>
      <c r="Y25" s="16" t="s">
        <v>497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1080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1080</v>
      </c>
      <c r="AG25" s="178">
        <f ca="1">AE25</f>
        <v>1080</v>
      </c>
      <c r="AH25" s="76"/>
      <c r="AI25" s="18">
        <f t="shared" si="4"/>
        <v>5</v>
      </c>
      <c r="AJ25" s="17">
        <v>5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3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211020101</v>
      </c>
      <c r="AW25" s="17" t="s">
        <v>438</v>
      </c>
      <c r="AX25" s="18">
        <v>50</v>
      </c>
      <c r="AY25" s="17"/>
      <c r="AZ25" s="18"/>
      <c r="BA25" s="18">
        <f ca="1">IFERROR(OFFSET(ITEM_RES!$A$1,MATCH(BB25,ITEM_RES!$J:$J,0)-1,0),0)</f>
        <v>213010101</v>
      </c>
      <c r="BB25" s="17" t="s">
        <v>442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1086</v>
      </c>
      <c r="P26" s="55" t="s">
        <v>1348</v>
      </c>
      <c r="Q26" s="9" t="s">
        <v>673</v>
      </c>
      <c r="T26" s="9">
        <f ca="1">IFERROR(OFFSET(ITEM_RES!$A$5,MATCH(BUILDING!S26,ITEM_RES!$J$5:$J$229,0)-1,0),0)</f>
        <v>0</v>
      </c>
      <c r="V26" s="81" t="s">
        <v>526</v>
      </c>
      <c r="W26" s="11">
        <f ca="1">IFERROR(OFFSET(ITEM_RES!$A$5,MATCH(BUILDING!V26,ITEM_RES!$J$5:$J$229,0)-1,0),0)</f>
        <v>211010201</v>
      </c>
      <c r="Y26" s="9" t="s">
        <v>497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160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160</v>
      </c>
      <c r="AG26" s="176">
        <f ca="1">AE25+AE26</f>
        <v>1240</v>
      </c>
      <c r="AI26" s="11">
        <f t="shared" si="4"/>
        <v>10</v>
      </c>
      <c r="AJ26" s="10">
        <v>10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2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211020101</v>
      </c>
      <c r="AW26" s="10" t="s">
        <v>438</v>
      </c>
      <c r="AX26" s="11">
        <v>100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1087</v>
      </c>
      <c r="P27" s="55" t="s">
        <v>1349</v>
      </c>
      <c r="Q27" s="9" t="s">
        <v>673</v>
      </c>
      <c r="T27" s="9">
        <f ca="1">IFERROR(OFFSET(ITEM_RES!$A$5,MATCH(BUILDING!S27,ITEM_RES!$J$5:$J$229,0)-1,0),0)</f>
        <v>0</v>
      </c>
      <c r="V27" s="81" t="s">
        <v>526</v>
      </c>
      <c r="W27" s="11">
        <f ca="1">IFERROR(OFFSET(ITEM_RES!$A$5,MATCH(BUILDING!V27,ITEM_RES!$J$5:$J$229,0)-1,0),0)</f>
        <v>211010201</v>
      </c>
      <c r="Y27" s="9" t="s">
        <v>497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240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240</v>
      </c>
      <c r="AG27" s="176">
        <f t="shared" ref="AG27:AG44" ca="1" si="10">AE26+AE27</f>
        <v>400</v>
      </c>
      <c r="AI27" s="11">
        <f t="shared" si="4"/>
        <v>30</v>
      </c>
      <c r="AJ27" s="10">
        <v>30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2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211020101</v>
      </c>
      <c r="AW27" s="10" t="s">
        <v>438</v>
      </c>
      <c r="AX27" s="11">
        <v>150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1087</v>
      </c>
      <c r="P28" s="55" t="s">
        <v>1349</v>
      </c>
      <c r="Q28" s="9" t="s">
        <v>673</v>
      </c>
      <c r="T28" s="9">
        <f ca="1">IFERROR(OFFSET(ITEM_RES!$A$5,MATCH(BUILDING!S28,ITEM_RES!$J$5:$J$229,0)-1,0),0)</f>
        <v>0</v>
      </c>
      <c r="V28" s="81" t="s">
        <v>526</v>
      </c>
      <c r="W28" s="11">
        <f ca="1">IFERROR(OFFSET(ITEM_RES!$A$5,MATCH(BUILDING!V28,ITEM_RES!$J$5:$J$229,0)-1,0),0)</f>
        <v>211010201</v>
      </c>
      <c r="Y28" s="9" t="s">
        <v>497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925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925</v>
      </c>
      <c r="AG28" s="176">
        <f t="shared" ca="1" si="10"/>
        <v>1165</v>
      </c>
      <c r="AI28" s="11">
        <f t="shared" si="4"/>
        <v>300</v>
      </c>
      <c r="AJ28" s="10">
        <v>300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2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211020101</v>
      </c>
      <c r="AW28" s="10" t="s">
        <v>438</v>
      </c>
      <c r="AX28" s="11">
        <v>600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1088</v>
      </c>
      <c r="P29" s="55" t="s">
        <v>1350</v>
      </c>
      <c r="Q29" s="9" t="s">
        <v>673</v>
      </c>
      <c r="T29" s="9">
        <f ca="1">IFERROR(OFFSET(ITEM_RES!$A$5,MATCH(BUILDING!S29,ITEM_RES!$J$5:$J$229,0)-1,0),0)</f>
        <v>0</v>
      </c>
      <c r="V29" s="81" t="s">
        <v>526</v>
      </c>
      <c r="W29" s="11">
        <f ca="1">IFERROR(OFFSET(ITEM_RES!$A$5,MATCH(BUILDING!V29,ITEM_RES!$J$5:$J$229,0)-1,0),0)</f>
        <v>211010201</v>
      </c>
      <c r="Y29" s="9" t="s">
        <v>497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4090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4090</v>
      </c>
      <c r="AG29" s="176">
        <f t="shared" ca="1" si="10"/>
        <v>5015</v>
      </c>
      <c r="AI29" s="11">
        <f t="shared" si="4"/>
        <v>600</v>
      </c>
      <c r="AJ29" s="10">
        <v>600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2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211020101</v>
      </c>
      <c r="AW29" s="10" t="s">
        <v>438</v>
      </c>
      <c r="AX29" s="11">
        <v>2700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1089</v>
      </c>
      <c r="P30" s="55" t="s">
        <v>1350</v>
      </c>
      <c r="Q30" s="9" t="s">
        <v>673</v>
      </c>
      <c r="T30" s="9">
        <f ca="1">IFERROR(OFFSET(ITEM_RES!$A$5,MATCH(BUILDING!S30,ITEM_RES!$J$5:$J$229,0)-1,0),0)</f>
        <v>0</v>
      </c>
      <c r="V30" s="81" t="s">
        <v>526</v>
      </c>
      <c r="W30" s="11">
        <f ca="1">IFERROR(OFFSET(ITEM_RES!$A$5,MATCH(BUILDING!V30,ITEM_RES!$J$5:$J$229,0)-1,0),0)</f>
        <v>211010201</v>
      </c>
      <c r="Y30" s="9" t="s">
        <v>497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13550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13550</v>
      </c>
      <c r="AG30" s="176">
        <f t="shared" ca="1" si="10"/>
        <v>17640</v>
      </c>
      <c r="AI30" s="11">
        <f t="shared" si="4"/>
        <v>1200</v>
      </c>
      <c r="AJ30" s="10">
        <v>1200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438</v>
      </c>
      <c r="AX30" s="11">
        <v>9000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1090</v>
      </c>
      <c r="P31" s="55" t="s">
        <v>1351</v>
      </c>
      <c r="Q31" s="9" t="s">
        <v>673</v>
      </c>
      <c r="T31" s="9">
        <f ca="1">IFERROR(OFFSET(ITEM_RES!$A$5,MATCH(BUILDING!S31,ITEM_RES!$J$5:$J$229,0)-1,0),0)</f>
        <v>0</v>
      </c>
      <c r="V31" s="81" t="s">
        <v>526</v>
      </c>
      <c r="W31" s="11">
        <f ca="1">IFERROR(OFFSET(ITEM_RES!$A$5,MATCH(BUILDING!V31,ITEM_RES!$J$5:$J$229,0)-1,0),0)</f>
        <v>211010201</v>
      </c>
      <c r="Y31" s="9" t="s">
        <v>497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30100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30100</v>
      </c>
      <c r="AG31" s="176">
        <f t="shared" ca="1" si="10"/>
        <v>43650</v>
      </c>
      <c r="AI31" s="11">
        <f t="shared" si="4"/>
        <v>1800</v>
      </c>
      <c r="AJ31" s="10">
        <v>1800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438</v>
      </c>
      <c r="AX31" s="11">
        <v>20000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1090</v>
      </c>
      <c r="P32" s="55" t="s">
        <v>1351</v>
      </c>
      <c r="Q32" s="9" t="s">
        <v>673</v>
      </c>
      <c r="T32" s="9">
        <f ca="1">IFERROR(OFFSET(ITEM_RES!$A$5,MATCH(BUILDING!S32,ITEM_RES!$J$5:$J$229,0)-1,0),0)</f>
        <v>0</v>
      </c>
      <c r="V32" s="81" t="s">
        <v>526</v>
      </c>
      <c r="W32" s="11">
        <f ca="1">IFERROR(OFFSET(ITEM_RES!$A$5,MATCH(BUILDING!V32,ITEM_RES!$J$5:$J$229,0)-1,0),0)</f>
        <v>211010201</v>
      </c>
      <c r="Y32" s="9" t="s">
        <v>497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63100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63100</v>
      </c>
      <c r="AG32" s="176">
        <f t="shared" ca="1" si="10"/>
        <v>93200</v>
      </c>
      <c r="AI32" s="11">
        <f t="shared" si="4"/>
        <v>3600</v>
      </c>
      <c r="AJ32" s="10">
        <v>3600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438</v>
      </c>
      <c r="AX32" s="11">
        <v>42000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1418</v>
      </c>
      <c r="P33" s="55" t="s">
        <v>1420</v>
      </c>
      <c r="Q33" s="9" t="s">
        <v>673</v>
      </c>
      <c r="T33" s="9">
        <f ca="1">IFERROR(OFFSET(ITEM_RES!$A$5,MATCH(BUILDING!S33,ITEM_RES!$J$5:$J$229,0)-1,0),0)</f>
        <v>0</v>
      </c>
      <c r="V33" s="81" t="s">
        <v>526</v>
      </c>
      <c r="W33" s="11">
        <f ca="1">IFERROR(OFFSET(ITEM_RES!$A$5,MATCH(BUILDING!V33,ITEM_RES!$J$5:$J$229,0)-1,0),0)</f>
        <v>211010201</v>
      </c>
      <c r="Y33" s="9" t="s">
        <v>497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117150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117150</v>
      </c>
      <c r="AG33" s="176">
        <f t="shared" ca="1" si="10"/>
        <v>180250</v>
      </c>
      <c r="AI33" s="11">
        <f t="shared" si="4"/>
        <v>5400</v>
      </c>
      <c r="AJ33" s="10">
        <v>5400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438</v>
      </c>
      <c r="AX33" s="11">
        <v>78000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1418</v>
      </c>
      <c r="P34" s="55" t="s">
        <v>1420</v>
      </c>
      <c r="Q34" s="9" t="s">
        <v>673</v>
      </c>
      <c r="T34" s="9">
        <f ca="1">IFERROR(OFFSET(ITEM_RES!$A$5,MATCH(BUILDING!S34,ITEM_RES!$J$5:$J$229,0)-1,0),0)</f>
        <v>0</v>
      </c>
      <c r="V34" s="81" t="s">
        <v>526</v>
      </c>
      <c r="W34" s="11">
        <f ca="1">IFERROR(OFFSET(ITEM_RES!$A$5,MATCH(BUILDING!V34,ITEM_RES!$J$5:$J$229,0)-1,0),0)</f>
        <v>211010201</v>
      </c>
      <c r="Y34" s="9" t="s">
        <v>497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195200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195200</v>
      </c>
      <c r="AG34" s="176">
        <f t="shared" ca="1" si="10"/>
        <v>312350</v>
      </c>
      <c r="AI34" s="11">
        <f t="shared" si="4"/>
        <v>7200</v>
      </c>
      <c r="AJ34" s="10">
        <v>7200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438</v>
      </c>
      <c r="AX34" s="11">
        <v>130000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1417</v>
      </c>
      <c r="P35" s="55" t="s">
        <v>1419</v>
      </c>
      <c r="Q35" s="9" t="s">
        <v>673</v>
      </c>
      <c r="T35" s="9">
        <f ca="1">IFERROR(OFFSET(ITEM_RES!$A$5,MATCH(BUILDING!S35,ITEM_RES!$J$5:$J$229,0)-1,0),0)</f>
        <v>0</v>
      </c>
      <c r="V35" s="81" t="s">
        <v>526</v>
      </c>
      <c r="W35" s="11">
        <f ca="1">IFERROR(OFFSET(ITEM_RES!$A$5,MATCH(BUILDING!V35,ITEM_RES!$J$5:$J$229,0)-1,0),0)</f>
        <v>211010201</v>
      </c>
      <c r="Y35" s="9" t="s">
        <v>497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330250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330250</v>
      </c>
      <c r="AG35" s="176">
        <f t="shared" ca="1" si="10"/>
        <v>525450</v>
      </c>
      <c r="AI35" s="11">
        <f t="shared" si="4"/>
        <v>9000</v>
      </c>
      <c r="AJ35" s="10">
        <v>9000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438</v>
      </c>
      <c r="AX35" s="11">
        <v>220000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1417</v>
      </c>
      <c r="P36" s="55" t="s">
        <v>1419</v>
      </c>
      <c r="Q36" s="9" t="s">
        <v>673</v>
      </c>
      <c r="T36" s="9">
        <f ca="1">IFERROR(OFFSET(ITEM_RES!$A$5,MATCH(BUILDING!S36,ITEM_RES!$J$5:$J$229,0)-1,0),0)</f>
        <v>0</v>
      </c>
      <c r="V36" s="81" t="s">
        <v>526</v>
      </c>
      <c r="W36" s="11">
        <f ca="1">IFERROR(OFFSET(ITEM_RES!$A$5,MATCH(BUILDING!V36,ITEM_RES!$J$5:$J$229,0)-1,0),0)</f>
        <v>211010201</v>
      </c>
      <c r="Y36" s="9" t="s">
        <v>497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555300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555300</v>
      </c>
      <c r="AG36" s="176">
        <f t="shared" ca="1" si="10"/>
        <v>885550</v>
      </c>
      <c r="AI36" s="11">
        <f t="shared" si="4"/>
        <v>10800</v>
      </c>
      <c r="AJ36" s="10">
        <v>10800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438</v>
      </c>
      <c r="AX36" s="11">
        <v>370000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1417</v>
      </c>
      <c r="P37" s="55" t="s">
        <v>1419</v>
      </c>
      <c r="Q37" s="9" t="s">
        <v>673</v>
      </c>
      <c r="T37" s="9">
        <f ca="1">IFERROR(OFFSET(ITEM_RES!$A$5,MATCH(BUILDING!S37,ITEM_RES!$J$5:$J$229,0)-1,0),0)</f>
        <v>0</v>
      </c>
      <c r="V37" s="81" t="s">
        <v>526</v>
      </c>
      <c r="W37" s="11">
        <f ca="1">IFERROR(OFFSET(ITEM_RES!$A$5,MATCH(BUILDING!V37,ITEM_RES!$J$5:$J$229,0)-1,0),0)</f>
        <v>211010201</v>
      </c>
      <c r="Y37" s="9" t="s">
        <v>497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930350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930350</v>
      </c>
      <c r="AG37" s="176">
        <f t="shared" ca="1" si="10"/>
        <v>1485650</v>
      </c>
      <c r="AI37" s="11">
        <f t="shared" si="4"/>
        <v>12600</v>
      </c>
      <c r="AJ37" s="10">
        <v>12600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438</v>
      </c>
      <c r="AX37" s="11">
        <v>620000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1417</v>
      </c>
      <c r="P38" s="55" t="s">
        <v>1419</v>
      </c>
      <c r="Q38" s="9" t="s">
        <v>673</v>
      </c>
      <c r="T38" s="9">
        <f ca="1">IFERROR(OFFSET(ITEM_RES!$A$5,MATCH(BUILDING!S38,ITEM_RES!$J$5:$J$229,0)-1,0),0)</f>
        <v>0</v>
      </c>
      <c r="V38" s="81" t="s">
        <v>526</v>
      </c>
      <c r="W38" s="11">
        <f ca="1">IFERROR(OFFSET(ITEM_RES!$A$5,MATCH(BUILDING!V38,ITEM_RES!$J$5:$J$229,0)-1,0),0)</f>
        <v>211010201</v>
      </c>
      <c r="Y38" s="9" t="s">
        <v>497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1455450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1455450</v>
      </c>
      <c r="AG38" s="176">
        <f t="shared" ca="1" si="10"/>
        <v>2385800</v>
      </c>
      <c r="AI38" s="11">
        <f t="shared" si="4"/>
        <v>14400</v>
      </c>
      <c r="AJ38" s="10">
        <v>14400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438</v>
      </c>
      <c r="AX38" s="11">
        <v>970000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1417</v>
      </c>
      <c r="P39" s="55" t="s">
        <v>1419</v>
      </c>
      <c r="Q39" s="9" t="s">
        <v>673</v>
      </c>
      <c r="T39" s="9">
        <f ca="1">IFERROR(OFFSET(ITEM_RES!$A$5,MATCH(BUILDING!S39,ITEM_RES!$J$5:$J$229,0)-1,0),0)</f>
        <v>0</v>
      </c>
      <c r="V39" s="81" t="s">
        <v>526</v>
      </c>
      <c r="W39" s="11">
        <f ca="1">IFERROR(OFFSET(ITEM_RES!$A$5,MATCH(BUILDING!V39,ITEM_RES!$J$5:$J$229,0)-1,0),0)</f>
        <v>211010201</v>
      </c>
      <c r="Y39" s="9" t="s">
        <v>497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3360550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3360550</v>
      </c>
      <c r="AG39" s="176">
        <f t="shared" ca="1" si="10"/>
        <v>4816000</v>
      </c>
      <c r="AI39" s="11">
        <f t="shared" si="4"/>
        <v>16200</v>
      </c>
      <c r="AJ39" s="10">
        <v>16200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434</v>
      </c>
      <c r="AS39" s="11">
        <v>2100000</v>
      </c>
      <c r="AV39" s="11">
        <f ca="1">IFERROR(OFFSET(ITEM_RES!$A$1,MATCH(AW39,ITEM_RES!$J:$J,0)-1,0),0)</f>
        <v>211020101</v>
      </c>
      <c r="AW39" s="10" t="s">
        <v>438</v>
      </c>
      <c r="AX39" s="11">
        <v>2100000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1417</v>
      </c>
      <c r="P40" s="55" t="s">
        <v>1419</v>
      </c>
      <c r="Q40" s="9" t="s">
        <v>673</v>
      </c>
      <c r="T40" s="9">
        <f ca="1">IFERROR(OFFSET(ITEM_RES!$A$5,MATCH(BUILDING!S40,ITEM_RES!$J$5:$J$229,0)-1,0),0)</f>
        <v>0</v>
      </c>
      <c r="V40" s="81" t="s">
        <v>526</v>
      </c>
      <c r="W40" s="11">
        <f ca="1">IFERROR(OFFSET(ITEM_RES!$A$5,MATCH(BUILDING!V40,ITEM_RES!$J$5:$J$229,0)-1,0),0)</f>
        <v>211010201</v>
      </c>
      <c r="Y40" s="9" t="s">
        <v>497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6880700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6880700</v>
      </c>
      <c r="AG40" s="176">
        <f t="shared" ca="1" si="10"/>
        <v>10241250</v>
      </c>
      <c r="AI40" s="11">
        <f t="shared" si="4"/>
        <v>18000</v>
      </c>
      <c r="AJ40" s="10">
        <v>18000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434</v>
      </c>
      <c r="AS40" s="11">
        <v>4300000</v>
      </c>
      <c r="AV40" s="11">
        <f ca="1">IFERROR(OFFSET(ITEM_RES!$A$1,MATCH(AW40,ITEM_RES!$J:$J,0)-1,0),0)</f>
        <v>211020101</v>
      </c>
      <c r="AW40" s="10" t="s">
        <v>438</v>
      </c>
      <c r="AX40" s="11">
        <v>4300000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1417</v>
      </c>
      <c r="P41" s="55" t="s">
        <v>1419</v>
      </c>
      <c r="Q41" s="9" t="s">
        <v>673</v>
      </c>
      <c r="T41" s="9">
        <f ca="1">IFERROR(OFFSET(ITEM_RES!$A$5,MATCH(BUILDING!S41,ITEM_RES!$J$5:$J$229,0)-1,0),0)</f>
        <v>0</v>
      </c>
      <c r="V41" s="81" t="s">
        <v>526</v>
      </c>
      <c r="W41" s="11">
        <f ca="1">IFERROR(OFFSET(ITEM_RES!$A$5,MATCH(BUILDING!V41,ITEM_RES!$J$5:$J$229,0)-1,0),0)</f>
        <v>211010201</v>
      </c>
      <c r="Y41" s="9" t="s">
        <v>497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12800850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12800850</v>
      </c>
      <c r="AG41" s="176">
        <f t="shared" ca="1" si="10"/>
        <v>19681550</v>
      </c>
      <c r="AI41" s="11">
        <f t="shared" si="4"/>
        <v>19800</v>
      </c>
      <c r="AJ41" s="10">
        <v>19800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434</v>
      </c>
      <c r="AS41" s="11">
        <v>8000000</v>
      </c>
      <c r="AV41" s="11">
        <f ca="1">IFERROR(OFFSET(ITEM_RES!$A$1,MATCH(AW41,ITEM_RES!$J:$J,0)-1,0),0)</f>
        <v>211020101</v>
      </c>
      <c r="AW41" s="10" t="s">
        <v>438</v>
      </c>
      <c r="AX41" s="11">
        <v>8000000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1417</v>
      </c>
      <c r="P42" s="55" t="s">
        <v>1419</v>
      </c>
      <c r="Q42" s="9" t="s">
        <v>673</v>
      </c>
      <c r="T42" s="9">
        <f ca="1">IFERROR(OFFSET(ITEM_RES!$A$5,MATCH(BUILDING!S42,ITEM_RES!$J$5:$J$229,0)-1,0),0)</f>
        <v>0</v>
      </c>
      <c r="V42" s="81" t="s">
        <v>526</v>
      </c>
      <c r="W42" s="11">
        <f ca="1">IFERROR(OFFSET(ITEM_RES!$A$5,MATCH(BUILDING!V42,ITEM_RES!$J$5:$J$229,0)-1,0),0)</f>
        <v>211010201</v>
      </c>
      <c r="Y42" s="9" t="s">
        <v>497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20801050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20801050</v>
      </c>
      <c r="AG42" s="176">
        <f t="shared" ca="1" si="10"/>
        <v>33601900</v>
      </c>
      <c r="AI42" s="11">
        <f t="shared" si="4"/>
        <v>21600</v>
      </c>
      <c r="AJ42" s="10">
        <v>21600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434</v>
      </c>
      <c r="AS42" s="11">
        <v>13000000</v>
      </c>
      <c r="AV42" s="11">
        <f ca="1">IFERROR(OFFSET(ITEM_RES!$A$1,MATCH(AW42,ITEM_RES!$J:$J,0)-1,0),0)</f>
        <v>211020101</v>
      </c>
      <c r="AW42" s="10" t="s">
        <v>438</v>
      </c>
      <c r="AX42" s="11">
        <v>13000000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1417</v>
      </c>
      <c r="P43" s="55" t="s">
        <v>1419</v>
      </c>
      <c r="Q43" s="9" t="s">
        <v>673</v>
      </c>
      <c r="T43" s="9">
        <f ca="1">IFERROR(OFFSET(ITEM_RES!$A$5,MATCH(BUILDING!S43,ITEM_RES!$J$5:$J$229,0)-1,0),0)</f>
        <v>0</v>
      </c>
      <c r="V43" s="81" t="s">
        <v>526</v>
      </c>
      <c r="W43" s="11">
        <f ca="1">IFERROR(OFFSET(ITEM_RES!$A$5,MATCH(BUILDING!V43,ITEM_RES!$J$5:$J$229,0)-1,0),0)</f>
        <v>211010201</v>
      </c>
      <c r="Y43" s="9" t="s">
        <v>497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32001250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32001250</v>
      </c>
      <c r="AG43" s="176">
        <f t="shared" ca="1" si="10"/>
        <v>52802300</v>
      </c>
      <c r="AI43" s="11">
        <f t="shared" si="4"/>
        <v>23400</v>
      </c>
      <c r="AJ43" s="10">
        <v>23400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434</v>
      </c>
      <c r="AS43" s="11">
        <v>20000000</v>
      </c>
      <c r="AV43" s="11">
        <f ca="1">IFERROR(OFFSET(ITEM_RES!$A$1,MATCH(AW43,ITEM_RES!$J:$J,0)-1,0),0)</f>
        <v>211020101</v>
      </c>
      <c r="AW43" s="10" t="s">
        <v>438</v>
      </c>
      <c r="AX43" s="11">
        <v>20000000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1417</v>
      </c>
      <c r="P44" s="55" t="s">
        <v>1419</v>
      </c>
      <c r="Q44" s="9" t="s">
        <v>673</v>
      </c>
      <c r="T44" s="9">
        <f ca="1">IFERROR(OFFSET(ITEM_RES!$A$5,MATCH(BUILDING!S44,ITEM_RES!$J$5:$J$229,0)-1,0),0)</f>
        <v>0</v>
      </c>
      <c r="V44" s="81" t="s">
        <v>526</v>
      </c>
      <c r="W44" s="11">
        <f ca="1">IFERROR(OFFSET(ITEM_RES!$A$5,MATCH(BUILDING!V44,ITEM_RES!$J$5:$J$229,0)-1,0),0)</f>
        <v>211010201</v>
      </c>
      <c r="Y44" s="9" t="s">
        <v>497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51201500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51201500</v>
      </c>
      <c r="AG44" s="176">
        <f t="shared" ca="1" si="10"/>
        <v>83202750</v>
      </c>
      <c r="AI44" s="11">
        <f t="shared" si="4"/>
        <v>25200</v>
      </c>
      <c r="AJ44" s="10">
        <v>25200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434</v>
      </c>
      <c r="AS44" s="11">
        <v>32000000</v>
      </c>
      <c r="AV44" s="11">
        <f ca="1">IFERROR(OFFSET(ITEM_RES!$A$1,MATCH(AW44,ITEM_RES!$J:$J,0)-1,0),0)</f>
        <v>211020101</v>
      </c>
      <c r="AW44" s="10" t="s">
        <v>438</v>
      </c>
      <c r="AX44" s="11">
        <v>32000000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1336</v>
      </c>
      <c r="L45" s="16">
        <v>4</v>
      </c>
      <c r="M45" s="16">
        <v>1</v>
      </c>
      <c r="N45" s="16">
        <v>15</v>
      </c>
      <c r="O45" s="16" t="s">
        <v>1073</v>
      </c>
      <c r="P45" s="56" t="s">
        <v>1352</v>
      </c>
      <c r="Q45" s="16" t="s">
        <v>674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527</v>
      </c>
      <c r="W45" s="18">
        <f ca="1">IFERROR(OFFSET(ITEM_RES!$A$5,MATCH(BUILDING!V45,ITEM_RES!$J$5:$J$229,0)-1,0),0)</f>
        <v>211010301</v>
      </c>
      <c r="X45" s="76"/>
      <c r="Y45" s="16" t="s">
        <v>498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1080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1080</v>
      </c>
      <c r="AG45" s="178">
        <f ca="1">AE45</f>
        <v>1080</v>
      </c>
      <c r="AH45" s="76"/>
      <c r="AI45" s="18">
        <f t="shared" si="4"/>
        <v>5</v>
      </c>
      <c r="AJ45" s="17">
        <v>5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3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211020101</v>
      </c>
      <c r="AW45" s="17" t="s">
        <v>438</v>
      </c>
      <c r="AX45" s="18">
        <v>50</v>
      </c>
      <c r="AY45" s="17"/>
      <c r="AZ45" s="18"/>
      <c r="BA45" s="18">
        <f ca="1">IFERROR(OFFSET(ITEM_RES!$A$1,MATCH(BB45,ITEM_RES!$J:$J,0)-1,0),0)</f>
        <v>213010101</v>
      </c>
      <c r="BB45" s="17" t="s">
        <v>442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1336</v>
      </c>
      <c r="M46" s="9">
        <v>1</v>
      </c>
      <c r="N46" s="9">
        <v>15</v>
      </c>
      <c r="O46" s="9" t="s">
        <v>1074</v>
      </c>
      <c r="P46" s="55" t="s">
        <v>1352</v>
      </c>
      <c r="Q46" s="9" t="s">
        <v>674</v>
      </c>
      <c r="T46" s="9">
        <f ca="1">IFERROR(OFFSET(ITEM_RES!$A$5,MATCH(BUILDING!S46,ITEM_RES!$J$5:$J$229,0)-1,0),0)</f>
        <v>0</v>
      </c>
      <c r="V46" s="81" t="s">
        <v>527</v>
      </c>
      <c r="W46" s="11">
        <f ca="1">IFERROR(OFFSET(ITEM_RES!$A$5,MATCH(BUILDING!V46,ITEM_RES!$J$5:$J$229,0)-1,0),0)</f>
        <v>211010301</v>
      </c>
      <c r="Y46" s="9" t="s">
        <v>498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160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160</v>
      </c>
      <c r="AG46" s="176">
        <f ca="1">AE45+AE46</f>
        <v>1240</v>
      </c>
      <c r="AI46" s="11">
        <f t="shared" si="4"/>
        <v>10</v>
      </c>
      <c r="AJ46" s="10">
        <v>10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2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211020101</v>
      </c>
      <c r="AW46" s="10" t="s">
        <v>438</v>
      </c>
      <c r="AX46" s="11">
        <v>100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1336</v>
      </c>
      <c r="M47" s="9">
        <v>1</v>
      </c>
      <c r="N47" s="9">
        <v>15</v>
      </c>
      <c r="O47" s="9" t="s">
        <v>1075</v>
      </c>
      <c r="P47" s="55" t="s">
        <v>1353</v>
      </c>
      <c r="Q47" s="9" t="s">
        <v>674</v>
      </c>
      <c r="T47" s="9">
        <f ca="1">IFERROR(OFFSET(ITEM_RES!$A$5,MATCH(BUILDING!S47,ITEM_RES!$J$5:$J$229,0)-1,0),0)</f>
        <v>0</v>
      </c>
      <c r="V47" s="81" t="s">
        <v>527</v>
      </c>
      <c r="W47" s="11">
        <f ca="1">IFERROR(OFFSET(ITEM_RES!$A$5,MATCH(BUILDING!V47,ITEM_RES!$J$5:$J$229,0)-1,0),0)</f>
        <v>211010301</v>
      </c>
      <c r="Y47" s="9" t="s">
        <v>498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240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240</v>
      </c>
      <c r="AG47" s="176">
        <f t="shared" ref="AG47:AG64" ca="1" si="11">AE46+AE47</f>
        <v>400</v>
      </c>
      <c r="AI47" s="11">
        <f t="shared" si="4"/>
        <v>30</v>
      </c>
      <c r="AJ47" s="10">
        <v>30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2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211020101</v>
      </c>
      <c r="AW47" s="10" t="s">
        <v>438</v>
      </c>
      <c r="AX47" s="11">
        <v>150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1336</v>
      </c>
      <c r="M48" s="9">
        <v>1</v>
      </c>
      <c r="N48" s="9">
        <v>15</v>
      </c>
      <c r="O48" s="9" t="s">
        <v>1075</v>
      </c>
      <c r="P48" s="55" t="s">
        <v>1353</v>
      </c>
      <c r="Q48" s="9" t="s">
        <v>674</v>
      </c>
      <c r="T48" s="9">
        <f ca="1">IFERROR(OFFSET(ITEM_RES!$A$5,MATCH(BUILDING!S48,ITEM_RES!$J$5:$J$229,0)-1,0),0)</f>
        <v>0</v>
      </c>
      <c r="V48" s="81" t="s">
        <v>527</v>
      </c>
      <c r="W48" s="11">
        <f ca="1">IFERROR(OFFSET(ITEM_RES!$A$5,MATCH(BUILDING!V48,ITEM_RES!$J$5:$J$229,0)-1,0),0)</f>
        <v>211010301</v>
      </c>
      <c r="Y48" s="9" t="s">
        <v>498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925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925</v>
      </c>
      <c r="AG48" s="176">
        <f t="shared" ca="1" si="11"/>
        <v>1165</v>
      </c>
      <c r="AI48" s="11">
        <f t="shared" si="4"/>
        <v>300</v>
      </c>
      <c r="AJ48" s="10">
        <v>300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2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211020101</v>
      </c>
      <c r="AW48" s="10" t="s">
        <v>438</v>
      </c>
      <c r="AX48" s="11">
        <v>600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1336</v>
      </c>
      <c r="M49" s="9">
        <v>1</v>
      </c>
      <c r="N49" s="9">
        <v>15</v>
      </c>
      <c r="O49" s="9" t="s">
        <v>1076</v>
      </c>
      <c r="P49" s="55" t="s">
        <v>1354</v>
      </c>
      <c r="Q49" s="9" t="s">
        <v>674</v>
      </c>
      <c r="T49" s="9">
        <f ca="1">IFERROR(OFFSET(ITEM_RES!$A$5,MATCH(BUILDING!S49,ITEM_RES!$J$5:$J$229,0)-1,0),0)</f>
        <v>0</v>
      </c>
      <c r="V49" s="81" t="s">
        <v>527</v>
      </c>
      <c r="W49" s="11">
        <f ca="1">IFERROR(OFFSET(ITEM_RES!$A$5,MATCH(BUILDING!V49,ITEM_RES!$J$5:$J$229,0)-1,0),0)</f>
        <v>211010301</v>
      </c>
      <c r="Y49" s="9" t="s">
        <v>498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4090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4090</v>
      </c>
      <c r="AG49" s="176">
        <f t="shared" ca="1" si="11"/>
        <v>5015</v>
      </c>
      <c r="AI49" s="11">
        <f t="shared" si="4"/>
        <v>600</v>
      </c>
      <c r="AJ49" s="10">
        <v>600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2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211020101</v>
      </c>
      <c r="AW49" s="10" t="s">
        <v>438</v>
      </c>
      <c r="AX49" s="11">
        <v>2700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1336</v>
      </c>
      <c r="M50" s="9">
        <v>1</v>
      </c>
      <c r="N50" s="9">
        <v>15</v>
      </c>
      <c r="O50" s="9" t="s">
        <v>1077</v>
      </c>
      <c r="P50" s="55" t="s">
        <v>1354</v>
      </c>
      <c r="Q50" s="9" t="s">
        <v>674</v>
      </c>
      <c r="T50" s="9">
        <f ca="1">IFERROR(OFFSET(ITEM_RES!$A$5,MATCH(BUILDING!S50,ITEM_RES!$J$5:$J$229,0)-1,0),0)</f>
        <v>0</v>
      </c>
      <c r="V50" s="81" t="s">
        <v>527</v>
      </c>
      <c r="W50" s="11">
        <f ca="1">IFERROR(OFFSET(ITEM_RES!$A$5,MATCH(BUILDING!V50,ITEM_RES!$J$5:$J$229,0)-1,0),0)</f>
        <v>211010301</v>
      </c>
      <c r="Y50" s="9" t="s">
        <v>498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13550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13550</v>
      </c>
      <c r="AG50" s="176">
        <f t="shared" ca="1" si="11"/>
        <v>17640</v>
      </c>
      <c r="AI50" s="11">
        <f t="shared" si="4"/>
        <v>1200</v>
      </c>
      <c r="AJ50" s="10">
        <v>1200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438</v>
      </c>
      <c r="AX50" s="11">
        <v>9000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1336</v>
      </c>
      <c r="M51" s="9">
        <v>1</v>
      </c>
      <c r="N51" s="9">
        <v>15</v>
      </c>
      <c r="O51" s="9" t="s">
        <v>1078</v>
      </c>
      <c r="P51" s="55" t="s">
        <v>1355</v>
      </c>
      <c r="Q51" s="9" t="s">
        <v>674</v>
      </c>
      <c r="T51" s="9">
        <f ca="1">IFERROR(OFFSET(ITEM_RES!$A$5,MATCH(BUILDING!S51,ITEM_RES!$J$5:$J$229,0)-1,0),0)</f>
        <v>0</v>
      </c>
      <c r="V51" s="81" t="s">
        <v>527</v>
      </c>
      <c r="W51" s="11">
        <f ca="1">IFERROR(OFFSET(ITEM_RES!$A$5,MATCH(BUILDING!V51,ITEM_RES!$J$5:$J$229,0)-1,0),0)</f>
        <v>211010301</v>
      </c>
      <c r="Y51" s="9" t="s">
        <v>498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30100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30100</v>
      </c>
      <c r="AG51" s="176">
        <f t="shared" ca="1" si="11"/>
        <v>43650</v>
      </c>
      <c r="AI51" s="11">
        <f t="shared" si="4"/>
        <v>1800</v>
      </c>
      <c r="AJ51" s="10">
        <v>1800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438</v>
      </c>
      <c r="AX51" s="11">
        <v>20000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1336</v>
      </c>
      <c r="M52" s="9">
        <v>1</v>
      </c>
      <c r="N52" s="9">
        <v>15</v>
      </c>
      <c r="O52" s="9" t="s">
        <v>1078</v>
      </c>
      <c r="P52" s="55" t="s">
        <v>1355</v>
      </c>
      <c r="Q52" s="9" t="s">
        <v>674</v>
      </c>
      <c r="T52" s="9">
        <f ca="1">IFERROR(OFFSET(ITEM_RES!$A$5,MATCH(BUILDING!S52,ITEM_RES!$J$5:$J$229,0)-1,0),0)</f>
        <v>0</v>
      </c>
      <c r="V52" s="81" t="s">
        <v>527</v>
      </c>
      <c r="W52" s="11">
        <f ca="1">IFERROR(OFFSET(ITEM_RES!$A$5,MATCH(BUILDING!V52,ITEM_RES!$J$5:$J$229,0)-1,0),0)</f>
        <v>211010301</v>
      </c>
      <c r="Y52" s="9" t="s">
        <v>498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63100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63100</v>
      </c>
      <c r="AG52" s="176">
        <f t="shared" ca="1" si="11"/>
        <v>93200</v>
      </c>
      <c r="AI52" s="11">
        <f t="shared" si="4"/>
        <v>3600</v>
      </c>
      <c r="AJ52" s="10">
        <v>3600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438</v>
      </c>
      <c r="AX52" s="11">
        <v>42000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1336</v>
      </c>
      <c r="M53" s="9">
        <v>1</v>
      </c>
      <c r="N53" s="9">
        <v>15</v>
      </c>
      <c r="O53" s="9" t="s">
        <v>1422</v>
      </c>
      <c r="P53" s="55" t="s">
        <v>1424</v>
      </c>
      <c r="Q53" s="9" t="s">
        <v>674</v>
      </c>
      <c r="T53" s="9">
        <f ca="1">IFERROR(OFFSET(ITEM_RES!$A$5,MATCH(BUILDING!S53,ITEM_RES!$J$5:$J$229,0)-1,0),0)</f>
        <v>0</v>
      </c>
      <c r="V53" s="81" t="s">
        <v>527</v>
      </c>
      <c r="W53" s="11">
        <f ca="1">IFERROR(OFFSET(ITEM_RES!$A$5,MATCH(BUILDING!V53,ITEM_RES!$J$5:$J$229,0)-1,0),0)</f>
        <v>211010301</v>
      </c>
      <c r="Y53" s="9" t="s">
        <v>498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117150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117150</v>
      </c>
      <c r="AG53" s="176">
        <f t="shared" ca="1" si="11"/>
        <v>180250</v>
      </c>
      <c r="AI53" s="11">
        <f t="shared" si="4"/>
        <v>5400</v>
      </c>
      <c r="AJ53" s="10">
        <v>5400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438</v>
      </c>
      <c r="AX53" s="11">
        <v>78000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1336</v>
      </c>
      <c r="M54" s="9">
        <v>1</v>
      </c>
      <c r="N54" s="9">
        <v>15</v>
      </c>
      <c r="O54" s="9" t="s">
        <v>1422</v>
      </c>
      <c r="P54" s="55" t="s">
        <v>1424</v>
      </c>
      <c r="Q54" s="9" t="s">
        <v>674</v>
      </c>
      <c r="T54" s="9">
        <f ca="1">IFERROR(OFFSET(ITEM_RES!$A$5,MATCH(BUILDING!S54,ITEM_RES!$J$5:$J$229,0)-1,0),0)</f>
        <v>0</v>
      </c>
      <c r="V54" s="81" t="s">
        <v>527</v>
      </c>
      <c r="W54" s="11">
        <f ca="1">IFERROR(OFFSET(ITEM_RES!$A$5,MATCH(BUILDING!V54,ITEM_RES!$J$5:$J$229,0)-1,0),0)</f>
        <v>211010301</v>
      </c>
      <c r="Y54" s="9" t="s">
        <v>498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195200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195200</v>
      </c>
      <c r="AG54" s="176">
        <f t="shared" ca="1" si="11"/>
        <v>312350</v>
      </c>
      <c r="AI54" s="11">
        <f t="shared" si="4"/>
        <v>7200</v>
      </c>
      <c r="AJ54" s="10">
        <v>7200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438</v>
      </c>
      <c r="AX54" s="11">
        <v>130000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1336</v>
      </c>
      <c r="M55" s="9">
        <v>1</v>
      </c>
      <c r="N55" s="9">
        <v>15</v>
      </c>
      <c r="O55" s="9" t="s">
        <v>1421</v>
      </c>
      <c r="P55" s="55" t="s">
        <v>1423</v>
      </c>
      <c r="Q55" s="9" t="s">
        <v>674</v>
      </c>
      <c r="T55" s="9">
        <f ca="1">IFERROR(OFFSET(ITEM_RES!$A$5,MATCH(BUILDING!S55,ITEM_RES!$J$5:$J$229,0)-1,0),0)</f>
        <v>0</v>
      </c>
      <c r="V55" s="81" t="s">
        <v>527</v>
      </c>
      <c r="W55" s="11">
        <f ca="1">IFERROR(OFFSET(ITEM_RES!$A$5,MATCH(BUILDING!V55,ITEM_RES!$J$5:$J$229,0)-1,0),0)</f>
        <v>211010301</v>
      </c>
      <c r="Y55" s="9" t="s">
        <v>498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330250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330250</v>
      </c>
      <c r="AG55" s="176">
        <f t="shared" ca="1" si="11"/>
        <v>525450</v>
      </c>
      <c r="AI55" s="11">
        <f t="shared" si="4"/>
        <v>9000</v>
      </c>
      <c r="AJ55" s="10">
        <v>9000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438</v>
      </c>
      <c r="AX55" s="11">
        <v>220000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1336</v>
      </c>
      <c r="M56" s="9">
        <v>1</v>
      </c>
      <c r="N56" s="9">
        <v>15</v>
      </c>
      <c r="O56" s="9" t="s">
        <v>1421</v>
      </c>
      <c r="P56" s="55" t="s">
        <v>1423</v>
      </c>
      <c r="Q56" s="9" t="s">
        <v>674</v>
      </c>
      <c r="T56" s="9">
        <f ca="1">IFERROR(OFFSET(ITEM_RES!$A$5,MATCH(BUILDING!S56,ITEM_RES!$J$5:$J$229,0)-1,0),0)</f>
        <v>0</v>
      </c>
      <c r="V56" s="81" t="s">
        <v>527</v>
      </c>
      <c r="W56" s="11">
        <f ca="1">IFERROR(OFFSET(ITEM_RES!$A$5,MATCH(BUILDING!V56,ITEM_RES!$J$5:$J$229,0)-1,0),0)</f>
        <v>211010301</v>
      </c>
      <c r="Y56" s="9" t="s">
        <v>498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555300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555300</v>
      </c>
      <c r="AG56" s="176">
        <f t="shared" ca="1" si="11"/>
        <v>885550</v>
      </c>
      <c r="AI56" s="11">
        <f t="shared" si="4"/>
        <v>10800</v>
      </c>
      <c r="AJ56" s="10">
        <v>10800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438</v>
      </c>
      <c r="AX56" s="11">
        <v>370000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1336</v>
      </c>
      <c r="M57" s="9">
        <v>1</v>
      </c>
      <c r="N57" s="9">
        <v>15</v>
      </c>
      <c r="O57" s="9" t="s">
        <v>1421</v>
      </c>
      <c r="P57" s="55" t="s">
        <v>1423</v>
      </c>
      <c r="Q57" s="9" t="s">
        <v>674</v>
      </c>
      <c r="T57" s="9">
        <f ca="1">IFERROR(OFFSET(ITEM_RES!$A$5,MATCH(BUILDING!S57,ITEM_RES!$J$5:$J$229,0)-1,0),0)</f>
        <v>0</v>
      </c>
      <c r="V57" s="81" t="s">
        <v>527</v>
      </c>
      <c r="W57" s="11">
        <f ca="1">IFERROR(OFFSET(ITEM_RES!$A$5,MATCH(BUILDING!V57,ITEM_RES!$J$5:$J$229,0)-1,0),0)</f>
        <v>211010301</v>
      </c>
      <c r="Y57" s="9" t="s">
        <v>498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930350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930350</v>
      </c>
      <c r="AG57" s="176">
        <f t="shared" ca="1" si="11"/>
        <v>1485650</v>
      </c>
      <c r="AI57" s="11">
        <f t="shared" si="4"/>
        <v>12600</v>
      </c>
      <c r="AJ57" s="10">
        <v>12600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438</v>
      </c>
      <c r="AX57" s="11">
        <v>620000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1336</v>
      </c>
      <c r="M58" s="9">
        <v>1</v>
      </c>
      <c r="N58" s="9">
        <v>15</v>
      </c>
      <c r="O58" s="9" t="s">
        <v>1421</v>
      </c>
      <c r="P58" s="55" t="s">
        <v>1423</v>
      </c>
      <c r="Q58" s="9" t="s">
        <v>674</v>
      </c>
      <c r="T58" s="9">
        <f ca="1">IFERROR(OFFSET(ITEM_RES!$A$5,MATCH(BUILDING!S58,ITEM_RES!$J$5:$J$229,0)-1,0),0)</f>
        <v>0</v>
      </c>
      <c r="V58" s="81" t="s">
        <v>527</v>
      </c>
      <c r="W58" s="11">
        <f ca="1">IFERROR(OFFSET(ITEM_RES!$A$5,MATCH(BUILDING!V58,ITEM_RES!$J$5:$J$229,0)-1,0),0)</f>
        <v>211010301</v>
      </c>
      <c r="Y58" s="9" t="s">
        <v>498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1552450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1552450</v>
      </c>
      <c r="AG58" s="176">
        <f t="shared" ca="1" si="11"/>
        <v>2482800</v>
      </c>
      <c r="AI58" s="11">
        <f t="shared" si="4"/>
        <v>14400</v>
      </c>
      <c r="AJ58" s="10">
        <v>14400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434</v>
      </c>
      <c r="AS58" s="11">
        <v>970000</v>
      </c>
      <c r="AV58" s="11">
        <f ca="1">IFERROR(OFFSET(ITEM_RES!$A$1,MATCH(AW58,ITEM_RES!$J:$J,0)-1,0),0)</f>
        <v>211020101</v>
      </c>
      <c r="AW58" s="10" t="s">
        <v>438</v>
      </c>
      <c r="AX58" s="11">
        <v>970000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1336</v>
      </c>
      <c r="M59" s="9">
        <v>1</v>
      </c>
      <c r="N59" s="9">
        <v>15</v>
      </c>
      <c r="O59" s="9" t="s">
        <v>1421</v>
      </c>
      <c r="P59" s="55" t="s">
        <v>1423</v>
      </c>
      <c r="Q59" s="9" t="s">
        <v>674</v>
      </c>
      <c r="T59" s="9">
        <f ca="1">IFERROR(OFFSET(ITEM_RES!$A$5,MATCH(BUILDING!S59,ITEM_RES!$J$5:$J$229,0)-1,0),0)</f>
        <v>0</v>
      </c>
      <c r="V59" s="81" t="s">
        <v>527</v>
      </c>
      <c r="W59" s="11">
        <f ca="1">IFERROR(OFFSET(ITEM_RES!$A$5,MATCH(BUILDING!V59,ITEM_RES!$J$5:$J$229,0)-1,0),0)</f>
        <v>211010301</v>
      </c>
      <c r="Y59" s="9" t="s">
        <v>498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3360550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3360550</v>
      </c>
      <c r="AG59" s="176">
        <f t="shared" ca="1" si="11"/>
        <v>4913000</v>
      </c>
      <c r="AI59" s="11">
        <f t="shared" si="4"/>
        <v>16200</v>
      </c>
      <c r="AJ59" s="10">
        <v>16200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434</v>
      </c>
      <c r="AS59" s="11">
        <v>2100000</v>
      </c>
      <c r="AV59" s="11">
        <f ca="1">IFERROR(OFFSET(ITEM_RES!$A$1,MATCH(AW59,ITEM_RES!$J:$J,0)-1,0),0)</f>
        <v>211020101</v>
      </c>
      <c r="AW59" s="10" t="s">
        <v>438</v>
      </c>
      <c r="AX59" s="11">
        <v>2100000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1336</v>
      </c>
      <c r="M60" s="9">
        <v>0</v>
      </c>
      <c r="N60" s="9">
        <v>15</v>
      </c>
      <c r="O60" s="9" t="s">
        <v>1421</v>
      </c>
      <c r="P60" s="55" t="s">
        <v>1423</v>
      </c>
      <c r="Q60" s="9" t="s">
        <v>674</v>
      </c>
      <c r="T60" s="9">
        <f ca="1">IFERROR(OFFSET(ITEM_RES!$A$5,MATCH(BUILDING!S60,ITEM_RES!$J$5:$J$229,0)-1,0),0)</f>
        <v>0</v>
      </c>
      <c r="V60" s="81" t="s">
        <v>527</v>
      </c>
      <c r="W60" s="11">
        <f ca="1">IFERROR(OFFSET(ITEM_RES!$A$5,MATCH(BUILDING!V60,ITEM_RES!$J$5:$J$229,0)-1,0),0)</f>
        <v>211010301</v>
      </c>
      <c r="Y60" s="9" t="s">
        <v>498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6880700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6880700</v>
      </c>
      <c r="AG60" s="176">
        <f t="shared" ca="1" si="11"/>
        <v>10241250</v>
      </c>
      <c r="AI60" s="11">
        <f t="shared" si="4"/>
        <v>18000</v>
      </c>
      <c r="AJ60" s="10">
        <v>18000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434</v>
      </c>
      <c r="AS60" s="11">
        <v>4300000</v>
      </c>
      <c r="AV60" s="11">
        <f ca="1">IFERROR(OFFSET(ITEM_RES!$A$1,MATCH(AW60,ITEM_RES!$J:$J,0)-1,0),0)</f>
        <v>211020101</v>
      </c>
      <c r="AW60" s="10" t="s">
        <v>438</v>
      </c>
      <c r="AX60" s="11">
        <v>4300000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1336</v>
      </c>
      <c r="M61" s="9">
        <v>0</v>
      </c>
      <c r="N61" s="9">
        <v>15</v>
      </c>
      <c r="O61" s="9" t="s">
        <v>1421</v>
      </c>
      <c r="P61" s="55" t="s">
        <v>1423</v>
      </c>
      <c r="Q61" s="9" t="s">
        <v>674</v>
      </c>
      <c r="T61" s="9">
        <f ca="1">IFERROR(OFFSET(ITEM_RES!$A$5,MATCH(BUILDING!S61,ITEM_RES!$J$5:$J$229,0)-1,0),0)</f>
        <v>0</v>
      </c>
      <c r="V61" s="81" t="s">
        <v>527</v>
      </c>
      <c r="W61" s="11">
        <f ca="1">IFERROR(OFFSET(ITEM_RES!$A$5,MATCH(BUILDING!V61,ITEM_RES!$J$5:$J$229,0)-1,0),0)</f>
        <v>211010301</v>
      </c>
      <c r="Y61" s="9" t="s">
        <v>498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12800850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12800850</v>
      </c>
      <c r="AG61" s="176">
        <f t="shared" ca="1" si="11"/>
        <v>19681550</v>
      </c>
      <c r="AI61" s="11">
        <f t="shared" si="4"/>
        <v>19800</v>
      </c>
      <c r="AJ61" s="10">
        <v>19800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434</v>
      </c>
      <c r="AS61" s="11">
        <v>8000000</v>
      </c>
      <c r="AV61" s="11">
        <f ca="1">IFERROR(OFFSET(ITEM_RES!$A$1,MATCH(AW61,ITEM_RES!$J:$J,0)-1,0),0)</f>
        <v>211020101</v>
      </c>
      <c r="AW61" s="10" t="s">
        <v>438</v>
      </c>
      <c r="AX61" s="11">
        <v>8000000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1336</v>
      </c>
      <c r="M62" s="9">
        <v>0</v>
      </c>
      <c r="N62" s="9">
        <v>15</v>
      </c>
      <c r="O62" s="9" t="s">
        <v>1421</v>
      </c>
      <c r="P62" s="55" t="s">
        <v>1423</v>
      </c>
      <c r="Q62" s="9" t="s">
        <v>674</v>
      </c>
      <c r="T62" s="9">
        <f ca="1">IFERROR(OFFSET(ITEM_RES!$A$5,MATCH(BUILDING!S62,ITEM_RES!$J$5:$J$229,0)-1,0),0)</f>
        <v>0</v>
      </c>
      <c r="V62" s="81" t="s">
        <v>527</v>
      </c>
      <c r="W62" s="11">
        <f ca="1">IFERROR(OFFSET(ITEM_RES!$A$5,MATCH(BUILDING!V62,ITEM_RES!$J$5:$J$229,0)-1,0),0)</f>
        <v>211010301</v>
      </c>
      <c r="Y62" s="9" t="s">
        <v>498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20801050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20801050</v>
      </c>
      <c r="AG62" s="176">
        <f t="shared" ca="1" si="11"/>
        <v>33601900</v>
      </c>
      <c r="AI62" s="11">
        <f t="shared" si="4"/>
        <v>21600</v>
      </c>
      <c r="AJ62" s="10">
        <v>21600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434</v>
      </c>
      <c r="AS62" s="11">
        <v>13000000</v>
      </c>
      <c r="AV62" s="11">
        <f ca="1">IFERROR(OFFSET(ITEM_RES!$A$1,MATCH(AW62,ITEM_RES!$J:$J,0)-1,0),0)</f>
        <v>211020101</v>
      </c>
      <c r="AW62" s="10" t="s">
        <v>438</v>
      </c>
      <c r="AX62" s="11">
        <v>13000000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1336</v>
      </c>
      <c r="M63" s="9">
        <v>0</v>
      </c>
      <c r="N63" s="9">
        <v>15</v>
      </c>
      <c r="O63" s="9" t="s">
        <v>1421</v>
      </c>
      <c r="P63" s="55" t="s">
        <v>1423</v>
      </c>
      <c r="Q63" s="9" t="s">
        <v>674</v>
      </c>
      <c r="T63" s="9">
        <f ca="1">IFERROR(OFFSET(ITEM_RES!$A$5,MATCH(BUILDING!S63,ITEM_RES!$J$5:$J$229,0)-1,0),0)</f>
        <v>0</v>
      </c>
      <c r="V63" s="81" t="s">
        <v>527</v>
      </c>
      <c r="W63" s="11">
        <f ca="1">IFERROR(OFFSET(ITEM_RES!$A$5,MATCH(BUILDING!V63,ITEM_RES!$J$5:$J$229,0)-1,0),0)</f>
        <v>211010301</v>
      </c>
      <c r="Y63" s="9" t="s">
        <v>498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32001250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32001250</v>
      </c>
      <c r="AG63" s="176">
        <f t="shared" ca="1" si="11"/>
        <v>52802300</v>
      </c>
      <c r="AI63" s="11">
        <f t="shared" si="4"/>
        <v>23400</v>
      </c>
      <c r="AJ63" s="10">
        <v>23400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434</v>
      </c>
      <c r="AS63" s="11">
        <v>20000000</v>
      </c>
      <c r="AV63" s="11">
        <f ca="1">IFERROR(OFFSET(ITEM_RES!$A$1,MATCH(AW63,ITEM_RES!$J:$J,0)-1,0),0)</f>
        <v>211020101</v>
      </c>
      <c r="AW63" s="10" t="s">
        <v>438</v>
      </c>
      <c r="AX63" s="11">
        <v>20000000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1336</v>
      </c>
      <c r="M64" s="9">
        <v>0</v>
      </c>
      <c r="N64" s="9">
        <v>15</v>
      </c>
      <c r="O64" s="9" t="s">
        <v>1421</v>
      </c>
      <c r="P64" s="55" t="s">
        <v>1423</v>
      </c>
      <c r="Q64" s="9" t="s">
        <v>674</v>
      </c>
      <c r="T64" s="9">
        <f ca="1">IFERROR(OFFSET(ITEM_RES!$A$5,MATCH(BUILDING!S64,ITEM_RES!$J$5:$J$229,0)-1,0),0)</f>
        <v>0</v>
      </c>
      <c r="V64" s="81" t="s">
        <v>527</v>
      </c>
      <c r="W64" s="11">
        <f ca="1">IFERROR(OFFSET(ITEM_RES!$A$5,MATCH(BUILDING!V64,ITEM_RES!$J$5:$J$229,0)-1,0),0)</f>
        <v>211010301</v>
      </c>
      <c r="Y64" s="9" t="s">
        <v>498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51201500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51201500</v>
      </c>
      <c r="AG64" s="176">
        <f t="shared" ca="1" si="11"/>
        <v>83202750</v>
      </c>
      <c r="AI64" s="11">
        <f t="shared" si="4"/>
        <v>25200</v>
      </c>
      <c r="AJ64" s="10">
        <v>25200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434</v>
      </c>
      <c r="AS64" s="11">
        <v>32000000</v>
      </c>
      <c r="AV64" s="11">
        <f ca="1">IFERROR(OFFSET(ITEM_RES!$A$1,MATCH(AW64,ITEM_RES!$J:$J,0)-1,0),0)</f>
        <v>211020101</v>
      </c>
      <c r="AW64" s="10" t="s">
        <v>438</v>
      </c>
      <c r="AX64" s="11">
        <v>32000000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431</v>
      </c>
      <c r="L65" s="16">
        <v>1</v>
      </c>
      <c r="M65" s="16">
        <v>1</v>
      </c>
      <c r="N65" s="16">
        <v>15</v>
      </c>
      <c r="O65" s="16" t="s">
        <v>1091</v>
      </c>
      <c r="P65" s="56" t="s">
        <v>1356</v>
      </c>
      <c r="Q65" s="16" t="s">
        <v>675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528</v>
      </c>
      <c r="W65" s="18">
        <f ca="1">IFERROR(OFFSET(ITEM_RES!$A$5,MATCH(BUILDING!V65,ITEM_RES!$J$5:$J$229,0)-1,0),0)</f>
        <v>211020101</v>
      </c>
      <c r="X65" s="76"/>
      <c r="Y65" s="16" t="s">
        <v>499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1280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1280</v>
      </c>
      <c r="AG65" s="178">
        <f ca="1">AE65</f>
        <v>1280</v>
      </c>
      <c r="AH65" s="76"/>
      <c r="AI65" s="18">
        <f t="shared" si="4"/>
        <v>5</v>
      </c>
      <c r="AJ65" s="17">
        <v>5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3</v>
      </c>
      <c r="AP65" s="18"/>
      <c r="AQ65" s="18">
        <f ca="1">IFERROR(OFFSET(ITEM_RES!$A$1,MATCH(AR65,ITEM_RES!$J:$J,0)-1,0),0)</f>
        <v>211010501</v>
      </c>
      <c r="AR65" s="17" t="s">
        <v>420</v>
      </c>
      <c r="AS65" s="18">
        <v>25</v>
      </c>
      <c r="AT65" s="17"/>
      <c r="AU65" s="18"/>
      <c r="AV65" s="18">
        <f ca="1">IFERROR(OFFSET(ITEM_RES!$A$1,MATCH(AW65,ITEM_RES!$J:$J,0)-1,0),0)</f>
        <v>211020801</v>
      </c>
      <c r="AW65" s="17" t="s">
        <v>429</v>
      </c>
      <c r="AX65" s="18">
        <v>25</v>
      </c>
      <c r="AY65" s="17"/>
      <c r="AZ65" s="18"/>
      <c r="BA65" s="18">
        <f ca="1">IFERROR(OFFSET(ITEM_RES!$A$1,MATCH(BB65,ITEM_RES!$J:$J,0)-1,0),0)</f>
        <v>213010101</v>
      </c>
      <c r="BB65" s="17" t="s">
        <v>442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431</v>
      </c>
      <c r="M66" s="9">
        <v>1</v>
      </c>
      <c r="N66" s="9">
        <v>15</v>
      </c>
      <c r="O66" s="9" t="s">
        <v>1091</v>
      </c>
      <c r="P66" s="55" t="s">
        <v>1356</v>
      </c>
      <c r="Q66" s="9" t="s">
        <v>675</v>
      </c>
      <c r="T66" s="9">
        <f ca="1">IFERROR(OFFSET(ITEM_RES!$A$5,MATCH(BUILDING!S66,ITEM_RES!$J$5:$J$229,0)-1,0),0)</f>
        <v>0</v>
      </c>
      <c r="V66" s="81" t="s">
        <v>528</v>
      </c>
      <c r="W66" s="11">
        <f ca="1">IFERROR(OFFSET(ITEM_RES!$A$5,MATCH(BUILDING!V66,ITEM_RES!$J$5:$J$229,0)-1,0),0)</f>
        <v>211020101</v>
      </c>
      <c r="Y66" s="9" t="s">
        <v>499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560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560</v>
      </c>
      <c r="AG66" s="176">
        <f ca="1">AE65+AE66</f>
        <v>1840</v>
      </c>
      <c r="AI66" s="11">
        <f t="shared" si="4"/>
        <v>10</v>
      </c>
      <c r="AJ66" s="10">
        <v>10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2</v>
      </c>
      <c r="AQ66" s="11">
        <f ca="1">IFERROR(OFFSET(ITEM_RES!$A$1,MATCH(AR66,ITEM_RES!$J:$J,0)-1,0),0)</f>
        <v>211010501</v>
      </c>
      <c r="AR66" s="10" t="s">
        <v>422</v>
      </c>
      <c r="AS66" s="11">
        <v>50</v>
      </c>
      <c r="AV66" s="11">
        <f ca="1">IFERROR(OFFSET(ITEM_RES!$A$1,MATCH(AW66,ITEM_RES!$J:$J,0)-1,0),0)</f>
        <v>211020801</v>
      </c>
      <c r="AW66" s="10" t="s">
        <v>429</v>
      </c>
      <c r="AX66" s="11">
        <v>50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431</v>
      </c>
      <c r="M67" s="9">
        <v>1</v>
      </c>
      <c r="N67" s="9">
        <v>15</v>
      </c>
      <c r="O67" s="9" t="s">
        <v>1092</v>
      </c>
      <c r="P67" s="55" t="s">
        <v>1357</v>
      </c>
      <c r="Q67" s="9" t="s">
        <v>675</v>
      </c>
      <c r="T67" s="9">
        <f ca="1">IFERROR(OFFSET(ITEM_RES!$A$5,MATCH(BUILDING!S67,ITEM_RES!$J$5:$J$229,0)-1,0),0)</f>
        <v>0</v>
      </c>
      <c r="V67" s="81" t="s">
        <v>528</v>
      </c>
      <c r="W67" s="11">
        <f ca="1">IFERROR(OFFSET(ITEM_RES!$A$5,MATCH(BUILDING!V67,ITEM_RES!$J$5:$J$229,0)-1,0),0)</f>
        <v>211020101</v>
      </c>
      <c r="Y67" s="9" t="s">
        <v>499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840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840</v>
      </c>
      <c r="AG67" s="176">
        <f t="shared" ref="AG67:AG84" ca="1" si="17">AE66+AE67</f>
        <v>1400</v>
      </c>
      <c r="AI67" s="11">
        <f t="shared" si="4"/>
        <v>30</v>
      </c>
      <c r="AJ67" s="10">
        <v>30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2</v>
      </c>
      <c r="AQ67" s="11">
        <f ca="1">IFERROR(OFFSET(ITEM_RES!$A$1,MATCH(AR67,ITEM_RES!$J:$J,0)-1,0),0)</f>
        <v>211010501</v>
      </c>
      <c r="AR67" s="10" t="s">
        <v>422</v>
      </c>
      <c r="AS67" s="11">
        <v>75</v>
      </c>
      <c r="AV67" s="11">
        <f ca="1">IFERROR(OFFSET(ITEM_RES!$A$1,MATCH(AW67,ITEM_RES!$J:$J,0)-1,0),0)</f>
        <v>211020801</v>
      </c>
      <c r="AW67" s="10" t="s">
        <v>429</v>
      </c>
      <c r="AX67" s="11">
        <v>75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431</v>
      </c>
      <c r="M68" s="9">
        <v>1</v>
      </c>
      <c r="N68" s="9">
        <v>15</v>
      </c>
      <c r="O68" s="9" t="s">
        <v>1093</v>
      </c>
      <c r="P68" s="55" t="s">
        <v>1357</v>
      </c>
      <c r="Q68" s="9" t="s">
        <v>675</v>
      </c>
      <c r="T68" s="9">
        <f ca="1">IFERROR(OFFSET(ITEM_RES!$A$5,MATCH(BUILDING!S68,ITEM_RES!$J$5:$J$229,0)-1,0),0)</f>
        <v>0</v>
      </c>
      <c r="V68" s="81" t="s">
        <v>528</v>
      </c>
      <c r="W68" s="11">
        <f ca="1">IFERROR(OFFSET(ITEM_RES!$A$5,MATCH(BUILDING!V68,ITEM_RES!$J$5:$J$229,0)-1,0),0)</f>
        <v>211020101</v>
      </c>
      <c r="Y68" s="9" t="s">
        <v>499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3325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3325</v>
      </c>
      <c r="AG68" s="176">
        <f t="shared" ca="1" si="17"/>
        <v>4165</v>
      </c>
      <c r="AI68" s="11">
        <f t="shared" si="4"/>
        <v>300</v>
      </c>
      <c r="AJ68" s="10">
        <v>300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2</v>
      </c>
      <c r="AQ68" s="11">
        <f ca="1">IFERROR(OFFSET(ITEM_RES!$A$1,MATCH(AR68,ITEM_RES!$J:$J,0)-1,0),0)</f>
        <v>211010501</v>
      </c>
      <c r="AR68" s="10" t="s">
        <v>422</v>
      </c>
      <c r="AS68" s="11">
        <v>300</v>
      </c>
      <c r="AV68" s="11">
        <f ca="1">IFERROR(OFFSET(ITEM_RES!$A$1,MATCH(AW68,ITEM_RES!$J:$J,0)-1,0),0)</f>
        <v>211020801</v>
      </c>
      <c r="AW68" s="10" t="s">
        <v>429</v>
      </c>
      <c r="AX68" s="11">
        <v>300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431</v>
      </c>
      <c r="M69" s="9">
        <v>1</v>
      </c>
      <c r="N69" s="9">
        <v>15</v>
      </c>
      <c r="O69" s="9" t="s">
        <v>1094</v>
      </c>
      <c r="P69" s="55" t="s">
        <v>1358</v>
      </c>
      <c r="Q69" s="9" t="s">
        <v>675</v>
      </c>
      <c r="T69" s="9">
        <f ca="1">IFERROR(OFFSET(ITEM_RES!$A$5,MATCH(BUILDING!S69,ITEM_RES!$J$5:$J$229,0)-1,0),0)</f>
        <v>0</v>
      </c>
      <c r="V69" s="81" t="s">
        <v>528</v>
      </c>
      <c r="W69" s="11">
        <f ca="1">IFERROR(OFFSET(ITEM_RES!$A$5,MATCH(BUILDING!V69,ITEM_RES!$J$5:$J$229,0)-1,0),0)</f>
        <v>211020101</v>
      </c>
      <c r="Y69" s="9" t="s">
        <v>499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14890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14890</v>
      </c>
      <c r="AG69" s="176">
        <f t="shared" ca="1" si="17"/>
        <v>18215</v>
      </c>
      <c r="AI69" s="11">
        <f t="shared" ref="AI69:AI132" si="20">ROUND(AJ69,0)</f>
        <v>600</v>
      </c>
      <c r="AJ69" s="10">
        <v>600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2</v>
      </c>
      <c r="AQ69" s="11">
        <f ca="1">IFERROR(OFFSET(ITEM_RES!$A$1,MATCH(AR69,ITEM_RES!$J:$J,0)-1,0),0)</f>
        <v>211010501</v>
      </c>
      <c r="AR69" s="10" t="s">
        <v>422</v>
      </c>
      <c r="AS69" s="11">
        <v>1350</v>
      </c>
      <c r="AV69" s="11">
        <f ca="1">IFERROR(OFFSET(ITEM_RES!$A$1,MATCH(AW69,ITEM_RES!$J:$J,0)-1,0),0)</f>
        <v>211020801</v>
      </c>
      <c r="AW69" s="10" t="s">
        <v>429</v>
      </c>
      <c r="AX69" s="11">
        <v>1350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431</v>
      </c>
      <c r="M70" s="9">
        <v>1</v>
      </c>
      <c r="N70" s="9">
        <v>15</v>
      </c>
      <c r="O70" s="9" t="s">
        <v>1095</v>
      </c>
      <c r="P70" s="55" t="s">
        <v>1358</v>
      </c>
      <c r="Q70" s="9" t="s">
        <v>675</v>
      </c>
      <c r="T70" s="9">
        <f ca="1">IFERROR(OFFSET(ITEM_RES!$A$5,MATCH(BUILDING!S70,ITEM_RES!$J$5:$J$229,0)-1,0),0)</f>
        <v>0</v>
      </c>
      <c r="V70" s="81" t="s">
        <v>528</v>
      </c>
      <c r="W70" s="11">
        <f ca="1">IFERROR(OFFSET(ITEM_RES!$A$5,MATCH(BUILDING!V70,ITEM_RES!$J$5:$J$229,0)-1,0),0)</f>
        <v>211020101</v>
      </c>
      <c r="Y70" s="9" t="s">
        <v>499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49550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49550</v>
      </c>
      <c r="AG70" s="176">
        <f t="shared" ca="1" si="17"/>
        <v>64440</v>
      </c>
      <c r="AI70" s="11">
        <f t="shared" si="20"/>
        <v>1200</v>
      </c>
      <c r="AJ70" s="10">
        <v>1200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2</v>
      </c>
      <c r="AQ70" s="11">
        <f ca="1">IFERROR(OFFSET(ITEM_RES!$A$1,MATCH(AR70,ITEM_RES!$J:$J,0)-1,0),0)</f>
        <v>211010501</v>
      </c>
      <c r="AR70" s="10" t="s">
        <v>422</v>
      </c>
      <c r="AS70" s="11">
        <v>4500</v>
      </c>
      <c r="AV70" s="11">
        <f ca="1">IFERROR(OFFSET(ITEM_RES!$A$1,MATCH(AW70,ITEM_RES!$J:$J,0)-1,0),0)</f>
        <v>211020801</v>
      </c>
      <c r="AW70" s="10" t="s">
        <v>429</v>
      </c>
      <c r="AX70" s="11">
        <v>4500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431</v>
      </c>
      <c r="M71" s="9">
        <v>1</v>
      </c>
      <c r="N71" s="9">
        <v>15</v>
      </c>
      <c r="O71" s="9" t="s">
        <v>1096</v>
      </c>
      <c r="P71" s="55" t="s">
        <v>1359</v>
      </c>
      <c r="Q71" s="9" t="s">
        <v>675</v>
      </c>
      <c r="T71" s="9">
        <f ca="1">IFERROR(OFFSET(ITEM_RES!$A$5,MATCH(BUILDING!S71,ITEM_RES!$J$5:$J$229,0)-1,0),0)</f>
        <v>0</v>
      </c>
      <c r="V71" s="81" t="s">
        <v>528</v>
      </c>
      <c r="W71" s="11">
        <f ca="1">IFERROR(OFFSET(ITEM_RES!$A$5,MATCH(BUILDING!V71,ITEM_RES!$J$5:$J$229,0)-1,0),0)</f>
        <v>211020101</v>
      </c>
      <c r="Y71" s="9" t="s">
        <v>499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110100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110100</v>
      </c>
      <c r="AG71" s="176">
        <f t="shared" ca="1" si="17"/>
        <v>159650</v>
      </c>
      <c r="AI71" s="11">
        <f t="shared" si="20"/>
        <v>1800</v>
      </c>
      <c r="AJ71" s="10">
        <v>1800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2</v>
      </c>
      <c r="AQ71" s="11">
        <f ca="1">IFERROR(OFFSET(ITEM_RES!$A$1,MATCH(AR71,ITEM_RES!$J:$J,0)-1,0),0)</f>
        <v>211010501</v>
      </c>
      <c r="AR71" s="10" t="s">
        <v>422</v>
      </c>
      <c r="AS71" s="11">
        <v>10000</v>
      </c>
      <c r="AV71" s="11">
        <f ca="1">IFERROR(OFFSET(ITEM_RES!$A$1,MATCH(AW71,ITEM_RES!$J:$J,0)-1,0),0)</f>
        <v>211020801</v>
      </c>
      <c r="AW71" s="10" t="s">
        <v>429</v>
      </c>
      <c r="AX71" s="11">
        <v>10000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431</v>
      </c>
      <c r="M72" s="9">
        <v>1</v>
      </c>
      <c r="N72" s="9">
        <v>15</v>
      </c>
      <c r="O72" s="9" t="s">
        <v>1096</v>
      </c>
      <c r="P72" s="55" t="s">
        <v>1359</v>
      </c>
      <c r="Q72" s="9" t="s">
        <v>675</v>
      </c>
      <c r="T72" s="9">
        <f ca="1">IFERROR(OFFSET(ITEM_RES!$A$5,MATCH(BUILDING!S72,ITEM_RES!$J$5:$J$229,0)-1,0),0)</f>
        <v>0</v>
      </c>
      <c r="V72" s="81" t="s">
        <v>528</v>
      </c>
      <c r="W72" s="11">
        <f ca="1">IFERROR(OFFSET(ITEM_RES!$A$5,MATCH(BUILDING!V72,ITEM_RES!$J$5:$J$229,0)-1,0),0)</f>
        <v>211020101</v>
      </c>
      <c r="Y72" s="9" t="s">
        <v>499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231600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231600</v>
      </c>
      <c r="AG72" s="176">
        <f t="shared" ca="1" si="17"/>
        <v>341700</v>
      </c>
      <c r="AI72" s="11">
        <f t="shared" si="20"/>
        <v>3600</v>
      </c>
      <c r="AJ72" s="10">
        <v>3600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2</v>
      </c>
      <c r="AQ72" s="11">
        <f ca="1">IFERROR(OFFSET(ITEM_RES!$A$1,MATCH(AR72,ITEM_RES!$J:$J,0)-1,0),0)</f>
        <v>211010501</v>
      </c>
      <c r="AR72" s="10" t="s">
        <v>422</v>
      </c>
      <c r="AS72" s="11">
        <v>21000</v>
      </c>
      <c r="AV72" s="11">
        <f ca="1">IFERROR(OFFSET(ITEM_RES!$A$1,MATCH(AW72,ITEM_RES!$J:$J,0)-1,0),0)</f>
        <v>211020801</v>
      </c>
      <c r="AW72" s="10" t="s">
        <v>429</v>
      </c>
      <c r="AX72" s="11">
        <v>21000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431</v>
      </c>
      <c r="M73" s="9">
        <v>1</v>
      </c>
      <c r="N73" s="9">
        <v>15</v>
      </c>
      <c r="O73" s="9" t="s">
        <v>1096</v>
      </c>
      <c r="P73" s="55" t="s">
        <v>1359</v>
      </c>
      <c r="Q73" s="9" t="s">
        <v>675</v>
      </c>
      <c r="T73" s="9">
        <f ca="1">IFERROR(OFFSET(ITEM_RES!$A$5,MATCH(BUILDING!S73,ITEM_RES!$J$5:$J$229,0)-1,0),0)</f>
        <v>0</v>
      </c>
      <c r="V73" s="81" t="s">
        <v>528</v>
      </c>
      <c r="W73" s="11">
        <f ca="1">IFERROR(OFFSET(ITEM_RES!$A$5,MATCH(BUILDING!V73,ITEM_RES!$J$5:$J$229,0)-1,0),0)</f>
        <v>211020101</v>
      </c>
      <c r="Y73" s="9" t="s">
        <v>499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435150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435150</v>
      </c>
      <c r="AG73" s="176">
        <f t="shared" ca="1" si="17"/>
        <v>666750</v>
      </c>
      <c r="AI73" s="11">
        <f t="shared" si="20"/>
        <v>5400</v>
      </c>
      <c r="AJ73" s="10">
        <v>5400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2</v>
      </c>
      <c r="AQ73" s="11">
        <f ca="1">IFERROR(OFFSET(ITEM_RES!$A$1,MATCH(AR73,ITEM_RES!$J:$J,0)-1,0),0)</f>
        <v>211010501</v>
      </c>
      <c r="AR73" s="10" t="s">
        <v>422</v>
      </c>
      <c r="AS73" s="11">
        <v>39000</v>
      </c>
      <c r="AV73" s="11">
        <f ca="1">IFERROR(OFFSET(ITEM_RES!$A$1,MATCH(AW73,ITEM_RES!$J:$J,0)-1,0),0)</f>
        <v>211020801</v>
      </c>
      <c r="AW73" s="10" t="s">
        <v>429</v>
      </c>
      <c r="AX73" s="11">
        <v>39000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431</v>
      </c>
      <c r="M74" s="9">
        <v>1</v>
      </c>
      <c r="N74" s="9">
        <v>15</v>
      </c>
      <c r="O74" s="9" t="s">
        <v>1096</v>
      </c>
      <c r="P74" s="55" t="s">
        <v>1359</v>
      </c>
      <c r="Q74" s="9" t="s">
        <v>675</v>
      </c>
      <c r="T74" s="9">
        <f ca="1">IFERROR(OFFSET(ITEM_RES!$A$5,MATCH(BUILDING!S74,ITEM_RES!$J$5:$J$229,0)-1,0),0)</f>
        <v>0</v>
      </c>
      <c r="V74" s="81" t="s">
        <v>528</v>
      </c>
      <c r="W74" s="11">
        <f ca="1">IFERROR(OFFSET(ITEM_RES!$A$5,MATCH(BUILDING!V74,ITEM_RES!$J$5:$J$229,0)-1,0),0)</f>
        <v>211020101</v>
      </c>
      <c r="Y74" s="9" t="s">
        <v>499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754200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754200</v>
      </c>
      <c r="AG74" s="176">
        <f t="shared" ca="1" si="17"/>
        <v>1189350</v>
      </c>
      <c r="AI74" s="11">
        <f t="shared" si="20"/>
        <v>7200</v>
      </c>
      <c r="AJ74" s="10">
        <v>7200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2</v>
      </c>
      <c r="AQ74" s="11">
        <f ca="1">IFERROR(OFFSET(ITEM_RES!$A$1,MATCH(AR74,ITEM_RES!$J:$J,0)-1,0),0)</f>
        <v>211010501</v>
      </c>
      <c r="AR74" s="10" t="s">
        <v>422</v>
      </c>
      <c r="AS74" s="11">
        <v>65000</v>
      </c>
      <c r="AV74" s="11">
        <f ca="1">IFERROR(OFFSET(ITEM_RES!$A$1,MATCH(AW74,ITEM_RES!$J:$J,0)-1,0),0)</f>
        <v>211020801</v>
      </c>
      <c r="AW74" s="10" t="s">
        <v>429</v>
      </c>
      <c r="AX74" s="11">
        <v>65000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431</v>
      </c>
      <c r="M75" s="9">
        <v>1</v>
      </c>
      <c r="N75" s="9">
        <v>15</v>
      </c>
      <c r="O75" s="9" t="s">
        <v>1096</v>
      </c>
      <c r="P75" s="55" t="s">
        <v>1359</v>
      </c>
      <c r="Q75" s="9" t="s">
        <v>675</v>
      </c>
      <c r="T75" s="9">
        <f ca="1">IFERROR(OFFSET(ITEM_RES!$A$5,MATCH(BUILDING!S75,ITEM_RES!$J$5:$J$229,0)-1,0),0)</f>
        <v>0</v>
      </c>
      <c r="V75" s="81" t="s">
        <v>528</v>
      </c>
      <c r="W75" s="11">
        <f ca="1">IFERROR(OFFSET(ITEM_RES!$A$5,MATCH(BUILDING!V75,ITEM_RES!$J$5:$J$229,0)-1,0),0)</f>
        <v>211020101</v>
      </c>
      <c r="Y75" s="9" t="s">
        <v>499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1276250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1276250</v>
      </c>
      <c r="AG75" s="176">
        <f t="shared" ca="1" si="17"/>
        <v>2030450</v>
      </c>
      <c r="AI75" s="11">
        <f t="shared" si="20"/>
        <v>9000</v>
      </c>
      <c r="AJ75" s="10">
        <v>9000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3</v>
      </c>
      <c r="AQ75" s="11">
        <f ca="1">IFERROR(OFFSET(ITEM_RES!$A$1,MATCH(AR75,ITEM_RES!$J:$J,0)-1,0),0)</f>
        <v>211010501</v>
      </c>
      <c r="AR75" s="10" t="s">
        <v>422</v>
      </c>
      <c r="AS75" s="11">
        <v>110000</v>
      </c>
      <c r="AV75" s="11">
        <f ca="1">IFERROR(OFFSET(ITEM_RES!$A$1,MATCH(AW75,ITEM_RES!$J:$J,0)-1,0),0)</f>
        <v>211020801</v>
      </c>
      <c r="AW75" s="10" t="s">
        <v>429</v>
      </c>
      <c r="AX75" s="11">
        <v>110000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450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431</v>
      </c>
      <c r="M76" s="9">
        <v>1</v>
      </c>
      <c r="N76" s="9">
        <v>15</v>
      </c>
      <c r="O76" s="9" t="s">
        <v>1096</v>
      </c>
      <c r="P76" s="55" t="s">
        <v>1359</v>
      </c>
      <c r="Q76" s="9" t="s">
        <v>675</v>
      </c>
      <c r="T76" s="9">
        <f ca="1">IFERROR(OFFSET(ITEM_RES!$A$5,MATCH(BUILDING!S76,ITEM_RES!$J$5:$J$229,0)-1,0),0)</f>
        <v>0</v>
      </c>
      <c r="V76" s="81" t="s">
        <v>528</v>
      </c>
      <c r="W76" s="11">
        <f ca="1">IFERROR(OFFSET(ITEM_RES!$A$5,MATCH(BUILDING!V76,ITEM_RES!$J$5:$J$229,0)-1,0),0)</f>
        <v>211020101</v>
      </c>
      <c r="Y76" s="9" t="s">
        <v>499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2145300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2145300</v>
      </c>
      <c r="AG76" s="176">
        <f t="shared" ca="1" si="17"/>
        <v>3421550</v>
      </c>
      <c r="AI76" s="11">
        <f t="shared" si="20"/>
        <v>10800</v>
      </c>
      <c r="AJ76" s="10">
        <v>10800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2</v>
      </c>
      <c r="AQ76" s="11">
        <f ca="1">IFERROR(OFFSET(ITEM_RES!$A$1,MATCH(AR76,ITEM_RES!$J:$J,0)-1,0),0)</f>
        <v>211010501</v>
      </c>
      <c r="AR76" s="10" t="s">
        <v>422</v>
      </c>
      <c r="AS76" s="11">
        <v>185000</v>
      </c>
      <c r="AV76" s="11">
        <f ca="1">IFERROR(OFFSET(ITEM_RES!$A$1,MATCH(AW76,ITEM_RES!$J:$J,0)-1,0),0)</f>
        <v>211020801</v>
      </c>
      <c r="AW76" s="10" t="s">
        <v>429</v>
      </c>
      <c r="AX76" s="11">
        <v>185000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431</v>
      </c>
      <c r="M77" s="9">
        <v>1</v>
      </c>
      <c r="N77" s="9">
        <v>15</v>
      </c>
      <c r="O77" s="9" t="s">
        <v>1096</v>
      </c>
      <c r="P77" s="55" t="s">
        <v>1359</v>
      </c>
      <c r="Q77" s="9" t="s">
        <v>675</v>
      </c>
      <c r="T77" s="9">
        <f ca="1">IFERROR(OFFSET(ITEM_RES!$A$5,MATCH(BUILDING!S77,ITEM_RES!$J$5:$J$229,0)-1,0),0)</f>
        <v>0</v>
      </c>
      <c r="V77" s="81" t="s">
        <v>528</v>
      </c>
      <c r="W77" s="11">
        <f ca="1">IFERROR(OFFSET(ITEM_RES!$A$5,MATCH(BUILDING!V77,ITEM_RES!$J$5:$J$229,0)-1,0),0)</f>
        <v>211020101</v>
      </c>
      <c r="Y77" s="9" t="s">
        <v>499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3595350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3595350</v>
      </c>
      <c r="AG77" s="176">
        <f t="shared" ca="1" si="17"/>
        <v>5740650</v>
      </c>
      <c r="AI77" s="11">
        <f t="shared" si="20"/>
        <v>12600</v>
      </c>
      <c r="AJ77" s="10">
        <v>12600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2</v>
      </c>
      <c r="AQ77" s="11">
        <f ca="1">IFERROR(OFFSET(ITEM_RES!$A$1,MATCH(AR77,ITEM_RES!$J:$J,0)-1,0),0)</f>
        <v>211010501</v>
      </c>
      <c r="AR77" s="10" t="s">
        <v>422</v>
      </c>
      <c r="AS77" s="11">
        <v>310000</v>
      </c>
      <c r="AV77" s="11">
        <f ca="1">IFERROR(OFFSET(ITEM_RES!$A$1,MATCH(AW77,ITEM_RES!$J:$J,0)-1,0),0)</f>
        <v>211020801</v>
      </c>
      <c r="AW77" s="10" t="s">
        <v>429</v>
      </c>
      <c r="AX77" s="11">
        <v>310000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431</v>
      </c>
      <c r="M78" s="9">
        <v>1</v>
      </c>
      <c r="N78" s="9">
        <v>15</v>
      </c>
      <c r="O78" s="9" t="s">
        <v>1096</v>
      </c>
      <c r="P78" s="55" t="s">
        <v>1359</v>
      </c>
      <c r="Q78" s="9" t="s">
        <v>675</v>
      </c>
      <c r="T78" s="9">
        <f ca="1">IFERROR(OFFSET(ITEM_RES!$A$5,MATCH(BUILDING!S78,ITEM_RES!$J$5:$J$229,0)-1,0),0)</f>
        <v>0</v>
      </c>
      <c r="V78" s="81" t="s">
        <v>528</v>
      </c>
      <c r="W78" s="11">
        <f ca="1">IFERROR(OFFSET(ITEM_RES!$A$5,MATCH(BUILDING!V78,ITEM_RES!$J$5:$J$229,0)-1,0),0)</f>
        <v>211020101</v>
      </c>
      <c r="Y78" s="9" t="s">
        <v>499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6663950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6663950</v>
      </c>
      <c r="AG78" s="176">
        <f t="shared" ca="1" si="17"/>
        <v>10259300</v>
      </c>
      <c r="AI78" s="11">
        <f t="shared" si="20"/>
        <v>14400</v>
      </c>
      <c r="AJ78" s="10">
        <v>14400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2</v>
      </c>
      <c r="AQ78" s="11">
        <f ca="1">IFERROR(OFFSET(ITEM_RES!$A$1,MATCH(AR78,ITEM_RES!$J:$J,0)-1,0),0)</f>
        <v>211010601</v>
      </c>
      <c r="AR78" s="10" t="s">
        <v>1068</v>
      </c>
      <c r="AS78" s="11">
        <v>485000</v>
      </c>
      <c r="AV78" s="11">
        <f ca="1">IFERROR(OFFSET(ITEM_RES!$A$1,MATCH(AW78,ITEM_RES!$J:$J,0)-1,0),0)</f>
        <v>211020901</v>
      </c>
      <c r="AW78" s="10" t="s">
        <v>436</v>
      </c>
      <c r="AX78" s="11">
        <v>485000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431</v>
      </c>
      <c r="M79" s="9">
        <v>1</v>
      </c>
      <c r="N79" s="9">
        <v>15</v>
      </c>
      <c r="O79" s="9" t="s">
        <v>1096</v>
      </c>
      <c r="P79" s="55" t="s">
        <v>1359</v>
      </c>
      <c r="Q79" s="9" t="s">
        <v>675</v>
      </c>
      <c r="T79" s="9">
        <f ca="1">IFERROR(OFFSET(ITEM_RES!$A$5,MATCH(BUILDING!S79,ITEM_RES!$J$5:$J$229,0)-1,0),0)</f>
        <v>0</v>
      </c>
      <c r="V79" s="81" t="s">
        <v>528</v>
      </c>
      <c r="W79" s="11">
        <f ca="1">IFERROR(OFFSET(ITEM_RES!$A$5,MATCH(BUILDING!V79,ITEM_RES!$J$5:$J$229,0)-1,0),0)</f>
        <v>211020101</v>
      </c>
      <c r="Y79" s="9" t="s">
        <v>499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14240550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14240550</v>
      </c>
      <c r="AG79" s="176">
        <f t="shared" ca="1" si="17"/>
        <v>20904500</v>
      </c>
      <c r="AI79" s="11">
        <f t="shared" si="20"/>
        <v>16200</v>
      </c>
      <c r="AJ79" s="10">
        <v>16200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2</v>
      </c>
      <c r="AQ79" s="11">
        <f ca="1">IFERROR(OFFSET(ITEM_RES!$A$1,MATCH(AR79,ITEM_RES!$J:$J,0)-1,0),0)</f>
        <v>211010601</v>
      </c>
      <c r="AR79" s="10" t="s">
        <v>1068</v>
      </c>
      <c r="AS79" s="11">
        <v>1050000</v>
      </c>
      <c r="AV79" s="11">
        <f ca="1">IFERROR(OFFSET(ITEM_RES!$A$1,MATCH(AW79,ITEM_RES!$J:$J,0)-1,0),0)</f>
        <v>211020901</v>
      </c>
      <c r="AW79" s="10" t="s">
        <v>436</v>
      </c>
      <c r="AX79" s="11">
        <v>1050000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431</v>
      </c>
      <c r="M80" s="9">
        <v>0</v>
      </c>
      <c r="N80" s="9">
        <v>15</v>
      </c>
      <c r="O80" s="9" t="s">
        <v>1096</v>
      </c>
      <c r="P80" s="55" t="s">
        <v>1359</v>
      </c>
      <c r="Q80" s="9" t="s">
        <v>675</v>
      </c>
      <c r="T80" s="9">
        <f ca="1">IFERROR(OFFSET(ITEM_RES!$A$5,MATCH(BUILDING!S80,ITEM_RES!$J$5:$J$229,0)-1,0),0)</f>
        <v>0</v>
      </c>
      <c r="V80" s="81" t="s">
        <v>528</v>
      </c>
      <c r="W80" s="11">
        <f ca="1">IFERROR(OFFSET(ITEM_RES!$A$5,MATCH(BUILDING!V80,ITEM_RES!$J$5:$J$229,0)-1,0),0)</f>
        <v>211020101</v>
      </c>
      <c r="Y80" s="9" t="s">
        <v>499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29215700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29215700</v>
      </c>
      <c r="AG80" s="176">
        <f t="shared" ca="1" si="17"/>
        <v>43456250</v>
      </c>
      <c r="AI80" s="11">
        <f t="shared" si="20"/>
        <v>18000</v>
      </c>
      <c r="AJ80" s="10">
        <v>18000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2</v>
      </c>
      <c r="AQ80" s="11">
        <f ca="1">IFERROR(OFFSET(ITEM_RES!$A$1,MATCH(AR80,ITEM_RES!$J:$J,0)-1,0),0)</f>
        <v>211010601</v>
      </c>
      <c r="AR80" s="10" t="s">
        <v>1068</v>
      </c>
      <c r="AS80" s="11">
        <v>2150000</v>
      </c>
      <c r="AV80" s="11">
        <f ca="1">IFERROR(OFFSET(ITEM_RES!$A$1,MATCH(AW80,ITEM_RES!$J:$J,0)-1,0),0)</f>
        <v>211020901</v>
      </c>
      <c r="AW80" s="10" t="s">
        <v>436</v>
      </c>
      <c r="AX80" s="11">
        <v>2150000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431</v>
      </c>
      <c r="M81" s="9">
        <v>0</v>
      </c>
      <c r="N81" s="9">
        <v>15</v>
      </c>
      <c r="O81" s="9" t="s">
        <v>1096</v>
      </c>
      <c r="P81" s="55" t="s">
        <v>1359</v>
      </c>
      <c r="Q81" s="9" t="s">
        <v>675</v>
      </c>
      <c r="T81" s="9">
        <f ca="1">IFERROR(OFFSET(ITEM_RES!$A$5,MATCH(BUILDING!S81,ITEM_RES!$J$5:$J$229,0)-1,0),0)</f>
        <v>0</v>
      </c>
      <c r="V81" s="81" t="s">
        <v>528</v>
      </c>
      <c r="W81" s="11">
        <f ca="1">IFERROR(OFFSET(ITEM_RES!$A$5,MATCH(BUILDING!V81,ITEM_RES!$J$5:$J$229,0)-1,0),0)</f>
        <v>211020101</v>
      </c>
      <c r="Y81" s="9" t="s">
        <v>499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54550850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54550850</v>
      </c>
      <c r="AG81" s="176">
        <f t="shared" ca="1" si="17"/>
        <v>83766550</v>
      </c>
      <c r="AI81" s="11">
        <f t="shared" si="20"/>
        <v>19800</v>
      </c>
      <c r="AJ81" s="10">
        <v>19800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2</v>
      </c>
      <c r="AQ81" s="11">
        <f ca="1">IFERROR(OFFSET(ITEM_RES!$A$1,MATCH(AR81,ITEM_RES!$J:$J,0)-1,0),0)</f>
        <v>211010601</v>
      </c>
      <c r="AR81" s="10" t="s">
        <v>1068</v>
      </c>
      <c r="AS81" s="11">
        <v>4000000</v>
      </c>
      <c r="AV81" s="11">
        <f ca="1">IFERROR(OFFSET(ITEM_RES!$A$1,MATCH(AW81,ITEM_RES!$J:$J,0)-1,0),0)</f>
        <v>211020901</v>
      </c>
      <c r="AW81" s="10" t="s">
        <v>436</v>
      </c>
      <c r="AX81" s="11">
        <v>4000000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431</v>
      </c>
      <c r="M82" s="9">
        <v>0</v>
      </c>
      <c r="N82" s="9">
        <v>15</v>
      </c>
      <c r="O82" s="9" t="s">
        <v>1096</v>
      </c>
      <c r="P82" s="55" t="s">
        <v>1359</v>
      </c>
      <c r="Q82" s="9" t="s">
        <v>675</v>
      </c>
      <c r="T82" s="9">
        <f ca="1">IFERROR(OFFSET(ITEM_RES!$A$5,MATCH(BUILDING!S82,ITEM_RES!$J$5:$J$229,0)-1,0),0)</f>
        <v>0</v>
      </c>
      <c r="V82" s="81" t="s">
        <v>528</v>
      </c>
      <c r="W82" s="11">
        <f ca="1">IFERROR(OFFSET(ITEM_RES!$A$5,MATCH(BUILDING!V82,ITEM_RES!$J$5:$J$229,0)-1,0),0)</f>
        <v>211020101</v>
      </c>
      <c r="Y82" s="9" t="s">
        <v>499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89151050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89151050</v>
      </c>
      <c r="AG82" s="176">
        <f t="shared" ca="1" si="17"/>
        <v>143701900</v>
      </c>
      <c r="AI82" s="11">
        <f t="shared" si="20"/>
        <v>21600</v>
      </c>
      <c r="AJ82" s="10">
        <v>21600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2</v>
      </c>
      <c r="AQ82" s="11">
        <f ca="1">IFERROR(OFFSET(ITEM_RES!$A$1,MATCH(AR82,ITEM_RES!$J:$J,0)-1,0),0)</f>
        <v>211010601</v>
      </c>
      <c r="AR82" s="10" t="s">
        <v>1068</v>
      </c>
      <c r="AS82" s="11">
        <v>6500000</v>
      </c>
      <c r="AV82" s="11">
        <f ca="1">IFERROR(OFFSET(ITEM_RES!$A$1,MATCH(AW82,ITEM_RES!$J:$J,0)-1,0),0)</f>
        <v>211020901</v>
      </c>
      <c r="AW82" s="10" t="s">
        <v>436</v>
      </c>
      <c r="AX82" s="11">
        <v>6500000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431</v>
      </c>
      <c r="M83" s="9">
        <v>0</v>
      </c>
      <c r="N83" s="9">
        <v>15</v>
      </c>
      <c r="O83" s="9" t="s">
        <v>1096</v>
      </c>
      <c r="P83" s="55" t="s">
        <v>1359</v>
      </c>
      <c r="Q83" s="9" t="s">
        <v>675</v>
      </c>
      <c r="T83" s="9">
        <f ca="1">IFERROR(OFFSET(ITEM_RES!$A$5,MATCH(BUILDING!S83,ITEM_RES!$J$5:$J$229,0)-1,0),0)</f>
        <v>0</v>
      </c>
      <c r="V83" s="81" t="s">
        <v>528</v>
      </c>
      <c r="W83" s="11">
        <f ca="1">IFERROR(OFFSET(ITEM_RES!$A$5,MATCH(BUILDING!V83,ITEM_RES!$J$5:$J$229,0)-1,0),0)</f>
        <v>211020101</v>
      </c>
      <c r="Y83" s="9" t="s">
        <v>499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137501250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137501250</v>
      </c>
      <c r="AG83" s="176">
        <f t="shared" ca="1" si="17"/>
        <v>226652300</v>
      </c>
      <c r="AI83" s="11">
        <f t="shared" si="20"/>
        <v>23400</v>
      </c>
      <c r="AJ83" s="10">
        <v>23400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2</v>
      </c>
      <c r="AQ83" s="11">
        <f ca="1">IFERROR(OFFSET(ITEM_RES!$A$1,MATCH(AR83,ITEM_RES!$J:$J,0)-1,0),0)</f>
        <v>211010601</v>
      </c>
      <c r="AR83" s="10" t="s">
        <v>1068</v>
      </c>
      <c r="AS83" s="11">
        <v>10000000</v>
      </c>
      <c r="AV83" s="11">
        <f ca="1">IFERROR(OFFSET(ITEM_RES!$A$1,MATCH(AW83,ITEM_RES!$J:$J,0)-1,0),0)</f>
        <v>211020901</v>
      </c>
      <c r="AW83" s="10" t="s">
        <v>436</v>
      </c>
      <c r="AX83" s="11">
        <v>10000000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431</v>
      </c>
      <c r="M84" s="9">
        <v>0</v>
      </c>
      <c r="N84" s="9">
        <v>15</v>
      </c>
      <c r="O84" s="9" t="s">
        <v>1096</v>
      </c>
      <c r="P84" s="55" t="s">
        <v>1359</v>
      </c>
      <c r="Q84" s="9" t="s">
        <v>675</v>
      </c>
      <c r="T84" s="9">
        <f ca="1">IFERROR(OFFSET(ITEM_RES!$A$5,MATCH(BUILDING!S84,ITEM_RES!$J$5:$J$229,0)-1,0),0)</f>
        <v>0</v>
      </c>
      <c r="V84" s="81" t="s">
        <v>528</v>
      </c>
      <c r="W84" s="11">
        <f ca="1">IFERROR(OFFSET(ITEM_RES!$A$5,MATCH(BUILDING!V84,ITEM_RES!$J$5:$J$229,0)-1,0),0)</f>
        <v>211020101</v>
      </c>
      <c r="Y84" s="9" t="s">
        <v>499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219601500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219601500</v>
      </c>
      <c r="AG84" s="176">
        <f t="shared" ca="1" si="17"/>
        <v>357102750</v>
      </c>
      <c r="AI84" s="11">
        <f t="shared" si="20"/>
        <v>25200</v>
      </c>
      <c r="AJ84" s="10">
        <v>25200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2</v>
      </c>
      <c r="AQ84" s="11">
        <f ca="1">IFERROR(OFFSET(ITEM_RES!$A$1,MATCH(AR84,ITEM_RES!$J:$J,0)-1,0),0)</f>
        <v>211010601</v>
      </c>
      <c r="AR84" s="10" t="s">
        <v>1068</v>
      </c>
      <c r="AS84" s="11">
        <v>16000000</v>
      </c>
      <c r="AV84" s="11">
        <f ca="1">IFERROR(OFFSET(ITEM_RES!$A$1,MATCH(AW84,ITEM_RES!$J:$J,0)-1,0),0)</f>
        <v>211020901</v>
      </c>
      <c r="AW84" s="10" t="s">
        <v>436</v>
      </c>
      <c r="AX84" s="11">
        <v>16000000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750</v>
      </c>
      <c r="P85" s="56" t="s">
        <v>1360</v>
      </c>
      <c r="Q85" s="16" t="s">
        <v>695</v>
      </c>
      <c r="R85" s="76"/>
      <c r="S85" s="83" t="s">
        <v>530</v>
      </c>
      <c r="T85" s="16">
        <f ca="1">IFERROR(OFFSET(ITEM_RES!$A$5,MATCH(BUILDING!S85,ITEM_RES!$J$5:$J$229,0)-1,0),0)</f>
        <v>211021101</v>
      </c>
      <c r="U85" s="18">
        <v>10</v>
      </c>
      <c r="V85" s="83" t="s">
        <v>529</v>
      </c>
      <c r="W85" s="18">
        <f ca="1">IFERROR(OFFSET(ITEM_RES!$A$5,MATCH(BUILDING!V85,ITEM_RES!$J$5:$J$229,0)-1,0),0)</f>
        <v>211010401</v>
      </c>
      <c r="X85" s="76"/>
      <c r="Y85" s="16" t="s">
        <v>500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1105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1105</v>
      </c>
      <c r="AG85" s="178">
        <f ca="1">AE85</f>
        <v>1105</v>
      </c>
      <c r="AH85" s="76"/>
      <c r="AI85" s="18">
        <f t="shared" si="20"/>
        <v>5</v>
      </c>
      <c r="AJ85" s="17">
        <v>5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424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428</v>
      </c>
      <c r="AX85" s="18">
        <v>50</v>
      </c>
      <c r="AY85" s="17"/>
      <c r="AZ85" s="18"/>
      <c r="BA85" s="18">
        <f ca="1">IFERROR(OFFSET(ITEM_RES!$A$1,MATCH(BB85,ITEM_RES!$J:$J,0)-1,0),0)</f>
        <v>213010101</v>
      </c>
      <c r="BB85" s="17" t="s">
        <v>442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750</v>
      </c>
      <c r="P86" s="55" t="s">
        <v>1360</v>
      </c>
      <c r="Q86" s="9" t="s">
        <v>695</v>
      </c>
      <c r="S86" s="81" t="s">
        <v>530</v>
      </c>
      <c r="T86" s="9">
        <f ca="1">IFERROR(OFFSET(ITEM_RES!$A$5,MATCH(BUILDING!S86,ITEM_RES!$J$5:$J$229,0)-1,0),0)</f>
        <v>211021101</v>
      </c>
      <c r="U86" s="11">
        <v>10</v>
      </c>
      <c r="V86" s="81" t="s">
        <v>529</v>
      </c>
      <c r="W86" s="11">
        <f ca="1">IFERROR(OFFSET(ITEM_RES!$A$5,MATCH(BUILDING!V86,ITEM_RES!$J$5:$J$229,0)-1,0),0)</f>
        <v>211010401</v>
      </c>
      <c r="Y86" s="9" t="s">
        <v>500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210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210</v>
      </c>
      <c r="AG86" s="176">
        <f ca="1">AE85+AE86</f>
        <v>1315</v>
      </c>
      <c r="AI86" s="11">
        <f t="shared" si="20"/>
        <v>10</v>
      </c>
      <c r="AJ86" s="10">
        <v>10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425</v>
      </c>
      <c r="AS86" s="11">
        <v>100</v>
      </c>
      <c r="AV86" s="11">
        <f ca="1">IFERROR(OFFSET(ITEM_RES!$A$1,MATCH(AW86,ITEM_RES!$J:$J,0)-1,0),0)</f>
        <v>211020401</v>
      </c>
      <c r="AW86" s="10" t="s">
        <v>428</v>
      </c>
      <c r="AX86" s="11">
        <v>100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750</v>
      </c>
      <c r="P87" s="55" t="s">
        <v>1360</v>
      </c>
      <c r="Q87" s="9" t="s">
        <v>695</v>
      </c>
      <c r="S87" s="81" t="s">
        <v>530</v>
      </c>
      <c r="T87" s="9">
        <f ca="1">IFERROR(OFFSET(ITEM_RES!$A$5,MATCH(BUILDING!S87,ITEM_RES!$J$5:$J$229,0)-1,0),0)</f>
        <v>211021101</v>
      </c>
      <c r="U87" s="11">
        <v>10</v>
      </c>
      <c r="V87" s="81" t="s">
        <v>529</v>
      </c>
      <c r="W87" s="11">
        <f ca="1">IFERROR(OFFSET(ITEM_RES!$A$5,MATCH(BUILDING!V87,ITEM_RES!$J$5:$J$229,0)-1,0),0)</f>
        <v>211010401</v>
      </c>
      <c r="Y87" s="9" t="s">
        <v>500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315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315</v>
      </c>
      <c r="AG87" s="176">
        <f t="shared" ref="AG87:AG104" ca="1" si="38">AE86+AE87</f>
        <v>525</v>
      </c>
      <c r="AI87" s="11">
        <f t="shared" si="20"/>
        <v>30</v>
      </c>
      <c r="AJ87" s="10">
        <v>30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424</v>
      </c>
      <c r="AS87" s="11">
        <v>150</v>
      </c>
      <c r="AV87" s="11">
        <f ca="1">IFERROR(OFFSET(ITEM_RES!$A$1,MATCH(AW87,ITEM_RES!$J:$J,0)-1,0),0)</f>
        <v>211020401</v>
      </c>
      <c r="AW87" s="10" t="s">
        <v>428</v>
      </c>
      <c r="AX87" s="11">
        <v>150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750</v>
      </c>
      <c r="P88" s="55" t="s">
        <v>1360</v>
      </c>
      <c r="Q88" s="9" t="s">
        <v>695</v>
      </c>
      <c r="S88" s="81" t="s">
        <v>530</v>
      </c>
      <c r="T88" s="9">
        <f ca="1">IFERROR(OFFSET(ITEM_RES!$A$5,MATCH(BUILDING!S88,ITEM_RES!$J$5:$J$229,0)-1,0),0)</f>
        <v>211021101</v>
      </c>
      <c r="U88" s="11">
        <v>10</v>
      </c>
      <c r="V88" s="81" t="s">
        <v>529</v>
      </c>
      <c r="W88" s="11">
        <f ca="1">IFERROR(OFFSET(ITEM_RES!$A$5,MATCH(BUILDING!V88,ITEM_RES!$J$5:$J$229,0)-1,0),0)</f>
        <v>211010401</v>
      </c>
      <c r="Y88" s="9" t="s">
        <v>500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1225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1225</v>
      </c>
      <c r="AG88" s="176">
        <f t="shared" ca="1" si="38"/>
        <v>1540</v>
      </c>
      <c r="AI88" s="11">
        <f t="shared" si="20"/>
        <v>300</v>
      </c>
      <c r="AJ88" s="10">
        <v>300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425</v>
      </c>
      <c r="AS88" s="11">
        <v>600</v>
      </c>
      <c r="AV88" s="11">
        <f ca="1">IFERROR(OFFSET(ITEM_RES!$A$1,MATCH(AW88,ITEM_RES!$J:$J,0)-1,0),0)</f>
        <v>211020401</v>
      </c>
      <c r="AW88" s="10" t="s">
        <v>428</v>
      </c>
      <c r="AX88" s="11">
        <v>600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750</v>
      </c>
      <c r="P89" s="55" t="s">
        <v>1360</v>
      </c>
      <c r="Q89" s="9" t="s">
        <v>695</v>
      </c>
      <c r="S89" s="81" t="s">
        <v>530</v>
      </c>
      <c r="T89" s="9">
        <f ca="1">IFERROR(OFFSET(ITEM_RES!$A$5,MATCH(BUILDING!S89,ITEM_RES!$J$5:$J$229,0)-1,0),0)</f>
        <v>211021101</v>
      </c>
      <c r="U89" s="11">
        <v>10</v>
      </c>
      <c r="V89" s="81" t="s">
        <v>529</v>
      </c>
      <c r="W89" s="11">
        <f ca="1">IFERROR(OFFSET(ITEM_RES!$A$5,MATCH(BUILDING!V89,ITEM_RES!$J$5:$J$229,0)-1,0),0)</f>
        <v>211010401</v>
      </c>
      <c r="Y89" s="9" t="s">
        <v>500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5440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5440</v>
      </c>
      <c r="AG89" s="176">
        <f t="shared" ca="1" si="38"/>
        <v>6665</v>
      </c>
      <c r="AI89" s="11">
        <f t="shared" si="20"/>
        <v>600</v>
      </c>
      <c r="AJ89" s="10">
        <v>600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424</v>
      </c>
      <c r="AS89" s="11">
        <v>2700</v>
      </c>
      <c r="AV89" s="11">
        <f ca="1">IFERROR(OFFSET(ITEM_RES!$A$1,MATCH(AW89,ITEM_RES!$J:$J,0)-1,0),0)</f>
        <v>211020401</v>
      </c>
      <c r="AW89" s="10" t="s">
        <v>428</v>
      </c>
      <c r="AX89" s="11">
        <v>2700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750</v>
      </c>
      <c r="P90" s="55" t="s">
        <v>1360</v>
      </c>
      <c r="Q90" s="9" t="s">
        <v>695</v>
      </c>
      <c r="S90" s="81" t="s">
        <v>530</v>
      </c>
      <c r="T90" s="9">
        <f ca="1">IFERROR(OFFSET(ITEM_RES!$A$5,MATCH(BUILDING!S90,ITEM_RES!$J$5:$J$229,0)-1,0),0)</f>
        <v>211021101</v>
      </c>
      <c r="U90" s="11">
        <v>10</v>
      </c>
      <c r="V90" s="81" t="s">
        <v>529</v>
      </c>
      <c r="W90" s="11">
        <f ca="1">IFERROR(OFFSET(ITEM_RES!$A$5,MATCH(BUILDING!V90,ITEM_RES!$J$5:$J$229,0)-1,0),0)</f>
        <v>211010401</v>
      </c>
      <c r="Y90" s="9" t="s">
        <v>500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18050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18050</v>
      </c>
      <c r="AG90" s="176">
        <f t="shared" ca="1" si="38"/>
        <v>23490</v>
      </c>
      <c r="AI90" s="11">
        <f t="shared" si="20"/>
        <v>1200</v>
      </c>
      <c r="AJ90" s="10">
        <v>1200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425</v>
      </c>
      <c r="AS90" s="11">
        <v>9000</v>
      </c>
      <c r="AV90" s="11">
        <f ca="1">IFERROR(OFFSET(ITEM_RES!$A$1,MATCH(AW90,ITEM_RES!$J:$J,0)-1,0),0)</f>
        <v>211020401</v>
      </c>
      <c r="AW90" s="10" t="s">
        <v>428</v>
      </c>
      <c r="AX90" s="11">
        <v>9000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750</v>
      </c>
      <c r="P91" s="55" t="s">
        <v>1360</v>
      </c>
      <c r="Q91" s="9" t="s">
        <v>695</v>
      </c>
      <c r="S91" s="81" t="s">
        <v>530</v>
      </c>
      <c r="T91" s="9">
        <f ca="1">IFERROR(OFFSET(ITEM_RES!$A$5,MATCH(BUILDING!S91,ITEM_RES!$J$5:$J$229,0)-1,0),0)</f>
        <v>211021101</v>
      </c>
      <c r="U91" s="11">
        <v>10</v>
      </c>
      <c r="V91" s="81" t="s">
        <v>529</v>
      </c>
      <c r="W91" s="11">
        <f ca="1">IFERROR(OFFSET(ITEM_RES!$A$5,MATCH(BUILDING!V91,ITEM_RES!$J$5:$J$229,0)-1,0),0)</f>
        <v>211010401</v>
      </c>
      <c r="Y91" s="9" t="s">
        <v>500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44100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44100</v>
      </c>
      <c r="AG91" s="176">
        <f t="shared" ca="1" si="38"/>
        <v>62150</v>
      </c>
      <c r="AI91" s="11">
        <f t="shared" si="20"/>
        <v>1800</v>
      </c>
      <c r="AJ91" s="10">
        <v>1800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428</v>
      </c>
      <c r="AX91" s="11">
        <v>20000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750</v>
      </c>
      <c r="P92" s="55" t="s">
        <v>1360</v>
      </c>
      <c r="Q92" s="9" t="s">
        <v>695</v>
      </c>
      <c r="S92" s="81" t="s">
        <v>530</v>
      </c>
      <c r="T92" s="9">
        <f ca="1">IFERROR(OFFSET(ITEM_RES!$A$5,MATCH(BUILDING!S92,ITEM_RES!$J$5:$J$229,0)-1,0),0)</f>
        <v>211021101</v>
      </c>
      <c r="U92" s="11">
        <v>10</v>
      </c>
      <c r="V92" s="81" t="s">
        <v>529</v>
      </c>
      <c r="W92" s="11">
        <f ca="1">IFERROR(OFFSET(ITEM_RES!$A$5,MATCH(BUILDING!V92,ITEM_RES!$J$5:$J$229,0)-1,0),0)</f>
        <v>211010401</v>
      </c>
      <c r="Y92" s="9" t="s">
        <v>500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92500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92500</v>
      </c>
      <c r="AG92" s="176">
        <f t="shared" ca="1" si="38"/>
        <v>136600</v>
      </c>
      <c r="AI92" s="11">
        <f t="shared" si="20"/>
        <v>3600</v>
      </c>
      <c r="AJ92" s="10">
        <v>3600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428</v>
      </c>
      <c r="AX92" s="11">
        <v>42000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750</v>
      </c>
      <c r="P93" s="55" t="s">
        <v>1360</v>
      </c>
      <c r="Q93" s="9" t="s">
        <v>695</v>
      </c>
      <c r="S93" s="81" t="s">
        <v>530</v>
      </c>
      <c r="T93" s="9">
        <f ca="1">IFERROR(OFFSET(ITEM_RES!$A$5,MATCH(BUILDING!S93,ITEM_RES!$J$5:$J$229,0)-1,0),0)</f>
        <v>211021101</v>
      </c>
      <c r="U93" s="11">
        <v>10</v>
      </c>
      <c r="V93" s="81" t="s">
        <v>529</v>
      </c>
      <c r="W93" s="11">
        <f ca="1">IFERROR(OFFSET(ITEM_RES!$A$5,MATCH(BUILDING!V93,ITEM_RES!$J$5:$J$229,0)-1,0),0)</f>
        <v>211010401</v>
      </c>
      <c r="Y93" s="9" t="s">
        <v>500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171750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171750</v>
      </c>
      <c r="AG93" s="176">
        <f t="shared" ca="1" si="38"/>
        <v>264250</v>
      </c>
      <c r="AI93" s="11">
        <f t="shared" si="20"/>
        <v>5400</v>
      </c>
      <c r="AJ93" s="10">
        <v>5400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428</v>
      </c>
      <c r="AX93" s="11">
        <v>78000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750</v>
      </c>
      <c r="P94" s="55" t="s">
        <v>1360</v>
      </c>
      <c r="Q94" s="9" t="s">
        <v>695</v>
      </c>
      <c r="S94" s="81" t="s">
        <v>530</v>
      </c>
      <c r="T94" s="9">
        <f ca="1">IFERROR(OFFSET(ITEM_RES!$A$5,MATCH(BUILDING!S94,ITEM_RES!$J$5:$J$229,0)-1,0),0)</f>
        <v>211021101</v>
      </c>
      <c r="U94" s="11">
        <v>10</v>
      </c>
      <c r="V94" s="81" t="s">
        <v>529</v>
      </c>
      <c r="W94" s="11">
        <f ca="1">IFERROR(OFFSET(ITEM_RES!$A$5,MATCH(BUILDING!V94,ITEM_RES!$J$5:$J$229,0)-1,0),0)</f>
        <v>211010401</v>
      </c>
      <c r="Y94" s="9" t="s">
        <v>500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286200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286200</v>
      </c>
      <c r="AG94" s="176">
        <f t="shared" ca="1" si="38"/>
        <v>457950</v>
      </c>
      <c r="AI94" s="11">
        <f t="shared" si="20"/>
        <v>7200</v>
      </c>
      <c r="AJ94" s="10">
        <v>7200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428</v>
      </c>
      <c r="AX94" s="11">
        <v>130000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750</v>
      </c>
      <c r="P95" s="55" t="s">
        <v>1360</v>
      </c>
      <c r="Q95" s="9" t="s">
        <v>695</v>
      </c>
      <c r="S95" s="81" t="s">
        <v>530</v>
      </c>
      <c r="T95" s="9">
        <f ca="1">IFERROR(OFFSET(ITEM_RES!$A$5,MATCH(BUILDING!S95,ITEM_RES!$J$5:$J$229,0)-1,0),0)</f>
        <v>211021101</v>
      </c>
      <c r="U95" s="11">
        <v>10</v>
      </c>
      <c r="V95" s="81" t="s">
        <v>529</v>
      </c>
      <c r="W95" s="11">
        <f ca="1">IFERROR(OFFSET(ITEM_RES!$A$5,MATCH(BUILDING!V95,ITEM_RES!$J$5:$J$229,0)-1,0),0)</f>
        <v>211010401</v>
      </c>
      <c r="Y95" s="9" t="s">
        <v>500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484250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484250</v>
      </c>
      <c r="AG95" s="176">
        <f t="shared" ca="1" si="38"/>
        <v>770450</v>
      </c>
      <c r="AI95" s="11">
        <f t="shared" si="20"/>
        <v>9000</v>
      </c>
      <c r="AJ95" s="10">
        <v>9000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428</v>
      </c>
      <c r="AX95" s="11">
        <v>220000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750</v>
      </c>
      <c r="P96" s="55" t="s">
        <v>1360</v>
      </c>
      <c r="Q96" s="9" t="s">
        <v>695</v>
      </c>
      <c r="S96" s="81" t="s">
        <v>530</v>
      </c>
      <c r="T96" s="9">
        <f ca="1">IFERROR(OFFSET(ITEM_RES!$A$5,MATCH(BUILDING!S96,ITEM_RES!$J$5:$J$229,0)-1,0),0)</f>
        <v>211021101</v>
      </c>
      <c r="U96" s="11">
        <v>10</v>
      </c>
      <c r="V96" s="81" t="s">
        <v>529</v>
      </c>
      <c r="W96" s="11">
        <f ca="1">IFERROR(OFFSET(ITEM_RES!$A$5,MATCH(BUILDING!V96,ITEM_RES!$J$5:$J$229,0)-1,0),0)</f>
        <v>211010401</v>
      </c>
      <c r="Y96" s="9" t="s">
        <v>500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819300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819300</v>
      </c>
      <c r="AG96" s="176">
        <f t="shared" ca="1" si="38"/>
        <v>1303550</v>
      </c>
      <c r="AI96" s="11">
        <f t="shared" si="20"/>
        <v>10800</v>
      </c>
      <c r="AJ96" s="10">
        <v>10800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428</v>
      </c>
      <c r="AX96" s="11">
        <v>370000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451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750</v>
      </c>
      <c r="P97" s="55" t="s">
        <v>1360</v>
      </c>
      <c r="Q97" s="9" t="s">
        <v>695</v>
      </c>
      <c r="S97" s="81" t="s">
        <v>530</v>
      </c>
      <c r="T97" s="9">
        <f ca="1">IFERROR(OFFSET(ITEM_RES!$A$5,MATCH(BUILDING!S97,ITEM_RES!$J$5:$J$229,0)-1,0),0)</f>
        <v>211021101</v>
      </c>
      <c r="U97" s="11">
        <v>10</v>
      </c>
      <c r="V97" s="81" t="s">
        <v>529</v>
      </c>
      <c r="W97" s="11">
        <f ca="1">IFERROR(OFFSET(ITEM_RES!$A$5,MATCH(BUILDING!V97,ITEM_RES!$J$5:$J$229,0)-1,0),0)</f>
        <v>211010401</v>
      </c>
      <c r="Y97" s="9" t="s">
        <v>500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1364350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1364350</v>
      </c>
      <c r="AG97" s="176">
        <f t="shared" ca="1" si="38"/>
        <v>2183650</v>
      </c>
      <c r="AI97" s="11">
        <f t="shared" si="20"/>
        <v>12600</v>
      </c>
      <c r="AJ97" s="10">
        <v>12600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428</v>
      </c>
      <c r="AX97" s="11">
        <v>620000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750</v>
      </c>
      <c r="P98" s="55" t="s">
        <v>1360</v>
      </c>
      <c r="Q98" s="9" t="s">
        <v>695</v>
      </c>
      <c r="S98" s="81" t="s">
        <v>530</v>
      </c>
      <c r="T98" s="9">
        <f ca="1">IFERROR(OFFSET(ITEM_RES!$A$5,MATCH(BUILDING!S98,ITEM_RES!$J$5:$J$229,0)-1,0),0)</f>
        <v>211021101</v>
      </c>
      <c r="U98" s="11">
        <v>10</v>
      </c>
      <c r="V98" s="81" t="s">
        <v>529</v>
      </c>
      <c r="W98" s="11">
        <f ca="1">IFERROR(OFFSET(ITEM_RES!$A$5,MATCH(BUILDING!V98,ITEM_RES!$J$5:$J$229,0)-1,0),0)</f>
        <v>211010401</v>
      </c>
      <c r="Y98" s="9" t="s">
        <v>500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2134450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2134450</v>
      </c>
      <c r="AG98" s="176">
        <f t="shared" ca="1" si="38"/>
        <v>3498800</v>
      </c>
      <c r="AI98" s="11">
        <f t="shared" si="20"/>
        <v>14400</v>
      </c>
      <c r="AJ98" s="10">
        <v>14400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428</v>
      </c>
      <c r="AX98" s="11">
        <v>970000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750</v>
      </c>
      <c r="P99" s="55" t="s">
        <v>1360</v>
      </c>
      <c r="Q99" s="9" t="s">
        <v>695</v>
      </c>
      <c r="S99" s="81" t="s">
        <v>530</v>
      </c>
      <c r="T99" s="9">
        <f ca="1">IFERROR(OFFSET(ITEM_RES!$A$5,MATCH(BUILDING!S99,ITEM_RES!$J$5:$J$229,0)-1,0),0)</f>
        <v>211021101</v>
      </c>
      <c r="U99" s="11">
        <v>10</v>
      </c>
      <c r="V99" s="81" t="s">
        <v>529</v>
      </c>
      <c r="W99" s="11">
        <f ca="1">IFERROR(OFFSET(ITEM_RES!$A$5,MATCH(BUILDING!V99,ITEM_RES!$J$5:$J$229,0)-1,0),0)</f>
        <v>211010401</v>
      </c>
      <c r="Y99" s="9" t="s">
        <v>500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5040550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5040550</v>
      </c>
      <c r="AG99" s="176">
        <f t="shared" ca="1" si="38"/>
        <v>7175000</v>
      </c>
      <c r="AI99" s="11">
        <f t="shared" si="20"/>
        <v>16200</v>
      </c>
      <c r="AJ99" s="10">
        <v>16200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426</v>
      </c>
      <c r="AX99" s="11">
        <v>2100000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750</v>
      </c>
      <c r="P100" s="55" t="s">
        <v>1360</v>
      </c>
      <c r="Q100" s="9" t="s">
        <v>695</v>
      </c>
      <c r="S100" s="81" t="s">
        <v>530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529</v>
      </c>
      <c r="W100" s="11">
        <f ca="1">IFERROR(OFFSET(ITEM_RES!$A$5,MATCH(BUILDING!V100,ITEM_RES!$J$5:$J$229,0)-1,0),0)</f>
        <v>211010401</v>
      </c>
      <c r="Y100" s="9" t="s">
        <v>500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10320700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10320700</v>
      </c>
      <c r="AG100" s="176">
        <f t="shared" ca="1" si="38"/>
        <v>15361250</v>
      </c>
      <c r="AI100" s="11">
        <f t="shared" si="20"/>
        <v>18000</v>
      </c>
      <c r="AJ100" s="10">
        <v>18000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426</v>
      </c>
      <c r="AX100" s="11">
        <v>4300000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750</v>
      </c>
      <c r="P101" s="55" t="s">
        <v>1360</v>
      </c>
      <c r="Q101" s="9" t="s">
        <v>695</v>
      </c>
      <c r="S101" s="81" t="s">
        <v>530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529</v>
      </c>
      <c r="W101" s="11">
        <f ca="1">IFERROR(OFFSET(ITEM_RES!$A$5,MATCH(BUILDING!V101,ITEM_RES!$J$5:$J$229,0)-1,0),0)</f>
        <v>211010401</v>
      </c>
      <c r="Y101" s="9" t="s">
        <v>500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19200850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19200850</v>
      </c>
      <c r="AG101" s="176">
        <f t="shared" ca="1" si="38"/>
        <v>29521550</v>
      </c>
      <c r="AI101" s="11">
        <f t="shared" si="20"/>
        <v>19800</v>
      </c>
      <c r="AJ101" s="10">
        <v>19800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1003</v>
      </c>
      <c r="AS101" s="11">
        <v>8000000</v>
      </c>
      <c r="AV101" s="11">
        <f ca="1">IFERROR(OFFSET(ITEM_RES!$A$1,MATCH(AW101,ITEM_RES!$J:$J,0)-1,0),0)</f>
        <v>211020501</v>
      </c>
      <c r="AW101" s="10" t="s">
        <v>426</v>
      </c>
      <c r="AX101" s="11">
        <v>8000000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750</v>
      </c>
      <c r="P102" s="55" t="s">
        <v>1360</v>
      </c>
      <c r="Q102" s="9" t="s">
        <v>695</v>
      </c>
      <c r="S102" s="81" t="s">
        <v>530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529</v>
      </c>
      <c r="W102" s="11">
        <f ca="1">IFERROR(OFFSET(ITEM_RES!$A$5,MATCH(BUILDING!V102,ITEM_RES!$J$5:$J$229,0)-1,0),0)</f>
        <v>211010401</v>
      </c>
      <c r="Y102" s="9" t="s">
        <v>500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31201050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31201050</v>
      </c>
      <c r="AG102" s="176">
        <f t="shared" ca="1" si="38"/>
        <v>50401900</v>
      </c>
      <c r="AI102" s="11">
        <f t="shared" si="20"/>
        <v>21600</v>
      </c>
      <c r="AJ102" s="10">
        <v>21600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1003</v>
      </c>
      <c r="AS102" s="11">
        <v>13000000</v>
      </c>
      <c r="AV102" s="11">
        <f ca="1">IFERROR(OFFSET(ITEM_RES!$A$1,MATCH(AW102,ITEM_RES!$J:$J,0)-1,0),0)</f>
        <v>211020501</v>
      </c>
      <c r="AW102" s="10" t="s">
        <v>426</v>
      </c>
      <c r="AX102" s="11">
        <v>13000000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750</v>
      </c>
      <c r="P103" s="55" t="s">
        <v>1360</v>
      </c>
      <c r="Q103" s="9" t="s">
        <v>695</v>
      </c>
      <c r="S103" s="81" t="s">
        <v>530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529</v>
      </c>
      <c r="W103" s="11">
        <f ca="1">IFERROR(OFFSET(ITEM_RES!$A$5,MATCH(BUILDING!V103,ITEM_RES!$J$5:$J$229,0)-1,0),0)</f>
        <v>211010401</v>
      </c>
      <c r="Y103" s="9" t="s">
        <v>500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48001250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48001250</v>
      </c>
      <c r="AG103" s="176">
        <f t="shared" ca="1" si="38"/>
        <v>79202300</v>
      </c>
      <c r="AI103" s="11">
        <f t="shared" si="20"/>
        <v>23400</v>
      </c>
      <c r="AJ103" s="10">
        <v>23400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1003</v>
      </c>
      <c r="AS103" s="11">
        <v>20000000</v>
      </c>
      <c r="AV103" s="11">
        <f ca="1">IFERROR(OFFSET(ITEM_RES!$A$1,MATCH(AW103,ITEM_RES!$J:$J,0)-1,0),0)</f>
        <v>211020501</v>
      </c>
      <c r="AW103" s="10" t="s">
        <v>426</v>
      </c>
      <c r="AX103" s="11">
        <v>20000000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750</v>
      </c>
      <c r="P104" s="55" t="s">
        <v>1360</v>
      </c>
      <c r="Q104" s="9" t="s">
        <v>695</v>
      </c>
      <c r="S104" s="81" t="s">
        <v>530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529</v>
      </c>
      <c r="W104" s="11">
        <f ca="1">IFERROR(OFFSET(ITEM_RES!$A$5,MATCH(BUILDING!V104,ITEM_RES!$J$5:$J$229,0)-1,0),0)</f>
        <v>211010401</v>
      </c>
      <c r="Y104" s="9" t="s">
        <v>500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76801500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76801500</v>
      </c>
      <c r="AG104" s="176">
        <f t="shared" ca="1" si="38"/>
        <v>124802750</v>
      </c>
      <c r="AI104" s="11">
        <f t="shared" si="20"/>
        <v>25200</v>
      </c>
      <c r="AJ104" s="10">
        <v>25200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1003</v>
      </c>
      <c r="AS104" s="11">
        <v>32000000</v>
      </c>
      <c r="AV104" s="11">
        <f ca="1">IFERROR(OFFSET(ITEM_RES!$A$1,MATCH(AW104,ITEM_RES!$J:$J,0)-1,0),0)</f>
        <v>211020501</v>
      </c>
      <c r="AW104" s="10" t="s">
        <v>426</v>
      </c>
      <c r="AX104" s="11">
        <v>32000000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747</v>
      </c>
      <c r="L105" s="65">
        <v>5</v>
      </c>
      <c r="M105" s="16">
        <v>1</v>
      </c>
      <c r="N105" s="16">
        <v>15</v>
      </c>
      <c r="O105" s="16" t="s">
        <v>749</v>
      </c>
      <c r="P105" s="56" t="s">
        <v>1361</v>
      </c>
      <c r="Q105" s="16" t="s">
        <v>748</v>
      </c>
      <c r="R105" s="76"/>
      <c r="S105" s="83" t="s">
        <v>537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530</v>
      </c>
      <c r="W105" s="18">
        <f ca="1">IFERROR(OFFSET(ITEM_RES!$A$5,MATCH(BUILDING!V105,ITEM_RES!$J$5:$J$229,0)-1,0),0)</f>
        <v>211021101</v>
      </c>
      <c r="X105" s="76"/>
      <c r="Y105" s="16" t="s">
        <v>501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1105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1105</v>
      </c>
      <c r="AG105" s="178">
        <f ca="1">AE105</f>
        <v>1105</v>
      </c>
      <c r="AH105" s="76"/>
      <c r="AI105" s="18">
        <f t="shared" si="20"/>
        <v>5</v>
      </c>
      <c r="AJ105" s="17">
        <v>5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424</v>
      </c>
      <c r="AS105" s="18">
        <v>50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50</v>
      </c>
      <c r="AY105" s="17"/>
      <c r="AZ105" s="18"/>
      <c r="BA105" s="18">
        <f ca="1">IFERROR(OFFSET(ITEM_RES!$A$1,MATCH(BB105,ITEM_RES!$J:$J,0)-1,0),0)</f>
        <v>213010101</v>
      </c>
      <c r="BB105" s="17" t="s">
        <v>442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747</v>
      </c>
      <c r="M106" s="9">
        <v>1</v>
      </c>
      <c r="N106" s="9">
        <v>15</v>
      </c>
      <c r="O106" s="9" t="s">
        <v>749</v>
      </c>
      <c r="P106" s="55" t="s">
        <v>1361</v>
      </c>
      <c r="Q106" s="9" t="s">
        <v>748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530</v>
      </c>
      <c r="W106" s="11">
        <f ca="1">IFERROR(OFFSET(ITEM_RES!$A$5,MATCH(BUILDING!V106,ITEM_RES!$J$5:$J$229,0)-1,0),0)</f>
        <v>211021101</v>
      </c>
      <c r="Y106" s="9" t="s">
        <v>501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210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210</v>
      </c>
      <c r="AG106" s="176">
        <f ca="1">AE105+AE106</f>
        <v>1315</v>
      </c>
      <c r="AI106" s="11">
        <f t="shared" si="20"/>
        <v>10</v>
      </c>
      <c r="AJ106" s="10">
        <v>10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425</v>
      </c>
      <c r="AS106" s="11">
        <v>100</v>
      </c>
      <c r="AV106" s="11">
        <f ca="1">IFERROR(OFFSET(ITEM_RES!$A$1,MATCH(AW106,ITEM_RES!$J:$J,0)-1,0),0)</f>
        <v>211020401</v>
      </c>
      <c r="AW106" s="10" t="s">
        <v>416</v>
      </c>
      <c r="AX106" s="11">
        <v>100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747</v>
      </c>
      <c r="M107" s="9">
        <v>1</v>
      </c>
      <c r="N107" s="9">
        <v>15</v>
      </c>
      <c r="O107" s="9" t="s">
        <v>749</v>
      </c>
      <c r="P107" s="55" t="s">
        <v>1361</v>
      </c>
      <c r="Q107" s="9" t="s">
        <v>748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530</v>
      </c>
      <c r="W107" s="11">
        <f ca="1">IFERROR(OFFSET(ITEM_RES!$A$5,MATCH(BUILDING!V107,ITEM_RES!$J$5:$J$229,0)-1,0),0)</f>
        <v>211021101</v>
      </c>
      <c r="Y107" s="9" t="s">
        <v>501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315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315</v>
      </c>
      <c r="AG107" s="176">
        <f t="shared" ref="AG107:AG124" ca="1" si="45">AE106+AE107</f>
        <v>525</v>
      </c>
      <c r="AI107" s="11">
        <f t="shared" si="20"/>
        <v>30</v>
      </c>
      <c r="AJ107" s="10">
        <v>30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424</v>
      </c>
      <c r="AS107" s="11">
        <v>150</v>
      </c>
      <c r="AV107" s="11">
        <f ca="1">IFERROR(OFFSET(ITEM_RES!$A$1,MATCH(AW107,ITEM_RES!$J:$J,0)-1,0),0)</f>
        <v>211020401</v>
      </c>
      <c r="AW107" s="10" t="s">
        <v>416</v>
      </c>
      <c r="AX107" s="11">
        <v>150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747</v>
      </c>
      <c r="M108" s="9">
        <v>1</v>
      </c>
      <c r="N108" s="9">
        <v>15</v>
      </c>
      <c r="O108" s="9" t="s">
        <v>749</v>
      </c>
      <c r="P108" s="55" t="s">
        <v>1361</v>
      </c>
      <c r="Q108" s="9" t="s">
        <v>748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530</v>
      </c>
      <c r="W108" s="11">
        <f ca="1">IFERROR(OFFSET(ITEM_RES!$A$5,MATCH(BUILDING!V108,ITEM_RES!$J$5:$J$229,0)-1,0),0)</f>
        <v>211021101</v>
      </c>
      <c r="Y108" s="9" t="s">
        <v>501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1225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1225</v>
      </c>
      <c r="AG108" s="176">
        <f t="shared" ca="1" si="45"/>
        <v>1540</v>
      </c>
      <c r="AI108" s="11">
        <f t="shared" si="20"/>
        <v>300</v>
      </c>
      <c r="AJ108" s="10">
        <v>300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424</v>
      </c>
      <c r="AS108" s="11">
        <v>600</v>
      </c>
      <c r="AV108" s="11">
        <f ca="1">IFERROR(OFFSET(ITEM_RES!$A$1,MATCH(AW108,ITEM_RES!$J:$J,0)-1,0),0)</f>
        <v>211020401</v>
      </c>
      <c r="AW108" s="10" t="s">
        <v>416</v>
      </c>
      <c r="AX108" s="11">
        <v>600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747</v>
      </c>
      <c r="M109" s="9">
        <v>1</v>
      </c>
      <c r="N109" s="9">
        <v>15</v>
      </c>
      <c r="O109" s="9" t="s">
        <v>749</v>
      </c>
      <c r="P109" s="55" t="s">
        <v>1361</v>
      </c>
      <c r="Q109" s="9" t="s">
        <v>748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530</v>
      </c>
      <c r="W109" s="11">
        <f ca="1">IFERROR(OFFSET(ITEM_RES!$A$5,MATCH(BUILDING!V109,ITEM_RES!$J$5:$J$229,0)-1,0),0)</f>
        <v>211021101</v>
      </c>
      <c r="Y109" s="9" t="s">
        <v>501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5440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5440</v>
      </c>
      <c r="AG109" s="176">
        <f t="shared" ca="1" si="45"/>
        <v>6665</v>
      </c>
      <c r="AI109" s="11">
        <f t="shared" si="20"/>
        <v>600</v>
      </c>
      <c r="AJ109" s="10">
        <v>600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424</v>
      </c>
      <c r="AS109" s="11">
        <v>2700</v>
      </c>
      <c r="AV109" s="11">
        <f ca="1">IFERROR(OFFSET(ITEM_RES!$A$1,MATCH(AW109,ITEM_RES!$J:$J,0)-1,0),0)</f>
        <v>211020401</v>
      </c>
      <c r="AW109" s="10" t="s">
        <v>416</v>
      </c>
      <c r="AX109" s="11">
        <v>2700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747</v>
      </c>
      <c r="M110" s="9">
        <v>1</v>
      </c>
      <c r="N110" s="9">
        <v>15</v>
      </c>
      <c r="O110" s="9" t="s">
        <v>749</v>
      </c>
      <c r="P110" s="55" t="s">
        <v>1361</v>
      </c>
      <c r="Q110" s="9" t="s">
        <v>748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530</v>
      </c>
      <c r="W110" s="11">
        <f ca="1">IFERROR(OFFSET(ITEM_RES!$A$5,MATCH(BUILDING!V110,ITEM_RES!$J$5:$J$229,0)-1,0),0)</f>
        <v>211021101</v>
      </c>
      <c r="Y110" s="9" t="s">
        <v>501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18050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18050</v>
      </c>
      <c r="AG110" s="176">
        <f t="shared" ca="1" si="45"/>
        <v>23490</v>
      </c>
      <c r="AI110" s="11">
        <f t="shared" si="20"/>
        <v>1200</v>
      </c>
      <c r="AJ110" s="10">
        <v>1200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424</v>
      </c>
      <c r="AS110" s="11">
        <v>9000</v>
      </c>
      <c r="AV110" s="11">
        <f ca="1">IFERROR(OFFSET(ITEM_RES!$A$1,MATCH(AW110,ITEM_RES!$J:$J,0)-1,0),0)</f>
        <v>211020401</v>
      </c>
      <c r="AW110" s="10" t="s">
        <v>416</v>
      </c>
      <c r="AX110" s="11">
        <v>9000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747</v>
      </c>
      <c r="M111" s="9">
        <v>1</v>
      </c>
      <c r="N111" s="9">
        <v>15</v>
      </c>
      <c r="O111" s="9" t="s">
        <v>749</v>
      </c>
      <c r="P111" s="55" t="s">
        <v>1361</v>
      </c>
      <c r="Q111" s="9" t="s">
        <v>748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530</v>
      </c>
      <c r="W111" s="11">
        <f ca="1">IFERROR(OFFSET(ITEM_RES!$A$5,MATCH(BUILDING!V111,ITEM_RES!$J$5:$J$229,0)-1,0),0)</f>
        <v>211021101</v>
      </c>
      <c r="Y111" s="9" t="s">
        <v>501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40100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40100</v>
      </c>
      <c r="AG111" s="176">
        <f t="shared" ca="1" si="45"/>
        <v>58150</v>
      </c>
      <c r="AI111" s="11">
        <f t="shared" si="20"/>
        <v>1800</v>
      </c>
      <c r="AJ111" s="10">
        <v>1800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424</v>
      </c>
      <c r="AS111" s="11">
        <v>20000</v>
      </c>
      <c r="AV111" s="11">
        <f ca="1">IFERROR(OFFSET(ITEM_RES!$A$1,MATCH(AW111,ITEM_RES!$J:$J,0)-1,0),0)</f>
        <v>211020401</v>
      </c>
      <c r="AW111" s="10" t="s">
        <v>416</v>
      </c>
      <c r="AX111" s="11">
        <v>20000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747</v>
      </c>
      <c r="M112" s="9">
        <v>1</v>
      </c>
      <c r="N112" s="9">
        <v>15</v>
      </c>
      <c r="O112" s="9" t="s">
        <v>749</v>
      </c>
      <c r="P112" s="55" t="s">
        <v>1361</v>
      </c>
      <c r="Q112" s="9" t="s">
        <v>748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530</v>
      </c>
      <c r="W112" s="11">
        <f ca="1">IFERROR(OFFSET(ITEM_RES!$A$5,MATCH(BUILDING!V112,ITEM_RES!$J$5:$J$229,0)-1,0),0)</f>
        <v>211021101</v>
      </c>
      <c r="Y112" s="9" t="s">
        <v>501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84100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84100</v>
      </c>
      <c r="AG112" s="176">
        <f t="shared" ca="1" si="45"/>
        <v>124200</v>
      </c>
      <c r="AI112" s="11">
        <f t="shared" si="20"/>
        <v>3600</v>
      </c>
      <c r="AJ112" s="10">
        <v>3600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424</v>
      </c>
      <c r="AS112" s="11">
        <v>42000</v>
      </c>
      <c r="AV112" s="11">
        <f ca="1">IFERROR(OFFSET(ITEM_RES!$A$1,MATCH(AW112,ITEM_RES!$J:$J,0)-1,0),0)</f>
        <v>211020401</v>
      </c>
      <c r="AW112" s="10" t="s">
        <v>416</v>
      </c>
      <c r="AX112" s="11">
        <v>42000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747</v>
      </c>
      <c r="M113" s="9">
        <v>1</v>
      </c>
      <c r="N113" s="9">
        <v>15</v>
      </c>
      <c r="O113" s="9" t="s">
        <v>749</v>
      </c>
      <c r="P113" s="55" t="s">
        <v>1361</v>
      </c>
      <c r="Q113" s="9" t="s">
        <v>748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530</v>
      </c>
      <c r="W113" s="11">
        <f ca="1">IFERROR(OFFSET(ITEM_RES!$A$5,MATCH(BUILDING!V113,ITEM_RES!$J$5:$J$229,0)-1,0),0)</f>
        <v>211021101</v>
      </c>
      <c r="Y113" s="9" t="s">
        <v>501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156650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156650</v>
      </c>
      <c r="AG113" s="176">
        <f t="shared" ca="1" si="45"/>
        <v>240750</v>
      </c>
      <c r="AI113" s="11">
        <f t="shared" si="20"/>
        <v>5400</v>
      </c>
      <c r="AJ113" s="10">
        <v>5400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424</v>
      </c>
      <c r="AS113" s="11">
        <v>78000</v>
      </c>
      <c r="AV113" s="11">
        <f ca="1">IFERROR(OFFSET(ITEM_RES!$A$1,MATCH(AW113,ITEM_RES!$J:$J,0)-1,0),0)</f>
        <v>211020401</v>
      </c>
      <c r="AW113" s="10" t="s">
        <v>416</v>
      </c>
      <c r="AX113" s="11">
        <v>78000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747</v>
      </c>
      <c r="M114" s="9">
        <v>1</v>
      </c>
      <c r="N114" s="9">
        <v>15</v>
      </c>
      <c r="O114" s="9" t="s">
        <v>749</v>
      </c>
      <c r="P114" s="55" t="s">
        <v>1361</v>
      </c>
      <c r="Q114" s="9" t="s">
        <v>748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530</v>
      </c>
      <c r="W114" s="11">
        <f ca="1">IFERROR(OFFSET(ITEM_RES!$A$5,MATCH(BUILDING!V114,ITEM_RES!$J$5:$J$229,0)-1,0),0)</f>
        <v>211021101</v>
      </c>
      <c r="Y114" s="9" t="s">
        <v>501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266200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266200</v>
      </c>
      <c r="AG114" s="176">
        <f t="shared" ca="1" si="45"/>
        <v>422850</v>
      </c>
      <c r="AI114" s="11">
        <f t="shared" si="20"/>
        <v>7200</v>
      </c>
      <c r="AJ114" s="10">
        <v>7200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424</v>
      </c>
      <c r="AS114" s="11">
        <v>130000</v>
      </c>
      <c r="AV114" s="11">
        <f ca="1">IFERROR(OFFSET(ITEM_RES!$A$1,MATCH(AW114,ITEM_RES!$J:$J,0)-1,0),0)</f>
        <v>211020401</v>
      </c>
      <c r="AW114" s="10" t="s">
        <v>416</v>
      </c>
      <c r="AX114" s="11">
        <v>130000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747</v>
      </c>
      <c r="M115" s="9">
        <v>1</v>
      </c>
      <c r="N115" s="9">
        <v>15</v>
      </c>
      <c r="O115" s="9" t="s">
        <v>749</v>
      </c>
      <c r="P115" s="55" t="s">
        <v>1361</v>
      </c>
      <c r="Q115" s="9" t="s">
        <v>748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530</v>
      </c>
      <c r="W115" s="11">
        <f ca="1">IFERROR(OFFSET(ITEM_RES!$A$5,MATCH(BUILDING!V115,ITEM_RES!$J$5:$J$229,0)-1,0),0)</f>
        <v>211021101</v>
      </c>
      <c r="Y115" s="9" t="s">
        <v>501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523250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523250</v>
      </c>
      <c r="AG115" s="176">
        <f t="shared" ca="1" si="45"/>
        <v>789450</v>
      </c>
      <c r="AI115" s="11">
        <f t="shared" si="20"/>
        <v>9000</v>
      </c>
      <c r="AJ115" s="10">
        <v>9000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220000</v>
      </c>
      <c r="AV115" s="11">
        <f ca="1">IFERROR(OFFSET(ITEM_RES!$A$1,MATCH(AW115,ITEM_RES!$J:$J,0)-1,0),0)</f>
        <v>211020401</v>
      </c>
      <c r="AW115" s="10" t="s">
        <v>416</v>
      </c>
      <c r="AX115" s="11">
        <v>220000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747</v>
      </c>
      <c r="M116" s="9">
        <v>1</v>
      </c>
      <c r="N116" s="9">
        <v>15</v>
      </c>
      <c r="O116" s="9" t="s">
        <v>749</v>
      </c>
      <c r="P116" s="55" t="s">
        <v>1361</v>
      </c>
      <c r="Q116" s="9" t="s">
        <v>748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530</v>
      </c>
      <c r="W116" s="11">
        <f ca="1">IFERROR(OFFSET(ITEM_RES!$A$5,MATCH(BUILDING!V116,ITEM_RES!$J$5:$J$229,0)-1,0),0)</f>
        <v>211021101</v>
      </c>
      <c r="Y116" s="9" t="s">
        <v>501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879300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879300</v>
      </c>
      <c r="AG116" s="176">
        <f t="shared" ca="1" si="45"/>
        <v>1402550</v>
      </c>
      <c r="AI116" s="11">
        <f t="shared" si="20"/>
        <v>10800</v>
      </c>
      <c r="AJ116" s="10">
        <v>10800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370000</v>
      </c>
      <c r="AV116" s="11">
        <f ca="1">IFERROR(OFFSET(ITEM_RES!$A$1,MATCH(AW116,ITEM_RES!$J:$J,0)-1,0),0)</f>
        <v>211020401</v>
      </c>
      <c r="AW116" s="10" t="s">
        <v>416</v>
      </c>
      <c r="AX116" s="11">
        <v>370000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747</v>
      </c>
      <c r="M117" s="9">
        <v>1</v>
      </c>
      <c r="N117" s="9">
        <v>15</v>
      </c>
      <c r="O117" s="9" t="s">
        <v>749</v>
      </c>
      <c r="P117" s="55" t="s">
        <v>1361</v>
      </c>
      <c r="Q117" s="9" t="s">
        <v>748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530</v>
      </c>
      <c r="W117" s="11">
        <f ca="1">IFERROR(OFFSET(ITEM_RES!$A$5,MATCH(BUILDING!V117,ITEM_RES!$J$5:$J$229,0)-1,0),0)</f>
        <v>211021101</v>
      </c>
      <c r="Y117" s="9" t="s">
        <v>501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1474350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1474350</v>
      </c>
      <c r="AG117" s="176">
        <f t="shared" ca="1" si="45"/>
        <v>2353650</v>
      </c>
      <c r="AI117" s="11">
        <f t="shared" si="20"/>
        <v>12600</v>
      </c>
      <c r="AJ117" s="10">
        <v>12600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620000</v>
      </c>
      <c r="AV117" s="11">
        <f ca="1">IFERROR(OFFSET(ITEM_RES!$A$1,MATCH(AW117,ITEM_RES!$J:$J,0)-1,0),0)</f>
        <v>211020401</v>
      </c>
      <c r="AW117" s="10" t="s">
        <v>416</v>
      </c>
      <c r="AX117" s="11">
        <v>620000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747</v>
      </c>
      <c r="M118" s="9">
        <v>1</v>
      </c>
      <c r="N118" s="9">
        <v>15</v>
      </c>
      <c r="O118" s="9" t="s">
        <v>749</v>
      </c>
      <c r="P118" s="55" t="s">
        <v>1361</v>
      </c>
      <c r="Q118" s="9" t="s">
        <v>748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530</v>
      </c>
      <c r="W118" s="11">
        <f ca="1">IFERROR(OFFSET(ITEM_RES!$A$5,MATCH(BUILDING!V118,ITEM_RES!$J$5:$J$229,0)-1,0),0)</f>
        <v>211021101</v>
      </c>
      <c r="Y118" s="9" t="s">
        <v>501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2319450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2319450</v>
      </c>
      <c r="AG118" s="176">
        <f t="shared" ca="1" si="45"/>
        <v>3793800</v>
      </c>
      <c r="AI118" s="11">
        <f t="shared" si="20"/>
        <v>14400</v>
      </c>
      <c r="AJ118" s="10">
        <v>14400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970000</v>
      </c>
      <c r="AV118" s="11">
        <f ca="1">IFERROR(OFFSET(ITEM_RES!$A$1,MATCH(AW118,ITEM_RES!$J:$J,0)-1,0),0)</f>
        <v>211020401</v>
      </c>
      <c r="AW118" s="10" t="s">
        <v>416</v>
      </c>
      <c r="AX118" s="11">
        <v>970000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747</v>
      </c>
      <c r="M119" s="9">
        <v>1</v>
      </c>
      <c r="N119" s="9">
        <v>15</v>
      </c>
      <c r="O119" s="9" t="s">
        <v>749</v>
      </c>
      <c r="P119" s="55" t="s">
        <v>1361</v>
      </c>
      <c r="Q119" s="9" t="s">
        <v>748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530</v>
      </c>
      <c r="W119" s="11">
        <f ca="1">IFERROR(OFFSET(ITEM_RES!$A$5,MATCH(BUILDING!V119,ITEM_RES!$J$5:$J$229,0)-1,0),0)</f>
        <v>211021101</v>
      </c>
      <c r="Y119" s="9" t="s">
        <v>501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5350550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5350550</v>
      </c>
      <c r="AG119" s="176">
        <f t="shared" ca="1" si="45"/>
        <v>7670000</v>
      </c>
      <c r="AI119" s="11">
        <f t="shared" si="20"/>
        <v>16200</v>
      </c>
      <c r="AJ119" s="10">
        <v>16200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2100000</v>
      </c>
      <c r="AV119" s="11">
        <f ca="1">IFERROR(OFFSET(ITEM_RES!$A$1,MATCH(AW119,ITEM_RES!$J:$J,0)-1,0),0)</f>
        <v>211020501</v>
      </c>
      <c r="AW119" s="10" t="s">
        <v>417</v>
      </c>
      <c r="AX119" s="11">
        <v>2100000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747</v>
      </c>
      <c r="M120" s="9">
        <v>0</v>
      </c>
      <c r="N120" s="9">
        <v>15</v>
      </c>
      <c r="O120" s="9" t="s">
        <v>749</v>
      </c>
      <c r="P120" s="55" t="s">
        <v>1361</v>
      </c>
      <c r="Q120" s="9" t="s">
        <v>748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530</v>
      </c>
      <c r="W120" s="11">
        <f ca="1">IFERROR(OFFSET(ITEM_RES!$A$5,MATCH(BUILDING!V120,ITEM_RES!$J$5:$J$229,0)-1,0),0)</f>
        <v>211021101</v>
      </c>
      <c r="Y120" s="9" t="s">
        <v>501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10805700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10805700</v>
      </c>
      <c r="AG120" s="176">
        <f t="shared" ca="1" si="45"/>
        <v>16156250</v>
      </c>
      <c r="AI120" s="11">
        <f t="shared" si="20"/>
        <v>18000</v>
      </c>
      <c r="AJ120" s="10">
        <v>18000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4300000</v>
      </c>
      <c r="AV120" s="11">
        <f ca="1">IFERROR(OFFSET(ITEM_RES!$A$1,MATCH(AW120,ITEM_RES!$J:$J,0)-1,0),0)</f>
        <v>211020501</v>
      </c>
      <c r="AW120" s="10" t="s">
        <v>417</v>
      </c>
      <c r="AX120" s="11">
        <v>4300000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747</v>
      </c>
      <c r="M121" s="9">
        <v>0</v>
      </c>
      <c r="N121" s="9">
        <v>15</v>
      </c>
      <c r="O121" s="9" t="s">
        <v>749</v>
      </c>
      <c r="P121" s="55" t="s">
        <v>1361</v>
      </c>
      <c r="Q121" s="9" t="s">
        <v>748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530</v>
      </c>
      <c r="W121" s="11">
        <f ca="1">IFERROR(OFFSET(ITEM_RES!$A$5,MATCH(BUILDING!V121,ITEM_RES!$J$5:$J$229,0)-1,0),0)</f>
        <v>211021101</v>
      </c>
      <c r="Y121" s="9" t="s">
        <v>501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20250850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20250850</v>
      </c>
      <c r="AG121" s="176">
        <f t="shared" ca="1" si="45"/>
        <v>31056550</v>
      </c>
      <c r="AI121" s="11">
        <f t="shared" si="20"/>
        <v>19800</v>
      </c>
      <c r="AJ121" s="10">
        <v>19800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1003</v>
      </c>
      <c r="AS121" s="11">
        <v>8000000</v>
      </c>
      <c r="AV121" s="11">
        <f ca="1">IFERROR(OFFSET(ITEM_RES!$A$1,MATCH(AW121,ITEM_RES!$J:$J,0)-1,0),0)</f>
        <v>211020501</v>
      </c>
      <c r="AW121" s="10" t="s">
        <v>417</v>
      </c>
      <c r="AX121" s="11">
        <v>8000000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747</v>
      </c>
      <c r="M122" s="9">
        <v>0</v>
      </c>
      <c r="N122" s="9">
        <v>15</v>
      </c>
      <c r="O122" s="9" t="s">
        <v>749</v>
      </c>
      <c r="P122" s="55" t="s">
        <v>1361</v>
      </c>
      <c r="Q122" s="9" t="s">
        <v>748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530</v>
      </c>
      <c r="W122" s="11">
        <f ca="1">IFERROR(OFFSET(ITEM_RES!$A$5,MATCH(BUILDING!V122,ITEM_RES!$J$5:$J$229,0)-1,0),0)</f>
        <v>211021101</v>
      </c>
      <c r="Y122" s="9" t="s">
        <v>501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33351050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33351050</v>
      </c>
      <c r="AG122" s="176">
        <f t="shared" ca="1" si="45"/>
        <v>53601900</v>
      </c>
      <c r="AI122" s="11">
        <f t="shared" si="20"/>
        <v>21600</v>
      </c>
      <c r="AJ122" s="10">
        <v>21600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1003</v>
      </c>
      <c r="AS122" s="11">
        <v>13000000</v>
      </c>
      <c r="AV122" s="11">
        <f ca="1">IFERROR(OFFSET(ITEM_RES!$A$1,MATCH(AW122,ITEM_RES!$J:$J,0)-1,0),0)</f>
        <v>211020501</v>
      </c>
      <c r="AW122" s="10" t="s">
        <v>417</v>
      </c>
      <c r="AX122" s="11">
        <v>13000000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747</v>
      </c>
      <c r="M123" s="9">
        <v>0</v>
      </c>
      <c r="N123" s="9">
        <v>15</v>
      </c>
      <c r="O123" s="9" t="s">
        <v>749</v>
      </c>
      <c r="P123" s="55" t="s">
        <v>1361</v>
      </c>
      <c r="Q123" s="9" t="s">
        <v>748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530</v>
      </c>
      <c r="W123" s="11">
        <f ca="1">IFERROR(OFFSET(ITEM_RES!$A$5,MATCH(BUILDING!V123,ITEM_RES!$J$5:$J$229,0)-1,0),0)</f>
        <v>211021101</v>
      </c>
      <c r="Y123" s="9" t="s">
        <v>501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52001250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52001250</v>
      </c>
      <c r="AG123" s="176">
        <f t="shared" ca="1" si="45"/>
        <v>85352300</v>
      </c>
      <c r="AI123" s="11">
        <f t="shared" si="20"/>
        <v>23400</v>
      </c>
      <c r="AJ123" s="10">
        <v>23400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1003</v>
      </c>
      <c r="AS123" s="11">
        <v>20000000</v>
      </c>
      <c r="AV123" s="11">
        <f ca="1">IFERROR(OFFSET(ITEM_RES!$A$1,MATCH(AW123,ITEM_RES!$J:$J,0)-1,0),0)</f>
        <v>211020501</v>
      </c>
      <c r="AW123" s="10" t="s">
        <v>417</v>
      </c>
      <c r="AX123" s="11">
        <v>20000000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747</v>
      </c>
      <c r="M124" s="9">
        <v>0</v>
      </c>
      <c r="N124" s="9">
        <v>15</v>
      </c>
      <c r="O124" s="9" t="s">
        <v>749</v>
      </c>
      <c r="P124" s="55" t="s">
        <v>1361</v>
      </c>
      <c r="Q124" s="9" t="s">
        <v>748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530</v>
      </c>
      <c r="W124" s="11">
        <f ca="1">IFERROR(OFFSET(ITEM_RES!$A$5,MATCH(BUILDING!V124,ITEM_RES!$J$5:$J$229,0)-1,0),0)</f>
        <v>211021101</v>
      </c>
      <c r="Y124" s="9" t="s">
        <v>501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83301500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83301500</v>
      </c>
      <c r="AG124" s="176">
        <f t="shared" ca="1" si="45"/>
        <v>135302750</v>
      </c>
      <c r="AI124" s="11">
        <f t="shared" si="20"/>
        <v>25200</v>
      </c>
      <c r="AJ124" s="10">
        <v>25200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1003</v>
      </c>
      <c r="AS124" s="11">
        <v>32000000</v>
      </c>
      <c r="AV124" s="11">
        <f ca="1">IFERROR(OFFSET(ITEM_RES!$A$1,MATCH(AW124,ITEM_RES!$J:$J,0)-1,0),0)</f>
        <v>211020501</v>
      </c>
      <c r="AW124" s="10" t="s">
        <v>417</v>
      </c>
      <c r="AX124" s="11">
        <v>32000000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1097</v>
      </c>
      <c r="P125" s="56" t="s">
        <v>1362</v>
      </c>
      <c r="Q125" s="16" t="s">
        <v>676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531</v>
      </c>
      <c r="W125" s="18">
        <f ca="1">IFERROR(OFFSET(ITEM_RES!$A$5,MATCH(BUILDING!V125,ITEM_RES!$J$5:$J$229,0)-1,0),0)</f>
        <v>211010501</v>
      </c>
      <c r="X125" s="76"/>
      <c r="Y125" s="16" t="s">
        <v>502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1030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1030</v>
      </c>
      <c r="AG125" s="178">
        <f ca="1">AE125</f>
        <v>1030</v>
      </c>
      <c r="AH125" s="76"/>
      <c r="AI125" s="18">
        <f t="shared" si="20"/>
        <v>5</v>
      </c>
      <c r="AJ125" s="17">
        <v>5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428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442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1098</v>
      </c>
      <c r="P126" s="55" t="s">
        <v>1362</v>
      </c>
      <c r="Q126" s="9" t="s">
        <v>676</v>
      </c>
      <c r="T126" s="9">
        <f ca="1">IFERROR(OFFSET(ITEM_RES!$A$5,MATCH(BUILDING!S126,ITEM_RES!$J$5:$J$229,0)-1,0),0)</f>
        <v>0</v>
      </c>
      <c r="V126" s="81" t="s">
        <v>531</v>
      </c>
      <c r="W126" s="11">
        <f ca="1">IFERROR(OFFSET(ITEM_RES!$A$5,MATCH(BUILDING!V126,ITEM_RES!$J$5:$J$229,0)-1,0),0)</f>
        <v>211010501</v>
      </c>
      <c r="Y126" s="9" t="s">
        <v>502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60</v>
      </c>
      <c r="AG126" s="176">
        <f ca="1">AE125+AE126</f>
        <v>1090</v>
      </c>
      <c r="AI126" s="11">
        <f t="shared" si="20"/>
        <v>10</v>
      </c>
      <c r="AJ126" s="10">
        <v>10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428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1099</v>
      </c>
      <c r="P127" s="55" t="s">
        <v>1363</v>
      </c>
      <c r="Q127" s="9" t="s">
        <v>676</v>
      </c>
      <c r="T127" s="9">
        <f ca="1">IFERROR(OFFSET(ITEM_RES!$A$5,MATCH(BUILDING!S127,ITEM_RES!$J$5:$J$229,0)-1,0),0)</f>
        <v>0</v>
      </c>
      <c r="V127" s="81" t="s">
        <v>531</v>
      </c>
      <c r="W127" s="11">
        <f ca="1">IFERROR(OFFSET(ITEM_RES!$A$5,MATCH(BUILDING!V127,ITEM_RES!$J$5:$J$229,0)-1,0),0)</f>
        <v>211010501</v>
      </c>
      <c r="Y127" s="9" t="s">
        <v>502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90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90</v>
      </c>
      <c r="AG127" s="176">
        <f t="shared" ref="AG127:AG144" ca="1" si="46">AE126+AE127</f>
        <v>150</v>
      </c>
      <c r="AI127" s="11">
        <f t="shared" si="20"/>
        <v>30</v>
      </c>
      <c r="AJ127" s="10">
        <v>30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428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1100</v>
      </c>
      <c r="P128" s="55" t="s">
        <v>1363</v>
      </c>
      <c r="Q128" s="9" t="s">
        <v>676</v>
      </c>
      <c r="T128" s="9">
        <f ca="1">IFERROR(OFFSET(ITEM_RES!$A$5,MATCH(BUILDING!S128,ITEM_RES!$J$5:$J$229,0)-1,0),0)</f>
        <v>0</v>
      </c>
      <c r="V128" s="81" t="s">
        <v>531</v>
      </c>
      <c r="W128" s="11">
        <f ca="1">IFERROR(OFFSET(ITEM_RES!$A$5,MATCH(BUILDING!V128,ITEM_RES!$J$5:$J$229,0)-1,0),0)</f>
        <v>211010501</v>
      </c>
      <c r="Y128" s="9" t="s">
        <v>502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325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325</v>
      </c>
      <c r="AG128" s="176">
        <f t="shared" ca="1" si="46"/>
        <v>415</v>
      </c>
      <c r="AI128" s="11">
        <f t="shared" si="20"/>
        <v>300</v>
      </c>
      <c r="AJ128" s="10">
        <v>300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428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1101</v>
      </c>
      <c r="P129" s="55" t="s">
        <v>1364</v>
      </c>
      <c r="Q129" s="9" t="s">
        <v>676</v>
      </c>
      <c r="T129" s="9">
        <f ca="1">IFERROR(OFFSET(ITEM_RES!$A$5,MATCH(BUILDING!S129,ITEM_RES!$J$5:$J$229,0)-1,0),0)</f>
        <v>0</v>
      </c>
      <c r="V129" s="81" t="s">
        <v>531</v>
      </c>
      <c r="W129" s="11">
        <f ca="1">IFERROR(OFFSET(ITEM_RES!$A$5,MATCH(BUILDING!V129,ITEM_RES!$J$5:$J$229,0)-1,0),0)</f>
        <v>211010501</v>
      </c>
      <c r="Y129" s="9" t="s">
        <v>502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1390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1390</v>
      </c>
      <c r="AG129" s="176">
        <f t="shared" ca="1" si="46"/>
        <v>1715</v>
      </c>
      <c r="AI129" s="11">
        <f t="shared" si="20"/>
        <v>600</v>
      </c>
      <c r="AJ129" s="10">
        <v>600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428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1102</v>
      </c>
      <c r="P130" s="55" t="s">
        <v>1364</v>
      </c>
      <c r="Q130" s="9" t="s">
        <v>676</v>
      </c>
      <c r="T130" s="9">
        <f ca="1">IFERROR(OFFSET(ITEM_RES!$A$5,MATCH(BUILDING!S130,ITEM_RES!$J$5:$J$229,0)-1,0),0)</f>
        <v>0</v>
      </c>
      <c r="V130" s="81" t="s">
        <v>531</v>
      </c>
      <c r="W130" s="11">
        <f ca="1">IFERROR(OFFSET(ITEM_RES!$A$5,MATCH(BUILDING!V130,ITEM_RES!$J$5:$J$229,0)-1,0),0)</f>
        <v>211010501</v>
      </c>
      <c r="Y130" s="9" t="s">
        <v>502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4550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4550</v>
      </c>
      <c r="AG130" s="176">
        <f t="shared" ca="1" si="46"/>
        <v>5940</v>
      </c>
      <c r="AI130" s="11">
        <f t="shared" si="20"/>
        <v>1200</v>
      </c>
      <c r="AJ130" s="10">
        <v>1200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428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1103</v>
      </c>
      <c r="P131" s="55" t="s">
        <v>1365</v>
      </c>
      <c r="Q131" s="9" t="s">
        <v>676</v>
      </c>
      <c r="T131" s="9">
        <f ca="1">IFERROR(OFFSET(ITEM_RES!$A$5,MATCH(BUILDING!S131,ITEM_RES!$J$5:$J$229,0)-1,0),0)</f>
        <v>0</v>
      </c>
      <c r="V131" s="81" t="s">
        <v>531</v>
      </c>
      <c r="W131" s="11">
        <f ca="1">IFERROR(OFFSET(ITEM_RES!$A$5,MATCH(BUILDING!V131,ITEM_RES!$J$5:$J$229,0)-1,0),0)</f>
        <v>211010501</v>
      </c>
      <c r="Y131" s="9" t="s">
        <v>502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10100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10100</v>
      </c>
      <c r="AG131" s="176">
        <f t="shared" ca="1" si="46"/>
        <v>14650</v>
      </c>
      <c r="AI131" s="11">
        <f t="shared" si="20"/>
        <v>1800</v>
      </c>
      <c r="AJ131" s="10">
        <v>1800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428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1103</v>
      </c>
      <c r="P132" s="55" t="s">
        <v>1365</v>
      </c>
      <c r="Q132" s="9" t="s">
        <v>676</v>
      </c>
      <c r="T132" s="9">
        <f ca="1">IFERROR(OFFSET(ITEM_RES!$A$5,MATCH(BUILDING!S132,ITEM_RES!$J$5:$J$229,0)-1,0),0)</f>
        <v>0</v>
      </c>
      <c r="V132" s="81" t="s">
        <v>531</v>
      </c>
      <c r="W132" s="11">
        <f ca="1">IFERROR(OFFSET(ITEM_RES!$A$5,MATCH(BUILDING!V132,ITEM_RES!$J$5:$J$229,0)-1,0),0)</f>
        <v>211010501</v>
      </c>
      <c r="Y132" s="9" t="s">
        <v>502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21100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21100</v>
      </c>
      <c r="AG132" s="176">
        <f t="shared" ca="1" si="46"/>
        <v>31200</v>
      </c>
      <c r="AI132" s="11">
        <f t="shared" si="20"/>
        <v>3600</v>
      </c>
      <c r="AJ132" s="10">
        <v>3600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428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1426</v>
      </c>
      <c r="P133" s="55" t="s">
        <v>1428</v>
      </c>
      <c r="Q133" s="9" t="s">
        <v>676</v>
      </c>
      <c r="T133" s="9">
        <f ca="1">IFERROR(OFFSET(ITEM_RES!$A$5,MATCH(BUILDING!S133,ITEM_RES!$J$5:$J$229,0)-1,0),0)</f>
        <v>0</v>
      </c>
      <c r="V133" s="81" t="s">
        <v>531</v>
      </c>
      <c r="W133" s="11">
        <f ca="1">IFERROR(OFFSET(ITEM_RES!$A$5,MATCH(BUILDING!V133,ITEM_RES!$J$5:$J$229,0)-1,0),0)</f>
        <v>211010501</v>
      </c>
      <c r="Y133" s="9" t="s">
        <v>502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46950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46950</v>
      </c>
      <c r="AG133" s="176">
        <f t="shared" ca="1" si="46"/>
        <v>68050</v>
      </c>
      <c r="AI133" s="11">
        <f t="shared" ref="AI133:AI236" si="47">ROUND(AJ133,0)</f>
        <v>5400</v>
      </c>
      <c r="AJ133" s="10">
        <v>5400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211020501</v>
      </c>
      <c r="AR133" s="10" t="s">
        <v>1337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1426</v>
      </c>
      <c r="P134" s="55" t="s">
        <v>1428</v>
      </c>
      <c r="Q134" s="9" t="s">
        <v>676</v>
      </c>
      <c r="T134" s="9">
        <f ca="1">IFERROR(OFFSET(ITEM_RES!$A$5,MATCH(BUILDING!S134,ITEM_RES!$J$5:$J$229,0)-1,0),0)</f>
        <v>0</v>
      </c>
      <c r="V134" s="81" t="s">
        <v>531</v>
      </c>
      <c r="W134" s="11">
        <f ca="1">IFERROR(OFFSET(ITEM_RES!$A$5,MATCH(BUILDING!V134,ITEM_RES!$J$5:$J$229,0)-1,0),0)</f>
        <v>211010501</v>
      </c>
      <c r="Y134" s="9" t="s">
        <v>502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78200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78200</v>
      </c>
      <c r="AG134" s="176">
        <f t="shared" ca="1" si="46"/>
        <v>125150</v>
      </c>
      <c r="AI134" s="11">
        <f t="shared" si="47"/>
        <v>7200</v>
      </c>
      <c r="AJ134" s="10">
        <v>7200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1337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1425</v>
      </c>
      <c r="P135" s="55" t="s">
        <v>1427</v>
      </c>
      <c r="Q135" s="9" t="s">
        <v>676</v>
      </c>
      <c r="T135" s="9">
        <f ca="1">IFERROR(OFFSET(ITEM_RES!$A$5,MATCH(BUILDING!S135,ITEM_RES!$J$5:$J$229,0)-1,0),0)</f>
        <v>0</v>
      </c>
      <c r="V135" s="81" t="s">
        <v>531</v>
      </c>
      <c r="W135" s="11">
        <f ca="1">IFERROR(OFFSET(ITEM_RES!$A$5,MATCH(BUILDING!V135,ITEM_RES!$J$5:$J$229,0)-1,0),0)</f>
        <v>211010501</v>
      </c>
      <c r="Y135" s="9" t="s">
        <v>502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132250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132250</v>
      </c>
      <c r="AG135" s="176">
        <f t="shared" ca="1" si="46"/>
        <v>210450</v>
      </c>
      <c r="AI135" s="11">
        <f t="shared" si="47"/>
        <v>9000</v>
      </c>
      <c r="AJ135" s="10">
        <v>9000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1337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1425</v>
      </c>
      <c r="P136" s="55" t="s">
        <v>1427</v>
      </c>
      <c r="Q136" s="9" t="s">
        <v>676</v>
      </c>
      <c r="T136" s="9">
        <f ca="1">IFERROR(OFFSET(ITEM_RES!$A$5,MATCH(BUILDING!S136,ITEM_RES!$J$5:$J$229,0)-1,0),0)</f>
        <v>0</v>
      </c>
      <c r="V136" s="81" t="s">
        <v>531</v>
      </c>
      <c r="W136" s="11">
        <f ca="1">IFERROR(OFFSET(ITEM_RES!$A$5,MATCH(BUILDING!V136,ITEM_RES!$J$5:$J$229,0)-1,0),0)</f>
        <v>211010501</v>
      </c>
      <c r="Y136" s="9" t="s">
        <v>502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222300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222300</v>
      </c>
      <c r="AG136" s="176">
        <f t="shared" ca="1" si="46"/>
        <v>354550</v>
      </c>
      <c r="AI136" s="11">
        <f t="shared" si="47"/>
        <v>10800</v>
      </c>
      <c r="AJ136" s="10">
        <v>10800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1337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1425</v>
      </c>
      <c r="P137" s="55" t="s">
        <v>1427</v>
      </c>
      <c r="Q137" s="9" t="s">
        <v>676</v>
      </c>
      <c r="T137" s="9">
        <f ca="1">IFERROR(OFFSET(ITEM_RES!$A$5,MATCH(BUILDING!S137,ITEM_RES!$J$5:$J$229,0)-1,0),0)</f>
        <v>0</v>
      </c>
      <c r="V137" s="81" t="s">
        <v>531</v>
      </c>
      <c r="W137" s="11">
        <f ca="1">IFERROR(OFFSET(ITEM_RES!$A$5,MATCH(BUILDING!V137,ITEM_RES!$J$5:$J$229,0)-1,0),0)</f>
        <v>211010501</v>
      </c>
      <c r="Y137" s="9" t="s">
        <v>502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372350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372350</v>
      </c>
      <c r="AG137" s="176">
        <f t="shared" ca="1" si="46"/>
        <v>594650</v>
      </c>
      <c r="AI137" s="11">
        <f t="shared" si="47"/>
        <v>12600</v>
      </c>
      <c r="AJ137" s="10">
        <v>12600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1337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1425</v>
      </c>
      <c r="P138" s="55" t="s">
        <v>1427</v>
      </c>
      <c r="Q138" s="9" t="s">
        <v>676</v>
      </c>
      <c r="T138" s="9">
        <f ca="1">IFERROR(OFFSET(ITEM_RES!$A$5,MATCH(BUILDING!S138,ITEM_RES!$J$5:$J$229,0)-1,0),0)</f>
        <v>0</v>
      </c>
      <c r="V138" s="81" t="s">
        <v>531</v>
      </c>
      <c r="W138" s="11">
        <f ca="1">IFERROR(OFFSET(ITEM_RES!$A$5,MATCH(BUILDING!V138,ITEM_RES!$J$5:$J$229,0)-1,0),0)</f>
        <v>211010501</v>
      </c>
      <c r="Y138" s="9" t="s">
        <v>502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582450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582450</v>
      </c>
      <c r="AG138" s="176">
        <f t="shared" ca="1" si="46"/>
        <v>954800</v>
      </c>
      <c r="AI138" s="11">
        <f t="shared" si="47"/>
        <v>14400</v>
      </c>
      <c r="AJ138" s="10">
        <v>14400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1337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1425</v>
      </c>
      <c r="P139" s="55" t="s">
        <v>1427</v>
      </c>
      <c r="Q139" s="9" t="s">
        <v>676</v>
      </c>
      <c r="T139" s="9">
        <f ca="1">IFERROR(OFFSET(ITEM_RES!$A$5,MATCH(BUILDING!S139,ITEM_RES!$J$5:$J$229,0)-1,0),0)</f>
        <v>0</v>
      </c>
      <c r="V139" s="81" t="s">
        <v>531</v>
      </c>
      <c r="W139" s="11">
        <f ca="1">IFERROR(OFFSET(ITEM_RES!$A$5,MATCH(BUILDING!V139,ITEM_RES!$J$5:$J$229,0)-1,0),0)</f>
        <v>211010501</v>
      </c>
      <c r="Y139" s="9" t="s">
        <v>502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1260550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1260550</v>
      </c>
      <c r="AG139" s="176">
        <f t="shared" ca="1" si="46"/>
        <v>1843000</v>
      </c>
      <c r="AI139" s="11">
        <f t="shared" si="47"/>
        <v>16200</v>
      </c>
      <c r="AJ139" s="10">
        <v>16200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1337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1425</v>
      </c>
      <c r="P140" s="55" t="s">
        <v>1427</v>
      </c>
      <c r="Q140" s="9" t="s">
        <v>676</v>
      </c>
      <c r="T140" s="9">
        <f ca="1">IFERROR(OFFSET(ITEM_RES!$A$5,MATCH(BUILDING!S140,ITEM_RES!$J$5:$J$229,0)-1,0),0)</f>
        <v>0</v>
      </c>
      <c r="V140" s="81" t="s">
        <v>531</v>
      </c>
      <c r="W140" s="11">
        <f ca="1">IFERROR(OFFSET(ITEM_RES!$A$5,MATCH(BUILDING!V140,ITEM_RES!$J$5:$J$229,0)-1,0),0)</f>
        <v>211010501</v>
      </c>
      <c r="Y140" s="9" t="s">
        <v>502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2580700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2580700</v>
      </c>
      <c r="AG140" s="176">
        <f t="shared" ca="1" si="46"/>
        <v>3841250</v>
      </c>
      <c r="AI140" s="11">
        <f t="shared" si="47"/>
        <v>18000</v>
      </c>
      <c r="AJ140" s="10">
        <v>18000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1337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1425</v>
      </c>
      <c r="P141" s="55" t="s">
        <v>1427</v>
      </c>
      <c r="Q141" s="9" t="s">
        <v>676</v>
      </c>
      <c r="T141" s="9">
        <f ca="1">IFERROR(OFFSET(ITEM_RES!$A$5,MATCH(BUILDING!S141,ITEM_RES!$J$5:$J$229,0)-1,0),0)</f>
        <v>0</v>
      </c>
      <c r="V141" s="81" t="s">
        <v>531</v>
      </c>
      <c r="W141" s="11">
        <f ca="1">IFERROR(OFFSET(ITEM_RES!$A$5,MATCH(BUILDING!V141,ITEM_RES!$J$5:$J$229,0)-1,0),0)</f>
        <v>211010501</v>
      </c>
      <c r="Y141" s="9" t="s">
        <v>502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4800850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4800850</v>
      </c>
      <c r="AG141" s="176">
        <f t="shared" ca="1" si="46"/>
        <v>7381550</v>
      </c>
      <c r="AI141" s="11">
        <f t="shared" si="47"/>
        <v>19800</v>
      </c>
      <c r="AJ141" s="10">
        <v>19800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1425</v>
      </c>
      <c r="P142" s="55" t="s">
        <v>1427</v>
      </c>
      <c r="Q142" s="9" t="s">
        <v>676</v>
      </c>
      <c r="T142" s="9">
        <f ca="1">IFERROR(OFFSET(ITEM_RES!$A$5,MATCH(BUILDING!S142,ITEM_RES!$J$5:$J$229,0)-1,0),0)</f>
        <v>0</v>
      </c>
      <c r="V142" s="81" t="s">
        <v>531</v>
      </c>
      <c r="W142" s="11">
        <f ca="1">IFERROR(OFFSET(ITEM_RES!$A$5,MATCH(BUILDING!V142,ITEM_RES!$J$5:$J$229,0)-1,0),0)</f>
        <v>211010501</v>
      </c>
      <c r="Y142" s="9" t="s">
        <v>502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7801050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7801050</v>
      </c>
      <c r="AG142" s="176">
        <f t="shared" ca="1" si="46"/>
        <v>12601900</v>
      </c>
      <c r="AI142" s="11">
        <f t="shared" si="47"/>
        <v>21600</v>
      </c>
      <c r="AJ142" s="10">
        <v>21600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1425</v>
      </c>
      <c r="P143" s="55" t="s">
        <v>1427</v>
      </c>
      <c r="Q143" s="9" t="s">
        <v>676</v>
      </c>
      <c r="T143" s="9">
        <f ca="1">IFERROR(OFFSET(ITEM_RES!$A$5,MATCH(BUILDING!S143,ITEM_RES!$J$5:$J$229,0)-1,0),0)</f>
        <v>0</v>
      </c>
      <c r="V143" s="81" t="s">
        <v>531</v>
      </c>
      <c r="W143" s="11">
        <f ca="1">IFERROR(OFFSET(ITEM_RES!$A$5,MATCH(BUILDING!V143,ITEM_RES!$J$5:$J$229,0)-1,0),0)</f>
        <v>211010501</v>
      </c>
      <c r="Y143" s="9" t="s">
        <v>502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12001250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12001250</v>
      </c>
      <c r="AG143" s="176">
        <f t="shared" ca="1" si="46"/>
        <v>19802300</v>
      </c>
      <c r="AI143" s="11">
        <f t="shared" si="47"/>
        <v>23400</v>
      </c>
      <c r="AJ143" s="10">
        <v>23400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1425</v>
      </c>
      <c r="P144" s="55" t="s">
        <v>1427</v>
      </c>
      <c r="Q144" s="9" t="s">
        <v>676</v>
      </c>
      <c r="T144" s="9">
        <f ca="1">IFERROR(OFFSET(ITEM_RES!$A$5,MATCH(BUILDING!S144,ITEM_RES!$J$5:$J$229,0)-1,0),0)</f>
        <v>0</v>
      </c>
      <c r="V144" s="81" t="s">
        <v>531</v>
      </c>
      <c r="W144" s="11">
        <f ca="1">IFERROR(OFFSET(ITEM_RES!$A$5,MATCH(BUILDING!V144,ITEM_RES!$J$5:$J$229,0)-1,0),0)</f>
        <v>211010501</v>
      </c>
      <c r="Y144" s="9" t="s">
        <v>502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19201500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19201500</v>
      </c>
      <c r="AG144" s="176">
        <f t="shared" ca="1" si="46"/>
        <v>31202750</v>
      </c>
      <c r="AI144" s="11">
        <f t="shared" si="47"/>
        <v>25200</v>
      </c>
      <c r="AJ144" s="10">
        <v>25200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1104</v>
      </c>
      <c r="P145" s="56" t="s">
        <v>1366</v>
      </c>
      <c r="Q145" s="16" t="s">
        <v>694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531</v>
      </c>
      <c r="W145" s="18">
        <f ca="1">IFERROR(OFFSET(ITEM_RES!$A$5,MATCH(BUILDING!V145,ITEM_RES!$J$5:$J$229,0)-1,0),0)</f>
        <v>211010501</v>
      </c>
      <c r="X145" s="76"/>
      <c r="Y145" s="16" t="s">
        <v>503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1255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1255</v>
      </c>
      <c r="AG145" s="178">
        <f ca="1">AE145</f>
        <v>1255</v>
      </c>
      <c r="AH145" s="76"/>
      <c r="AI145" s="18">
        <f t="shared" si="47"/>
        <v>5</v>
      </c>
      <c r="AJ145" s="17">
        <v>5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1070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442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1104</v>
      </c>
      <c r="P146" s="55" t="s">
        <v>1366</v>
      </c>
      <c r="Q146" s="9" t="s">
        <v>694</v>
      </c>
      <c r="T146" s="9">
        <f ca="1">IFERROR(OFFSET(ITEM_RES!$A$5,MATCH(BUILDING!S146,ITEM_RES!$J$5:$J$229,0)-1,0),0)</f>
        <v>0</v>
      </c>
      <c r="V146" s="81" t="s">
        <v>531</v>
      </c>
      <c r="W146" s="11">
        <f ca="1">IFERROR(OFFSET(ITEM_RES!$A$5,MATCH(BUILDING!V146,ITEM_RES!$J$5:$J$229,0)-1,0),0)</f>
        <v>211010501</v>
      </c>
      <c r="Y146" s="9" t="s">
        <v>503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510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510</v>
      </c>
      <c r="AG146" s="176">
        <f ca="1">AE145+AE146</f>
        <v>1765</v>
      </c>
      <c r="AI146" s="11">
        <f t="shared" si="47"/>
        <v>10</v>
      </c>
      <c r="AJ146" s="10">
        <v>10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1070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1105</v>
      </c>
      <c r="P147" s="55" t="s">
        <v>1367</v>
      </c>
      <c r="Q147" s="9" t="s">
        <v>694</v>
      </c>
      <c r="T147" s="9">
        <f ca="1">IFERROR(OFFSET(ITEM_RES!$A$5,MATCH(BUILDING!S147,ITEM_RES!$J$5:$J$229,0)-1,0),0)</f>
        <v>0</v>
      </c>
      <c r="V147" s="81" t="s">
        <v>531</v>
      </c>
      <c r="W147" s="11">
        <f ca="1">IFERROR(OFFSET(ITEM_RES!$A$5,MATCH(BUILDING!V147,ITEM_RES!$J$5:$J$229,0)-1,0),0)</f>
        <v>211010501</v>
      </c>
      <c r="Y147" s="9" t="s">
        <v>503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765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765</v>
      </c>
      <c r="AG147" s="176">
        <f t="shared" ref="AG147:AG164" ca="1" si="49">AE146+AE147</f>
        <v>1275</v>
      </c>
      <c r="AI147" s="11">
        <f t="shared" si="47"/>
        <v>30</v>
      </c>
      <c r="AJ147" s="10">
        <v>30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1070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1106</v>
      </c>
      <c r="P148" s="55" t="s">
        <v>1367</v>
      </c>
      <c r="Q148" s="9" t="s">
        <v>694</v>
      </c>
      <c r="T148" s="9">
        <f ca="1">IFERROR(OFFSET(ITEM_RES!$A$5,MATCH(BUILDING!S148,ITEM_RES!$J$5:$J$229,0)-1,0),0)</f>
        <v>0</v>
      </c>
      <c r="V148" s="81" t="s">
        <v>531</v>
      </c>
      <c r="W148" s="11">
        <f ca="1">IFERROR(OFFSET(ITEM_RES!$A$5,MATCH(BUILDING!V148,ITEM_RES!$J$5:$J$229,0)-1,0),0)</f>
        <v>211010501</v>
      </c>
      <c r="Y148" s="9" t="s">
        <v>503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3025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3025</v>
      </c>
      <c r="AG148" s="176">
        <f t="shared" ca="1" si="49"/>
        <v>3790</v>
      </c>
      <c r="AI148" s="11">
        <f t="shared" si="47"/>
        <v>300</v>
      </c>
      <c r="AJ148" s="10">
        <v>300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1070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1107</v>
      </c>
      <c r="P149" s="55" t="s">
        <v>1368</v>
      </c>
      <c r="Q149" s="9" t="s">
        <v>694</v>
      </c>
      <c r="T149" s="9">
        <f ca="1">IFERROR(OFFSET(ITEM_RES!$A$5,MATCH(BUILDING!S149,ITEM_RES!$J$5:$J$229,0)-1,0),0)</f>
        <v>0</v>
      </c>
      <c r="V149" s="81" t="s">
        <v>531</v>
      </c>
      <c r="W149" s="11">
        <f ca="1">IFERROR(OFFSET(ITEM_RES!$A$5,MATCH(BUILDING!V149,ITEM_RES!$J$5:$J$229,0)-1,0),0)</f>
        <v>211010501</v>
      </c>
      <c r="Y149" s="9" t="s">
        <v>503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13540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13540</v>
      </c>
      <c r="AG149" s="176">
        <f t="shared" ca="1" si="49"/>
        <v>16565</v>
      </c>
      <c r="AI149" s="11">
        <f t="shared" si="47"/>
        <v>600</v>
      </c>
      <c r="AJ149" s="10">
        <v>600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1070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1108</v>
      </c>
      <c r="P150" s="55" t="s">
        <v>1368</v>
      </c>
      <c r="Q150" s="9" t="s">
        <v>694</v>
      </c>
      <c r="T150" s="9">
        <f ca="1">IFERROR(OFFSET(ITEM_RES!$A$5,MATCH(BUILDING!S150,ITEM_RES!$J$5:$J$229,0)-1,0),0)</f>
        <v>0</v>
      </c>
      <c r="V150" s="81" t="s">
        <v>531</v>
      </c>
      <c r="W150" s="11">
        <f ca="1">IFERROR(OFFSET(ITEM_RES!$A$5,MATCH(BUILDING!V150,ITEM_RES!$J$5:$J$229,0)-1,0),0)</f>
        <v>211010501</v>
      </c>
      <c r="Y150" s="9" t="s">
        <v>503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45050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45050</v>
      </c>
      <c r="AG150" s="176">
        <f t="shared" ca="1" si="49"/>
        <v>58590</v>
      </c>
      <c r="AI150" s="11">
        <f t="shared" si="47"/>
        <v>1200</v>
      </c>
      <c r="AJ150" s="10">
        <v>1200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1070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1109</v>
      </c>
      <c r="P151" s="55" t="s">
        <v>1369</v>
      </c>
      <c r="Q151" s="9" t="s">
        <v>694</v>
      </c>
      <c r="T151" s="9">
        <f ca="1">IFERROR(OFFSET(ITEM_RES!$A$5,MATCH(BUILDING!S151,ITEM_RES!$J$5:$J$229,0)-1,0),0)</f>
        <v>0</v>
      </c>
      <c r="V151" s="81" t="s">
        <v>531</v>
      </c>
      <c r="W151" s="11">
        <f ca="1">IFERROR(OFFSET(ITEM_RES!$A$5,MATCH(BUILDING!V151,ITEM_RES!$J$5:$J$229,0)-1,0),0)</f>
        <v>211010501</v>
      </c>
      <c r="Y151" s="9" t="s">
        <v>503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100100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100100</v>
      </c>
      <c r="AG151" s="176">
        <f t="shared" ca="1" si="49"/>
        <v>145150</v>
      </c>
      <c r="AI151" s="11">
        <f t="shared" si="47"/>
        <v>1800</v>
      </c>
      <c r="AJ151" s="10">
        <v>1800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1070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1109</v>
      </c>
      <c r="P152" s="55" t="s">
        <v>1369</v>
      </c>
      <c r="Q152" s="9" t="s">
        <v>694</v>
      </c>
      <c r="T152" s="9">
        <f ca="1">IFERROR(OFFSET(ITEM_RES!$A$5,MATCH(BUILDING!S152,ITEM_RES!$J$5:$J$229,0)-1,0),0)</f>
        <v>0</v>
      </c>
      <c r="V152" s="81" t="s">
        <v>531</v>
      </c>
      <c r="W152" s="11">
        <f ca="1">IFERROR(OFFSET(ITEM_RES!$A$5,MATCH(BUILDING!V152,ITEM_RES!$J$5:$J$229,0)-1,0),0)</f>
        <v>211010501</v>
      </c>
      <c r="Y152" s="9" t="s">
        <v>503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210600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210600</v>
      </c>
      <c r="AG152" s="176">
        <f t="shared" ca="1" si="49"/>
        <v>310700</v>
      </c>
      <c r="AI152" s="11">
        <f t="shared" si="47"/>
        <v>3600</v>
      </c>
      <c r="AJ152" s="10">
        <v>3600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1070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1430</v>
      </c>
      <c r="P153" s="55" t="s">
        <v>1432</v>
      </c>
      <c r="Q153" s="9" t="s">
        <v>694</v>
      </c>
      <c r="T153" s="9">
        <f ca="1">IFERROR(OFFSET(ITEM_RES!$A$5,MATCH(BUILDING!S153,ITEM_RES!$J$5:$J$229,0)-1,0),0)</f>
        <v>0</v>
      </c>
      <c r="V153" s="81" t="s">
        <v>531</v>
      </c>
      <c r="W153" s="11">
        <f ca="1">IFERROR(OFFSET(ITEM_RES!$A$5,MATCH(BUILDING!V153,ITEM_RES!$J$5:$J$229,0)-1,0),0)</f>
        <v>211010501</v>
      </c>
      <c r="Y153" s="9" t="s">
        <v>503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396150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396150</v>
      </c>
      <c r="AG153" s="176">
        <f t="shared" ca="1" si="49"/>
        <v>606750</v>
      </c>
      <c r="AI153" s="11">
        <f t="shared" si="47"/>
        <v>5400</v>
      </c>
      <c r="AJ153" s="10">
        <v>5400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1070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1430</v>
      </c>
      <c r="P154" s="55" t="s">
        <v>1432</v>
      </c>
      <c r="Q154" s="9" t="s">
        <v>694</v>
      </c>
      <c r="T154" s="9">
        <f ca="1">IFERROR(OFFSET(ITEM_RES!$A$5,MATCH(BUILDING!S154,ITEM_RES!$J$5:$J$229,0)-1,0),0)</f>
        <v>0</v>
      </c>
      <c r="V154" s="81" t="s">
        <v>531</v>
      </c>
      <c r="W154" s="11">
        <f ca="1">IFERROR(OFFSET(ITEM_RES!$A$5,MATCH(BUILDING!V154,ITEM_RES!$J$5:$J$229,0)-1,0),0)</f>
        <v>211010501</v>
      </c>
      <c r="Y154" s="9" t="s">
        <v>503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689200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689200</v>
      </c>
      <c r="AG154" s="176">
        <f t="shared" ca="1" si="49"/>
        <v>1085350</v>
      </c>
      <c r="AI154" s="11">
        <f t="shared" si="47"/>
        <v>7200</v>
      </c>
      <c r="AJ154" s="10">
        <v>7200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1070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1429</v>
      </c>
      <c r="P155" s="55" t="s">
        <v>1431</v>
      </c>
      <c r="Q155" s="9" t="s">
        <v>694</v>
      </c>
      <c r="T155" s="9">
        <f ca="1">IFERROR(OFFSET(ITEM_RES!$A$5,MATCH(BUILDING!S155,ITEM_RES!$J$5:$J$229,0)-1,0),0)</f>
        <v>0</v>
      </c>
      <c r="V155" s="81" t="s">
        <v>531</v>
      </c>
      <c r="W155" s="11">
        <f ca="1">IFERROR(OFFSET(ITEM_RES!$A$5,MATCH(BUILDING!V155,ITEM_RES!$J$5:$J$229,0)-1,0),0)</f>
        <v>211010501</v>
      </c>
      <c r="Y155" s="9" t="s">
        <v>503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1165250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1165250</v>
      </c>
      <c r="AG155" s="176">
        <f t="shared" ca="1" si="49"/>
        <v>1854450</v>
      </c>
      <c r="AI155" s="11">
        <f t="shared" si="47"/>
        <v>9000</v>
      </c>
      <c r="AJ155" s="10">
        <v>9000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1070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1429</v>
      </c>
      <c r="P156" s="55" t="s">
        <v>1431</v>
      </c>
      <c r="Q156" s="9" t="s">
        <v>694</v>
      </c>
      <c r="T156" s="9">
        <f ca="1">IFERROR(OFFSET(ITEM_RES!$A$5,MATCH(BUILDING!S156,ITEM_RES!$J$5:$J$229,0)-1,0),0)</f>
        <v>0</v>
      </c>
      <c r="V156" s="81" t="s">
        <v>531</v>
      </c>
      <c r="W156" s="11">
        <f ca="1">IFERROR(OFFSET(ITEM_RES!$A$5,MATCH(BUILDING!V156,ITEM_RES!$J$5:$J$229,0)-1,0),0)</f>
        <v>211010501</v>
      </c>
      <c r="Y156" s="9" t="s">
        <v>503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1960300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1960300</v>
      </c>
      <c r="AG156" s="176">
        <f t="shared" ca="1" si="49"/>
        <v>3125550</v>
      </c>
      <c r="AI156" s="11">
        <f t="shared" si="47"/>
        <v>10800</v>
      </c>
      <c r="AJ156" s="10">
        <v>10800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1070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1429</v>
      </c>
      <c r="P157" s="55" t="s">
        <v>1431</v>
      </c>
      <c r="Q157" s="9" t="s">
        <v>694</v>
      </c>
      <c r="T157" s="9">
        <f ca="1">IFERROR(OFFSET(ITEM_RES!$A$5,MATCH(BUILDING!S157,ITEM_RES!$J$5:$J$229,0)-1,0),0)</f>
        <v>0</v>
      </c>
      <c r="V157" s="81" t="s">
        <v>531</v>
      </c>
      <c r="W157" s="11">
        <f ca="1">IFERROR(OFFSET(ITEM_RES!$A$5,MATCH(BUILDING!V157,ITEM_RES!$J$5:$J$229,0)-1,0),0)</f>
        <v>211010501</v>
      </c>
      <c r="Y157" s="9" t="s">
        <v>503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3905350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3905350</v>
      </c>
      <c r="AG157" s="176">
        <f t="shared" ca="1" si="49"/>
        <v>5865650</v>
      </c>
      <c r="AI157" s="11">
        <f t="shared" si="47"/>
        <v>12600</v>
      </c>
      <c r="AJ157" s="10">
        <v>12600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1071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1429</v>
      </c>
      <c r="P158" s="55" t="s">
        <v>1431</v>
      </c>
      <c r="Q158" s="9" t="s">
        <v>694</v>
      </c>
      <c r="T158" s="9">
        <f ca="1">IFERROR(OFFSET(ITEM_RES!$A$5,MATCH(BUILDING!S158,ITEM_RES!$J$5:$J$229,0)-1,0),0)</f>
        <v>0</v>
      </c>
      <c r="V158" s="81" t="s">
        <v>531</v>
      </c>
      <c r="W158" s="11">
        <f ca="1">IFERROR(OFFSET(ITEM_RES!$A$5,MATCH(BUILDING!V158,ITEM_RES!$J$5:$J$229,0)-1,0),0)</f>
        <v>211010501</v>
      </c>
      <c r="Y158" s="9" t="s">
        <v>503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6130450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6130450</v>
      </c>
      <c r="AG158" s="176">
        <f t="shared" ca="1" si="49"/>
        <v>10035800</v>
      </c>
      <c r="AI158" s="11">
        <f t="shared" si="47"/>
        <v>14400</v>
      </c>
      <c r="AJ158" s="10">
        <v>14400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1071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1429</v>
      </c>
      <c r="P159" s="55" t="s">
        <v>1431</v>
      </c>
      <c r="Q159" s="9" t="s">
        <v>694</v>
      </c>
      <c r="T159" s="9">
        <f ca="1">IFERROR(OFFSET(ITEM_RES!$A$5,MATCH(BUILDING!S159,ITEM_RES!$J$5:$J$229,0)-1,0),0)</f>
        <v>0</v>
      </c>
      <c r="V159" s="81" t="s">
        <v>531</v>
      </c>
      <c r="W159" s="11">
        <f ca="1">IFERROR(OFFSET(ITEM_RES!$A$5,MATCH(BUILDING!V159,ITEM_RES!$J$5:$J$229,0)-1,0),0)</f>
        <v>211010501</v>
      </c>
      <c r="Y159" s="9" t="s">
        <v>503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13085550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13085550</v>
      </c>
      <c r="AG159" s="176">
        <f t="shared" ca="1" si="49"/>
        <v>19216000</v>
      </c>
      <c r="AI159" s="11">
        <f t="shared" si="47"/>
        <v>16200</v>
      </c>
      <c r="AJ159" s="10">
        <v>16200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1071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1429</v>
      </c>
      <c r="P160" s="55" t="s">
        <v>1431</v>
      </c>
      <c r="Q160" s="9" t="s">
        <v>694</v>
      </c>
      <c r="T160" s="9">
        <f ca="1">IFERROR(OFFSET(ITEM_RES!$A$5,MATCH(BUILDING!S160,ITEM_RES!$J$5:$J$229,0)-1,0),0)</f>
        <v>0</v>
      </c>
      <c r="V160" s="81" t="s">
        <v>531</v>
      </c>
      <c r="W160" s="11">
        <f ca="1">IFERROR(OFFSET(ITEM_RES!$A$5,MATCH(BUILDING!V160,ITEM_RES!$J$5:$J$229,0)-1,0),0)</f>
        <v>211010501</v>
      </c>
      <c r="Y160" s="9" t="s">
        <v>503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26850700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26850700</v>
      </c>
      <c r="AG160" s="176">
        <f t="shared" ca="1" si="49"/>
        <v>39936250</v>
      </c>
      <c r="AI160" s="11">
        <f t="shared" si="47"/>
        <v>18000</v>
      </c>
      <c r="AJ160" s="10">
        <v>18000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1071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1429</v>
      </c>
      <c r="P161" s="55" t="s">
        <v>1431</v>
      </c>
      <c r="Q161" s="9" t="s">
        <v>694</v>
      </c>
      <c r="T161" s="9">
        <f ca="1">IFERROR(OFFSET(ITEM_RES!$A$5,MATCH(BUILDING!S161,ITEM_RES!$J$5:$J$229,0)-1,0),0)</f>
        <v>0</v>
      </c>
      <c r="V161" s="81" t="s">
        <v>531</v>
      </c>
      <c r="W161" s="11">
        <f ca="1">IFERROR(OFFSET(ITEM_RES!$A$5,MATCH(BUILDING!V161,ITEM_RES!$J$5:$J$229,0)-1,0),0)</f>
        <v>211010501</v>
      </c>
      <c r="Y161" s="9" t="s">
        <v>503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50150850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50150850</v>
      </c>
      <c r="AG161" s="176">
        <f t="shared" ca="1" si="49"/>
        <v>77001550</v>
      </c>
      <c r="AI161" s="11">
        <f t="shared" si="47"/>
        <v>19800</v>
      </c>
      <c r="AJ161" s="10">
        <v>19800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1071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1429</v>
      </c>
      <c r="P162" s="55" t="s">
        <v>1431</v>
      </c>
      <c r="Q162" s="9" t="s">
        <v>694</v>
      </c>
      <c r="T162" s="9">
        <f ca="1">IFERROR(OFFSET(ITEM_RES!$A$5,MATCH(BUILDING!S162,ITEM_RES!$J$5:$J$229,0)-1,0),0)</f>
        <v>0</v>
      </c>
      <c r="V162" s="81" t="s">
        <v>531</v>
      </c>
      <c r="W162" s="11">
        <f ca="1">IFERROR(OFFSET(ITEM_RES!$A$5,MATCH(BUILDING!V162,ITEM_RES!$J$5:$J$229,0)-1,0),0)</f>
        <v>211010501</v>
      </c>
      <c r="Y162" s="9" t="s">
        <v>503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82001050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82001050</v>
      </c>
      <c r="AG162" s="176">
        <f t="shared" ca="1" si="49"/>
        <v>132151900</v>
      </c>
      <c r="AI162" s="11">
        <f t="shared" si="47"/>
        <v>21600</v>
      </c>
      <c r="AJ162" s="10">
        <v>21600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1071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1429</v>
      </c>
      <c r="P163" s="55" t="s">
        <v>1431</v>
      </c>
      <c r="Q163" s="9" t="s">
        <v>694</v>
      </c>
      <c r="T163" s="9">
        <f ca="1">IFERROR(OFFSET(ITEM_RES!$A$5,MATCH(BUILDING!S163,ITEM_RES!$J$5:$J$229,0)-1,0),0)</f>
        <v>0</v>
      </c>
      <c r="V163" s="81" t="s">
        <v>531</v>
      </c>
      <c r="W163" s="11">
        <f ca="1">IFERROR(OFFSET(ITEM_RES!$A$5,MATCH(BUILDING!V163,ITEM_RES!$J$5:$J$229,0)-1,0),0)</f>
        <v>211010501</v>
      </c>
      <c r="Y163" s="9" t="s">
        <v>503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126501250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126501250</v>
      </c>
      <c r="AG163" s="176">
        <f t="shared" ca="1" si="49"/>
        <v>208502300</v>
      </c>
      <c r="AI163" s="11">
        <f t="shared" si="47"/>
        <v>23400</v>
      </c>
      <c r="AJ163" s="10">
        <v>23400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1071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1429</v>
      </c>
      <c r="P164" s="55" t="s">
        <v>1431</v>
      </c>
      <c r="Q164" s="9" t="s">
        <v>694</v>
      </c>
      <c r="T164" s="9">
        <f ca="1">IFERROR(OFFSET(ITEM_RES!$A$5,MATCH(BUILDING!S164,ITEM_RES!$J$5:$J$229,0)-1,0),0)</f>
        <v>0</v>
      </c>
      <c r="V164" s="81" t="s">
        <v>531</v>
      </c>
      <c r="W164" s="11">
        <f ca="1">IFERROR(OFFSET(ITEM_RES!$A$5,MATCH(BUILDING!V164,ITEM_RES!$J$5:$J$229,0)-1,0),0)</f>
        <v>211010501</v>
      </c>
      <c r="Y164" s="9" t="s">
        <v>503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202001500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202001500</v>
      </c>
      <c r="AG164" s="176">
        <f t="shared" ca="1" si="49"/>
        <v>328502750</v>
      </c>
      <c r="AI164" s="11">
        <f t="shared" si="47"/>
        <v>25200</v>
      </c>
      <c r="AJ164" s="10">
        <v>25200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1071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746</v>
      </c>
      <c r="P165" s="56" t="s">
        <v>1370</v>
      </c>
      <c r="Q165" s="16" t="s">
        <v>677</v>
      </c>
      <c r="R165" s="76"/>
      <c r="S165" s="83" t="s">
        <v>531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532</v>
      </c>
      <c r="W165" s="18">
        <f ca="1">IFERROR(OFFSET(ITEM_RES!$A$5,MATCH(BUILDING!V165,ITEM_RES!$J$5:$J$229,0)-1,0),0)</f>
        <v>211010601</v>
      </c>
      <c r="X165" s="76"/>
      <c r="Y165" s="16" t="s">
        <v>504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1555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1555</v>
      </c>
      <c r="AG165" s="178">
        <f ca="1">AE165</f>
        <v>1555</v>
      </c>
      <c r="AH165" s="76"/>
      <c r="AI165" s="18">
        <f t="shared" si="47"/>
        <v>5</v>
      </c>
      <c r="AJ165" s="17">
        <v>5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3</v>
      </c>
      <c r="AP165" s="18"/>
      <c r="AQ165" s="18">
        <f ca="1">IFERROR(OFFSET(ITEM_RES!$A$1,MATCH(AR165,ITEM_RES!$J:$J,0)-1,0),0)</f>
        <v>211010501</v>
      </c>
      <c r="AR165" s="17" t="s">
        <v>1069</v>
      </c>
      <c r="AS165" s="18">
        <v>50</v>
      </c>
      <c r="AT165" s="17"/>
      <c r="AU165" s="18"/>
      <c r="AV165" s="18">
        <f ca="1">IFERROR(OFFSET(ITEM_RES!$A$1,MATCH(AW165,ITEM_RES!$J:$J,0)-1,0),0)</f>
        <v>211020801</v>
      </c>
      <c r="AW165" s="17" t="s">
        <v>1070</v>
      </c>
      <c r="AX165" s="18">
        <v>50</v>
      </c>
      <c r="AY165" s="17"/>
      <c r="AZ165" s="18"/>
      <c r="BA165" s="18">
        <f ca="1">IFERROR(OFFSET(ITEM_RES!$A$1,MATCH(BB165,ITEM_RES!$J:$J,0)-1,0),0)</f>
        <v>213010101</v>
      </c>
      <c r="BB165" s="17" t="s">
        <v>442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746</v>
      </c>
      <c r="P166" s="55" t="s">
        <v>1370</v>
      </c>
      <c r="Q166" s="9" t="s">
        <v>677</v>
      </c>
      <c r="S166" s="81" t="s">
        <v>531</v>
      </c>
      <c r="T166" s="9">
        <f ca="1">IFERROR(OFFSET(ITEM_RES!$A$5,MATCH(BUILDING!S166,ITEM_RES!$J$5:$J$229,0)-1,0),0)</f>
        <v>211010501</v>
      </c>
      <c r="U166" s="11">
        <v>1</v>
      </c>
      <c r="V166" s="81" t="s">
        <v>532</v>
      </c>
      <c r="W166" s="11">
        <f ca="1">IFERROR(OFFSET(ITEM_RES!$A$5,MATCH(BUILDING!V166,ITEM_RES!$J$5:$J$229,0)-1,0),0)</f>
        <v>211010601</v>
      </c>
      <c r="Y166" s="9" t="s">
        <v>504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1110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1110</v>
      </c>
      <c r="AG166" s="176">
        <f ca="1">AE165+AE166</f>
        <v>2665</v>
      </c>
      <c r="AI166" s="11">
        <f t="shared" si="47"/>
        <v>10</v>
      </c>
      <c r="AJ166" s="10">
        <v>10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2</v>
      </c>
      <c r="AQ166" s="11">
        <f ca="1">IFERROR(OFFSET(ITEM_RES!$A$1,MATCH(AR166,ITEM_RES!$J:$J,0)-1,0),0)</f>
        <v>211010501</v>
      </c>
      <c r="AR166" s="10" t="s">
        <v>1069</v>
      </c>
      <c r="AS166" s="11">
        <v>100</v>
      </c>
      <c r="AV166" s="11">
        <f ca="1">IFERROR(OFFSET(ITEM_RES!$A$1,MATCH(AW166,ITEM_RES!$J:$J,0)-1,0),0)</f>
        <v>211020801</v>
      </c>
      <c r="AW166" s="10" t="s">
        <v>1070</v>
      </c>
      <c r="AX166" s="11">
        <v>100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746</v>
      </c>
      <c r="P167" s="55" t="s">
        <v>1370</v>
      </c>
      <c r="Q167" s="9" t="s">
        <v>677</v>
      </c>
      <c r="S167" s="81" t="s">
        <v>531</v>
      </c>
      <c r="T167" s="9">
        <f ca="1">IFERROR(OFFSET(ITEM_RES!$A$5,MATCH(BUILDING!S167,ITEM_RES!$J$5:$J$229,0)-1,0),0)</f>
        <v>211010501</v>
      </c>
      <c r="U167" s="11">
        <v>1</v>
      </c>
      <c r="V167" s="81" t="s">
        <v>532</v>
      </c>
      <c r="W167" s="11">
        <f ca="1">IFERROR(OFFSET(ITEM_RES!$A$5,MATCH(BUILDING!V167,ITEM_RES!$J$5:$J$229,0)-1,0),0)</f>
        <v>211010601</v>
      </c>
      <c r="Y167" s="9" t="s">
        <v>504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1665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1665</v>
      </c>
      <c r="AG167" s="176">
        <f t="shared" ref="AG167:AG184" ca="1" si="56">AE166+AE167</f>
        <v>2775</v>
      </c>
      <c r="AI167" s="11">
        <f t="shared" si="47"/>
        <v>30</v>
      </c>
      <c r="AJ167" s="10">
        <v>30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2</v>
      </c>
      <c r="AQ167" s="11">
        <f ca="1">IFERROR(OFFSET(ITEM_RES!$A$1,MATCH(AR167,ITEM_RES!$J:$J,0)-1,0),0)</f>
        <v>211010501</v>
      </c>
      <c r="AR167" s="10" t="s">
        <v>1069</v>
      </c>
      <c r="AS167" s="11">
        <v>150</v>
      </c>
      <c r="AV167" s="11">
        <f ca="1">IFERROR(OFFSET(ITEM_RES!$A$1,MATCH(AW167,ITEM_RES!$J:$J,0)-1,0),0)</f>
        <v>211020801</v>
      </c>
      <c r="AW167" s="10" t="s">
        <v>1070</v>
      </c>
      <c r="AX167" s="11">
        <v>150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746</v>
      </c>
      <c r="P168" s="55" t="s">
        <v>1370</v>
      </c>
      <c r="Q168" s="9" t="s">
        <v>677</v>
      </c>
      <c r="S168" s="81" t="s">
        <v>531</v>
      </c>
      <c r="T168" s="9">
        <f ca="1">IFERROR(OFFSET(ITEM_RES!$A$5,MATCH(BUILDING!S168,ITEM_RES!$J$5:$J$229,0)-1,0),0)</f>
        <v>211010501</v>
      </c>
      <c r="U168" s="11">
        <v>1</v>
      </c>
      <c r="V168" s="81" t="s">
        <v>532</v>
      </c>
      <c r="W168" s="11">
        <f ca="1">IFERROR(OFFSET(ITEM_RES!$A$5,MATCH(BUILDING!V168,ITEM_RES!$J$5:$J$229,0)-1,0),0)</f>
        <v>211010601</v>
      </c>
      <c r="Y168" s="9" t="s">
        <v>504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6625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6625</v>
      </c>
      <c r="AG168" s="176">
        <f t="shared" ca="1" si="56"/>
        <v>8290</v>
      </c>
      <c r="AI168" s="11">
        <f t="shared" si="47"/>
        <v>300</v>
      </c>
      <c r="AJ168" s="10">
        <v>300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2</v>
      </c>
      <c r="AQ168" s="11">
        <f ca="1">IFERROR(OFFSET(ITEM_RES!$A$1,MATCH(AR168,ITEM_RES!$J:$J,0)-1,0),0)</f>
        <v>211010501</v>
      </c>
      <c r="AR168" s="10" t="s">
        <v>1069</v>
      </c>
      <c r="AS168" s="11">
        <v>600</v>
      </c>
      <c r="AV168" s="11">
        <f ca="1">IFERROR(OFFSET(ITEM_RES!$A$1,MATCH(AW168,ITEM_RES!$J:$J,0)-1,0),0)</f>
        <v>211020801</v>
      </c>
      <c r="AW168" s="10" t="s">
        <v>1070</v>
      </c>
      <c r="AX168" s="11">
        <v>600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746</v>
      </c>
      <c r="P169" s="55" t="s">
        <v>1370</v>
      </c>
      <c r="Q169" s="9" t="s">
        <v>677</v>
      </c>
      <c r="S169" s="81" t="s">
        <v>531</v>
      </c>
      <c r="T169" s="9">
        <f ca="1">IFERROR(OFFSET(ITEM_RES!$A$5,MATCH(BUILDING!S169,ITEM_RES!$J$5:$J$229,0)-1,0),0)</f>
        <v>211010501</v>
      </c>
      <c r="U169" s="11">
        <v>1</v>
      </c>
      <c r="V169" s="81" t="s">
        <v>532</v>
      </c>
      <c r="W169" s="11">
        <f ca="1">IFERROR(OFFSET(ITEM_RES!$A$5,MATCH(BUILDING!V169,ITEM_RES!$J$5:$J$229,0)-1,0),0)</f>
        <v>211010601</v>
      </c>
      <c r="Y169" s="9" t="s">
        <v>504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29740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29740</v>
      </c>
      <c r="AG169" s="176">
        <f t="shared" ca="1" si="56"/>
        <v>36365</v>
      </c>
      <c r="AI169" s="11">
        <f t="shared" si="47"/>
        <v>600</v>
      </c>
      <c r="AJ169" s="10">
        <v>600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2</v>
      </c>
      <c r="AQ169" s="11">
        <f ca="1">IFERROR(OFFSET(ITEM_RES!$A$1,MATCH(AR169,ITEM_RES!$J:$J,0)-1,0),0)</f>
        <v>211010501</v>
      </c>
      <c r="AR169" s="10" t="s">
        <v>1069</v>
      </c>
      <c r="AS169" s="11">
        <v>2700</v>
      </c>
      <c r="AV169" s="11">
        <f ca="1">IFERROR(OFFSET(ITEM_RES!$A$1,MATCH(AW169,ITEM_RES!$J:$J,0)-1,0),0)</f>
        <v>211020801</v>
      </c>
      <c r="AW169" s="10" t="s">
        <v>1070</v>
      </c>
      <c r="AX169" s="11">
        <v>2700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746</v>
      </c>
      <c r="P170" s="55" t="s">
        <v>1370</v>
      </c>
      <c r="Q170" s="9" t="s">
        <v>677</v>
      </c>
      <c r="S170" s="81" t="s">
        <v>531</v>
      </c>
      <c r="T170" s="9">
        <f ca="1">IFERROR(OFFSET(ITEM_RES!$A$5,MATCH(BUILDING!S170,ITEM_RES!$J$5:$J$229,0)-1,0),0)</f>
        <v>211010501</v>
      </c>
      <c r="U170" s="11">
        <v>1</v>
      </c>
      <c r="V170" s="81" t="s">
        <v>532</v>
      </c>
      <c r="W170" s="11">
        <f ca="1">IFERROR(OFFSET(ITEM_RES!$A$5,MATCH(BUILDING!V170,ITEM_RES!$J$5:$J$229,0)-1,0),0)</f>
        <v>211010601</v>
      </c>
      <c r="Y170" s="9" t="s">
        <v>504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99050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99050</v>
      </c>
      <c r="AG170" s="176">
        <f t="shared" ca="1" si="56"/>
        <v>128790</v>
      </c>
      <c r="AI170" s="11">
        <f t="shared" si="47"/>
        <v>1200</v>
      </c>
      <c r="AJ170" s="10">
        <v>1200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2</v>
      </c>
      <c r="AQ170" s="11">
        <f ca="1">IFERROR(OFFSET(ITEM_RES!$A$1,MATCH(AR170,ITEM_RES!$J:$J,0)-1,0),0)</f>
        <v>211010501</v>
      </c>
      <c r="AR170" s="10" t="s">
        <v>1069</v>
      </c>
      <c r="AS170" s="11">
        <v>9000</v>
      </c>
      <c r="AV170" s="11">
        <f ca="1">IFERROR(OFFSET(ITEM_RES!$A$1,MATCH(AW170,ITEM_RES!$J:$J,0)-1,0),0)</f>
        <v>211020801</v>
      </c>
      <c r="AW170" s="10" t="s">
        <v>1070</v>
      </c>
      <c r="AX170" s="11">
        <v>9000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746</v>
      </c>
      <c r="P171" s="55" t="s">
        <v>1370</v>
      </c>
      <c r="Q171" s="9" t="s">
        <v>677</v>
      </c>
      <c r="S171" s="81" t="s">
        <v>531</v>
      </c>
      <c r="T171" s="9">
        <f ca="1">IFERROR(OFFSET(ITEM_RES!$A$5,MATCH(BUILDING!S171,ITEM_RES!$J$5:$J$229,0)-1,0),0)</f>
        <v>211010501</v>
      </c>
      <c r="U171" s="11">
        <v>1</v>
      </c>
      <c r="V171" s="81" t="s">
        <v>532</v>
      </c>
      <c r="W171" s="11">
        <f ca="1">IFERROR(OFFSET(ITEM_RES!$A$5,MATCH(BUILDING!V171,ITEM_RES!$J$5:$J$229,0)-1,0),0)</f>
        <v>211010601</v>
      </c>
      <c r="Y171" s="9" t="s">
        <v>504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220100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220100</v>
      </c>
      <c r="AG171" s="176">
        <f t="shared" ca="1" si="56"/>
        <v>319150</v>
      </c>
      <c r="AI171" s="11">
        <f t="shared" si="47"/>
        <v>1800</v>
      </c>
      <c r="AJ171" s="10">
        <v>1800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2</v>
      </c>
      <c r="AQ171" s="11">
        <f ca="1">IFERROR(OFFSET(ITEM_RES!$A$1,MATCH(AR171,ITEM_RES!$J:$J,0)-1,0),0)</f>
        <v>211010501</v>
      </c>
      <c r="AR171" s="10" t="s">
        <v>1069</v>
      </c>
      <c r="AS171" s="11">
        <v>20000</v>
      </c>
      <c r="AV171" s="11">
        <f ca="1">IFERROR(OFFSET(ITEM_RES!$A$1,MATCH(AW171,ITEM_RES!$J:$J,0)-1,0),0)</f>
        <v>211020801</v>
      </c>
      <c r="AW171" s="10" t="s">
        <v>1070</v>
      </c>
      <c r="AX171" s="11">
        <v>20000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746</v>
      </c>
      <c r="P172" s="55" t="s">
        <v>1370</v>
      </c>
      <c r="Q172" s="9" t="s">
        <v>677</v>
      </c>
      <c r="S172" s="81" t="s">
        <v>531</v>
      </c>
      <c r="T172" s="9">
        <f ca="1">IFERROR(OFFSET(ITEM_RES!$A$5,MATCH(BUILDING!S172,ITEM_RES!$J$5:$J$229,0)-1,0),0)</f>
        <v>211010501</v>
      </c>
      <c r="U172" s="11">
        <v>1</v>
      </c>
      <c r="V172" s="81" t="s">
        <v>532</v>
      </c>
      <c r="W172" s="11">
        <f ca="1">IFERROR(OFFSET(ITEM_RES!$A$5,MATCH(BUILDING!V172,ITEM_RES!$J$5:$J$229,0)-1,0),0)</f>
        <v>211010601</v>
      </c>
      <c r="Y172" s="9" t="s">
        <v>504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462600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462600</v>
      </c>
      <c r="AG172" s="176">
        <f t="shared" ca="1" si="56"/>
        <v>682700</v>
      </c>
      <c r="AI172" s="11">
        <f t="shared" si="47"/>
        <v>3600</v>
      </c>
      <c r="AJ172" s="10">
        <v>3600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2</v>
      </c>
      <c r="AQ172" s="11">
        <f ca="1">IFERROR(OFFSET(ITEM_RES!$A$1,MATCH(AR172,ITEM_RES!$J:$J,0)-1,0),0)</f>
        <v>211010501</v>
      </c>
      <c r="AR172" s="10" t="s">
        <v>1069</v>
      </c>
      <c r="AS172" s="11">
        <v>42000</v>
      </c>
      <c r="AV172" s="11">
        <f ca="1">IFERROR(OFFSET(ITEM_RES!$A$1,MATCH(AW172,ITEM_RES!$J:$J,0)-1,0),0)</f>
        <v>211020801</v>
      </c>
      <c r="AW172" s="10" t="s">
        <v>1070</v>
      </c>
      <c r="AX172" s="11">
        <v>42000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746</v>
      </c>
      <c r="P173" s="55" t="s">
        <v>1370</v>
      </c>
      <c r="Q173" s="9" t="s">
        <v>677</v>
      </c>
      <c r="S173" s="81" t="s">
        <v>531</v>
      </c>
      <c r="T173" s="9">
        <f ca="1">IFERROR(OFFSET(ITEM_RES!$A$5,MATCH(BUILDING!S173,ITEM_RES!$J$5:$J$229,0)-1,0),0)</f>
        <v>211010501</v>
      </c>
      <c r="U173" s="11">
        <v>1</v>
      </c>
      <c r="V173" s="81" t="s">
        <v>532</v>
      </c>
      <c r="W173" s="11">
        <f ca="1">IFERROR(OFFSET(ITEM_RES!$A$5,MATCH(BUILDING!V173,ITEM_RES!$J$5:$J$229,0)-1,0),0)</f>
        <v>211010601</v>
      </c>
      <c r="Y173" s="9" t="s">
        <v>504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864150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864150</v>
      </c>
      <c r="AG173" s="176">
        <f t="shared" ca="1" si="56"/>
        <v>1326750</v>
      </c>
      <c r="AI173" s="11">
        <f t="shared" si="47"/>
        <v>5400</v>
      </c>
      <c r="AJ173" s="10">
        <v>5400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2</v>
      </c>
      <c r="AQ173" s="11">
        <f ca="1">IFERROR(OFFSET(ITEM_RES!$A$1,MATCH(AR173,ITEM_RES!$J:$J,0)-1,0),0)</f>
        <v>211010501</v>
      </c>
      <c r="AR173" s="10" t="s">
        <v>1069</v>
      </c>
      <c r="AS173" s="11">
        <v>78000</v>
      </c>
      <c r="AV173" s="11">
        <f ca="1">IFERROR(OFFSET(ITEM_RES!$A$1,MATCH(AW173,ITEM_RES!$J:$J,0)-1,0),0)</f>
        <v>211020801</v>
      </c>
      <c r="AW173" s="10" t="s">
        <v>1070</v>
      </c>
      <c r="AX173" s="11">
        <v>78000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746</v>
      </c>
      <c r="P174" s="55" t="s">
        <v>1370</v>
      </c>
      <c r="Q174" s="9" t="s">
        <v>677</v>
      </c>
      <c r="S174" s="81" t="s">
        <v>531</v>
      </c>
      <c r="T174" s="9">
        <f ca="1">IFERROR(OFFSET(ITEM_RES!$A$5,MATCH(BUILDING!S174,ITEM_RES!$J$5:$J$229,0)-1,0),0)</f>
        <v>211010501</v>
      </c>
      <c r="U174" s="11">
        <v>1</v>
      </c>
      <c r="V174" s="81" t="s">
        <v>532</v>
      </c>
      <c r="W174" s="11">
        <f ca="1">IFERROR(OFFSET(ITEM_RES!$A$5,MATCH(BUILDING!V174,ITEM_RES!$J$5:$J$229,0)-1,0),0)</f>
        <v>211010601</v>
      </c>
      <c r="Y174" s="9" t="s">
        <v>504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1469200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1469200</v>
      </c>
      <c r="AG174" s="176">
        <f t="shared" ca="1" si="56"/>
        <v>2333350</v>
      </c>
      <c r="AI174" s="11">
        <f t="shared" si="47"/>
        <v>7200</v>
      </c>
      <c r="AJ174" s="10">
        <v>7200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2</v>
      </c>
      <c r="AQ174" s="11">
        <f ca="1">IFERROR(OFFSET(ITEM_RES!$A$1,MATCH(AR174,ITEM_RES!$J:$J,0)-1,0),0)</f>
        <v>211010501</v>
      </c>
      <c r="AR174" s="10" t="s">
        <v>1069</v>
      </c>
      <c r="AS174" s="11">
        <v>130000</v>
      </c>
      <c r="AV174" s="11">
        <f ca="1">IFERROR(OFFSET(ITEM_RES!$A$1,MATCH(AW174,ITEM_RES!$J:$J,0)-1,0),0)</f>
        <v>211020801</v>
      </c>
      <c r="AW174" s="10" t="s">
        <v>1070</v>
      </c>
      <c r="AX174" s="11">
        <v>130000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746</v>
      </c>
      <c r="P175" s="55" t="s">
        <v>1370</v>
      </c>
      <c r="Q175" s="9" t="s">
        <v>677</v>
      </c>
      <c r="S175" s="81" t="s">
        <v>531</v>
      </c>
      <c r="T175" s="9">
        <f ca="1">IFERROR(OFFSET(ITEM_RES!$A$5,MATCH(BUILDING!S175,ITEM_RES!$J$5:$J$229,0)-1,0),0)</f>
        <v>211010501</v>
      </c>
      <c r="U175" s="11">
        <v>1</v>
      </c>
      <c r="V175" s="81" t="s">
        <v>532</v>
      </c>
      <c r="W175" s="11">
        <f ca="1">IFERROR(OFFSET(ITEM_RES!$A$5,MATCH(BUILDING!V175,ITEM_RES!$J$5:$J$229,0)-1,0),0)</f>
        <v>211010601</v>
      </c>
      <c r="Y175" s="9" t="s">
        <v>504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2507250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2507250</v>
      </c>
      <c r="AG175" s="176">
        <f t="shared" ca="1" si="56"/>
        <v>3976450</v>
      </c>
      <c r="AI175" s="11">
        <f t="shared" si="47"/>
        <v>9000</v>
      </c>
      <c r="AJ175" s="10">
        <v>9000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2</v>
      </c>
      <c r="AQ175" s="11">
        <f ca="1">IFERROR(OFFSET(ITEM_RES!$A$1,MATCH(AR175,ITEM_RES!$J:$J,0)-1,0),0)</f>
        <v>211010601</v>
      </c>
      <c r="AR175" s="10" t="s">
        <v>1068</v>
      </c>
      <c r="AS175" s="11">
        <v>220000</v>
      </c>
      <c r="AV175" s="11">
        <f ca="1">IFERROR(OFFSET(ITEM_RES!$A$1,MATCH(AW175,ITEM_RES!$J:$J,0)-1,0),0)</f>
        <v>211020801</v>
      </c>
      <c r="AW175" s="10" t="s">
        <v>1070</v>
      </c>
      <c r="AX175" s="11">
        <v>220000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746</v>
      </c>
      <c r="P176" s="55" t="s">
        <v>1370</v>
      </c>
      <c r="Q176" s="9" t="s">
        <v>677</v>
      </c>
      <c r="S176" s="81" t="s">
        <v>531</v>
      </c>
      <c r="T176" s="9">
        <f ca="1">IFERROR(OFFSET(ITEM_RES!$A$5,MATCH(BUILDING!S176,ITEM_RES!$J$5:$J$229,0)-1,0),0)</f>
        <v>211010501</v>
      </c>
      <c r="U176" s="11">
        <v>1</v>
      </c>
      <c r="V176" s="81" t="s">
        <v>532</v>
      </c>
      <c r="W176" s="11">
        <f ca="1">IFERROR(OFFSET(ITEM_RES!$A$5,MATCH(BUILDING!V176,ITEM_RES!$J$5:$J$229,0)-1,0),0)</f>
        <v>211010601</v>
      </c>
      <c r="Y176" s="9" t="s">
        <v>504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4217300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4217300</v>
      </c>
      <c r="AG176" s="176">
        <f t="shared" ca="1" si="56"/>
        <v>6724550</v>
      </c>
      <c r="AI176" s="11">
        <f t="shared" si="47"/>
        <v>10800</v>
      </c>
      <c r="AJ176" s="10">
        <v>10800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2</v>
      </c>
      <c r="AQ176" s="11">
        <f ca="1">IFERROR(OFFSET(ITEM_RES!$A$1,MATCH(AR176,ITEM_RES!$J:$J,0)-1,0),0)</f>
        <v>211010601</v>
      </c>
      <c r="AR176" s="10" t="s">
        <v>1068</v>
      </c>
      <c r="AS176" s="11">
        <v>370000</v>
      </c>
      <c r="AV176" s="11">
        <f ca="1">IFERROR(OFFSET(ITEM_RES!$A$1,MATCH(AW176,ITEM_RES!$J:$J,0)-1,0),0)</f>
        <v>211020801</v>
      </c>
      <c r="AW176" s="10" t="s">
        <v>1070</v>
      </c>
      <c r="AX176" s="11">
        <v>370000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746</v>
      </c>
      <c r="P177" s="55" t="s">
        <v>1370</v>
      </c>
      <c r="Q177" s="9" t="s">
        <v>677</v>
      </c>
      <c r="S177" s="81" t="s">
        <v>531</v>
      </c>
      <c r="T177" s="9">
        <f ca="1">IFERROR(OFFSET(ITEM_RES!$A$5,MATCH(BUILDING!S177,ITEM_RES!$J$5:$J$229,0)-1,0),0)</f>
        <v>211010501</v>
      </c>
      <c r="U177" s="11">
        <v>1</v>
      </c>
      <c r="V177" s="81" t="s">
        <v>532</v>
      </c>
      <c r="W177" s="11">
        <f ca="1">IFERROR(OFFSET(ITEM_RES!$A$5,MATCH(BUILDING!V177,ITEM_RES!$J$5:$J$229,0)-1,0),0)</f>
        <v>211010601</v>
      </c>
      <c r="Y177" s="9" t="s">
        <v>504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7067350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7067350</v>
      </c>
      <c r="AG177" s="176">
        <f t="shared" ca="1" si="56"/>
        <v>11284650</v>
      </c>
      <c r="AI177" s="11">
        <f t="shared" si="47"/>
        <v>12600</v>
      </c>
      <c r="AJ177" s="10">
        <v>12600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2</v>
      </c>
      <c r="AQ177" s="11">
        <f ca="1">IFERROR(OFFSET(ITEM_RES!$A$1,MATCH(AR177,ITEM_RES!$J:$J,0)-1,0),0)</f>
        <v>211010601</v>
      </c>
      <c r="AR177" s="10" t="s">
        <v>1068</v>
      </c>
      <c r="AS177" s="11">
        <v>620000</v>
      </c>
      <c r="AV177" s="11">
        <f ca="1">IFERROR(OFFSET(ITEM_RES!$A$1,MATCH(AW177,ITEM_RES!$J:$J,0)-1,0),0)</f>
        <v>211020801</v>
      </c>
      <c r="AW177" s="10" t="s">
        <v>1070</v>
      </c>
      <c r="AX177" s="11">
        <v>620000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746</v>
      </c>
      <c r="P178" s="55" t="s">
        <v>1370</v>
      </c>
      <c r="Q178" s="9" t="s">
        <v>677</v>
      </c>
      <c r="S178" s="81" t="s">
        <v>531</v>
      </c>
      <c r="T178" s="9">
        <f ca="1">IFERROR(OFFSET(ITEM_RES!$A$5,MATCH(BUILDING!S178,ITEM_RES!$J$5:$J$229,0)-1,0),0)</f>
        <v>211010501</v>
      </c>
      <c r="U178" s="11">
        <v>1</v>
      </c>
      <c r="V178" s="81" t="s">
        <v>532</v>
      </c>
      <c r="W178" s="11">
        <f ca="1">IFERROR(OFFSET(ITEM_RES!$A$5,MATCH(BUILDING!V178,ITEM_RES!$J$5:$J$229,0)-1,0),0)</f>
        <v>211010601</v>
      </c>
      <c r="Y178" s="9" t="s">
        <v>504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11077450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11077450</v>
      </c>
      <c r="AG178" s="176">
        <f t="shared" ca="1" si="56"/>
        <v>18144800</v>
      </c>
      <c r="AI178" s="11">
        <f t="shared" si="47"/>
        <v>14400</v>
      </c>
      <c r="AJ178" s="10">
        <v>14400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2</v>
      </c>
      <c r="AQ178" s="11">
        <f ca="1">IFERROR(OFFSET(ITEM_RES!$A$1,MATCH(AR178,ITEM_RES!$J:$J,0)-1,0),0)</f>
        <v>211010601</v>
      </c>
      <c r="AR178" s="10" t="s">
        <v>1068</v>
      </c>
      <c r="AS178" s="11">
        <v>970000</v>
      </c>
      <c r="AV178" s="11">
        <f ca="1">IFERROR(OFFSET(ITEM_RES!$A$1,MATCH(AW178,ITEM_RES!$J:$J,0)-1,0),0)</f>
        <v>211020801</v>
      </c>
      <c r="AW178" s="10" t="s">
        <v>1070</v>
      </c>
      <c r="AX178" s="11">
        <v>970000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746</v>
      </c>
      <c r="P179" s="55" t="s">
        <v>1370</v>
      </c>
      <c r="Q179" s="9" t="s">
        <v>677</v>
      </c>
      <c r="S179" s="81" t="s">
        <v>531</v>
      </c>
      <c r="T179" s="9">
        <f ca="1">IFERROR(OFFSET(ITEM_RES!$A$5,MATCH(BUILDING!S179,ITEM_RES!$J$5:$J$229,0)-1,0),0)</f>
        <v>211010501</v>
      </c>
      <c r="U179" s="11">
        <v>1</v>
      </c>
      <c r="V179" s="81" t="s">
        <v>532</v>
      </c>
      <c r="W179" s="11">
        <f ca="1">IFERROR(OFFSET(ITEM_RES!$A$5,MATCH(BUILDING!V179,ITEM_RES!$J$5:$J$229,0)-1,0),0)</f>
        <v>211010601</v>
      </c>
      <c r="Y179" s="9" t="s">
        <v>504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23795550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23795550</v>
      </c>
      <c r="AG179" s="176">
        <f t="shared" ca="1" si="56"/>
        <v>34873000</v>
      </c>
      <c r="AI179" s="11">
        <f t="shared" si="47"/>
        <v>16200</v>
      </c>
      <c r="AJ179" s="10">
        <v>16200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2</v>
      </c>
      <c r="AQ179" s="11">
        <f ca="1">IFERROR(OFFSET(ITEM_RES!$A$1,MATCH(AR179,ITEM_RES!$J:$J,0)-1,0),0)</f>
        <v>211010601</v>
      </c>
      <c r="AR179" s="10" t="s">
        <v>1068</v>
      </c>
      <c r="AS179" s="11">
        <v>2100000</v>
      </c>
      <c r="AV179" s="11">
        <f ca="1">IFERROR(OFFSET(ITEM_RES!$A$1,MATCH(AW179,ITEM_RES!$J:$J,0)-1,0),0)</f>
        <v>211020801</v>
      </c>
      <c r="AW179" s="10" t="s">
        <v>1070</v>
      </c>
      <c r="AX179" s="11">
        <v>2100000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746</v>
      </c>
      <c r="P180" s="55" t="s">
        <v>1370</v>
      </c>
      <c r="Q180" s="9" t="s">
        <v>677</v>
      </c>
      <c r="S180" s="81" t="s">
        <v>531</v>
      </c>
      <c r="T180" s="9">
        <f ca="1">IFERROR(OFFSET(ITEM_RES!$A$5,MATCH(BUILDING!S180,ITEM_RES!$J$5:$J$229,0)-1,0),0)</f>
        <v>211010501</v>
      </c>
      <c r="U180" s="11">
        <v>1</v>
      </c>
      <c r="V180" s="81" t="s">
        <v>532</v>
      </c>
      <c r="W180" s="11">
        <f ca="1">IFERROR(OFFSET(ITEM_RES!$A$5,MATCH(BUILDING!V180,ITEM_RES!$J$5:$J$229,0)-1,0),0)</f>
        <v>211010601</v>
      </c>
      <c r="Y180" s="9" t="s">
        <v>504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48780700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48780700</v>
      </c>
      <c r="AG180" s="176">
        <f t="shared" ca="1" si="56"/>
        <v>72576250</v>
      </c>
      <c r="AI180" s="11">
        <f t="shared" si="47"/>
        <v>18000</v>
      </c>
      <c r="AJ180" s="10">
        <v>18000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2</v>
      </c>
      <c r="AQ180" s="11">
        <f ca="1">IFERROR(OFFSET(ITEM_RES!$A$1,MATCH(AR180,ITEM_RES!$J:$J,0)-1,0),0)</f>
        <v>211010601</v>
      </c>
      <c r="AR180" s="10" t="s">
        <v>1068</v>
      </c>
      <c r="AS180" s="11">
        <v>4300000</v>
      </c>
      <c r="AV180" s="11">
        <f ca="1">IFERROR(OFFSET(ITEM_RES!$A$1,MATCH(AW180,ITEM_RES!$J:$J,0)-1,0),0)</f>
        <v>211020801</v>
      </c>
      <c r="AW180" s="10" t="s">
        <v>1070</v>
      </c>
      <c r="AX180" s="11">
        <v>4300000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746</v>
      </c>
      <c r="P181" s="55" t="s">
        <v>1370</v>
      </c>
      <c r="Q181" s="9" t="s">
        <v>677</v>
      </c>
      <c r="S181" s="81" t="s">
        <v>531</v>
      </c>
      <c r="T181" s="9">
        <f ca="1">IFERROR(OFFSET(ITEM_RES!$A$5,MATCH(BUILDING!S181,ITEM_RES!$J$5:$J$229,0)-1,0),0)</f>
        <v>211010501</v>
      </c>
      <c r="U181" s="11">
        <v>1</v>
      </c>
      <c r="V181" s="81" t="s">
        <v>532</v>
      </c>
      <c r="W181" s="11">
        <f ca="1">IFERROR(OFFSET(ITEM_RES!$A$5,MATCH(BUILDING!V181,ITEM_RES!$J$5:$J$229,0)-1,0),0)</f>
        <v>211010601</v>
      </c>
      <c r="Y181" s="9" t="s">
        <v>504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106950850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106950850</v>
      </c>
      <c r="AG181" s="176">
        <f t="shared" ca="1" si="56"/>
        <v>155731550</v>
      </c>
      <c r="AI181" s="11">
        <f t="shared" si="47"/>
        <v>19800</v>
      </c>
      <c r="AJ181" s="10">
        <v>19800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2</v>
      </c>
      <c r="AQ181" s="11">
        <f ca="1">IFERROR(OFFSET(ITEM_RES!$A$1,MATCH(AR181,ITEM_RES!$J:$J,0)-1,0),0)</f>
        <v>211010601</v>
      </c>
      <c r="AR181" s="10" t="s">
        <v>1068</v>
      </c>
      <c r="AS181" s="11">
        <v>8000000</v>
      </c>
      <c r="AV181" s="11">
        <f ca="1">IFERROR(OFFSET(ITEM_RES!$A$1,MATCH(AW181,ITEM_RES!$J:$J,0)-1,0),0)</f>
        <v>211020901</v>
      </c>
      <c r="AW181" s="10" t="s">
        <v>1071</v>
      </c>
      <c r="AX181" s="11">
        <v>8000000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746</v>
      </c>
      <c r="P182" s="55" t="s">
        <v>1370</v>
      </c>
      <c r="Q182" s="9" t="s">
        <v>677</v>
      </c>
      <c r="S182" s="81" t="s">
        <v>531</v>
      </c>
      <c r="T182" s="9">
        <f ca="1">IFERROR(OFFSET(ITEM_RES!$A$5,MATCH(BUILDING!S182,ITEM_RES!$J$5:$J$229,0)-1,0),0)</f>
        <v>211010501</v>
      </c>
      <c r="U182" s="11">
        <v>1</v>
      </c>
      <c r="V182" s="81" t="s">
        <v>532</v>
      </c>
      <c r="W182" s="11">
        <f ca="1">IFERROR(OFFSET(ITEM_RES!$A$5,MATCH(BUILDING!V182,ITEM_RES!$J$5:$J$229,0)-1,0),0)</f>
        <v>211010601</v>
      </c>
      <c r="Y182" s="9" t="s">
        <v>504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174301050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174301050</v>
      </c>
      <c r="AG182" s="176">
        <f t="shared" ca="1" si="56"/>
        <v>281251900</v>
      </c>
      <c r="AI182" s="11">
        <f t="shared" si="47"/>
        <v>21600</v>
      </c>
      <c r="AJ182" s="10">
        <v>21600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2</v>
      </c>
      <c r="AQ182" s="11">
        <f ca="1">IFERROR(OFFSET(ITEM_RES!$A$1,MATCH(AR182,ITEM_RES!$J:$J,0)-1,0),0)</f>
        <v>211010601</v>
      </c>
      <c r="AR182" s="10" t="s">
        <v>1068</v>
      </c>
      <c r="AS182" s="11">
        <v>13000000</v>
      </c>
      <c r="AV182" s="11">
        <f ca="1">IFERROR(OFFSET(ITEM_RES!$A$1,MATCH(AW182,ITEM_RES!$J:$J,0)-1,0),0)</f>
        <v>211020901</v>
      </c>
      <c r="AW182" s="10" t="s">
        <v>1071</v>
      </c>
      <c r="AX182" s="11">
        <v>13000000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746</v>
      </c>
      <c r="P183" s="55" t="s">
        <v>1370</v>
      </c>
      <c r="Q183" s="9" t="s">
        <v>677</v>
      </c>
      <c r="S183" s="81" t="s">
        <v>531</v>
      </c>
      <c r="T183" s="9">
        <f ca="1">IFERROR(OFFSET(ITEM_RES!$A$5,MATCH(BUILDING!S183,ITEM_RES!$J$5:$J$229,0)-1,0),0)</f>
        <v>211010501</v>
      </c>
      <c r="U183" s="11">
        <v>1</v>
      </c>
      <c r="V183" s="81" t="s">
        <v>532</v>
      </c>
      <c r="W183" s="11">
        <f ca="1">IFERROR(OFFSET(ITEM_RES!$A$5,MATCH(BUILDING!V183,ITEM_RES!$J$5:$J$229,0)-1,0),0)</f>
        <v>211010601</v>
      </c>
      <c r="Y183" s="9" t="s">
        <v>504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268501250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268501250</v>
      </c>
      <c r="AG183" s="176">
        <f t="shared" ca="1" si="56"/>
        <v>442802300</v>
      </c>
      <c r="AI183" s="11">
        <f t="shared" si="47"/>
        <v>23400</v>
      </c>
      <c r="AJ183" s="10">
        <v>23400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2</v>
      </c>
      <c r="AQ183" s="11">
        <f ca="1">IFERROR(OFFSET(ITEM_RES!$A$1,MATCH(AR183,ITEM_RES!$J:$J,0)-1,0),0)</f>
        <v>211010601</v>
      </c>
      <c r="AR183" s="10" t="s">
        <v>1068</v>
      </c>
      <c r="AS183" s="11">
        <v>20000000</v>
      </c>
      <c r="AV183" s="11">
        <f ca="1">IFERROR(OFFSET(ITEM_RES!$A$1,MATCH(AW183,ITEM_RES!$J:$J,0)-1,0),0)</f>
        <v>211020901</v>
      </c>
      <c r="AW183" s="10" t="s">
        <v>1071</v>
      </c>
      <c r="AX183" s="11">
        <v>20000000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746</v>
      </c>
      <c r="P184" s="55" t="s">
        <v>1370</v>
      </c>
      <c r="Q184" s="9" t="s">
        <v>677</v>
      </c>
      <c r="S184" s="81" t="s">
        <v>531</v>
      </c>
      <c r="T184" s="9">
        <f ca="1">IFERROR(OFFSET(ITEM_RES!$A$5,MATCH(BUILDING!S184,ITEM_RES!$J$5:$J$229,0)-1,0),0)</f>
        <v>211010501</v>
      </c>
      <c r="U184" s="11">
        <v>1</v>
      </c>
      <c r="V184" s="81" t="s">
        <v>532</v>
      </c>
      <c r="W184" s="11">
        <f ca="1">IFERROR(OFFSET(ITEM_RES!$A$5,MATCH(BUILDING!V184,ITEM_RES!$J$5:$J$229,0)-1,0),0)</f>
        <v>211010601</v>
      </c>
      <c r="Y184" s="9" t="s">
        <v>504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429201500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429201500</v>
      </c>
      <c r="AG184" s="176">
        <f t="shared" ca="1" si="56"/>
        <v>697702750</v>
      </c>
      <c r="AI184" s="11">
        <f t="shared" si="47"/>
        <v>25200</v>
      </c>
      <c r="AJ184" s="10">
        <v>25200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2</v>
      </c>
      <c r="AQ184" s="11">
        <f ca="1">IFERROR(OFFSET(ITEM_RES!$A$1,MATCH(AR184,ITEM_RES!$J:$J,0)-1,0),0)</f>
        <v>211010601</v>
      </c>
      <c r="AR184" s="10" t="s">
        <v>1068</v>
      </c>
      <c r="AS184" s="11">
        <v>32000000</v>
      </c>
      <c r="AV184" s="11">
        <f ca="1">IFERROR(OFFSET(ITEM_RES!$A$1,MATCH(AW184,ITEM_RES!$J:$J,0)-1,0),0)</f>
        <v>211020901</v>
      </c>
      <c r="AW184" s="10" t="s">
        <v>1071</v>
      </c>
      <c r="AX184" s="11">
        <v>32000000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491</v>
      </c>
      <c r="L185" s="62">
        <v>6</v>
      </c>
      <c r="M185" s="16">
        <v>1</v>
      </c>
      <c r="N185" s="16">
        <v>15</v>
      </c>
      <c r="O185" s="16" t="s">
        <v>1110</v>
      </c>
      <c r="P185" s="56" t="s">
        <v>1371</v>
      </c>
      <c r="Q185" s="16" t="s">
        <v>693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505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1530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1530</v>
      </c>
      <c r="AG185" s="178">
        <f ca="1">AE185</f>
        <v>1530</v>
      </c>
      <c r="AH185" s="76"/>
      <c r="AI185" s="18">
        <f t="shared" ref="AI185:AI204" si="60">ROUND(AJ185,0)</f>
        <v>5</v>
      </c>
      <c r="AJ185" s="17">
        <v>5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50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491</v>
      </c>
      <c r="L186" s="55"/>
      <c r="M186" s="9">
        <v>1</v>
      </c>
      <c r="N186" s="9">
        <v>15</v>
      </c>
      <c r="O186" s="9" t="s">
        <v>1433</v>
      </c>
      <c r="P186" s="55" t="s">
        <v>1371</v>
      </c>
      <c r="Q186" s="9" t="s">
        <v>678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505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1060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1060</v>
      </c>
      <c r="AG186" s="176">
        <f ca="1">AE185+AE186</f>
        <v>2590</v>
      </c>
      <c r="AI186" s="11">
        <f t="shared" si="60"/>
        <v>10</v>
      </c>
      <c r="AJ186" s="10">
        <v>10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100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491</v>
      </c>
      <c r="L187" s="55"/>
      <c r="M187" s="9">
        <v>1</v>
      </c>
      <c r="N187" s="9">
        <v>15</v>
      </c>
      <c r="O187" s="9" t="s">
        <v>1024</v>
      </c>
      <c r="P187" s="55" t="s">
        <v>1371</v>
      </c>
      <c r="Q187" s="9" t="s">
        <v>678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505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1590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1590</v>
      </c>
      <c r="AG187" s="176">
        <f t="shared" ref="AG187:AG204" ca="1" si="64">AE186+AE187</f>
        <v>2650</v>
      </c>
      <c r="AI187" s="11">
        <f t="shared" si="60"/>
        <v>30</v>
      </c>
      <c r="AJ187" s="10">
        <v>30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150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491</v>
      </c>
      <c r="L188" s="55"/>
      <c r="M188" s="9">
        <v>1</v>
      </c>
      <c r="N188" s="9">
        <v>15</v>
      </c>
      <c r="O188" s="9" t="s">
        <v>1024</v>
      </c>
      <c r="P188" s="55" t="s">
        <v>1371</v>
      </c>
      <c r="Q188" s="9" t="s">
        <v>678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505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6325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6325</v>
      </c>
      <c r="AG188" s="176">
        <f t="shared" ca="1" si="64"/>
        <v>7915</v>
      </c>
      <c r="AI188" s="11">
        <f t="shared" si="60"/>
        <v>300</v>
      </c>
      <c r="AJ188" s="10">
        <v>300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600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491</v>
      </c>
      <c r="L189" s="55"/>
      <c r="M189" s="9">
        <v>1</v>
      </c>
      <c r="N189" s="9">
        <v>15</v>
      </c>
      <c r="O189" s="9" t="s">
        <v>1024</v>
      </c>
      <c r="P189" s="55" t="s">
        <v>1371</v>
      </c>
      <c r="Q189" s="9" t="s">
        <v>678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505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28390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28390</v>
      </c>
      <c r="AG189" s="176">
        <f t="shared" ca="1" si="64"/>
        <v>34715</v>
      </c>
      <c r="AI189" s="11">
        <f t="shared" si="60"/>
        <v>600</v>
      </c>
      <c r="AJ189" s="10">
        <v>600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2700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491</v>
      </c>
      <c r="L190" s="55"/>
      <c r="M190" s="9">
        <v>1</v>
      </c>
      <c r="N190" s="9">
        <v>15</v>
      </c>
      <c r="O190" s="9" t="s">
        <v>1024</v>
      </c>
      <c r="P190" s="55" t="s">
        <v>1371</v>
      </c>
      <c r="Q190" s="9" t="s">
        <v>678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505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94550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94550</v>
      </c>
      <c r="AG190" s="176">
        <f t="shared" ca="1" si="64"/>
        <v>122940</v>
      </c>
      <c r="AI190" s="11">
        <f t="shared" si="60"/>
        <v>1200</v>
      </c>
      <c r="AJ190" s="10">
        <v>1200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9000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491</v>
      </c>
      <c r="L191" s="55"/>
      <c r="M191" s="9">
        <v>1</v>
      </c>
      <c r="N191" s="9">
        <v>15</v>
      </c>
      <c r="O191" s="9" t="s">
        <v>1024</v>
      </c>
      <c r="P191" s="55" t="s">
        <v>1371</v>
      </c>
      <c r="Q191" s="9" t="s">
        <v>678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505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210100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210100</v>
      </c>
      <c r="AG191" s="176">
        <f t="shared" ca="1" si="64"/>
        <v>304650</v>
      </c>
      <c r="AI191" s="11">
        <f t="shared" si="60"/>
        <v>1800</v>
      </c>
      <c r="AJ191" s="10">
        <v>1800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20000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491</v>
      </c>
      <c r="L192" s="55"/>
      <c r="M192" s="9">
        <v>1</v>
      </c>
      <c r="N192" s="9">
        <v>15</v>
      </c>
      <c r="O192" s="9" t="s">
        <v>1024</v>
      </c>
      <c r="P192" s="55" t="s">
        <v>1371</v>
      </c>
      <c r="Q192" s="9" t="s">
        <v>678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505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441100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441100</v>
      </c>
      <c r="AG192" s="176">
        <f t="shared" ca="1" si="64"/>
        <v>651200</v>
      </c>
      <c r="AI192" s="11">
        <f t="shared" si="60"/>
        <v>3600</v>
      </c>
      <c r="AJ192" s="10">
        <v>3600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42000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491</v>
      </c>
      <c r="L193" s="55"/>
      <c r="M193" s="9">
        <v>1</v>
      </c>
      <c r="N193" s="9">
        <v>15</v>
      </c>
      <c r="O193" s="9" t="s">
        <v>1024</v>
      </c>
      <c r="P193" s="55" t="s">
        <v>1371</v>
      </c>
      <c r="Q193" s="9" t="s">
        <v>678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505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819150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819150</v>
      </c>
      <c r="AG193" s="176">
        <f t="shared" ca="1" si="64"/>
        <v>1260250</v>
      </c>
      <c r="AI193" s="11">
        <f t="shared" si="60"/>
        <v>5400</v>
      </c>
      <c r="AJ193" s="10">
        <v>5400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78000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491</v>
      </c>
      <c r="L194" s="55"/>
      <c r="M194" s="9">
        <v>1</v>
      </c>
      <c r="N194" s="9">
        <v>15</v>
      </c>
      <c r="O194" s="9" t="s">
        <v>1024</v>
      </c>
      <c r="P194" s="55" t="s">
        <v>1371</v>
      </c>
      <c r="Q194" s="9" t="s">
        <v>678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505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1366200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1366200</v>
      </c>
      <c r="AG194" s="176">
        <f t="shared" ca="1" si="64"/>
        <v>2185350</v>
      </c>
      <c r="AI194" s="11">
        <f t="shared" si="60"/>
        <v>7200</v>
      </c>
      <c r="AJ194" s="10">
        <v>7200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130000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453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491</v>
      </c>
      <c r="L195" s="55"/>
      <c r="M195" s="9">
        <v>1</v>
      </c>
      <c r="N195" s="9">
        <v>15</v>
      </c>
      <c r="O195" s="9" t="s">
        <v>1024</v>
      </c>
      <c r="P195" s="55" t="s">
        <v>1371</v>
      </c>
      <c r="Q195" s="9" t="s">
        <v>678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505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2310250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2310250</v>
      </c>
      <c r="AG195" s="176">
        <f t="shared" ca="1" si="64"/>
        <v>3676450</v>
      </c>
      <c r="AI195" s="11">
        <f t="shared" si="60"/>
        <v>9000</v>
      </c>
      <c r="AJ195" s="10">
        <v>9000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220000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491</v>
      </c>
      <c r="L196" s="55"/>
      <c r="M196" s="9">
        <v>1</v>
      </c>
      <c r="N196" s="9">
        <v>15</v>
      </c>
      <c r="O196" s="9" t="s">
        <v>1024</v>
      </c>
      <c r="P196" s="55" t="s">
        <v>1371</v>
      </c>
      <c r="Q196" s="9" t="s">
        <v>678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505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8325300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8325300</v>
      </c>
      <c r="AG196" s="176">
        <f t="shared" ca="1" si="64"/>
        <v>10635550</v>
      </c>
      <c r="AI196" s="11">
        <f t="shared" si="60"/>
        <v>10800</v>
      </c>
      <c r="AJ196" s="10">
        <v>10800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370000</v>
      </c>
      <c r="AV196" s="11">
        <f ca="1">IFERROR(OFFSET(ITEM_RES!$A$1,MATCH(AW196,ITEM_RES!$J:$J,0)-1,0),0)</f>
        <v>211020901</v>
      </c>
      <c r="AW196" s="10" t="s">
        <v>386</v>
      </c>
      <c r="AX196" s="11">
        <v>370000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491</v>
      </c>
      <c r="L197" s="55"/>
      <c r="M197" s="9">
        <v>1</v>
      </c>
      <c r="N197" s="9">
        <v>15</v>
      </c>
      <c r="O197" s="9" t="s">
        <v>1024</v>
      </c>
      <c r="P197" s="55" t="s">
        <v>1371</v>
      </c>
      <c r="Q197" s="9" t="s">
        <v>678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505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13950350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13950350</v>
      </c>
      <c r="AG197" s="176">
        <f t="shared" ca="1" si="64"/>
        <v>22275650</v>
      </c>
      <c r="AI197" s="11">
        <f t="shared" si="60"/>
        <v>12600</v>
      </c>
      <c r="AJ197" s="10">
        <v>12600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620000</v>
      </c>
      <c r="AV197" s="11">
        <f ca="1">IFERROR(OFFSET(ITEM_RES!$A$1,MATCH(AW197,ITEM_RES!$J:$J,0)-1,0),0)</f>
        <v>211020901</v>
      </c>
      <c r="AW197" s="10" t="s">
        <v>386</v>
      </c>
      <c r="AX197" s="11">
        <v>620000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491</v>
      </c>
      <c r="L198" s="55"/>
      <c r="M198" s="9">
        <v>1</v>
      </c>
      <c r="N198" s="9">
        <v>15</v>
      </c>
      <c r="O198" s="9" t="s">
        <v>1024</v>
      </c>
      <c r="P198" s="55" t="s">
        <v>1371</v>
      </c>
      <c r="Q198" s="9" t="s">
        <v>678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505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21825450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21825450</v>
      </c>
      <c r="AG198" s="176">
        <f t="shared" ca="1" si="64"/>
        <v>35775800</v>
      </c>
      <c r="AI198" s="11">
        <f t="shared" si="60"/>
        <v>14400</v>
      </c>
      <c r="AJ198" s="10">
        <v>14400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970000</v>
      </c>
      <c r="AV198" s="11">
        <f ca="1">IFERROR(OFFSET(ITEM_RES!$A$1,MATCH(AW198,ITEM_RES!$J:$J,0)-1,0),0)</f>
        <v>211020901</v>
      </c>
      <c r="AW198" s="10" t="s">
        <v>386</v>
      </c>
      <c r="AX198" s="11">
        <v>970000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491</v>
      </c>
      <c r="L199" s="55"/>
      <c r="M199" s="9">
        <v>1</v>
      </c>
      <c r="N199" s="9">
        <v>15</v>
      </c>
      <c r="O199" s="9" t="s">
        <v>1024</v>
      </c>
      <c r="P199" s="55" t="s">
        <v>1371</v>
      </c>
      <c r="Q199" s="9" t="s">
        <v>678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505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47250550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47250550</v>
      </c>
      <c r="AG199" s="176">
        <f t="shared" ca="1" si="64"/>
        <v>69076000</v>
      </c>
      <c r="AI199" s="11">
        <f t="shared" si="60"/>
        <v>16200</v>
      </c>
      <c r="AJ199" s="10">
        <v>16200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2100000</v>
      </c>
      <c r="AV199" s="11">
        <f ca="1">IFERROR(OFFSET(ITEM_RES!$A$1,MATCH(AW199,ITEM_RES!$J:$J,0)-1,0),0)</f>
        <v>211020901</v>
      </c>
      <c r="AW199" s="10" t="s">
        <v>386</v>
      </c>
      <c r="AX199" s="11">
        <v>2100000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491</v>
      </c>
      <c r="L200" s="55"/>
      <c r="M200" s="9">
        <v>0</v>
      </c>
      <c r="N200" s="9">
        <v>15</v>
      </c>
      <c r="O200" s="9" t="s">
        <v>1024</v>
      </c>
      <c r="P200" s="55" t="s">
        <v>1371</v>
      </c>
      <c r="Q200" s="9" t="s">
        <v>678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505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96750700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96750700</v>
      </c>
      <c r="AG200" s="176">
        <f t="shared" ca="1" si="64"/>
        <v>144001250</v>
      </c>
      <c r="AI200" s="11">
        <f t="shared" si="60"/>
        <v>18000</v>
      </c>
      <c r="AJ200" s="10">
        <v>18000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4300000</v>
      </c>
      <c r="AV200" s="11">
        <f ca="1">IFERROR(OFFSET(ITEM_RES!$A$1,MATCH(AW200,ITEM_RES!$J:$J,0)-1,0),0)</f>
        <v>211020901</v>
      </c>
      <c r="AW200" s="10" t="s">
        <v>386</v>
      </c>
      <c r="AX200" s="11">
        <v>4300000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491</v>
      </c>
      <c r="L201" s="55"/>
      <c r="M201" s="9">
        <v>0</v>
      </c>
      <c r="N201" s="9">
        <v>15</v>
      </c>
      <c r="O201" s="9" t="s">
        <v>1024</v>
      </c>
      <c r="P201" s="55" t="s">
        <v>1371</v>
      </c>
      <c r="Q201" s="9" t="s">
        <v>678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505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180000850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180000850</v>
      </c>
      <c r="AG201" s="176">
        <f t="shared" ca="1" si="64"/>
        <v>276751550</v>
      </c>
      <c r="AI201" s="11">
        <f t="shared" si="60"/>
        <v>19800</v>
      </c>
      <c r="AJ201" s="10">
        <v>19800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8000000</v>
      </c>
      <c r="AV201" s="11">
        <f ca="1">IFERROR(OFFSET(ITEM_RES!$A$1,MATCH(AW201,ITEM_RES!$J:$J,0)-1,0),0)</f>
        <v>211020901</v>
      </c>
      <c r="AW201" s="10" t="s">
        <v>386</v>
      </c>
      <c r="AX201" s="11">
        <v>8000000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491</v>
      </c>
      <c r="L202" s="55"/>
      <c r="M202" s="9">
        <v>0</v>
      </c>
      <c r="N202" s="9">
        <v>15</v>
      </c>
      <c r="O202" s="9" t="s">
        <v>1024</v>
      </c>
      <c r="P202" s="55" t="s">
        <v>1371</v>
      </c>
      <c r="Q202" s="9" t="s">
        <v>678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505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292501050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292501050</v>
      </c>
      <c r="AG202" s="176">
        <f t="shared" ca="1" si="64"/>
        <v>472501900</v>
      </c>
      <c r="AI202" s="11">
        <f t="shared" si="60"/>
        <v>21600</v>
      </c>
      <c r="AJ202" s="10">
        <v>21600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13000000</v>
      </c>
      <c r="AV202" s="11">
        <f ca="1">IFERROR(OFFSET(ITEM_RES!$A$1,MATCH(AW202,ITEM_RES!$J:$J,0)-1,0),0)</f>
        <v>211020901</v>
      </c>
      <c r="AW202" s="10" t="s">
        <v>386</v>
      </c>
      <c r="AX202" s="11">
        <v>13000000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491</v>
      </c>
      <c r="L203" s="55"/>
      <c r="M203" s="9">
        <v>0</v>
      </c>
      <c r="N203" s="9">
        <v>15</v>
      </c>
      <c r="O203" s="9" t="s">
        <v>1024</v>
      </c>
      <c r="P203" s="55" t="s">
        <v>1371</v>
      </c>
      <c r="Q203" s="9" t="s">
        <v>678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505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274001250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274001250</v>
      </c>
      <c r="AG203" s="176">
        <f t="shared" ca="1" si="64"/>
        <v>566502300</v>
      </c>
      <c r="AI203" s="11">
        <f t="shared" si="60"/>
        <v>23400</v>
      </c>
      <c r="AJ203" s="10">
        <v>23400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20000000</v>
      </c>
      <c r="AV203" s="11">
        <f ca="1">IFERROR(OFFSET(ITEM_RES!$A$1,MATCH(AW203,ITEM_RES!$J:$J,0)-1,0),0)</f>
        <v>211020501</v>
      </c>
      <c r="AW203" s="10" t="s">
        <v>417</v>
      </c>
      <c r="AX203" s="11">
        <v>20000000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491</v>
      </c>
      <c r="L204" s="55"/>
      <c r="M204" s="9">
        <v>0</v>
      </c>
      <c r="N204" s="9">
        <v>15</v>
      </c>
      <c r="O204" s="9" t="s">
        <v>1024</v>
      </c>
      <c r="P204" s="55" t="s">
        <v>1371</v>
      </c>
      <c r="Q204" s="9" t="s">
        <v>678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505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438401500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438401500</v>
      </c>
      <c r="AG204" s="176">
        <f t="shared" ca="1" si="64"/>
        <v>712402750</v>
      </c>
      <c r="AI204" s="11">
        <f t="shared" si="60"/>
        <v>25200</v>
      </c>
      <c r="AJ204" s="10">
        <v>25200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492</v>
      </c>
      <c r="AS204" s="11">
        <v>32000000</v>
      </c>
      <c r="AV204" s="11">
        <f ca="1">IFERROR(OFFSET(ITEM_RES!$A$1,MATCH(AW204,ITEM_RES!$J:$J,0)-1,0),0)</f>
        <v>211020501</v>
      </c>
      <c r="AW204" s="10" t="s">
        <v>417</v>
      </c>
      <c r="AX204" s="11">
        <v>32000000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556</v>
      </c>
      <c r="L205" s="62">
        <v>6</v>
      </c>
      <c r="M205" s="16">
        <v>1</v>
      </c>
      <c r="N205" s="16">
        <v>15</v>
      </c>
      <c r="O205" s="16" t="s">
        <v>1111</v>
      </c>
      <c r="P205" s="56" t="s">
        <v>1372</v>
      </c>
      <c r="Q205" s="16" t="s">
        <v>679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557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1530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1530</v>
      </c>
      <c r="AG205" s="178">
        <f ca="1">AE205</f>
        <v>1530</v>
      </c>
      <c r="AH205" s="76"/>
      <c r="AI205" s="18">
        <f t="shared" ref="AI205:AI224" si="68">ROUND(AJ205,0)</f>
        <v>5</v>
      </c>
      <c r="AJ205" s="17">
        <v>5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50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556</v>
      </c>
      <c r="L206" s="55"/>
      <c r="M206" s="9">
        <v>1</v>
      </c>
      <c r="N206" s="9">
        <v>15</v>
      </c>
      <c r="O206" s="9" t="s">
        <v>1111</v>
      </c>
      <c r="P206" s="55" t="s">
        <v>1372</v>
      </c>
      <c r="Q206" s="9" t="s">
        <v>679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557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1060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1060</v>
      </c>
      <c r="AG206" s="176">
        <f ca="1">AE205+AE206</f>
        <v>2590</v>
      </c>
      <c r="AH206" s="179"/>
      <c r="AI206" s="11">
        <f t="shared" si="68"/>
        <v>10</v>
      </c>
      <c r="AJ206" s="10">
        <v>10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100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556</v>
      </c>
      <c r="L207" s="55"/>
      <c r="M207" s="9">
        <v>1</v>
      </c>
      <c r="N207" s="9">
        <v>15</v>
      </c>
      <c r="O207" s="9" t="s">
        <v>1111</v>
      </c>
      <c r="P207" s="55" t="s">
        <v>1372</v>
      </c>
      <c r="Q207" s="9" t="s">
        <v>679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557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1590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1590</v>
      </c>
      <c r="AG207" s="176">
        <f t="shared" ref="AG207:AG224" ca="1" si="72">AE206+AE207</f>
        <v>2650</v>
      </c>
      <c r="AI207" s="11">
        <f t="shared" si="68"/>
        <v>30</v>
      </c>
      <c r="AJ207" s="10">
        <v>30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150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556</v>
      </c>
      <c r="L208" s="55"/>
      <c r="M208" s="9">
        <v>1</v>
      </c>
      <c r="N208" s="9">
        <v>15</v>
      </c>
      <c r="O208" s="9" t="s">
        <v>1111</v>
      </c>
      <c r="P208" s="55" t="s">
        <v>1372</v>
      </c>
      <c r="Q208" s="9" t="s">
        <v>679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557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6325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6325</v>
      </c>
      <c r="AG208" s="176">
        <f t="shared" ca="1" si="72"/>
        <v>7915</v>
      </c>
      <c r="AI208" s="11">
        <f t="shared" si="68"/>
        <v>300</v>
      </c>
      <c r="AJ208" s="10">
        <v>300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600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556</v>
      </c>
      <c r="L209" s="55"/>
      <c r="M209" s="9">
        <v>1</v>
      </c>
      <c r="N209" s="9">
        <v>15</v>
      </c>
      <c r="O209" s="9" t="s">
        <v>1111</v>
      </c>
      <c r="P209" s="55" t="s">
        <v>1372</v>
      </c>
      <c r="Q209" s="9" t="s">
        <v>679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557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28390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28390</v>
      </c>
      <c r="AG209" s="176">
        <f t="shared" ca="1" si="72"/>
        <v>34715</v>
      </c>
      <c r="AI209" s="11">
        <f t="shared" si="68"/>
        <v>600</v>
      </c>
      <c r="AJ209" s="10">
        <v>600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2700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556</v>
      </c>
      <c r="L210" s="55"/>
      <c r="M210" s="9">
        <v>1</v>
      </c>
      <c r="N210" s="9">
        <v>15</v>
      </c>
      <c r="O210" s="9" t="s">
        <v>1111</v>
      </c>
      <c r="P210" s="55" t="s">
        <v>1372</v>
      </c>
      <c r="Q210" s="9" t="s">
        <v>679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557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94550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94550</v>
      </c>
      <c r="AG210" s="176">
        <f t="shared" ca="1" si="72"/>
        <v>122940</v>
      </c>
      <c r="AI210" s="11">
        <f t="shared" si="68"/>
        <v>1200</v>
      </c>
      <c r="AJ210" s="10">
        <v>1200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9000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556</v>
      </c>
      <c r="L211" s="55"/>
      <c r="M211" s="9">
        <v>1</v>
      </c>
      <c r="N211" s="9">
        <v>15</v>
      </c>
      <c r="O211" s="9" t="s">
        <v>1111</v>
      </c>
      <c r="P211" s="55" t="s">
        <v>1372</v>
      </c>
      <c r="Q211" s="9" t="s">
        <v>679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557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210100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210100</v>
      </c>
      <c r="AG211" s="176">
        <f t="shared" ca="1" si="72"/>
        <v>304650</v>
      </c>
      <c r="AI211" s="11">
        <f t="shared" si="68"/>
        <v>1800</v>
      </c>
      <c r="AJ211" s="10">
        <v>1800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20000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556</v>
      </c>
      <c r="L212" s="55"/>
      <c r="M212" s="9">
        <v>1</v>
      </c>
      <c r="N212" s="9">
        <v>15</v>
      </c>
      <c r="O212" s="9" t="s">
        <v>1112</v>
      </c>
      <c r="P212" s="55" t="s">
        <v>1373</v>
      </c>
      <c r="Q212" s="9" t="s">
        <v>679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557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441100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441100</v>
      </c>
      <c r="AG212" s="176">
        <f t="shared" ca="1" si="72"/>
        <v>651200</v>
      </c>
      <c r="AI212" s="11">
        <f t="shared" si="68"/>
        <v>3600</v>
      </c>
      <c r="AJ212" s="10">
        <v>3600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42000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556</v>
      </c>
      <c r="L213" s="55"/>
      <c r="M213" s="9">
        <v>1</v>
      </c>
      <c r="N213" s="9">
        <v>15</v>
      </c>
      <c r="O213" s="9" t="s">
        <v>1112</v>
      </c>
      <c r="P213" s="55" t="s">
        <v>1373</v>
      </c>
      <c r="Q213" s="9" t="s">
        <v>679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557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819150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819150</v>
      </c>
      <c r="AG213" s="176">
        <f t="shared" ca="1" si="72"/>
        <v>1260250</v>
      </c>
      <c r="AI213" s="11">
        <f t="shared" si="68"/>
        <v>5400</v>
      </c>
      <c r="AJ213" s="10">
        <v>5400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78000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556</v>
      </c>
      <c r="L214" s="55"/>
      <c r="M214" s="9">
        <v>1</v>
      </c>
      <c r="N214" s="9">
        <v>15</v>
      </c>
      <c r="O214" s="9" t="s">
        <v>1113</v>
      </c>
      <c r="P214" s="55" t="s">
        <v>1374</v>
      </c>
      <c r="Q214" s="9" t="s">
        <v>679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557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1366200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1366200</v>
      </c>
      <c r="AG214" s="176">
        <f t="shared" ca="1" si="72"/>
        <v>2185350</v>
      </c>
      <c r="AI214" s="11">
        <f t="shared" si="68"/>
        <v>7200</v>
      </c>
      <c r="AJ214" s="10">
        <v>7200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130000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452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556</v>
      </c>
      <c r="L215" s="55"/>
      <c r="M215" s="9">
        <v>1</v>
      </c>
      <c r="N215" s="9">
        <v>15</v>
      </c>
      <c r="O215" s="9" t="s">
        <v>1113</v>
      </c>
      <c r="P215" s="55" t="s">
        <v>1374</v>
      </c>
      <c r="Q215" s="9" t="s">
        <v>679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557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2310250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2310250</v>
      </c>
      <c r="AG215" s="176">
        <f t="shared" ca="1" si="72"/>
        <v>3676450</v>
      </c>
      <c r="AI215" s="11">
        <f t="shared" si="68"/>
        <v>9000</v>
      </c>
      <c r="AJ215" s="10">
        <v>9000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220000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556</v>
      </c>
      <c r="L216" s="55"/>
      <c r="M216" s="9">
        <v>1</v>
      </c>
      <c r="N216" s="9">
        <v>15</v>
      </c>
      <c r="O216" s="9" t="s">
        <v>1113</v>
      </c>
      <c r="P216" s="55" t="s">
        <v>1374</v>
      </c>
      <c r="Q216" s="9" t="s">
        <v>679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557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8325300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8325300</v>
      </c>
      <c r="AG216" s="176">
        <f t="shared" ca="1" si="72"/>
        <v>10635550</v>
      </c>
      <c r="AI216" s="11">
        <f t="shared" si="68"/>
        <v>10800</v>
      </c>
      <c r="AJ216" s="10">
        <v>10800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370000</v>
      </c>
      <c r="AV216" s="11">
        <f ca="1">IFERROR(OFFSET(ITEM_RES!$A$1,MATCH(AW216,ITEM_RES!$J:$J,0)-1,0),0)</f>
        <v>211020901</v>
      </c>
      <c r="AW216" s="10" t="s">
        <v>386</v>
      </c>
      <c r="AX216" s="11">
        <v>370000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556</v>
      </c>
      <c r="L217" s="55"/>
      <c r="M217" s="9">
        <v>1</v>
      </c>
      <c r="N217" s="9">
        <v>15</v>
      </c>
      <c r="O217" s="9" t="s">
        <v>1113</v>
      </c>
      <c r="P217" s="55" t="s">
        <v>1374</v>
      </c>
      <c r="Q217" s="9" t="s">
        <v>679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557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13950350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13950350</v>
      </c>
      <c r="AG217" s="176">
        <f t="shared" ca="1" si="72"/>
        <v>22275650</v>
      </c>
      <c r="AI217" s="11">
        <f t="shared" si="68"/>
        <v>12600</v>
      </c>
      <c r="AJ217" s="10">
        <v>12600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620000</v>
      </c>
      <c r="AV217" s="11">
        <f ca="1">IFERROR(OFFSET(ITEM_RES!$A$1,MATCH(AW217,ITEM_RES!$J:$J,0)-1,0),0)</f>
        <v>211020901</v>
      </c>
      <c r="AW217" s="10" t="s">
        <v>386</v>
      </c>
      <c r="AX217" s="11">
        <v>620000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556</v>
      </c>
      <c r="L218" s="55"/>
      <c r="M218" s="9">
        <v>1</v>
      </c>
      <c r="N218" s="9">
        <v>15</v>
      </c>
      <c r="O218" s="9" t="s">
        <v>1113</v>
      </c>
      <c r="P218" s="55" t="s">
        <v>1374</v>
      </c>
      <c r="Q218" s="9" t="s">
        <v>679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557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21825450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21825450</v>
      </c>
      <c r="AG218" s="176">
        <f t="shared" ca="1" si="72"/>
        <v>35775800</v>
      </c>
      <c r="AI218" s="11">
        <f t="shared" si="68"/>
        <v>14400</v>
      </c>
      <c r="AJ218" s="10">
        <v>14400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970000</v>
      </c>
      <c r="AV218" s="11">
        <f ca="1">IFERROR(OFFSET(ITEM_RES!$A$1,MATCH(AW218,ITEM_RES!$J:$J,0)-1,0),0)</f>
        <v>211020901</v>
      </c>
      <c r="AW218" s="10" t="s">
        <v>386</v>
      </c>
      <c r="AX218" s="11">
        <v>970000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556</v>
      </c>
      <c r="L219" s="55"/>
      <c r="M219" s="9">
        <v>1</v>
      </c>
      <c r="N219" s="9">
        <v>15</v>
      </c>
      <c r="O219" s="9" t="s">
        <v>1113</v>
      </c>
      <c r="P219" s="55" t="s">
        <v>1374</v>
      </c>
      <c r="Q219" s="9" t="s">
        <v>679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557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47250550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47250550</v>
      </c>
      <c r="AG219" s="176">
        <f t="shared" ca="1" si="72"/>
        <v>69076000</v>
      </c>
      <c r="AI219" s="11">
        <f t="shared" si="68"/>
        <v>16200</v>
      </c>
      <c r="AJ219" s="10">
        <v>16200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2100000</v>
      </c>
      <c r="AV219" s="11">
        <f ca="1">IFERROR(OFFSET(ITEM_RES!$A$1,MATCH(AW219,ITEM_RES!$J:$J,0)-1,0),0)</f>
        <v>211020901</v>
      </c>
      <c r="AW219" s="10" t="s">
        <v>386</v>
      </c>
      <c r="AX219" s="11">
        <v>2100000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556</v>
      </c>
      <c r="L220" s="55"/>
      <c r="M220" s="9">
        <v>0</v>
      </c>
      <c r="N220" s="9">
        <v>15</v>
      </c>
      <c r="O220" s="9" t="s">
        <v>1113</v>
      </c>
      <c r="P220" s="55" t="s">
        <v>1374</v>
      </c>
      <c r="Q220" s="9" t="s">
        <v>679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557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96750700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96750700</v>
      </c>
      <c r="AG220" s="176">
        <f t="shared" ca="1" si="72"/>
        <v>144001250</v>
      </c>
      <c r="AI220" s="11">
        <f t="shared" si="68"/>
        <v>18000</v>
      </c>
      <c r="AJ220" s="10">
        <v>18000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4300000</v>
      </c>
      <c r="AV220" s="11">
        <f ca="1">IFERROR(OFFSET(ITEM_RES!$A$1,MATCH(AW220,ITEM_RES!$J:$J,0)-1,0),0)</f>
        <v>211020901</v>
      </c>
      <c r="AW220" s="10" t="s">
        <v>386</v>
      </c>
      <c r="AX220" s="11">
        <v>4300000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556</v>
      </c>
      <c r="L221" s="55"/>
      <c r="M221" s="9">
        <v>0</v>
      </c>
      <c r="N221" s="9">
        <v>15</v>
      </c>
      <c r="O221" s="9" t="s">
        <v>1113</v>
      </c>
      <c r="P221" s="55" t="s">
        <v>1374</v>
      </c>
      <c r="Q221" s="9" t="s">
        <v>679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557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180000850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180000850</v>
      </c>
      <c r="AG221" s="176">
        <f t="shared" ca="1" si="72"/>
        <v>276751550</v>
      </c>
      <c r="AI221" s="11">
        <f t="shared" si="68"/>
        <v>19800</v>
      </c>
      <c r="AJ221" s="10">
        <v>19800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8000000</v>
      </c>
      <c r="AV221" s="11">
        <f ca="1">IFERROR(OFFSET(ITEM_RES!$A$1,MATCH(AW221,ITEM_RES!$J:$J,0)-1,0),0)</f>
        <v>211020901</v>
      </c>
      <c r="AW221" s="10" t="s">
        <v>386</v>
      </c>
      <c r="AX221" s="11">
        <v>8000000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556</v>
      </c>
      <c r="L222" s="55"/>
      <c r="M222" s="9">
        <v>0</v>
      </c>
      <c r="N222" s="9">
        <v>15</v>
      </c>
      <c r="O222" s="9" t="s">
        <v>1113</v>
      </c>
      <c r="P222" s="55" t="s">
        <v>1374</v>
      </c>
      <c r="Q222" s="9" t="s">
        <v>679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557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292501050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292501050</v>
      </c>
      <c r="AG222" s="176">
        <f t="shared" ca="1" si="72"/>
        <v>472501900</v>
      </c>
      <c r="AI222" s="11">
        <f t="shared" si="68"/>
        <v>21600</v>
      </c>
      <c r="AJ222" s="10">
        <v>21600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13000000</v>
      </c>
      <c r="AV222" s="11">
        <f ca="1">IFERROR(OFFSET(ITEM_RES!$A$1,MATCH(AW222,ITEM_RES!$J:$J,0)-1,0),0)</f>
        <v>211020901</v>
      </c>
      <c r="AW222" s="10" t="s">
        <v>386</v>
      </c>
      <c r="AX222" s="11">
        <v>13000000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556</v>
      </c>
      <c r="L223" s="55"/>
      <c r="M223" s="9">
        <v>0</v>
      </c>
      <c r="N223" s="9">
        <v>15</v>
      </c>
      <c r="O223" s="9" t="s">
        <v>1113</v>
      </c>
      <c r="P223" s="55" t="s">
        <v>1374</v>
      </c>
      <c r="Q223" s="9" t="s">
        <v>679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557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274001250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274001250</v>
      </c>
      <c r="AG223" s="176">
        <f t="shared" ca="1" si="72"/>
        <v>566502300</v>
      </c>
      <c r="AI223" s="11">
        <f t="shared" si="68"/>
        <v>23400</v>
      </c>
      <c r="AJ223" s="10">
        <v>23400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20000000</v>
      </c>
      <c r="AV223" s="11">
        <f ca="1">IFERROR(OFFSET(ITEM_RES!$A$1,MATCH(AW223,ITEM_RES!$J:$J,0)-1,0),0)</f>
        <v>211020501</v>
      </c>
      <c r="AW223" s="10" t="s">
        <v>417</v>
      </c>
      <c r="AX223" s="11">
        <v>20000000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556</v>
      </c>
      <c r="L224" s="55"/>
      <c r="M224" s="9">
        <v>0</v>
      </c>
      <c r="N224" s="9">
        <v>15</v>
      </c>
      <c r="O224" s="9" t="s">
        <v>1113</v>
      </c>
      <c r="P224" s="55" t="s">
        <v>1374</v>
      </c>
      <c r="Q224" s="9" t="s">
        <v>679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557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438401500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438401500</v>
      </c>
      <c r="AG224" s="176">
        <f t="shared" ca="1" si="72"/>
        <v>712402750</v>
      </c>
      <c r="AI224" s="11">
        <f t="shared" si="68"/>
        <v>25200</v>
      </c>
      <c r="AJ224" s="10">
        <v>25200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32000000</v>
      </c>
      <c r="AV224" s="11">
        <f ca="1">IFERROR(OFFSET(ITEM_RES!$A$1,MATCH(AW224,ITEM_RES!$J:$J,0)-1,0),0)</f>
        <v>211020501</v>
      </c>
      <c r="AW224" s="10" t="s">
        <v>417</v>
      </c>
      <c r="AX224" s="11">
        <v>32000000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1280</v>
      </c>
      <c r="P225" s="56" t="s">
        <v>1375</v>
      </c>
      <c r="Q225" s="16" t="s">
        <v>680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506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1280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1280</v>
      </c>
      <c r="AG225" s="178">
        <f ca="1">AE225</f>
        <v>1280</v>
      </c>
      <c r="AH225" s="76"/>
      <c r="AI225" s="18">
        <f t="shared" si="47"/>
        <v>5</v>
      </c>
      <c r="AJ225" s="17">
        <v>5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211020801</v>
      </c>
      <c r="AR225" s="17" t="s">
        <v>427</v>
      </c>
      <c r="AS225" s="18">
        <v>25</v>
      </c>
      <c r="AT225" s="17"/>
      <c r="AU225" s="18"/>
      <c r="AV225" s="18">
        <f ca="1">IFERROR(OFFSET(ITEM_RES!$A$1,MATCH(AW225,ITEM_RES!$J:$J,0)-1,0),0)</f>
        <v>211020401</v>
      </c>
      <c r="AW225" s="17" t="s">
        <v>416</v>
      </c>
      <c r="AX225" s="18">
        <v>25</v>
      </c>
      <c r="AY225" s="17"/>
      <c r="AZ225" s="18"/>
      <c r="BA225" s="18">
        <f ca="1">IFERROR(OFFSET(ITEM_RES!$A$1,MATCH(BB225,ITEM_RES!$J:$J,0)-1,0),0)</f>
        <v>213010101</v>
      </c>
      <c r="BB225" s="17" t="s">
        <v>442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1280</v>
      </c>
      <c r="P226" s="55" t="s">
        <v>1375</v>
      </c>
      <c r="Q226" s="9" t="s">
        <v>680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506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560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560</v>
      </c>
      <c r="AG226" s="176">
        <f ca="1">AE225+AE226</f>
        <v>1840</v>
      </c>
      <c r="AI226" s="11">
        <f t="shared" si="47"/>
        <v>10</v>
      </c>
      <c r="AJ226" s="10">
        <v>10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211020801</v>
      </c>
      <c r="AR226" s="10" t="s">
        <v>427</v>
      </c>
      <c r="AS226" s="11">
        <v>50</v>
      </c>
      <c r="AV226" s="11">
        <f ca="1">IFERROR(OFFSET(ITEM_RES!$A$1,MATCH(AW226,ITEM_RES!$J:$J,0)-1,0),0)</f>
        <v>211020401</v>
      </c>
      <c r="AW226" s="10" t="s">
        <v>416</v>
      </c>
      <c r="AX226" s="11">
        <v>50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1281</v>
      </c>
      <c r="P227" s="55" t="s">
        <v>1376</v>
      </c>
      <c r="Q227" s="9" t="s">
        <v>680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506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840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840</v>
      </c>
      <c r="AG227" s="176">
        <f t="shared" ref="AG227:AG244" ca="1" si="74">AE226+AE227</f>
        <v>1400</v>
      </c>
      <c r="AI227" s="11">
        <f t="shared" si="47"/>
        <v>30</v>
      </c>
      <c r="AJ227" s="10">
        <v>30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211020801</v>
      </c>
      <c r="AR227" s="10" t="s">
        <v>427</v>
      </c>
      <c r="AS227" s="11">
        <v>75</v>
      </c>
      <c r="AV227" s="11">
        <f ca="1">IFERROR(OFFSET(ITEM_RES!$A$1,MATCH(AW227,ITEM_RES!$J:$J,0)-1,0),0)</f>
        <v>211020401</v>
      </c>
      <c r="AW227" s="10" t="s">
        <v>416</v>
      </c>
      <c r="AX227" s="11">
        <v>75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1281</v>
      </c>
      <c r="P228" s="55" t="s">
        <v>1376</v>
      </c>
      <c r="Q228" s="9" t="s">
        <v>680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506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3325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3325</v>
      </c>
      <c r="AG228" s="176">
        <f t="shared" ca="1" si="74"/>
        <v>4165</v>
      </c>
      <c r="AI228" s="11">
        <f t="shared" si="47"/>
        <v>300</v>
      </c>
      <c r="AJ228" s="10">
        <v>300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211020801</v>
      </c>
      <c r="AR228" s="10" t="s">
        <v>427</v>
      </c>
      <c r="AS228" s="11">
        <v>300</v>
      </c>
      <c r="AV228" s="11">
        <f ca="1">IFERROR(OFFSET(ITEM_RES!$A$1,MATCH(AW228,ITEM_RES!$J:$J,0)-1,0),0)</f>
        <v>211020401</v>
      </c>
      <c r="AW228" s="10" t="s">
        <v>416</v>
      </c>
      <c r="AX228" s="11">
        <v>300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1282</v>
      </c>
      <c r="P229" s="55" t="s">
        <v>1377</v>
      </c>
      <c r="Q229" s="9" t="s">
        <v>680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506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14890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14890</v>
      </c>
      <c r="AG229" s="176">
        <f t="shared" ca="1" si="74"/>
        <v>18215</v>
      </c>
      <c r="AI229" s="11">
        <f t="shared" si="47"/>
        <v>600</v>
      </c>
      <c r="AJ229" s="10">
        <v>600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211020801</v>
      </c>
      <c r="AR229" s="10" t="s">
        <v>427</v>
      </c>
      <c r="AS229" s="11">
        <v>1350</v>
      </c>
      <c r="AV229" s="11">
        <f ca="1">IFERROR(OFFSET(ITEM_RES!$A$1,MATCH(AW229,ITEM_RES!$J:$J,0)-1,0),0)</f>
        <v>211020401</v>
      </c>
      <c r="AW229" s="10" t="s">
        <v>416</v>
      </c>
      <c r="AX229" s="11">
        <v>1350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1282</v>
      </c>
      <c r="P230" s="55" t="s">
        <v>1377</v>
      </c>
      <c r="Q230" s="9" t="s">
        <v>680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506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49550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49550</v>
      </c>
      <c r="AG230" s="176">
        <f t="shared" ca="1" si="74"/>
        <v>64440</v>
      </c>
      <c r="AI230" s="11">
        <f t="shared" si="47"/>
        <v>1200</v>
      </c>
      <c r="AJ230" s="10">
        <v>1200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211020801</v>
      </c>
      <c r="AR230" s="10" t="s">
        <v>427</v>
      </c>
      <c r="AS230" s="11">
        <v>4500</v>
      </c>
      <c r="AV230" s="11">
        <f ca="1">IFERROR(OFFSET(ITEM_RES!$A$1,MATCH(AW230,ITEM_RES!$J:$J,0)-1,0),0)</f>
        <v>211020401</v>
      </c>
      <c r="AW230" s="10" t="s">
        <v>416</v>
      </c>
      <c r="AX230" s="11">
        <v>4500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1283</v>
      </c>
      <c r="P231" s="55" t="s">
        <v>1378</v>
      </c>
      <c r="Q231" s="9" t="s">
        <v>680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506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110100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110100</v>
      </c>
      <c r="AG231" s="176">
        <f t="shared" ca="1" si="74"/>
        <v>159650</v>
      </c>
      <c r="AI231" s="11">
        <f t="shared" si="47"/>
        <v>1800</v>
      </c>
      <c r="AJ231" s="10">
        <v>1800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211020801</v>
      </c>
      <c r="AR231" s="10" t="s">
        <v>427</v>
      </c>
      <c r="AS231" s="11">
        <v>10000</v>
      </c>
      <c r="AV231" s="11">
        <f ca="1">IFERROR(OFFSET(ITEM_RES!$A$1,MATCH(AW231,ITEM_RES!$J:$J,0)-1,0),0)</f>
        <v>211020401</v>
      </c>
      <c r="AW231" s="10" t="s">
        <v>416</v>
      </c>
      <c r="AX231" s="11">
        <v>10000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1283</v>
      </c>
      <c r="P232" s="55" t="s">
        <v>1378</v>
      </c>
      <c r="Q232" s="9" t="s">
        <v>680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506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231100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231100</v>
      </c>
      <c r="AG232" s="176">
        <f t="shared" ca="1" si="74"/>
        <v>341200</v>
      </c>
      <c r="AI232" s="11">
        <f t="shared" si="47"/>
        <v>3600</v>
      </c>
      <c r="AJ232" s="10">
        <v>3600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211020801</v>
      </c>
      <c r="AR232" s="10" t="s">
        <v>427</v>
      </c>
      <c r="AS232" s="11">
        <v>21000</v>
      </c>
      <c r="AV232" s="11">
        <f ca="1">IFERROR(OFFSET(ITEM_RES!$A$1,MATCH(AW232,ITEM_RES!$J:$J,0)-1,0),0)</f>
        <v>211020401</v>
      </c>
      <c r="AW232" s="10" t="s">
        <v>416</v>
      </c>
      <c r="AX232" s="11">
        <v>21000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1285</v>
      </c>
      <c r="P233" s="55" t="s">
        <v>1379</v>
      </c>
      <c r="Q233" s="9" t="s">
        <v>680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506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429150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429150</v>
      </c>
      <c r="AG233" s="176">
        <f t="shared" ca="1" si="74"/>
        <v>660250</v>
      </c>
      <c r="AI233" s="11">
        <f t="shared" si="47"/>
        <v>5400</v>
      </c>
      <c r="AJ233" s="10">
        <v>5400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211020801</v>
      </c>
      <c r="AR233" s="10" t="s">
        <v>427</v>
      </c>
      <c r="AS233" s="11">
        <v>39000</v>
      </c>
      <c r="AV233" s="11">
        <f ca="1">IFERROR(OFFSET(ITEM_RES!$A$1,MATCH(AW233,ITEM_RES!$J:$J,0)-1,0),0)</f>
        <v>211020401</v>
      </c>
      <c r="AW233" s="10" t="s">
        <v>416</v>
      </c>
      <c r="AX233" s="11">
        <v>39000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1286</v>
      </c>
      <c r="P234" s="55" t="s">
        <v>1379</v>
      </c>
      <c r="Q234" s="9" t="s">
        <v>680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506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716200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716200</v>
      </c>
      <c r="AG234" s="176">
        <f t="shared" ca="1" si="74"/>
        <v>1145350</v>
      </c>
      <c r="AI234" s="11">
        <f t="shared" si="47"/>
        <v>7200</v>
      </c>
      <c r="AJ234" s="10">
        <v>7200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211020801</v>
      </c>
      <c r="AR234" s="10" t="s">
        <v>427</v>
      </c>
      <c r="AS234" s="11">
        <v>65000</v>
      </c>
      <c r="AV234" s="11">
        <f ca="1">IFERROR(OFFSET(ITEM_RES!$A$1,MATCH(AW234,ITEM_RES!$J:$J,0)-1,0),0)</f>
        <v>211020401</v>
      </c>
      <c r="AW234" s="10" t="s">
        <v>416</v>
      </c>
      <c r="AX234" s="11">
        <v>65000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493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1284</v>
      </c>
      <c r="P235" s="55" t="s">
        <v>1379</v>
      </c>
      <c r="Q235" s="9" t="s">
        <v>680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506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1430250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1430250</v>
      </c>
      <c r="AG235" s="176">
        <f t="shared" ca="1" si="74"/>
        <v>2146450</v>
      </c>
      <c r="AI235" s="11">
        <f t="shared" si="47"/>
        <v>9000</v>
      </c>
      <c r="AJ235" s="10">
        <v>9000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211020901</v>
      </c>
      <c r="AR235" s="10" t="s">
        <v>436</v>
      </c>
      <c r="AS235" s="11">
        <v>110000</v>
      </c>
      <c r="AV235" s="11">
        <f ca="1">IFERROR(OFFSET(ITEM_RES!$A$1,MATCH(AW235,ITEM_RES!$J:$J,0)-1,0),0)</f>
        <v>211020401</v>
      </c>
      <c r="AW235" s="10" t="s">
        <v>416</v>
      </c>
      <c r="AX235" s="11">
        <v>110000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1284</v>
      </c>
      <c r="P236" s="55" t="s">
        <v>1379</v>
      </c>
      <c r="Q236" s="9" t="s">
        <v>681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506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2405300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2405300</v>
      </c>
      <c r="AG236" s="176">
        <f t="shared" ca="1" si="74"/>
        <v>3835550</v>
      </c>
      <c r="AI236" s="11">
        <f t="shared" si="47"/>
        <v>10800</v>
      </c>
      <c r="AJ236" s="10">
        <v>10800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211020901</v>
      </c>
      <c r="AR236" s="10" t="s">
        <v>436</v>
      </c>
      <c r="AS236" s="11">
        <v>185000</v>
      </c>
      <c r="AV236" s="11">
        <f ca="1">IFERROR(OFFSET(ITEM_RES!$A$1,MATCH(AW236,ITEM_RES!$J:$J,0)-1,0),0)</f>
        <v>211020401</v>
      </c>
      <c r="AW236" s="10" t="s">
        <v>416</v>
      </c>
      <c r="AX236" s="11">
        <v>185000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1284</v>
      </c>
      <c r="P237" s="55" t="s">
        <v>1379</v>
      </c>
      <c r="Q237" s="9" t="s">
        <v>681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506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4030350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4030350</v>
      </c>
      <c r="AG237" s="176">
        <f t="shared" ca="1" si="74"/>
        <v>6435650</v>
      </c>
      <c r="AI237" s="11">
        <f t="shared" ref="AI237:AI284" si="75">ROUND(AJ237,0)</f>
        <v>12600</v>
      </c>
      <c r="AJ237" s="10">
        <v>12600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211020901</v>
      </c>
      <c r="AR237" s="10" t="s">
        <v>436</v>
      </c>
      <c r="AS237" s="11">
        <v>310000</v>
      </c>
      <c r="AV237" s="11">
        <f ca="1">IFERROR(OFFSET(ITEM_RES!$A$1,MATCH(AW237,ITEM_RES!$J:$J,0)-1,0),0)</f>
        <v>211020401</v>
      </c>
      <c r="AW237" s="10" t="s">
        <v>416</v>
      </c>
      <c r="AX237" s="11">
        <v>310000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1284</v>
      </c>
      <c r="P238" s="55" t="s">
        <v>1379</v>
      </c>
      <c r="Q238" s="9" t="s">
        <v>681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506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6305450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6305450</v>
      </c>
      <c r="AG238" s="176">
        <f t="shared" ca="1" si="74"/>
        <v>10335800</v>
      </c>
      <c r="AI238" s="11">
        <f t="shared" si="75"/>
        <v>14400</v>
      </c>
      <c r="AJ238" s="10">
        <v>14400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211020901</v>
      </c>
      <c r="AR238" s="10" t="s">
        <v>436</v>
      </c>
      <c r="AS238" s="11">
        <v>485000</v>
      </c>
      <c r="AV238" s="11">
        <f ca="1">IFERROR(OFFSET(ITEM_RES!$A$1,MATCH(AW238,ITEM_RES!$J:$J,0)-1,0),0)</f>
        <v>211020401</v>
      </c>
      <c r="AW238" s="10" t="s">
        <v>416</v>
      </c>
      <c r="AX238" s="11">
        <v>485000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1284</v>
      </c>
      <c r="P239" s="55" t="s">
        <v>1379</v>
      </c>
      <c r="Q239" s="9" t="s">
        <v>681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506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13650550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13650550</v>
      </c>
      <c r="AG239" s="176">
        <f t="shared" ca="1" si="74"/>
        <v>19956000</v>
      </c>
      <c r="AI239" s="11">
        <f t="shared" si="75"/>
        <v>16200</v>
      </c>
      <c r="AJ239" s="10">
        <v>16200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211020901</v>
      </c>
      <c r="AR239" s="10" t="s">
        <v>436</v>
      </c>
      <c r="AS239" s="11">
        <v>1050000</v>
      </c>
      <c r="AV239" s="11">
        <f ca="1">IFERROR(OFFSET(ITEM_RES!$A$1,MATCH(AW239,ITEM_RES!$J:$J,0)-1,0),0)</f>
        <v>211020401</v>
      </c>
      <c r="AW239" s="10" t="s">
        <v>428</v>
      </c>
      <c r="AX239" s="11">
        <v>1050000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1284</v>
      </c>
      <c r="P240" s="55" t="s">
        <v>1379</v>
      </c>
      <c r="Q240" s="9" t="s">
        <v>681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506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28380700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28380700</v>
      </c>
      <c r="AG240" s="176">
        <f t="shared" ca="1" si="74"/>
        <v>42031250</v>
      </c>
      <c r="AI240" s="11">
        <f t="shared" si="75"/>
        <v>18000</v>
      </c>
      <c r="AJ240" s="10">
        <v>18000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211020901</v>
      </c>
      <c r="AR240" s="10" t="s">
        <v>436</v>
      </c>
      <c r="AS240" s="11">
        <v>2150000</v>
      </c>
      <c r="AV240" s="11">
        <f ca="1">IFERROR(OFFSET(ITEM_RES!$A$1,MATCH(AW240,ITEM_RES!$J:$J,0)-1,0),0)</f>
        <v>211020501</v>
      </c>
      <c r="AW240" s="10" t="s">
        <v>426</v>
      </c>
      <c r="AX240" s="11">
        <v>2150000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1284</v>
      </c>
      <c r="P241" s="55" t="s">
        <v>1379</v>
      </c>
      <c r="Q241" s="9" t="s">
        <v>681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506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52800850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52800850</v>
      </c>
      <c r="AG241" s="176">
        <f t="shared" ca="1" si="74"/>
        <v>81181550</v>
      </c>
      <c r="AI241" s="11">
        <f t="shared" si="75"/>
        <v>19800</v>
      </c>
      <c r="AJ241" s="10">
        <v>19800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211020901</v>
      </c>
      <c r="AR241" s="10" t="s">
        <v>436</v>
      </c>
      <c r="AS241" s="11">
        <v>4000000</v>
      </c>
      <c r="AV241" s="11">
        <f ca="1">IFERROR(OFFSET(ITEM_RES!$A$1,MATCH(AW241,ITEM_RES!$J:$J,0)-1,0),0)</f>
        <v>211020501</v>
      </c>
      <c r="AW241" s="10" t="s">
        <v>417</v>
      </c>
      <c r="AX241" s="11">
        <v>4000000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1284</v>
      </c>
      <c r="P242" s="55" t="s">
        <v>1379</v>
      </c>
      <c r="Q242" s="9" t="s">
        <v>681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506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85801050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85801050</v>
      </c>
      <c r="AG242" s="176">
        <f t="shared" ca="1" si="74"/>
        <v>138601900</v>
      </c>
      <c r="AI242" s="11">
        <f t="shared" si="75"/>
        <v>21600</v>
      </c>
      <c r="AJ242" s="10">
        <v>21600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211020901</v>
      </c>
      <c r="AR242" s="10" t="s">
        <v>436</v>
      </c>
      <c r="AS242" s="11">
        <v>6500000</v>
      </c>
      <c r="AV242" s="11">
        <f ca="1">IFERROR(OFFSET(ITEM_RES!$A$1,MATCH(AW242,ITEM_RES!$J:$J,0)-1,0),0)</f>
        <v>211020501</v>
      </c>
      <c r="AW242" s="10" t="s">
        <v>417</v>
      </c>
      <c r="AX242" s="11">
        <v>6500000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1284</v>
      </c>
      <c r="P243" s="55" t="s">
        <v>1379</v>
      </c>
      <c r="Q243" s="9" t="s">
        <v>681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506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132001250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132001250</v>
      </c>
      <c r="AG243" s="176">
        <f t="shared" ca="1" si="74"/>
        <v>217802300</v>
      </c>
      <c r="AI243" s="11">
        <f t="shared" si="75"/>
        <v>23400</v>
      </c>
      <c r="AJ243" s="10">
        <v>23400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211020901</v>
      </c>
      <c r="AR243" s="10" t="s">
        <v>436</v>
      </c>
      <c r="AS243" s="11">
        <v>10000000</v>
      </c>
      <c r="AV243" s="11">
        <f ca="1">IFERROR(OFFSET(ITEM_RES!$A$1,MATCH(AW243,ITEM_RES!$J:$J,0)-1,0),0)</f>
        <v>211020501</v>
      </c>
      <c r="AW243" s="10" t="s">
        <v>417</v>
      </c>
      <c r="AX243" s="11">
        <v>10000000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1284</v>
      </c>
      <c r="P244" s="55" t="s">
        <v>1379</v>
      </c>
      <c r="Q244" s="9" t="s">
        <v>681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506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211201500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211201500</v>
      </c>
      <c r="AG244" s="176">
        <f t="shared" ca="1" si="74"/>
        <v>343202750</v>
      </c>
      <c r="AI244" s="11">
        <f t="shared" si="75"/>
        <v>25200</v>
      </c>
      <c r="AJ244" s="10">
        <v>25200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211020901</v>
      </c>
      <c r="AR244" s="10" t="s">
        <v>436</v>
      </c>
      <c r="AS244" s="11">
        <v>16000000</v>
      </c>
      <c r="AV244" s="11">
        <f ca="1">IFERROR(OFFSET(ITEM_RES!$A$1,MATCH(AW244,ITEM_RES!$J:$J,0)-1,0),0)</f>
        <v>211020501</v>
      </c>
      <c r="AW244" s="10" t="s">
        <v>417</v>
      </c>
      <c r="AX244" s="11">
        <v>16000000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1114</v>
      </c>
      <c r="P245" s="56" t="s">
        <v>1380</v>
      </c>
      <c r="Q245" s="16" t="s">
        <v>682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507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1505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1505</v>
      </c>
      <c r="AG245" s="178">
        <f ca="1">AE245</f>
        <v>1505</v>
      </c>
      <c r="AH245" s="76"/>
      <c r="AI245" s="18">
        <f t="shared" si="75"/>
        <v>5</v>
      </c>
      <c r="AJ245" s="17">
        <v>5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427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442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1115</v>
      </c>
      <c r="P246" s="55" t="s">
        <v>1380</v>
      </c>
      <c r="Q246" s="9" t="s">
        <v>682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507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1010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1010</v>
      </c>
      <c r="AG246" s="176">
        <f ca="1">AE245+AE246</f>
        <v>2515</v>
      </c>
      <c r="AI246" s="11">
        <f t="shared" si="75"/>
        <v>10</v>
      </c>
      <c r="AJ246" s="10">
        <v>10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427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1116</v>
      </c>
      <c r="P247" s="55" t="s">
        <v>1381</v>
      </c>
      <c r="Q247" s="9" t="s">
        <v>682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507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1515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1515</v>
      </c>
      <c r="AG247" s="176">
        <f t="shared" ref="AG247:AG264" ca="1" si="77">AE246+AE247</f>
        <v>2525</v>
      </c>
      <c r="AI247" s="11">
        <f t="shared" si="75"/>
        <v>30</v>
      </c>
      <c r="AJ247" s="10">
        <v>30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427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1116</v>
      </c>
      <c r="P248" s="55" t="s">
        <v>1381</v>
      </c>
      <c r="Q248" s="9" t="s">
        <v>682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507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6025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6025</v>
      </c>
      <c r="AG248" s="176">
        <f t="shared" ca="1" si="77"/>
        <v>7540</v>
      </c>
      <c r="AI248" s="11">
        <f t="shared" si="75"/>
        <v>300</v>
      </c>
      <c r="AJ248" s="10">
        <v>300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427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1117</v>
      </c>
      <c r="P249" s="55" t="s">
        <v>1382</v>
      </c>
      <c r="Q249" s="9" t="s">
        <v>682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507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27040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27040</v>
      </c>
      <c r="AG249" s="176">
        <f t="shared" ca="1" si="77"/>
        <v>33065</v>
      </c>
      <c r="AI249" s="11">
        <f t="shared" si="75"/>
        <v>600</v>
      </c>
      <c r="AJ249" s="10">
        <v>600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427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1118</v>
      </c>
      <c r="P250" s="55" t="s">
        <v>1382</v>
      </c>
      <c r="Q250" s="9" t="s">
        <v>682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507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90050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90050</v>
      </c>
      <c r="AG250" s="176">
        <f t="shared" ca="1" si="77"/>
        <v>117090</v>
      </c>
      <c r="AI250" s="11">
        <f t="shared" si="75"/>
        <v>1200</v>
      </c>
      <c r="AJ250" s="10">
        <v>1200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427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1119</v>
      </c>
      <c r="P251" s="55" t="s">
        <v>1383</v>
      </c>
      <c r="Q251" s="9" t="s">
        <v>682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507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200100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200100</v>
      </c>
      <c r="AG251" s="176">
        <f t="shared" ca="1" si="77"/>
        <v>290150</v>
      </c>
      <c r="AI251" s="11">
        <f t="shared" si="75"/>
        <v>1800</v>
      </c>
      <c r="AJ251" s="10">
        <v>1800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427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1119</v>
      </c>
      <c r="P252" s="55" t="s">
        <v>1383</v>
      </c>
      <c r="Q252" s="9" t="s">
        <v>682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507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420100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420100</v>
      </c>
      <c r="AG252" s="176">
        <f t="shared" ca="1" si="77"/>
        <v>620200</v>
      </c>
      <c r="AI252" s="11">
        <f t="shared" si="75"/>
        <v>3600</v>
      </c>
      <c r="AJ252" s="10">
        <v>3600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427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1435</v>
      </c>
      <c r="P253" s="55" t="s">
        <v>1437</v>
      </c>
      <c r="Q253" s="9" t="s">
        <v>682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507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780150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780150</v>
      </c>
      <c r="AG253" s="176">
        <f t="shared" ca="1" si="77"/>
        <v>1200250</v>
      </c>
      <c r="AI253" s="11">
        <f t="shared" si="75"/>
        <v>5400</v>
      </c>
      <c r="AJ253" s="10">
        <v>5400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427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1435</v>
      </c>
      <c r="P254" s="55" t="s">
        <v>1437</v>
      </c>
      <c r="Q254" s="9" t="s">
        <v>682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507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1301200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1301200</v>
      </c>
      <c r="AG254" s="176">
        <f t="shared" ca="1" si="77"/>
        <v>2081350</v>
      </c>
      <c r="AI254" s="11">
        <f t="shared" si="75"/>
        <v>7200</v>
      </c>
      <c r="AJ254" s="10">
        <v>7200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427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454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1434</v>
      </c>
      <c r="P255" s="55" t="s">
        <v>1436</v>
      </c>
      <c r="Q255" s="9" t="s">
        <v>682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507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2200750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2200750</v>
      </c>
      <c r="AG255" s="176">
        <f t="shared" ca="1" si="77"/>
        <v>3501950</v>
      </c>
      <c r="AI255" s="11">
        <f t="shared" si="75"/>
        <v>9000</v>
      </c>
      <c r="AJ255" s="10">
        <v>9000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427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1434</v>
      </c>
      <c r="P256" s="55" t="s">
        <v>1436</v>
      </c>
      <c r="Q256" s="9" t="s">
        <v>682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507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3706300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3706300</v>
      </c>
      <c r="AG256" s="176">
        <f t="shared" ca="1" si="77"/>
        <v>5907050</v>
      </c>
      <c r="AI256" s="11">
        <f t="shared" si="75"/>
        <v>10800</v>
      </c>
      <c r="AJ256" s="10">
        <v>10800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427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1434</v>
      </c>
      <c r="P257" s="55" t="s">
        <v>1436</v>
      </c>
      <c r="Q257" s="9" t="s">
        <v>682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507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7479350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7479350</v>
      </c>
      <c r="AG257" s="176">
        <f t="shared" ca="1" si="77"/>
        <v>11185650</v>
      </c>
      <c r="AI257" s="11">
        <f t="shared" si="75"/>
        <v>12600</v>
      </c>
      <c r="AJ257" s="10">
        <v>12600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436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1434</v>
      </c>
      <c r="P258" s="55" t="s">
        <v>1436</v>
      </c>
      <c r="Q258" s="9" t="s">
        <v>682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507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11950450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11950450</v>
      </c>
      <c r="AG258" s="176">
        <f t="shared" ca="1" si="77"/>
        <v>19429800</v>
      </c>
      <c r="AI258" s="11">
        <f t="shared" si="75"/>
        <v>14400</v>
      </c>
      <c r="AJ258" s="10">
        <v>14400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436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1434</v>
      </c>
      <c r="P259" s="55" t="s">
        <v>1436</v>
      </c>
      <c r="Q259" s="9" t="s">
        <v>682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507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25685550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25685550</v>
      </c>
      <c r="AG259" s="176">
        <f t="shared" ca="1" si="77"/>
        <v>37636000</v>
      </c>
      <c r="AI259" s="11">
        <f t="shared" si="75"/>
        <v>16200</v>
      </c>
      <c r="AJ259" s="10">
        <v>16200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436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1434</v>
      </c>
      <c r="P260" s="55" t="s">
        <v>1436</v>
      </c>
      <c r="Q260" s="9" t="s">
        <v>682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507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52650700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52650700</v>
      </c>
      <c r="AG260" s="176">
        <f t="shared" ca="1" si="77"/>
        <v>78336250</v>
      </c>
      <c r="AI260" s="11">
        <f t="shared" si="75"/>
        <v>18000</v>
      </c>
      <c r="AJ260" s="10">
        <v>18000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436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1434</v>
      </c>
      <c r="P261" s="55" t="s">
        <v>1436</v>
      </c>
      <c r="Q261" s="9" t="s">
        <v>682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507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98150850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98150850</v>
      </c>
      <c r="AG261" s="176">
        <f t="shared" ca="1" si="77"/>
        <v>150801550</v>
      </c>
      <c r="AI261" s="11">
        <f t="shared" si="75"/>
        <v>19800</v>
      </c>
      <c r="AJ261" s="10">
        <v>19800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436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1434</v>
      </c>
      <c r="P262" s="55" t="s">
        <v>1436</v>
      </c>
      <c r="Q262" s="9" t="s">
        <v>682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507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160001050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160001050</v>
      </c>
      <c r="AG262" s="176">
        <f t="shared" ca="1" si="77"/>
        <v>258151900</v>
      </c>
      <c r="AI262" s="11">
        <f t="shared" si="75"/>
        <v>21600</v>
      </c>
      <c r="AJ262" s="10">
        <v>21600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436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1434</v>
      </c>
      <c r="P263" s="55" t="s">
        <v>1436</v>
      </c>
      <c r="Q263" s="9" t="s">
        <v>682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507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246501250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246501250</v>
      </c>
      <c r="AG263" s="176">
        <f t="shared" ca="1" si="77"/>
        <v>406502300</v>
      </c>
      <c r="AI263" s="11">
        <f t="shared" si="75"/>
        <v>23400</v>
      </c>
      <c r="AJ263" s="10">
        <v>23400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436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1434</v>
      </c>
      <c r="P264" s="55" t="s">
        <v>1436</v>
      </c>
      <c r="Q264" s="9" t="s">
        <v>682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507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394001500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394001500</v>
      </c>
      <c r="AG264" s="176">
        <f t="shared" ca="1" si="77"/>
        <v>640502750</v>
      </c>
      <c r="AI264" s="11">
        <f t="shared" si="75"/>
        <v>25200</v>
      </c>
      <c r="AJ264" s="10">
        <v>25200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436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683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508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5</v>
      </c>
      <c r="AJ265" s="17">
        <v>5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427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442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683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508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10</v>
      </c>
      <c r="AJ266" s="10">
        <v>10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427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683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508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30</v>
      </c>
      <c r="AJ267" s="10">
        <v>30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427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683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508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300</v>
      </c>
      <c r="AJ268" s="10">
        <v>300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427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683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508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600</v>
      </c>
      <c r="AJ269" s="10">
        <v>600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427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683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508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1200</v>
      </c>
      <c r="AJ270" s="10">
        <v>1200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427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683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508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1800</v>
      </c>
      <c r="AJ271" s="10">
        <v>1800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427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683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508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3600</v>
      </c>
      <c r="AJ272" s="10">
        <v>3600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427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454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683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508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5400</v>
      </c>
      <c r="AJ273" s="10">
        <v>5400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427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683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508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7200</v>
      </c>
      <c r="AJ274" s="10">
        <v>7200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427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683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508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9000</v>
      </c>
      <c r="AJ275" s="10">
        <v>9000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427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683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508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10800</v>
      </c>
      <c r="AJ276" s="10">
        <v>10800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427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683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508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12600</v>
      </c>
      <c r="AJ277" s="10">
        <v>12600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427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683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508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14400</v>
      </c>
      <c r="AJ278" s="10">
        <v>14400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427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683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508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16200</v>
      </c>
      <c r="AJ279" s="10">
        <v>16200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427</v>
      </c>
      <c r="AS279" s="11">
        <v>2100000</v>
      </c>
      <c r="AV279" s="11">
        <f ca="1">IFERROR(OFFSET(ITEM_RES!$A$1,MATCH(AW279,ITEM_RES!$J:$J,0)-1,0),0)</f>
        <v>211020401</v>
      </c>
      <c r="AW279" s="10" t="s">
        <v>428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683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508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18000</v>
      </c>
      <c r="AJ280" s="10">
        <v>18000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427</v>
      </c>
      <c r="AS280" s="11">
        <v>4300000</v>
      </c>
      <c r="AV280" s="11">
        <f ca="1">IFERROR(OFFSET(ITEM_RES!$A$1,MATCH(AW280,ITEM_RES!$J:$J,0)-1,0),0)</f>
        <v>211020401</v>
      </c>
      <c r="AW280" s="10" t="s">
        <v>428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683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508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19800</v>
      </c>
      <c r="AJ281" s="10">
        <v>19800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435</v>
      </c>
      <c r="AS281" s="11">
        <v>8000000</v>
      </c>
      <c r="AV281" s="11">
        <f ca="1">IFERROR(OFFSET(ITEM_RES!$A$1,MATCH(AW281,ITEM_RES!$J:$J,0)-1,0),0)</f>
        <v>211020401</v>
      </c>
      <c r="AW281" s="10" t="s">
        <v>428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683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508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178101050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178101050</v>
      </c>
      <c r="AG282" s="176">
        <f t="shared" ca="1" si="83"/>
        <v>286101900</v>
      </c>
      <c r="AI282" s="11">
        <f t="shared" si="75"/>
        <v>21600</v>
      </c>
      <c r="AJ282" s="10">
        <v>21600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435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683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508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274001250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274001250</v>
      </c>
      <c r="AG283" s="176">
        <f t="shared" ca="1" si="83"/>
        <v>452102300</v>
      </c>
      <c r="AI283" s="11">
        <f t="shared" si="75"/>
        <v>23400</v>
      </c>
      <c r="AJ283" s="10">
        <v>23400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435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683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508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438401500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438401500</v>
      </c>
      <c r="AG284" s="176">
        <f t="shared" ca="1" si="83"/>
        <v>712402750</v>
      </c>
      <c r="AI284" s="11">
        <f t="shared" si="75"/>
        <v>25200</v>
      </c>
      <c r="AJ284" s="10">
        <v>25200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435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1027</v>
      </c>
      <c r="L285" s="16">
        <v>10</v>
      </c>
      <c r="M285" s="16">
        <v>1</v>
      </c>
      <c r="N285" s="16">
        <v>15</v>
      </c>
      <c r="O285" s="137" t="s">
        <v>1033</v>
      </c>
      <c r="P285" s="56" t="s">
        <v>1384</v>
      </c>
      <c r="Q285" s="16" t="s">
        <v>1028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1032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1530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1530</v>
      </c>
      <c r="AG285" s="178">
        <f ca="1">AE285</f>
        <v>1530</v>
      </c>
      <c r="AH285" s="76"/>
      <c r="AI285" s="18">
        <f t="shared" ref="AI285:AI304" si="88">ROUND(AJ285,0)</f>
        <v>5</v>
      </c>
      <c r="AJ285" s="17">
        <v>5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1027</v>
      </c>
      <c r="M286" s="9">
        <v>1</v>
      </c>
      <c r="N286" s="9">
        <v>15</v>
      </c>
      <c r="O286" s="138" t="s">
        <v>1033</v>
      </c>
      <c r="P286" s="55" t="s">
        <v>1384</v>
      </c>
      <c r="Q286" s="9" t="s">
        <v>1028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1031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1060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1060</v>
      </c>
      <c r="AG286" s="176">
        <f ca="1">AE285+AE286</f>
        <v>2590</v>
      </c>
      <c r="AI286" s="11">
        <f t="shared" si="88"/>
        <v>10</v>
      </c>
      <c r="AJ286" s="10">
        <v>10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1027</v>
      </c>
      <c r="M287" s="9">
        <v>1</v>
      </c>
      <c r="N287" s="9">
        <v>15</v>
      </c>
      <c r="O287" s="138" t="s">
        <v>1033</v>
      </c>
      <c r="P287" s="55" t="s">
        <v>1384</v>
      </c>
      <c r="Q287" s="9" t="s">
        <v>1028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1031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1590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1590</v>
      </c>
      <c r="AG287" s="176">
        <f t="shared" ref="AG287:AG304" ca="1" si="92">AE286+AE287</f>
        <v>2650</v>
      </c>
      <c r="AI287" s="11">
        <f t="shared" si="88"/>
        <v>30</v>
      </c>
      <c r="AJ287" s="10">
        <v>30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1027</v>
      </c>
      <c r="M288" s="9">
        <v>1</v>
      </c>
      <c r="N288" s="9">
        <v>15</v>
      </c>
      <c r="O288" s="138" t="s">
        <v>1033</v>
      </c>
      <c r="P288" s="55" t="s">
        <v>1384</v>
      </c>
      <c r="Q288" s="9" t="s">
        <v>1028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1031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6325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6325</v>
      </c>
      <c r="AG288" s="176">
        <f t="shared" ca="1" si="92"/>
        <v>7915</v>
      </c>
      <c r="AI288" s="11">
        <f t="shared" si="88"/>
        <v>300</v>
      </c>
      <c r="AJ288" s="10">
        <v>300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1027</v>
      </c>
      <c r="M289" s="9">
        <v>1</v>
      </c>
      <c r="N289" s="9">
        <v>15</v>
      </c>
      <c r="O289" s="138" t="s">
        <v>1033</v>
      </c>
      <c r="P289" s="55" t="s">
        <v>1384</v>
      </c>
      <c r="Q289" s="9" t="s">
        <v>1028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1031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28390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28390</v>
      </c>
      <c r="AG289" s="176">
        <f t="shared" ca="1" si="92"/>
        <v>34715</v>
      </c>
      <c r="AI289" s="11">
        <f t="shared" si="88"/>
        <v>600</v>
      </c>
      <c r="AJ289" s="10">
        <v>600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1027</v>
      </c>
      <c r="M290" s="9">
        <v>1</v>
      </c>
      <c r="N290" s="9">
        <v>15</v>
      </c>
      <c r="O290" s="138" t="s">
        <v>1033</v>
      </c>
      <c r="P290" s="55" t="s">
        <v>1384</v>
      </c>
      <c r="Q290" s="9" t="s">
        <v>1028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1031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94550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94550</v>
      </c>
      <c r="AG290" s="176">
        <f t="shared" ca="1" si="92"/>
        <v>122940</v>
      </c>
      <c r="AI290" s="11">
        <f t="shared" si="88"/>
        <v>1200</v>
      </c>
      <c r="AJ290" s="10">
        <v>1200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1027</v>
      </c>
      <c r="M291" s="9">
        <v>1</v>
      </c>
      <c r="N291" s="9">
        <v>15</v>
      </c>
      <c r="O291" s="138" t="s">
        <v>1033</v>
      </c>
      <c r="P291" s="55" t="s">
        <v>1384</v>
      </c>
      <c r="Q291" s="9" t="s">
        <v>1028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1031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210100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210100</v>
      </c>
      <c r="AG291" s="176">
        <f t="shared" ca="1" si="92"/>
        <v>304650</v>
      </c>
      <c r="AI291" s="11">
        <f t="shared" si="88"/>
        <v>1800</v>
      </c>
      <c r="AJ291" s="10">
        <v>1800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1027</v>
      </c>
      <c r="M292" s="9">
        <v>1</v>
      </c>
      <c r="N292" s="9">
        <v>15</v>
      </c>
      <c r="O292" s="138" t="s">
        <v>1033</v>
      </c>
      <c r="P292" s="55" t="s">
        <v>1384</v>
      </c>
      <c r="Q292" s="9" t="s">
        <v>1028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1031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442100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442100</v>
      </c>
      <c r="AG292" s="176">
        <f t="shared" ca="1" si="92"/>
        <v>652200</v>
      </c>
      <c r="AI292" s="11">
        <f t="shared" si="88"/>
        <v>3600</v>
      </c>
      <c r="AJ292" s="10">
        <v>3600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446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1027</v>
      </c>
      <c r="M293" s="9">
        <v>1</v>
      </c>
      <c r="N293" s="9">
        <v>15</v>
      </c>
      <c r="O293" s="138" t="s">
        <v>1033</v>
      </c>
      <c r="P293" s="55" t="s">
        <v>1384</v>
      </c>
      <c r="Q293" s="9" t="s">
        <v>1028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1031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819150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819150</v>
      </c>
      <c r="AG293" s="176">
        <f t="shared" ca="1" si="92"/>
        <v>1261250</v>
      </c>
      <c r="AI293" s="11">
        <f t="shared" si="88"/>
        <v>5400</v>
      </c>
      <c r="AJ293" s="10">
        <v>5400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1027</v>
      </c>
      <c r="M294" s="9">
        <v>1</v>
      </c>
      <c r="N294" s="9">
        <v>15</v>
      </c>
      <c r="O294" s="138" t="s">
        <v>1033</v>
      </c>
      <c r="P294" s="55" t="s">
        <v>1384</v>
      </c>
      <c r="Q294" s="9" t="s">
        <v>1028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1031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1365200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1365200</v>
      </c>
      <c r="AG294" s="176">
        <f t="shared" ca="1" si="92"/>
        <v>2184350</v>
      </c>
      <c r="AI294" s="11">
        <f t="shared" si="88"/>
        <v>7200</v>
      </c>
      <c r="AJ294" s="10">
        <v>7200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1027</v>
      </c>
      <c r="M295" s="9">
        <v>1</v>
      </c>
      <c r="N295" s="9">
        <v>15</v>
      </c>
      <c r="O295" s="138" t="s">
        <v>1033</v>
      </c>
      <c r="P295" s="55" t="s">
        <v>1384</v>
      </c>
      <c r="Q295" s="9" t="s">
        <v>1028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1031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2310250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2310250</v>
      </c>
      <c r="AG295" s="176">
        <f t="shared" ca="1" si="92"/>
        <v>3675450</v>
      </c>
      <c r="AI295" s="11">
        <f t="shared" si="88"/>
        <v>9000</v>
      </c>
      <c r="AJ295" s="10">
        <v>9000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1027</v>
      </c>
      <c r="M296" s="9">
        <v>1</v>
      </c>
      <c r="N296" s="9">
        <v>15</v>
      </c>
      <c r="O296" s="138" t="s">
        <v>1033</v>
      </c>
      <c r="P296" s="55" t="s">
        <v>1384</v>
      </c>
      <c r="Q296" s="9" t="s">
        <v>1028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1031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3885300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3885300</v>
      </c>
      <c r="AG296" s="176">
        <f t="shared" ca="1" si="92"/>
        <v>6195550</v>
      </c>
      <c r="AI296" s="11">
        <f t="shared" si="88"/>
        <v>10800</v>
      </c>
      <c r="AJ296" s="10">
        <v>10800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1027</v>
      </c>
      <c r="M297" s="9">
        <v>1</v>
      </c>
      <c r="N297" s="9">
        <v>15</v>
      </c>
      <c r="O297" s="138" t="s">
        <v>1033</v>
      </c>
      <c r="P297" s="55" t="s">
        <v>1384</v>
      </c>
      <c r="Q297" s="9" t="s">
        <v>1028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1031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6510350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6510350</v>
      </c>
      <c r="AG297" s="176">
        <f t="shared" ca="1" si="92"/>
        <v>10395650</v>
      </c>
      <c r="AI297" s="11">
        <f t="shared" si="88"/>
        <v>12600</v>
      </c>
      <c r="AJ297" s="10">
        <v>12600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1027</v>
      </c>
      <c r="M298" s="9">
        <v>1</v>
      </c>
      <c r="N298" s="9">
        <v>15</v>
      </c>
      <c r="O298" s="138" t="s">
        <v>1033</v>
      </c>
      <c r="P298" s="55" t="s">
        <v>1384</v>
      </c>
      <c r="Q298" s="9" t="s">
        <v>1028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1031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10185450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10185450</v>
      </c>
      <c r="AG298" s="176">
        <f t="shared" ca="1" si="92"/>
        <v>16695800</v>
      </c>
      <c r="AI298" s="11">
        <f t="shared" si="88"/>
        <v>14400</v>
      </c>
      <c r="AJ298" s="10">
        <v>14400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1027</v>
      </c>
      <c r="M299" s="9">
        <v>1</v>
      </c>
      <c r="N299" s="9">
        <v>15</v>
      </c>
      <c r="O299" s="138" t="s">
        <v>1033</v>
      </c>
      <c r="P299" s="55" t="s">
        <v>1384</v>
      </c>
      <c r="Q299" s="9" t="s">
        <v>1028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1031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22050550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22050550</v>
      </c>
      <c r="AG299" s="176">
        <f t="shared" ca="1" si="92"/>
        <v>32236000</v>
      </c>
      <c r="AI299" s="11">
        <f t="shared" si="88"/>
        <v>16200</v>
      </c>
      <c r="AJ299" s="10">
        <v>16200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1027</v>
      </c>
      <c r="M300" s="9">
        <v>0</v>
      </c>
      <c r="N300" s="9">
        <v>15</v>
      </c>
      <c r="O300" s="138" t="s">
        <v>1033</v>
      </c>
      <c r="P300" s="55" t="s">
        <v>1384</v>
      </c>
      <c r="Q300" s="9" t="s">
        <v>1028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1031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45150700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45150700</v>
      </c>
      <c r="AG300" s="176">
        <f t="shared" ca="1" si="92"/>
        <v>67201250</v>
      </c>
      <c r="AI300" s="11">
        <f t="shared" si="88"/>
        <v>18000</v>
      </c>
      <c r="AJ300" s="10">
        <v>18000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1027</v>
      </c>
      <c r="M301" s="9">
        <v>0</v>
      </c>
      <c r="N301" s="9">
        <v>15</v>
      </c>
      <c r="O301" s="138" t="s">
        <v>1033</v>
      </c>
      <c r="P301" s="55" t="s">
        <v>1384</v>
      </c>
      <c r="Q301" s="9" t="s">
        <v>1028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1031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100000850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100000850</v>
      </c>
      <c r="AG301" s="176">
        <f t="shared" ca="1" si="92"/>
        <v>145151550</v>
      </c>
      <c r="AI301" s="11">
        <f t="shared" si="88"/>
        <v>19800</v>
      </c>
      <c r="AJ301" s="10">
        <v>19800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1027</v>
      </c>
      <c r="M302" s="9">
        <v>0</v>
      </c>
      <c r="N302" s="9">
        <v>15</v>
      </c>
      <c r="O302" s="138" t="s">
        <v>1033</v>
      </c>
      <c r="P302" s="55" t="s">
        <v>1384</v>
      </c>
      <c r="Q302" s="9" t="s">
        <v>1028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1031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162501050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162501050</v>
      </c>
      <c r="AG302" s="176">
        <f t="shared" ca="1" si="92"/>
        <v>262501900</v>
      </c>
      <c r="AI302" s="11">
        <f t="shared" si="88"/>
        <v>21600</v>
      </c>
      <c r="AJ302" s="10">
        <v>21600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1027</v>
      </c>
      <c r="M303" s="9">
        <v>0</v>
      </c>
      <c r="N303" s="9">
        <v>15</v>
      </c>
      <c r="O303" s="138" t="s">
        <v>1033</v>
      </c>
      <c r="P303" s="55" t="s">
        <v>1384</v>
      </c>
      <c r="Q303" s="9" t="s">
        <v>1028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1031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250001250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250001250</v>
      </c>
      <c r="AG303" s="176">
        <f t="shared" ca="1" si="92"/>
        <v>412502300</v>
      </c>
      <c r="AI303" s="11">
        <f t="shared" si="88"/>
        <v>23400</v>
      </c>
      <c r="AJ303" s="10">
        <v>23400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1027</v>
      </c>
      <c r="M304" s="9">
        <v>0</v>
      </c>
      <c r="N304" s="9">
        <v>15</v>
      </c>
      <c r="O304" s="138" t="s">
        <v>1033</v>
      </c>
      <c r="P304" s="55" t="s">
        <v>1384</v>
      </c>
      <c r="Q304" s="9" t="s">
        <v>1028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1031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400001500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400001500</v>
      </c>
      <c r="AG304" s="176">
        <f t="shared" ca="1" si="92"/>
        <v>650002750</v>
      </c>
      <c r="AI304" s="11">
        <f t="shared" si="88"/>
        <v>25200</v>
      </c>
      <c r="AJ304" s="10">
        <v>25200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893</v>
      </c>
      <c r="L305" s="16">
        <v>4</v>
      </c>
      <c r="M305" s="16">
        <v>1</v>
      </c>
      <c r="N305" s="16">
        <v>15</v>
      </c>
      <c r="O305" s="16" t="s">
        <v>1120</v>
      </c>
      <c r="P305" s="56" t="s">
        <v>1385</v>
      </c>
      <c r="Q305" s="16" t="s">
        <v>684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509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1505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1505</v>
      </c>
      <c r="AG305" s="178">
        <f ca="1">AE305</f>
        <v>1505</v>
      </c>
      <c r="AH305" s="76"/>
      <c r="AI305" s="18">
        <f t="shared" ref="AI305:AI364" si="94">ROUND(AJ305,0)</f>
        <v>5</v>
      </c>
      <c r="AJ305" s="17">
        <v>5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427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442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893</v>
      </c>
      <c r="M306" s="9">
        <v>1</v>
      </c>
      <c r="N306" s="9">
        <v>15</v>
      </c>
      <c r="O306" s="9" t="s">
        <v>1121</v>
      </c>
      <c r="P306" s="55" t="s">
        <v>1385</v>
      </c>
      <c r="Q306" s="9" t="s">
        <v>684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509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1010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1010</v>
      </c>
      <c r="AG306" s="176">
        <f ca="1">AE305+AE306</f>
        <v>2515</v>
      </c>
      <c r="AI306" s="11">
        <f t="shared" si="94"/>
        <v>10</v>
      </c>
      <c r="AJ306" s="10">
        <v>10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427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893</v>
      </c>
      <c r="M307" s="9">
        <v>1</v>
      </c>
      <c r="N307" s="9">
        <v>15</v>
      </c>
      <c r="O307" s="9" t="s">
        <v>1122</v>
      </c>
      <c r="P307" s="55" t="s">
        <v>1386</v>
      </c>
      <c r="Q307" s="9" t="s">
        <v>684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509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1515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1515</v>
      </c>
      <c r="AG307" s="176">
        <f t="shared" ref="AG307:AG324" ca="1" si="96">AE306+AE307</f>
        <v>2525</v>
      </c>
      <c r="AI307" s="11">
        <f t="shared" si="94"/>
        <v>30</v>
      </c>
      <c r="AJ307" s="10">
        <v>30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427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893</v>
      </c>
      <c r="M308" s="9">
        <v>1</v>
      </c>
      <c r="N308" s="9">
        <v>15</v>
      </c>
      <c r="O308" s="9" t="s">
        <v>1123</v>
      </c>
      <c r="P308" s="55" t="s">
        <v>1386</v>
      </c>
      <c r="Q308" s="9" t="s">
        <v>684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509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6025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6025</v>
      </c>
      <c r="AG308" s="176">
        <f t="shared" ca="1" si="96"/>
        <v>7540</v>
      </c>
      <c r="AI308" s="11">
        <f t="shared" si="94"/>
        <v>300</v>
      </c>
      <c r="AJ308" s="10">
        <v>300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427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893</v>
      </c>
      <c r="M309" s="9">
        <v>1</v>
      </c>
      <c r="N309" s="9">
        <v>15</v>
      </c>
      <c r="O309" s="9" t="s">
        <v>1124</v>
      </c>
      <c r="P309" s="55" t="s">
        <v>1387</v>
      </c>
      <c r="Q309" s="9" t="s">
        <v>684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509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27040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27040</v>
      </c>
      <c r="AG309" s="176">
        <f t="shared" ca="1" si="96"/>
        <v>33065</v>
      </c>
      <c r="AI309" s="11">
        <f t="shared" si="94"/>
        <v>600</v>
      </c>
      <c r="AJ309" s="10">
        <v>600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427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893</v>
      </c>
      <c r="M310" s="9">
        <v>1</v>
      </c>
      <c r="N310" s="9">
        <v>15</v>
      </c>
      <c r="O310" s="9" t="s">
        <v>1125</v>
      </c>
      <c r="P310" s="55" t="s">
        <v>1387</v>
      </c>
      <c r="Q310" s="9" t="s">
        <v>684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509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90050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90050</v>
      </c>
      <c r="AG310" s="176">
        <f t="shared" ca="1" si="96"/>
        <v>117090</v>
      </c>
      <c r="AI310" s="11">
        <f t="shared" si="94"/>
        <v>1200</v>
      </c>
      <c r="AJ310" s="10">
        <v>1200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427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893</v>
      </c>
      <c r="M311" s="9">
        <v>1</v>
      </c>
      <c r="N311" s="9">
        <v>15</v>
      </c>
      <c r="O311" s="9" t="s">
        <v>1126</v>
      </c>
      <c r="P311" s="55" t="s">
        <v>1388</v>
      </c>
      <c r="Q311" s="9" t="s">
        <v>684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509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200100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200100</v>
      </c>
      <c r="AG311" s="176">
        <f t="shared" ca="1" si="96"/>
        <v>290150</v>
      </c>
      <c r="AI311" s="11">
        <f t="shared" si="94"/>
        <v>1800</v>
      </c>
      <c r="AJ311" s="10">
        <v>1800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427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893</v>
      </c>
      <c r="M312" s="9">
        <v>1</v>
      </c>
      <c r="N312" s="9">
        <v>15</v>
      </c>
      <c r="O312" s="9" t="s">
        <v>1126</v>
      </c>
      <c r="P312" s="55" t="s">
        <v>1388</v>
      </c>
      <c r="Q312" s="9" t="s">
        <v>684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509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420100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420100</v>
      </c>
      <c r="AG312" s="176">
        <f t="shared" ca="1" si="96"/>
        <v>620200</v>
      </c>
      <c r="AI312" s="11">
        <f t="shared" si="94"/>
        <v>3600</v>
      </c>
      <c r="AJ312" s="10">
        <v>3600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427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893</v>
      </c>
      <c r="M313" s="9">
        <v>1</v>
      </c>
      <c r="N313" s="9">
        <v>15</v>
      </c>
      <c r="O313" s="9" t="s">
        <v>1439</v>
      </c>
      <c r="P313" s="55" t="s">
        <v>1441</v>
      </c>
      <c r="Q313" s="9" t="s">
        <v>684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509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780150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780150</v>
      </c>
      <c r="AG313" s="176">
        <f t="shared" ca="1" si="96"/>
        <v>1200250</v>
      </c>
      <c r="AI313" s="11">
        <f t="shared" si="94"/>
        <v>5400</v>
      </c>
      <c r="AJ313" s="10">
        <v>5400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427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893</v>
      </c>
      <c r="M314" s="9">
        <v>1</v>
      </c>
      <c r="N314" s="9">
        <v>15</v>
      </c>
      <c r="O314" s="9" t="s">
        <v>1439</v>
      </c>
      <c r="P314" s="55" t="s">
        <v>1441</v>
      </c>
      <c r="Q314" s="9" t="s">
        <v>684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509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1300200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1300200</v>
      </c>
      <c r="AG314" s="176">
        <f t="shared" ca="1" si="96"/>
        <v>2080350</v>
      </c>
      <c r="AI314" s="11">
        <f t="shared" si="94"/>
        <v>7200</v>
      </c>
      <c r="AJ314" s="10">
        <v>7200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427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893</v>
      </c>
      <c r="M315" s="9">
        <v>1</v>
      </c>
      <c r="N315" s="9">
        <v>15</v>
      </c>
      <c r="O315" s="9" t="s">
        <v>1438</v>
      </c>
      <c r="P315" s="55" t="s">
        <v>1440</v>
      </c>
      <c r="Q315" s="9" t="s">
        <v>684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509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2200750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2200750</v>
      </c>
      <c r="AG315" s="176">
        <f t="shared" ca="1" si="96"/>
        <v>3500950</v>
      </c>
      <c r="AI315" s="11">
        <f t="shared" si="94"/>
        <v>9000</v>
      </c>
      <c r="AJ315" s="10">
        <v>9000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427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893</v>
      </c>
      <c r="M316" s="9">
        <v>1</v>
      </c>
      <c r="N316" s="9">
        <v>15</v>
      </c>
      <c r="O316" s="9" t="s">
        <v>1438</v>
      </c>
      <c r="P316" s="55" t="s">
        <v>1440</v>
      </c>
      <c r="Q316" s="9" t="s">
        <v>684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509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3706300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3706300</v>
      </c>
      <c r="AG316" s="176">
        <f t="shared" ca="1" si="96"/>
        <v>5907050</v>
      </c>
      <c r="AI316" s="11">
        <f t="shared" si="94"/>
        <v>10800</v>
      </c>
      <c r="AJ316" s="10">
        <v>10800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427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893</v>
      </c>
      <c r="M317" s="9">
        <v>1</v>
      </c>
      <c r="N317" s="9">
        <v>15</v>
      </c>
      <c r="O317" s="9" t="s">
        <v>1438</v>
      </c>
      <c r="P317" s="55" t="s">
        <v>1440</v>
      </c>
      <c r="Q317" s="9" t="s">
        <v>684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509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6239350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6239350</v>
      </c>
      <c r="AG317" s="176">
        <f t="shared" ca="1" si="96"/>
        <v>9945650</v>
      </c>
      <c r="AI317" s="11">
        <f t="shared" si="94"/>
        <v>12600</v>
      </c>
      <c r="AJ317" s="10">
        <v>12600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427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893</v>
      </c>
      <c r="M318" s="9">
        <v>1</v>
      </c>
      <c r="N318" s="9">
        <v>15</v>
      </c>
      <c r="O318" s="9" t="s">
        <v>1438</v>
      </c>
      <c r="P318" s="55" t="s">
        <v>1440</v>
      </c>
      <c r="Q318" s="9" t="s">
        <v>684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509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10011450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10011450</v>
      </c>
      <c r="AG318" s="176">
        <f t="shared" ca="1" si="96"/>
        <v>16250800</v>
      </c>
      <c r="AI318" s="11">
        <f t="shared" si="94"/>
        <v>14400</v>
      </c>
      <c r="AJ318" s="10">
        <v>14400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427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454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893</v>
      </c>
      <c r="M319" s="9">
        <v>1</v>
      </c>
      <c r="N319" s="9">
        <v>15</v>
      </c>
      <c r="O319" s="9" t="s">
        <v>1438</v>
      </c>
      <c r="P319" s="55" t="s">
        <v>1440</v>
      </c>
      <c r="Q319" s="9" t="s">
        <v>684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509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21485550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21485550</v>
      </c>
      <c r="AG319" s="176">
        <f t="shared" ca="1" si="96"/>
        <v>31497000</v>
      </c>
      <c r="AI319" s="11">
        <f t="shared" si="94"/>
        <v>16200</v>
      </c>
      <c r="AJ319" s="10">
        <v>16200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427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893</v>
      </c>
      <c r="M320" s="9">
        <v>0</v>
      </c>
      <c r="N320" s="9">
        <v>15</v>
      </c>
      <c r="O320" s="9" t="s">
        <v>1438</v>
      </c>
      <c r="P320" s="55" t="s">
        <v>1440</v>
      </c>
      <c r="Q320" s="9" t="s">
        <v>684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509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44050700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44050700</v>
      </c>
      <c r="AG320" s="176">
        <f t="shared" ca="1" si="96"/>
        <v>65536250</v>
      </c>
      <c r="AI320" s="11">
        <f t="shared" si="94"/>
        <v>18000</v>
      </c>
      <c r="AJ320" s="10">
        <v>18000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427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893</v>
      </c>
      <c r="M321" s="9">
        <v>0</v>
      </c>
      <c r="N321" s="9">
        <v>15</v>
      </c>
      <c r="O321" s="9" t="s">
        <v>1438</v>
      </c>
      <c r="P321" s="55" t="s">
        <v>1440</v>
      </c>
      <c r="Q321" s="9" t="s">
        <v>684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509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82150850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82150850</v>
      </c>
      <c r="AG321" s="176">
        <f t="shared" ca="1" si="96"/>
        <v>126201550</v>
      </c>
      <c r="AI321" s="11">
        <f t="shared" si="94"/>
        <v>19800</v>
      </c>
      <c r="AJ321" s="10">
        <v>19800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427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893</v>
      </c>
      <c r="M322" s="9">
        <v>0</v>
      </c>
      <c r="N322" s="9">
        <v>15</v>
      </c>
      <c r="O322" s="9" t="s">
        <v>1438</v>
      </c>
      <c r="P322" s="55" t="s">
        <v>1440</v>
      </c>
      <c r="Q322" s="9" t="s">
        <v>684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509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134001050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134001050</v>
      </c>
      <c r="AG322" s="176">
        <f t="shared" ca="1" si="96"/>
        <v>216151900</v>
      </c>
      <c r="AI322" s="11">
        <f t="shared" si="94"/>
        <v>21600</v>
      </c>
      <c r="AJ322" s="10">
        <v>21600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427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893</v>
      </c>
      <c r="M323" s="9">
        <v>0</v>
      </c>
      <c r="N323" s="9">
        <v>15</v>
      </c>
      <c r="O323" s="9" t="s">
        <v>1438</v>
      </c>
      <c r="P323" s="55" t="s">
        <v>1440</v>
      </c>
      <c r="Q323" s="9" t="s">
        <v>684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509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246501250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246501250</v>
      </c>
      <c r="AG323" s="176">
        <f t="shared" ca="1" si="96"/>
        <v>380502300</v>
      </c>
      <c r="AI323" s="11">
        <f t="shared" si="94"/>
        <v>23400</v>
      </c>
      <c r="AJ323" s="10">
        <v>23400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435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893</v>
      </c>
      <c r="M324" s="9">
        <v>0</v>
      </c>
      <c r="N324" s="9">
        <v>15</v>
      </c>
      <c r="O324" s="9" t="s">
        <v>1438</v>
      </c>
      <c r="P324" s="55" t="s">
        <v>1440</v>
      </c>
      <c r="Q324" s="9" t="s">
        <v>684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509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394001500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394001500</v>
      </c>
      <c r="AG324" s="176">
        <f t="shared" ca="1" si="96"/>
        <v>640502750</v>
      </c>
      <c r="AI324" s="11">
        <f t="shared" si="94"/>
        <v>25200</v>
      </c>
      <c r="AJ324" s="10">
        <v>25200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435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744</v>
      </c>
      <c r="P325" s="56" t="s">
        <v>1389</v>
      </c>
      <c r="Q325" s="16" t="s">
        <v>685</v>
      </c>
      <c r="R325" s="76"/>
      <c r="S325" s="83" t="s">
        <v>538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533</v>
      </c>
      <c r="W325" s="18">
        <f ca="1">IFERROR(OFFSET(ITEM_RES!$A$5,MATCH(BUILDING!V325,ITEM_RES!$J$5:$J$229,0)-1,0),0)</f>
        <v>211020701</v>
      </c>
      <c r="X325" s="76"/>
      <c r="Y325" s="16" t="s">
        <v>510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1605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1605</v>
      </c>
      <c r="AG325" s="178">
        <f ca="1">AE325</f>
        <v>1605</v>
      </c>
      <c r="AH325" s="76"/>
      <c r="AI325" s="18">
        <f t="shared" si="94"/>
        <v>5</v>
      </c>
      <c r="AJ325" s="17">
        <v>5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428</v>
      </c>
      <c r="AS325" s="18">
        <v>50</v>
      </c>
      <c r="AT325" s="17"/>
      <c r="AU325" s="18"/>
      <c r="AV325" s="18">
        <f ca="1">IFERROR(OFFSET(ITEM_RES!$A$1,MATCH(AW325,ITEM_RES!$J:$J,0)-1,0),0)</f>
        <v>211020801</v>
      </c>
      <c r="AW325" s="17" t="s">
        <v>427</v>
      </c>
      <c r="AX325" s="18">
        <v>50</v>
      </c>
      <c r="AY325" s="17"/>
      <c r="AZ325" s="18"/>
      <c r="BA325" s="18">
        <f ca="1">IFERROR(OFFSET(ITEM_RES!$A$1,MATCH(BB325,ITEM_RES!$J:$J,0)-1,0),0)</f>
        <v>213010101</v>
      </c>
      <c r="BB325" s="17" t="s">
        <v>442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744</v>
      </c>
      <c r="P326" s="55" t="s">
        <v>1389</v>
      </c>
      <c r="Q326" s="9" t="s">
        <v>685</v>
      </c>
      <c r="S326" s="81" t="s">
        <v>538</v>
      </c>
      <c r="T326" s="9">
        <f ca="1">IFERROR(OFFSET(ITEM_RES!$A$5,MATCH(BUILDING!S326,ITEM_RES!$J$5:$J$229,0)-1,0),0)</f>
        <v>211020601</v>
      </c>
      <c r="U326" s="11">
        <v>2</v>
      </c>
      <c r="V326" s="81" t="s">
        <v>533</v>
      </c>
      <c r="W326" s="11">
        <f ca="1">IFERROR(OFFSET(ITEM_RES!$A$5,MATCH(BUILDING!V326,ITEM_RES!$J$5:$J$229,0)-1,0),0)</f>
        <v>211020701</v>
      </c>
      <c r="Y326" s="9" t="s">
        <v>510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1210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1210</v>
      </c>
      <c r="AG326" s="176">
        <f ca="1">AE325+AE326</f>
        <v>2815</v>
      </c>
      <c r="AI326" s="11">
        <f t="shared" si="94"/>
        <v>10</v>
      </c>
      <c r="AJ326" s="10">
        <v>10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428</v>
      </c>
      <c r="AS326" s="11">
        <v>100</v>
      </c>
      <c r="AV326" s="11">
        <f ca="1">IFERROR(OFFSET(ITEM_RES!$A$1,MATCH(AW326,ITEM_RES!$J:$J,0)-1,0),0)</f>
        <v>211020801</v>
      </c>
      <c r="AW326" s="10" t="s">
        <v>427</v>
      </c>
      <c r="AX326" s="11">
        <v>100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744</v>
      </c>
      <c r="P327" s="55" t="s">
        <v>1389</v>
      </c>
      <c r="Q327" s="9" t="s">
        <v>685</v>
      </c>
      <c r="S327" s="81" t="s">
        <v>538</v>
      </c>
      <c r="T327" s="9">
        <f ca="1">IFERROR(OFFSET(ITEM_RES!$A$5,MATCH(BUILDING!S327,ITEM_RES!$J$5:$J$229,0)-1,0),0)</f>
        <v>211020601</v>
      </c>
      <c r="U327" s="11">
        <v>2</v>
      </c>
      <c r="V327" s="81" t="s">
        <v>533</v>
      </c>
      <c r="W327" s="11">
        <f ca="1">IFERROR(OFFSET(ITEM_RES!$A$5,MATCH(BUILDING!V327,ITEM_RES!$J$5:$J$229,0)-1,0),0)</f>
        <v>211020701</v>
      </c>
      <c r="Y327" s="9" t="s">
        <v>510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1815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1815</v>
      </c>
      <c r="AG327" s="176">
        <f t="shared" ref="AG327:AG344" ca="1" si="101">AE326+AE327</f>
        <v>3025</v>
      </c>
      <c r="AI327" s="11">
        <f t="shared" si="94"/>
        <v>30</v>
      </c>
      <c r="AJ327" s="10">
        <v>30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428</v>
      </c>
      <c r="AS327" s="11">
        <v>150</v>
      </c>
      <c r="AV327" s="11">
        <f ca="1">IFERROR(OFFSET(ITEM_RES!$A$1,MATCH(AW327,ITEM_RES!$J:$J,0)-1,0),0)</f>
        <v>211020801</v>
      </c>
      <c r="AW327" s="10" t="s">
        <v>427</v>
      </c>
      <c r="AX327" s="11">
        <v>150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744</v>
      </c>
      <c r="P328" s="55" t="s">
        <v>1389</v>
      </c>
      <c r="Q328" s="9" t="s">
        <v>685</v>
      </c>
      <c r="S328" s="81" t="s">
        <v>538</v>
      </c>
      <c r="T328" s="9">
        <f ca="1">IFERROR(OFFSET(ITEM_RES!$A$5,MATCH(BUILDING!S328,ITEM_RES!$J$5:$J$229,0)-1,0),0)</f>
        <v>211020601</v>
      </c>
      <c r="U328" s="11">
        <v>2</v>
      </c>
      <c r="V328" s="81" t="s">
        <v>533</v>
      </c>
      <c r="W328" s="11">
        <f ca="1">IFERROR(OFFSET(ITEM_RES!$A$5,MATCH(BUILDING!V328,ITEM_RES!$J$5:$J$229,0)-1,0),0)</f>
        <v>211020701</v>
      </c>
      <c r="Y328" s="9" t="s">
        <v>510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7225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7225</v>
      </c>
      <c r="AG328" s="176">
        <f t="shared" ca="1" si="101"/>
        <v>9040</v>
      </c>
      <c r="AI328" s="11">
        <f t="shared" si="94"/>
        <v>300</v>
      </c>
      <c r="AJ328" s="10">
        <v>300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428</v>
      </c>
      <c r="AS328" s="11">
        <v>600</v>
      </c>
      <c r="AV328" s="11">
        <f ca="1">IFERROR(OFFSET(ITEM_RES!$A$1,MATCH(AW328,ITEM_RES!$J:$J,0)-1,0),0)</f>
        <v>211020801</v>
      </c>
      <c r="AW328" s="10" t="s">
        <v>427</v>
      </c>
      <c r="AX328" s="11">
        <v>600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744</v>
      </c>
      <c r="P329" s="55" t="s">
        <v>1389</v>
      </c>
      <c r="Q329" s="9" t="s">
        <v>685</v>
      </c>
      <c r="S329" s="81" t="s">
        <v>538</v>
      </c>
      <c r="T329" s="9">
        <f ca="1">IFERROR(OFFSET(ITEM_RES!$A$5,MATCH(BUILDING!S329,ITEM_RES!$J$5:$J$229,0)-1,0),0)</f>
        <v>211020601</v>
      </c>
      <c r="U329" s="11">
        <v>2</v>
      </c>
      <c r="V329" s="81" t="s">
        <v>533</v>
      </c>
      <c r="W329" s="11">
        <f ca="1">IFERROR(OFFSET(ITEM_RES!$A$5,MATCH(BUILDING!V329,ITEM_RES!$J$5:$J$229,0)-1,0),0)</f>
        <v>211020701</v>
      </c>
      <c r="Y329" s="9" t="s">
        <v>510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32440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32440</v>
      </c>
      <c r="AG329" s="176">
        <f t="shared" ca="1" si="101"/>
        <v>39665</v>
      </c>
      <c r="AI329" s="11">
        <f t="shared" si="94"/>
        <v>600</v>
      </c>
      <c r="AJ329" s="10">
        <v>600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428</v>
      </c>
      <c r="AS329" s="11">
        <v>2700</v>
      </c>
      <c r="AV329" s="11">
        <f ca="1">IFERROR(OFFSET(ITEM_RES!$A$1,MATCH(AW329,ITEM_RES!$J:$J,0)-1,0),0)</f>
        <v>211020801</v>
      </c>
      <c r="AW329" s="10" t="s">
        <v>427</v>
      </c>
      <c r="AX329" s="11">
        <v>2700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744</v>
      </c>
      <c r="P330" s="55" t="s">
        <v>1389</v>
      </c>
      <c r="Q330" s="9" t="s">
        <v>685</v>
      </c>
      <c r="S330" s="81" t="s">
        <v>538</v>
      </c>
      <c r="T330" s="9">
        <f ca="1">IFERROR(OFFSET(ITEM_RES!$A$5,MATCH(BUILDING!S330,ITEM_RES!$J$5:$J$229,0)-1,0),0)</f>
        <v>211020601</v>
      </c>
      <c r="U330" s="11">
        <v>2</v>
      </c>
      <c r="V330" s="81" t="s">
        <v>533</v>
      </c>
      <c r="W330" s="11">
        <f ca="1">IFERROR(OFFSET(ITEM_RES!$A$5,MATCH(BUILDING!V330,ITEM_RES!$J$5:$J$229,0)-1,0),0)</f>
        <v>211020701</v>
      </c>
      <c r="Y330" s="9" t="s">
        <v>510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108050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108050</v>
      </c>
      <c r="AG330" s="176">
        <f t="shared" ca="1" si="101"/>
        <v>140490</v>
      </c>
      <c r="AI330" s="11">
        <f t="shared" si="94"/>
        <v>1200</v>
      </c>
      <c r="AJ330" s="10">
        <v>1200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428</v>
      </c>
      <c r="AS330" s="11">
        <v>9000</v>
      </c>
      <c r="AV330" s="11">
        <f ca="1">IFERROR(OFFSET(ITEM_RES!$A$1,MATCH(AW330,ITEM_RES!$J:$J,0)-1,0),0)</f>
        <v>211020801</v>
      </c>
      <c r="AW330" s="10" t="s">
        <v>427</v>
      </c>
      <c r="AX330" s="11">
        <v>9000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744</v>
      </c>
      <c r="P331" s="55" t="s">
        <v>1389</v>
      </c>
      <c r="Q331" s="9" t="s">
        <v>685</v>
      </c>
      <c r="S331" s="81" t="s">
        <v>538</v>
      </c>
      <c r="T331" s="9">
        <f ca="1">IFERROR(OFFSET(ITEM_RES!$A$5,MATCH(BUILDING!S331,ITEM_RES!$J$5:$J$229,0)-1,0),0)</f>
        <v>211020601</v>
      </c>
      <c r="U331" s="11">
        <v>2</v>
      </c>
      <c r="V331" s="81" t="s">
        <v>533</v>
      </c>
      <c r="W331" s="11">
        <f ca="1">IFERROR(OFFSET(ITEM_RES!$A$5,MATCH(BUILDING!V331,ITEM_RES!$J$5:$J$229,0)-1,0),0)</f>
        <v>211020701</v>
      </c>
      <c r="Y331" s="9" t="s">
        <v>510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240100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240100</v>
      </c>
      <c r="AG331" s="176">
        <f t="shared" ca="1" si="101"/>
        <v>348150</v>
      </c>
      <c r="AI331" s="11">
        <f t="shared" si="94"/>
        <v>1800</v>
      </c>
      <c r="AJ331" s="10">
        <v>1800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428</v>
      </c>
      <c r="AS331" s="11">
        <v>20000</v>
      </c>
      <c r="AV331" s="11">
        <f ca="1">IFERROR(OFFSET(ITEM_RES!$A$1,MATCH(AW331,ITEM_RES!$J:$J,0)-1,0),0)</f>
        <v>211020801</v>
      </c>
      <c r="AW331" s="10" t="s">
        <v>427</v>
      </c>
      <c r="AX331" s="11">
        <v>20000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744</v>
      </c>
      <c r="P332" s="55" t="s">
        <v>1389</v>
      </c>
      <c r="Q332" s="9" t="s">
        <v>685</v>
      </c>
      <c r="S332" s="81" t="s">
        <v>538</v>
      </c>
      <c r="T332" s="9">
        <f ca="1">IFERROR(OFFSET(ITEM_RES!$A$5,MATCH(BUILDING!S332,ITEM_RES!$J$5:$J$229,0)-1,0),0)</f>
        <v>211020601</v>
      </c>
      <c r="U332" s="11">
        <v>2</v>
      </c>
      <c r="V332" s="81" t="s">
        <v>533</v>
      </c>
      <c r="W332" s="11">
        <f ca="1">IFERROR(OFFSET(ITEM_RES!$A$5,MATCH(BUILDING!V332,ITEM_RES!$J$5:$J$229,0)-1,0),0)</f>
        <v>211020701</v>
      </c>
      <c r="Y332" s="9" t="s">
        <v>510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509100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509100</v>
      </c>
      <c r="AG332" s="176">
        <f t="shared" ca="1" si="101"/>
        <v>749200</v>
      </c>
      <c r="AI332" s="11">
        <f t="shared" si="94"/>
        <v>3600</v>
      </c>
      <c r="AJ332" s="10">
        <v>3600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428</v>
      </c>
      <c r="AS332" s="11">
        <v>42000</v>
      </c>
      <c r="AV332" s="11">
        <f ca="1">IFERROR(OFFSET(ITEM_RES!$A$1,MATCH(AW332,ITEM_RES!$J:$J,0)-1,0),0)</f>
        <v>211020801</v>
      </c>
      <c r="AW332" s="10" t="s">
        <v>427</v>
      </c>
      <c r="AX332" s="11">
        <v>42000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455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744</v>
      </c>
      <c r="P333" s="55" t="s">
        <v>1389</v>
      </c>
      <c r="Q333" s="9" t="s">
        <v>685</v>
      </c>
      <c r="S333" s="81" t="s">
        <v>538</v>
      </c>
      <c r="T333" s="9">
        <f ca="1">IFERROR(OFFSET(ITEM_RES!$A$5,MATCH(BUILDING!S333,ITEM_RES!$J$5:$J$229,0)-1,0),0)</f>
        <v>211020601</v>
      </c>
      <c r="U333" s="11">
        <v>2</v>
      </c>
      <c r="V333" s="81" t="s">
        <v>533</v>
      </c>
      <c r="W333" s="11">
        <f ca="1">IFERROR(OFFSET(ITEM_RES!$A$5,MATCH(BUILDING!V333,ITEM_RES!$J$5:$J$229,0)-1,0),0)</f>
        <v>211020701</v>
      </c>
      <c r="Y333" s="9" t="s">
        <v>510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951750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951750</v>
      </c>
      <c r="AG333" s="176">
        <f t="shared" ca="1" si="101"/>
        <v>1460850</v>
      </c>
      <c r="AI333" s="11">
        <f t="shared" si="94"/>
        <v>5400</v>
      </c>
      <c r="AJ333" s="10">
        <v>5400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426</v>
      </c>
      <c r="AS333" s="11">
        <v>78000</v>
      </c>
      <c r="AV333" s="11">
        <f ca="1">IFERROR(OFFSET(ITEM_RES!$A$1,MATCH(AW333,ITEM_RES!$J:$J,0)-1,0),0)</f>
        <v>211020801</v>
      </c>
      <c r="AW333" s="10" t="s">
        <v>427</v>
      </c>
      <c r="AX333" s="11">
        <v>78000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744</v>
      </c>
      <c r="P334" s="55" t="s">
        <v>1389</v>
      </c>
      <c r="Q334" s="9" t="s">
        <v>685</v>
      </c>
      <c r="S334" s="81" t="s">
        <v>538</v>
      </c>
      <c r="T334" s="9">
        <f ca="1">IFERROR(OFFSET(ITEM_RES!$A$5,MATCH(BUILDING!S334,ITEM_RES!$J$5:$J$229,0)-1,0),0)</f>
        <v>211020601</v>
      </c>
      <c r="U334" s="11">
        <v>2</v>
      </c>
      <c r="V334" s="81" t="s">
        <v>533</v>
      </c>
      <c r="W334" s="11">
        <f ca="1">IFERROR(OFFSET(ITEM_RES!$A$5,MATCH(BUILDING!V334,ITEM_RES!$J$5:$J$229,0)-1,0),0)</f>
        <v>211020701</v>
      </c>
      <c r="Y334" s="9" t="s">
        <v>510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1586200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1586200</v>
      </c>
      <c r="AG334" s="176">
        <f t="shared" ca="1" si="101"/>
        <v>2537950</v>
      </c>
      <c r="AI334" s="11">
        <f t="shared" si="94"/>
        <v>7200</v>
      </c>
      <c r="AJ334" s="10">
        <v>7200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426</v>
      </c>
      <c r="AS334" s="11">
        <v>130000</v>
      </c>
      <c r="AV334" s="11">
        <f ca="1">IFERROR(OFFSET(ITEM_RES!$A$1,MATCH(AW334,ITEM_RES!$J:$J,0)-1,0),0)</f>
        <v>211020801</v>
      </c>
      <c r="AW334" s="10" t="s">
        <v>427</v>
      </c>
      <c r="AX334" s="11">
        <v>130000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744</v>
      </c>
      <c r="P335" s="55" t="s">
        <v>1389</v>
      </c>
      <c r="Q335" s="9" t="s">
        <v>685</v>
      </c>
      <c r="S335" s="81" t="s">
        <v>538</v>
      </c>
      <c r="T335" s="9">
        <f ca="1">IFERROR(OFFSET(ITEM_RES!$A$5,MATCH(BUILDING!S335,ITEM_RES!$J$5:$J$229,0)-1,0),0)</f>
        <v>211020601</v>
      </c>
      <c r="U335" s="11">
        <v>2</v>
      </c>
      <c r="V335" s="81" t="s">
        <v>533</v>
      </c>
      <c r="W335" s="11">
        <f ca="1">IFERROR(OFFSET(ITEM_RES!$A$5,MATCH(BUILDING!V335,ITEM_RES!$J$5:$J$229,0)-1,0),0)</f>
        <v>211020701</v>
      </c>
      <c r="Y335" s="9" t="s">
        <v>510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2684250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2684250</v>
      </c>
      <c r="AG335" s="176">
        <f t="shared" ca="1" si="101"/>
        <v>4270450</v>
      </c>
      <c r="AI335" s="11">
        <f t="shared" si="94"/>
        <v>9000</v>
      </c>
      <c r="AJ335" s="10">
        <v>9000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426</v>
      </c>
      <c r="AS335" s="11">
        <v>220000</v>
      </c>
      <c r="AV335" s="11">
        <f ca="1">IFERROR(OFFSET(ITEM_RES!$A$1,MATCH(AW335,ITEM_RES!$J:$J,0)-1,0),0)</f>
        <v>211020801</v>
      </c>
      <c r="AW335" s="10" t="s">
        <v>427</v>
      </c>
      <c r="AX335" s="11">
        <v>220000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744</v>
      </c>
      <c r="P336" s="55" t="s">
        <v>1389</v>
      </c>
      <c r="Q336" s="9" t="s">
        <v>685</v>
      </c>
      <c r="S336" s="81" t="s">
        <v>538</v>
      </c>
      <c r="T336" s="9">
        <f ca="1">IFERROR(OFFSET(ITEM_RES!$A$5,MATCH(BUILDING!S336,ITEM_RES!$J$5:$J$229,0)-1,0),0)</f>
        <v>211020601</v>
      </c>
      <c r="U336" s="11">
        <v>2</v>
      </c>
      <c r="V336" s="81" t="s">
        <v>533</v>
      </c>
      <c r="W336" s="11">
        <f ca="1">IFERROR(OFFSET(ITEM_RES!$A$5,MATCH(BUILDING!V336,ITEM_RES!$J$5:$J$229,0)-1,0),0)</f>
        <v>211020701</v>
      </c>
      <c r="Y336" s="9" t="s">
        <v>510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4514300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4514300</v>
      </c>
      <c r="AG336" s="176">
        <f t="shared" ca="1" si="101"/>
        <v>7198550</v>
      </c>
      <c r="AI336" s="11">
        <f t="shared" si="94"/>
        <v>10800</v>
      </c>
      <c r="AJ336" s="10">
        <v>10800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426</v>
      </c>
      <c r="AS336" s="11">
        <v>370000</v>
      </c>
      <c r="AV336" s="11">
        <f ca="1">IFERROR(OFFSET(ITEM_RES!$A$1,MATCH(AW336,ITEM_RES!$J:$J,0)-1,0),0)</f>
        <v>211020801</v>
      </c>
      <c r="AW336" s="10" t="s">
        <v>427</v>
      </c>
      <c r="AX336" s="11">
        <v>370000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744</v>
      </c>
      <c r="P337" s="55" t="s">
        <v>1389</v>
      </c>
      <c r="Q337" s="9" t="s">
        <v>685</v>
      </c>
      <c r="S337" s="81" t="s">
        <v>538</v>
      </c>
      <c r="T337" s="9">
        <f ca="1">IFERROR(OFFSET(ITEM_RES!$A$5,MATCH(BUILDING!S337,ITEM_RES!$J$5:$J$229,0)-1,0),0)</f>
        <v>211020601</v>
      </c>
      <c r="U337" s="11">
        <v>2</v>
      </c>
      <c r="V337" s="81" t="s">
        <v>533</v>
      </c>
      <c r="W337" s="11">
        <f ca="1">IFERROR(OFFSET(ITEM_RES!$A$5,MATCH(BUILDING!V337,ITEM_RES!$J$5:$J$229,0)-1,0),0)</f>
        <v>211020701</v>
      </c>
      <c r="Y337" s="9" t="s">
        <v>510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7564350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7564350</v>
      </c>
      <c r="AG337" s="176">
        <f t="shared" ca="1" si="101"/>
        <v>12078650</v>
      </c>
      <c r="AI337" s="11">
        <f t="shared" si="94"/>
        <v>12600</v>
      </c>
      <c r="AJ337" s="10">
        <v>12600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426</v>
      </c>
      <c r="AS337" s="11">
        <v>620000</v>
      </c>
      <c r="AV337" s="11">
        <f ca="1">IFERROR(OFFSET(ITEM_RES!$A$1,MATCH(AW337,ITEM_RES!$J:$J,0)-1,0),0)</f>
        <v>211020801</v>
      </c>
      <c r="AW337" s="10" t="s">
        <v>427</v>
      </c>
      <c r="AX337" s="11">
        <v>620000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744</v>
      </c>
      <c r="P338" s="55" t="s">
        <v>1389</v>
      </c>
      <c r="Q338" s="9" t="s">
        <v>685</v>
      </c>
      <c r="S338" s="81" t="s">
        <v>538</v>
      </c>
      <c r="T338" s="9">
        <f ca="1">IFERROR(OFFSET(ITEM_RES!$A$5,MATCH(BUILDING!S338,ITEM_RES!$J$5:$J$229,0)-1,0),0)</f>
        <v>211020601</v>
      </c>
      <c r="U338" s="11">
        <v>2</v>
      </c>
      <c r="V338" s="81" t="s">
        <v>533</v>
      </c>
      <c r="W338" s="11">
        <f ca="1">IFERROR(OFFSET(ITEM_RES!$A$5,MATCH(BUILDING!V338,ITEM_RES!$J$5:$J$229,0)-1,0),0)</f>
        <v>211020701</v>
      </c>
      <c r="Y338" s="9" t="s">
        <v>510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11834450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11834450</v>
      </c>
      <c r="AG338" s="176">
        <f t="shared" ca="1" si="101"/>
        <v>19398800</v>
      </c>
      <c r="AI338" s="11">
        <f t="shared" si="94"/>
        <v>14400</v>
      </c>
      <c r="AJ338" s="10">
        <v>14400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426</v>
      </c>
      <c r="AS338" s="11">
        <v>970000</v>
      </c>
      <c r="AV338" s="11">
        <f ca="1">IFERROR(OFFSET(ITEM_RES!$A$1,MATCH(AW338,ITEM_RES!$J:$J,0)-1,0),0)</f>
        <v>211020801</v>
      </c>
      <c r="AW338" s="10" t="s">
        <v>427</v>
      </c>
      <c r="AX338" s="11">
        <v>970000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744</v>
      </c>
      <c r="P339" s="55" t="s">
        <v>1389</v>
      </c>
      <c r="Q339" s="9" t="s">
        <v>685</v>
      </c>
      <c r="S339" s="81" t="s">
        <v>538</v>
      </c>
      <c r="T339" s="9">
        <f ca="1">IFERROR(OFFSET(ITEM_RES!$A$5,MATCH(BUILDING!S339,ITEM_RES!$J$5:$J$229,0)-1,0),0)</f>
        <v>211020601</v>
      </c>
      <c r="U339" s="11">
        <v>2</v>
      </c>
      <c r="V339" s="81" t="s">
        <v>533</v>
      </c>
      <c r="W339" s="11">
        <f ca="1">IFERROR(OFFSET(ITEM_RES!$A$5,MATCH(BUILDING!V339,ITEM_RES!$J$5:$J$229,0)-1,0),0)</f>
        <v>211020701</v>
      </c>
      <c r="Y339" s="9" t="s">
        <v>510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25620550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25620550</v>
      </c>
      <c r="AG339" s="176">
        <f t="shared" ca="1" si="101"/>
        <v>37455000</v>
      </c>
      <c r="AI339" s="11">
        <f t="shared" si="94"/>
        <v>16200</v>
      </c>
      <c r="AJ339" s="10">
        <v>16200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426</v>
      </c>
      <c r="AS339" s="11">
        <v>2100000</v>
      </c>
      <c r="AV339" s="11">
        <f ca="1">IFERROR(OFFSET(ITEM_RES!$A$1,MATCH(AW339,ITEM_RES!$J:$J,0)-1,0),0)</f>
        <v>211020801</v>
      </c>
      <c r="AW339" s="10" t="s">
        <v>427</v>
      </c>
      <c r="AX339" s="11">
        <v>2100000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744</v>
      </c>
      <c r="P340" s="55" t="s">
        <v>1389</v>
      </c>
      <c r="Q340" s="9" t="s">
        <v>685</v>
      </c>
      <c r="S340" s="81" t="s">
        <v>538</v>
      </c>
      <c r="T340" s="9">
        <f ca="1">IFERROR(OFFSET(ITEM_RES!$A$5,MATCH(BUILDING!S340,ITEM_RES!$J$5:$J$229,0)-1,0),0)</f>
        <v>211020601</v>
      </c>
      <c r="U340" s="11">
        <v>2</v>
      </c>
      <c r="V340" s="81" t="s">
        <v>533</v>
      </c>
      <c r="W340" s="11">
        <f ca="1">IFERROR(OFFSET(ITEM_RES!$A$5,MATCH(BUILDING!V340,ITEM_RES!$J$5:$J$229,0)-1,0),0)</f>
        <v>211020701</v>
      </c>
      <c r="Y340" s="9" t="s">
        <v>510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52460700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52460700</v>
      </c>
      <c r="AG340" s="176">
        <f t="shared" ca="1" si="101"/>
        <v>78081250</v>
      </c>
      <c r="AI340" s="11">
        <f t="shared" si="94"/>
        <v>18000</v>
      </c>
      <c r="AJ340" s="10">
        <v>18000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426</v>
      </c>
      <c r="AS340" s="11">
        <v>4300000</v>
      </c>
      <c r="AV340" s="11">
        <f ca="1">IFERROR(OFFSET(ITEM_RES!$A$1,MATCH(AW340,ITEM_RES!$J:$J,0)-1,0),0)</f>
        <v>211020801</v>
      </c>
      <c r="AW340" s="10" t="s">
        <v>427</v>
      </c>
      <c r="AX340" s="11">
        <v>4300000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744</v>
      </c>
      <c r="P341" s="55" t="s">
        <v>1389</v>
      </c>
      <c r="Q341" s="9" t="s">
        <v>685</v>
      </c>
      <c r="S341" s="81" t="s">
        <v>538</v>
      </c>
      <c r="T341" s="9">
        <f ca="1">IFERROR(OFFSET(ITEM_RES!$A$5,MATCH(BUILDING!S341,ITEM_RES!$J$5:$J$229,0)-1,0),0)</f>
        <v>211020601</v>
      </c>
      <c r="U341" s="11">
        <v>2</v>
      </c>
      <c r="V341" s="81" t="s">
        <v>533</v>
      </c>
      <c r="W341" s="11">
        <f ca="1">IFERROR(OFFSET(ITEM_RES!$A$5,MATCH(BUILDING!V341,ITEM_RES!$J$5:$J$229,0)-1,0),0)</f>
        <v>211020701</v>
      </c>
      <c r="Y341" s="9" t="s">
        <v>510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97600850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97600850</v>
      </c>
      <c r="AG341" s="176">
        <f t="shared" ca="1" si="101"/>
        <v>150061550</v>
      </c>
      <c r="AI341" s="11">
        <f t="shared" si="94"/>
        <v>19800</v>
      </c>
      <c r="AJ341" s="10">
        <v>19800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426</v>
      </c>
      <c r="AS341" s="11">
        <v>8000000</v>
      </c>
      <c r="AV341" s="11">
        <f ca="1">IFERROR(OFFSET(ITEM_RES!$A$1,MATCH(AW341,ITEM_RES!$J:$J,0)-1,0),0)</f>
        <v>211020801</v>
      </c>
      <c r="AW341" s="10" t="s">
        <v>427</v>
      </c>
      <c r="AX341" s="11">
        <v>8000000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744</v>
      </c>
      <c r="P342" s="55" t="s">
        <v>1389</v>
      </c>
      <c r="Q342" s="9" t="s">
        <v>685</v>
      </c>
      <c r="S342" s="81" t="s">
        <v>538</v>
      </c>
      <c r="T342" s="9">
        <f ca="1">IFERROR(OFFSET(ITEM_RES!$A$5,MATCH(BUILDING!S342,ITEM_RES!$J$5:$J$229,0)-1,0),0)</f>
        <v>211020601</v>
      </c>
      <c r="U342" s="11">
        <v>2</v>
      </c>
      <c r="V342" s="81" t="s">
        <v>533</v>
      </c>
      <c r="W342" s="11">
        <f ca="1">IFERROR(OFFSET(ITEM_RES!$A$5,MATCH(BUILDING!V342,ITEM_RES!$J$5:$J$229,0)-1,0),0)</f>
        <v>211020701</v>
      </c>
      <c r="Y342" s="9" t="s">
        <v>510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158601050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158601050</v>
      </c>
      <c r="AG342" s="176">
        <f t="shared" ca="1" si="101"/>
        <v>256201900</v>
      </c>
      <c r="AI342" s="11">
        <f t="shared" si="94"/>
        <v>21600</v>
      </c>
      <c r="AJ342" s="10">
        <v>21600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426</v>
      </c>
      <c r="AS342" s="11">
        <v>13000000</v>
      </c>
      <c r="AV342" s="11">
        <f ca="1">IFERROR(OFFSET(ITEM_RES!$A$1,MATCH(AW342,ITEM_RES!$J:$J,0)-1,0),0)</f>
        <v>211020801</v>
      </c>
      <c r="AW342" s="10" t="s">
        <v>427</v>
      </c>
      <c r="AX342" s="11">
        <v>13000000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744</v>
      </c>
      <c r="P343" s="55" t="s">
        <v>1389</v>
      </c>
      <c r="Q343" s="9" t="s">
        <v>685</v>
      </c>
      <c r="S343" s="81" t="s">
        <v>538</v>
      </c>
      <c r="T343" s="9">
        <f ca="1">IFERROR(OFFSET(ITEM_RES!$A$5,MATCH(BUILDING!S343,ITEM_RES!$J$5:$J$229,0)-1,0),0)</f>
        <v>211020601</v>
      </c>
      <c r="U343" s="11">
        <v>2</v>
      </c>
      <c r="V343" s="81" t="s">
        <v>533</v>
      </c>
      <c r="W343" s="11">
        <f ca="1">IFERROR(OFFSET(ITEM_RES!$A$5,MATCH(BUILDING!V343,ITEM_RES!$J$5:$J$229,0)-1,0),0)</f>
        <v>211020701</v>
      </c>
      <c r="Y343" s="9" t="s">
        <v>510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244001250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244001250</v>
      </c>
      <c r="AG343" s="176">
        <f t="shared" ca="1" si="101"/>
        <v>402602300</v>
      </c>
      <c r="AI343" s="11">
        <f t="shared" si="94"/>
        <v>23400</v>
      </c>
      <c r="AJ343" s="10">
        <v>23400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426</v>
      </c>
      <c r="AS343" s="11">
        <v>20000000</v>
      </c>
      <c r="AV343" s="11">
        <f ca="1">IFERROR(OFFSET(ITEM_RES!$A$1,MATCH(AW343,ITEM_RES!$J:$J,0)-1,0),0)</f>
        <v>211020801</v>
      </c>
      <c r="AW343" s="10" t="s">
        <v>427</v>
      </c>
      <c r="AX343" s="11">
        <v>20000000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744</v>
      </c>
      <c r="P344" s="55" t="s">
        <v>1389</v>
      </c>
      <c r="Q344" s="9" t="s">
        <v>685</v>
      </c>
      <c r="S344" s="81" t="s">
        <v>538</v>
      </c>
      <c r="T344" s="9">
        <f ca="1">IFERROR(OFFSET(ITEM_RES!$A$5,MATCH(BUILDING!S344,ITEM_RES!$J$5:$J$229,0)-1,0),0)</f>
        <v>211020601</v>
      </c>
      <c r="U344" s="11">
        <v>2</v>
      </c>
      <c r="V344" s="81" t="s">
        <v>533</v>
      </c>
      <c r="W344" s="11">
        <f ca="1">IFERROR(OFFSET(ITEM_RES!$A$5,MATCH(BUILDING!V344,ITEM_RES!$J$5:$J$229,0)-1,0),0)</f>
        <v>211020701</v>
      </c>
      <c r="Y344" s="9" t="s">
        <v>510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390401500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390401500</v>
      </c>
      <c r="AG344" s="176">
        <f t="shared" ca="1" si="101"/>
        <v>634402750</v>
      </c>
      <c r="AI344" s="11">
        <f t="shared" si="94"/>
        <v>25200</v>
      </c>
      <c r="AJ344" s="10">
        <v>25200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426</v>
      </c>
      <c r="AS344" s="11">
        <v>32000000</v>
      </c>
      <c r="AV344" s="11">
        <f ca="1">IFERROR(OFFSET(ITEM_RES!$A$1,MATCH(AW344,ITEM_RES!$J:$J,0)-1,0),0)</f>
        <v>211020801</v>
      </c>
      <c r="AW344" s="10" t="s">
        <v>427</v>
      </c>
      <c r="AX344" s="11">
        <v>32000000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745</v>
      </c>
      <c r="P345" s="56" t="s">
        <v>1390</v>
      </c>
      <c r="Q345" s="16" t="s">
        <v>686</v>
      </c>
      <c r="R345" s="76"/>
      <c r="S345" s="83" t="s">
        <v>539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511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1605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1605</v>
      </c>
      <c r="AG345" s="178">
        <f ca="1">AE345</f>
        <v>1605</v>
      </c>
      <c r="AH345" s="76"/>
      <c r="AI345" s="18">
        <f t="shared" si="94"/>
        <v>5</v>
      </c>
      <c r="AJ345" s="17">
        <v>5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428</v>
      </c>
      <c r="AS345" s="18">
        <v>50</v>
      </c>
      <c r="AT345" s="17"/>
      <c r="AU345" s="18"/>
      <c r="AV345" s="18">
        <f ca="1">IFERROR(OFFSET(ITEM_RES!$A$1,MATCH(AW345,ITEM_RES!$J:$J,0)-1,0),0)</f>
        <v>211020801</v>
      </c>
      <c r="AW345" s="17" t="s">
        <v>427</v>
      </c>
      <c r="AX345" s="18">
        <v>50</v>
      </c>
      <c r="AY345" s="17"/>
      <c r="AZ345" s="18"/>
      <c r="BA345" s="18">
        <f ca="1">IFERROR(OFFSET(ITEM_RES!$A$1,MATCH(BB345,ITEM_RES!$J:$J,0)-1,0),0)</f>
        <v>213010101</v>
      </c>
      <c r="BB345" s="17" t="s">
        <v>442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745</v>
      </c>
      <c r="P346" s="55" t="s">
        <v>1390</v>
      </c>
      <c r="Q346" s="9" t="s">
        <v>686</v>
      </c>
      <c r="S346" s="81" t="s">
        <v>539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511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1210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1210</v>
      </c>
      <c r="AG346" s="176">
        <f ca="1">AE345+AE346</f>
        <v>2815</v>
      </c>
      <c r="AI346" s="11">
        <f t="shared" si="94"/>
        <v>10</v>
      </c>
      <c r="AJ346" s="10">
        <v>10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428</v>
      </c>
      <c r="AS346" s="11">
        <v>100</v>
      </c>
      <c r="AV346" s="11">
        <f ca="1">IFERROR(OFFSET(ITEM_RES!$A$1,MATCH(AW346,ITEM_RES!$J:$J,0)-1,0),0)</f>
        <v>211020801</v>
      </c>
      <c r="AW346" s="10" t="s">
        <v>427</v>
      </c>
      <c r="AX346" s="11">
        <v>100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745</v>
      </c>
      <c r="P347" s="55" t="s">
        <v>1390</v>
      </c>
      <c r="Q347" s="9" t="s">
        <v>686</v>
      </c>
      <c r="S347" s="81" t="s">
        <v>539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511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1815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1815</v>
      </c>
      <c r="AG347" s="176">
        <f t="shared" ref="AG347:AG364" ca="1" si="103">AE346+AE347</f>
        <v>3025</v>
      </c>
      <c r="AI347" s="11">
        <f t="shared" si="94"/>
        <v>30</v>
      </c>
      <c r="AJ347" s="10">
        <v>30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428</v>
      </c>
      <c r="AS347" s="11">
        <v>150</v>
      </c>
      <c r="AV347" s="11">
        <f ca="1">IFERROR(OFFSET(ITEM_RES!$A$1,MATCH(AW347,ITEM_RES!$J:$J,0)-1,0),0)</f>
        <v>211020801</v>
      </c>
      <c r="AW347" s="10" t="s">
        <v>427</v>
      </c>
      <c r="AX347" s="11">
        <v>150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745</v>
      </c>
      <c r="P348" s="55" t="s">
        <v>1390</v>
      </c>
      <c r="Q348" s="9" t="s">
        <v>686</v>
      </c>
      <c r="S348" s="81" t="s">
        <v>539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511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7225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7225</v>
      </c>
      <c r="AG348" s="176">
        <f t="shared" ca="1" si="103"/>
        <v>9040</v>
      </c>
      <c r="AI348" s="11">
        <f t="shared" si="94"/>
        <v>300</v>
      </c>
      <c r="AJ348" s="10">
        <v>300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428</v>
      </c>
      <c r="AS348" s="11">
        <v>600</v>
      </c>
      <c r="AV348" s="11">
        <f ca="1">IFERROR(OFFSET(ITEM_RES!$A$1,MATCH(AW348,ITEM_RES!$J:$J,0)-1,0),0)</f>
        <v>211020801</v>
      </c>
      <c r="AW348" s="10" t="s">
        <v>427</v>
      </c>
      <c r="AX348" s="11">
        <v>600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745</v>
      </c>
      <c r="P349" s="55" t="s">
        <v>1390</v>
      </c>
      <c r="Q349" s="9" t="s">
        <v>686</v>
      </c>
      <c r="S349" s="81" t="s">
        <v>539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511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32440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32440</v>
      </c>
      <c r="AG349" s="176">
        <f t="shared" ca="1" si="103"/>
        <v>39665</v>
      </c>
      <c r="AI349" s="11">
        <f t="shared" si="94"/>
        <v>600</v>
      </c>
      <c r="AJ349" s="10">
        <v>600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428</v>
      </c>
      <c r="AS349" s="11">
        <v>2700</v>
      </c>
      <c r="AV349" s="11">
        <f ca="1">IFERROR(OFFSET(ITEM_RES!$A$1,MATCH(AW349,ITEM_RES!$J:$J,0)-1,0),0)</f>
        <v>211020801</v>
      </c>
      <c r="AW349" s="10" t="s">
        <v>427</v>
      </c>
      <c r="AX349" s="11">
        <v>2700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745</v>
      </c>
      <c r="P350" s="55" t="s">
        <v>1390</v>
      </c>
      <c r="Q350" s="9" t="s">
        <v>686</v>
      </c>
      <c r="S350" s="81" t="s">
        <v>539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511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108050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108050</v>
      </c>
      <c r="AG350" s="176">
        <f t="shared" ca="1" si="103"/>
        <v>140490</v>
      </c>
      <c r="AI350" s="11">
        <f t="shared" si="94"/>
        <v>1200</v>
      </c>
      <c r="AJ350" s="10">
        <v>1200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428</v>
      </c>
      <c r="AS350" s="11">
        <v>9000</v>
      </c>
      <c r="AV350" s="11">
        <f ca="1">IFERROR(OFFSET(ITEM_RES!$A$1,MATCH(AW350,ITEM_RES!$J:$J,0)-1,0),0)</f>
        <v>211020801</v>
      </c>
      <c r="AW350" s="10" t="s">
        <v>427</v>
      </c>
      <c r="AX350" s="11">
        <v>9000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745</v>
      </c>
      <c r="P351" s="55" t="s">
        <v>1390</v>
      </c>
      <c r="Q351" s="9" t="s">
        <v>686</v>
      </c>
      <c r="S351" s="81" t="s">
        <v>539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511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250100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250100</v>
      </c>
      <c r="AG351" s="176">
        <f t="shared" ca="1" si="103"/>
        <v>358150</v>
      </c>
      <c r="AI351" s="11">
        <f t="shared" si="94"/>
        <v>1800</v>
      </c>
      <c r="AJ351" s="10">
        <v>1800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428</v>
      </c>
      <c r="AS351" s="11">
        <v>20000</v>
      </c>
      <c r="AV351" s="11">
        <f ca="1">IFERROR(OFFSET(ITEM_RES!$A$1,MATCH(AW351,ITEM_RES!$J:$J,0)-1,0),0)</f>
        <v>211020801</v>
      </c>
      <c r="AW351" s="10" t="s">
        <v>427</v>
      </c>
      <c r="AX351" s="11">
        <v>20000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456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745</v>
      </c>
      <c r="P352" s="55" t="s">
        <v>1390</v>
      </c>
      <c r="Q352" s="9" t="s">
        <v>686</v>
      </c>
      <c r="S352" s="81" t="s">
        <v>539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511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504100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504100</v>
      </c>
      <c r="AG352" s="176">
        <f t="shared" ca="1" si="103"/>
        <v>754200</v>
      </c>
      <c r="AI352" s="11">
        <f t="shared" si="94"/>
        <v>3600</v>
      </c>
      <c r="AJ352" s="10">
        <v>3600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428</v>
      </c>
      <c r="AS352" s="11">
        <v>42000</v>
      </c>
      <c r="AV352" s="11">
        <f ca="1">IFERROR(OFFSET(ITEM_RES!$A$1,MATCH(AW352,ITEM_RES!$J:$J,0)-1,0),0)</f>
        <v>211020801</v>
      </c>
      <c r="AW352" s="10" t="s">
        <v>427</v>
      </c>
      <c r="AX352" s="11">
        <v>42000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745</v>
      </c>
      <c r="P353" s="55" t="s">
        <v>1390</v>
      </c>
      <c r="Q353" s="9" t="s">
        <v>686</v>
      </c>
      <c r="S353" s="81" t="s">
        <v>539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511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936150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936150</v>
      </c>
      <c r="AG353" s="176">
        <f t="shared" ca="1" si="103"/>
        <v>1440250</v>
      </c>
      <c r="AI353" s="11">
        <f t="shared" si="94"/>
        <v>5400</v>
      </c>
      <c r="AJ353" s="10">
        <v>5400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428</v>
      </c>
      <c r="AS353" s="11">
        <v>78000</v>
      </c>
      <c r="AV353" s="11">
        <f ca="1">IFERROR(OFFSET(ITEM_RES!$A$1,MATCH(AW353,ITEM_RES!$J:$J,0)-1,0),0)</f>
        <v>211020801</v>
      </c>
      <c r="AW353" s="10" t="s">
        <v>427</v>
      </c>
      <c r="AX353" s="11">
        <v>78000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745</v>
      </c>
      <c r="P354" s="55" t="s">
        <v>1390</v>
      </c>
      <c r="Q354" s="9" t="s">
        <v>686</v>
      </c>
      <c r="S354" s="81" t="s">
        <v>539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511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1560200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1560200</v>
      </c>
      <c r="AG354" s="176">
        <f t="shared" ca="1" si="103"/>
        <v>2496350</v>
      </c>
      <c r="AI354" s="11">
        <f t="shared" si="94"/>
        <v>7200</v>
      </c>
      <c r="AJ354" s="10">
        <v>7200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428</v>
      </c>
      <c r="AS354" s="11">
        <v>130000</v>
      </c>
      <c r="AV354" s="11">
        <f ca="1">IFERROR(OFFSET(ITEM_RES!$A$1,MATCH(AW354,ITEM_RES!$J:$J,0)-1,0),0)</f>
        <v>211020801</v>
      </c>
      <c r="AW354" s="10" t="s">
        <v>427</v>
      </c>
      <c r="AX354" s="11">
        <v>130000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745</v>
      </c>
      <c r="P355" s="55" t="s">
        <v>1390</v>
      </c>
      <c r="Q355" s="9" t="s">
        <v>686</v>
      </c>
      <c r="S355" s="81" t="s">
        <v>539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511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2640250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2640250</v>
      </c>
      <c r="AG355" s="176">
        <f t="shared" ca="1" si="103"/>
        <v>4200450</v>
      </c>
      <c r="AI355" s="11">
        <f t="shared" si="94"/>
        <v>9000</v>
      </c>
      <c r="AJ355" s="10">
        <v>9000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428</v>
      </c>
      <c r="AS355" s="11">
        <v>220000</v>
      </c>
      <c r="AV355" s="11">
        <f ca="1">IFERROR(OFFSET(ITEM_RES!$A$1,MATCH(AW355,ITEM_RES!$J:$J,0)-1,0),0)</f>
        <v>211020801</v>
      </c>
      <c r="AW355" s="10" t="s">
        <v>427</v>
      </c>
      <c r="AX355" s="11">
        <v>220000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745</v>
      </c>
      <c r="P356" s="55" t="s">
        <v>1390</v>
      </c>
      <c r="Q356" s="9" t="s">
        <v>686</v>
      </c>
      <c r="S356" s="81" t="s">
        <v>539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511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4514300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4514300</v>
      </c>
      <c r="AG356" s="176">
        <f t="shared" ca="1" si="103"/>
        <v>7154550</v>
      </c>
      <c r="AI356" s="11">
        <f t="shared" si="94"/>
        <v>10800</v>
      </c>
      <c r="AJ356" s="10">
        <v>10800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426</v>
      </c>
      <c r="AS356" s="11">
        <v>370000</v>
      </c>
      <c r="AV356" s="11">
        <f ca="1">IFERROR(OFFSET(ITEM_RES!$A$1,MATCH(AW356,ITEM_RES!$J:$J,0)-1,0),0)</f>
        <v>211020801</v>
      </c>
      <c r="AW356" s="10" t="s">
        <v>427</v>
      </c>
      <c r="AX356" s="11">
        <v>370000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745</v>
      </c>
      <c r="P357" s="55" t="s">
        <v>1390</v>
      </c>
      <c r="Q357" s="9" t="s">
        <v>686</v>
      </c>
      <c r="S357" s="81" t="s">
        <v>539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511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7564350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7564350</v>
      </c>
      <c r="AG357" s="176">
        <f t="shared" ca="1" si="103"/>
        <v>12078650</v>
      </c>
      <c r="AI357" s="11">
        <f t="shared" si="94"/>
        <v>12600</v>
      </c>
      <c r="AJ357" s="10">
        <v>12600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426</v>
      </c>
      <c r="AS357" s="11">
        <v>620000</v>
      </c>
      <c r="AV357" s="11">
        <f ca="1">IFERROR(OFFSET(ITEM_RES!$A$1,MATCH(AW357,ITEM_RES!$J:$J,0)-1,0),0)</f>
        <v>211020801</v>
      </c>
      <c r="AW357" s="10" t="s">
        <v>427</v>
      </c>
      <c r="AX357" s="11">
        <v>620000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745</v>
      </c>
      <c r="P358" s="55" t="s">
        <v>1390</v>
      </c>
      <c r="Q358" s="9" t="s">
        <v>686</v>
      </c>
      <c r="S358" s="81" t="s">
        <v>539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511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11834450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11834450</v>
      </c>
      <c r="AG358" s="176">
        <f t="shared" ca="1" si="103"/>
        <v>19398800</v>
      </c>
      <c r="AI358" s="11">
        <f t="shared" si="94"/>
        <v>14400</v>
      </c>
      <c r="AJ358" s="10">
        <v>14400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426</v>
      </c>
      <c r="AS358" s="11">
        <v>970000</v>
      </c>
      <c r="AV358" s="11">
        <f ca="1">IFERROR(OFFSET(ITEM_RES!$A$1,MATCH(AW358,ITEM_RES!$J:$J,0)-1,0),0)</f>
        <v>211020801</v>
      </c>
      <c r="AW358" s="10" t="s">
        <v>427</v>
      </c>
      <c r="AX358" s="11">
        <v>970000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745</v>
      </c>
      <c r="P359" s="55" t="s">
        <v>1390</v>
      </c>
      <c r="Q359" s="9" t="s">
        <v>686</v>
      </c>
      <c r="S359" s="81" t="s">
        <v>539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511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25620550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25620550</v>
      </c>
      <c r="AG359" s="176">
        <f t="shared" ca="1" si="103"/>
        <v>37455000</v>
      </c>
      <c r="AI359" s="11">
        <f t="shared" si="94"/>
        <v>16200</v>
      </c>
      <c r="AJ359" s="10">
        <v>16200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426</v>
      </c>
      <c r="AS359" s="11">
        <v>2100000</v>
      </c>
      <c r="AV359" s="11">
        <f ca="1">IFERROR(OFFSET(ITEM_RES!$A$1,MATCH(AW359,ITEM_RES!$J:$J,0)-1,0),0)</f>
        <v>211020801</v>
      </c>
      <c r="AW359" s="10" t="s">
        <v>427</v>
      </c>
      <c r="AX359" s="11">
        <v>2100000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745</v>
      </c>
      <c r="P360" s="55" t="s">
        <v>1390</v>
      </c>
      <c r="Q360" s="9" t="s">
        <v>686</v>
      </c>
      <c r="S360" s="81" t="s">
        <v>539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511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52460700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52460700</v>
      </c>
      <c r="AG360" s="176">
        <f t="shared" ca="1" si="103"/>
        <v>78081250</v>
      </c>
      <c r="AI360" s="11">
        <f t="shared" si="94"/>
        <v>18000</v>
      </c>
      <c r="AJ360" s="10">
        <v>18000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426</v>
      </c>
      <c r="AS360" s="11">
        <v>4300000</v>
      </c>
      <c r="AV360" s="11">
        <f ca="1">IFERROR(OFFSET(ITEM_RES!$A$1,MATCH(AW360,ITEM_RES!$J:$J,0)-1,0),0)</f>
        <v>211020801</v>
      </c>
      <c r="AW360" s="10" t="s">
        <v>427</v>
      </c>
      <c r="AX360" s="11">
        <v>4300000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745</v>
      </c>
      <c r="P361" s="55" t="s">
        <v>1390</v>
      </c>
      <c r="Q361" s="9" t="s">
        <v>686</v>
      </c>
      <c r="S361" s="81" t="s">
        <v>539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511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97600850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97600850</v>
      </c>
      <c r="AG361" s="176">
        <f t="shared" ca="1" si="103"/>
        <v>150061550</v>
      </c>
      <c r="AI361" s="11">
        <f t="shared" si="94"/>
        <v>19800</v>
      </c>
      <c r="AJ361" s="10">
        <v>19800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426</v>
      </c>
      <c r="AS361" s="11">
        <v>8000000</v>
      </c>
      <c r="AV361" s="11">
        <f ca="1">IFERROR(OFFSET(ITEM_RES!$A$1,MATCH(AW361,ITEM_RES!$J:$J,0)-1,0),0)</f>
        <v>211020801</v>
      </c>
      <c r="AW361" s="10" t="s">
        <v>427</v>
      </c>
      <c r="AX361" s="11">
        <v>8000000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745</v>
      </c>
      <c r="P362" s="55" t="s">
        <v>1390</v>
      </c>
      <c r="Q362" s="9" t="s">
        <v>686</v>
      </c>
      <c r="S362" s="81" t="s">
        <v>539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511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158601050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158601050</v>
      </c>
      <c r="AG362" s="176">
        <f t="shared" ca="1" si="103"/>
        <v>256201900</v>
      </c>
      <c r="AI362" s="11">
        <f t="shared" si="94"/>
        <v>21600</v>
      </c>
      <c r="AJ362" s="10">
        <v>21600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426</v>
      </c>
      <c r="AS362" s="11">
        <v>13000000</v>
      </c>
      <c r="AV362" s="11">
        <f ca="1">IFERROR(OFFSET(ITEM_RES!$A$1,MATCH(AW362,ITEM_RES!$J:$J,0)-1,0),0)</f>
        <v>211020801</v>
      </c>
      <c r="AW362" s="10" t="s">
        <v>427</v>
      </c>
      <c r="AX362" s="11">
        <v>13000000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745</v>
      </c>
      <c r="P363" s="55" t="s">
        <v>1390</v>
      </c>
      <c r="Q363" s="9" t="s">
        <v>686</v>
      </c>
      <c r="S363" s="81" t="s">
        <v>539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511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244001250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244001250</v>
      </c>
      <c r="AG363" s="176">
        <f t="shared" ca="1" si="103"/>
        <v>402602300</v>
      </c>
      <c r="AI363" s="11">
        <f t="shared" si="94"/>
        <v>23400</v>
      </c>
      <c r="AJ363" s="10">
        <v>23400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426</v>
      </c>
      <c r="AS363" s="11">
        <v>20000000</v>
      </c>
      <c r="AV363" s="11">
        <f ca="1">IFERROR(OFFSET(ITEM_RES!$A$1,MATCH(AW363,ITEM_RES!$J:$J,0)-1,0),0)</f>
        <v>211020801</v>
      </c>
      <c r="AW363" s="10" t="s">
        <v>427</v>
      </c>
      <c r="AX363" s="11">
        <v>20000000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745</v>
      </c>
      <c r="P364" s="55" t="s">
        <v>1390</v>
      </c>
      <c r="Q364" s="9" t="s">
        <v>686</v>
      </c>
      <c r="S364" s="81" t="s">
        <v>539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511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390401500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390401500</v>
      </c>
      <c r="AG364" s="176">
        <f t="shared" ca="1" si="103"/>
        <v>634402750</v>
      </c>
      <c r="AI364" s="11">
        <f t="shared" si="94"/>
        <v>25200</v>
      </c>
      <c r="AJ364" s="10">
        <v>25200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426</v>
      </c>
      <c r="AS364" s="11">
        <v>32000000</v>
      </c>
      <c r="AV364" s="11">
        <f ca="1">IFERROR(OFFSET(ITEM_RES!$A$1,MATCH(AW364,ITEM_RES!$J:$J,0)-1,0),0)</f>
        <v>211020801</v>
      </c>
      <c r="AW364" s="10" t="s">
        <v>427</v>
      </c>
      <c r="AX364" s="11">
        <v>32000000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1127</v>
      </c>
      <c r="P365" s="56" t="s">
        <v>1391</v>
      </c>
      <c r="Q365" s="16" t="s">
        <v>692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534</v>
      </c>
      <c r="W365" s="18">
        <f ca="1">IFERROR(OFFSET(ITEM_RES!$A$5,MATCH(BUILDING!V365,ITEM_RES!$J$5:$J$229,0)-1,0),0)</f>
        <v>211020201</v>
      </c>
      <c r="X365" s="76"/>
      <c r="Y365" s="16" t="s">
        <v>512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1080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1080</v>
      </c>
      <c r="AG365" s="178">
        <f ca="1">AE365</f>
        <v>1080</v>
      </c>
      <c r="AH365" s="76"/>
      <c r="AI365" s="18">
        <f t="shared" ref="AI365:AI408" si="104">ROUND(AJ365,0)</f>
        <v>5</v>
      </c>
      <c r="AJ365" s="17">
        <v>5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3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50</v>
      </c>
      <c r="AT365" s="17"/>
      <c r="AU365" s="18"/>
      <c r="AV365" s="18">
        <f ca="1">IFERROR(OFFSET(ITEM_RES!$A$1,MATCH(AW365,ITEM_RES!$J:$J,0)-1,0),0)</f>
        <v>211020101</v>
      </c>
      <c r="AW365" s="17" t="s">
        <v>438</v>
      </c>
      <c r="AX365" s="18">
        <v>50</v>
      </c>
      <c r="AY365" s="17"/>
      <c r="AZ365" s="18"/>
      <c r="BA365" s="18">
        <f ca="1">IFERROR(OFFSET(ITEM_RES!$A$1,MATCH(BB365,ITEM_RES!$J:$J,0)-1,0),0)</f>
        <v>213010101</v>
      </c>
      <c r="BB365" s="17" t="s">
        <v>442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1128</v>
      </c>
      <c r="P366" s="55" t="s">
        <v>1391</v>
      </c>
      <c r="Q366" s="9" t="s">
        <v>692</v>
      </c>
      <c r="T366" s="9">
        <f ca="1">IFERROR(OFFSET(ITEM_RES!$A$5,MATCH(BUILDING!S366,ITEM_RES!$J$5:$J$229,0)-1,0),0)</f>
        <v>0</v>
      </c>
      <c r="V366" s="81" t="s">
        <v>534</v>
      </c>
      <c r="W366" s="11">
        <f ca="1">IFERROR(OFFSET(ITEM_RES!$A$5,MATCH(BUILDING!V366,ITEM_RES!$J$5:$J$229,0)-1,0),0)</f>
        <v>211020201</v>
      </c>
      <c r="Y366" s="9" t="s">
        <v>512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160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160</v>
      </c>
      <c r="AG366" s="176">
        <f ca="1">AE365+AE366</f>
        <v>1240</v>
      </c>
      <c r="AI366" s="11">
        <f t="shared" si="104"/>
        <v>10</v>
      </c>
      <c r="AJ366" s="10">
        <v>10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2</v>
      </c>
      <c r="AQ366" s="11">
        <f ca="1">IFERROR(OFFSET(ITEM_RES!$A$1,MATCH(AR366,ITEM_RES!$J:$J,0)-1,0),0)</f>
        <v>211010501</v>
      </c>
      <c r="AR366" s="10" t="s">
        <v>420</v>
      </c>
      <c r="AS366" s="11">
        <v>100</v>
      </c>
      <c r="AV366" s="11">
        <f ca="1">IFERROR(OFFSET(ITEM_RES!$A$1,MATCH(AW366,ITEM_RES!$J:$J,0)-1,0),0)</f>
        <v>211020101</v>
      </c>
      <c r="AW366" s="10" t="s">
        <v>438</v>
      </c>
      <c r="AX366" s="11">
        <v>100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1129</v>
      </c>
      <c r="P367" s="55" t="s">
        <v>1392</v>
      </c>
      <c r="Q367" s="9" t="s">
        <v>692</v>
      </c>
      <c r="T367" s="9">
        <f ca="1">IFERROR(OFFSET(ITEM_RES!$A$5,MATCH(BUILDING!S367,ITEM_RES!$J$5:$J$229,0)-1,0),0)</f>
        <v>0</v>
      </c>
      <c r="V367" s="81" t="s">
        <v>534</v>
      </c>
      <c r="W367" s="11">
        <f ca="1">IFERROR(OFFSET(ITEM_RES!$A$5,MATCH(BUILDING!V367,ITEM_RES!$J$5:$J$229,0)-1,0),0)</f>
        <v>211020201</v>
      </c>
      <c r="Y367" s="9" t="s">
        <v>512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240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240</v>
      </c>
      <c r="AG367" s="176">
        <f t="shared" ref="AG367:AG384" ca="1" si="106">AE366+AE367</f>
        <v>400</v>
      </c>
      <c r="AI367" s="11">
        <f t="shared" si="104"/>
        <v>30</v>
      </c>
      <c r="AJ367" s="10">
        <v>30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2</v>
      </c>
      <c r="AQ367" s="11">
        <f ca="1">IFERROR(OFFSET(ITEM_RES!$A$1,MATCH(AR367,ITEM_RES!$J:$J,0)-1,0),0)</f>
        <v>211010501</v>
      </c>
      <c r="AR367" s="10" t="s">
        <v>420</v>
      </c>
      <c r="AS367" s="11">
        <v>150</v>
      </c>
      <c r="AV367" s="11">
        <f ca="1">IFERROR(OFFSET(ITEM_RES!$A$1,MATCH(AW367,ITEM_RES!$J:$J,0)-1,0),0)</f>
        <v>211020101</v>
      </c>
      <c r="AW367" s="10" t="s">
        <v>438</v>
      </c>
      <c r="AX367" s="11">
        <v>150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1130</v>
      </c>
      <c r="P368" s="55" t="s">
        <v>1392</v>
      </c>
      <c r="Q368" s="9" t="s">
        <v>692</v>
      </c>
      <c r="T368" s="9">
        <f ca="1">IFERROR(OFFSET(ITEM_RES!$A$5,MATCH(BUILDING!S368,ITEM_RES!$J$5:$J$229,0)-1,0),0)</f>
        <v>0</v>
      </c>
      <c r="V368" s="81" t="s">
        <v>534</v>
      </c>
      <c r="W368" s="11">
        <f ca="1">IFERROR(OFFSET(ITEM_RES!$A$5,MATCH(BUILDING!V368,ITEM_RES!$J$5:$J$229,0)-1,0),0)</f>
        <v>211020201</v>
      </c>
      <c r="Y368" s="9" t="s">
        <v>512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925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925</v>
      </c>
      <c r="AG368" s="176">
        <f t="shared" ca="1" si="106"/>
        <v>1165</v>
      </c>
      <c r="AI368" s="11">
        <f t="shared" si="104"/>
        <v>300</v>
      </c>
      <c r="AJ368" s="10">
        <v>300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2</v>
      </c>
      <c r="AQ368" s="11">
        <f ca="1">IFERROR(OFFSET(ITEM_RES!$A$1,MATCH(AR368,ITEM_RES!$J:$J,0)-1,0),0)</f>
        <v>211010501</v>
      </c>
      <c r="AR368" s="10" t="s">
        <v>420</v>
      </c>
      <c r="AS368" s="11">
        <v>600</v>
      </c>
      <c r="AV368" s="11">
        <f ca="1">IFERROR(OFFSET(ITEM_RES!$A$1,MATCH(AW368,ITEM_RES!$J:$J,0)-1,0),0)</f>
        <v>211020101</v>
      </c>
      <c r="AW368" s="10" t="s">
        <v>438</v>
      </c>
      <c r="AX368" s="11">
        <v>600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1131</v>
      </c>
      <c r="P369" s="55" t="s">
        <v>1393</v>
      </c>
      <c r="Q369" s="9" t="s">
        <v>692</v>
      </c>
      <c r="T369" s="9">
        <f ca="1">IFERROR(OFFSET(ITEM_RES!$A$5,MATCH(BUILDING!S369,ITEM_RES!$J$5:$J$229,0)-1,0),0)</f>
        <v>0</v>
      </c>
      <c r="V369" s="81" t="s">
        <v>534</v>
      </c>
      <c r="W369" s="11">
        <f ca="1">IFERROR(OFFSET(ITEM_RES!$A$5,MATCH(BUILDING!V369,ITEM_RES!$J$5:$J$229,0)-1,0),0)</f>
        <v>211020201</v>
      </c>
      <c r="Y369" s="9" t="s">
        <v>512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4090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4090</v>
      </c>
      <c r="AG369" s="176">
        <f t="shared" ca="1" si="106"/>
        <v>5015</v>
      </c>
      <c r="AI369" s="11">
        <f t="shared" si="104"/>
        <v>600</v>
      </c>
      <c r="AJ369" s="10">
        <v>600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2700</v>
      </c>
      <c r="AV369" s="11">
        <f ca="1">IFERROR(OFFSET(ITEM_RES!$A$1,MATCH(AW369,ITEM_RES!$J:$J,0)-1,0),0)</f>
        <v>211020101</v>
      </c>
      <c r="AW369" s="10" t="s">
        <v>438</v>
      </c>
      <c r="AX369" s="11">
        <v>2700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1132</v>
      </c>
      <c r="P370" s="55" t="s">
        <v>1393</v>
      </c>
      <c r="Q370" s="9" t="s">
        <v>692</v>
      </c>
      <c r="T370" s="9">
        <f ca="1">IFERROR(OFFSET(ITEM_RES!$A$5,MATCH(BUILDING!S370,ITEM_RES!$J$5:$J$229,0)-1,0),0)</f>
        <v>0</v>
      </c>
      <c r="V370" s="81" t="s">
        <v>534</v>
      </c>
      <c r="W370" s="11">
        <f ca="1">IFERROR(OFFSET(ITEM_RES!$A$5,MATCH(BUILDING!V370,ITEM_RES!$J$5:$J$229,0)-1,0),0)</f>
        <v>211020201</v>
      </c>
      <c r="Y370" s="9" t="s">
        <v>512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13550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13550</v>
      </c>
      <c r="AG370" s="176">
        <f t="shared" ca="1" si="106"/>
        <v>17640</v>
      </c>
      <c r="AI370" s="11">
        <f t="shared" si="104"/>
        <v>1200</v>
      </c>
      <c r="AJ370" s="10">
        <v>1200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9000</v>
      </c>
      <c r="AV370" s="11">
        <f ca="1">IFERROR(OFFSET(ITEM_RES!$A$1,MATCH(AW370,ITEM_RES!$J:$J,0)-1,0),0)</f>
        <v>211020101</v>
      </c>
      <c r="AW370" s="10" t="s">
        <v>438</v>
      </c>
      <c r="AX370" s="11">
        <v>9000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1133</v>
      </c>
      <c r="P371" s="55" t="s">
        <v>1394</v>
      </c>
      <c r="Q371" s="9" t="s">
        <v>692</v>
      </c>
      <c r="T371" s="9">
        <f ca="1">IFERROR(OFFSET(ITEM_RES!$A$5,MATCH(BUILDING!S371,ITEM_RES!$J$5:$J$229,0)-1,0),0)</f>
        <v>0</v>
      </c>
      <c r="V371" s="81" t="s">
        <v>534</v>
      </c>
      <c r="W371" s="11">
        <f ca="1">IFERROR(OFFSET(ITEM_RES!$A$5,MATCH(BUILDING!V371,ITEM_RES!$J$5:$J$229,0)-1,0),0)</f>
        <v>211020201</v>
      </c>
      <c r="Y371" s="9" t="s">
        <v>512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30100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30100</v>
      </c>
      <c r="AG371" s="176">
        <f t="shared" ca="1" si="106"/>
        <v>43650</v>
      </c>
      <c r="AI371" s="11">
        <f t="shared" si="104"/>
        <v>1800</v>
      </c>
      <c r="AJ371" s="10">
        <v>1800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20000</v>
      </c>
      <c r="AV371" s="11">
        <f ca="1">IFERROR(OFFSET(ITEM_RES!$A$1,MATCH(AW371,ITEM_RES!$J:$J,0)-1,0),0)</f>
        <v>211020101</v>
      </c>
      <c r="AW371" s="10" t="s">
        <v>438</v>
      </c>
      <c r="AX371" s="11">
        <v>20000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1133</v>
      </c>
      <c r="P372" s="55" t="s">
        <v>1394</v>
      </c>
      <c r="Q372" s="9" t="s">
        <v>692</v>
      </c>
      <c r="T372" s="9">
        <f ca="1">IFERROR(OFFSET(ITEM_RES!$A$5,MATCH(BUILDING!S372,ITEM_RES!$J$5:$J$229,0)-1,0),0)</f>
        <v>0</v>
      </c>
      <c r="V372" s="81" t="s">
        <v>534</v>
      </c>
      <c r="W372" s="11">
        <f ca="1">IFERROR(OFFSET(ITEM_RES!$A$5,MATCH(BUILDING!V372,ITEM_RES!$J$5:$J$229,0)-1,0),0)</f>
        <v>211020201</v>
      </c>
      <c r="Y372" s="9" t="s">
        <v>512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63100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63100</v>
      </c>
      <c r="AG372" s="176">
        <f t="shared" ca="1" si="106"/>
        <v>93200</v>
      </c>
      <c r="AI372" s="11">
        <f t="shared" si="104"/>
        <v>3600</v>
      </c>
      <c r="AJ372" s="10">
        <v>3600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42000</v>
      </c>
      <c r="AV372" s="11">
        <f ca="1">IFERROR(OFFSET(ITEM_RES!$A$1,MATCH(AW372,ITEM_RES!$J:$J,0)-1,0),0)</f>
        <v>211020101</v>
      </c>
      <c r="AW372" s="10" t="s">
        <v>438</v>
      </c>
      <c r="AX372" s="11">
        <v>42000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1443</v>
      </c>
      <c r="P373" s="55" t="s">
        <v>1445</v>
      </c>
      <c r="Q373" s="9" t="s">
        <v>692</v>
      </c>
      <c r="T373" s="9">
        <f ca="1">IFERROR(OFFSET(ITEM_RES!$A$5,MATCH(BUILDING!S373,ITEM_RES!$J$5:$J$229,0)-1,0),0)</f>
        <v>0</v>
      </c>
      <c r="V373" s="81" t="s">
        <v>534</v>
      </c>
      <c r="W373" s="11">
        <f ca="1">IFERROR(OFFSET(ITEM_RES!$A$5,MATCH(BUILDING!V373,ITEM_RES!$J$5:$J$229,0)-1,0),0)</f>
        <v>211020201</v>
      </c>
      <c r="Y373" s="9" t="s">
        <v>512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117150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117150</v>
      </c>
      <c r="AG373" s="176">
        <f t="shared" ca="1" si="106"/>
        <v>180250</v>
      </c>
      <c r="AI373" s="11">
        <f t="shared" si="104"/>
        <v>5400</v>
      </c>
      <c r="AJ373" s="10">
        <v>5400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78000</v>
      </c>
      <c r="AV373" s="11">
        <f ca="1">IFERROR(OFFSET(ITEM_RES!$A$1,MATCH(AW373,ITEM_RES!$J:$J,0)-1,0),0)</f>
        <v>211020101</v>
      </c>
      <c r="AW373" s="10" t="s">
        <v>438</v>
      </c>
      <c r="AX373" s="11">
        <v>78000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1443</v>
      </c>
      <c r="P374" s="55" t="s">
        <v>1445</v>
      </c>
      <c r="Q374" s="9" t="s">
        <v>692</v>
      </c>
      <c r="T374" s="9">
        <f ca="1">IFERROR(OFFSET(ITEM_RES!$A$5,MATCH(BUILDING!S374,ITEM_RES!$J$5:$J$229,0)-1,0),0)</f>
        <v>0</v>
      </c>
      <c r="V374" s="81" t="s">
        <v>534</v>
      </c>
      <c r="W374" s="11">
        <f ca="1">IFERROR(OFFSET(ITEM_RES!$A$5,MATCH(BUILDING!V374,ITEM_RES!$J$5:$J$229,0)-1,0),0)</f>
        <v>211020201</v>
      </c>
      <c r="Y374" s="9" t="s">
        <v>512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195200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195200</v>
      </c>
      <c r="AG374" s="176">
        <f t="shared" ca="1" si="106"/>
        <v>312350</v>
      </c>
      <c r="AI374" s="11">
        <f t="shared" si="104"/>
        <v>7200</v>
      </c>
      <c r="AJ374" s="10">
        <v>7200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130000</v>
      </c>
      <c r="AV374" s="11">
        <f ca="1">IFERROR(OFFSET(ITEM_RES!$A$1,MATCH(AW374,ITEM_RES!$J:$J,0)-1,0),0)</f>
        <v>211020101</v>
      </c>
      <c r="AW374" s="10" t="s">
        <v>438</v>
      </c>
      <c r="AX374" s="11">
        <v>130000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1442</v>
      </c>
      <c r="P375" s="55" t="s">
        <v>1444</v>
      </c>
      <c r="Q375" s="9" t="s">
        <v>692</v>
      </c>
      <c r="T375" s="9">
        <f ca="1">IFERROR(OFFSET(ITEM_RES!$A$5,MATCH(BUILDING!S375,ITEM_RES!$J$5:$J$229,0)-1,0),0)</f>
        <v>0</v>
      </c>
      <c r="V375" s="81" t="s">
        <v>534</v>
      </c>
      <c r="W375" s="11">
        <f ca="1">IFERROR(OFFSET(ITEM_RES!$A$5,MATCH(BUILDING!V375,ITEM_RES!$J$5:$J$229,0)-1,0),0)</f>
        <v>211020201</v>
      </c>
      <c r="Y375" s="9" t="s">
        <v>512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330250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330250</v>
      </c>
      <c r="AG375" s="176">
        <f t="shared" ca="1" si="106"/>
        <v>525450</v>
      </c>
      <c r="AI375" s="11">
        <f t="shared" si="104"/>
        <v>9000</v>
      </c>
      <c r="AJ375" s="10">
        <v>9000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220000</v>
      </c>
      <c r="AV375" s="11">
        <f ca="1">IFERROR(OFFSET(ITEM_RES!$A$1,MATCH(AW375,ITEM_RES!$J:$J,0)-1,0),0)</f>
        <v>211020101</v>
      </c>
      <c r="AW375" s="10" t="s">
        <v>438</v>
      </c>
      <c r="AX375" s="11">
        <v>220000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1442</v>
      </c>
      <c r="P376" s="55" t="s">
        <v>1444</v>
      </c>
      <c r="Q376" s="9" t="s">
        <v>692</v>
      </c>
      <c r="T376" s="9">
        <f ca="1">IFERROR(OFFSET(ITEM_RES!$A$5,MATCH(BUILDING!S376,ITEM_RES!$J$5:$J$229,0)-1,0),0)</f>
        <v>0</v>
      </c>
      <c r="V376" s="81" t="s">
        <v>534</v>
      </c>
      <c r="W376" s="11">
        <f ca="1">IFERROR(OFFSET(ITEM_RES!$A$5,MATCH(BUILDING!V376,ITEM_RES!$J$5:$J$229,0)-1,0),0)</f>
        <v>211020201</v>
      </c>
      <c r="Y376" s="9" t="s">
        <v>512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555300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555300</v>
      </c>
      <c r="AG376" s="176">
        <f t="shared" ca="1" si="106"/>
        <v>885550</v>
      </c>
      <c r="AI376" s="11">
        <f t="shared" si="104"/>
        <v>10800</v>
      </c>
      <c r="AJ376" s="10">
        <v>10800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370000</v>
      </c>
      <c r="AV376" s="11">
        <f ca="1">IFERROR(OFFSET(ITEM_RES!$A$1,MATCH(AW376,ITEM_RES!$J:$J,0)-1,0),0)</f>
        <v>211020101</v>
      </c>
      <c r="AW376" s="10" t="s">
        <v>438</v>
      </c>
      <c r="AX376" s="11">
        <v>370000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1442</v>
      </c>
      <c r="P377" s="55" t="s">
        <v>1444</v>
      </c>
      <c r="Q377" s="9" t="s">
        <v>692</v>
      </c>
      <c r="T377" s="9">
        <f ca="1">IFERROR(OFFSET(ITEM_RES!$A$5,MATCH(BUILDING!S377,ITEM_RES!$J$5:$J$229,0)-1,0),0)</f>
        <v>0</v>
      </c>
      <c r="V377" s="81" t="s">
        <v>534</v>
      </c>
      <c r="W377" s="11">
        <f ca="1">IFERROR(OFFSET(ITEM_RES!$A$5,MATCH(BUILDING!V377,ITEM_RES!$J$5:$J$229,0)-1,0),0)</f>
        <v>211020201</v>
      </c>
      <c r="Y377" s="9" t="s">
        <v>512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930350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930350</v>
      </c>
      <c r="AG377" s="176">
        <f t="shared" ca="1" si="106"/>
        <v>1485650</v>
      </c>
      <c r="AI377" s="11">
        <f t="shared" si="104"/>
        <v>12600</v>
      </c>
      <c r="AJ377" s="10">
        <v>12600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620000</v>
      </c>
      <c r="AV377" s="11">
        <f ca="1">IFERROR(OFFSET(ITEM_RES!$A$1,MATCH(AW377,ITEM_RES!$J:$J,0)-1,0),0)</f>
        <v>211020101</v>
      </c>
      <c r="AW377" s="10" t="s">
        <v>438</v>
      </c>
      <c r="AX377" s="11">
        <v>620000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1442</v>
      </c>
      <c r="P378" s="55" t="s">
        <v>1444</v>
      </c>
      <c r="Q378" s="9" t="s">
        <v>692</v>
      </c>
      <c r="T378" s="9">
        <f ca="1">IFERROR(OFFSET(ITEM_RES!$A$5,MATCH(BUILDING!S378,ITEM_RES!$J$5:$J$229,0)-1,0),0)</f>
        <v>0</v>
      </c>
      <c r="V378" s="81" t="s">
        <v>534</v>
      </c>
      <c r="W378" s="11">
        <f ca="1">IFERROR(OFFSET(ITEM_RES!$A$5,MATCH(BUILDING!V378,ITEM_RES!$J$5:$J$229,0)-1,0),0)</f>
        <v>211020201</v>
      </c>
      <c r="Y378" s="9" t="s">
        <v>512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1455450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1455450</v>
      </c>
      <c r="AG378" s="176">
        <f t="shared" ca="1" si="106"/>
        <v>2385800</v>
      </c>
      <c r="AI378" s="11">
        <f t="shared" si="104"/>
        <v>14400</v>
      </c>
      <c r="AJ378" s="10">
        <v>14400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970000</v>
      </c>
      <c r="AV378" s="11">
        <f ca="1">IFERROR(OFFSET(ITEM_RES!$A$1,MATCH(AW378,ITEM_RES!$J:$J,0)-1,0),0)</f>
        <v>211020101</v>
      </c>
      <c r="AW378" s="10" t="s">
        <v>438</v>
      </c>
      <c r="AX378" s="11">
        <v>970000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1442</v>
      </c>
      <c r="P379" s="55" t="s">
        <v>1444</v>
      </c>
      <c r="Q379" s="9" t="s">
        <v>692</v>
      </c>
      <c r="T379" s="9">
        <f ca="1">IFERROR(OFFSET(ITEM_RES!$A$5,MATCH(BUILDING!S379,ITEM_RES!$J$5:$J$229,0)-1,0),0)</f>
        <v>0</v>
      </c>
      <c r="V379" s="81" t="s">
        <v>534</v>
      </c>
      <c r="W379" s="11">
        <f ca="1">IFERROR(OFFSET(ITEM_RES!$A$5,MATCH(BUILDING!V379,ITEM_RES!$J$5:$J$229,0)-1,0),0)</f>
        <v>211020201</v>
      </c>
      <c r="Y379" s="9" t="s">
        <v>512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3360550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3360550</v>
      </c>
      <c r="AG379" s="176">
        <f t="shared" ca="1" si="106"/>
        <v>4816000</v>
      </c>
      <c r="AI379" s="11">
        <f t="shared" si="104"/>
        <v>16200</v>
      </c>
      <c r="AJ379" s="10">
        <v>16200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434</v>
      </c>
      <c r="AS379" s="11">
        <v>2100000</v>
      </c>
      <c r="AV379" s="11">
        <f ca="1">IFERROR(OFFSET(ITEM_RES!$A$1,MATCH(AW379,ITEM_RES!$J:$J,0)-1,0),0)</f>
        <v>211020101</v>
      </c>
      <c r="AW379" s="10" t="s">
        <v>438</v>
      </c>
      <c r="AX379" s="11">
        <v>2100000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1442</v>
      </c>
      <c r="P380" s="55" t="s">
        <v>1444</v>
      </c>
      <c r="Q380" s="9" t="s">
        <v>692</v>
      </c>
      <c r="T380" s="9">
        <f ca="1">IFERROR(OFFSET(ITEM_RES!$A$5,MATCH(BUILDING!S380,ITEM_RES!$J$5:$J$229,0)-1,0),0)</f>
        <v>0</v>
      </c>
      <c r="V380" s="81" t="s">
        <v>534</v>
      </c>
      <c r="W380" s="11">
        <f ca="1">IFERROR(OFFSET(ITEM_RES!$A$5,MATCH(BUILDING!V380,ITEM_RES!$J$5:$J$229,0)-1,0),0)</f>
        <v>211020201</v>
      </c>
      <c r="Y380" s="9" t="s">
        <v>512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6880700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6880700</v>
      </c>
      <c r="AG380" s="176">
        <f t="shared" ca="1" si="106"/>
        <v>10241250</v>
      </c>
      <c r="AI380" s="11">
        <f t="shared" si="104"/>
        <v>18000</v>
      </c>
      <c r="AJ380" s="10">
        <v>18000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434</v>
      </c>
      <c r="AS380" s="11">
        <v>4300000</v>
      </c>
      <c r="AV380" s="11">
        <f ca="1">IFERROR(OFFSET(ITEM_RES!$A$1,MATCH(AW380,ITEM_RES!$J:$J,0)-1,0),0)</f>
        <v>211020101</v>
      </c>
      <c r="AW380" s="10" t="s">
        <v>438</v>
      </c>
      <c r="AX380" s="11">
        <v>4300000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1442</v>
      </c>
      <c r="P381" s="55" t="s">
        <v>1444</v>
      </c>
      <c r="Q381" s="9" t="s">
        <v>692</v>
      </c>
      <c r="T381" s="9">
        <f ca="1">IFERROR(OFFSET(ITEM_RES!$A$5,MATCH(BUILDING!S381,ITEM_RES!$J$5:$J$229,0)-1,0),0)</f>
        <v>0</v>
      </c>
      <c r="V381" s="81" t="s">
        <v>534</v>
      </c>
      <c r="W381" s="11">
        <f ca="1">IFERROR(OFFSET(ITEM_RES!$A$5,MATCH(BUILDING!V381,ITEM_RES!$J$5:$J$229,0)-1,0),0)</f>
        <v>211020201</v>
      </c>
      <c r="Y381" s="9" t="s">
        <v>512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12800850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12800850</v>
      </c>
      <c r="AG381" s="176">
        <f t="shared" ca="1" si="106"/>
        <v>19681550</v>
      </c>
      <c r="AI381" s="11">
        <f t="shared" si="104"/>
        <v>19800</v>
      </c>
      <c r="AJ381" s="10">
        <v>19800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434</v>
      </c>
      <c r="AS381" s="11">
        <v>8000000</v>
      </c>
      <c r="AV381" s="11">
        <f ca="1">IFERROR(OFFSET(ITEM_RES!$A$1,MATCH(AW381,ITEM_RES!$J:$J,0)-1,0),0)</f>
        <v>211020101</v>
      </c>
      <c r="AW381" s="10" t="s">
        <v>438</v>
      </c>
      <c r="AX381" s="11">
        <v>8000000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1442</v>
      </c>
      <c r="P382" s="55" t="s">
        <v>1444</v>
      </c>
      <c r="Q382" s="9" t="s">
        <v>692</v>
      </c>
      <c r="T382" s="9">
        <f ca="1">IFERROR(OFFSET(ITEM_RES!$A$5,MATCH(BUILDING!S382,ITEM_RES!$J$5:$J$229,0)-1,0),0)</f>
        <v>0</v>
      </c>
      <c r="V382" s="81" t="s">
        <v>534</v>
      </c>
      <c r="W382" s="11">
        <f ca="1">IFERROR(OFFSET(ITEM_RES!$A$5,MATCH(BUILDING!V382,ITEM_RES!$J$5:$J$229,0)-1,0),0)</f>
        <v>211020201</v>
      </c>
      <c r="Y382" s="9" t="s">
        <v>512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20801050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20801050</v>
      </c>
      <c r="AG382" s="176">
        <f t="shared" ca="1" si="106"/>
        <v>33601900</v>
      </c>
      <c r="AI382" s="11">
        <f t="shared" si="104"/>
        <v>21600</v>
      </c>
      <c r="AJ382" s="10">
        <v>21600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434</v>
      </c>
      <c r="AS382" s="11">
        <v>13000000</v>
      </c>
      <c r="AV382" s="11">
        <f ca="1">IFERROR(OFFSET(ITEM_RES!$A$1,MATCH(AW382,ITEM_RES!$J:$J,0)-1,0),0)</f>
        <v>211020101</v>
      </c>
      <c r="AW382" s="10" t="s">
        <v>438</v>
      </c>
      <c r="AX382" s="11">
        <v>13000000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1442</v>
      </c>
      <c r="P383" s="55" t="s">
        <v>1444</v>
      </c>
      <c r="Q383" s="9" t="s">
        <v>692</v>
      </c>
      <c r="T383" s="9">
        <f ca="1">IFERROR(OFFSET(ITEM_RES!$A$5,MATCH(BUILDING!S383,ITEM_RES!$J$5:$J$229,0)-1,0),0)</f>
        <v>0</v>
      </c>
      <c r="V383" s="81" t="s">
        <v>534</v>
      </c>
      <c r="W383" s="11">
        <f ca="1">IFERROR(OFFSET(ITEM_RES!$A$5,MATCH(BUILDING!V383,ITEM_RES!$J$5:$J$229,0)-1,0),0)</f>
        <v>211020201</v>
      </c>
      <c r="Y383" s="9" t="s">
        <v>512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32001250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32001250</v>
      </c>
      <c r="AG383" s="176">
        <f t="shared" ca="1" si="106"/>
        <v>52802300</v>
      </c>
      <c r="AI383" s="11">
        <f t="shared" si="104"/>
        <v>23400</v>
      </c>
      <c r="AJ383" s="10">
        <v>23400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434</v>
      </c>
      <c r="AS383" s="11">
        <v>20000000</v>
      </c>
      <c r="AV383" s="11">
        <f ca="1">IFERROR(OFFSET(ITEM_RES!$A$1,MATCH(AW383,ITEM_RES!$J:$J,0)-1,0),0)</f>
        <v>211020101</v>
      </c>
      <c r="AW383" s="10" t="s">
        <v>438</v>
      </c>
      <c r="AX383" s="11">
        <v>20000000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1442</v>
      </c>
      <c r="P384" s="55" t="s">
        <v>1444</v>
      </c>
      <c r="Q384" s="9" t="s">
        <v>692</v>
      </c>
      <c r="T384" s="9">
        <f ca="1">IFERROR(OFFSET(ITEM_RES!$A$5,MATCH(BUILDING!S384,ITEM_RES!$J$5:$J$229,0)-1,0),0)</f>
        <v>0</v>
      </c>
      <c r="V384" s="81" t="s">
        <v>534</v>
      </c>
      <c r="W384" s="11">
        <f ca="1">IFERROR(OFFSET(ITEM_RES!$A$5,MATCH(BUILDING!V384,ITEM_RES!$J$5:$J$229,0)-1,0),0)</f>
        <v>211020201</v>
      </c>
      <c r="Y384" s="9" t="s">
        <v>512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51201500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51201500</v>
      </c>
      <c r="AG384" s="176">
        <f t="shared" ca="1" si="106"/>
        <v>83202750</v>
      </c>
      <c r="AI384" s="11">
        <f t="shared" si="104"/>
        <v>25200</v>
      </c>
      <c r="AJ384" s="10">
        <v>25200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434</v>
      </c>
      <c r="AS384" s="11">
        <v>32000000</v>
      </c>
      <c r="AV384" s="11">
        <f ca="1">IFERROR(OFFSET(ITEM_RES!$A$1,MATCH(AW384,ITEM_RES!$J:$J,0)-1,0),0)</f>
        <v>211020101</v>
      </c>
      <c r="AW384" s="10" t="s">
        <v>438</v>
      </c>
      <c r="AX384" s="11">
        <v>32000000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1025</v>
      </c>
      <c r="P385" s="56" t="s">
        <v>1395</v>
      </c>
      <c r="Q385" s="16" t="s">
        <v>691</v>
      </c>
      <c r="R385" s="76"/>
      <c r="S385" s="83" t="s">
        <v>540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535</v>
      </c>
      <c r="W385" s="18">
        <f ca="1">IFERROR(OFFSET(ITEM_RES!$A$5,MATCH(BUILDING!V385,ITEM_RES!$J$5:$J$229,0)-1,0),0)</f>
        <v>211020501</v>
      </c>
      <c r="X385" s="76"/>
      <c r="Y385" s="16" t="s">
        <v>513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1605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1605</v>
      </c>
      <c r="AG385" s="178">
        <f ca="1">AE385</f>
        <v>1605</v>
      </c>
      <c r="AH385" s="76"/>
      <c r="AI385" s="18">
        <f t="shared" si="104"/>
        <v>5</v>
      </c>
      <c r="AJ385" s="17">
        <v>5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3</v>
      </c>
      <c r="AP385" s="18"/>
      <c r="AQ385" s="18">
        <f ca="1">IFERROR(OFFSET(ITEM_RES!$A$1,MATCH(AR385,ITEM_RES!$J:$J,0)-1,0),0)</f>
        <v>211020401</v>
      </c>
      <c r="AR385" s="17" t="s">
        <v>428</v>
      </c>
      <c r="AS385" s="18">
        <v>50</v>
      </c>
      <c r="AT385" s="17"/>
      <c r="AU385" s="18"/>
      <c r="AV385" s="18">
        <f ca="1">IFERROR(OFFSET(ITEM_RES!$A$1,MATCH(AW385,ITEM_RES!$J:$J,0)-1,0),0)</f>
        <v>211020801</v>
      </c>
      <c r="AW385" s="17" t="s">
        <v>429</v>
      </c>
      <c r="AX385" s="18">
        <v>50</v>
      </c>
      <c r="AY385" s="17"/>
      <c r="AZ385" s="18"/>
      <c r="BA385" s="18">
        <f ca="1">IFERROR(OFFSET(ITEM_RES!$A$1,MATCH(BB385,ITEM_RES!$J:$J,0)-1,0),0)</f>
        <v>213010101</v>
      </c>
      <c r="BB385" s="17" t="s">
        <v>442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1025</v>
      </c>
      <c r="P386" s="55" t="s">
        <v>1395</v>
      </c>
      <c r="Q386" s="9" t="s">
        <v>691</v>
      </c>
      <c r="S386" s="81" t="s">
        <v>540</v>
      </c>
      <c r="T386" s="9">
        <f ca="1">IFERROR(OFFSET(ITEM_RES!$A$5,MATCH(BUILDING!S386,ITEM_RES!$J$5:$J$229,0)-1,0),0)</f>
        <v>211020401</v>
      </c>
      <c r="U386" s="11">
        <v>1</v>
      </c>
      <c r="V386" s="81" t="s">
        <v>535</v>
      </c>
      <c r="W386" s="11">
        <f ca="1">IFERROR(OFFSET(ITEM_RES!$A$5,MATCH(BUILDING!V386,ITEM_RES!$J$5:$J$229,0)-1,0),0)</f>
        <v>211020501</v>
      </c>
      <c r="Y386" s="9" t="s">
        <v>513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1210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1210</v>
      </c>
      <c r="AG386" s="176">
        <f ca="1">AE385+AE386</f>
        <v>2815</v>
      </c>
      <c r="AI386" s="11">
        <f t="shared" si="104"/>
        <v>10</v>
      </c>
      <c r="AJ386" s="10">
        <v>10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2</v>
      </c>
      <c r="AQ386" s="11">
        <f ca="1">IFERROR(OFFSET(ITEM_RES!$A$1,MATCH(AR386,ITEM_RES!$J:$J,0)-1,0),0)</f>
        <v>211020401</v>
      </c>
      <c r="AR386" s="10" t="s">
        <v>428</v>
      </c>
      <c r="AS386" s="11">
        <v>100</v>
      </c>
      <c r="AV386" s="11">
        <f ca="1">IFERROR(OFFSET(ITEM_RES!$A$1,MATCH(AW386,ITEM_RES!$J:$J,0)-1,0),0)</f>
        <v>211020801</v>
      </c>
      <c r="AW386" s="10" t="s">
        <v>429</v>
      </c>
      <c r="AX386" s="11">
        <v>100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1025</v>
      </c>
      <c r="P387" s="55" t="s">
        <v>1395</v>
      </c>
      <c r="Q387" s="9" t="s">
        <v>691</v>
      </c>
      <c r="S387" s="81" t="s">
        <v>540</v>
      </c>
      <c r="T387" s="9">
        <f ca="1">IFERROR(OFFSET(ITEM_RES!$A$5,MATCH(BUILDING!S387,ITEM_RES!$J$5:$J$229,0)-1,0),0)</f>
        <v>211020401</v>
      </c>
      <c r="U387" s="11">
        <v>1</v>
      </c>
      <c r="V387" s="81" t="s">
        <v>535</v>
      </c>
      <c r="W387" s="11">
        <f ca="1">IFERROR(OFFSET(ITEM_RES!$A$5,MATCH(BUILDING!V387,ITEM_RES!$J$5:$J$229,0)-1,0),0)</f>
        <v>211020501</v>
      </c>
      <c r="Y387" s="9" t="s">
        <v>513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1815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1815</v>
      </c>
      <c r="AG387" s="176">
        <f t="shared" ref="AG387:AG404" ca="1" si="111">AE386+AE387</f>
        <v>3025</v>
      </c>
      <c r="AI387" s="11">
        <f t="shared" si="104"/>
        <v>30</v>
      </c>
      <c r="AJ387" s="10">
        <v>30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2</v>
      </c>
      <c r="AQ387" s="11">
        <f ca="1">IFERROR(OFFSET(ITEM_RES!$A$1,MATCH(AR387,ITEM_RES!$J:$J,0)-1,0),0)</f>
        <v>211020401</v>
      </c>
      <c r="AR387" s="10" t="s">
        <v>428</v>
      </c>
      <c r="AS387" s="11">
        <v>150</v>
      </c>
      <c r="AV387" s="11">
        <f ca="1">IFERROR(OFFSET(ITEM_RES!$A$1,MATCH(AW387,ITEM_RES!$J:$J,0)-1,0),0)</f>
        <v>211020801</v>
      </c>
      <c r="AW387" s="10" t="s">
        <v>429</v>
      </c>
      <c r="AX387" s="11">
        <v>150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1025</v>
      </c>
      <c r="P388" s="55" t="s">
        <v>1395</v>
      </c>
      <c r="Q388" s="9" t="s">
        <v>691</v>
      </c>
      <c r="S388" s="81" t="s">
        <v>540</v>
      </c>
      <c r="T388" s="9">
        <f ca="1">IFERROR(OFFSET(ITEM_RES!$A$5,MATCH(BUILDING!S388,ITEM_RES!$J$5:$J$229,0)-1,0),0)</f>
        <v>211020401</v>
      </c>
      <c r="U388" s="11">
        <v>1</v>
      </c>
      <c r="V388" s="81" t="s">
        <v>535</v>
      </c>
      <c r="W388" s="11">
        <f ca="1">IFERROR(OFFSET(ITEM_RES!$A$5,MATCH(BUILDING!V388,ITEM_RES!$J$5:$J$229,0)-1,0),0)</f>
        <v>211020501</v>
      </c>
      <c r="Y388" s="9" t="s">
        <v>513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7225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7225</v>
      </c>
      <c r="AG388" s="176">
        <f t="shared" ca="1" si="111"/>
        <v>9040</v>
      </c>
      <c r="AI388" s="11">
        <f t="shared" si="104"/>
        <v>300</v>
      </c>
      <c r="AJ388" s="10">
        <v>300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2</v>
      </c>
      <c r="AQ388" s="11">
        <f ca="1">IFERROR(OFFSET(ITEM_RES!$A$1,MATCH(AR388,ITEM_RES!$J:$J,0)-1,0),0)</f>
        <v>211020401</v>
      </c>
      <c r="AR388" s="10" t="s">
        <v>428</v>
      </c>
      <c r="AS388" s="11">
        <v>600</v>
      </c>
      <c r="AV388" s="11">
        <f ca="1">IFERROR(OFFSET(ITEM_RES!$A$1,MATCH(AW388,ITEM_RES!$J:$J,0)-1,0),0)</f>
        <v>211020801</v>
      </c>
      <c r="AW388" s="10" t="s">
        <v>429</v>
      </c>
      <c r="AX388" s="11">
        <v>600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1025</v>
      </c>
      <c r="P389" s="55" t="s">
        <v>1395</v>
      </c>
      <c r="Q389" s="9" t="s">
        <v>691</v>
      </c>
      <c r="S389" s="81" t="s">
        <v>540</v>
      </c>
      <c r="T389" s="9">
        <f ca="1">IFERROR(OFFSET(ITEM_RES!$A$5,MATCH(BUILDING!S389,ITEM_RES!$J$5:$J$229,0)-1,0),0)</f>
        <v>211020401</v>
      </c>
      <c r="U389" s="11">
        <v>1</v>
      </c>
      <c r="V389" s="81" t="s">
        <v>535</v>
      </c>
      <c r="W389" s="11">
        <f ca="1">IFERROR(OFFSET(ITEM_RES!$A$5,MATCH(BUILDING!V389,ITEM_RES!$J$5:$J$229,0)-1,0),0)</f>
        <v>211020501</v>
      </c>
      <c r="Y389" s="9" t="s">
        <v>513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32440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32440</v>
      </c>
      <c r="AG389" s="176">
        <f t="shared" ca="1" si="111"/>
        <v>39665</v>
      </c>
      <c r="AI389" s="11">
        <f t="shared" si="104"/>
        <v>600</v>
      </c>
      <c r="AJ389" s="10">
        <v>600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2</v>
      </c>
      <c r="AQ389" s="11">
        <f ca="1">IFERROR(OFFSET(ITEM_RES!$A$1,MATCH(AR389,ITEM_RES!$J:$J,0)-1,0),0)</f>
        <v>211020401</v>
      </c>
      <c r="AR389" s="10" t="s">
        <v>428</v>
      </c>
      <c r="AS389" s="11">
        <v>2700</v>
      </c>
      <c r="AV389" s="11">
        <f ca="1">IFERROR(OFFSET(ITEM_RES!$A$1,MATCH(AW389,ITEM_RES!$J:$J,0)-1,0),0)</f>
        <v>211020801</v>
      </c>
      <c r="AW389" s="10" t="s">
        <v>429</v>
      </c>
      <c r="AX389" s="11">
        <v>2700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1025</v>
      </c>
      <c r="P390" s="55" t="s">
        <v>1395</v>
      </c>
      <c r="Q390" s="9" t="s">
        <v>691</v>
      </c>
      <c r="S390" s="81" t="s">
        <v>540</v>
      </c>
      <c r="T390" s="9">
        <f ca="1">IFERROR(OFFSET(ITEM_RES!$A$5,MATCH(BUILDING!S390,ITEM_RES!$J$5:$J$229,0)-1,0),0)</f>
        <v>211020401</v>
      </c>
      <c r="U390" s="11">
        <v>1</v>
      </c>
      <c r="V390" s="81" t="s">
        <v>535</v>
      </c>
      <c r="W390" s="11">
        <f ca="1">IFERROR(OFFSET(ITEM_RES!$A$5,MATCH(BUILDING!V390,ITEM_RES!$J$5:$J$229,0)-1,0),0)</f>
        <v>211020501</v>
      </c>
      <c r="Y390" s="9" t="s">
        <v>513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113050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113050</v>
      </c>
      <c r="AG390" s="176">
        <f t="shared" ca="1" si="111"/>
        <v>145490</v>
      </c>
      <c r="AI390" s="11">
        <f t="shared" si="104"/>
        <v>1200</v>
      </c>
      <c r="AJ390" s="10">
        <v>1200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3</v>
      </c>
      <c r="AQ390" s="11">
        <f ca="1">IFERROR(OFFSET(ITEM_RES!$A$1,MATCH(AR390,ITEM_RES!$J:$J,0)-1,0),0)</f>
        <v>211020401</v>
      </c>
      <c r="AR390" s="10" t="s">
        <v>428</v>
      </c>
      <c r="AS390" s="11">
        <v>9000</v>
      </c>
      <c r="AV390" s="11">
        <f ca="1">IFERROR(OFFSET(ITEM_RES!$A$1,MATCH(AW390,ITEM_RES!$J:$J,0)-1,0),0)</f>
        <v>211020801</v>
      </c>
      <c r="AW390" s="10" t="s">
        <v>429</v>
      </c>
      <c r="AX390" s="11">
        <v>9000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459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1025</v>
      </c>
      <c r="P391" s="55" t="s">
        <v>1395</v>
      </c>
      <c r="Q391" s="9" t="s">
        <v>691</v>
      </c>
      <c r="S391" s="81" t="s">
        <v>540</v>
      </c>
      <c r="T391" s="9">
        <f ca="1">IFERROR(OFFSET(ITEM_RES!$A$5,MATCH(BUILDING!S391,ITEM_RES!$J$5:$J$229,0)-1,0),0)</f>
        <v>211020401</v>
      </c>
      <c r="U391" s="11">
        <v>1</v>
      </c>
      <c r="V391" s="81" t="s">
        <v>535</v>
      </c>
      <c r="W391" s="11">
        <f ca="1">IFERROR(OFFSET(ITEM_RES!$A$5,MATCH(BUILDING!V391,ITEM_RES!$J$5:$J$229,0)-1,0),0)</f>
        <v>211020501</v>
      </c>
      <c r="Y391" s="9" t="s">
        <v>513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240100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240100</v>
      </c>
      <c r="AG391" s="176">
        <f t="shared" ca="1" si="111"/>
        <v>353150</v>
      </c>
      <c r="AI391" s="11">
        <f t="shared" si="104"/>
        <v>1800</v>
      </c>
      <c r="AJ391" s="10">
        <v>1800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2</v>
      </c>
      <c r="AQ391" s="11">
        <f ca="1">IFERROR(OFFSET(ITEM_RES!$A$1,MATCH(AR391,ITEM_RES!$J:$J,0)-1,0),0)</f>
        <v>211020401</v>
      </c>
      <c r="AR391" s="10" t="s">
        <v>428</v>
      </c>
      <c r="AS391" s="11">
        <v>20000</v>
      </c>
      <c r="AV391" s="11">
        <f ca="1">IFERROR(OFFSET(ITEM_RES!$A$1,MATCH(AW391,ITEM_RES!$J:$J,0)-1,0),0)</f>
        <v>211020801</v>
      </c>
      <c r="AW391" s="10" t="s">
        <v>429</v>
      </c>
      <c r="AX391" s="11">
        <v>20000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1025</v>
      </c>
      <c r="P392" s="55" t="s">
        <v>1395</v>
      </c>
      <c r="Q392" s="9" t="s">
        <v>691</v>
      </c>
      <c r="S392" s="81" t="s">
        <v>540</v>
      </c>
      <c r="T392" s="9">
        <f ca="1">IFERROR(OFFSET(ITEM_RES!$A$5,MATCH(BUILDING!S392,ITEM_RES!$J$5:$J$229,0)-1,0),0)</f>
        <v>211020401</v>
      </c>
      <c r="U392" s="11">
        <v>1</v>
      </c>
      <c r="V392" s="81" t="s">
        <v>535</v>
      </c>
      <c r="W392" s="11">
        <f ca="1">IFERROR(OFFSET(ITEM_RES!$A$5,MATCH(BUILDING!V392,ITEM_RES!$J$5:$J$229,0)-1,0),0)</f>
        <v>211020501</v>
      </c>
      <c r="Y392" s="9" t="s">
        <v>513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504100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504100</v>
      </c>
      <c r="AG392" s="176">
        <f t="shared" ca="1" si="111"/>
        <v>744200</v>
      </c>
      <c r="AI392" s="11">
        <f t="shared" si="104"/>
        <v>3600</v>
      </c>
      <c r="AJ392" s="10">
        <v>3600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2</v>
      </c>
      <c r="AQ392" s="11">
        <f ca="1">IFERROR(OFFSET(ITEM_RES!$A$1,MATCH(AR392,ITEM_RES!$J:$J,0)-1,0),0)</f>
        <v>211020401</v>
      </c>
      <c r="AR392" s="10" t="s">
        <v>428</v>
      </c>
      <c r="AS392" s="11">
        <v>42000</v>
      </c>
      <c r="AV392" s="11">
        <f ca="1">IFERROR(OFFSET(ITEM_RES!$A$1,MATCH(AW392,ITEM_RES!$J:$J,0)-1,0),0)</f>
        <v>211020801</v>
      </c>
      <c r="AW392" s="10" t="s">
        <v>429</v>
      </c>
      <c r="AX392" s="11">
        <v>42000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1025</v>
      </c>
      <c r="P393" s="55" t="s">
        <v>1395</v>
      </c>
      <c r="Q393" s="9" t="s">
        <v>691</v>
      </c>
      <c r="S393" s="81" t="s">
        <v>540</v>
      </c>
      <c r="T393" s="9">
        <f ca="1">IFERROR(OFFSET(ITEM_RES!$A$5,MATCH(BUILDING!S393,ITEM_RES!$J$5:$J$229,0)-1,0),0)</f>
        <v>211020401</v>
      </c>
      <c r="U393" s="11">
        <v>1</v>
      </c>
      <c r="V393" s="81" t="s">
        <v>535</v>
      </c>
      <c r="W393" s="11">
        <f ca="1">IFERROR(OFFSET(ITEM_RES!$A$5,MATCH(BUILDING!V393,ITEM_RES!$J$5:$J$229,0)-1,0),0)</f>
        <v>211020501</v>
      </c>
      <c r="Y393" s="9" t="s">
        <v>513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936150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936150</v>
      </c>
      <c r="AG393" s="176">
        <f t="shared" ca="1" si="111"/>
        <v>1440250</v>
      </c>
      <c r="AI393" s="11">
        <f t="shared" si="104"/>
        <v>5400</v>
      </c>
      <c r="AJ393" s="10">
        <v>5400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2</v>
      </c>
      <c r="AQ393" s="11">
        <f ca="1">IFERROR(OFFSET(ITEM_RES!$A$1,MATCH(AR393,ITEM_RES!$J:$J,0)-1,0),0)</f>
        <v>211020401</v>
      </c>
      <c r="AR393" s="10" t="s">
        <v>428</v>
      </c>
      <c r="AS393" s="11">
        <v>78000</v>
      </c>
      <c r="AV393" s="11">
        <f ca="1">IFERROR(OFFSET(ITEM_RES!$A$1,MATCH(AW393,ITEM_RES!$J:$J,0)-1,0),0)</f>
        <v>211020801</v>
      </c>
      <c r="AW393" s="10" t="s">
        <v>429</v>
      </c>
      <c r="AX393" s="11">
        <v>78000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1025</v>
      </c>
      <c r="P394" s="55" t="s">
        <v>1395</v>
      </c>
      <c r="Q394" s="9" t="s">
        <v>691</v>
      </c>
      <c r="S394" s="81" t="s">
        <v>540</v>
      </c>
      <c r="T394" s="9">
        <f ca="1">IFERROR(OFFSET(ITEM_RES!$A$5,MATCH(BUILDING!S394,ITEM_RES!$J$5:$J$229,0)-1,0),0)</f>
        <v>211020401</v>
      </c>
      <c r="U394" s="11">
        <v>1</v>
      </c>
      <c r="V394" s="81" t="s">
        <v>535</v>
      </c>
      <c r="W394" s="11">
        <f ca="1">IFERROR(OFFSET(ITEM_RES!$A$5,MATCH(BUILDING!V394,ITEM_RES!$J$5:$J$229,0)-1,0),0)</f>
        <v>211020501</v>
      </c>
      <c r="Y394" s="9" t="s">
        <v>513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1560200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1560200</v>
      </c>
      <c r="AG394" s="176">
        <f t="shared" ca="1" si="111"/>
        <v>2496350</v>
      </c>
      <c r="AI394" s="11">
        <f t="shared" si="104"/>
        <v>7200</v>
      </c>
      <c r="AJ394" s="10">
        <v>7200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2</v>
      </c>
      <c r="AQ394" s="11">
        <f ca="1">IFERROR(OFFSET(ITEM_RES!$A$1,MATCH(AR394,ITEM_RES!$J:$J,0)-1,0),0)</f>
        <v>211020401</v>
      </c>
      <c r="AR394" s="10" t="s">
        <v>428</v>
      </c>
      <c r="AS394" s="11">
        <v>130000</v>
      </c>
      <c r="AV394" s="11">
        <f ca="1">IFERROR(OFFSET(ITEM_RES!$A$1,MATCH(AW394,ITEM_RES!$J:$J,0)-1,0),0)</f>
        <v>211020801</v>
      </c>
      <c r="AW394" s="10" t="s">
        <v>429</v>
      </c>
      <c r="AX394" s="11">
        <v>130000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1025</v>
      </c>
      <c r="P395" s="55" t="s">
        <v>1395</v>
      </c>
      <c r="Q395" s="9" t="s">
        <v>691</v>
      </c>
      <c r="S395" s="81" t="s">
        <v>540</v>
      </c>
      <c r="T395" s="9">
        <f ca="1">IFERROR(OFFSET(ITEM_RES!$A$5,MATCH(BUILDING!S395,ITEM_RES!$J$5:$J$229,0)-1,0),0)</f>
        <v>211020401</v>
      </c>
      <c r="U395" s="11">
        <v>1</v>
      </c>
      <c r="V395" s="81" t="s">
        <v>535</v>
      </c>
      <c r="W395" s="11">
        <f ca="1">IFERROR(OFFSET(ITEM_RES!$A$5,MATCH(BUILDING!V395,ITEM_RES!$J$5:$J$229,0)-1,0),0)</f>
        <v>211020501</v>
      </c>
      <c r="Y395" s="9" t="s">
        <v>513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2640250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2640250</v>
      </c>
      <c r="AG395" s="176">
        <f t="shared" ca="1" si="111"/>
        <v>4200450</v>
      </c>
      <c r="AI395" s="11">
        <f t="shared" si="104"/>
        <v>9000</v>
      </c>
      <c r="AJ395" s="10">
        <v>9000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2</v>
      </c>
      <c r="AQ395" s="11">
        <f ca="1">IFERROR(OFFSET(ITEM_RES!$A$1,MATCH(AR395,ITEM_RES!$J:$J,0)-1,0),0)</f>
        <v>211020401</v>
      </c>
      <c r="AR395" s="10" t="s">
        <v>428</v>
      </c>
      <c r="AS395" s="11">
        <v>220000</v>
      </c>
      <c r="AV395" s="11">
        <f ca="1">IFERROR(OFFSET(ITEM_RES!$A$1,MATCH(AW395,ITEM_RES!$J:$J,0)-1,0),0)</f>
        <v>211020801</v>
      </c>
      <c r="AW395" s="10" t="s">
        <v>429</v>
      </c>
      <c r="AX395" s="11">
        <v>220000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1025</v>
      </c>
      <c r="P396" s="55" t="s">
        <v>1395</v>
      </c>
      <c r="Q396" s="9" t="s">
        <v>691</v>
      </c>
      <c r="S396" s="81" t="s">
        <v>540</v>
      </c>
      <c r="T396" s="9">
        <f ca="1">IFERROR(OFFSET(ITEM_RES!$A$5,MATCH(BUILDING!S396,ITEM_RES!$J$5:$J$229,0)-1,0),0)</f>
        <v>211020401</v>
      </c>
      <c r="U396" s="11">
        <v>1</v>
      </c>
      <c r="V396" s="81" t="s">
        <v>535</v>
      </c>
      <c r="W396" s="11">
        <f ca="1">IFERROR(OFFSET(ITEM_RES!$A$5,MATCH(BUILDING!V396,ITEM_RES!$J$5:$J$229,0)-1,0),0)</f>
        <v>211020501</v>
      </c>
      <c r="Y396" s="9" t="s">
        <v>513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4440300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4440300</v>
      </c>
      <c r="AG396" s="176">
        <f t="shared" ca="1" si="111"/>
        <v>7080550</v>
      </c>
      <c r="AI396" s="11">
        <f t="shared" si="104"/>
        <v>10800</v>
      </c>
      <c r="AJ396" s="10">
        <v>10800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2</v>
      </c>
      <c r="AQ396" s="11">
        <f ca="1">IFERROR(OFFSET(ITEM_RES!$A$1,MATCH(AR396,ITEM_RES!$J:$J,0)-1,0),0)</f>
        <v>211020401</v>
      </c>
      <c r="AR396" s="10" t="s">
        <v>428</v>
      </c>
      <c r="AS396" s="11">
        <v>370000</v>
      </c>
      <c r="AV396" s="11">
        <f ca="1">IFERROR(OFFSET(ITEM_RES!$A$1,MATCH(AW396,ITEM_RES!$J:$J,0)-1,0),0)</f>
        <v>211020801</v>
      </c>
      <c r="AW396" s="10" t="s">
        <v>429</v>
      </c>
      <c r="AX396" s="11">
        <v>370000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1025</v>
      </c>
      <c r="P397" s="55" t="s">
        <v>1395</v>
      </c>
      <c r="Q397" s="9" t="s">
        <v>691</v>
      </c>
      <c r="S397" s="81" t="s">
        <v>540</v>
      </c>
      <c r="T397" s="9">
        <f ca="1">IFERROR(OFFSET(ITEM_RES!$A$5,MATCH(BUILDING!S397,ITEM_RES!$J$5:$J$229,0)-1,0),0)</f>
        <v>211020401</v>
      </c>
      <c r="U397" s="11">
        <v>1</v>
      </c>
      <c r="V397" s="81" t="s">
        <v>535</v>
      </c>
      <c r="W397" s="11">
        <f ca="1">IFERROR(OFFSET(ITEM_RES!$A$5,MATCH(BUILDING!V397,ITEM_RES!$J$5:$J$229,0)-1,0),0)</f>
        <v>211020501</v>
      </c>
      <c r="Y397" s="9" t="s">
        <v>513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7440350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7440350</v>
      </c>
      <c r="AG397" s="176">
        <f t="shared" ca="1" si="111"/>
        <v>11880650</v>
      </c>
      <c r="AI397" s="11">
        <f t="shared" si="104"/>
        <v>12600</v>
      </c>
      <c r="AJ397" s="10">
        <v>12600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2</v>
      </c>
      <c r="AQ397" s="11">
        <f ca="1">IFERROR(OFFSET(ITEM_RES!$A$1,MATCH(AR397,ITEM_RES!$J:$J,0)-1,0),0)</f>
        <v>211020401</v>
      </c>
      <c r="AR397" s="10" t="s">
        <v>428</v>
      </c>
      <c r="AS397" s="11">
        <v>620000</v>
      </c>
      <c r="AV397" s="11">
        <f ca="1">IFERROR(OFFSET(ITEM_RES!$A$1,MATCH(AW397,ITEM_RES!$J:$J,0)-1,0),0)</f>
        <v>211020801</v>
      </c>
      <c r="AW397" s="10" t="s">
        <v>429</v>
      </c>
      <c r="AX397" s="11">
        <v>620000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1025</v>
      </c>
      <c r="P398" s="55" t="s">
        <v>1395</v>
      </c>
      <c r="Q398" s="9" t="s">
        <v>691</v>
      </c>
      <c r="S398" s="81" t="s">
        <v>540</v>
      </c>
      <c r="T398" s="9">
        <f ca="1">IFERROR(OFFSET(ITEM_RES!$A$5,MATCH(BUILDING!S398,ITEM_RES!$J$5:$J$229,0)-1,0),0)</f>
        <v>211020401</v>
      </c>
      <c r="U398" s="11">
        <v>1</v>
      </c>
      <c r="V398" s="81" t="s">
        <v>535</v>
      </c>
      <c r="W398" s="11">
        <f ca="1">IFERROR(OFFSET(ITEM_RES!$A$5,MATCH(BUILDING!V398,ITEM_RES!$J$5:$J$229,0)-1,0),0)</f>
        <v>211020501</v>
      </c>
      <c r="Y398" s="9" t="s">
        <v>513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11640450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11640450</v>
      </c>
      <c r="AG398" s="176">
        <f t="shared" ca="1" si="111"/>
        <v>19080800</v>
      </c>
      <c r="AI398" s="11">
        <f t="shared" si="104"/>
        <v>14400</v>
      </c>
      <c r="AJ398" s="10">
        <v>14400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2</v>
      </c>
      <c r="AQ398" s="11">
        <f ca="1">IFERROR(OFFSET(ITEM_RES!$A$1,MATCH(AR398,ITEM_RES!$J:$J,0)-1,0),0)</f>
        <v>211020401</v>
      </c>
      <c r="AR398" s="10" t="s">
        <v>428</v>
      </c>
      <c r="AS398" s="11">
        <v>970000</v>
      </c>
      <c r="AV398" s="11">
        <f ca="1">IFERROR(OFFSET(ITEM_RES!$A$1,MATCH(AW398,ITEM_RES!$J:$J,0)-1,0),0)</f>
        <v>211020801</v>
      </c>
      <c r="AW398" s="10" t="s">
        <v>429</v>
      </c>
      <c r="AX398" s="11">
        <v>970000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1025</v>
      </c>
      <c r="P399" s="55" t="s">
        <v>1395</v>
      </c>
      <c r="Q399" s="9" t="s">
        <v>691</v>
      </c>
      <c r="S399" s="81" t="s">
        <v>540</v>
      </c>
      <c r="T399" s="9">
        <f ca="1">IFERROR(OFFSET(ITEM_RES!$A$5,MATCH(BUILDING!S399,ITEM_RES!$J$5:$J$229,0)-1,0),0)</f>
        <v>211020401</v>
      </c>
      <c r="U399" s="11">
        <v>1</v>
      </c>
      <c r="V399" s="81" t="s">
        <v>535</v>
      </c>
      <c r="W399" s="11">
        <f ca="1">IFERROR(OFFSET(ITEM_RES!$A$5,MATCH(BUILDING!V399,ITEM_RES!$J$5:$J$229,0)-1,0),0)</f>
        <v>211020501</v>
      </c>
      <c r="Y399" s="9" t="s">
        <v>513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25620550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25620550</v>
      </c>
      <c r="AG399" s="176">
        <f t="shared" ca="1" si="111"/>
        <v>37261000</v>
      </c>
      <c r="AI399" s="11">
        <f t="shared" si="104"/>
        <v>16200</v>
      </c>
      <c r="AJ399" s="10">
        <v>16200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2</v>
      </c>
      <c r="AQ399" s="11">
        <f ca="1">IFERROR(OFFSET(ITEM_RES!$A$1,MATCH(AR399,ITEM_RES!$J:$J,0)-1,0),0)</f>
        <v>211020501</v>
      </c>
      <c r="AR399" s="10" t="s">
        <v>426</v>
      </c>
      <c r="AS399" s="11">
        <v>2100000</v>
      </c>
      <c r="AV399" s="11">
        <f ca="1">IFERROR(OFFSET(ITEM_RES!$A$1,MATCH(AW399,ITEM_RES!$J:$J,0)-1,0),0)</f>
        <v>211020801</v>
      </c>
      <c r="AW399" s="10" t="s">
        <v>429</v>
      </c>
      <c r="AX399" s="11">
        <v>2100000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1025</v>
      </c>
      <c r="P400" s="55" t="s">
        <v>1395</v>
      </c>
      <c r="Q400" s="9" t="s">
        <v>691</v>
      </c>
      <c r="S400" s="81" t="s">
        <v>540</v>
      </c>
      <c r="T400" s="9">
        <f ca="1">IFERROR(OFFSET(ITEM_RES!$A$5,MATCH(BUILDING!S400,ITEM_RES!$J$5:$J$229,0)-1,0),0)</f>
        <v>211020401</v>
      </c>
      <c r="U400" s="11">
        <v>1</v>
      </c>
      <c r="V400" s="81" t="s">
        <v>535</v>
      </c>
      <c r="W400" s="11">
        <f ca="1">IFERROR(OFFSET(ITEM_RES!$A$5,MATCH(BUILDING!V400,ITEM_RES!$J$5:$J$229,0)-1,0),0)</f>
        <v>211020501</v>
      </c>
      <c r="Y400" s="9" t="s">
        <v>513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52460700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52460700</v>
      </c>
      <c r="AG400" s="176">
        <f t="shared" ca="1" si="111"/>
        <v>78081250</v>
      </c>
      <c r="AI400" s="11">
        <f t="shared" si="104"/>
        <v>18000</v>
      </c>
      <c r="AJ400" s="10">
        <v>18000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2</v>
      </c>
      <c r="AQ400" s="11">
        <f ca="1">IFERROR(OFFSET(ITEM_RES!$A$1,MATCH(AR400,ITEM_RES!$J:$J,0)-1,0),0)</f>
        <v>211020501</v>
      </c>
      <c r="AR400" s="10" t="s">
        <v>426</v>
      </c>
      <c r="AS400" s="11">
        <v>4300000</v>
      </c>
      <c r="AV400" s="11">
        <f ca="1">IFERROR(OFFSET(ITEM_RES!$A$1,MATCH(AW400,ITEM_RES!$J:$J,0)-1,0),0)</f>
        <v>211020801</v>
      </c>
      <c r="AW400" s="10" t="s">
        <v>429</v>
      </c>
      <c r="AX400" s="11">
        <v>4300000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1025</v>
      </c>
      <c r="P401" s="55" t="s">
        <v>1395</v>
      </c>
      <c r="Q401" s="9" t="s">
        <v>691</v>
      </c>
      <c r="S401" s="81" t="s">
        <v>540</v>
      </c>
      <c r="T401" s="9">
        <f ca="1">IFERROR(OFFSET(ITEM_RES!$A$5,MATCH(BUILDING!S401,ITEM_RES!$J$5:$J$229,0)-1,0),0)</f>
        <v>211020401</v>
      </c>
      <c r="U401" s="11">
        <v>1</v>
      </c>
      <c r="V401" s="81" t="s">
        <v>535</v>
      </c>
      <c r="W401" s="11">
        <f ca="1">IFERROR(OFFSET(ITEM_RES!$A$5,MATCH(BUILDING!V401,ITEM_RES!$J$5:$J$229,0)-1,0),0)</f>
        <v>211020501</v>
      </c>
      <c r="Y401" s="9" t="s">
        <v>513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97600850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97600850</v>
      </c>
      <c r="AG401" s="176">
        <f t="shared" ca="1" si="111"/>
        <v>150061550</v>
      </c>
      <c r="AI401" s="11">
        <f t="shared" si="104"/>
        <v>19800</v>
      </c>
      <c r="AJ401" s="10">
        <v>19800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2</v>
      </c>
      <c r="AQ401" s="11">
        <f ca="1">IFERROR(OFFSET(ITEM_RES!$A$1,MATCH(AR401,ITEM_RES!$J:$J,0)-1,0),0)</f>
        <v>211020501</v>
      </c>
      <c r="AR401" s="10" t="s">
        <v>426</v>
      </c>
      <c r="AS401" s="11">
        <v>8000000</v>
      </c>
      <c r="AV401" s="11">
        <f ca="1">IFERROR(OFFSET(ITEM_RES!$A$1,MATCH(AW401,ITEM_RES!$J:$J,0)-1,0),0)</f>
        <v>211020801</v>
      </c>
      <c r="AW401" s="10" t="s">
        <v>429</v>
      </c>
      <c r="AX401" s="11">
        <v>8000000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1025</v>
      </c>
      <c r="P402" s="55" t="s">
        <v>1395</v>
      </c>
      <c r="Q402" s="9" t="s">
        <v>691</v>
      </c>
      <c r="S402" s="81" t="s">
        <v>540</v>
      </c>
      <c r="T402" s="9">
        <f ca="1">IFERROR(OFFSET(ITEM_RES!$A$5,MATCH(BUILDING!S402,ITEM_RES!$J$5:$J$229,0)-1,0),0)</f>
        <v>211020401</v>
      </c>
      <c r="U402" s="11">
        <v>1</v>
      </c>
      <c r="V402" s="81" t="s">
        <v>535</v>
      </c>
      <c r="W402" s="11">
        <f ca="1">IFERROR(OFFSET(ITEM_RES!$A$5,MATCH(BUILDING!V402,ITEM_RES!$J$5:$J$229,0)-1,0),0)</f>
        <v>211020501</v>
      </c>
      <c r="Y402" s="9" t="s">
        <v>513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158601050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158601050</v>
      </c>
      <c r="AG402" s="176">
        <f t="shared" ca="1" si="111"/>
        <v>256201900</v>
      </c>
      <c r="AI402" s="11">
        <f t="shared" si="104"/>
        <v>21600</v>
      </c>
      <c r="AJ402" s="10">
        <v>21600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2</v>
      </c>
      <c r="AQ402" s="11">
        <f ca="1">IFERROR(OFFSET(ITEM_RES!$A$1,MATCH(AR402,ITEM_RES!$J:$J,0)-1,0),0)</f>
        <v>211020501</v>
      </c>
      <c r="AR402" s="10" t="s">
        <v>426</v>
      </c>
      <c r="AS402" s="11">
        <v>13000000</v>
      </c>
      <c r="AV402" s="11">
        <f ca="1">IFERROR(OFFSET(ITEM_RES!$A$1,MATCH(AW402,ITEM_RES!$J:$J,0)-1,0),0)</f>
        <v>211020801</v>
      </c>
      <c r="AW402" s="10" t="s">
        <v>429</v>
      </c>
      <c r="AX402" s="11">
        <v>13000000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1025</v>
      </c>
      <c r="P403" s="55" t="s">
        <v>1395</v>
      </c>
      <c r="Q403" s="9" t="s">
        <v>691</v>
      </c>
      <c r="S403" s="81" t="s">
        <v>540</v>
      </c>
      <c r="T403" s="9">
        <f ca="1">IFERROR(OFFSET(ITEM_RES!$A$5,MATCH(BUILDING!S403,ITEM_RES!$J$5:$J$229,0)-1,0),0)</f>
        <v>211020401</v>
      </c>
      <c r="U403" s="11">
        <v>1</v>
      </c>
      <c r="V403" s="81" t="s">
        <v>535</v>
      </c>
      <c r="W403" s="11">
        <f ca="1">IFERROR(OFFSET(ITEM_RES!$A$5,MATCH(BUILDING!V403,ITEM_RES!$J$5:$J$229,0)-1,0),0)</f>
        <v>211020501</v>
      </c>
      <c r="Y403" s="9" t="s">
        <v>513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244001250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244001250</v>
      </c>
      <c r="AG403" s="176">
        <f t="shared" ca="1" si="111"/>
        <v>402602300</v>
      </c>
      <c r="AI403" s="11">
        <f t="shared" si="104"/>
        <v>23400</v>
      </c>
      <c r="AJ403" s="10">
        <v>23400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2</v>
      </c>
      <c r="AQ403" s="11">
        <f ca="1">IFERROR(OFFSET(ITEM_RES!$A$1,MATCH(AR403,ITEM_RES!$J:$J,0)-1,0),0)</f>
        <v>211020501</v>
      </c>
      <c r="AR403" s="10" t="s">
        <v>426</v>
      </c>
      <c r="AS403" s="11">
        <v>20000000</v>
      </c>
      <c r="AV403" s="11">
        <f ca="1">IFERROR(OFFSET(ITEM_RES!$A$1,MATCH(AW403,ITEM_RES!$J:$J,0)-1,0),0)</f>
        <v>211020801</v>
      </c>
      <c r="AW403" s="10" t="s">
        <v>429</v>
      </c>
      <c r="AX403" s="11">
        <v>20000000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1025</v>
      </c>
      <c r="P404" s="55" t="s">
        <v>1395</v>
      </c>
      <c r="Q404" s="9" t="s">
        <v>691</v>
      </c>
      <c r="S404" s="81" t="s">
        <v>540</v>
      </c>
      <c r="T404" s="9">
        <f ca="1">IFERROR(OFFSET(ITEM_RES!$A$5,MATCH(BUILDING!S404,ITEM_RES!$J$5:$J$229,0)-1,0),0)</f>
        <v>211020401</v>
      </c>
      <c r="U404" s="11">
        <v>1</v>
      </c>
      <c r="V404" s="81" t="s">
        <v>535</v>
      </c>
      <c r="W404" s="11">
        <f ca="1">IFERROR(OFFSET(ITEM_RES!$A$5,MATCH(BUILDING!V404,ITEM_RES!$J$5:$J$229,0)-1,0),0)</f>
        <v>211020501</v>
      </c>
      <c r="Y404" s="9" t="s">
        <v>513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390401500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390401500</v>
      </c>
      <c r="AG404" s="176">
        <f t="shared" ca="1" si="111"/>
        <v>634402750</v>
      </c>
      <c r="AI404" s="11">
        <f t="shared" si="104"/>
        <v>25200</v>
      </c>
      <c r="AJ404" s="10">
        <v>25200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2</v>
      </c>
      <c r="AQ404" s="11">
        <f ca="1">IFERROR(OFFSET(ITEM_RES!$A$1,MATCH(AR404,ITEM_RES!$J:$J,0)-1,0),0)</f>
        <v>211020501</v>
      </c>
      <c r="AR404" s="10" t="s">
        <v>426</v>
      </c>
      <c r="AS404" s="11">
        <v>32000000</v>
      </c>
      <c r="AV404" s="11">
        <f ca="1">IFERROR(OFFSET(ITEM_RES!$A$1,MATCH(AW404,ITEM_RES!$J:$J,0)-1,0),0)</f>
        <v>211020801</v>
      </c>
      <c r="AW404" s="10" t="s">
        <v>429</v>
      </c>
      <c r="AX404" s="11">
        <v>32000000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519</v>
      </c>
      <c r="L405" s="16">
        <v>3</v>
      </c>
      <c r="M405" s="16">
        <v>1</v>
      </c>
      <c r="N405" s="16">
        <v>15</v>
      </c>
      <c r="O405" s="16" t="s">
        <v>1134</v>
      </c>
      <c r="P405" s="56" t="s">
        <v>1396</v>
      </c>
      <c r="Q405" s="16" t="s">
        <v>687</v>
      </c>
      <c r="R405" s="76"/>
      <c r="S405" s="83" t="s">
        <v>534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536</v>
      </c>
      <c r="W405" s="18">
        <f ca="1">IFERROR(OFFSET(ITEM_RES!$A$5,MATCH(BUILDING!V405,ITEM_RES!$J$5:$J$229,0)-1,0),0)</f>
        <v>211020301</v>
      </c>
      <c r="X405" s="76"/>
      <c r="Y405" s="16" t="s">
        <v>514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1105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1105</v>
      </c>
      <c r="AG405" s="178">
        <f ca="1">AE405</f>
        <v>1105</v>
      </c>
      <c r="AH405" s="76"/>
      <c r="AI405" s="18">
        <f t="shared" si="104"/>
        <v>5</v>
      </c>
      <c r="AJ405" s="17">
        <v>5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211020201</v>
      </c>
      <c r="AR405" s="17" t="s">
        <v>423</v>
      </c>
      <c r="AS405" s="18">
        <v>50</v>
      </c>
      <c r="AT405" s="17"/>
      <c r="AU405" s="18"/>
      <c r="AV405" s="18">
        <f ca="1">IFERROR(OFFSET(ITEM_RES!$A$1,MATCH(AW405,ITEM_RES!$J:$J,0)-1,0),0)</f>
        <v>211020401</v>
      </c>
      <c r="AW405" s="17" t="s">
        <v>428</v>
      </c>
      <c r="AX405" s="18">
        <v>50</v>
      </c>
      <c r="AY405" s="17"/>
      <c r="AZ405" s="18"/>
      <c r="BA405" s="18">
        <f ca="1">IFERROR(OFFSET(ITEM_RES!$A$1,MATCH(BB405,ITEM_RES!$J:$J,0)-1,0),0)</f>
        <v>213010101</v>
      </c>
      <c r="BB405" s="17" t="s">
        <v>442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1134</v>
      </c>
      <c r="P406" s="55" t="s">
        <v>1396</v>
      </c>
      <c r="Q406" s="9" t="s">
        <v>687</v>
      </c>
      <c r="S406" s="81" t="s">
        <v>534</v>
      </c>
      <c r="T406" s="9">
        <f ca="1">IFERROR(OFFSET(ITEM_RES!$A$5,MATCH(BUILDING!S406,ITEM_RES!$J$5:$J$229,0)-1,0),0)</f>
        <v>211020201</v>
      </c>
      <c r="U406" s="11">
        <v>1</v>
      </c>
      <c r="V406" s="81" t="s">
        <v>536</v>
      </c>
      <c r="W406" s="11">
        <f ca="1">IFERROR(OFFSET(ITEM_RES!$A$5,MATCH(BUILDING!V406,ITEM_RES!$J$5:$J$229,0)-1,0),0)</f>
        <v>211020301</v>
      </c>
      <c r="Y406" s="9" t="s">
        <v>514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210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210</v>
      </c>
      <c r="AG406" s="176">
        <f ca="1">AE405+AE406</f>
        <v>1315</v>
      </c>
      <c r="AI406" s="11">
        <f t="shared" si="104"/>
        <v>10</v>
      </c>
      <c r="AJ406" s="10">
        <v>10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211020201</v>
      </c>
      <c r="AR406" s="10" t="s">
        <v>423</v>
      </c>
      <c r="AS406" s="11">
        <v>100</v>
      </c>
      <c r="AV406" s="11">
        <f ca="1">IFERROR(OFFSET(ITEM_RES!$A$1,MATCH(AW406,ITEM_RES!$J:$J,0)-1,0),0)</f>
        <v>211020401</v>
      </c>
      <c r="AW406" s="10" t="s">
        <v>428</v>
      </c>
      <c r="AX406" s="11">
        <v>100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1135</v>
      </c>
      <c r="P407" s="55" t="s">
        <v>1397</v>
      </c>
      <c r="Q407" s="9" t="s">
        <v>687</v>
      </c>
      <c r="S407" s="81" t="s">
        <v>534</v>
      </c>
      <c r="T407" s="9">
        <f ca="1">IFERROR(OFFSET(ITEM_RES!$A$5,MATCH(BUILDING!S407,ITEM_RES!$J$5:$J$229,0)-1,0),0)</f>
        <v>211020201</v>
      </c>
      <c r="U407" s="11">
        <v>1</v>
      </c>
      <c r="V407" s="81" t="s">
        <v>536</v>
      </c>
      <c r="W407" s="11">
        <f ca="1">IFERROR(OFFSET(ITEM_RES!$A$5,MATCH(BUILDING!V407,ITEM_RES!$J$5:$J$229,0)-1,0),0)</f>
        <v>211020301</v>
      </c>
      <c r="Y407" s="9" t="s">
        <v>514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315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315</v>
      </c>
      <c r="AG407" s="176">
        <f t="shared" ref="AG407:AG424" ca="1" si="113">AE406+AE407</f>
        <v>525</v>
      </c>
      <c r="AI407" s="11">
        <f t="shared" si="104"/>
        <v>30</v>
      </c>
      <c r="AJ407" s="10">
        <v>30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211020201</v>
      </c>
      <c r="AR407" s="10" t="s">
        <v>423</v>
      </c>
      <c r="AS407" s="11">
        <v>150</v>
      </c>
      <c r="AV407" s="11">
        <f ca="1">IFERROR(OFFSET(ITEM_RES!$A$1,MATCH(AW407,ITEM_RES!$J:$J,0)-1,0),0)</f>
        <v>211020401</v>
      </c>
      <c r="AW407" s="10" t="s">
        <v>428</v>
      </c>
      <c r="AX407" s="11">
        <v>150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1136</v>
      </c>
      <c r="P408" s="55" t="s">
        <v>1397</v>
      </c>
      <c r="Q408" s="9" t="s">
        <v>687</v>
      </c>
      <c r="S408" s="81" t="s">
        <v>534</v>
      </c>
      <c r="T408" s="9">
        <f ca="1">IFERROR(OFFSET(ITEM_RES!$A$5,MATCH(BUILDING!S408,ITEM_RES!$J$5:$J$229,0)-1,0),0)</f>
        <v>211020201</v>
      </c>
      <c r="U408" s="11">
        <v>1</v>
      </c>
      <c r="V408" s="81" t="s">
        <v>536</v>
      </c>
      <c r="W408" s="11">
        <f ca="1">IFERROR(OFFSET(ITEM_RES!$A$5,MATCH(BUILDING!V408,ITEM_RES!$J$5:$J$229,0)-1,0),0)</f>
        <v>211020301</v>
      </c>
      <c r="Y408" s="9" t="s">
        <v>514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1225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1225</v>
      </c>
      <c r="AG408" s="176">
        <f t="shared" ca="1" si="113"/>
        <v>1540</v>
      </c>
      <c r="AI408" s="11">
        <f t="shared" si="104"/>
        <v>300</v>
      </c>
      <c r="AJ408" s="10">
        <v>300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211020201</v>
      </c>
      <c r="AR408" s="10" t="s">
        <v>423</v>
      </c>
      <c r="AS408" s="11">
        <v>600</v>
      </c>
      <c r="AV408" s="11">
        <f ca="1">IFERROR(OFFSET(ITEM_RES!$A$1,MATCH(AW408,ITEM_RES!$J:$J,0)-1,0),0)</f>
        <v>211020401</v>
      </c>
      <c r="AW408" s="10" t="s">
        <v>428</v>
      </c>
      <c r="AX408" s="11">
        <v>600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1137</v>
      </c>
      <c r="P409" s="55" t="s">
        <v>1398</v>
      </c>
      <c r="Q409" s="9" t="s">
        <v>687</v>
      </c>
      <c r="S409" s="81" t="s">
        <v>534</v>
      </c>
      <c r="T409" s="9">
        <f ca="1">IFERROR(OFFSET(ITEM_RES!$A$5,MATCH(BUILDING!S409,ITEM_RES!$J$5:$J$229,0)-1,0),0)</f>
        <v>211020201</v>
      </c>
      <c r="U409" s="11">
        <v>1</v>
      </c>
      <c r="V409" s="81" t="s">
        <v>536</v>
      </c>
      <c r="W409" s="11">
        <f ca="1">IFERROR(OFFSET(ITEM_RES!$A$5,MATCH(BUILDING!V409,ITEM_RES!$J$5:$J$229,0)-1,0),0)</f>
        <v>211020301</v>
      </c>
      <c r="Y409" s="9" t="s">
        <v>514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5440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5440</v>
      </c>
      <c r="AG409" s="176">
        <f t="shared" ca="1" si="113"/>
        <v>6665</v>
      </c>
      <c r="AI409" s="11">
        <f t="shared" ref="AI409:AI472" si="114">ROUND(AJ409,0)</f>
        <v>600</v>
      </c>
      <c r="AJ409" s="10">
        <v>600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211020201</v>
      </c>
      <c r="AR409" s="10" t="s">
        <v>423</v>
      </c>
      <c r="AS409" s="11">
        <v>2700</v>
      </c>
      <c r="AV409" s="11">
        <f ca="1">IFERROR(OFFSET(ITEM_RES!$A$1,MATCH(AW409,ITEM_RES!$J:$J,0)-1,0),0)</f>
        <v>211020401</v>
      </c>
      <c r="AW409" s="10" t="s">
        <v>428</v>
      </c>
      <c r="AX409" s="11">
        <v>2700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1138</v>
      </c>
      <c r="P410" s="55" t="s">
        <v>1398</v>
      </c>
      <c r="Q410" s="9" t="s">
        <v>687</v>
      </c>
      <c r="S410" s="81" t="s">
        <v>534</v>
      </c>
      <c r="T410" s="9">
        <f ca="1">IFERROR(OFFSET(ITEM_RES!$A$5,MATCH(BUILDING!S410,ITEM_RES!$J$5:$J$229,0)-1,0),0)</f>
        <v>211020201</v>
      </c>
      <c r="U410" s="11">
        <v>1</v>
      </c>
      <c r="V410" s="81" t="s">
        <v>536</v>
      </c>
      <c r="W410" s="11">
        <f ca="1">IFERROR(OFFSET(ITEM_RES!$A$5,MATCH(BUILDING!V410,ITEM_RES!$J$5:$J$229,0)-1,0),0)</f>
        <v>211020301</v>
      </c>
      <c r="Y410" s="9" t="s">
        <v>514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18050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18050</v>
      </c>
      <c r="AG410" s="176">
        <f t="shared" ca="1" si="113"/>
        <v>23490</v>
      </c>
      <c r="AI410" s="11">
        <f t="shared" si="114"/>
        <v>1200</v>
      </c>
      <c r="AJ410" s="10">
        <v>1200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211020201</v>
      </c>
      <c r="AR410" s="10" t="s">
        <v>423</v>
      </c>
      <c r="AS410" s="11">
        <v>9000</v>
      </c>
      <c r="AV410" s="11">
        <f ca="1">IFERROR(OFFSET(ITEM_RES!$A$1,MATCH(AW410,ITEM_RES!$J:$J,0)-1,0),0)</f>
        <v>211020401</v>
      </c>
      <c r="AW410" s="10" t="s">
        <v>428</v>
      </c>
      <c r="AX410" s="11">
        <v>9000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1139</v>
      </c>
      <c r="P411" s="55" t="s">
        <v>1399</v>
      </c>
      <c r="Q411" s="9" t="s">
        <v>687</v>
      </c>
      <c r="S411" s="81" t="s">
        <v>534</v>
      </c>
      <c r="T411" s="9">
        <f ca="1">IFERROR(OFFSET(ITEM_RES!$A$5,MATCH(BUILDING!S411,ITEM_RES!$J$5:$J$229,0)-1,0),0)</f>
        <v>211020201</v>
      </c>
      <c r="U411" s="11">
        <v>1</v>
      </c>
      <c r="V411" s="81" t="s">
        <v>536</v>
      </c>
      <c r="W411" s="11">
        <f ca="1">IFERROR(OFFSET(ITEM_RES!$A$5,MATCH(BUILDING!V411,ITEM_RES!$J$5:$J$229,0)-1,0),0)</f>
        <v>211020301</v>
      </c>
      <c r="Y411" s="9" t="s">
        <v>514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40100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40100</v>
      </c>
      <c r="AG411" s="176">
        <f t="shared" ca="1" si="113"/>
        <v>58150</v>
      </c>
      <c r="AI411" s="11">
        <f t="shared" si="114"/>
        <v>1800</v>
      </c>
      <c r="AJ411" s="10">
        <v>1800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211020201</v>
      </c>
      <c r="AR411" s="10" t="s">
        <v>423</v>
      </c>
      <c r="AS411" s="11">
        <v>20000</v>
      </c>
      <c r="AV411" s="11">
        <f ca="1">IFERROR(OFFSET(ITEM_RES!$A$1,MATCH(AW411,ITEM_RES!$J:$J,0)-1,0),0)</f>
        <v>211020401</v>
      </c>
      <c r="AW411" s="10" t="s">
        <v>428</v>
      </c>
      <c r="AX411" s="11">
        <v>20000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1139</v>
      </c>
      <c r="P412" s="55" t="s">
        <v>1399</v>
      </c>
      <c r="Q412" s="9" t="s">
        <v>687</v>
      </c>
      <c r="S412" s="81" t="s">
        <v>534</v>
      </c>
      <c r="T412" s="9">
        <f ca="1">IFERROR(OFFSET(ITEM_RES!$A$5,MATCH(BUILDING!S412,ITEM_RES!$J$5:$J$229,0)-1,0),0)</f>
        <v>211020201</v>
      </c>
      <c r="U412" s="11">
        <v>1</v>
      </c>
      <c r="V412" s="81" t="s">
        <v>536</v>
      </c>
      <c r="W412" s="11">
        <f ca="1">IFERROR(OFFSET(ITEM_RES!$A$5,MATCH(BUILDING!V412,ITEM_RES!$J$5:$J$229,0)-1,0),0)</f>
        <v>211020301</v>
      </c>
      <c r="Y412" s="9" t="s">
        <v>514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84600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84600</v>
      </c>
      <c r="AG412" s="176">
        <f t="shared" ca="1" si="113"/>
        <v>124700</v>
      </c>
      <c r="AI412" s="11">
        <f t="shared" si="114"/>
        <v>3600</v>
      </c>
      <c r="AJ412" s="10">
        <v>3600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211020201</v>
      </c>
      <c r="AR412" s="10" t="s">
        <v>423</v>
      </c>
      <c r="AS412" s="11">
        <v>42000</v>
      </c>
      <c r="AV412" s="11">
        <f ca="1">IFERROR(OFFSET(ITEM_RES!$A$1,MATCH(AW412,ITEM_RES!$J:$J,0)-1,0),0)</f>
        <v>211020401</v>
      </c>
      <c r="AW412" s="10" t="s">
        <v>428</v>
      </c>
      <c r="AX412" s="11">
        <v>42000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1447</v>
      </c>
      <c r="P413" s="55" t="s">
        <v>1449</v>
      </c>
      <c r="Q413" s="9" t="s">
        <v>687</v>
      </c>
      <c r="S413" s="81" t="s">
        <v>534</v>
      </c>
      <c r="T413" s="9">
        <f ca="1">IFERROR(OFFSET(ITEM_RES!$A$5,MATCH(BUILDING!S413,ITEM_RES!$J$5:$J$229,0)-1,0),0)</f>
        <v>211020201</v>
      </c>
      <c r="U413" s="11">
        <v>1</v>
      </c>
      <c r="V413" s="81" t="s">
        <v>536</v>
      </c>
      <c r="W413" s="11">
        <f ca="1">IFERROR(OFFSET(ITEM_RES!$A$5,MATCH(BUILDING!V413,ITEM_RES!$J$5:$J$229,0)-1,0),0)</f>
        <v>211020301</v>
      </c>
      <c r="Y413" s="9" t="s">
        <v>514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162150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162150</v>
      </c>
      <c r="AG413" s="176">
        <f t="shared" ca="1" si="113"/>
        <v>246750</v>
      </c>
      <c r="AI413" s="11">
        <f t="shared" si="114"/>
        <v>5400</v>
      </c>
      <c r="AJ413" s="10">
        <v>5400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211020201</v>
      </c>
      <c r="AR413" s="10" t="s">
        <v>423</v>
      </c>
      <c r="AS413" s="11">
        <v>78000</v>
      </c>
      <c r="AV413" s="11">
        <f ca="1">IFERROR(OFFSET(ITEM_RES!$A$1,MATCH(AW413,ITEM_RES!$J:$J,0)-1,0),0)</f>
        <v>211020401</v>
      </c>
      <c r="AW413" s="10" t="s">
        <v>428</v>
      </c>
      <c r="AX413" s="11">
        <v>78000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1447</v>
      </c>
      <c r="P414" s="55" t="s">
        <v>1449</v>
      </c>
      <c r="Q414" s="9" t="s">
        <v>687</v>
      </c>
      <c r="S414" s="81" t="s">
        <v>534</v>
      </c>
      <c r="T414" s="9">
        <f ca="1">IFERROR(OFFSET(ITEM_RES!$A$5,MATCH(BUILDING!S414,ITEM_RES!$J$5:$J$229,0)-1,0),0)</f>
        <v>211020201</v>
      </c>
      <c r="U414" s="11">
        <v>1</v>
      </c>
      <c r="V414" s="81" t="s">
        <v>536</v>
      </c>
      <c r="W414" s="11">
        <f ca="1">IFERROR(OFFSET(ITEM_RES!$A$5,MATCH(BUILDING!V414,ITEM_RES!$J$5:$J$229,0)-1,0),0)</f>
        <v>211020301</v>
      </c>
      <c r="Y414" s="9" t="s">
        <v>514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299200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299200</v>
      </c>
      <c r="AG414" s="176">
        <f t="shared" ca="1" si="113"/>
        <v>461350</v>
      </c>
      <c r="AI414" s="11">
        <f t="shared" si="114"/>
        <v>7200</v>
      </c>
      <c r="AJ414" s="10">
        <v>7200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211020201</v>
      </c>
      <c r="AR414" s="10" t="s">
        <v>423</v>
      </c>
      <c r="AS414" s="11">
        <v>130000</v>
      </c>
      <c r="AV414" s="11">
        <f ca="1">IFERROR(OFFSET(ITEM_RES!$A$1,MATCH(AW414,ITEM_RES!$J:$J,0)-1,0),0)</f>
        <v>211020401</v>
      </c>
      <c r="AW414" s="10" t="s">
        <v>428</v>
      </c>
      <c r="AX414" s="11">
        <v>130000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1446</v>
      </c>
      <c r="P415" s="55" t="s">
        <v>1448</v>
      </c>
      <c r="Q415" s="9" t="s">
        <v>687</v>
      </c>
      <c r="S415" s="81" t="s">
        <v>534</v>
      </c>
      <c r="T415" s="9">
        <f ca="1">IFERROR(OFFSET(ITEM_RES!$A$5,MATCH(BUILDING!S415,ITEM_RES!$J$5:$J$229,0)-1,0),0)</f>
        <v>211020201</v>
      </c>
      <c r="U415" s="11">
        <v>1</v>
      </c>
      <c r="V415" s="81" t="s">
        <v>536</v>
      </c>
      <c r="W415" s="11">
        <f ca="1">IFERROR(OFFSET(ITEM_RES!$A$5,MATCH(BUILDING!V415,ITEM_RES!$J$5:$J$229,0)-1,0),0)</f>
        <v>211020301</v>
      </c>
      <c r="Y415" s="9" t="s">
        <v>514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508250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508250</v>
      </c>
      <c r="AG415" s="176">
        <f t="shared" ca="1" si="113"/>
        <v>807450</v>
      </c>
      <c r="AI415" s="11">
        <f t="shared" si="114"/>
        <v>9000</v>
      </c>
      <c r="AJ415" s="10">
        <v>9000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211020201</v>
      </c>
      <c r="AR415" s="10" t="s">
        <v>423</v>
      </c>
      <c r="AS415" s="11">
        <v>220000</v>
      </c>
      <c r="AV415" s="11">
        <f ca="1">IFERROR(OFFSET(ITEM_RES!$A$1,MATCH(AW415,ITEM_RES!$J:$J,0)-1,0),0)</f>
        <v>211020401</v>
      </c>
      <c r="AW415" s="10" t="s">
        <v>428</v>
      </c>
      <c r="AX415" s="11">
        <v>220000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457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1446</v>
      </c>
      <c r="P416" s="55" t="s">
        <v>1448</v>
      </c>
      <c r="Q416" s="9" t="s">
        <v>687</v>
      </c>
      <c r="S416" s="81" t="s">
        <v>534</v>
      </c>
      <c r="T416" s="9">
        <f ca="1">IFERROR(OFFSET(ITEM_RES!$A$5,MATCH(BUILDING!S416,ITEM_RES!$J$5:$J$229,0)-1,0),0)</f>
        <v>211020201</v>
      </c>
      <c r="U416" s="11">
        <v>1</v>
      </c>
      <c r="V416" s="81" t="s">
        <v>536</v>
      </c>
      <c r="W416" s="11">
        <f ca="1">IFERROR(OFFSET(ITEM_RES!$A$5,MATCH(BUILDING!V416,ITEM_RES!$J$5:$J$229,0)-1,0),0)</f>
        <v>211020301</v>
      </c>
      <c r="Y416" s="9" t="s">
        <v>514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850300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850300</v>
      </c>
      <c r="AG416" s="176">
        <f t="shared" ca="1" si="113"/>
        <v>1358550</v>
      </c>
      <c r="AI416" s="11">
        <f t="shared" si="114"/>
        <v>10800</v>
      </c>
      <c r="AJ416" s="10">
        <v>10800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211020201</v>
      </c>
      <c r="AR416" s="10" t="s">
        <v>423</v>
      </c>
      <c r="AS416" s="11">
        <v>370000</v>
      </c>
      <c r="AV416" s="11">
        <f ca="1">IFERROR(OFFSET(ITEM_RES!$A$1,MATCH(AW416,ITEM_RES!$J:$J,0)-1,0),0)</f>
        <v>211020401</v>
      </c>
      <c r="AW416" s="10" t="s">
        <v>428</v>
      </c>
      <c r="AX416" s="11">
        <v>370000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1446</v>
      </c>
      <c r="P417" s="55" t="s">
        <v>1448</v>
      </c>
      <c r="Q417" s="9" t="s">
        <v>687</v>
      </c>
      <c r="S417" s="81" t="s">
        <v>534</v>
      </c>
      <c r="T417" s="9">
        <f ca="1">IFERROR(OFFSET(ITEM_RES!$A$5,MATCH(BUILDING!S417,ITEM_RES!$J$5:$J$229,0)-1,0),0)</f>
        <v>211020201</v>
      </c>
      <c r="U417" s="11">
        <v>1</v>
      </c>
      <c r="V417" s="81" t="s">
        <v>536</v>
      </c>
      <c r="W417" s="11">
        <f ca="1">IFERROR(OFFSET(ITEM_RES!$A$5,MATCH(BUILDING!V417,ITEM_RES!$J$5:$J$229,0)-1,0),0)</f>
        <v>211020301</v>
      </c>
      <c r="Y417" s="9" t="s">
        <v>514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1425350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1425350</v>
      </c>
      <c r="AG417" s="176">
        <f t="shared" ca="1" si="113"/>
        <v>2275650</v>
      </c>
      <c r="AI417" s="11">
        <f t="shared" si="114"/>
        <v>12600</v>
      </c>
      <c r="AJ417" s="10">
        <v>12600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211020201</v>
      </c>
      <c r="AR417" s="10" t="s">
        <v>423</v>
      </c>
      <c r="AS417" s="11">
        <v>620000</v>
      </c>
      <c r="AV417" s="11">
        <f ca="1">IFERROR(OFFSET(ITEM_RES!$A$1,MATCH(AW417,ITEM_RES!$J:$J,0)-1,0),0)</f>
        <v>211020401</v>
      </c>
      <c r="AW417" s="10" t="s">
        <v>428</v>
      </c>
      <c r="AX417" s="11">
        <v>620000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1446</v>
      </c>
      <c r="P418" s="55" t="s">
        <v>1448</v>
      </c>
      <c r="Q418" s="9" t="s">
        <v>687</v>
      </c>
      <c r="S418" s="81" t="s">
        <v>534</v>
      </c>
      <c r="T418" s="9">
        <f ca="1">IFERROR(OFFSET(ITEM_RES!$A$5,MATCH(BUILDING!S418,ITEM_RES!$J$5:$J$229,0)-1,0),0)</f>
        <v>211020201</v>
      </c>
      <c r="U418" s="11">
        <v>1</v>
      </c>
      <c r="V418" s="81" t="s">
        <v>536</v>
      </c>
      <c r="W418" s="11">
        <f ca="1">IFERROR(OFFSET(ITEM_RES!$A$5,MATCH(BUILDING!V418,ITEM_RES!$J$5:$J$229,0)-1,0),0)</f>
        <v>211020301</v>
      </c>
      <c r="Y418" s="9" t="s">
        <v>514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2444450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2444450</v>
      </c>
      <c r="AG418" s="176">
        <f t="shared" ca="1" si="113"/>
        <v>3869800</v>
      </c>
      <c r="AI418" s="11">
        <f t="shared" si="114"/>
        <v>14400</v>
      </c>
      <c r="AJ418" s="10">
        <v>14400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211020301</v>
      </c>
      <c r="AR418" s="10" t="s">
        <v>1072</v>
      </c>
      <c r="AS418" s="11">
        <v>970000</v>
      </c>
      <c r="AV418" s="11">
        <f ca="1">IFERROR(OFFSET(ITEM_RES!$A$1,MATCH(AW418,ITEM_RES!$J:$J,0)-1,0),0)</f>
        <v>211020401</v>
      </c>
      <c r="AW418" s="10" t="s">
        <v>428</v>
      </c>
      <c r="AX418" s="11">
        <v>970000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1446</v>
      </c>
      <c r="P419" s="55" t="s">
        <v>1448</v>
      </c>
      <c r="Q419" s="9" t="s">
        <v>687</v>
      </c>
      <c r="S419" s="81" t="s">
        <v>534</v>
      </c>
      <c r="T419" s="9">
        <f ca="1">IFERROR(OFFSET(ITEM_RES!$A$5,MATCH(BUILDING!S419,ITEM_RES!$J$5:$J$229,0)-1,0),0)</f>
        <v>211020201</v>
      </c>
      <c r="U419" s="11">
        <v>1</v>
      </c>
      <c r="V419" s="81" t="s">
        <v>536</v>
      </c>
      <c r="W419" s="11">
        <f ca="1">IFERROR(OFFSET(ITEM_RES!$A$5,MATCH(BUILDING!V419,ITEM_RES!$J$5:$J$229,0)-1,0),0)</f>
        <v>211020301</v>
      </c>
      <c r="Y419" s="9" t="s">
        <v>514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5525550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5525550</v>
      </c>
      <c r="AG419" s="176">
        <f t="shared" ca="1" si="113"/>
        <v>7970000</v>
      </c>
      <c r="AI419" s="11">
        <f t="shared" si="114"/>
        <v>16200</v>
      </c>
      <c r="AJ419" s="10">
        <v>16200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211020301</v>
      </c>
      <c r="AR419" s="10" t="s">
        <v>1072</v>
      </c>
      <c r="AS419" s="11">
        <v>2100000</v>
      </c>
      <c r="AV419" s="11">
        <f ca="1">IFERROR(OFFSET(ITEM_RES!$A$1,MATCH(AW419,ITEM_RES!$J:$J,0)-1,0),0)</f>
        <v>211020501</v>
      </c>
      <c r="AW419" s="10" t="s">
        <v>418</v>
      </c>
      <c r="AX419" s="11">
        <v>2100000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1446</v>
      </c>
      <c r="P420" s="55" t="s">
        <v>1448</v>
      </c>
      <c r="Q420" s="9" t="s">
        <v>687</v>
      </c>
      <c r="S420" s="81" t="s">
        <v>534</v>
      </c>
      <c r="T420" s="9">
        <f ca="1">IFERROR(OFFSET(ITEM_RES!$A$5,MATCH(BUILDING!S420,ITEM_RES!$J$5:$J$229,0)-1,0),0)</f>
        <v>211020201</v>
      </c>
      <c r="U420" s="11">
        <v>1</v>
      </c>
      <c r="V420" s="81" t="s">
        <v>536</v>
      </c>
      <c r="W420" s="11">
        <f ca="1">IFERROR(OFFSET(ITEM_RES!$A$5,MATCH(BUILDING!V420,ITEM_RES!$J$5:$J$229,0)-1,0),0)</f>
        <v>211020301</v>
      </c>
      <c r="Y420" s="9" t="s">
        <v>514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11370700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11370700</v>
      </c>
      <c r="AG420" s="176">
        <f t="shared" ca="1" si="113"/>
        <v>16896250</v>
      </c>
      <c r="AI420" s="11">
        <f t="shared" si="114"/>
        <v>18000</v>
      </c>
      <c r="AJ420" s="10">
        <v>18000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211020301</v>
      </c>
      <c r="AR420" s="10" t="s">
        <v>1072</v>
      </c>
      <c r="AS420" s="11">
        <v>4300000</v>
      </c>
      <c r="AV420" s="11">
        <f ca="1">IFERROR(OFFSET(ITEM_RES!$A$1,MATCH(AW420,ITEM_RES!$J:$J,0)-1,0),0)</f>
        <v>211020501</v>
      </c>
      <c r="AW420" s="10" t="s">
        <v>418</v>
      </c>
      <c r="AX420" s="11">
        <v>4300000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1446</v>
      </c>
      <c r="P421" s="55" t="s">
        <v>1448</v>
      </c>
      <c r="Q421" s="9" t="s">
        <v>687</v>
      </c>
      <c r="S421" s="81" t="s">
        <v>534</v>
      </c>
      <c r="T421" s="9">
        <f ca="1">IFERROR(OFFSET(ITEM_RES!$A$5,MATCH(BUILDING!S421,ITEM_RES!$J$5:$J$229,0)-1,0),0)</f>
        <v>211020201</v>
      </c>
      <c r="U421" s="11">
        <v>1</v>
      </c>
      <c r="V421" s="81" t="s">
        <v>536</v>
      </c>
      <c r="W421" s="11">
        <f ca="1">IFERROR(OFFSET(ITEM_RES!$A$5,MATCH(BUILDING!V421,ITEM_RES!$J$5:$J$229,0)-1,0),0)</f>
        <v>211020301</v>
      </c>
      <c r="Y421" s="9" t="s">
        <v>514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21350850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21350850</v>
      </c>
      <c r="AG421" s="176">
        <f t="shared" ca="1" si="113"/>
        <v>32721550</v>
      </c>
      <c r="AI421" s="11">
        <f t="shared" si="114"/>
        <v>19800</v>
      </c>
      <c r="AJ421" s="10">
        <v>19800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211020301</v>
      </c>
      <c r="AR421" s="10" t="s">
        <v>1072</v>
      </c>
      <c r="AS421" s="11">
        <v>8000000</v>
      </c>
      <c r="AV421" s="11">
        <f ca="1">IFERROR(OFFSET(ITEM_RES!$A$1,MATCH(AW421,ITEM_RES!$J:$J,0)-1,0),0)</f>
        <v>211020501</v>
      </c>
      <c r="AW421" s="10" t="s">
        <v>418</v>
      </c>
      <c r="AX421" s="11">
        <v>8000000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1446</v>
      </c>
      <c r="P422" s="55" t="s">
        <v>1448</v>
      </c>
      <c r="Q422" s="9" t="s">
        <v>687</v>
      </c>
      <c r="S422" s="81" t="s">
        <v>534</v>
      </c>
      <c r="T422" s="9">
        <f ca="1">IFERROR(OFFSET(ITEM_RES!$A$5,MATCH(BUILDING!S422,ITEM_RES!$J$5:$J$229,0)-1,0),0)</f>
        <v>211020201</v>
      </c>
      <c r="U422" s="11">
        <v>1</v>
      </c>
      <c r="V422" s="81" t="s">
        <v>536</v>
      </c>
      <c r="W422" s="11">
        <f ca="1">IFERROR(OFFSET(ITEM_RES!$A$5,MATCH(BUILDING!V422,ITEM_RES!$J$5:$J$229,0)-1,0),0)</f>
        <v>211020301</v>
      </c>
      <c r="Y422" s="9" t="s">
        <v>514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35201050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35201050</v>
      </c>
      <c r="AG422" s="176">
        <f t="shared" ca="1" si="113"/>
        <v>56551900</v>
      </c>
      <c r="AI422" s="11">
        <f t="shared" si="114"/>
        <v>21600</v>
      </c>
      <c r="AJ422" s="10">
        <v>21600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211020301</v>
      </c>
      <c r="AR422" s="10" t="s">
        <v>1072</v>
      </c>
      <c r="AS422" s="11">
        <v>13000000</v>
      </c>
      <c r="AV422" s="11">
        <f ca="1">IFERROR(OFFSET(ITEM_RES!$A$1,MATCH(AW422,ITEM_RES!$J:$J,0)-1,0),0)</f>
        <v>211020501</v>
      </c>
      <c r="AW422" s="10" t="s">
        <v>418</v>
      </c>
      <c r="AX422" s="11">
        <v>13000000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1446</v>
      </c>
      <c r="P423" s="55" t="s">
        <v>1448</v>
      </c>
      <c r="Q423" s="9" t="s">
        <v>687</v>
      </c>
      <c r="S423" s="81" t="s">
        <v>534</v>
      </c>
      <c r="T423" s="9">
        <f ca="1">IFERROR(OFFSET(ITEM_RES!$A$5,MATCH(BUILDING!S423,ITEM_RES!$J$5:$J$229,0)-1,0),0)</f>
        <v>211020201</v>
      </c>
      <c r="U423" s="11">
        <v>1</v>
      </c>
      <c r="V423" s="81" t="s">
        <v>536</v>
      </c>
      <c r="W423" s="11">
        <f ca="1">IFERROR(OFFSET(ITEM_RES!$A$5,MATCH(BUILDING!V423,ITEM_RES!$J$5:$J$229,0)-1,0),0)</f>
        <v>211020301</v>
      </c>
      <c r="Y423" s="9" t="s">
        <v>514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54501250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54501250</v>
      </c>
      <c r="AG423" s="176">
        <f t="shared" ca="1" si="113"/>
        <v>89702300</v>
      </c>
      <c r="AI423" s="11">
        <f t="shared" si="114"/>
        <v>23400</v>
      </c>
      <c r="AJ423" s="10">
        <v>23400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211020301</v>
      </c>
      <c r="AR423" s="10" t="s">
        <v>1072</v>
      </c>
      <c r="AS423" s="11">
        <v>20000000</v>
      </c>
      <c r="AV423" s="11">
        <f ca="1">IFERROR(OFFSET(ITEM_RES!$A$1,MATCH(AW423,ITEM_RES!$J:$J,0)-1,0),0)</f>
        <v>211020501</v>
      </c>
      <c r="AW423" s="10" t="s">
        <v>418</v>
      </c>
      <c r="AX423" s="11">
        <v>20000000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1446</v>
      </c>
      <c r="P424" s="55" t="s">
        <v>1448</v>
      </c>
      <c r="Q424" s="9" t="s">
        <v>687</v>
      </c>
      <c r="S424" s="81" t="s">
        <v>534</v>
      </c>
      <c r="T424" s="9">
        <f ca="1">IFERROR(OFFSET(ITEM_RES!$A$5,MATCH(BUILDING!S424,ITEM_RES!$J$5:$J$229,0)-1,0),0)</f>
        <v>211020201</v>
      </c>
      <c r="U424" s="11">
        <v>1</v>
      </c>
      <c r="V424" s="81" t="s">
        <v>536</v>
      </c>
      <c r="W424" s="11">
        <f ca="1">IFERROR(OFFSET(ITEM_RES!$A$5,MATCH(BUILDING!V424,ITEM_RES!$J$5:$J$229,0)-1,0),0)</f>
        <v>211020301</v>
      </c>
      <c r="Y424" s="9" t="s">
        <v>514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86801500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86801500</v>
      </c>
      <c r="AG424" s="176">
        <f t="shared" ca="1" si="113"/>
        <v>141302750</v>
      </c>
      <c r="AI424" s="11">
        <f t="shared" si="114"/>
        <v>25200</v>
      </c>
      <c r="AJ424" s="10">
        <v>25200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211020301</v>
      </c>
      <c r="AR424" s="10" t="s">
        <v>1072</v>
      </c>
      <c r="AS424" s="11">
        <v>32000000</v>
      </c>
      <c r="AV424" s="11">
        <f ca="1">IFERROR(OFFSET(ITEM_RES!$A$1,MATCH(AW424,ITEM_RES!$J:$J,0)-1,0),0)</f>
        <v>211020501</v>
      </c>
      <c r="AW424" s="10" t="s">
        <v>418</v>
      </c>
      <c r="AX424" s="11">
        <v>32000000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430</v>
      </c>
      <c r="L425" s="16"/>
      <c r="M425" s="16">
        <v>1</v>
      </c>
      <c r="N425" s="16">
        <v>15</v>
      </c>
      <c r="O425" s="137"/>
      <c r="P425" s="56"/>
      <c r="Q425" s="16" t="s">
        <v>688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515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1055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1055</v>
      </c>
      <c r="AG425" s="178">
        <f ca="1">AE425</f>
        <v>1055</v>
      </c>
      <c r="AH425" s="76"/>
      <c r="AI425" s="18">
        <f t="shared" si="114"/>
        <v>5</v>
      </c>
      <c r="AJ425" s="17">
        <v>5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428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442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430</v>
      </c>
      <c r="M426" s="9">
        <v>1</v>
      </c>
      <c r="N426" s="9">
        <v>15</v>
      </c>
      <c r="O426" s="138"/>
      <c r="Q426" s="9" t="s">
        <v>688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515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110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110</v>
      </c>
      <c r="AG426" s="176">
        <f ca="1">AE425+AE426</f>
        <v>1165</v>
      </c>
      <c r="AI426" s="11">
        <f t="shared" si="114"/>
        <v>10</v>
      </c>
      <c r="AJ426" s="10">
        <v>10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428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430</v>
      </c>
      <c r="M427" s="9">
        <v>1</v>
      </c>
      <c r="N427" s="9">
        <v>15</v>
      </c>
      <c r="O427" s="138"/>
      <c r="Q427" s="9" t="s">
        <v>688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515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165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165</v>
      </c>
      <c r="AG427" s="176">
        <f t="shared" ref="AG427:AG444" ca="1" si="117">AE426+AE427</f>
        <v>275</v>
      </c>
      <c r="AI427" s="11">
        <f t="shared" si="114"/>
        <v>30</v>
      </c>
      <c r="AJ427" s="10">
        <v>30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428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430</v>
      </c>
      <c r="M428" s="9">
        <v>1</v>
      </c>
      <c r="N428" s="9">
        <v>15</v>
      </c>
      <c r="O428" s="138"/>
      <c r="Q428" s="9" t="s">
        <v>688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515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625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625</v>
      </c>
      <c r="AG428" s="176">
        <f t="shared" ca="1" si="117"/>
        <v>790</v>
      </c>
      <c r="AI428" s="11">
        <f t="shared" si="114"/>
        <v>300</v>
      </c>
      <c r="AJ428" s="10">
        <v>300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428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430</v>
      </c>
      <c r="M429" s="9">
        <v>1</v>
      </c>
      <c r="N429" s="9">
        <v>15</v>
      </c>
      <c r="O429" s="138"/>
      <c r="Q429" s="9" t="s">
        <v>688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515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2740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2740</v>
      </c>
      <c r="AG429" s="176">
        <f t="shared" ca="1" si="117"/>
        <v>3365</v>
      </c>
      <c r="AI429" s="11">
        <f t="shared" si="114"/>
        <v>600</v>
      </c>
      <c r="AJ429" s="10">
        <v>600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428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430</v>
      </c>
      <c r="M430" s="9">
        <v>1</v>
      </c>
      <c r="N430" s="9">
        <v>15</v>
      </c>
      <c r="O430" s="138"/>
      <c r="Q430" s="9" t="s">
        <v>688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515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9050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9050</v>
      </c>
      <c r="AG430" s="176">
        <f t="shared" ca="1" si="117"/>
        <v>11790</v>
      </c>
      <c r="AI430" s="11">
        <f t="shared" si="114"/>
        <v>1200</v>
      </c>
      <c r="AJ430" s="10">
        <v>1200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428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430</v>
      </c>
      <c r="M431" s="9">
        <v>1</v>
      </c>
      <c r="N431" s="9">
        <v>15</v>
      </c>
      <c r="O431" s="138"/>
      <c r="Q431" s="9" t="s">
        <v>688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515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20100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20100</v>
      </c>
      <c r="AG431" s="176">
        <f t="shared" ca="1" si="117"/>
        <v>29150</v>
      </c>
      <c r="AI431" s="11">
        <f t="shared" si="114"/>
        <v>1800</v>
      </c>
      <c r="AJ431" s="10">
        <v>1800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428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689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515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50500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50500</v>
      </c>
      <c r="AG432" s="176">
        <f t="shared" ca="1" si="117"/>
        <v>70600</v>
      </c>
      <c r="AI432" s="11">
        <f t="shared" si="114"/>
        <v>3600</v>
      </c>
      <c r="AJ432" s="10">
        <v>3600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426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689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515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93750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93750</v>
      </c>
      <c r="AG433" s="176">
        <f t="shared" ca="1" si="117"/>
        <v>144250</v>
      </c>
      <c r="AI433" s="11">
        <f t="shared" si="114"/>
        <v>5400</v>
      </c>
      <c r="AJ433" s="10">
        <v>5400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426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689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515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156200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156200</v>
      </c>
      <c r="AG434" s="176">
        <f t="shared" ca="1" si="117"/>
        <v>249950</v>
      </c>
      <c r="AI434" s="11">
        <f t="shared" si="114"/>
        <v>7200</v>
      </c>
      <c r="AJ434" s="10">
        <v>7200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426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689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515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264250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264250</v>
      </c>
      <c r="AG435" s="176">
        <f t="shared" ca="1" si="117"/>
        <v>420450</v>
      </c>
      <c r="AI435" s="11">
        <f t="shared" si="114"/>
        <v>9000</v>
      </c>
      <c r="AJ435" s="10">
        <v>9000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426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689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515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444300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444300</v>
      </c>
      <c r="AG436" s="176">
        <f t="shared" ca="1" si="117"/>
        <v>708550</v>
      </c>
      <c r="AI436" s="11">
        <f t="shared" si="114"/>
        <v>10800</v>
      </c>
      <c r="AJ436" s="10">
        <v>10800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426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689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515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749350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749350</v>
      </c>
      <c r="AG437" s="176">
        <f t="shared" ca="1" si="117"/>
        <v>1193650</v>
      </c>
      <c r="AI437" s="11">
        <f t="shared" si="114"/>
        <v>12600</v>
      </c>
      <c r="AJ437" s="10">
        <v>12600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426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460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689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515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1164450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1164450</v>
      </c>
      <c r="AG438" s="176">
        <f t="shared" ca="1" si="117"/>
        <v>1913800</v>
      </c>
      <c r="AI438" s="11">
        <f t="shared" si="114"/>
        <v>14400</v>
      </c>
      <c r="AJ438" s="10">
        <v>14400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426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689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515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2520550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2520550</v>
      </c>
      <c r="AG439" s="176">
        <f t="shared" ca="1" si="117"/>
        <v>3685000</v>
      </c>
      <c r="AI439" s="11">
        <f t="shared" si="114"/>
        <v>16200</v>
      </c>
      <c r="AJ439" s="10">
        <v>16200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426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689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515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5160700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5160700</v>
      </c>
      <c r="AG440" s="176">
        <f t="shared" ca="1" si="117"/>
        <v>7681250</v>
      </c>
      <c r="AI440" s="11">
        <f t="shared" si="114"/>
        <v>18000</v>
      </c>
      <c r="AJ440" s="10">
        <v>18000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426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689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515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9600850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9600850</v>
      </c>
      <c r="AG441" s="176">
        <f t="shared" ca="1" si="117"/>
        <v>14761550</v>
      </c>
      <c r="AI441" s="11">
        <f t="shared" si="114"/>
        <v>19800</v>
      </c>
      <c r="AJ441" s="10">
        <v>19800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426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689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515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15601050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15601050</v>
      </c>
      <c r="AG442" s="176">
        <f t="shared" ca="1" si="117"/>
        <v>25201900</v>
      </c>
      <c r="AI442" s="11">
        <f t="shared" si="114"/>
        <v>21600</v>
      </c>
      <c r="AJ442" s="10">
        <v>21600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426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689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515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24001250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24001250</v>
      </c>
      <c r="AG443" s="176">
        <f t="shared" ca="1" si="117"/>
        <v>39602300</v>
      </c>
      <c r="AI443" s="11">
        <f t="shared" si="114"/>
        <v>23400</v>
      </c>
      <c r="AJ443" s="10">
        <v>23400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426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689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515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38401500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38401500</v>
      </c>
      <c r="AG444" s="176">
        <f t="shared" ca="1" si="117"/>
        <v>62402750</v>
      </c>
      <c r="AI444" s="11">
        <f t="shared" si="114"/>
        <v>25200</v>
      </c>
      <c r="AJ444" s="10">
        <v>25200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426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1142</v>
      </c>
      <c r="P445" s="56" t="s">
        <v>1400</v>
      </c>
      <c r="Q445" s="16" t="s">
        <v>690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516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1030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1030</v>
      </c>
      <c r="AG445" s="178">
        <f ca="1">AE445</f>
        <v>1030</v>
      </c>
      <c r="AH445" s="76"/>
      <c r="AI445" s="18">
        <f t="shared" si="114"/>
        <v>5</v>
      </c>
      <c r="AJ445" s="17">
        <v>5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2</v>
      </c>
      <c r="AP445" s="18"/>
      <c r="AQ445" s="18">
        <f ca="1">IFERROR(OFFSET(ITEM_RES!$A$1,MATCH(AR445,ITEM_RES!$J:$J,0)-1,0),0)</f>
        <v>211020201</v>
      </c>
      <c r="AR445" s="17" t="s">
        <v>1340</v>
      </c>
      <c r="AS445" s="18">
        <v>25</v>
      </c>
      <c r="AT445" s="17"/>
      <c r="AU445" s="18"/>
      <c r="AV445" s="18">
        <f ca="1">IFERROR(OFFSET(ITEM_RES!$A$1,MATCH(AW445,ITEM_RES!$J:$J,0)-1,0),0)</f>
        <v>0</v>
      </c>
      <c r="AW445" s="17"/>
      <c r="AX445" s="18"/>
      <c r="AY445" s="17"/>
      <c r="AZ445" s="18"/>
      <c r="BA445" s="18">
        <f ca="1">IFERROR(OFFSET(ITEM_RES!$A$1,MATCH(BB445,ITEM_RES!$J:$J,0)-1,0),0)</f>
        <v>213010101</v>
      </c>
      <c r="BB445" s="17" t="s">
        <v>442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1140</v>
      </c>
      <c r="P446" s="55" t="s">
        <v>1400</v>
      </c>
      <c r="Q446" s="9" t="s">
        <v>690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516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60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60</v>
      </c>
      <c r="AG446" s="176">
        <f ca="1">AE445+AE446</f>
        <v>1090</v>
      </c>
      <c r="AI446" s="11">
        <f t="shared" si="114"/>
        <v>10</v>
      </c>
      <c r="AJ446" s="10">
        <v>10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1</v>
      </c>
      <c r="AQ446" s="11">
        <f ca="1">IFERROR(OFFSET(ITEM_RES!$A$1,MATCH(AR446,ITEM_RES!$J:$J,0)-1,0),0)</f>
        <v>211020201</v>
      </c>
      <c r="AR446" s="10" t="s">
        <v>1340</v>
      </c>
      <c r="AS446" s="11">
        <v>50</v>
      </c>
      <c r="AV446" s="11">
        <f ca="1">IFERROR(OFFSET(ITEM_RES!$A$1,MATCH(AW446,ITEM_RES!$J:$J,0)-1,0),0)</f>
        <v>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1141</v>
      </c>
      <c r="P447" s="55" t="s">
        <v>1401</v>
      </c>
      <c r="Q447" s="9" t="s">
        <v>690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516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90</v>
      </c>
      <c r="AG447" s="176">
        <f t="shared" ref="AG447:AG464" ca="1" si="122">AE446+AE447</f>
        <v>150</v>
      </c>
      <c r="AI447" s="11">
        <f t="shared" si="114"/>
        <v>30</v>
      </c>
      <c r="AJ447" s="10">
        <v>30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1</v>
      </c>
      <c r="AQ447" s="11">
        <f ca="1">IFERROR(OFFSET(ITEM_RES!$A$1,MATCH(AR447,ITEM_RES!$J:$J,0)-1,0),0)</f>
        <v>211020201</v>
      </c>
      <c r="AR447" s="10" t="s">
        <v>1340</v>
      </c>
      <c r="AS447" s="11">
        <v>75</v>
      </c>
      <c r="AV447" s="11">
        <f ca="1">IFERROR(OFFSET(ITEM_RES!$A$1,MATCH(AW447,ITEM_RES!$J:$J,0)-1,0),0)</f>
        <v>0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1141</v>
      </c>
      <c r="P448" s="55" t="s">
        <v>1401</v>
      </c>
      <c r="Q448" s="9" t="s">
        <v>690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516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325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325</v>
      </c>
      <c r="AG448" s="176">
        <f t="shared" ca="1" si="122"/>
        <v>415</v>
      </c>
      <c r="AI448" s="11">
        <f t="shared" si="114"/>
        <v>300</v>
      </c>
      <c r="AJ448" s="10">
        <v>300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1</v>
      </c>
      <c r="AQ448" s="11">
        <f ca="1">IFERROR(OFFSET(ITEM_RES!$A$1,MATCH(AR448,ITEM_RES!$J:$J,0)-1,0),0)</f>
        <v>211020201</v>
      </c>
      <c r="AR448" s="10" t="s">
        <v>1340</v>
      </c>
      <c r="AS448" s="11">
        <v>300</v>
      </c>
      <c r="AV448" s="11">
        <f ca="1">IFERROR(OFFSET(ITEM_RES!$A$1,MATCH(AW448,ITEM_RES!$J:$J,0)-1,0),0)</f>
        <v>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1143</v>
      </c>
      <c r="P449" s="55" t="s">
        <v>1402</v>
      </c>
      <c r="Q449" s="9" t="s">
        <v>690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516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1390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1390</v>
      </c>
      <c r="AG449" s="176">
        <f t="shared" ca="1" si="122"/>
        <v>1715</v>
      </c>
      <c r="AI449" s="11">
        <f t="shared" si="114"/>
        <v>600</v>
      </c>
      <c r="AJ449" s="10">
        <v>600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1</v>
      </c>
      <c r="AQ449" s="11">
        <f ca="1">IFERROR(OFFSET(ITEM_RES!$A$1,MATCH(AR449,ITEM_RES!$J:$J,0)-1,0),0)</f>
        <v>211020201</v>
      </c>
      <c r="AR449" s="10" t="s">
        <v>1340</v>
      </c>
      <c r="AS449" s="11">
        <v>1350</v>
      </c>
      <c r="AV449" s="11">
        <f ca="1">IFERROR(OFFSET(ITEM_RES!$A$1,MATCH(AW449,ITEM_RES!$J:$J,0)-1,0),0)</f>
        <v>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1143</v>
      </c>
      <c r="P450" s="55" t="s">
        <v>1402</v>
      </c>
      <c r="Q450" s="9" t="s">
        <v>690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516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4550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4550</v>
      </c>
      <c r="AG450" s="176">
        <f t="shared" ca="1" si="122"/>
        <v>5940</v>
      </c>
      <c r="AI450" s="11">
        <f t="shared" si="114"/>
        <v>1200</v>
      </c>
      <c r="AJ450" s="10">
        <v>1200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1</v>
      </c>
      <c r="AQ450" s="11">
        <f ca="1">IFERROR(OFFSET(ITEM_RES!$A$1,MATCH(AR450,ITEM_RES!$J:$J,0)-1,0),0)</f>
        <v>211020201</v>
      </c>
      <c r="AR450" s="10" t="s">
        <v>1340</v>
      </c>
      <c r="AS450" s="11">
        <v>4500</v>
      </c>
      <c r="AV450" s="11">
        <f ca="1">IFERROR(OFFSET(ITEM_RES!$A$1,MATCH(AW450,ITEM_RES!$J:$J,0)-1,0),0)</f>
        <v>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1144</v>
      </c>
      <c r="P451" s="55" t="s">
        <v>1403</v>
      </c>
      <c r="Q451" s="9" t="s">
        <v>690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516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10100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10100</v>
      </c>
      <c r="AG451" s="176">
        <f t="shared" ca="1" si="122"/>
        <v>14650</v>
      </c>
      <c r="AI451" s="11">
        <f t="shared" si="114"/>
        <v>1800</v>
      </c>
      <c r="AJ451" s="10">
        <v>1800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1</v>
      </c>
      <c r="AQ451" s="11">
        <f ca="1">IFERROR(OFFSET(ITEM_RES!$A$1,MATCH(AR451,ITEM_RES!$J:$J,0)-1,0),0)</f>
        <v>211020201</v>
      </c>
      <c r="AR451" s="10" t="s">
        <v>1340</v>
      </c>
      <c r="AS451" s="11">
        <v>10000</v>
      </c>
      <c r="AV451" s="11">
        <f ca="1">IFERROR(OFFSET(ITEM_RES!$A$1,MATCH(AW451,ITEM_RES!$J:$J,0)-1,0),0)</f>
        <v>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1144</v>
      </c>
      <c r="P452" s="55" t="s">
        <v>1403</v>
      </c>
      <c r="Q452" s="9" t="s">
        <v>690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516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25300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25300</v>
      </c>
      <c r="AG452" s="176">
        <f t="shared" ca="1" si="122"/>
        <v>35400</v>
      </c>
      <c r="AI452" s="11">
        <f t="shared" si="114"/>
        <v>3600</v>
      </c>
      <c r="AJ452" s="10">
        <v>3600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1</v>
      </c>
      <c r="AQ452" s="11">
        <f ca="1">IFERROR(OFFSET(ITEM_RES!$A$1,MATCH(AR452,ITEM_RES!$J:$J,0)-1,0),0)</f>
        <v>211020301</v>
      </c>
      <c r="AR452" s="10" t="s">
        <v>1341</v>
      </c>
      <c r="AS452" s="11">
        <v>21000</v>
      </c>
      <c r="AV452" s="11">
        <f ca="1">IFERROR(OFFSET(ITEM_RES!$A$1,MATCH(AW452,ITEM_RES!$J:$J,0)-1,0),0)</f>
        <v>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1451</v>
      </c>
      <c r="P453" s="55" t="s">
        <v>1453</v>
      </c>
      <c r="Q453" s="9" t="s">
        <v>690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516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46950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46950</v>
      </c>
      <c r="AG453" s="176">
        <f t="shared" ca="1" si="122"/>
        <v>72250</v>
      </c>
      <c r="AI453" s="11">
        <f t="shared" si="114"/>
        <v>5400</v>
      </c>
      <c r="AJ453" s="10">
        <v>5400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1</v>
      </c>
      <c r="AQ453" s="11">
        <f ca="1">IFERROR(OFFSET(ITEM_RES!$A$1,MATCH(AR453,ITEM_RES!$J:$J,0)-1,0),0)</f>
        <v>211020301</v>
      </c>
      <c r="AR453" s="10" t="s">
        <v>1341</v>
      </c>
      <c r="AS453" s="11">
        <v>39000</v>
      </c>
      <c r="AV453" s="11">
        <f ca="1">IFERROR(OFFSET(ITEM_RES!$A$1,MATCH(AW453,ITEM_RES!$J:$J,0)-1,0),0)</f>
        <v>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1451</v>
      </c>
      <c r="P454" s="55" t="s">
        <v>1453</v>
      </c>
      <c r="Q454" s="9" t="s">
        <v>690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516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78700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78700</v>
      </c>
      <c r="AG454" s="176">
        <f t="shared" ca="1" si="122"/>
        <v>125650</v>
      </c>
      <c r="AI454" s="11">
        <f t="shared" si="114"/>
        <v>7200</v>
      </c>
      <c r="AJ454" s="10">
        <v>7200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1</v>
      </c>
      <c r="AQ454" s="11">
        <f ca="1">IFERROR(OFFSET(ITEM_RES!$A$1,MATCH(AR454,ITEM_RES!$J:$J,0)-1,0),0)</f>
        <v>211020301</v>
      </c>
      <c r="AR454" s="10" t="s">
        <v>1341</v>
      </c>
      <c r="AS454" s="11">
        <v>65000</v>
      </c>
      <c r="AV454" s="11">
        <f ca="1">IFERROR(OFFSET(ITEM_RES!$A$1,MATCH(AW454,ITEM_RES!$J:$J,0)-1,0),0)</f>
        <v>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1450</v>
      </c>
      <c r="P455" s="55" t="s">
        <v>1452</v>
      </c>
      <c r="Q455" s="9" t="s">
        <v>690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516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138250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138250</v>
      </c>
      <c r="AG455" s="176">
        <f t="shared" ca="1" si="122"/>
        <v>216950</v>
      </c>
      <c r="AI455" s="11">
        <f t="shared" si="114"/>
        <v>9000</v>
      </c>
      <c r="AJ455" s="10">
        <v>9000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1</v>
      </c>
      <c r="AQ455" s="11">
        <f ca="1">IFERROR(OFFSET(ITEM_RES!$A$1,MATCH(AR455,ITEM_RES!$J:$J,0)-1,0),0)</f>
        <v>211020301</v>
      </c>
      <c r="AR455" s="10" t="s">
        <v>1341</v>
      </c>
      <c r="AS455" s="11">
        <v>110000</v>
      </c>
      <c r="AV455" s="11">
        <f ca="1">IFERROR(OFFSET(ITEM_RES!$A$1,MATCH(AW455,ITEM_RES!$J:$J,0)-1,0),0)</f>
        <v>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1450</v>
      </c>
      <c r="P456" s="55" t="s">
        <v>1452</v>
      </c>
      <c r="Q456" s="9" t="s">
        <v>690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516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1890300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1890300</v>
      </c>
      <c r="AG456" s="176">
        <f t="shared" ca="1" si="122"/>
        <v>2028550</v>
      </c>
      <c r="AI456" s="11">
        <f t="shared" si="114"/>
        <v>10800</v>
      </c>
      <c r="AJ456" s="10">
        <v>10800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2</v>
      </c>
      <c r="AQ456" s="11">
        <f ca="1">IFERROR(OFFSET(ITEM_RES!$A$1,MATCH(AR456,ITEM_RES!$J:$J,0)-1,0),0)</f>
        <v>211020801</v>
      </c>
      <c r="AR456" s="10" t="s">
        <v>385</v>
      </c>
      <c r="AS456" s="11">
        <v>185000</v>
      </c>
      <c r="AV456" s="11">
        <f ca="1">IFERROR(OFFSET(ITEM_RES!$A$1,MATCH(AW456,ITEM_RES!$J:$J,0)-1,0),0)</f>
        <v>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461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1450</v>
      </c>
      <c r="P457" s="55" t="s">
        <v>1452</v>
      </c>
      <c r="Q457" s="9" t="s">
        <v>690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516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3285350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3285350</v>
      </c>
      <c r="AG457" s="176">
        <f t="shared" ca="1" si="122"/>
        <v>5175650</v>
      </c>
      <c r="AI457" s="11">
        <f t="shared" si="114"/>
        <v>12600</v>
      </c>
      <c r="AJ457" s="10">
        <v>12600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1</v>
      </c>
      <c r="AQ457" s="11">
        <f ca="1">IFERROR(OFFSET(ITEM_RES!$A$1,MATCH(AR457,ITEM_RES!$J:$J,0)-1,0),0)</f>
        <v>211020801</v>
      </c>
      <c r="AR457" s="10" t="s">
        <v>385</v>
      </c>
      <c r="AS457" s="11">
        <v>310000</v>
      </c>
      <c r="AV457" s="11">
        <f ca="1">IFERROR(OFFSET(ITEM_RES!$A$1,MATCH(AW457,ITEM_RES!$J:$J,0)-1,0),0)</f>
        <v>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1450</v>
      </c>
      <c r="P458" s="55" t="s">
        <v>1452</v>
      </c>
      <c r="Q458" s="9" t="s">
        <v>690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516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5160450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5160450</v>
      </c>
      <c r="AG458" s="176">
        <f t="shared" ca="1" si="122"/>
        <v>8445800</v>
      </c>
      <c r="AI458" s="11">
        <f t="shared" si="114"/>
        <v>14400</v>
      </c>
      <c r="AJ458" s="10">
        <v>14400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1</v>
      </c>
      <c r="AQ458" s="11">
        <f ca="1">IFERROR(OFFSET(ITEM_RES!$A$1,MATCH(AR458,ITEM_RES!$J:$J,0)-1,0),0)</f>
        <v>211020801</v>
      </c>
      <c r="AR458" s="10" t="s">
        <v>385</v>
      </c>
      <c r="AS458" s="11">
        <v>485000</v>
      </c>
      <c r="AV458" s="11">
        <f ca="1">IFERROR(OFFSET(ITEM_RES!$A$1,MATCH(AW458,ITEM_RES!$J:$J,0)-1,0),0)</f>
        <v>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1450</v>
      </c>
      <c r="P459" s="55" t="s">
        <v>1452</v>
      </c>
      <c r="Q459" s="9" t="s">
        <v>690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516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10985550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10985550</v>
      </c>
      <c r="AG459" s="176">
        <f t="shared" ca="1" si="122"/>
        <v>16146000</v>
      </c>
      <c r="AI459" s="11">
        <f t="shared" si="114"/>
        <v>16200</v>
      </c>
      <c r="AJ459" s="10">
        <v>16200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1</v>
      </c>
      <c r="AQ459" s="11">
        <f ca="1">IFERROR(OFFSET(ITEM_RES!$A$1,MATCH(AR459,ITEM_RES!$J:$J,0)-1,0),0)</f>
        <v>211020801</v>
      </c>
      <c r="AR459" s="10" t="s">
        <v>385</v>
      </c>
      <c r="AS459" s="11">
        <v>1050000</v>
      </c>
      <c r="AV459" s="11">
        <f ca="1">IFERROR(OFFSET(ITEM_RES!$A$1,MATCH(AW459,ITEM_RES!$J:$J,0)-1,0),0)</f>
        <v>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1450</v>
      </c>
      <c r="P460" s="55" t="s">
        <v>1452</v>
      </c>
      <c r="Q460" s="9" t="s">
        <v>690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516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26850700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26850700</v>
      </c>
      <c r="AG460" s="176">
        <f t="shared" ca="1" si="122"/>
        <v>37836250</v>
      </c>
      <c r="AI460" s="11">
        <f t="shared" si="114"/>
        <v>18000</v>
      </c>
      <c r="AJ460" s="10">
        <v>18000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1</v>
      </c>
      <c r="AQ460" s="11">
        <f ca="1">IFERROR(OFFSET(ITEM_RES!$A$1,MATCH(AR460,ITEM_RES!$J:$J,0)-1,0),0)</f>
        <v>211020901</v>
      </c>
      <c r="AR460" s="10" t="s">
        <v>437</v>
      </c>
      <c r="AS460" s="11">
        <v>2150000</v>
      </c>
      <c r="AV460" s="11">
        <f ca="1">IFERROR(OFFSET(ITEM_RES!$A$1,MATCH(AW460,ITEM_RES!$J:$J,0)-1,0),0)</f>
        <v>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1450</v>
      </c>
      <c r="P461" s="55" t="s">
        <v>1452</v>
      </c>
      <c r="Q461" s="9" t="s">
        <v>690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516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50150850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50150850</v>
      </c>
      <c r="AG461" s="176">
        <f t="shared" ca="1" si="122"/>
        <v>77001550</v>
      </c>
      <c r="AI461" s="11">
        <f t="shared" si="114"/>
        <v>19800</v>
      </c>
      <c r="AJ461" s="10">
        <v>19800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1</v>
      </c>
      <c r="AQ461" s="11">
        <f ca="1">IFERROR(OFFSET(ITEM_RES!$A$1,MATCH(AR461,ITEM_RES!$J:$J,0)-1,0),0)</f>
        <v>211020901</v>
      </c>
      <c r="AR461" s="10" t="s">
        <v>437</v>
      </c>
      <c r="AS461" s="11">
        <v>4000000</v>
      </c>
      <c r="AV461" s="11">
        <f ca="1">IFERROR(OFFSET(ITEM_RES!$A$1,MATCH(AW461,ITEM_RES!$J:$J,0)-1,0),0)</f>
        <v>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1450</v>
      </c>
      <c r="P462" s="55" t="s">
        <v>1452</v>
      </c>
      <c r="Q462" s="9" t="s">
        <v>690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516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82001050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82001050</v>
      </c>
      <c r="AG462" s="176">
        <f t="shared" ca="1" si="122"/>
        <v>132151900</v>
      </c>
      <c r="AI462" s="11">
        <f t="shared" si="114"/>
        <v>21600</v>
      </c>
      <c r="AJ462" s="10">
        <v>21600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1</v>
      </c>
      <c r="AQ462" s="11">
        <f ca="1">IFERROR(OFFSET(ITEM_RES!$A$1,MATCH(AR462,ITEM_RES!$J:$J,0)-1,0),0)</f>
        <v>211020901</v>
      </c>
      <c r="AR462" s="10" t="s">
        <v>437</v>
      </c>
      <c r="AS462" s="11">
        <v>6500000</v>
      </c>
      <c r="AV462" s="11">
        <f ca="1">IFERROR(OFFSET(ITEM_RES!$A$1,MATCH(AW462,ITEM_RES!$J:$J,0)-1,0),0)</f>
        <v>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1450</v>
      </c>
      <c r="P463" s="55" t="s">
        <v>1452</v>
      </c>
      <c r="Q463" s="9" t="s">
        <v>690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516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126501250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126501250</v>
      </c>
      <c r="AG463" s="176">
        <f t="shared" ca="1" si="122"/>
        <v>208502300</v>
      </c>
      <c r="AI463" s="11">
        <f t="shared" si="114"/>
        <v>23400</v>
      </c>
      <c r="AJ463" s="10">
        <v>23400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1</v>
      </c>
      <c r="AQ463" s="11">
        <f ca="1">IFERROR(OFFSET(ITEM_RES!$A$1,MATCH(AR463,ITEM_RES!$J:$J,0)-1,0),0)</f>
        <v>211020901</v>
      </c>
      <c r="AR463" s="10" t="s">
        <v>437</v>
      </c>
      <c r="AS463" s="11">
        <v>10000000</v>
      </c>
      <c r="AV463" s="11">
        <f ca="1">IFERROR(OFFSET(ITEM_RES!$A$1,MATCH(AW463,ITEM_RES!$J:$J,0)-1,0),0)</f>
        <v>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1450</v>
      </c>
      <c r="P464" s="55" t="s">
        <v>1452</v>
      </c>
      <c r="Q464" s="9" t="s">
        <v>690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516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202001500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202001500</v>
      </c>
      <c r="AG464" s="176">
        <f t="shared" ca="1" si="122"/>
        <v>328502750</v>
      </c>
      <c r="AI464" s="11">
        <f t="shared" si="114"/>
        <v>25200</v>
      </c>
      <c r="AJ464" s="10">
        <v>25200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1</v>
      </c>
      <c r="AQ464" s="11">
        <f ca="1">IFERROR(OFFSET(ITEM_RES!$A$1,MATCH(AR464,ITEM_RES!$J:$J,0)-1,0),0)</f>
        <v>211020901</v>
      </c>
      <c r="AR464" s="10" t="s">
        <v>437</v>
      </c>
      <c r="AS464" s="11">
        <v>16000000</v>
      </c>
      <c r="AV464" s="11">
        <f ca="1">IFERROR(OFFSET(ITEM_RES!$A$1,MATCH(AW464,ITEM_RES!$J:$J,0)-1,0),0)</f>
        <v>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1007</v>
      </c>
      <c r="L465" s="16">
        <v>5</v>
      </c>
      <c r="M465" s="16">
        <v>1</v>
      </c>
      <c r="N465" s="16">
        <v>15</v>
      </c>
      <c r="O465" s="16" t="s">
        <v>1145</v>
      </c>
      <c r="P465" s="56" t="s">
        <v>1404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517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2505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2505</v>
      </c>
      <c r="AG465" s="178">
        <f ca="1">AE465</f>
        <v>2505</v>
      </c>
      <c r="AH465" s="76"/>
      <c r="AI465" s="18">
        <f t="shared" si="114"/>
        <v>5</v>
      </c>
      <c r="AJ465" s="17">
        <v>5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429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442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464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1007</v>
      </c>
      <c r="M466" s="9">
        <v>1</v>
      </c>
      <c r="N466" s="9">
        <v>15</v>
      </c>
      <c r="O466" s="9" t="s">
        <v>1146</v>
      </c>
      <c r="P466" s="55" t="s">
        <v>1404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517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1010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1010</v>
      </c>
      <c r="AG466" s="176">
        <f ca="1">AE465+AE466</f>
        <v>3515</v>
      </c>
      <c r="AI466" s="11">
        <f t="shared" si="114"/>
        <v>10</v>
      </c>
      <c r="AJ466" s="10">
        <v>10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429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1147</v>
      </c>
      <c r="P467" s="55" t="s">
        <v>1405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517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1515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1515</v>
      </c>
      <c r="AG467" s="176">
        <f t="shared" ref="AG467:AG484" ca="1" si="123">AE466+AE467</f>
        <v>2525</v>
      </c>
      <c r="AI467" s="11">
        <f t="shared" si="114"/>
        <v>30</v>
      </c>
      <c r="AJ467" s="10">
        <v>30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429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1147</v>
      </c>
      <c r="P468" s="55" t="s">
        <v>1405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517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6050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6050</v>
      </c>
      <c r="AG468" s="176">
        <f t="shared" ca="1" si="123"/>
        <v>7565</v>
      </c>
      <c r="AI468" s="11">
        <f t="shared" si="114"/>
        <v>300</v>
      </c>
      <c r="AJ468" s="10">
        <v>300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429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1147</v>
      </c>
      <c r="P469" s="55" t="s">
        <v>1405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517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28390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28390</v>
      </c>
      <c r="AG469" s="176">
        <f t="shared" ca="1" si="123"/>
        <v>34440</v>
      </c>
      <c r="AI469" s="11">
        <f t="shared" si="114"/>
        <v>600</v>
      </c>
      <c r="AJ469" s="10">
        <v>600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429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1147</v>
      </c>
      <c r="P470" s="55" t="s">
        <v>1405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517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94550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94550</v>
      </c>
      <c r="AG470" s="176">
        <f t="shared" ca="1" si="123"/>
        <v>122940</v>
      </c>
      <c r="AI470" s="11">
        <f t="shared" si="114"/>
        <v>1200</v>
      </c>
      <c r="AJ470" s="10">
        <v>1200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429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1147</v>
      </c>
      <c r="P471" s="55" t="s">
        <v>1405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517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210100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210100</v>
      </c>
      <c r="AG471" s="176">
        <f t="shared" ca="1" si="123"/>
        <v>304650</v>
      </c>
      <c r="AI471" s="11">
        <f t="shared" si="114"/>
        <v>1800</v>
      </c>
      <c r="AJ471" s="10">
        <v>1800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429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1147</v>
      </c>
      <c r="P472" s="55" t="s">
        <v>1405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517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441100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441100</v>
      </c>
      <c r="AG472" s="176">
        <f t="shared" ca="1" si="123"/>
        <v>651200</v>
      </c>
      <c r="AI472" s="11">
        <f t="shared" si="114"/>
        <v>3600</v>
      </c>
      <c r="AJ472" s="10">
        <v>3600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429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1148</v>
      </c>
      <c r="P473" s="55" t="s">
        <v>1406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517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819150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819150</v>
      </c>
      <c r="AG473" s="176">
        <f t="shared" ca="1" si="123"/>
        <v>1260250</v>
      </c>
      <c r="AI473" s="11">
        <f t="shared" ref="AI473:AI504" si="124">ROUND(AJ473,0)</f>
        <v>5400</v>
      </c>
      <c r="AJ473" s="10">
        <v>5400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429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1148</v>
      </c>
      <c r="P474" s="55" t="s">
        <v>1406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517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1366200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1366200</v>
      </c>
      <c r="AG474" s="176">
        <f t="shared" ca="1" si="123"/>
        <v>2185350</v>
      </c>
      <c r="AI474" s="11">
        <f t="shared" si="124"/>
        <v>7200</v>
      </c>
      <c r="AJ474" s="10">
        <v>7200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429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465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1148</v>
      </c>
      <c r="P475" s="55" t="s">
        <v>1406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517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2310250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2310250</v>
      </c>
      <c r="AG475" s="176">
        <f t="shared" ca="1" si="123"/>
        <v>3676450</v>
      </c>
      <c r="AI475" s="11">
        <f t="shared" si="124"/>
        <v>9000</v>
      </c>
      <c r="AJ475" s="10">
        <v>9000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429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1148</v>
      </c>
      <c r="P476" s="55" t="s">
        <v>1406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517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3885300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3885300</v>
      </c>
      <c r="AG476" s="176">
        <f t="shared" ca="1" si="123"/>
        <v>6195550</v>
      </c>
      <c r="AI476" s="11">
        <f t="shared" si="124"/>
        <v>10800</v>
      </c>
      <c r="AJ476" s="10">
        <v>10800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429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1149</v>
      </c>
      <c r="P477" s="55" t="s">
        <v>1407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517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6510350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6510350</v>
      </c>
      <c r="AG477" s="176">
        <f t="shared" ca="1" si="123"/>
        <v>10395650</v>
      </c>
      <c r="AI477" s="11">
        <f t="shared" si="124"/>
        <v>12600</v>
      </c>
      <c r="AJ477" s="10">
        <v>12600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429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1149</v>
      </c>
      <c r="P478" s="55" t="s">
        <v>1407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517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10185450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10185450</v>
      </c>
      <c r="AG478" s="176">
        <f t="shared" ca="1" si="123"/>
        <v>16695800</v>
      </c>
      <c r="AI478" s="11">
        <f t="shared" si="124"/>
        <v>14400</v>
      </c>
      <c r="AJ478" s="10">
        <v>14400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429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1150</v>
      </c>
      <c r="P479" s="55" t="s">
        <v>1408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517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22050550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22050550</v>
      </c>
      <c r="AG479" s="176">
        <f t="shared" ca="1" si="123"/>
        <v>32236000</v>
      </c>
      <c r="AI479" s="11">
        <f t="shared" si="124"/>
        <v>16200</v>
      </c>
      <c r="AJ479" s="10">
        <v>16200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429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1150</v>
      </c>
      <c r="P480" s="55" t="s">
        <v>1408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517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53750700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53750700</v>
      </c>
      <c r="AG480" s="176">
        <f t="shared" ca="1" si="123"/>
        <v>75801250</v>
      </c>
      <c r="AI480" s="11">
        <f t="shared" si="124"/>
        <v>18000</v>
      </c>
      <c r="AJ480" s="10">
        <v>18000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435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1150</v>
      </c>
      <c r="P481" s="55" t="s">
        <v>1408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517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100000850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100000850</v>
      </c>
      <c r="AG481" s="176">
        <f t="shared" ca="1" si="123"/>
        <v>153751550</v>
      </c>
      <c r="AI481" s="11">
        <f t="shared" si="124"/>
        <v>19800</v>
      </c>
      <c r="AJ481" s="10">
        <v>19800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435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1150</v>
      </c>
      <c r="P482" s="55" t="s">
        <v>1408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517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162501050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162501050</v>
      </c>
      <c r="AG482" s="176">
        <f t="shared" ca="1" si="123"/>
        <v>262501900</v>
      </c>
      <c r="AI482" s="11">
        <f t="shared" si="124"/>
        <v>21600</v>
      </c>
      <c r="AJ482" s="10">
        <v>21600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435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1150</v>
      </c>
      <c r="P483" s="55" t="s">
        <v>1408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517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250001250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250001250</v>
      </c>
      <c r="AG483" s="176">
        <f t="shared" ca="1" si="123"/>
        <v>412502300</v>
      </c>
      <c r="AI483" s="11">
        <f t="shared" si="124"/>
        <v>23400</v>
      </c>
      <c r="AJ483" s="10">
        <v>23400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435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1150</v>
      </c>
      <c r="P484" s="55" t="s">
        <v>1408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517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400001500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400001500</v>
      </c>
      <c r="AG484" s="176">
        <f t="shared" ca="1" si="123"/>
        <v>650002750</v>
      </c>
      <c r="AI484" s="11">
        <f t="shared" si="124"/>
        <v>25200</v>
      </c>
      <c r="AJ484" s="10">
        <v>25200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435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1008</v>
      </c>
      <c r="L485" s="16">
        <v>1</v>
      </c>
      <c r="M485" s="16">
        <v>1</v>
      </c>
      <c r="N485" s="16">
        <v>15</v>
      </c>
      <c r="O485" s="16" t="s">
        <v>1151</v>
      </c>
      <c r="P485" s="56" t="s">
        <v>1409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2255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2255</v>
      </c>
      <c r="AG485" s="178">
        <f ca="1">AE485</f>
        <v>2255</v>
      </c>
      <c r="AH485" s="76"/>
      <c r="AI485" s="18">
        <f t="shared" si="124"/>
        <v>5</v>
      </c>
      <c r="AJ485" s="17">
        <v>5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429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442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464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1008</v>
      </c>
      <c r="M486" s="9">
        <v>1</v>
      </c>
      <c r="N486" s="9">
        <v>15</v>
      </c>
      <c r="O486" s="9" t="s">
        <v>1152</v>
      </c>
      <c r="P486" s="55" t="s">
        <v>1409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510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510</v>
      </c>
      <c r="AG486" s="176">
        <f ca="1">AE485+AE486</f>
        <v>2765</v>
      </c>
      <c r="AI486" s="11">
        <f t="shared" si="124"/>
        <v>10</v>
      </c>
      <c r="AJ486" s="10">
        <v>10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429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1008</v>
      </c>
      <c r="M487" s="9">
        <v>1</v>
      </c>
      <c r="N487" s="9">
        <v>15</v>
      </c>
      <c r="O487" s="9" t="s">
        <v>1152</v>
      </c>
      <c r="P487" s="55" t="s">
        <v>1409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765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765</v>
      </c>
      <c r="AG487" s="176">
        <f t="shared" ref="AG487:AG504" ca="1" si="127">AE486+AE487</f>
        <v>1275</v>
      </c>
      <c r="AI487" s="11">
        <f t="shared" si="124"/>
        <v>30</v>
      </c>
      <c r="AJ487" s="10">
        <v>30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429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1008</v>
      </c>
      <c r="M488" s="9">
        <v>1</v>
      </c>
      <c r="N488" s="9">
        <v>15</v>
      </c>
      <c r="O488" s="9" t="s">
        <v>1153</v>
      </c>
      <c r="P488" s="55" t="s">
        <v>1410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3025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3025</v>
      </c>
      <c r="AG488" s="176">
        <f t="shared" ca="1" si="127"/>
        <v>3790</v>
      </c>
      <c r="AI488" s="11">
        <f t="shared" si="124"/>
        <v>300</v>
      </c>
      <c r="AJ488" s="10">
        <v>300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429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1008</v>
      </c>
      <c r="M489" s="9">
        <v>1</v>
      </c>
      <c r="N489" s="9">
        <v>15</v>
      </c>
      <c r="O489" s="9" t="s">
        <v>1153</v>
      </c>
      <c r="P489" s="55" t="s">
        <v>1410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13540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13540</v>
      </c>
      <c r="AG489" s="176">
        <f t="shared" ca="1" si="127"/>
        <v>16565</v>
      </c>
      <c r="AI489" s="11">
        <f t="shared" si="124"/>
        <v>600</v>
      </c>
      <c r="AJ489" s="10">
        <v>600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429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1008</v>
      </c>
      <c r="M490" s="9">
        <v>1</v>
      </c>
      <c r="N490" s="9">
        <v>15</v>
      </c>
      <c r="O490" s="9" t="s">
        <v>1153</v>
      </c>
      <c r="P490" s="55" t="s">
        <v>1410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45050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45050</v>
      </c>
      <c r="AG490" s="176">
        <f t="shared" ca="1" si="127"/>
        <v>58590</v>
      </c>
      <c r="AI490" s="11">
        <f t="shared" si="124"/>
        <v>1200</v>
      </c>
      <c r="AJ490" s="10">
        <v>1200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429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1008</v>
      </c>
      <c r="M491" s="9">
        <v>1</v>
      </c>
      <c r="N491" s="9">
        <v>15</v>
      </c>
      <c r="O491" s="9" t="s">
        <v>1154</v>
      </c>
      <c r="P491" s="55" t="s">
        <v>1411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100100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100100</v>
      </c>
      <c r="AG491" s="176">
        <f t="shared" ca="1" si="127"/>
        <v>145150</v>
      </c>
      <c r="AI491" s="11">
        <f t="shared" si="124"/>
        <v>1800</v>
      </c>
      <c r="AJ491" s="10">
        <v>1800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429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1008</v>
      </c>
      <c r="M492" s="9">
        <v>1</v>
      </c>
      <c r="N492" s="9">
        <v>15</v>
      </c>
      <c r="O492" s="9" t="s">
        <v>1154</v>
      </c>
      <c r="P492" s="55" t="s">
        <v>1411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210100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210100</v>
      </c>
      <c r="AG492" s="176">
        <f t="shared" ca="1" si="127"/>
        <v>310200</v>
      </c>
      <c r="AI492" s="11">
        <f t="shared" si="124"/>
        <v>3600</v>
      </c>
      <c r="AJ492" s="10">
        <v>3600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429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1008</v>
      </c>
      <c r="M493" s="9">
        <v>1</v>
      </c>
      <c r="N493" s="9">
        <v>15</v>
      </c>
      <c r="O493" s="9" t="s">
        <v>1154</v>
      </c>
      <c r="P493" s="55" t="s">
        <v>1411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390150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390150</v>
      </c>
      <c r="AG493" s="176">
        <f t="shared" ca="1" si="127"/>
        <v>600250</v>
      </c>
      <c r="AI493" s="11">
        <f t="shared" si="124"/>
        <v>5400</v>
      </c>
      <c r="AJ493" s="10">
        <v>5400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429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1008</v>
      </c>
      <c r="M494" s="9">
        <v>1</v>
      </c>
      <c r="N494" s="9">
        <v>15</v>
      </c>
      <c r="O494" s="9" t="s">
        <v>1154</v>
      </c>
      <c r="P494" s="55" t="s">
        <v>1411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655700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655700</v>
      </c>
      <c r="AG494" s="176">
        <f t="shared" ca="1" si="127"/>
        <v>1045850</v>
      </c>
      <c r="AI494" s="11">
        <f t="shared" si="124"/>
        <v>7200</v>
      </c>
      <c r="AJ494" s="10">
        <v>7200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429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470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1008</v>
      </c>
      <c r="M495" s="9">
        <v>1</v>
      </c>
      <c r="N495" s="9">
        <v>15</v>
      </c>
      <c r="O495" s="9" t="s">
        <v>1155</v>
      </c>
      <c r="P495" s="55" t="s">
        <v>1412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1106250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1106250</v>
      </c>
      <c r="AG495" s="176">
        <f t="shared" ca="1" si="127"/>
        <v>1761950</v>
      </c>
      <c r="AI495" s="11">
        <f t="shared" si="124"/>
        <v>9000</v>
      </c>
      <c r="AJ495" s="10">
        <v>9000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429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1008</v>
      </c>
      <c r="M496" s="9">
        <v>1</v>
      </c>
      <c r="N496" s="9">
        <v>15</v>
      </c>
      <c r="O496" s="9" t="s">
        <v>1155</v>
      </c>
      <c r="P496" s="55" t="s">
        <v>1412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1889300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1889300</v>
      </c>
      <c r="AG496" s="176">
        <f t="shared" ca="1" si="127"/>
        <v>2995550</v>
      </c>
      <c r="AI496" s="11">
        <f t="shared" si="124"/>
        <v>10800</v>
      </c>
      <c r="AJ496" s="10">
        <v>10800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429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1008</v>
      </c>
      <c r="M497" s="9">
        <v>1</v>
      </c>
      <c r="N497" s="9">
        <v>15</v>
      </c>
      <c r="O497" s="9" t="s">
        <v>1155</v>
      </c>
      <c r="P497" s="55" t="s">
        <v>1412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3285350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3285350</v>
      </c>
      <c r="AG497" s="176">
        <f t="shared" ca="1" si="127"/>
        <v>5174650</v>
      </c>
      <c r="AI497" s="11">
        <f t="shared" si="124"/>
        <v>12600</v>
      </c>
      <c r="AJ497" s="10">
        <v>12600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429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1008</v>
      </c>
      <c r="M498" s="9">
        <v>1</v>
      </c>
      <c r="N498" s="9">
        <v>15</v>
      </c>
      <c r="O498" s="9" t="s">
        <v>1155</v>
      </c>
      <c r="P498" s="55" t="s">
        <v>1412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5160450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5160450</v>
      </c>
      <c r="AG498" s="176">
        <f t="shared" ca="1" si="127"/>
        <v>8445800</v>
      </c>
      <c r="AI498" s="11">
        <f t="shared" si="124"/>
        <v>14400</v>
      </c>
      <c r="AJ498" s="10">
        <v>14400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429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1008</v>
      </c>
      <c r="M499" s="9">
        <v>1</v>
      </c>
      <c r="N499" s="9">
        <v>15</v>
      </c>
      <c r="O499" s="9" t="s">
        <v>1155</v>
      </c>
      <c r="P499" s="55" t="s">
        <v>1412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13085550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13085550</v>
      </c>
      <c r="AG499" s="176">
        <f t="shared" ca="1" si="127"/>
        <v>18246000</v>
      </c>
      <c r="AI499" s="11">
        <f t="shared" si="124"/>
        <v>16200</v>
      </c>
      <c r="AJ499" s="10">
        <v>16200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435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1008</v>
      </c>
      <c r="M500" s="9">
        <v>0</v>
      </c>
      <c r="N500" s="9">
        <v>15</v>
      </c>
      <c r="O500" s="9" t="s">
        <v>1155</v>
      </c>
      <c r="P500" s="55" t="s">
        <v>1412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26850700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26850700</v>
      </c>
      <c r="AG500" s="176">
        <f t="shared" ca="1" si="127"/>
        <v>39936250</v>
      </c>
      <c r="AI500" s="11">
        <f t="shared" si="124"/>
        <v>18000</v>
      </c>
      <c r="AJ500" s="10">
        <v>18000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1008</v>
      </c>
      <c r="M501" s="9">
        <v>0</v>
      </c>
      <c r="N501" s="9">
        <v>15</v>
      </c>
      <c r="O501" s="9" t="s">
        <v>1155</v>
      </c>
      <c r="P501" s="55" t="s">
        <v>1412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50150850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50150850</v>
      </c>
      <c r="AG501" s="176">
        <f t="shared" ca="1" si="127"/>
        <v>77001550</v>
      </c>
      <c r="AI501" s="11">
        <f t="shared" si="124"/>
        <v>19800</v>
      </c>
      <c r="AJ501" s="10">
        <v>19800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435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1008</v>
      </c>
      <c r="M502" s="9">
        <v>0</v>
      </c>
      <c r="N502" s="9">
        <v>15</v>
      </c>
      <c r="O502" s="9" t="s">
        <v>1155</v>
      </c>
      <c r="P502" s="55" t="s">
        <v>1412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82001050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82001050</v>
      </c>
      <c r="AG502" s="176">
        <f t="shared" ca="1" si="127"/>
        <v>132151900</v>
      </c>
      <c r="AI502" s="11">
        <f t="shared" si="124"/>
        <v>21600</v>
      </c>
      <c r="AJ502" s="10">
        <v>21600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435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1008</v>
      </c>
      <c r="M503" s="9">
        <v>0</v>
      </c>
      <c r="N503" s="9">
        <v>15</v>
      </c>
      <c r="O503" s="9" t="s">
        <v>1155</v>
      </c>
      <c r="P503" s="55" t="s">
        <v>1412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126501250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126501250</v>
      </c>
      <c r="AG503" s="176">
        <f t="shared" ca="1" si="127"/>
        <v>208502300</v>
      </c>
      <c r="AI503" s="11">
        <f t="shared" si="124"/>
        <v>23400</v>
      </c>
      <c r="AJ503" s="10">
        <v>23400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435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1008</v>
      </c>
      <c r="M504" s="9">
        <v>0</v>
      </c>
      <c r="N504" s="9">
        <v>15</v>
      </c>
      <c r="O504" s="9" t="s">
        <v>1155</v>
      </c>
      <c r="P504" s="55" t="s">
        <v>1412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202001500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202001500</v>
      </c>
      <c r="AG504" s="176">
        <f t="shared" ca="1" si="127"/>
        <v>328502750</v>
      </c>
      <c r="AI504" s="11">
        <f t="shared" si="124"/>
        <v>25200</v>
      </c>
      <c r="AJ504" s="10">
        <v>25200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435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tabSelected="1"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S8" sqref="S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787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578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786</v>
      </c>
      <c r="N2" s="34" t="s">
        <v>62</v>
      </c>
      <c r="O2" s="35" t="s">
        <v>62</v>
      </c>
      <c r="P2" s="35" t="s">
        <v>62</v>
      </c>
      <c r="Q2" s="67"/>
      <c r="R2" s="34" t="s">
        <v>788</v>
      </c>
      <c r="T2" s="67"/>
      <c r="U2" s="1" t="s">
        <v>61</v>
      </c>
      <c r="V2" s="67"/>
      <c r="W2" s="98" t="s">
        <v>494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1263</v>
      </c>
      <c r="AG2" s="35" t="s">
        <v>1263</v>
      </c>
      <c r="AH2" s="35" t="s">
        <v>1263</v>
      </c>
      <c r="AI2" s="35" t="s">
        <v>1263</v>
      </c>
      <c r="AJ2" s="35" t="s">
        <v>1263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785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1175</v>
      </c>
      <c r="X3" s="1" t="s">
        <v>1176</v>
      </c>
      <c r="Y3" s="144" t="s">
        <v>1177</v>
      </c>
      <c r="Z3" s="144" t="s">
        <v>1173</v>
      </c>
      <c r="AA3" s="144" t="s">
        <v>1174</v>
      </c>
      <c r="AB3" s="1" t="s">
        <v>1178</v>
      </c>
      <c r="AC3" s="144" t="s">
        <v>1179</v>
      </c>
      <c r="AD3" s="1" t="s">
        <v>1180</v>
      </c>
      <c r="AE3" s="67"/>
      <c r="AF3" s="35" t="s">
        <v>1257</v>
      </c>
      <c r="AG3" s="35" t="s">
        <v>1258</v>
      </c>
      <c r="AH3" s="35" t="s">
        <v>1259</v>
      </c>
      <c r="AI3" s="35" t="s">
        <v>1260</v>
      </c>
      <c r="AJ3" s="35" t="s">
        <v>1262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581</v>
      </c>
      <c r="D4" s="78" t="s">
        <v>582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791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839</v>
      </c>
      <c r="R4" s="77" t="s">
        <v>837</v>
      </c>
      <c r="S4" s="78" t="s">
        <v>838</v>
      </c>
      <c r="T4" s="68" t="s">
        <v>346</v>
      </c>
      <c r="U4" s="2" t="s">
        <v>406</v>
      </c>
      <c r="V4" s="68" t="s">
        <v>830</v>
      </c>
      <c r="W4" s="185" t="s">
        <v>1264</v>
      </c>
      <c r="X4" s="2" t="s">
        <v>829</v>
      </c>
      <c r="Y4" s="145" t="s">
        <v>1181</v>
      </c>
      <c r="Z4" s="145" t="s">
        <v>833</v>
      </c>
      <c r="AA4" s="145" t="s">
        <v>835</v>
      </c>
      <c r="AB4" s="2" t="s">
        <v>836</v>
      </c>
      <c r="AC4" s="145" t="s">
        <v>834</v>
      </c>
      <c r="AD4" s="2" t="s">
        <v>1182</v>
      </c>
      <c r="AE4" s="68" t="s">
        <v>1239</v>
      </c>
      <c r="AF4" s="79" t="s">
        <v>1253</v>
      </c>
      <c r="AG4" s="79" t="s">
        <v>1254</v>
      </c>
      <c r="AH4" s="79" t="s">
        <v>1255</v>
      </c>
      <c r="AI4" s="79" t="s">
        <v>1256</v>
      </c>
      <c r="AJ4" s="79" t="s">
        <v>1261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1183</v>
      </c>
      <c r="L5" s="39" t="s">
        <v>402</v>
      </c>
      <c r="M5" s="39" t="s">
        <v>399</v>
      </c>
      <c r="N5" s="37" t="s">
        <v>766</v>
      </c>
      <c r="O5" s="38"/>
      <c r="P5" s="38" t="s">
        <v>696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1184</v>
      </c>
      <c r="L6" s="39" t="s">
        <v>402</v>
      </c>
      <c r="M6" s="39" t="s">
        <v>399</v>
      </c>
      <c r="N6" s="66" t="s">
        <v>767</v>
      </c>
      <c r="O6" s="61"/>
      <c r="P6" s="38" t="s">
        <v>697</v>
      </c>
      <c r="Q6" s="73"/>
      <c r="R6" s="37">
        <f t="shared" ref="R6:R59" si="2">S6*1000</f>
        <v>2000</v>
      </c>
      <c r="S6" s="148">
        <v>2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1185</v>
      </c>
      <c r="L7" s="39" t="s">
        <v>402</v>
      </c>
      <c r="M7" s="39" t="s">
        <v>399</v>
      </c>
      <c r="N7" s="66" t="s">
        <v>768</v>
      </c>
      <c r="O7" s="61"/>
      <c r="P7" s="38" t="s">
        <v>698</v>
      </c>
      <c r="Q7" s="73"/>
      <c r="R7" s="37">
        <f t="shared" si="2"/>
        <v>2000</v>
      </c>
      <c r="S7" s="148">
        <v>2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440</v>
      </c>
      <c r="K8" s="61" t="s">
        <v>1186</v>
      </c>
      <c r="L8" s="39" t="s">
        <v>432</v>
      </c>
      <c r="M8" s="39" t="s">
        <v>441</v>
      </c>
      <c r="N8" s="66" t="s">
        <v>769</v>
      </c>
      <c r="O8" s="61"/>
      <c r="P8" s="38" t="s">
        <v>699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1187</v>
      </c>
      <c r="L9" s="39" t="s">
        <v>402</v>
      </c>
      <c r="M9" s="39" t="s">
        <v>399</v>
      </c>
      <c r="N9" s="66" t="s">
        <v>770</v>
      </c>
      <c r="O9" s="61"/>
      <c r="P9" s="38" t="s">
        <v>700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518</v>
      </c>
      <c r="K10" s="35" t="s">
        <v>1188</v>
      </c>
      <c r="L10" s="39" t="s">
        <v>402</v>
      </c>
      <c r="M10" s="39" t="s">
        <v>399</v>
      </c>
      <c r="N10" s="34" t="s">
        <v>771</v>
      </c>
      <c r="P10" s="38" t="s">
        <v>701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439</v>
      </c>
      <c r="K11" s="35" t="s">
        <v>1189</v>
      </c>
      <c r="L11" s="39" t="s">
        <v>399</v>
      </c>
      <c r="M11" s="39"/>
      <c r="N11" s="34" t="s">
        <v>772</v>
      </c>
      <c r="P11" s="38" t="s">
        <v>702</v>
      </c>
      <c r="R11" s="37">
        <f t="shared" si="2"/>
        <v>1000</v>
      </c>
      <c r="S11" s="148">
        <v>1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1190</v>
      </c>
      <c r="L12" s="39" t="s">
        <v>399</v>
      </c>
      <c r="N12" s="34" t="s">
        <v>773</v>
      </c>
      <c r="P12" s="38" t="s">
        <v>831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1191</v>
      </c>
      <c r="L13" s="36" t="s">
        <v>399</v>
      </c>
      <c r="N13" s="34" t="s">
        <v>774</v>
      </c>
      <c r="P13" s="38" t="s">
        <v>703</v>
      </c>
      <c r="R13" s="37">
        <f t="shared" si="2"/>
        <v>10000</v>
      </c>
      <c r="S13" s="148">
        <v>10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1192</v>
      </c>
      <c r="L14" s="36" t="s">
        <v>399</v>
      </c>
      <c r="N14" s="34" t="s">
        <v>775</v>
      </c>
      <c r="P14" s="38" t="s">
        <v>704</v>
      </c>
      <c r="R14" s="37">
        <f t="shared" si="2"/>
        <v>10000</v>
      </c>
      <c r="S14" s="39">
        <v>10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487</v>
      </c>
      <c r="K15" s="35" t="s">
        <v>1193</v>
      </c>
      <c r="L15" s="36" t="s">
        <v>488</v>
      </c>
      <c r="M15" s="36" t="s">
        <v>489</v>
      </c>
      <c r="N15" s="34" t="s">
        <v>1026</v>
      </c>
      <c r="P15" s="38" t="s">
        <v>705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1194</v>
      </c>
      <c r="L16" s="36" t="s">
        <v>399</v>
      </c>
      <c r="N16" s="34" t="s">
        <v>776</v>
      </c>
      <c r="P16" s="38" t="s">
        <v>706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1195</v>
      </c>
      <c r="L17" s="36" t="s">
        <v>399</v>
      </c>
      <c r="N17" s="34" t="s">
        <v>777</v>
      </c>
      <c r="P17" s="38" t="s">
        <v>707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1196</v>
      </c>
      <c r="L18" s="36" t="s">
        <v>399</v>
      </c>
      <c r="N18" s="34" t="s">
        <v>777</v>
      </c>
      <c r="P18" s="38" t="s">
        <v>708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1197</v>
      </c>
      <c r="L19" s="36" t="s">
        <v>399</v>
      </c>
      <c r="N19" s="34" t="s">
        <v>777</v>
      </c>
      <c r="P19" s="38" t="s">
        <v>709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443</v>
      </c>
      <c r="K20" s="35" t="s">
        <v>1198</v>
      </c>
      <c r="L20" s="36" t="s">
        <v>441</v>
      </c>
      <c r="N20" s="34" t="s">
        <v>776</v>
      </c>
      <c r="P20" s="38" t="s">
        <v>710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444</v>
      </c>
      <c r="K21" s="35" t="s">
        <v>1199</v>
      </c>
      <c r="L21" s="36" t="s">
        <v>441</v>
      </c>
      <c r="N21" s="34" t="s">
        <v>776</v>
      </c>
      <c r="P21" s="38" t="s">
        <v>711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445</v>
      </c>
      <c r="K22" s="35" t="s">
        <v>1200</v>
      </c>
      <c r="L22" s="36" t="s">
        <v>441</v>
      </c>
      <c r="N22" s="34" t="s">
        <v>776</v>
      </c>
      <c r="P22" s="38" t="s">
        <v>712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452</v>
      </c>
      <c r="K23" s="35" t="s">
        <v>1201</v>
      </c>
      <c r="L23" s="36" t="s">
        <v>441</v>
      </c>
      <c r="N23" s="34" t="s">
        <v>776</v>
      </c>
      <c r="P23" s="38" t="s">
        <v>713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446</v>
      </c>
      <c r="K24" s="35" t="s">
        <v>1202</v>
      </c>
      <c r="L24" s="36" t="s">
        <v>441</v>
      </c>
      <c r="N24" s="34" t="s">
        <v>776</v>
      </c>
      <c r="P24" s="38" t="s">
        <v>715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447</v>
      </c>
      <c r="K25" s="35" t="s">
        <v>1203</v>
      </c>
      <c r="L25" s="36" t="s">
        <v>441</v>
      </c>
      <c r="N25" s="34" t="s">
        <v>776</v>
      </c>
      <c r="P25" s="38" t="s">
        <v>714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448</v>
      </c>
      <c r="K26" s="35" t="s">
        <v>1204</v>
      </c>
      <c r="L26" s="36" t="s">
        <v>441</v>
      </c>
      <c r="N26" s="34" t="s">
        <v>776</v>
      </c>
      <c r="P26" s="38" t="s">
        <v>716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458</v>
      </c>
      <c r="K27" s="35" t="s">
        <v>1205</v>
      </c>
      <c r="L27" s="36" t="s">
        <v>441</v>
      </c>
      <c r="N27" s="34" t="s">
        <v>776</v>
      </c>
      <c r="P27" s="38" t="s">
        <v>717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462</v>
      </c>
      <c r="K28" s="35" t="s">
        <v>1206</v>
      </c>
      <c r="L28" s="36" t="s">
        <v>441</v>
      </c>
      <c r="N28" s="34" t="s">
        <v>776</v>
      </c>
      <c r="P28" s="38" t="s">
        <v>718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463</v>
      </c>
      <c r="K29" s="35" t="s">
        <v>1207</v>
      </c>
      <c r="L29" s="36" t="s">
        <v>441</v>
      </c>
      <c r="N29" s="34" t="s">
        <v>776</v>
      </c>
      <c r="P29" s="38" t="s">
        <v>719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466</v>
      </c>
      <c r="K30" s="35" t="s">
        <v>1208</v>
      </c>
      <c r="L30" s="36" t="s">
        <v>441</v>
      </c>
      <c r="N30" s="34" t="s">
        <v>776</v>
      </c>
      <c r="P30" s="38" t="s">
        <v>720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471</v>
      </c>
      <c r="K31" s="35" t="s">
        <v>1209</v>
      </c>
      <c r="L31" s="36" t="s">
        <v>441</v>
      </c>
      <c r="N31" s="34" t="s">
        <v>776</v>
      </c>
      <c r="P31" s="38" t="s">
        <v>721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467</v>
      </c>
      <c r="K32" s="35" t="s">
        <v>1210</v>
      </c>
      <c r="L32" s="36" t="s">
        <v>441</v>
      </c>
      <c r="N32" s="34" t="s">
        <v>776</v>
      </c>
      <c r="P32" s="38" t="s">
        <v>722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468</v>
      </c>
      <c r="K33" s="35" t="s">
        <v>1211</v>
      </c>
      <c r="L33" s="36" t="s">
        <v>441</v>
      </c>
      <c r="N33" s="34" t="s">
        <v>776</v>
      </c>
      <c r="P33" s="38" t="s">
        <v>723</v>
      </c>
      <c r="Q33" s="84" t="s">
        <v>490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469</v>
      </c>
      <c r="K34" s="35" t="s">
        <v>1212</v>
      </c>
      <c r="L34" s="36" t="s">
        <v>441</v>
      </c>
      <c r="N34" s="34" t="s">
        <v>776</v>
      </c>
      <c r="P34" s="38" t="s">
        <v>724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477</v>
      </c>
      <c r="K35" s="35" t="s">
        <v>1213</v>
      </c>
      <c r="L35" s="36" t="s">
        <v>486</v>
      </c>
      <c r="N35" s="34" t="s">
        <v>1009</v>
      </c>
      <c r="P35" s="38" t="s">
        <v>725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478</v>
      </c>
      <c r="K36" s="35" t="s">
        <v>1214</v>
      </c>
      <c r="L36" s="36" t="s">
        <v>486</v>
      </c>
      <c r="N36" s="34" t="s">
        <v>1010</v>
      </c>
      <c r="P36" s="38" t="s">
        <v>725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479</v>
      </c>
      <c r="K37" s="35" t="s">
        <v>1215</v>
      </c>
      <c r="L37" s="36" t="s">
        <v>486</v>
      </c>
      <c r="N37" s="34" t="s">
        <v>1011</v>
      </c>
      <c r="P37" s="38" t="s">
        <v>725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1216</v>
      </c>
      <c r="L38" s="36" t="s">
        <v>399</v>
      </c>
      <c r="N38" s="34" t="s">
        <v>1012</v>
      </c>
      <c r="P38" s="38" t="s">
        <v>726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1217</v>
      </c>
      <c r="L39" s="36" t="s">
        <v>399</v>
      </c>
      <c r="N39" s="34" t="s">
        <v>1013</v>
      </c>
      <c r="P39" s="38" t="s">
        <v>727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1218</v>
      </c>
      <c r="L40" s="36" t="s">
        <v>399</v>
      </c>
      <c r="N40" s="34" t="s">
        <v>1014</v>
      </c>
      <c r="P40" s="38" t="s">
        <v>728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1219</v>
      </c>
      <c r="L41" s="36" t="s">
        <v>399</v>
      </c>
      <c r="N41" s="34" t="s">
        <v>1015</v>
      </c>
      <c r="P41" s="38" t="s">
        <v>729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1220</v>
      </c>
      <c r="L42" s="36" t="s">
        <v>399</v>
      </c>
      <c r="N42" s="34" t="s">
        <v>1016</v>
      </c>
      <c r="P42" s="38" t="s">
        <v>730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1221</v>
      </c>
      <c r="L43" s="36" t="s">
        <v>399</v>
      </c>
      <c r="N43" s="34" t="s">
        <v>1017</v>
      </c>
      <c r="P43" s="38" t="s">
        <v>731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480</v>
      </c>
      <c r="K44" s="35" t="s">
        <v>1222</v>
      </c>
      <c r="L44" s="36" t="s">
        <v>399</v>
      </c>
      <c r="N44" s="34" t="s">
        <v>1018</v>
      </c>
      <c r="P44" s="38" t="s">
        <v>732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481</v>
      </c>
      <c r="K45" s="35" t="s">
        <v>1223</v>
      </c>
      <c r="L45" s="36" t="s">
        <v>399</v>
      </c>
      <c r="N45" s="34" t="s">
        <v>1019</v>
      </c>
      <c r="P45" s="38" t="s">
        <v>733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482</v>
      </c>
      <c r="K46" s="35" t="s">
        <v>1224</v>
      </c>
      <c r="L46" s="36" t="s">
        <v>399</v>
      </c>
      <c r="N46" s="34" t="s">
        <v>1020</v>
      </c>
      <c r="P46" s="38" t="s">
        <v>734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483</v>
      </c>
      <c r="K47" s="35" t="s">
        <v>1225</v>
      </c>
      <c r="L47" s="36" t="s">
        <v>399</v>
      </c>
      <c r="N47" s="34" t="s">
        <v>1021</v>
      </c>
      <c r="P47" s="38" t="s">
        <v>735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484</v>
      </c>
      <c r="K48" s="35" t="s">
        <v>1226</v>
      </c>
      <c r="L48" s="36" t="s">
        <v>399</v>
      </c>
      <c r="N48" s="34" t="s">
        <v>1022</v>
      </c>
      <c r="P48" s="38" t="s">
        <v>736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485</v>
      </c>
      <c r="K49" s="35" t="s">
        <v>1227</v>
      </c>
      <c r="L49" s="36" t="s">
        <v>399</v>
      </c>
      <c r="N49" s="34" t="s">
        <v>1023</v>
      </c>
      <c r="P49" s="38" t="s">
        <v>737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1240</v>
      </c>
      <c r="K50" s="35" t="s">
        <v>1243</v>
      </c>
      <c r="L50" s="36" t="s">
        <v>1246</v>
      </c>
      <c r="N50" s="34" t="s">
        <v>1247</v>
      </c>
      <c r="P50" s="38" t="s">
        <v>1250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1241</v>
      </c>
      <c r="K51" s="35" t="s">
        <v>1244</v>
      </c>
      <c r="L51" s="36" t="s">
        <v>1246</v>
      </c>
      <c r="N51" s="34" t="s">
        <v>1248</v>
      </c>
      <c r="P51" s="38" t="s">
        <v>1251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1242</v>
      </c>
      <c r="K52" s="35" t="s">
        <v>1245</v>
      </c>
      <c r="L52" s="36" t="s">
        <v>1246</v>
      </c>
      <c r="N52" s="34" t="s">
        <v>1249</v>
      </c>
      <c r="P52" s="38" t="s">
        <v>1252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1228</v>
      </c>
      <c r="L53" s="36" t="s">
        <v>401</v>
      </c>
      <c r="N53" s="34" t="s">
        <v>778</v>
      </c>
      <c r="P53" s="38" t="s">
        <v>738</v>
      </c>
      <c r="R53" s="37">
        <f t="shared" si="2"/>
        <v>1100</v>
      </c>
      <c r="S53" s="39">
        <v>1.1000000000000001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1229</v>
      </c>
      <c r="L54" s="36" t="s">
        <v>401</v>
      </c>
      <c r="N54" s="34" t="s">
        <v>779</v>
      </c>
      <c r="P54" s="38" t="s">
        <v>832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1230</v>
      </c>
      <c r="L55" s="36" t="s">
        <v>400</v>
      </c>
      <c r="N55" s="34" t="s">
        <v>780</v>
      </c>
      <c r="P55" s="38" t="s">
        <v>739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1231</v>
      </c>
      <c r="L56" s="36" t="s">
        <v>400</v>
      </c>
      <c r="N56" s="34" t="s">
        <v>781</v>
      </c>
      <c r="P56" s="38" t="s">
        <v>740</v>
      </c>
      <c r="R56" s="37">
        <f t="shared" si="2"/>
        <v>12000</v>
      </c>
      <c r="S56" s="148">
        <v>12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1232</v>
      </c>
      <c r="L57" s="36" t="s">
        <v>400</v>
      </c>
      <c r="N57" s="34" t="s">
        <v>782</v>
      </c>
      <c r="P57" s="38" t="s">
        <v>741</v>
      </c>
      <c r="R57" s="37">
        <f t="shared" si="2"/>
        <v>12000</v>
      </c>
      <c r="S57" s="39">
        <v>12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1233</v>
      </c>
      <c r="L58" s="36" t="s">
        <v>400</v>
      </c>
      <c r="N58" s="34" t="s">
        <v>783</v>
      </c>
      <c r="P58" s="38" t="s">
        <v>742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1234</v>
      </c>
      <c r="L59" s="36" t="s">
        <v>400</v>
      </c>
      <c r="N59" s="34" t="s">
        <v>784</v>
      </c>
      <c r="P59" s="38" t="s">
        <v>743</v>
      </c>
      <c r="R59" s="37">
        <f t="shared" si="2"/>
        <v>1200</v>
      </c>
      <c r="S59" s="39">
        <v>1.2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K10" sqref="K10"/>
    </sheetView>
  </sheetViews>
  <sheetFormatPr defaultRowHeight="16.5" x14ac:dyDescent="0.15"/>
  <cols>
    <col min="1" max="1" width="9" style="91"/>
    <col min="2" max="2" width="14.125" style="91" customWidth="1"/>
    <col min="3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561</v>
      </c>
      <c r="B3" s="38" t="s">
        <v>1183</v>
      </c>
      <c r="C3" s="61" t="s">
        <v>1184</v>
      </c>
      <c r="D3" s="61" t="s">
        <v>1185</v>
      </c>
      <c r="E3" s="61" t="s">
        <v>1186</v>
      </c>
      <c r="F3" s="35" t="s">
        <v>1187</v>
      </c>
      <c r="G3" s="35" t="s">
        <v>1188</v>
      </c>
      <c r="H3" s="35" t="s">
        <v>1189</v>
      </c>
      <c r="I3" s="61" t="s">
        <v>1190</v>
      </c>
      <c r="J3" s="35" t="s">
        <v>1191</v>
      </c>
      <c r="K3" s="35" t="s">
        <v>1192</v>
      </c>
      <c r="L3" s="35" t="s">
        <v>1193</v>
      </c>
      <c r="M3" s="35" t="s">
        <v>1194</v>
      </c>
      <c r="N3" s="35" t="s">
        <v>1195</v>
      </c>
      <c r="O3" s="35" t="s">
        <v>1196</v>
      </c>
      <c r="P3" s="35" t="s">
        <v>1197</v>
      </c>
      <c r="Q3" s="35" t="s">
        <v>1198</v>
      </c>
      <c r="R3" s="35" t="s">
        <v>1199</v>
      </c>
      <c r="S3" s="35" t="s">
        <v>1200</v>
      </c>
      <c r="T3" s="35" t="s">
        <v>1201</v>
      </c>
      <c r="U3" s="35" t="s">
        <v>1202</v>
      </c>
      <c r="V3" s="35" t="s">
        <v>1203</v>
      </c>
      <c r="W3" s="35" t="s">
        <v>1204</v>
      </c>
      <c r="X3" s="35" t="s">
        <v>1205</v>
      </c>
      <c r="Y3" s="35" t="s">
        <v>1206</v>
      </c>
      <c r="Z3" s="35" t="s">
        <v>1207</v>
      </c>
      <c r="AA3" s="35" t="s">
        <v>1208</v>
      </c>
      <c r="AB3" s="35" t="s">
        <v>1209</v>
      </c>
      <c r="AC3" s="35" t="s">
        <v>1210</v>
      </c>
      <c r="AD3" s="35" t="s">
        <v>1211</v>
      </c>
      <c r="AE3" s="35" t="s">
        <v>1212</v>
      </c>
      <c r="AF3" s="35" t="s">
        <v>1213</v>
      </c>
      <c r="AG3" s="35" t="s">
        <v>1214</v>
      </c>
      <c r="AH3" s="35" t="s">
        <v>1215</v>
      </c>
      <c r="AI3" s="35" t="s">
        <v>1216</v>
      </c>
      <c r="AJ3" s="35" t="s">
        <v>1217</v>
      </c>
      <c r="AK3" s="35" t="s">
        <v>1218</v>
      </c>
      <c r="AL3" s="35" t="s">
        <v>1219</v>
      </c>
      <c r="AM3" s="35" t="s">
        <v>1220</v>
      </c>
      <c r="AN3" s="35" t="s">
        <v>1221</v>
      </c>
      <c r="AO3" s="35" t="s">
        <v>1222</v>
      </c>
      <c r="AP3" s="35" t="s">
        <v>1223</v>
      </c>
      <c r="AQ3" s="35" t="s">
        <v>1224</v>
      </c>
      <c r="AR3" s="35" t="s">
        <v>1225</v>
      </c>
      <c r="AS3" s="35" t="s">
        <v>1226</v>
      </c>
      <c r="AT3" s="35" t="s">
        <v>1227</v>
      </c>
      <c r="AU3" s="35" t="s">
        <v>1274</v>
      </c>
      <c r="AV3" s="35" t="s">
        <v>1275</v>
      </c>
      <c r="AW3" s="35" t="s">
        <v>1276</v>
      </c>
      <c r="AX3" s="35" t="s">
        <v>1228</v>
      </c>
      <c r="AY3" s="35" t="s">
        <v>1229</v>
      </c>
      <c r="AZ3" s="35" t="s">
        <v>1230</v>
      </c>
      <c r="BA3" s="35" t="s">
        <v>1231</v>
      </c>
      <c r="BB3" s="35" t="s">
        <v>1232</v>
      </c>
      <c r="BC3" s="35" t="s">
        <v>1233</v>
      </c>
      <c r="BD3" s="35" t="s">
        <v>1234</v>
      </c>
    </row>
    <row r="4" spans="1:56" ht="18" customHeight="1" thickBot="1" x14ac:dyDescent="0.2">
      <c r="A4" s="86" t="s">
        <v>547</v>
      </c>
      <c r="B4" s="38" t="s">
        <v>376</v>
      </c>
      <c r="C4" s="61" t="s">
        <v>377</v>
      </c>
      <c r="D4" s="61" t="s">
        <v>378</v>
      </c>
      <c r="E4" s="61" t="s">
        <v>438</v>
      </c>
      <c r="F4" s="35" t="s">
        <v>379</v>
      </c>
      <c r="G4" s="35" t="s">
        <v>424</v>
      </c>
      <c r="H4" s="35" t="s">
        <v>428</v>
      </c>
      <c r="I4" s="61" t="s">
        <v>398</v>
      </c>
      <c r="J4" s="35" t="s">
        <v>383</v>
      </c>
      <c r="K4" s="35" t="s">
        <v>385</v>
      </c>
      <c r="L4" s="35" t="s">
        <v>487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443</v>
      </c>
      <c r="R4" s="35" t="s">
        <v>444</v>
      </c>
      <c r="S4" s="35" t="s">
        <v>445</v>
      </c>
      <c r="T4" s="35" t="s">
        <v>452</v>
      </c>
      <c r="U4" s="35" t="s">
        <v>446</v>
      </c>
      <c r="V4" s="35" t="s">
        <v>447</v>
      </c>
      <c r="W4" s="35" t="s">
        <v>448</v>
      </c>
      <c r="X4" s="35" t="s">
        <v>458</v>
      </c>
      <c r="Y4" s="35" t="s">
        <v>460</v>
      </c>
      <c r="Z4" s="35" t="s">
        <v>461</v>
      </c>
      <c r="AA4" s="35" t="s">
        <v>466</v>
      </c>
      <c r="AB4" s="35" t="s">
        <v>471</v>
      </c>
      <c r="AC4" s="35" t="s">
        <v>467</v>
      </c>
      <c r="AD4" s="35" t="s">
        <v>468</v>
      </c>
      <c r="AE4" s="35" t="s">
        <v>469</v>
      </c>
      <c r="AF4" s="35" t="s">
        <v>477</v>
      </c>
      <c r="AG4" s="35" t="s">
        <v>478</v>
      </c>
      <c r="AH4" s="35" t="s">
        <v>479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480</v>
      </c>
      <c r="AP4" s="35" t="s">
        <v>481</v>
      </c>
      <c r="AQ4" s="35" t="s">
        <v>482</v>
      </c>
      <c r="AR4" s="35" t="s">
        <v>483</v>
      </c>
      <c r="AS4" s="35" t="s">
        <v>484</v>
      </c>
      <c r="AT4" s="35" t="s">
        <v>485</v>
      </c>
      <c r="AU4" s="35" t="s">
        <v>1277</v>
      </c>
      <c r="AV4" s="35" t="s">
        <v>1278</v>
      </c>
      <c r="AW4" s="35" t="s">
        <v>1279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1000</v>
      </c>
      <c r="C5" s="110">
        <v>0</v>
      </c>
      <c r="D5" s="110">
        <v>0</v>
      </c>
      <c r="E5" s="110">
        <v>1000</v>
      </c>
      <c r="F5" s="110">
        <v>1000</v>
      </c>
      <c r="G5" s="110">
        <v>1000</v>
      </c>
      <c r="H5" s="110">
        <v>1000</v>
      </c>
      <c r="I5" s="110">
        <v>0</v>
      </c>
      <c r="J5" s="110">
        <v>0</v>
      </c>
      <c r="K5" s="110">
        <v>1000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1500</v>
      </c>
      <c r="C6" s="91">
        <v>0</v>
      </c>
      <c r="D6" s="91">
        <v>0</v>
      </c>
      <c r="E6" s="91">
        <v>1500</v>
      </c>
      <c r="F6" s="91">
        <v>1500</v>
      </c>
      <c r="G6" s="91">
        <v>1500</v>
      </c>
      <c r="H6" s="91">
        <v>1500</v>
      </c>
      <c r="I6" s="91">
        <v>0</v>
      </c>
      <c r="J6" s="91">
        <v>0</v>
      </c>
      <c r="K6" s="91">
        <v>1500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3000</v>
      </c>
      <c r="C7" s="91">
        <v>0</v>
      </c>
      <c r="D7" s="91">
        <v>0</v>
      </c>
      <c r="E7" s="91">
        <v>3000</v>
      </c>
      <c r="F7" s="91">
        <v>3000</v>
      </c>
      <c r="G7" s="91">
        <v>3000</v>
      </c>
      <c r="H7" s="91">
        <v>3000</v>
      </c>
      <c r="I7" s="91">
        <v>0</v>
      </c>
      <c r="J7" s="91">
        <v>0</v>
      </c>
      <c r="K7" s="91">
        <v>3000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9000</v>
      </c>
      <c r="C8" s="91">
        <v>9000</v>
      </c>
      <c r="D8" s="91">
        <v>0</v>
      </c>
      <c r="E8" s="91">
        <v>9000</v>
      </c>
      <c r="F8" s="91">
        <v>9000</v>
      </c>
      <c r="G8" s="91">
        <v>9000</v>
      </c>
      <c r="H8" s="91">
        <v>9000</v>
      </c>
      <c r="I8" s="91">
        <v>0</v>
      </c>
      <c r="J8" s="91">
        <v>0</v>
      </c>
      <c r="K8" s="91">
        <v>9000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18000</v>
      </c>
      <c r="C9" s="91">
        <v>18000</v>
      </c>
      <c r="D9" s="91">
        <v>18000</v>
      </c>
      <c r="E9" s="91">
        <v>18000</v>
      </c>
      <c r="F9" s="91">
        <v>18000</v>
      </c>
      <c r="G9" s="91">
        <v>18000</v>
      </c>
      <c r="H9" s="91">
        <v>18000</v>
      </c>
      <c r="I9" s="91">
        <v>18000</v>
      </c>
      <c r="J9" s="91">
        <v>0</v>
      </c>
      <c r="K9" s="91">
        <v>18000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25000</v>
      </c>
      <c r="C10" s="91">
        <v>25000</v>
      </c>
      <c r="D10" s="91">
        <v>25000</v>
      </c>
      <c r="E10" s="91">
        <v>25000</v>
      </c>
      <c r="F10" s="91">
        <v>25000</v>
      </c>
      <c r="G10" s="91">
        <v>25000</v>
      </c>
      <c r="H10" s="91">
        <v>25000</v>
      </c>
      <c r="I10" s="91">
        <v>25000</v>
      </c>
      <c r="J10" s="91">
        <v>0</v>
      </c>
      <c r="K10" s="91">
        <v>25000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35000</v>
      </c>
      <c r="C11" s="91">
        <v>35000</v>
      </c>
      <c r="D11" s="91">
        <v>35000</v>
      </c>
      <c r="E11" s="91">
        <v>35000</v>
      </c>
      <c r="F11" s="91">
        <v>35000</v>
      </c>
      <c r="G11" s="91">
        <v>35000</v>
      </c>
      <c r="H11" s="91">
        <v>35000</v>
      </c>
      <c r="I11" s="91">
        <v>35000</v>
      </c>
      <c r="J11" s="91">
        <v>0</v>
      </c>
      <c r="K11" s="91">
        <v>35000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46000</v>
      </c>
      <c r="C12" s="91">
        <v>46000</v>
      </c>
      <c r="D12" s="91">
        <v>46000</v>
      </c>
      <c r="E12" s="91">
        <v>46000</v>
      </c>
      <c r="F12" s="91">
        <v>46000</v>
      </c>
      <c r="G12" s="91">
        <v>46000</v>
      </c>
      <c r="H12" s="91">
        <v>46000</v>
      </c>
      <c r="I12" s="91">
        <v>46000</v>
      </c>
      <c r="J12" s="91">
        <v>0</v>
      </c>
      <c r="K12" s="91">
        <v>46000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55000</v>
      </c>
      <c r="C13" s="91">
        <v>55000</v>
      </c>
      <c r="D13" s="91">
        <v>55000</v>
      </c>
      <c r="E13" s="91">
        <v>55000</v>
      </c>
      <c r="F13" s="91">
        <v>55000</v>
      </c>
      <c r="G13" s="91">
        <v>55000</v>
      </c>
      <c r="H13" s="91">
        <v>55000</v>
      </c>
      <c r="I13" s="91">
        <v>55000</v>
      </c>
      <c r="J13" s="91">
        <v>0</v>
      </c>
      <c r="K13" s="91">
        <v>55000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66000</v>
      </c>
      <c r="C14" s="91">
        <v>66000</v>
      </c>
      <c r="D14" s="91">
        <v>66000</v>
      </c>
      <c r="E14" s="91">
        <v>66000</v>
      </c>
      <c r="F14" s="91">
        <v>66000</v>
      </c>
      <c r="G14" s="91">
        <v>66000</v>
      </c>
      <c r="H14" s="91">
        <v>66000</v>
      </c>
      <c r="I14" s="91">
        <v>66000</v>
      </c>
      <c r="J14" s="91">
        <v>66000</v>
      </c>
      <c r="K14" s="91">
        <v>66000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72000</v>
      </c>
      <c r="C15" s="91">
        <v>72000</v>
      </c>
      <c r="D15" s="91">
        <v>72000</v>
      </c>
      <c r="E15" s="91">
        <v>72000</v>
      </c>
      <c r="F15" s="91">
        <v>72000</v>
      </c>
      <c r="G15" s="91">
        <v>72000</v>
      </c>
      <c r="H15" s="91">
        <v>72000</v>
      </c>
      <c r="I15" s="91">
        <v>72000</v>
      </c>
      <c r="J15" s="91">
        <v>72000</v>
      </c>
      <c r="K15" s="91">
        <v>72000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86000</v>
      </c>
      <c r="C16" s="91">
        <v>86000</v>
      </c>
      <c r="D16" s="91">
        <v>86000</v>
      </c>
      <c r="E16" s="91">
        <v>86000</v>
      </c>
      <c r="F16" s="91">
        <v>86000</v>
      </c>
      <c r="G16" s="91">
        <v>86000</v>
      </c>
      <c r="H16" s="91">
        <v>86000</v>
      </c>
      <c r="I16" s="91">
        <v>86000</v>
      </c>
      <c r="J16" s="91">
        <v>86000</v>
      </c>
      <c r="K16" s="91">
        <v>86000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95000</v>
      </c>
      <c r="C17" s="91">
        <v>95000</v>
      </c>
      <c r="D17" s="91">
        <v>95000</v>
      </c>
      <c r="E17" s="91">
        <v>95000</v>
      </c>
      <c r="F17" s="91">
        <v>95000</v>
      </c>
      <c r="G17" s="91">
        <v>95000</v>
      </c>
      <c r="H17" s="91">
        <v>95000</v>
      </c>
      <c r="I17" s="91">
        <v>95000</v>
      </c>
      <c r="J17" s="91">
        <v>95000</v>
      </c>
      <c r="K17" s="91">
        <v>95000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110000</v>
      </c>
      <c r="C18" s="91">
        <v>110000</v>
      </c>
      <c r="D18" s="91">
        <v>110000</v>
      </c>
      <c r="E18" s="91">
        <v>110000</v>
      </c>
      <c r="F18" s="91">
        <v>110000</v>
      </c>
      <c r="G18" s="91">
        <v>110000</v>
      </c>
      <c r="H18" s="91">
        <v>110000</v>
      </c>
      <c r="I18" s="91">
        <v>110000</v>
      </c>
      <c r="J18" s="91">
        <v>110000</v>
      </c>
      <c r="K18" s="91">
        <v>110000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130000</v>
      </c>
      <c r="C19" s="91">
        <v>130000</v>
      </c>
      <c r="D19" s="91">
        <v>130000</v>
      </c>
      <c r="E19" s="91">
        <v>130000</v>
      </c>
      <c r="F19" s="91">
        <v>130000</v>
      </c>
      <c r="G19" s="91">
        <v>130000</v>
      </c>
      <c r="H19" s="91">
        <v>130000</v>
      </c>
      <c r="I19" s="91">
        <v>130000</v>
      </c>
      <c r="J19" s="91">
        <v>130000</v>
      </c>
      <c r="K19" s="91">
        <v>130000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150000</v>
      </c>
      <c r="C20" s="91">
        <v>150000</v>
      </c>
      <c r="D20" s="91">
        <v>150000</v>
      </c>
      <c r="E20" s="91">
        <v>150000</v>
      </c>
      <c r="F20" s="91">
        <v>150000</v>
      </c>
      <c r="G20" s="91">
        <v>150000</v>
      </c>
      <c r="H20" s="91">
        <v>150000</v>
      </c>
      <c r="I20" s="91">
        <v>150000</v>
      </c>
      <c r="J20" s="91">
        <v>150000</v>
      </c>
      <c r="K20" s="91">
        <v>150000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170000</v>
      </c>
      <c r="C21" s="91">
        <v>170000</v>
      </c>
      <c r="D21" s="91">
        <v>170000</v>
      </c>
      <c r="E21" s="91">
        <v>170000</v>
      </c>
      <c r="F21" s="91">
        <v>170000</v>
      </c>
      <c r="G21" s="91">
        <v>170000</v>
      </c>
      <c r="H21" s="91">
        <v>170000</v>
      </c>
      <c r="I21" s="91">
        <v>170000</v>
      </c>
      <c r="J21" s="91">
        <v>170000</v>
      </c>
      <c r="K21" s="91">
        <v>170000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190000</v>
      </c>
      <c r="C22" s="91">
        <v>190000</v>
      </c>
      <c r="D22" s="91">
        <v>190000</v>
      </c>
      <c r="E22" s="91">
        <v>190000</v>
      </c>
      <c r="F22" s="91">
        <v>190000</v>
      </c>
      <c r="G22" s="91">
        <v>190000</v>
      </c>
      <c r="H22" s="91">
        <v>190000</v>
      </c>
      <c r="I22" s="91">
        <v>190000</v>
      </c>
      <c r="J22" s="91">
        <v>190000</v>
      </c>
      <c r="K22" s="91">
        <v>190000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230000</v>
      </c>
      <c r="C23" s="91">
        <v>230000</v>
      </c>
      <c r="D23" s="91">
        <v>230000</v>
      </c>
      <c r="E23" s="91">
        <v>230000</v>
      </c>
      <c r="F23" s="91">
        <v>230000</v>
      </c>
      <c r="G23" s="91">
        <v>230000</v>
      </c>
      <c r="H23" s="91">
        <v>230000</v>
      </c>
      <c r="I23" s="91">
        <v>230000</v>
      </c>
      <c r="J23" s="91">
        <v>230000</v>
      </c>
      <c r="K23" s="91">
        <v>230000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260000</v>
      </c>
      <c r="C24" s="91">
        <v>260000</v>
      </c>
      <c r="D24" s="91">
        <v>260000</v>
      </c>
      <c r="E24" s="91">
        <v>260000</v>
      </c>
      <c r="F24" s="91">
        <v>260000</v>
      </c>
      <c r="G24" s="91">
        <v>260000</v>
      </c>
      <c r="H24" s="91">
        <v>260000</v>
      </c>
      <c r="I24" s="91">
        <v>260000</v>
      </c>
      <c r="J24" s="91">
        <v>260000</v>
      </c>
      <c r="K24" s="91">
        <v>260000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554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651</v>
      </c>
      <c r="B3" s="55" t="s">
        <v>551</v>
      </c>
    </row>
    <row r="4" spans="1:2" ht="17.25" thickBot="1" x14ac:dyDescent="0.2">
      <c r="A4" s="57" t="s">
        <v>549</v>
      </c>
      <c r="B4" s="57" t="s">
        <v>550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651</v>
      </c>
      <c r="B3" s="55" t="s">
        <v>546</v>
      </c>
    </row>
    <row r="4" spans="1:10" ht="17.25" thickBot="1" x14ac:dyDescent="0.2">
      <c r="A4" s="57" t="s">
        <v>547</v>
      </c>
      <c r="B4" s="57" t="s">
        <v>548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39" sqref="E39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758</v>
      </c>
      <c r="B1" s="91" t="s">
        <v>759</v>
      </c>
      <c r="C1" s="139" t="s">
        <v>759</v>
      </c>
      <c r="D1" s="91" t="s">
        <v>759</v>
      </c>
      <c r="E1" s="139" t="s">
        <v>759</v>
      </c>
      <c r="F1" s="91" t="s">
        <v>759</v>
      </c>
    </row>
    <row r="2" spans="1:6" x14ac:dyDescent="0.15">
      <c r="A2" s="98" t="s">
        <v>760</v>
      </c>
      <c r="B2" s="91" t="s">
        <v>760</v>
      </c>
      <c r="C2" s="139" t="s">
        <v>760</v>
      </c>
      <c r="D2" s="91" t="s">
        <v>760</v>
      </c>
      <c r="E2" s="139" t="s">
        <v>760</v>
      </c>
      <c r="F2" s="91" t="s">
        <v>760</v>
      </c>
    </row>
    <row r="3" spans="1:6" x14ac:dyDescent="0.15">
      <c r="A3" s="98" t="s">
        <v>761</v>
      </c>
      <c r="B3" s="91" t="s">
        <v>754</v>
      </c>
      <c r="C3" s="139" t="s">
        <v>755</v>
      </c>
      <c r="D3" s="91" t="s">
        <v>752</v>
      </c>
      <c r="E3" s="139" t="s">
        <v>753</v>
      </c>
      <c r="F3" s="91" t="s">
        <v>751</v>
      </c>
    </row>
    <row r="4" spans="1:6" ht="22.5" customHeight="1" thickBot="1" x14ac:dyDescent="0.2">
      <c r="A4" s="98" t="s">
        <v>757</v>
      </c>
      <c r="B4" s="91" t="s">
        <v>762</v>
      </c>
      <c r="C4" s="139" t="s">
        <v>763</v>
      </c>
      <c r="D4" s="91" t="s">
        <v>764</v>
      </c>
      <c r="E4" s="139" t="s">
        <v>756</v>
      </c>
      <c r="F4" s="91" t="s">
        <v>765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578</v>
      </c>
      <c r="J1" s="123" t="s">
        <v>608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786</v>
      </c>
      <c r="J2" s="123" t="s">
        <v>603</v>
      </c>
      <c r="L2" s="123" t="s">
        <v>603</v>
      </c>
      <c r="M2" s="123" t="s">
        <v>603</v>
      </c>
      <c r="O2" s="123" t="s">
        <v>603</v>
      </c>
      <c r="Q2" s="123" t="s">
        <v>603</v>
      </c>
      <c r="R2" s="123" t="s">
        <v>603</v>
      </c>
      <c r="S2" s="123" t="s">
        <v>603</v>
      </c>
      <c r="U2" s="123" t="s">
        <v>603</v>
      </c>
      <c r="V2" s="123" t="s">
        <v>603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824</v>
      </c>
      <c r="J3" s="123" t="s">
        <v>609</v>
      </c>
      <c r="L3" s="123" t="s">
        <v>610</v>
      </c>
      <c r="M3" s="123" t="s">
        <v>611</v>
      </c>
      <c r="O3" s="123" t="s">
        <v>612</v>
      </c>
      <c r="Q3" s="123" t="s">
        <v>613</v>
      </c>
      <c r="R3" s="123" t="s">
        <v>614</v>
      </c>
      <c r="S3" s="123" t="s">
        <v>615</v>
      </c>
      <c r="U3" s="123" t="s">
        <v>616</v>
      </c>
      <c r="V3" s="123" t="s">
        <v>617</v>
      </c>
    </row>
    <row r="4" spans="1:22" ht="55.5" customHeight="1" thickBot="1" x14ac:dyDescent="0.35">
      <c r="A4" s="85" t="s">
        <v>586</v>
      </c>
      <c r="B4" s="87" t="s">
        <v>584</v>
      </c>
      <c r="C4" s="103" t="s">
        <v>585</v>
      </c>
      <c r="D4" s="87"/>
      <c r="E4" s="87"/>
      <c r="F4" s="103" t="s">
        <v>607</v>
      </c>
      <c r="G4" s="129" t="s">
        <v>587</v>
      </c>
      <c r="H4" s="86"/>
      <c r="I4" s="87" t="s">
        <v>588</v>
      </c>
      <c r="J4" s="86" t="s">
        <v>589</v>
      </c>
      <c r="K4" s="129" t="s">
        <v>641</v>
      </c>
      <c r="L4" s="86" t="s">
        <v>642</v>
      </c>
      <c r="M4" s="86" t="s">
        <v>643</v>
      </c>
      <c r="N4" s="129" t="s">
        <v>631</v>
      </c>
      <c r="O4" s="86" t="s">
        <v>590</v>
      </c>
      <c r="P4" s="129" t="s">
        <v>635</v>
      </c>
      <c r="Q4" s="86" t="s">
        <v>606</v>
      </c>
      <c r="R4" s="86" t="s">
        <v>604</v>
      </c>
      <c r="S4" s="86" t="s">
        <v>605</v>
      </c>
      <c r="T4" s="129" t="s">
        <v>591</v>
      </c>
      <c r="U4" s="86" t="s">
        <v>604</v>
      </c>
      <c r="V4" s="86" t="s">
        <v>605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592</v>
      </c>
      <c r="H5" s="125"/>
      <c r="J5" s="125">
        <v>100</v>
      </c>
      <c r="K5" s="132"/>
      <c r="L5" s="125"/>
      <c r="M5" s="125"/>
      <c r="N5" s="134" t="s">
        <v>632</v>
      </c>
      <c r="O5" s="125">
        <v>50</v>
      </c>
      <c r="P5" s="134" t="s">
        <v>637</v>
      </c>
      <c r="Q5" s="125"/>
      <c r="R5" s="125">
        <v>2000</v>
      </c>
      <c r="S5" s="125">
        <v>200</v>
      </c>
      <c r="T5" s="132" t="s">
        <v>638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593</v>
      </c>
      <c r="I6" s="122" t="s">
        <v>618</v>
      </c>
      <c r="J6" s="123">
        <v>50</v>
      </c>
      <c r="N6" s="135" t="s">
        <v>633</v>
      </c>
      <c r="O6" s="123">
        <v>200</v>
      </c>
      <c r="P6" s="133" t="s">
        <v>636</v>
      </c>
      <c r="R6" s="123">
        <v>2000</v>
      </c>
      <c r="S6" s="123">
        <v>200</v>
      </c>
      <c r="T6" s="128" t="s">
        <v>640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594</v>
      </c>
      <c r="I7" s="122" t="s">
        <v>618</v>
      </c>
      <c r="J7" s="123">
        <v>30</v>
      </c>
      <c r="N7" s="135" t="s">
        <v>634</v>
      </c>
      <c r="O7" s="123">
        <v>200</v>
      </c>
      <c r="P7" s="133" t="s">
        <v>636</v>
      </c>
      <c r="R7" s="123">
        <v>2000</v>
      </c>
      <c r="S7" s="123">
        <v>200</v>
      </c>
      <c r="T7" s="128" t="s">
        <v>639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595</v>
      </c>
      <c r="H8" s="143" t="s">
        <v>825</v>
      </c>
      <c r="I8" s="122" t="s">
        <v>619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596</v>
      </c>
      <c r="H9" s="143" t="s">
        <v>826</v>
      </c>
      <c r="I9" s="122" t="s">
        <v>620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597</v>
      </c>
      <c r="J10" s="123">
        <v>50</v>
      </c>
      <c r="K10" s="133" t="s">
        <v>626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598</v>
      </c>
      <c r="J11" s="123">
        <v>50</v>
      </c>
      <c r="K11" s="133" t="s">
        <v>626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599</v>
      </c>
      <c r="I12" s="122" t="s">
        <v>621</v>
      </c>
      <c r="J12" s="123">
        <v>50</v>
      </c>
      <c r="K12" s="133" t="s">
        <v>627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600</v>
      </c>
      <c r="I13" s="122" t="s">
        <v>622</v>
      </c>
      <c r="J13" s="123">
        <v>50</v>
      </c>
      <c r="K13" s="133" t="s">
        <v>1029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601</v>
      </c>
      <c r="I14" s="122" t="s">
        <v>623</v>
      </c>
      <c r="J14" s="123">
        <v>50</v>
      </c>
      <c r="K14" s="133" t="s">
        <v>1030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602</v>
      </c>
      <c r="I15" s="122" t="s">
        <v>625</v>
      </c>
      <c r="J15" s="123">
        <v>50</v>
      </c>
      <c r="K15" s="133" t="s">
        <v>630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624</v>
      </c>
      <c r="I16" s="122" t="s">
        <v>625</v>
      </c>
      <c r="J16" s="123">
        <v>50</v>
      </c>
      <c r="K16" s="133" t="s">
        <v>629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1156</v>
      </c>
      <c r="B1" s="13"/>
      <c r="C1" s="12"/>
      <c r="D1" s="13"/>
      <c r="E1" s="13"/>
      <c r="F1" s="12"/>
      <c r="G1" s="55" t="s">
        <v>1157</v>
      </c>
      <c r="H1" s="55" t="s">
        <v>1157</v>
      </c>
      <c r="I1" s="55" t="s">
        <v>1157</v>
      </c>
      <c r="J1" s="55" t="s">
        <v>1157</v>
      </c>
      <c r="K1" s="55" t="s">
        <v>1157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1158</v>
      </c>
      <c r="B3" s="13"/>
      <c r="C3" s="12"/>
      <c r="D3" s="13"/>
      <c r="E3" s="13"/>
      <c r="F3" s="12"/>
      <c r="G3" s="55" t="s">
        <v>1159</v>
      </c>
      <c r="H3" s="55" t="s">
        <v>1160</v>
      </c>
      <c r="I3" s="55" t="s">
        <v>1161</v>
      </c>
      <c r="J3" s="55" t="s">
        <v>1162</v>
      </c>
      <c r="K3" s="55" t="s">
        <v>1163</v>
      </c>
      <c r="L3" s="10"/>
      <c r="M3" s="10"/>
    </row>
    <row r="4" spans="1:23" s="181" customFormat="1" ht="57.75" customHeight="1" thickBot="1" x14ac:dyDescent="0.2">
      <c r="A4" s="94" t="s">
        <v>1164</v>
      </c>
      <c r="B4" s="106" t="s">
        <v>1165</v>
      </c>
      <c r="C4" s="107"/>
      <c r="D4" s="106"/>
      <c r="E4" s="106"/>
      <c r="F4" s="107"/>
      <c r="G4" s="89" t="s">
        <v>1166</v>
      </c>
      <c r="H4" s="89" t="s">
        <v>1167</v>
      </c>
      <c r="I4" s="89" t="s">
        <v>1168</v>
      </c>
      <c r="J4" s="89" t="s">
        <v>1169</v>
      </c>
      <c r="K4" s="89" t="s">
        <v>1170</v>
      </c>
      <c r="L4" s="90" t="s">
        <v>1171</v>
      </c>
      <c r="M4" s="90" t="s">
        <v>1172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J614"/>
  <sheetViews>
    <sheetView zoomScaleNormal="100" workbookViewId="0">
      <pane xSplit="7" ySplit="4" topLeftCell="O65" activePane="bottomRight" state="frozen"/>
      <selection pane="topRight" activeCell="H1" sqref="H1"/>
      <selection pane="bottomLeft" activeCell="A5" sqref="A5"/>
      <selection pane="bottomRight" activeCell="R23" sqref="R2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6" width="21.625" style="10" customWidth="1"/>
    <col min="17" max="17" width="19.625" style="155" customWidth="1"/>
    <col min="18" max="18" width="19.625" style="171" customWidth="1"/>
    <col min="19" max="19" width="38.25" style="161" customWidth="1"/>
    <col min="20" max="20" width="38.125" style="55" customWidth="1"/>
    <col min="21" max="22" width="20.125" style="55" customWidth="1"/>
    <col min="23" max="23" width="17" style="155" customWidth="1"/>
    <col min="24" max="24" width="23.25" style="171" customWidth="1"/>
    <col min="25" max="25" width="13" style="165" customWidth="1"/>
    <col min="26" max="26" width="17.875" style="10" customWidth="1"/>
    <col min="27" max="27" width="24" style="55" customWidth="1"/>
    <col min="28" max="31" width="17.875" style="55" customWidth="1"/>
    <col min="32" max="32" width="13" style="167" customWidth="1"/>
    <col min="33" max="34" width="17.875" style="55" customWidth="1"/>
    <col min="35" max="35" width="32.75" style="165" customWidth="1"/>
    <col min="36" max="43" width="21.125" style="55" customWidth="1"/>
    <col min="44" max="44" width="15.25" style="165" customWidth="1"/>
    <col min="45" max="50" width="23.5" style="55" customWidth="1"/>
    <col min="51" max="52" width="33" style="55" customWidth="1"/>
    <col min="53" max="53" width="12.875" style="165" customWidth="1"/>
    <col min="54" max="54" width="23.5" style="55" customWidth="1"/>
    <col min="55" max="55" width="31.625" style="55" customWidth="1"/>
    <col min="56" max="56" width="25.25" style="55" customWidth="1"/>
    <col min="57" max="57" width="10.25" style="165" customWidth="1"/>
    <col min="58" max="58" width="19.125" style="55" customWidth="1"/>
    <col min="59" max="59" width="21.625" style="10" customWidth="1"/>
    <col min="60" max="60" width="13.375" style="55" customWidth="1"/>
    <col min="61" max="63" width="11.75" style="55" customWidth="1"/>
    <col min="64" max="70" width="11.75" style="93" customWidth="1"/>
    <col min="71" max="71" width="17.5" style="141" customWidth="1"/>
    <col min="72" max="90" width="18.5" style="91" customWidth="1"/>
    <col min="91" max="91" width="17.875" style="7" customWidth="1"/>
    <col min="92" max="106" width="17.25" style="91" customWidth="1"/>
    <col min="107" max="107" width="20.125" style="7" customWidth="1"/>
    <col min="108" max="114" width="11.75" style="91" customWidth="1"/>
    <col min="115" max="16384" width="9" style="91"/>
  </cols>
  <sheetData>
    <row r="1" spans="1:114" s="93" customFormat="1" x14ac:dyDescent="0.15">
      <c r="A1" s="11" t="s">
        <v>555</v>
      </c>
      <c r="B1" s="13"/>
      <c r="C1" s="12"/>
      <c r="D1" s="13"/>
      <c r="E1" s="13"/>
      <c r="F1" s="12"/>
      <c r="G1" s="55" t="s">
        <v>787</v>
      </c>
      <c r="H1" s="55" t="s">
        <v>578</v>
      </c>
      <c r="I1" s="55" t="s">
        <v>787</v>
      </c>
      <c r="J1" s="55" t="s">
        <v>578</v>
      </c>
      <c r="K1" s="55" t="s">
        <v>578</v>
      </c>
      <c r="L1" s="158" t="s">
        <v>787</v>
      </c>
      <c r="M1" s="10"/>
      <c r="N1" s="55" t="s">
        <v>787</v>
      </c>
      <c r="O1" s="55" t="s">
        <v>787</v>
      </c>
      <c r="P1" s="10"/>
      <c r="Q1" s="155"/>
      <c r="R1" s="171"/>
      <c r="S1" s="161"/>
      <c r="T1" s="55" t="s">
        <v>60</v>
      </c>
      <c r="U1" s="55"/>
      <c r="V1" s="55"/>
      <c r="W1" s="155"/>
      <c r="X1" s="171"/>
      <c r="Y1" s="165"/>
      <c r="Z1" s="10"/>
      <c r="AA1" s="55" t="s">
        <v>979</v>
      </c>
      <c r="AB1" s="55" t="s">
        <v>60</v>
      </c>
      <c r="AC1" s="55" t="s">
        <v>60</v>
      </c>
      <c r="AD1" s="55" t="s">
        <v>60</v>
      </c>
      <c r="AE1" s="55" t="s">
        <v>60</v>
      </c>
      <c r="AF1" s="167"/>
      <c r="AG1" s="55" t="s">
        <v>60</v>
      </c>
      <c r="AH1" s="55" t="s">
        <v>60</v>
      </c>
      <c r="AI1" s="165"/>
      <c r="AJ1" s="55" t="s">
        <v>578</v>
      </c>
      <c r="AK1" s="55" t="s">
        <v>578</v>
      </c>
      <c r="AL1" s="55" t="s">
        <v>578</v>
      </c>
      <c r="AM1" s="55" t="s">
        <v>578</v>
      </c>
      <c r="AN1" s="55" t="s">
        <v>578</v>
      </c>
      <c r="AO1" s="55" t="s">
        <v>578</v>
      </c>
      <c r="AP1" s="55" t="s">
        <v>1268</v>
      </c>
      <c r="AQ1" s="55" t="s">
        <v>1268</v>
      </c>
      <c r="AR1" s="165"/>
      <c r="AS1" s="55" t="s">
        <v>578</v>
      </c>
      <c r="AT1" s="55" t="s">
        <v>578</v>
      </c>
      <c r="AU1" s="55" t="s">
        <v>578</v>
      </c>
      <c r="AV1" s="55" t="s">
        <v>578</v>
      </c>
      <c r="AW1" s="55" t="s">
        <v>578</v>
      </c>
      <c r="AX1" s="55" t="s">
        <v>578</v>
      </c>
      <c r="AY1" s="55" t="s">
        <v>578</v>
      </c>
      <c r="AZ1" s="55" t="s">
        <v>1268</v>
      </c>
      <c r="BA1" s="165"/>
      <c r="BB1" s="55" t="s">
        <v>578</v>
      </c>
      <c r="BC1" s="55" t="s">
        <v>578</v>
      </c>
      <c r="BD1" s="55" t="s">
        <v>1037</v>
      </c>
      <c r="BE1" s="165"/>
      <c r="BF1" s="55" t="s">
        <v>578</v>
      </c>
      <c r="BG1" s="10"/>
      <c r="BH1" s="55" t="s">
        <v>578</v>
      </c>
      <c r="BI1" s="55" t="s">
        <v>578</v>
      </c>
      <c r="BJ1" s="55" t="s">
        <v>578</v>
      </c>
      <c r="BK1" s="55" t="s">
        <v>578</v>
      </c>
      <c r="BL1" s="55" t="s">
        <v>578</v>
      </c>
      <c r="BM1" s="55" t="s">
        <v>578</v>
      </c>
      <c r="BN1" s="55" t="s">
        <v>578</v>
      </c>
      <c r="BO1" s="55" t="s">
        <v>578</v>
      </c>
      <c r="BP1" s="55" t="s">
        <v>578</v>
      </c>
      <c r="BQ1" s="55" t="s">
        <v>578</v>
      </c>
      <c r="BR1" s="55" t="s">
        <v>578</v>
      </c>
      <c r="BS1" s="10"/>
      <c r="BT1" s="55" t="s">
        <v>578</v>
      </c>
      <c r="BU1" s="55" t="s">
        <v>578</v>
      </c>
      <c r="BV1" s="55" t="s">
        <v>578</v>
      </c>
      <c r="BW1" s="55" t="s">
        <v>578</v>
      </c>
      <c r="BX1" s="55" t="s">
        <v>578</v>
      </c>
      <c r="BY1" s="55" t="s">
        <v>578</v>
      </c>
      <c r="BZ1" s="55" t="s">
        <v>578</v>
      </c>
      <c r="CA1" s="55" t="s">
        <v>578</v>
      </c>
      <c r="CB1" s="55" t="s">
        <v>578</v>
      </c>
      <c r="CC1" s="55" t="s">
        <v>578</v>
      </c>
      <c r="CD1" s="55" t="s">
        <v>578</v>
      </c>
      <c r="CE1" s="55" t="s">
        <v>578</v>
      </c>
      <c r="CF1" s="55" t="s">
        <v>578</v>
      </c>
      <c r="CG1" s="55" t="s">
        <v>578</v>
      </c>
      <c r="CH1" s="55" t="s">
        <v>578</v>
      </c>
      <c r="CI1" s="55" t="s">
        <v>578</v>
      </c>
      <c r="CJ1" s="55" t="s">
        <v>578</v>
      </c>
      <c r="CK1" s="55" t="s">
        <v>578</v>
      </c>
      <c r="CL1" s="55" t="s">
        <v>578</v>
      </c>
      <c r="CM1" s="10"/>
      <c r="CN1" s="55" t="s">
        <v>578</v>
      </c>
      <c r="CO1" s="55" t="s">
        <v>578</v>
      </c>
      <c r="CP1" s="55" t="s">
        <v>578</v>
      </c>
      <c r="CQ1" s="55" t="s">
        <v>578</v>
      </c>
      <c r="CR1" s="55" t="s">
        <v>578</v>
      </c>
      <c r="CS1" s="55" t="s">
        <v>578</v>
      </c>
      <c r="CT1" s="55" t="s">
        <v>578</v>
      </c>
      <c r="CU1" s="55" t="s">
        <v>578</v>
      </c>
      <c r="CV1" s="55" t="s">
        <v>578</v>
      </c>
      <c r="CW1" s="55" t="s">
        <v>578</v>
      </c>
      <c r="CX1" s="55" t="s">
        <v>578</v>
      </c>
      <c r="CY1" s="55" t="s">
        <v>578</v>
      </c>
      <c r="CZ1" s="55" t="s">
        <v>578</v>
      </c>
      <c r="DA1" s="55" t="s">
        <v>578</v>
      </c>
      <c r="DB1" s="55" t="s">
        <v>578</v>
      </c>
      <c r="DC1" s="10"/>
      <c r="DD1" s="55" t="s">
        <v>578</v>
      </c>
      <c r="DE1" s="55" t="s">
        <v>578</v>
      </c>
      <c r="DF1" s="55" t="s">
        <v>578</v>
      </c>
      <c r="DG1" s="55" t="s">
        <v>578</v>
      </c>
      <c r="DH1" s="55" t="s">
        <v>578</v>
      </c>
      <c r="DI1" s="55" t="s">
        <v>578</v>
      </c>
      <c r="DJ1" s="55" t="s">
        <v>578</v>
      </c>
    </row>
    <row r="2" spans="1:114" s="93" customFormat="1" x14ac:dyDescent="0.15">
      <c r="A2" s="11" t="s">
        <v>61</v>
      </c>
      <c r="B2" s="13"/>
      <c r="C2" s="12"/>
      <c r="D2" s="13"/>
      <c r="E2" s="13"/>
      <c r="F2" s="12"/>
      <c r="G2" s="55" t="s">
        <v>786</v>
      </c>
      <c r="H2" s="55" t="s">
        <v>955</v>
      </c>
      <c r="I2" s="55" t="s">
        <v>786</v>
      </c>
      <c r="J2" s="55" t="s">
        <v>472</v>
      </c>
      <c r="K2" s="55" t="s">
        <v>472</v>
      </c>
      <c r="L2" s="158" t="s">
        <v>788</v>
      </c>
      <c r="M2" s="10"/>
      <c r="N2" s="55" t="s">
        <v>786</v>
      </c>
      <c r="O2" s="55" t="s">
        <v>788</v>
      </c>
      <c r="P2" s="10"/>
      <c r="Q2" s="155"/>
      <c r="R2" s="171"/>
      <c r="S2" s="161"/>
      <c r="T2" s="55" t="s">
        <v>61</v>
      </c>
      <c r="U2" s="55"/>
      <c r="V2" s="55"/>
      <c r="W2" s="155"/>
      <c r="X2" s="171"/>
      <c r="Y2" s="165"/>
      <c r="Z2" s="10"/>
      <c r="AA2" s="55" t="s">
        <v>978</v>
      </c>
      <c r="AB2" s="55" t="s">
        <v>61</v>
      </c>
      <c r="AC2" s="55" t="s">
        <v>61</v>
      </c>
      <c r="AD2" s="55" t="s">
        <v>61</v>
      </c>
      <c r="AE2" s="55" t="s">
        <v>61</v>
      </c>
      <c r="AF2" s="167"/>
      <c r="AG2" s="55" t="s">
        <v>61</v>
      </c>
      <c r="AH2" s="55" t="s">
        <v>61</v>
      </c>
      <c r="AI2" s="165"/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1267</v>
      </c>
      <c r="AQ2" s="55" t="s">
        <v>1267</v>
      </c>
      <c r="AR2" s="165"/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1267</v>
      </c>
      <c r="BA2" s="165"/>
      <c r="BB2" s="55" t="s">
        <v>61</v>
      </c>
      <c r="BC2" s="55" t="s">
        <v>61</v>
      </c>
      <c r="BD2" s="55" t="s">
        <v>1036</v>
      </c>
      <c r="BE2" s="165"/>
      <c r="BF2" s="55" t="s">
        <v>61</v>
      </c>
      <c r="BG2" s="10"/>
      <c r="BH2" s="55" t="s">
        <v>61</v>
      </c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10"/>
      <c r="BT2" s="55" t="s">
        <v>61</v>
      </c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10"/>
      <c r="CN2" s="55" t="s">
        <v>61</v>
      </c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10"/>
      <c r="DD2" s="55" t="s">
        <v>61</v>
      </c>
      <c r="DE2" s="55" t="s">
        <v>61</v>
      </c>
      <c r="DF2" s="55" t="s">
        <v>61</v>
      </c>
      <c r="DG2" s="55" t="s">
        <v>61</v>
      </c>
      <c r="DH2" s="55" t="s">
        <v>61</v>
      </c>
      <c r="DI2" s="55" t="s">
        <v>61</v>
      </c>
      <c r="DJ2" s="55" t="s">
        <v>61</v>
      </c>
    </row>
    <row r="3" spans="1:114" s="93" customFormat="1" x14ac:dyDescent="0.15">
      <c r="A3" s="11" t="s">
        <v>561</v>
      </c>
      <c r="B3" s="13"/>
      <c r="C3" s="12"/>
      <c r="D3" s="13"/>
      <c r="E3" s="13"/>
      <c r="F3" s="12"/>
      <c r="G3" s="55" t="s">
        <v>797</v>
      </c>
      <c r="H3" s="55" t="s">
        <v>954</v>
      </c>
      <c r="I3" s="55" t="s">
        <v>800</v>
      </c>
      <c r="J3" s="55" t="s">
        <v>965</v>
      </c>
      <c r="K3" s="55" t="s">
        <v>966</v>
      </c>
      <c r="L3" s="158" t="s">
        <v>817</v>
      </c>
      <c r="M3" s="10"/>
      <c r="N3" s="55" t="s">
        <v>790</v>
      </c>
      <c r="O3" s="55" t="s">
        <v>809</v>
      </c>
      <c r="P3" s="10"/>
      <c r="Q3" s="155"/>
      <c r="R3" s="171"/>
      <c r="S3" s="161"/>
      <c r="T3" s="55" t="s">
        <v>970</v>
      </c>
      <c r="U3" s="55"/>
      <c r="V3" s="55"/>
      <c r="W3" s="155"/>
      <c r="X3" s="171"/>
      <c r="Y3" s="165"/>
      <c r="Z3" s="10"/>
      <c r="AA3" s="55" t="s">
        <v>977</v>
      </c>
      <c r="AB3" s="55" t="s">
        <v>792</v>
      </c>
      <c r="AC3" s="55" t="s">
        <v>793</v>
      </c>
      <c r="AD3" s="55" t="s">
        <v>794</v>
      </c>
      <c r="AE3" s="55" t="s">
        <v>795</v>
      </c>
      <c r="AF3" s="167"/>
      <c r="AG3" s="55" t="s">
        <v>1235</v>
      </c>
      <c r="AH3" s="55" t="s">
        <v>1236</v>
      </c>
      <c r="AI3" s="165"/>
      <c r="AJ3" s="38" t="s">
        <v>840</v>
      </c>
      <c r="AK3" s="61" t="s">
        <v>841</v>
      </c>
      <c r="AL3" s="61" t="s">
        <v>842</v>
      </c>
      <c r="AM3" s="61" t="s">
        <v>843</v>
      </c>
      <c r="AN3" s="61" t="s">
        <v>844</v>
      </c>
      <c r="AO3" s="61" t="s">
        <v>845</v>
      </c>
      <c r="AP3" s="61" t="s">
        <v>1272</v>
      </c>
      <c r="AQ3" s="61" t="s">
        <v>1266</v>
      </c>
      <c r="AR3" s="165"/>
      <c r="AS3" s="38" t="s">
        <v>846</v>
      </c>
      <c r="AT3" s="61" t="s">
        <v>847</v>
      </c>
      <c r="AU3" s="61" t="s">
        <v>848</v>
      </c>
      <c r="AV3" s="61" t="s">
        <v>849</v>
      </c>
      <c r="AW3" s="61" t="s">
        <v>850</v>
      </c>
      <c r="AX3" s="61" t="s">
        <v>851</v>
      </c>
      <c r="AY3" s="61" t="s">
        <v>1273</v>
      </c>
      <c r="AZ3" s="61" t="s">
        <v>1270</v>
      </c>
      <c r="BA3" s="165"/>
      <c r="BB3" s="38" t="s">
        <v>890</v>
      </c>
      <c r="BC3" s="61" t="s">
        <v>827</v>
      </c>
      <c r="BD3" s="61" t="s">
        <v>1034</v>
      </c>
      <c r="BE3" s="165"/>
      <c r="BF3" s="38" t="s">
        <v>806</v>
      </c>
      <c r="BG3" s="10"/>
      <c r="BH3" s="38" t="s">
        <v>1183</v>
      </c>
      <c r="BI3" s="61" t="s">
        <v>1184</v>
      </c>
      <c r="BJ3" s="61" t="s">
        <v>1185</v>
      </c>
      <c r="BK3" s="61" t="s">
        <v>1186</v>
      </c>
      <c r="BL3" s="35" t="s">
        <v>1187</v>
      </c>
      <c r="BM3" s="35" t="s">
        <v>1188</v>
      </c>
      <c r="BN3" s="35" t="s">
        <v>1189</v>
      </c>
      <c r="BO3" s="61" t="s">
        <v>1190</v>
      </c>
      <c r="BP3" s="35" t="s">
        <v>1191</v>
      </c>
      <c r="BQ3" s="35" t="s">
        <v>1192</v>
      </c>
      <c r="BR3" s="35" t="s">
        <v>1193</v>
      </c>
      <c r="BS3" s="36"/>
      <c r="BT3" s="35" t="s">
        <v>1194</v>
      </c>
      <c r="BU3" s="35" t="s">
        <v>1195</v>
      </c>
      <c r="BV3" s="35" t="s">
        <v>1196</v>
      </c>
      <c r="BW3" s="35" t="s">
        <v>1197</v>
      </c>
      <c r="BX3" s="35" t="s">
        <v>1198</v>
      </c>
      <c r="BY3" s="35" t="s">
        <v>1199</v>
      </c>
      <c r="BZ3" s="35" t="s">
        <v>1200</v>
      </c>
      <c r="CA3" s="35" t="s">
        <v>1201</v>
      </c>
      <c r="CB3" s="35" t="s">
        <v>1202</v>
      </c>
      <c r="CC3" s="35" t="s">
        <v>1203</v>
      </c>
      <c r="CD3" s="35" t="s">
        <v>1204</v>
      </c>
      <c r="CE3" s="35" t="s">
        <v>1205</v>
      </c>
      <c r="CF3" s="35" t="s">
        <v>1206</v>
      </c>
      <c r="CG3" s="35" t="s">
        <v>1207</v>
      </c>
      <c r="CH3" s="35" t="s">
        <v>1208</v>
      </c>
      <c r="CI3" s="35" t="s">
        <v>1209</v>
      </c>
      <c r="CJ3" s="35" t="s">
        <v>1210</v>
      </c>
      <c r="CK3" s="35" t="s">
        <v>1211</v>
      </c>
      <c r="CL3" s="35" t="s">
        <v>1212</v>
      </c>
      <c r="CM3" s="36"/>
      <c r="CN3" s="35" t="s">
        <v>1213</v>
      </c>
      <c r="CO3" s="35" t="s">
        <v>1214</v>
      </c>
      <c r="CP3" s="35" t="s">
        <v>1215</v>
      </c>
      <c r="CQ3" s="35" t="s">
        <v>1216</v>
      </c>
      <c r="CR3" s="35" t="s">
        <v>1217</v>
      </c>
      <c r="CS3" s="35" t="s">
        <v>1218</v>
      </c>
      <c r="CT3" s="35" t="s">
        <v>1219</v>
      </c>
      <c r="CU3" s="35" t="s">
        <v>1220</v>
      </c>
      <c r="CV3" s="35" t="s">
        <v>1221</v>
      </c>
      <c r="CW3" s="35" t="s">
        <v>1222</v>
      </c>
      <c r="CX3" s="35" t="s">
        <v>1223</v>
      </c>
      <c r="CY3" s="35" t="s">
        <v>1224</v>
      </c>
      <c r="CZ3" s="35" t="s">
        <v>1225</v>
      </c>
      <c r="DA3" s="35" t="s">
        <v>1226</v>
      </c>
      <c r="DB3" s="35" t="s">
        <v>1227</v>
      </c>
      <c r="DC3" s="36"/>
      <c r="DD3" s="35" t="s">
        <v>1228</v>
      </c>
      <c r="DE3" s="35" t="s">
        <v>1229</v>
      </c>
      <c r="DF3" s="35" t="s">
        <v>1230</v>
      </c>
      <c r="DG3" s="35" t="s">
        <v>1231</v>
      </c>
      <c r="DH3" s="35" t="s">
        <v>1232</v>
      </c>
      <c r="DI3" s="35" t="s">
        <v>1233</v>
      </c>
      <c r="DJ3" s="35" t="s">
        <v>1234</v>
      </c>
    </row>
    <row r="4" spans="1:114" s="92" customFormat="1" ht="118.5" customHeight="1" thickBot="1" x14ac:dyDescent="0.2">
      <c r="A4" s="94" t="s">
        <v>561</v>
      </c>
      <c r="B4" s="106" t="s">
        <v>580</v>
      </c>
      <c r="C4" s="107" t="s">
        <v>1334</v>
      </c>
      <c r="D4" s="106" t="s">
        <v>869</v>
      </c>
      <c r="E4" s="106" t="s">
        <v>870</v>
      </c>
      <c r="F4" s="107"/>
      <c r="G4" s="57" t="s">
        <v>798</v>
      </c>
      <c r="H4" s="57" t="s">
        <v>956</v>
      </c>
      <c r="I4" s="57" t="s">
        <v>1039</v>
      </c>
      <c r="J4" s="57" t="s">
        <v>1040</v>
      </c>
      <c r="K4" s="57" t="s">
        <v>1041</v>
      </c>
      <c r="L4" s="159" t="s">
        <v>816</v>
      </c>
      <c r="M4" s="142" t="s">
        <v>799</v>
      </c>
      <c r="N4" s="89" t="s">
        <v>789</v>
      </c>
      <c r="O4" s="55" t="s">
        <v>957</v>
      </c>
      <c r="P4" s="10" t="s">
        <v>1338</v>
      </c>
      <c r="Q4" s="155" t="s">
        <v>997</v>
      </c>
      <c r="R4" s="171" t="s">
        <v>971</v>
      </c>
      <c r="S4" s="161" t="s">
        <v>974</v>
      </c>
      <c r="T4" s="55" t="s">
        <v>975</v>
      </c>
      <c r="U4" s="55" t="s">
        <v>991</v>
      </c>
      <c r="V4" s="55" t="s">
        <v>992</v>
      </c>
      <c r="W4" s="155" t="s">
        <v>988</v>
      </c>
      <c r="X4" s="171" t="s">
        <v>972</v>
      </c>
      <c r="Y4" s="165" t="s">
        <v>805</v>
      </c>
      <c r="Z4" s="10" t="s">
        <v>796</v>
      </c>
      <c r="AA4" s="55" t="s">
        <v>976</v>
      </c>
      <c r="AB4" s="55" t="s">
        <v>871</v>
      </c>
      <c r="AC4" s="55" t="s">
        <v>872</v>
      </c>
      <c r="AD4" s="55" t="s">
        <v>873</v>
      </c>
      <c r="AE4" s="55" t="s">
        <v>874</v>
      </c>
      <c r="AF4" s="168" t="s">
        <v>973</v>
      </c>
      <c r="AG4" s="55" t="s">
        <v>875</v>
      </c>
      <c r="AH4" s="55" t="s">
        <v>876</v>
      </c>
      <c r="AI4" s="170" t="s">
        <v>958</v>
      </c>
      <c r="AJ4" s="38" t="s">
        <v>877</v>
      </c>
      <c r="AK4" s="61" t="s">
        <v>878</v>
      </c>
      <c r="AL4" s="61" t="s">
        <v>879</v>
      </c>
      <c r="AM4" s="61" t="s">
        <v>880</v>
      </c>
      <c r="AN4" s="61" t="s">
        <v>881</v>
      </c>
      <c r="AO4" s="61" t="s">
        <v>882</v>
      </c>
      <c r="AP4" s="61" t="s">
        <v>1271</v>
      </c>
      <c r="AQ4" s="61" t="s">
        <v>1265</v>
      </c>
      <c r="AR4" s="165" t="s">
        <v>883</v>
      </c>
      <c r="AS4" s="38" t="s">
        <v>884</v>
      </c>
      <c r="AT4" s="61" t="s">
        <v>885</v>
      </c>
      <c r="AU4" s="61" t="s">
        <v>886</v>
      </c>
      <c r="AV4" s="61" t="s">
        <v>887</v>
      </c>
      <c r="AW4" s="61" t="s">
        <v>888</v>
      </c>
      <c r="AX4" s="61" t="s">
        <v>889</v>
      </c>
      <c r="AY4" s="61" t="s">
        <v>894</v>
      </c>
      <c r="AZ4" s="61" t="s">
        <v>1269</v>
      </c>
      <c r="BA4" s="165" t="s">
        <v>828</v>
      </c>
      <c r="BB4" s="38" t="s">
        <v>891</v>
      </c>
      <c r="BC4" s="61" t="s">
        <v>892</v>
      </c>
      <c r="BD4" s="61" t="s">
        <v>1035</v>
      </c>
      <c r="BE4" s="165" t="s">
        <v>852</v>
      </c>
      <c r="BF4" s="38" t="s">
        <v>895</v>
      </c>
      <c r="BG4" s="10" t="s">
        <v>983</v>
      </c>
      <c r="BH4" s="38" t="s">
        <v>896</v>
      </c>
      <c r="BI4" s="61" t="s">
        <v>897</v>
      </c>
      <c r="BJ4" s="61" t="s">
        <v>898</v>
      </c>
      <c r="BK4" s="61" t="s">
        <v>899</v>
      </c>
      <c r="BL4" s="35" t="s">
        <v>900</v>
      </c>
      <c r="BM4" s="35" t="s">
        <v>901</v>
      </c>
      <c r="BN4" s="35" t="s">
        <v>902</v>
      </c>
      <c r="BO4" s="61" t="s">
        <v>903</v>
      </c>
      <c r="BP4" s="35" t="s">
        <v>904</v>
      </c>
      <c r="BQ4" s="35" t="s">
        <v>905</v>
      </c>
      <c r="BR4" s="35" t="s">
        <v>906</v>
      </c>
      <c r="BS4" s="36" t="s">
        <v>982</v>
      </c>
      <c r="BT4" s="35" t="s">
        <v>907</v>
      </c>
      <c r="BU4" s="35" t="s">
        <v>908</v>
      </c>
      <c r="BV4" s="35" t="s">
        <v>909</v>
      </c>
      <c r="BW4" s="35" t="s">
        <v>910</v>
      </c>
      <c r="BX4" s="35" t="s">
        <v>911</v>
      </c>
      <c r="BY4" s="35" t="s">
        <v>912</v>
      </c>
      <c r="BZ4" s="35" t="s">
        <v>913</v>
      </c>
      <c r="CA4" s="35" t="s">
        <v>914</v>
      </c>
      <c r="CB4" s="35" t="s">
        <v>915</v>
      </c>
      <c r="CC4" s="35" t="s">
        <v>916</v>
      </c>
      <c r="CD4" s="35" t="s">
        <v>917</v>
      </c>
      <c r="CE4" s="35" t="s">
        <v>918</v>
      </c>
      <c r="CF4" s="35" t="s">
        <v>919</v>
      </c>
      <c r="CG4" s="35" t="s">
        <v>920</v>
      </c>
      <c r="CH4" s="35" t="s">
        <v>921</v>
      </c>
      <c r="CI4" s="35" t="s">
        <v>922</v>
      </c>
      <c r="CJ4" s="35" t="s">
        <v>923</v>
      </c>
      <c r="CK4" s="35" t="s">
        <v>924</v>
      </c>
      <c r="CL4" s="35" t="s">
        <v>925</v>
      </c>
      <c r="CM4" s="36" t="s">
        <v>981</v>
      </c>
      <c r="CN4" s="35" t="s">
        <v>926</v>
      </c>
      <c r="CO4" s="35" t="s">
        <v>927</v>
      </c>
      <c r="CP4" s="35" t="s">
        <v>928</v>
      </c>
      <c r="CQ4" s="35" t="s">
        <v>929</v>
      </c>
      <c r="CR4" s="35" t="s">
        <v>930</v>
      </c>
      <c r="CS4" s="35" t="s">
        <v>931</v>
      </c>
      <c r="CT4" s="35" t="s">
        <v>932</v>
      </c>
      <c r="CU4" s="35" t="s">
        <v>933</v>
      </c>
      <c r="CV4" s="35" t="s">
        <v>947</v>
      </c>
      <c r="CW4" s="35" t="s">
        <v>946</v>
      </c>
      <c r="CX4" s="35" t="s">
        <v>945</v>
      </c>
      <c r="CY4" s="35" t="s">
        <v>944</v>
      </c>
      <c r="CZ4" s="35" t="s">
        <v>943</v>
      </c>
      <c r="DA4" s="35" t="s">
        <v>942</v>
      </c>
      <c r="DB4" s="35" t="s">
        <v>941</v>
      </c>
      <c r="DC4" s="36" t="s">
        <v>980</v>
      </c>
      <c r="DD4" s="35" t="s">
        <v>940</v>
      </c>
      <c r="DE4" s="35" t="s">
        <v>939</v>
      </c>
      <c r="DF4" s="35" t="s">
        <v>938</v>
      </c>
      <c r="DG4" s="35" t="s">
        <v>937</v>
      </c>
      <c r="DH4" s="35" t="s">
        <v>936</v>
      </c>
      <c r="DI4" s="35" t="s">
        <v>935</v>
      </c>
      <c r="DJ4" s="35" t="s">
        <v>934</v>
      </c>
    </row>
    <row r="5" spans="1:114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853</v>
      </c>
      <c r="H5" s="56">
        <v>1</v>
      </c>
      <c r="I5" s="56" t="s">
        <v>1038</v>
      </c>
      <c r="J5" s="56" t="s">
        <v>1054</v>
      </c>
      <c r="K5" s="56" t="s">
        <v>1067</v>
      </c>
      <c r="L5" s="160">
        <v>360</v>
      </c>
      <c r="M5" s="17" t="s">
        <v>951</v>
      </c>
      <c r="N5" s="56" t="s">
        <v>1287</v>
      </c>
      <c r="O5" s="56">
        <f>P5*30</f>
        <v>600</v>
      </c>
      <c r="P5" s="17">
        <v>20</v>
      </c>
      <c r="Q5" s="156">
        <f>IF((1-(1-O5/100000)^1440)=0,"",1-(1-O5/100000)^1440)</f>
        <v>0.99982765704618048</v>
      </c>
      <c r="R5" s="172">
        <f>IF((O5/100000)*1440=0,"",(O5/100000)*1440)</f>
        <v>8.64</v>
      </c>
      <c r="S5" s="162"/>
      <c r="T5" s="56"/>
      <c r="U5" s="56"/>
      <c r="V5" s="56"/>
      <c r="W5" s="156" t="str">
        <f t="shared" ref="W5:W68" si="0">IF((1-(1-T5/100000)^L5)=0,"",1-(1-T5/100000)^L5)</f>
        <v/>
      </c>
      <c r="X5" s="172" t="str">
        <f t="shared" ref="X5:X69" si="1">IF((T5/100000)*L5=0,"",(T5/100000)*L5)</f>
        <v/>
      </c>
      <c r="Y5" s="166"/>
      <c r="Z5" s="17"/>
      <c r="AA5" s="150">
        <v>120</v>
      </c>
      <c r="AC5" s="56"/>
      <c r="AD5" s="56"/>
      <c r="AE5" s="150">
        <v>110</v>
      </c>
      <c r="AF5" s="169"/>
      <c r="AG5" s="56"/>
      <c r="AH5" s="56"/>
      <c r="AI5" s="166"/>
      <c r="AJ5" s="56"/>
      <c r="AK5" s="56"/>
      <c r="AL5" s="56"/>
      <c r="AM5" s="56"/>
      <c r="AN5" s="56"/>
      <c r="AO5" s="56"/>
      <c r="AP5" s="56"/>
      <c r="AQ5" s="56"/>
      <c r="AR5" s="166"/>
      <c r="AS5" s="56"/>
      <c r="AT5" s="56"/>
      <c r="AU5" s="56"/>
      <c r="AV5" s="56"/>
      <c r="AW5" s="56"/>
      <c r="AX5" s="56"/>
      <c r="AY5" s="56"/>
      <c r="AZ5" s="56"/>
      <c r="BA5" s="166"/>
      <c r="BB5" s="56"/>
      <c r="BC5" s="56"/>
      <c r="BD5" s="56"/>
      <c r="BE5" s="166"/>
      <c r="BF5" s="150">
        <v>200</v>
      </c>
      <c r="BG5" s="17"/>
      <c r="BH5" s="150">
        <v>110</v>
      </c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40"/>
      <c r="BT5" s="151">
        <v>110</v>
      </c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40"/>
      <c r="CN5" s="151">
        <v>120</v>
      </c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40"/>
      <c r="DD5" s="151">
        <v>120</v>
      </c>
      <c r="DE5" s="151">
        <v>120</v>
      </c>
      <c r="DF5" s="151">
        <v>120</v>
      </c>
      <c r="DG5" s="151">
        <v>120</v>
      </c>
      <c r="DH5" s="151">
        <v>120</v>
      </c>
      <c r="DI5" s="151">
        <v>120</v>
      </c>
      <c r="DJ5" s="151">
        <v>120</v>
      </c>
    </row>
    <row r="6" spans="1:114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801</v>
      </c>
      <c r="H6" s="55">
        <v>3</v>
      </c>
      <c r="I6" s="55" t="s">
        <v>1038</v>
      </c>
      <c r="J6" s="55" t="s">
        <v>1054</v>
      </c>
      <c r="L6" s="158">
        <v>360</v>
      </c>
      <c r="M6" s="10" t="s">
        <v>952</v>
      </c>
      <c r="N6" s="55" t="s">
        <v>1288</v>
      </c>
      <c r="O6" s="55">
        <f t="shared" ref="O6:O69" si="3">P6*30</f>
        <v>450</v>
      </c>
      <c r="P6" s="10">
        <v>15</v>
      </c>
      <c r="Q6" s="155">
        <f t="shared" ref="Q6:Q69" si="4">IF((1-(1-O6/100000)^1440)=0,"",1-(1-O6/100000)^1440)</f>
        <v>0.99848845638414807</v>
      </c>
      <c r="R6" s="171">
        <f t="shared" ref="R6:R69" si="5">IF((O6/100000)*1440=0,"",(O6/100000)*1440)</f>
        <v>6.4799999999999995</v>
      </c>
      <c r="W6" s="155" t="str">
        <f t="shared" si="0"/>
        <v/>
      </c>
      <c r="X6" s="171" t="str">
        <f t="shared" si="1"/>
        <v/>
      </c>
      <c r="AA6" s="149">
        <v>160</v>
      </c>
      <c r="AE6" s="149">
        <v>120</v>
      </c>
      <c r="BF6" s="149">
        <v>300</v>
      </c>
      <c r="BH6" s="149">
        <v>120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T6" s="152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N6" s="152">
        <v>140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D6" s="152">
        <v>140</v>
      </c>
      <c r="DE6" s="152">
        <v>140</v>
      </c>
      <c r="DF6" s="152">
        <v>140</v>
      </c>
      <c r="DG6" s="152">
        <v>140</v>
      </c>
      <c r="DH6" s="152">
        <v>140</v>
      </c>
      <c r="DI6" s="152">
        <v>140</v>
      </c>
      <c r="DJ6" s="152">
        <v>140</v>
      </c>
    </row>
    <row r="7" spans="1:114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802</v>
      </c>
      <c r="H7" s="55">
        <v>5</v>
      </c>
      <c r="I7" s="55" t="s">
        <v>1038</v>
      </c>
      <c r="J7" s="55" t="s">
        <v>1054</v>
      </c>
      <c r="L7" s="158">
        <v>360</v>
      </c>
      <c r="M7" s="153" t="s">
        <v>953</v>
      </c>
      <c r="N7" s="55" t="s">
        <v>1289</v>
      </c>
      <c r="O7" s="55">
        <f t="shared" si="3"/>
        <v>300</v>
      </c>
      <c r="P7" s="10">
        <v>10</v>
      </c>
      <c r="Q7" s="155">
        <f t="shared" si="4"/>
        <v>0.98678619270966395</v>
      </c>
      <c r="R7" s="171">
        <f t="shared" si="5"/>
        <v>4.32</v>
      </c>
      <c r="W7" s="155" t="str">
        <f t="shared" si="0"/>
        <v/>
      </c>
      <c r="X7" s="171" t="str">
        <f t="shared" si="1"/>
        <v/>
      </c>
      <c r="AA7" s="149">
        <v>220</v>
      </c>
      <c r="AE7" s="149">
        <v>130</v>
      </c>
      <c r="BF7" s="149">
        <v>400</v>
      </c>
      <c r="BH7" s="149">
        <v>130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T7" s="152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N7" s="152">
        <v>160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D7" s="152">
        <v>160</v>
      </c>
      <c r="DE7" s="152">
        <v>160</v>
      </c>
      <c r="DF7" s="152">
        <v>160</v>
      </c>
      <c r="DG7" s="152">
        <v>160</v>
      </c>
      <c r="DH7" s="152">
        <v>160</v>
      </c>
      <c r="DI7" s="152">
        <v>160</v>
      </c>
      <c r="DJ7" s="152">
        <v>160</v>
      </c>
    </row>
    <row r="8" spans="1:114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854</v>
      </c>
      <c r="H8" s="55">
        <v>1</v>
      </c>
      <c r="I8" s="55" t="s">
        <v>1044</v>
      </c>
      <c r="J8" s="55" t="s">
        <v>1055</v>
      </c>
      <c r="L8" s="158">
        <v>360</v>
      </c>
      <c r="N8" s="55" t="s">
        <v>1290</v>
      </c>
      <c r="O8" s="55">
        <f t="shared" si="3"/>
        <v>600</v>
      </c>
      <c r="P8" s="10">
        <v>20</v>
      </c>
      <c r="Q8" s="155">
        <f t="shared" si="4"/>
        <v>0.99982765704618048</v>
      </c>
      <c r="R8" s="171">
        <f t="shared" si="5"/>
        <v>8.64</v>
      </c>
      <c r="W8" s="155" t="str">
        <f t="shared" si="0"/>
        <v/>
      </c>
      <c r="X8" s="171" t="str">
        <f t="shared" si="1"/>
        <v/>
      </c>
      <c r="AA8" s="149">
        <v>40</v>
      </c>
      <c r="AE8" s="149">
        <v>90</v>
      </c>
      <c r="BF8" s="149">
        <v>75</v>
      </c>
      <c r="BH8" s="149">
        <v>90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T8" s="152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N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D8" s="152">
        <v>90</v>
      </c>
      <c r="DE8" s="152">
        <v>90</v>
      </c>
      <c r="DF8" s="152">
        <v>90</v>
      </c>
      <c r="DG8" s="152">
        <v>90</v>
      </c>
      <c r="DH8" s="152">
        <v>90</v>
      </c>
      <c r="DI8" s="152">
        <v>90</v>
      </c>
      <c r="DJ8" s="152">
        <v>90</v>
      </c>
    </row>
    <row r="9" spans="1:114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855</v>
      </c>
      <c r="H9" s="55">
        <v>3</v>
      </c>
      <c r="I9" s="55" t="s">
        <v>1042</v>
      </c>
      <c r="J9" s="55" t="s">
        <v>1055</v>
      </c>
      <c r="L9" s="158">
        <v>360</v>
      </c>
      <c r="N9" s="55" t="s">
        <v>1291</v>
      </c>
      <c r="O9" s="55">
        <f t="shared" si="3"/>
        <v>450</v>
      </c>
      <c r="P9" s="10">
        <v>15</v>
      </c>
      <c r="Q9" s="155">
        <f t="shared" si="4"/>
        <v>0.99848845638414807</v>
      </c>
      <c r="R9" s="171">
        <f t="shared" si="5"/>
        <v>6.4799999999999995</v>
      </c>
      <c r="W9" s="155" t="str">
        <f t="shared" si="0"/>
        <v/>
      </c>
      <c r="X9" s="171" t="str">
        <f t="shared" si="1"/>
        <v/>
      </c>
      <c r="AA9" s="149">
        <v>25</v>
      </c>
      <c r="AE9" s="149">
        <v>80</v>
      </c>
      <c r="BF9" s="149">
        <v>60</v>
      </c>
      <c r="BH9" s="149">
        <v>80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T9" s="152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N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D9" s="152">
        <v>80</v>
      </c>
      <c r="DE9" s="152">
        <v>80</v>
      </c>
      <c r="DF9" s="152">
        <v>80</v>
      </c>
      <c r="DG9" s="152">
        <v>80</v>
      </c>
      <c r="DH9" s="152">
        <v>80</v>
      </c>
      <c r="DI9" s="152">
        <v>80</v>
      </c>
      <c r="DJ9" s="152">
        <v>80</v>
      </c>
    </row>
    <row r="10" spans="1:114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856</v>
      </c>
      <c r="H10" s="55">
        <v>5</v>
      </c>
      <c r="I10" s="55" t="s">
        <v>1042</v>
      </c>
      <c r="J10" s="55" t="s">
        <v>1055</v>
      </c>
      <c r="L10" s="158">
        <v>360</v>
      </c>
      <c r="N10" s="55" t="s">
        <v>1292</v>
      </c>
      <c r="O10" s="55">
        <f t="shared" si="3"/>
        <v>300</v>
      </c>
      <c r="P10" s="10">
        <v>10</v>
      </c>
      <c r="Q10" s="155">
        <f t="shared" si="4"/>
        <v>0.98678619270966395</v>
      </c>
      <c r="R10" s="171">
        <f t="shared" si="5"/>
        <v>4.32</v>
      </c>
      <c r="W10" s="155" t="str">
        <f t="shared" si="0"/>
        <v/>
      </c>
      <c r="X10" s="171" t="str">
        <f t="shared" si="1"/>
        <v/>
      </c>
      <c r="AA10" s="149">
        <v>10</v>
      </c>
      <c r="AE10" s="149">
        <v>70</v>
      </c>
      <c r="BF10" s="149">
        <v>50</v>
      </c>
      <c r="BH10" s="149">
        <v>70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T10" s="152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N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D10" s="152">
        <v>70</v>
      </c>
      <c r="DE10" s="152">
        <v>70</v>
      </c>
      <c r="DF10" s="152">
        <v>70</v>
      </c>
      <c r="DG10" s="152">
        <v>70</v>
      </c>
      <c r="DH10" s="152">
        <v>70</v>
      </c>
      <c r="DI10" s="152">
        <v>70</v>
      </c>
      <c r="DJ10" s="152">
        <v>70</v>
      </c>
    </row>
    <row r="11" spans="1:114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857</v>
      </c>
      <c r="H11" s="55">
        <v>1</v>
      </c>
      <c r="I11" s="55" t="s">
        <v>1043</v>
      </c>
      <c r="J11" s="55" t="s">
        <v>1056</v>
      </c>
      <c r="L11" s="158">
        <v>360</v>
      </c>
      <c r="N11" s="55" t="s">
        <v>1293</v>
      </c>
      <c r="O11" s="55">
        <f t="shared" si="3"/>
        <v>600</v>
      </c>
      <c r="P11" s="10">
        <v>20</v>
      </c>
      <c r="Q11" s="155">
        <f t="shared" si="4"/>
        <v>0.99982765704618048</v>
      </c>
      <c r="R11" s="171">
        <f t="shared" si="5"/>
        <v>8.64</v>
      </c>
      <c r="W11" s="155" t="str">
        <f t="shared" si="0"/>
        <v/>
      </c>
      <c r="X11" s="171" t="str">
        <f t="shared" si="1"/>
        <v/>
      </c>
      <c r="AB11" s="149">
        <v>110</v>
      </c>
      <c r="BF11" s="149">
        <v>200</v>
      </c>
      <c r="BH11" s="149">
        <v>110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T11" s="152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N11" s="152">
        <v>120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D11" s="152">
        <v>120</v>
      </c>
      <c r="DE11" s="152">
        <v>120</v>
      </c>
      <c r="DF11" s="152">
        <v>120</v>
      </c>
      <c r="DG11" s="152">
        <v>120</v>
      </c>
      <c r="DH11" s="152">
        <v>120</v>
      </c>
      <c r="DI11" s="152">
        <v>120</v>
      </c>
      <c r="DJ11" s="152">
        <v>120</v>
      </c>
    </row>
    <row r="12" spans="1:114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803</v>
      </c>
      <c r="H12" s="55">
        <v>3</v>
      </c>
      <c r="I12" s="55" t="s">
        <v>1043</v>
      </c>
      <c r="J12" s="55" t="s">
        <v>1056</v>
      </c>
      <c r="L12" s="158">
        <v>360</v>
      </c>
      <c r="N12" s="55" t="s">
        <v>1294</v>
      </c>
      <c r="O12" s="55">
        <f t="shared" si="3"/>
        <v>450</v>
      </c>
      <c r="P12" s="10">
        <v>15</v>
      </c>
      <c r="Q12" s="155">
        <f t="shared" si="4"/>
        <v>0.99848845638414807</v>
      </c>
      <c r="R12" s="171">
        <f t="shared" si="5"/>
        <v>6.4799999999999995</v>
      </c>
      <c r="W12" s="155" t="str">
        <f t="shared" si="0"/>
        <v/>
      </c>
      <c r="X12" s="171" t="str">
        <f t="shared" si="1"/>
        <v/>
      </c>
      <c r="AB12" s="149">
        <v>120</v>
      </c>
      <c r="BF12" s="149">
        <v>300</v>
      </c>
      <c r="BH12" s="149">
        <v>120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T12" s="152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N12" s="152">
        <v>140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D12" s="152">
        <v>140</v>
      </c>
      <c r="DE12" s="152">
        <v>140</v>
      </c>
      <c r="DF12" s="152">
        <v>140</v>
      </c>
      <c r="DG12" s="152">
        <v>140</v>
      </c>
      <c r="DH12" s="152">
        <v>140</v>
      </c>
      <c r="DI12" s="152">
        <v>140</v>
      </c>
      <c r="DJ12" s="152">
        <v>140</v>
      </c>
    </row>
    <row r="13" spans="1:114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804</v>
      </c>
      <c r="H13" s="55">
        <v>5</v>
      </c>
      <c r="I13" s="55" t="s">
        <v>1043</v>
      </c>
      <c r="J13" s="55" t="s">
        <v>1056</v>
      </c>
      <c r="L13" s="158">
        <v>360</v>
      </c>
      <c r="N13" s="55" t="s">
        <v>1295</v>
      </c>
      <c r="O13" s="55">
        <f t="shared" si="3"/>
        <v>300</v>
      </c>
      <c r="P13" s="10">
        <v>10</v>
      </c>
      <c r="Q13" s="155">
        <f t="shared" si="4"/>
        <v>0.98678619270966395</v>
      </c>
      <c r="R13" s="171">
        <f t="shared" si="5"/>
        <v>4.32</v>
      </c>
      <c r="W13" s="155" t="str">
        <f t="shared" si="0"/>
        <v/>
      </c>
      <c r="X13" s="171" t="str">
        <f t="shared" si="1"/>
        <v/>
      </c>
      <c r="AB13" s="149">
        <v>130</v>
      </c>
      <c r="BF13" s="149">
        <v>400</v>
      </c>
      <c r="BH13" s="149">
        <v>130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T13" s="152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N13" s="152">
        <v>160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D13" s="152">
        <v>160</v>
      </c>
      <c r="DE13" s="152">
        <v>160</v>
      </c>
      <c r="DF13" s="152">
        <v>160</v>
      </c>
      <c r="DG13" s="152">
        <v>160</v>
      </c>
      <c r="DH13" s="152">
        <v>160</v>
      </c>
      <c r="DI13" s="152">
        <v>160</v>
      </c>
      <c r="DJ13" s="152">
        <v>160</v>
      </c>
    </row>
    <row r="14" spans="1:114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f t="shared" si="3"/>
        <v>0</v>
      </c>
      <c r="Q14" s="155" t="str">
        <f t="shared" si="4"/>
        <v/>
      </c>
      <c r="R14" s="171" t="str">
        <f t="shared" si="5"/>
        <v/>
      </c>
      <c r="W14" s="155" t="str">
        <f t="shared" si="0"/>
        <v/>
      </c>
      <c r="X14" s="171" t="str">
        <f t="shared" si="1"/>
        <v/>
      </c>
    </row>
    <row r="15" spans="1:114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f t="shared" si="3"/>
        <v>0</v>
      </c>
      <c r="P15" s="10"/>
      <c r="Q15" s="155" t="str">
        <f t="shared" si="4"/>
        <v/>
      </c>
      <c r="R15" s="171" t="str">
        <f t="shared" si="5"/>
        <v/>
      </c>
      <c r="S15" s="161"/>
      <c r="T15" s="55"/>
      <c r="U15" s="55"/>
      <c r="V15" s="55"/>
      <c r="W15" s="155" t="str">
        <f t="shared" si="0"/>
        <v/>
      </c>
      <c r="X15" s="171" t="str">
        <f t="shared" si="1"/>
        <v/>
      </c>
      <c r="Y15" s="165"/>
      <c r="Z15" s="10"/>
      <c r="AA15" s="55"/>
      <c r="AB15" s="55"/>
      <c r="AC15" s="55"/>
      <c r="AD15" s="55"/>
      <c r="AE15" s="55"/>
      <c r="AF15" s="167"/>
      <c r="AG15" s="55"/>
      <c r="AH15" s="55"/>
      <c r="AI15" s="165"/>
      <c r="AJ15" s="55"/>
      <c r="AK15" s="55"/>
      <c r="AL15" s="55"/>
      <c r="AM15" s="55"/>
      <c r="AN15" s="55"/>
      <c r="AO15" s="55"/>
      <c r="AP15" s="55"/>
      <c r="AQ15" s="55"/>
      <c r="AR15" s="165"/>
      <c r="AS15" s="55"/>
      <c r="AT15" s="55"/>
      <c r="AU15" s="55"/>
      <c r="AV15" s="55"/>
      <c r="AW15" s="55"/>
      <c r="AX15" s="55"/>
      <c r="AY15" s="55"/>
      <c r="AZ15" s="55"/>
      <c r="BA15" s="165"/>
      <c r="BB15" s="55"/>
      <c r="BC15" s="55"/>
      <c r="BD15" s="55"/>
      <c r="BE15" s="165"/>
      <c r="BF15" s="55"/>
      <c r="BG15" s="10"/>
      <c r="BH15" s="55"/>
      <c r="BI15" s="55"/>
      <c r="BJ15" s="55"/>
      <c r="BK15" s="55"/>
      <c r="BS15" s="141"/>
      <c r="CM15" s="141"/>
      <c r="DC15" s="141"/>
    </row>
    <row r="16" spans="1:114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f t="shared" si="3"/>
        <v>0</v>
      </c>
      <c r="P16" s="10"/>
      <c r="Q16" s="155" t="str">
        <f t="shared" si="4"/>
        <v/>
      </c>
      <c r="R16" s="171" t="str">
        <f t="shared" si="5"/>
        <v/>
      </c>
      <c r="S16" s="161"/>
      <c r="T16" s="55"/>
      <c r="U16" s="55"/>
      <c r="V16" s="55"/>
      <c r="W16" s="155" t="str">
        <f t="shared" si="0"/>
        <v/>
      </c>
      <c r="X16" s="171" t="str">
        <f t="shared" si="1"/>
        <v/>
      </c>
      <c r="Y16" s="165"/>
      <c r="Z16" s="10"/>
      <c r="AA16" s="55"/>
      <c r="AB16" s="55"/>
      <c r="AC16" s="55"/>
      <c r="AD16" s="55"/>
      <c r="AE16" s="55"/>
      <c r="AF16" s="167"/>
      <c r="AG16" s="55"/>
      <c r="AH16" s="55"/>
      <c r="AI16" s="165"/>
      <c r="AJ16" s="55"/>
      <c r="AK16" s="55"/>
      <c r="AL16" s="55"/>
      <c r="AM16" s="55"/>
      <c r="AN16" s="55"/>
      <c r="AO16" s="55"/>
      <c r="AP16" s="55"/>
      <c r="AQ16" s="55"/>
      <c r="AR16" s="165"/>
      <c r="AS16" s="55"/>
      <c r="AT16" s="55"/>
      <c r="AU16" s="55"/>
      <c r="AV16" s="55"/>
      <c r="AW16" s="55"/>
      <c r="AX16" s="55"/>
      <c r="AY16" s="55"/>
      <c r="AZ16" s="55"/>
      <c r="BA16" s="165"/>
      <c r="BB16" s="55"/>
      <c r="BC16" s="55"/>
      <c r="BD16" s="55"/>
      <c r="BE16" s="165"/>
      <c r="BF16" s="55"/>
      <c r="BG16" s="10"/>
      <c r="BH16" s="55"/>
      <c r="BI16" s="55"/>
      <c r="BJ16" s="55"/>
      <c r="BK16" s="55"/>
      <c r="BS16" s="141"/>
      <c r="CM16" s="141"/>
      <c r="DC16" s="141"/>
    </row>
    <row r="17" spans="1:114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f t="shared" si="3"/>
        <v>0</v>
      </c>
      <c r="P17" s="10"/>
      <c r="Q17" s="155" t="str">
        <f t="shared" si="4"/>
        <v/>
      </c>
      <c r="R17" s="171" t="str">
        <f t="shared" si="5"/>
        <v/>
      </c>
      <c r="S17" s="161"/>
      <c r="T17" s="55"/>
      <c r="U17" s="55"/>
      <c r="V17" s="55"/>
      <c r="W17" s="155" t="str">
        <f t="shared" si="0"/>
        <v/>
      </c>
      <c r="X17" s="171" t="str">
        <f t="shared" si="1"/>
        <v/>
      </c>
      <c r="Y17" s="165"/>
      <c r="Z17" s="10"/>
      <c r="AA17" s="55"/>
      <c r="AB17" s="55"/>
      <c r="AC17" s="55"/>
      <c r="AD17" s="55"/>
      <c r="AE17" s="55"/>
      <c r="AF17" s="167"/>
      <c r="AG17" s="55"/>
      <c r="AH17" s="55"/>
      <c r="AI17" s="165"/>
      <c r="AJ17" s="55"/>
      <c r="AK17" s="55"/>
      <c r="AL17" s="55"/>
      <c r="AM17" s="55"/>
      <c r="AN17" s="55"/>
      <c r="AO17" s="55"/>
      <c r="AP17" s="55"/>
      <c r="AQ17" s="55"/>
      <c r="AR17" s="165"/>
      <c r="AS17" s="55"/>
      <c r="AT17" s="55"/>
      <c r="AU17" s="55"/>
      <c r="AV17" s="55"/>
      <c r="AW17" s="55"/>
      <c r="AX17" s="55"/>
      <c r="AY17" s="55"/>
      <c r="AZ17" s="55"/>
      <c r="BA17" s="165"/>
      <c r="BB17" s="55"/>
      <c r="BC17" s="55"/>
      <c r="BD17" s="55"/>
      <c r="BE17" s="165"/>
      <c r="BF17" s="55"/>
      <c r="BG17" s="10"/>
      <c r="BH17" s="55"/>
      <c r="BI17" s="55"/>
      <c r="BJ17" s="55"/>
      <c r="BK17" s="55"/>
      <c r="BS17" s="141"/>
      <c r="CM17" s="141"/>
      <c r="DC17" s="141"/>
    </row>
    <row r="18" spans="1:114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f t="shared" si="3"/>
        <v>0</v>
      </c>
      <c r="P18" s="10"/>
      <c r="Q18" s="155" t="str">
        <f t="shared" si="4"/>
        <v/>
      </c>
      <c r="R18" s="171" t="str">
        <f t="shared" si="5"/>
        <v/>
      </c>
      <c r="S18" s="161"/>
      <c r="T18" s="55"/>
      <c r="U18" s="55"/>
      <c r="V18" s="55"/>
      <c r="W18" s="155" t="str">
        <f t="shared" si="0"/>
        <v/>
      </c>
      <c r="X18" s="171" t="str">
        <f t="shared" si="1"/>
        <v/>
      </c>
      <c r="Y18" s="165"/>
      <c r="Z18" s="10"/>
      <c r="AA18" s="55"/>
      <c r="AB18" s="55"/>
      <c r="AC18" s="55"/>
      <c r="AD18" s="55"/>
      <c r="AE18" s="55"/>
      <c r="AF18" s="167"/>
      <c r="AG18" s="55"/>
      <c r="AH18" s="55"/>
      <c r="AI18" s="165"/>
      <c r="AJ18" s="55"/>
      <c r="AK18" s="55"/>
      <c r="AL18" s="55"/>
      <c r="AM18" s="55"/>
      <c r="AN18" s="55"/>
      <c r="AO18" s="55"/>
      <c r="AP18" s="55"/>
      <c r="AQ18" s="55"/>
      <c r="AR18" s="165"/>
      <c r="AS18" s="55"/>
      <c r="AT18" s="55"/>
      <c r="AU18" s="55"/>
      <c r="AV18" s="55"/>
      <c r="AW18" s="55"/>
      <c r="AX18" s="55"/>
      <c r="AY18" s="55"/>
      <c r="AZ18" s="55"/>
      <c r="BA18" s="165"/>
      <c r="BB18" s="55"/>
      <c r="BC18" s="55"/>
      <c r="BD18" s="55"/>
      <c r="BE18" s="165"/>
      <c r="BF18" s="55"/>
      <c r="BG18" s="10"/>
      <c r="BH18" s="55"/>
      <c r="BI18" s="55"/>
      <c r="BJ18" s="55"/>
      <c r="BK18" s="55"/>
      <c r="BS18" s="141"/>
      <c r="CM18" s="141"/>
      <c r="DC18" s="141"/>
    </row>
    <row r="19" spans="1:114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f t="shared" si="3"/>
        <v>0</v>
      </c>
      <c r="P19" s="10"/>
      <c r="Q19" s="155" t="str">
        <f t="shared" si="4"/>
        <v/>
      </c>
      <c r="R19" s="171" t="str">
        <f t="shared" si="5"/>
        <v/>
      </c>
      <c r="S19" s="161"/>
      <c r="T19" s="55"/>
      <c r="U19" s="55"/>
      <c r="V19" s="55"/>
      <c r="W19" s="155" t="str">
        <f t="shared" si="0"/>
        <v/>
      </c>
      <c r="X19" s="171" t="str">
        <f t="shared" si="1"/>
        <v/>
      </c>
      <c r="Y19" s="165"/>
      <c r="Z19" s="10"/>
      <c r="AA19" s="55"/>
      <c r="AB19" s="55"/>
      <c r="AC19" s="55"/>
      <c r="AD19" s="55"/>
      <c r="AE19" s="55"/>
      <c r="AF19" s="167"/>
      <c r="AG19" s="55"/>
      <c r="AH19" s="55"/>
      <c r="AI19" s="165"/>
      <c r="AJ19" s="55"/>
      <c r="AK19" s="55"/>
      <c r="AL19" s="55"/>
      <c r="AM19" s="55"/>
      <c r="AN19" s="55"/>
      <c r="AO19" s="55"/>
      <c r="AP19" s="55"/>
      <c r="AQ19" s="55"/>
      <c r="AR19" s="165"/>
      <c r="AS19" s="55"/>
      <c r="AT19" s="55"/>
      <c r="AU19" s="55"/>
      <c r="AV19" s="55"/>
      <c r="AW19" s="55"/>
      <c r="AX19" s="55"/>
      <c r="AY19" s="55"/>
      <c r="AZ19" s="55"/>
      <c r="BA19" s="165"/>
      <c r="BB19" s="55"/>
      <c r="BC19" s="55"/>
      <c r="BD19" s="55"/>
      <c r="BE19" s="165"/>
      <c r="BF19" s="55"/>
      <c r="BG19" s="10"/>
      <c r="BH19" s="55"/>
      <c r="BI19" s="55"/>
      <c r="BJ19" s="55"/>
      <c r="BK19" s="55"/>
      <c r="BS19" s="141"/>
      <c r="CM19" s="141"/>
      <c r="DC19" s="141"/>
    </row>
    <row r="20" spans="1:114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f t="shared" si="3"/>
        <v>0</v>
      </c>
      <c r="P20" s="10"/>
      <c r="Q20" s="155" t="str">
        <f t="shared" si="4"/>
        <v/>
      </c>
      <c r="R20" s="171" t="str">
        <f t="shared" si="5"/>
        <v/>
      </c>
      <c r="S20" s="161"/>
      <c r="T20" s="55"/>
      <c r="U20" s="55"/>
      <c r="V20" s="55"/>
      <c r="W20" s="155" t="str">
        <f t="shared" si="0"/>
        <v/>
      </c>
      <c r="X20" s="171" t="str">
        <f t="shared" si="1"/>
        <v/>
      </c>
      <c r="Y20" s="165"/>
      <c r="Z20" s="10"/>
      <c r="AA20" s="55"/>
      <c r="AB20" s="55"/>
      <c r="AC20" s="55"/>
      <c r="AD20" s="55"/>
      <c r="AE20" s="55"/>
      <c r="AF20" s="167"/>
      <c r="AG20" s="55"/>
      <c r="AH20" s="55"/>
      <c r="AI20" s="165"/>
      <c r="AJ20" s="55"/>
      <c r="AK20" s="55"/>
      <c r="AL20" s="55"/>
      <c r="AM20" s="55"/>
      <c r="AN20" s="55"/>
      <c r="AO20" s="55"/>
      <c r="AP20" s="55"/>
      <c r="AQ20" s="55"/>
      <c r="AR20" s="165"/>
      <c r="AS20" s="55"/>
      <c r="AT20" s="55"/>
      <c r="AU20" s="55"/>
      <c r="AV20" s="55"/>
      <c r="AW20" s="55"/>
      <c r="AX20" s="55"/>
      <c r="AY20" s="55"/>
      <c r="AZ20" s="55"/>
      <c r="BA20" s="165"/>
      <c r="BB20" s="55"/>
      <c r="BC20" s="55"/>
      <c r="BD20" s="55"/>
      <c r="BE20" s="165"/>
      <c r="BF20" s="55"/>
      <c r="BG20" s="10"/>
      <c r="BH20" s="55"/>
      <c r="BI20" s="55"/>
      <c r="BJ20" s="55"/>
      <c r="BK20" s="55"/>
      <c r="BS20" s="141"/>
      <c r="CM20" s="141"/>
      <c r="DC20" s="141"/>
    </row>
    <row r="21" spans="1:114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f t="shared" si="3"/>
        <v>0</v>
      </c>
      <c r="P21" s="10"/>
      <c r="Q21" s="155" t="str">
        <f t="shared" si="4"/>
        <v/>
      </c>
      <c r="R21" s="171" t="str">
        <f t="shared" si="5"/>
        <v/>
      </c>
      <c r="S21" s="161"/>
      <c r="T21" s="55"/>
      <c r="U21" s="55"/>
      <c r="V21" s="55"/>
      <c r="W21" s="155" t="str">
        <f t="shared" si="0"/>
        <v/>
      </c>
      <c r="X21" s="171" t="str">
        <f t="shared" si="1"/>
        <v/>
      </c>
      <c r="Y21" s="165"/>
      <c r="Z21" s="10"/>
      <c r="AA21" s="55"/>
      <c r="AB21" s="55"/>
      <c r="AC21" s="55"/>
      <c r="AD21" s="55"/>
      <c r="AE21" s="55"/>
      <c r="AF21" s="167"/>
      <c r="AG21" s="55"/>
      <c r="AH21" s="55"/>
      <c r="AI21" s="165"/>
      <c r="AJ21" s="55"/>
      <c r="AK21" s="55"/>
      <c r="AL21" s="55"/>
      <c r="AM21" s="55"/>
      <c r="AN21" s="55"/>
      <c r="AO21" s="55"/>
      <c r="AP21" s="55"/>
      <c r="AQ21" s="55"/>
      <c r="AR21" s="165"/>
      <c r="AS21" s="55"/>
      <c r="AT21" s="55"/>
      <c r="AU21" s="55"/>
      <c r="AV21" s="55"/>
      <c r="AW21" s="55"/>
      <c r="AX21" s="55"/>
      <c r="AY21" s="55"/>
      <c r="AZ21" s="55"/>
      <c r="BA21" s="165"/>
      <c r="BB21" s="55"/>
      <c r="BC21" s="55"/>
      <c r="BD21" s="55"/>
      <c r="BE21" s="165"/>
      <c r="BF21" s="55"/>
      <c r="BG21" s="10"/>
      <c r="BH21" s="55"/>
      <c r="BI21" s="55"/>
      <c r="BJ21" s="55"/>
      <c r="BK21" s="55"/>
      <c r="BS21" s="141"/>
      <c r="CM21" s="141"/>
      <c r="DC21" s="141"/>
    </row>
    <row r="22" spans="1:114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f t="shared" si="3"/>
        <v>0</v>
      </c>
      <c r="P22" s="10"/>
      <c r="Q22" s="155" t="str">
        <f t="shared" si="4"/>
        <v/>
      </c>
      <c r="R22" s="171" t="str">
        <f t="shared" si="5"/>
        <v/>
      </c>
      <c r="S22" s="161"/>
      <c r="T22" s="55"/>
      <c r="U22" s="55"/>
      <c r="V22" s="55"/>
      <c r="W22" s="155" t="str">
        <f t="shared" si="0"/>
        <v/>
      </c>
      <c r="X22" s="171" t="str">
        <f t="shared" si="1"/>
        <v/>
      </c>
      <c r="Y22" s="165"/>
      <c r="Z22" s="10"/>
      <c r="AA22" s="55"/>
      <c r="AB22" s="55"/>
      <c r="AC22" s="55"/>
      <c r="AD22" s="55"/>
      <c r="AE22" s="55"/>
      <c r="AF22" s="167"/>
      <c r="AG22" s="55"/>
      <c r="AH22" s="55"/>
      <c r="AI22" s="165"/>
      <c r="AJ22" s="55"/>
      <c r="AK22" s="55"/>
      <c r="AL22" s="55"/>
      <c r="AM22" s="55"/>
      <c r="AN22" s="55"/>
      <c r="AO22" s="55"/>
      <c r="AP22" s="55"/>
      <c r="AQ22" s="55"/>
      <c r="AR22" s="165"/>
      <c r="AS22" s="55"/>
      <c r="AT22" s="55"/>
      <c r="AU22" s="55"/>
      <c r="AV22" s="55"/>
      <c r="AW22" s="55"/>
      <c r="AX22" s="55"/>
      <c r="AY22" s="55"/>
      <c r="AZ22" s="55"/>
      <c r="BA22" s="165"/>
      <c r="BB22" s="55"/>
      <c r="BC22" s="55"/>
      <c r="BD22" s="55"/>
      <c r="BE22" s="165"/>
      <c r="BF22" s="55"/>
      <c r="BG22" s="10"/>
      <c r="BH22" s="55"/>
      <c r="BI22" s="55"/>
      <c r="BJ22" s="55"/>
      <c r="BK22" s="55"/>
      <c r="BS22" s="141"/>
      <c r="CM22" s="141"/>
      <c r="DC22" s="141"/>
    </row>
    <row r="23" spans="1:114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f t="shared" si="3"/>
        <v>0</v>
      </c>
      <c r="P23" s="10"/>
      <c r="Q23" s="155" t="str">
        <f t="shared" si="4"/>
        <v/>
      </c>
      <c r="R23" s="171" t="str">
        <f t="shared" si="5"/>
        <v/>
      </c>
      <c r="S23" s="161"/>
      <c r="T23" s="55"/>
      <c r="U23" s="55"/>
      <c r="V23" s="55"/>
      <c r="W23" s="155" t="str">
        <f t="shared" si="0"/>
        <v/>
      </c>
      <c r="X23" s="171" t="str">
        <f t="shared" si="1"/>
        <v/>
      </c>
      <c r="Y23" s="165"/>
      <c r="Z23" s="10"/>
      <c r="AA23" s="55"/>
      <c r="AB23" s="55"/>
      <c r="AC23" s="55"/>
      <c r="AD23" s="55"/>
      <c r="AE23" s="55"/>
      <c r="AF23" s="167"/>
      <c r="AG23" s="55"/>
      <c r="AH23" s="55"/>
      <c r="AI23" s="165"/>
      <c r="AJ23" s="55"/>
      <c r="AK23" s="55"/>
      <c r="AL23" s="55"/>
      <c r="AM23" s="55"/>
      <c r="AN23" s="55"/>
      <c r="AO23" s="55"/>
      <c r="AP23" s="55"/>
      <c r="AQ23" s="55"/>
      <c r="AR23" s="165"/>
      <c r="AS23" s="55"/>
      <c r="AT23" s="55"/>
      <c r="AU23" s="55"/>
      <c r="AV23" s="55"/>
      <c r="AW23" s="55"/>
      <c r="AX23" s="55"/>
      <c r="AY23" s="55"/>
      <c r="AZ23" s="55"/>
      <c r="BA23" s="165"/>
      <c r="BB23" s="55"/>
      <c r="BC23" s="55"/>
      <c r="BD23" s="55"/>
      <c r="BE23" s="165"/>
      <c r="BF23" s="55"/>
      <c r="BG23" s="10"/>
      <c r="BH23" s="55"/>
      <c r="BI23" s="55"/>
      <c r="BJ23" s="55"/>
      <c r="BK23" s="55"/>
      <c r="BS23" s="141"/>
      <c r="CM23" s="141"/>
      <c r="DC23" s="141"/>
    </row>
    <row r="24" spans="1:114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f t="shared" si="3"/>
        <v>0</v>
      </c>
      <c r="P24" s="10"/>
      <c r="Q24" s="155" t="str">
        <f t="shared" si="4"/>
        <v/>
      </c>
      <c r="R24" s="171" t="str">
        <f t="shared" si="5"/>
        <v/>
      </c>
      <c r="S24" s="161"/>
      <c r="T24" s="55"/>
      <c r="U24" s="55"/>
      <c r="V24" s="55"/>
      <c r="W24" s="155" t="str">
        <f t="shared" si="0"/>
        <v/>
      </c>
      <c r="X24" s="171" t="str">
        <f t="shared" si="1"/>
        <v/>
      </c>
      <c r="Y24" s="165"/>
      <c r="Z24" s="10"/>
      <c r="AA24" s="55"/>
      <c r="AB24" s="55"/>
      <c r="AC24" s="55"/>
      <c r="AD24" s="55"/>
      <c r="AE24" s="55"/>
      <c r="AF24" s="167"/>
      <c r="AG24" s="55"/>
      <c r="AH24" s="55"/>
      <c r="AI24" s="165"/>
      <c r="AJ24" s="55"/>
      <c r="AK24" s="55"/>
      <c r="AL24" s="55"/>
      <c r="AM24" s="55"/>
      <c r="AN24" s="55"/>
      <c r="AO24" s="55"/>
      <c r="AP24" s="55"/>
      <c r="AQ24" s="55"/>
      <c r="AR24" s="165"/>
      <c r="AS24" s="55"/>
      <c r="AT24" s="55"/>
      <c r="AU24" s="55"/>
      <c r="AV24" s="55"/>
      <c r="AW24" s="55"/>
      <c r="AX24" s="55"/>
      <c r="AY24" s="55"/>
      <c r="AZ24" s="55"/>
      <c r="BA24" s="165"/>
      <c r="BB24" s="55"/>
      <c r="BC24" s="55"/>
      <c r="BD24" s="55"/>
      <c r="BE24" s="165"/>
      <c r="BF24" s="55"/>
      <c r="BG24" s="10"/>
      <c r="BH24" s="55"/>
      <c r="BI24" s="55"/>
      <c r="BJ24" s="55"/>
      <c r="BK24" s="55"/>
      <c r="BS24" s="141"/>
      <c r="CM24" s="141"/>
      <c r="DC24" s="141"/>
    </row>
    <row r="25" spans="1:114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948</v>
      </c>
      <c r="H25" s="56">
        <v>1</v>
      </c>
      <c r="I25" s="56" t="s">
        <v>1045</v>
      </c>
      <c r="J25" s="56" t="s">
        <v>1057</v>
      </c>
      <c r="K25" s="56"/>
      <c r="L25" s="160">
        <v>360</v>
      </c>
      <c r="M25" s="17"/>
      <c r="N25" s="56" t="s">
        <v>1296</v>
      </c>
      <c r="O25" s="56">
        <f t="shared" si="3"/>
        <v>300</v>
      </c>
      <c r="P25" s="17">
        <v>10</v>
      </c>
      <c r="Q25" s="156">
        <f t="shared" si="4"/>
        <v>0.98678619270966395</v>
      </c>
      <c r="R25" s="172">
        <f t="shared" si="5"/>
        <v>4.32</v>
      </c>
      <c r="S25" s="162"/>
      <c r="T25" s="56"/>
      <c r="U25" s="56"/>
      <c r="V25" s="56"/>
      <c r="W25" s="156" t="str">
        <f t="shared" si="0"/>
        <v/>
      </c>
      <c r="X25" s="172" t="str">
        <f t="shared" si="1"/>
        <v/>
      </c>
      <c r="Y25" s="166"/>
      <c r="Z25" s="17"/>
      <c r="AA25" s="56"/>
      <c r="AB25" s="56"/>
      <c r="AC25" s="56"/>
      <c r="AD25" s="56"/>
      <c r="AE25" s="56"/>
      <c r="AF25" s="169"/>
      <c r="AG25" s="56"/>
      <c r="AH25" s="56"/>
      <c r="AI25" s="166"/>
      <c r="AJ25" s="56"/>
      <c r="AK25" s="56"/>
      <c r="AL25" s="56"/>
      <c r="AM25" s="56"/>
      <c r="AN25" s="56"/>
      <c r="AO25" s="56"/>
      <c r="AP25" s="56"/>
      <c r="AQ25" s="56"/>
      <c r="AR25" s="166"/>
      <c r="AS25" s="56"/>
      <c r="AT25" s="56"/>
      <c r="AU25" s="56"/>
      <c r="AV25" s="56"/>
      <c r="AW25" s="56"/>
      <c r="AX25" s="56"/>
      <c r="AY25" s="56"/>
      <c r="AZ25" s="56"/>
      <c r="BA25" s="166"/>
      <c r="BB25" s="56"/>
      <c r="BC25" s="56"/>
      <c r="BD25" s="56"/>
      <c r="BE25" s="166"/>
      <c r="BF25" s="150">
        <v>120</v>
      </c>
      <c r="BG25" s="17"/>
      <c r="BH25" s="150">
        <v>140</v>
      </c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200</v>
      </c>
      <c r="BR25" s="150">
        <v>140</v>
      </c>
      <c r="BS25" s="140"/>
      <c r="BT25" s="151">
        <v>110</v>
      </c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40"/>
      <c r="CN25" s="151">
        <v>150</v>
      </c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40"/>
      <c r="DD25" s="150">
        <v>140</v>
      </c>
      <c r="DE25" s="150">
        <v>140</v>
      </c>
      <c r="DF25" s="150">
        <v>140</v>
      </c>
      <c r="DG25" s="150">
        <v>140</v>
      </c>
      <c r="DH25" s="150">
        <v>200</v>
      </c>
      <c r="DI25" s="150">
        <v>140</v>
      </c>
      <c r="DJ25" s="150">
        <v>140</v>
      </c>
    </row>
    <row r="26" spans="1:114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949</v>
      </c>
      <c r="H26" s="55">
        <v>3</v>
      </c>
      <c r="I26" s="55" t="s">
        <v>1045</v>
      </c>
      <c r="J26" s="55" t="s">
        <v>1057</v>
      </c>
      <c r="L26" s="158">
        <v>360</v>
      </c>
      <c r="N26" s="55" t="s">
        <v>1297</v>
      </c>
      <c r="O26" s="55">
        <f t="shared" si="3"/>
        <v>240</v>
      </c>
      <c r="P26" s="10">
        <v>8</v>
      </c>
      <c r="Q26" s="155">
        <f t="shared" si="4"/>
        <v>0.96857507299959522</v>
      </c>
      <c r="R26" s="171">
        <f t="shared" si="5"/>
        <v>3.4559999999999995</v>
      </c>
      <c r="W26" s="155" t="str">
        <f t="shared" si="0"/>
        <v/>
      </c>
      <c r="X26" s="171" t="str">
        <f t="shared" si="1"/>
        <v/>
      </c>
      <c r="BF26" s="149">
        <v>140</v>
      </c>
      <c r="BH26" s="149">
        <v>180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400</v>
      </c>
      <c r="BR26" s="149">
        <v>180</v>
      </c>
      <c r="BT26" s="152">
        <v>120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N26" s="152">
        <v>200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D26" s="149">
        <v>180</v>
      </c>
      <c r="DE26" s="149">
        <v>180</v>
      </c>
      <c r="DF26" s="149">
        <v>180</v>
      </c>
      <c r="DG26" s="149">
        <v>180</v>
      </c>
      <c r="DH26" s="149">
        <v>400</v>
      </c>
      <c r="DI26" s="149">
        <v>180</v>
      </c>
      <c r="DJ26" s="149">
        <v>180</v>
      </c>
    </row>
    <row r="27" spans="1:114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950</v>
      </c>
      <c r="H27" s="55">
        <v>5</v>
      </c>
      <c r="I27" s="55" t="s">
        <v>1045</v>
      </c>
      <c r="J27" s="55" t="s">
        <v>1057</v>
      </c>
      <c r="L27" s="158">
        <v>360</v>
      </c>
      <c r="N27" s="55" t="s">
        <v>1298</v>
      </c>
      <c r="O27" s="55">
        <f t="shared" si="3"/>
        <v>150</v>
      </c>
      <c r="P27" s="10">
        <v>5</v>
      </c>
      <c r="Q27" s="155">
        <f t="shared" si="4"/>
        <v>0.88486174114429406</v>
      </c>
      <c r="R27" s="171">
        <f t="shared" si="5"/>
        <v>2.16</v>
      </c>
      <c r="W27" s="155" t="str">
        <f t="shared" si="0"/>
        <v/>
      </c>
      <c r="X27" s="171" t="str">
        <f t="shared" si="1"/>
        <v/>
      </c>
      <c r="BF27" s="149">
        <v>160</v>
      </c>
      <c r="BH27" s="149">
        <v>220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800</v>
      </c>
      <c r="BR27" s="149">
        <v>220</v>
      </c>
      <c r="BT27" s="152">
        <v>130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N27" s="152">
        <v>250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D27" s="149">
        <v>220</v>
      </c>
      <c r="DE27" s="149">
        <v>220</v>
      </c>
      <c r="DF27" s="149">
        <v>220</v>
      </c>
      <c r="DG27" s="149">
        <v>220</v>
      </c>
      <c r="DH27" s="149">
        <v>800</v>
      </c>
      <c r="DI27" s="149">
        <v>220</v>
      </c>
      <c r="DJ27" s="149">
        <v>220</v>
      </c>
    </row>
    <row r="28" spans="1:114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962</v>
      </c>
      <c r="H28" s="55">
        <v>1</v>
      </c>
      <c r="I28" s="55" t="s">
        <v>1059</v>
      </c>
      <c r="J28" s="55" t="s">
        <v>1058</v>
      </c>
      <c r="L28" s="158">
        <v>360</v>
      </c>
      <c r="N28" s="55" t="s">
        <v>1299</v>
      </c>
      <c r="O28" s="56">
        <f t="shared" si="3"/>
        <v>300</v>
      </c>
      <c r="P28" s="10">
        <v>10</v>
      </c>
      <c r="Q28" s="155">
        <f t="shared" si="4"/>
        <v>0.98678619270966395</v>
      </c>
      <c r="R28" s="171">
        <f t="shared" si="5"/>
        <v>4.32</v>
      </c>
      <c r="W28" s="155" t="str">
        <f t="shared" si="0"/>
        <v/>
      </c>
      <c r="X28" s="171" t="str">
        <f t="shared" si="1"/>
        <v/>
      </c>
      <c r="BF28" s="149">
        <v>70</v>
      </c>
      <c r="BH28" s="149">
        <v>80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50</v>
      </c>
      <c r="BR28" s="149">
        <v>80</v>
      </c>
      <c r="BT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N28" s="149">
        <v>70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D28" s="149">
        <v>70</v>
      </c>
      <c r="DE28" s="149">
        <v>70</v>
      </c>
      <c r="DF28" s="149">
        <v>70</v>
      </c>
      <c r="DG28" s="149">
        <v>70</v>
      </c>
      <c r="DH28" s="149">
        <v>50</v>
      </c>
      <c r="DI28" s="149">
        <v>70</v>
      </c>
      <c r="DJ28" s="149">
        <v>70</v>
      </c>
    </row>
    <row r="29" spans="1:114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963</v>
      </c>
      <c r="H29" s="55">
        <v>3</v>
      </c>
      <c r="I29" s="55" t="s">
        <v>1059</v>
      </c>
      <c r="J29" s="55" t="s">
        <v>1058</v>
      </c>
      <c r="L29" s="158">
        <v>360</v>
      </c>
      <c r="N29" s="55" t="s">
        <v>1300</v>
      </c>
      <c r="O29" s="55">
        <f t="shared" si="3"/>
        <v>240</v>
      </c>
      <c r="P29" s="10">
        <v>8</v>
      </c>
      <c r="Q29" s="155">
        <f t="shared" si="4"/>
        <v>0.96857507299959522</v>
      </c>
      <c r="R29" s="171">
        <f t="shared" si="5"/>
        <v>3.4559999999999995</v>
      </c>
      <c r="W29" s="155" t="str">
        <f t="shared" si="0"/>
        <v/>
      </c>
      <c r="X29" s="171" t="str">
        <f t="shared" si="1"/>
        <v/>
      </c>
      <c r="BF29" s="149">
        <v>50</v>
      </c>
      <c r="BH29" s="149">
        <v>70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40</v>
      </c>
      <c r="BR29" s="149">
        <v>70</v>
      </c>
      <c r="BT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N29" s="149">
        <v>60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D29" s="149">
        <v>60</v>
      </c>
      <c r="DE29" s="149">
        <v>60</v>
      </c>
      <c r="DF29" s="149">
        <v>60</v>
      </c>
      <c r="DG29" s="149">
        <v>60</v>
      </c>
      <c r="DH29" s="149">
        <v>40</v>
      </c>
      <c r="DI29" s="149">
        <v>60</v>
      </c>
      <c r="DJ29" s="149">
        <v>60</v>
      </c>
    </row>
    <row r="30" spans="1:114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964</v>
      </c>
      <c r="H30" s="55">
        <v>5</v>
      </c>
      <c r="I30" s="55" t="s">
        <v>1059</v>
      </c>
      <c r="J30" s="55" t="s">
        <v>1058</v>
      </c>
      <c r="L30" s="158">
        <v>360</v>
      </c>
      <c r="N30" s="55" t="s">
        <v>1301</v>
      </c>
      <c r="O30" s="55">
        <f t="shared" si="3"/>
        <v>150</v>
      </c>
      <c r="P30" s="10">
        <v>5</v>
      </c>
      <c r="Q30" s="155">
        <f t="shared" si="4"/>
        <v>0.88486174114429406</v>
      </c>
      <c r="R30" s="171">
        <f t="shared" si="5"/>
        <v>2.16</v>
      </c>
      <c r="W30" s="155" t="str">
        <f t="shared" si="0"/>
        <v/>
      </c>
      <c r="X30" s="171" t="str">
        <f t="shared" si="1"/>
        <v/>
      </c>
      <c r="BF30" s="149">
        <v>20</v>
      </c>
      <c r="BH30" s="149">
        <v>60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30</v>
      </c>
      <c r="BR30" s="149">
        <v>60</v>
      </c>
      <c r="BT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N30" s="149">
        <v>50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D30" s="149">
        <v>50</v>
      </c>
      <c r="DE30" s="149">
        <v>50</v>
      </c>
      <c r="DF30" s="149">
        <v>50</v>
      </c>
      <c r="DG30" s="149">
        <v>50</v>
      </c>
      <c r="DH30" s="149">
        <v>30</v>
      </c>
      <c r="DI30" s="149">
        <v>50</v>
      </c>
      <c r="DJ30" s="149">
        <v>50</v>
      </c>
    </row>
    <row r="31" spans="1:114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f t="shared" si="3"/>
        <v>0</v>
      </c>
      <c r="P31" s="7"/>
      <c r="Q31" s="157" t="str">
        <f t="shared" si="4"/>
        <v/>
      </c>
      <c r="R31" s="173" t="str">
        <f t="shared" si="5"/>
        <v/>
      </c>
      <c r="S31" s="163"/>
      <c r="W31" s="155" t="str">
        <f t="shared" si="0"/>
        <v/>
      </c>
      <c r="X31" s="171" t="str">
        <f t="shared" si="1"/>
        <v/>
      </c>
    </row>
    <row r="32" spans="1:114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f t="shared" si="3"/>
        <v>0</v>
      </c>
      <c r="Q32" s="155" t="str">
        <f t="shared" si="4"/>
        <v/>
      </c>
      <c r="R32" s="171" t="str">
        <f t="shared" si="5"/>
        <v/>
      </c>
      <c r="W32" s="155" t="str">
        <f t="shared" si="0"/>
        <v/>
      </c>
      <c r="X32" s="171" t="str">
        <f t="shared" si="1"/>
        <v/>
      </c>
    </row>
    <row r="33" spans="1:113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f t="shared" si="3"/>
        <v>0</v>
      </c>
      <c r="Q33" s="155" t="str">
        <f t="shared" si="4"/>
        <v/>
      </c>
      <c r="R33" s="171" t="str">
        <f t="shared" si="5"/>
        <v/>
      </c>
      <c r="W33" s="155" t="str">
        <f t="shared" si="0"/>
        <v/>
      </c>
      <c r="X33" s="171" t="str">
        <f t="shared" si="1"/>
        <v/>
      </c>
    </row>
    <row r="34" spans="1:113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f t="shared" si="3"/>
        <v>0</v>
      </c>
      <c r="Q34" s="155" t="str">
        <f t="shared" si="4"/>
        <v/>
      </c>
      <c r="R34" s="171" t="str">
        <f t="shared" si="5"/>
        <v/>
      </c>
      <c r="W34" s="155" t="str">
        <f t="shared" si="0"/>
        <v/>
      </c>
      <c r="X34" s="171" t="str">
        <f t="shared" si="1"/>
        <v/>
      </c>
    </row>
    <row r="35" spans="1:113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f t="shared" si="3"/>
        <v>0</v>
      </c>
      <c r="P35" s="10"/>
      <c r="Q35" s="155" t="str">
        <f t="shared" si="4"/>
        <v/>
      </c>
      <c r="R35" s="171" t="str">
        <f t="shared" si="5"/>
        <v/>
      </c>
      <c r="S35" s="161"/>
      <c r="T35" s="55"/>
      <c r="U35" s="55"/>
      <c r="V35" s="55"/>
      <c r="W35" s="155" t="str">
        <f t="shared" si="0"/>
        <v/>
      </c>
      <c r="X35" s="171" t="str">
        <f t="shared" si="1"/>
        <v/>
      </c>
      <c r="Y35" s="165"/>
      <c r="Z35" s="10"/>
      <c r="AA35" s="55"/>
      <c r="AB35" s="55"/>
      <c r="AC35" s="55"/>
      <c r="AD35" s="55"/>
      <c r="AE35" s="55"/>
      <c r="AF35" s="167"/>
      <c r="AG35" s="55"/>
      <c r="AH35" s="55"/>
      <c r="AI35" s="165"/>
      <c r="AJ35" s="55"/>
      <c r="AK35" s="55"/>
      <c r="AL35" s="55"/>
      <c r="AM35" s="55"/>
      <c r="AN35" s="55"/>
      <c r="AO35" s="55"/>
      <c r="AP35" s="55"/>
      <c r="AQ35" s="55"/>
      <c r="AR35" s="165"/>
      <c r="AS35" s="55"/>
      <c r="AT35" s="55"/>
      <c r="AU35" s="55"/>
      <c r="AV35" s="55"/>
      <c r="AW35" s="55"/>
      <c r="AX35" s="55"/>
      <c r="AY35" s="55"/>
      <c r="AZ35" s="55"/>
      <c r="BA35" s="165"/>
      <c r="BB35" s="55"/>
      <c r="BC35" s="55"/>
      <c r="BD35" s="55"/>
      <c r="BE35" s="165"/>
      <c r="BF35" s="55"/>
      <c r="BG35" s="10"/>
      <c r="BH35" s="55"/>
      <c r="BI35" s="55"/>
      <c r="BJ35" s="55"/>
      <c r="BK35" s="55"/>
      <c r="BS35" s="141"/>
      <c r="CM35" s="141"/>
      <c r="DC35" s="141"/>
    </row>
    <row r="36" spans="1:113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f t="shared" si="3"/>
        <v>0</v>
      </c>
      <c r="P36" s="10"/>
      <c r="Q36" s="155" t="str">
        <f t="shared" si="4"/>
        <v/>
      </c>
      <c r="R36" s="171" t="str">
        <f t="shared" si="5"/>
        <v/>
      </c>
      <c r="S36" s="161"/>
      <c r="T36" s="55"/>
      <c r="U36" s="55"/>
      <c r="V36" s="55"/>
      <c r="W36" s="155" t="str">
        <f t="shared" si="0"/>
        <v/>
      </c>
      <c r="X36" s="171" t="str">
        <f t="shared" si="1"/>
        <v/>
      </c>
      <c r="Y36" s="165"/>
      <c r="Z36" s="10"/>
      <c r="AA36" s="55"/>
      <c r="AB36" s="55"/>
      <c r="AC36" s="55"/>
      <c r="AD36" s="55"/>
      <c r="AE36" s="55"/>
      <c r="AF36" s="167"/>
      <c r="AG36" s="55"/>
      <c r="AH36" s="55"/>
      <c r="AI36" s="165"/>
      <c r="AJ36" s="55"/>
      <c r="AK36" s="55"/>
      <c r="AL36" s="55"/>
      <c r="AM36" s="55"/>
      <c r="AN36" s="55"/>
      <c r="AO36" s="55"/>
      <c r="AP36" s="55"/>
      <c r="AQ36" s="55"/>
      <c r="AR36" s="165"/>
      <c r="AS36" s="55"/>
      <c r="AT36" s="55"/>
      <c r="AU36" s="55"/>
      <c r="AV36" s="55"/>
      <c r="AW36" s="55"/>
      <c r="AX36" s="55"/>
      <c r="AY36" s="55"/>
      <c r="AZ36" s="55"/>
      <c r="BA36" s="165"/>
      <c r="BB36" s="55"/>
      <c r="BC36" s="55"/>
      <c r="BD36" s="55"/>
      <c r="BE36" s="165"/>
      <c r="BF36" s="55"/>
      <c r="BG36" s="10"/>
      <c r="BH36" s="55"/>
      <c r="BI36" s="55"/>
      <c r="BJ36" s="55"/>
      <c r="BK36" s="55"/>
      <c r="BS36" s="141"/>
      <c r="CM36" s="141"/>
      <c r="DC36" s="141"/>
    </row>
    <row r="37" spans="1:113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f t="shared" si="3"/>
        <v>0</v>
      </c>
      <c r="P37" s="10"/>
      <c r="Q37" s="155" t="str">
        <f t="shared" si="4"/>
        <v/>
      </c>
      <c r="R37" s="171" t="str">
        <f t="shared" si="5"/>
        <v/>
      </c>
      <c r="S37" s="161"/>
      <c r="T37" s="55"/>
      <c r="U37" s="55"/>
      <c r="V37" s="55"/>
      <c r="W37" s="155" t="str">
        <f t="shared" si="0"/>
        <v/>
      </c>
      <c r="X37" s="171" t="str">
        <f t="shared" si="1"/>
        <v/>
      </c>
      <c r="Y37" s="165"/>
      <c r="Z37" s="10"/>
      <c r="AA37" s="55"/>
      <c r="AB37" s="55"/>
      <c r="AC37" s="55"/>
      <c r="AD37" s="55"/>
      <c r="AE37" s="55"/>
      <c r="AF37" s="167"/>
      <c r="AG37" s="55"/>
      <c r="AH37" s="55"/>
      <c r="AI37" s="165"/>
      <c r="AJ37" s="55"/>
      <c r="AK37" s="55"/>
      <c r="AL37" s="55"/>
      <c r="AM37" s="55"/>
      <c r="AN37" s="55"/>
      <c r="AO37" s="55"/>
      <c r="AP37" s="55"/>
      <c r="AQ37" s="55"/>
      <c r="AR37" s="165"/>
      <c r="AS37" s="55"/>
      <c r="AT37" s="55"/>
      <c r="AU37" s="55"/>
      <c r="AV37" s="55"/>
      <c r="AW37" s="55"/>
      <c r="AX37" s="55"/>
      <c r="AY37" s="55"/>
      <c r="AZ37" s="55"/>
      <c r="BA37" s="165"/>
      <c r="BB37" s="55"/>
      <c r="BC37" s="55"/>
      <c r="BD37" s="55"/>
      <c r="BE37" s="165"/>
      <c r="BF37" s="55"/>
      <c r="BG37" s="10"/>
      <c r="BH37" s="55"/>
      <c r="BI37" s="55"/>
      <c r="BJ37" s="55"/>
      <c r="BK37" s="55"/>
      <c r="BS37" s="141"/>
      <c r="CM37" s="141"/>
      <c r="DC37" s="141"/>
    </row>
    <row r="38" spans="1:113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f t="shared" si="3"/>
        <v>0</v>
      </c>
      <c r="P38" s="10"/>
      <c r="Q38" s="155" t="str">
        <f t="shared" si="4"/>
        <v/>
      </c>
      <c r="R38" s="171" t="str">
        <f t="shared" si="5"/>
        <v/>
      </c>
      <c r="S38" s="161"/>
      <c r="T38" s="55"/>
      <c r="U38" s="55"/>
      <c r="V38" s="55"/>
      <c r="W38" s="155" t="str">
        <f t="shared" si="0"/>
        <v/>
      </c>
      <c r="X38" s="171" t="str">
        <f t="shared" si="1"/>
        <v/>
      </c>
      <c r="Y38" s="165"/>
      <c r="Z38" s="10"/>
      <c r="AA38" s="55"/>
      <c r="AB38" s="55"/>
      <c r="AC38" s="55"/>
      <c r="AD38" s="55"/>
      <c r="AE38" s="55"/>
      <c r="AF38" s="167"/>
      <c r="AG38" s="55"/>
      <c r="AH38" s="55"/>
      <c r="AI38" s="165"/>
      <c r="AJ38" s="55"/>
      <c r="AK38" s="55"/>
      <c r="AL38" s="55"/>
      <c r="AM38" s="55"/>
      <c r="AN38" s="55"/>
      <c r="AO38" s="55"/>
      <c r="AP38" s="55"/>
      <c r="AQ38" s="55"/>
      <c r="AR38" s="165"/>
      <c r="AS38" s="55"/>
      <c r="AT38" s="55"/>
      <c r="AU38" s="55"/>
      <c r="AV38" s="55"/>
      <c r="AW38" s="55"/>
      <c r="AX38" s="55"/>
      <c r="AY38" s="55"/>
      <c r="AZ38" s="55"/>
      <c r="BA38" s="165"/>
      <c r="BB38" s="55"/>
      <c r="BC38" s="55"/>
      <c r="BD38" s="55"/>
      <c r="BE38" s="165"/>
      <c r="BF38" s="55"/>
      <c r="BG38" s="10"/>
      <c r="BH38" s="55"/>
      <c r="BI38" s="55"/>
      <c r="BJ38" s="55"/>
      <c r="BK38" s="55"/>
      <c r="BS38" s="141"/>
      <c r="CM38" s="141"/>
      <c r="DC38" s="141"/>
    </row>
    <row r="39" spans="1:113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f t="shared" si="3"/>
        <v>0</v>
      </c>
      <c r="P39" s="10"/>
      <c r="Q39" s="155" t="str">
        <f t="shared" si="4"/>
        <v/>
      </c>
      <c r="R39" s="171" t="str">
        <f t="shared" si="5"/>
        <v/>
      </c>
      <c r="S39" s="161"/>
      <c r="T39" s="55"/>
      <c r="U39" s="55"/>
      <c r="V39" s="55"/>
      <c r="W39" s="155" t="str">
        <f t="shared" si="0"/>
        <v/>
      </c>
      <c r="X39" s="171" t="str">
        <f t="shared" si="1"/>
        <v/>
      </c>
      <c r="Y39" s="165"/>
      <c r="Z39" s="10"/>
      <c r="AA39" s="55"/>
      <c r="AB39" s="55"/>
      <c r="AC39" s="55"/>
      <c r="AD39" s="55"/>
      <c r="AE39" s="55"/>
      <c r="AF39" s="167"/>
      <c r="AG39" s="55"/>
      <c r="AH39" s="55"/>
      <c r="AI39" s="165"/>
      <c r="AJ39" s="55"/>
      <c r="AK39" s="55"/>
      <c r="AL39" s="55"/>
      <c r="AM39" s="55"/>
      <c r="AN39" s="55"/>
      <c r="AO39" s="55"/>
      <c r="AP39" s="55"/>
      <c r="AQ39" s="55"/>
      <c r="AR39" s="165"/>
      <c r="AS39" s="55"/>
      <c r="AT39" s="55"/>
      <c r="AU39" s="55"/>
      <c r="AV39" s="55"/>
      <c r="AW39" s="55"/>
      <c r="AX39" s="55"/>
      <c r="AY39" s="55"/>
      <c r="AZ39" s="55"/>
      <c r="BA39" s="165"/>
      <c r="BB39" s="55"/>
      <c r="BC39" s="55"/>
      <c r="BD39" s="55"/>
      <c r="BE39" s="165"/>
      <c r="BF39" s="55"/>
      <c r="BG39" s="10"/>
      <c r="BH39" s="55"/>
      <c r="BI39" s="55"/>
      <c r="BJ39" s="55"/>
      <c r="BK39" s="55"/>
      <c r="BS39" s="141"/>
      <c r="CM39" s="141"/>
      <c r="DC39" s="141"/>
    </row>
    <row r="40" spans="1:113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f t="shared" si="3"/>
        <v>0</v>
      </c>
      <c r="P40" s="10"/>
      <c r="Q40" s="155" t="str">
        <f t="shared" si="4"/>
        <v/>
      </c>
      <c r="R40" s="171" t="str">
        <f t="shared" si="5"/>
        <v/>
      </c>
      <c r="S40" s="161"/>
      <c r="T40" s="55"/>
      <c r="U40" s="55"/>
      <c r="V40" s="55"/>
      <c r="W40" s="155" t="str">
        <f t="shared" si="0"/>
        <v/>
      </c>
      <c r="X40" s="171" t="str">
        <f t="shared" si="1"/>
        <v/>
      </c>
      <c r="Y40" s="165"/>
      <c r="Z40" s="10"/>
      <c r="AA40" s="55"/>
      <c r="AB40" s="55"/>
      <c r="AC40" s="55"/>
      <c r="AD40" s="55"/>
      <c r="AE40" s="55"/>
      <c r="AF40" s="167"/>
      <c r="AG40" s="55"/>
      <c r="AH40" s="55"/>
      <c r="AI40" s="165"/>
      <c r="AJ40" s="55"/>
      <c r="AK40" s="55"/>
      <c r="AL40" s="55"/>
      <c r="AM40" s="55"/>
      <c r="AN40" s="55"/>
      <c r="AO40" s="55"/>
      <c r="AP40" s="55"/>
      <c r="AQ40" s="55"/>
      <c r="AR40" s="165"/>
      <c r="AS40" s="55"/>
      <c r="AT40" s="55"/>
      <c r="AU40" s="55"/>
      <c r="AV40" s="55"/>
      <c r="AW40" s="55"/>
      <c r="AX40" s="55"/>
      <c r="AY40" s="55"/>
      <c r="AZ40" s="55"/>
      <c r="BA40" s="165"/>
      <c r="BB40" s="55"/>
      <c r="BC40" s="55"/>
      <c r="BD40" s="55"/>
      <c r="BE40" s="165"/>
      <c r="BF40" s="55"/>
      <c r="BG40" s="10"/>
      <c r="BH40" s="55"/>
      <c r="BI40" s="55"/>
      <c r="BJ40" s="55"/>
      <c r="BK40" s="55"/>
      <c r="BS40" s="141"/>
      <c r="CM40" s="141"/>
      <c r="DC40" s="141"/>
    </row>
    <row r="41" spans="1:113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f t="shared" si="3"/>
        <v>0</v>
      </c>
      <c r="P41" s="10"/>
      <c r="Q41" s="155" t="str">
        <f t="shared" si="4"/>
        <v/>
      </c>
      <c r="R41" s="171" t="str">
        <f t="shared" si="5"/>
        <v/>
      </c>
      <c r="S41" s="161"/>
      <c r="T41" s="55"/>
      <c r="U41" s="55"/>
      <c r="V41" s="55"/>
      <c r="W41" s="155" t="str">
        <f t="shared" si="0"/>
        <v/>
      </c>
      <c r="X41" s="171" t="str">
        <f t="shared" si="1"/>
        <v/>
      </c>
      <c r="Y41" s="165"/>
      <c r="Z41" s="10"/>
      <c r="AA41" s="55"/>
      <c r="AB41" s="55"/>
      <c r="AC41" s="55"/>
      <c r="AD41" s="55"/>
      <c r="AE41" s="55"/>
      <c r="AF41" s="167"/>
      <c r="AG41" s="55"/>
      <c r="AH41" s="55"/>
      <c r="AI41" s="165"/>
      <c r="AJ41" s="55"/>
      <c r="AK41" s="55"/>
      <c r="AL41" s="55"/>
      <c r="AM41" s="55"/>
      <c r="AN41" s="55"/>
      <c r="AO41" s="55"/>
      <c r="AP41" s="55"/>
      <c r="AQ41" s="55"/>
      <c r="AR41" s="165"/>
      <c r="AS41" s="55"/>
      <c r="AT41" s="55"/>
      <c r="AU41" s="55"/>
      <c r="AV41" s="55"/>
      <c r="AW41" s="55"/>
      <c r="AX41" s="55"/>
      <c r="AY41" s="55"/>
      <c r="AZ41" s="55"/>
      <c r="BA41" s="165"/>
      <c r="BB41" s="55"/>
      <c r="BC41" s="55"/>
      <c r="BD41" s="55"/>
      <c r="BE41" s="165"/>
      <c r="BF41" s="55"/>
      <c r="BG41" s="10"/>
      <c r="BH41" s="55"/>
      <c r="BI41" s="55"/>
      <c r="BJ41" s="55"/>
      <c r="BK41" s="55"/>
      <c r="BS41" s="141"/>
      <c r="CM41" s="141"/>
      <c r="DC41" s="141"/>
    </row>
    <row r="42" spans="1:113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f t="shared" si="3"/>
        <v>0</v>
      </c>
      <c r="P42" s="10"/>
      <c r="Q42" s="155" t="str">
        <f t="shared" si="4"/>
        <v/>
      </c>
      <c r="R42" s="171" t="str">
        <f t="shared" si="5"/>
        <v/>
      </c>
      <c r="S42" s="161"/>
      <c r="T42" s="55"/>
      <c r="U42" s="55"/>
      <c r="V42" s="55"/>
      <c r="W42" s="155" t="str">
        <f t="shared" si="0"/>
        <v/>
      </c>
      <c r="X42" s="171" t="str">
        <f t="shared" si="1"/>
        <v/>
      </c>
      <c r="Y42" s="165"/>
      <c r="Z42" s="10"/>
      <c r="AA42" s="55"/>
      <c r="AB42" s="55"/>
      <c r="AC42" s="55"/>
      <c r="AD42" s="55"/>
      <c r="AE42" s="55"/>
      <c r="AF42" s="167"/>
      <c r="AG42" s="55"/>
      <c r="AH42" s="55"/>
      <c r="AI42" s="165"/>
      <c r="AJ42" s="55"/>
      <c r="AK42" s="55"/>
      <c r="AL42" s="55"/>
      <c r="AM42" s="55"/>
      <c r="AN42" s="55"/>
      <c r="AO42" s="55"/>
      <c r="AP42" s="55"/>
      <c r="AQ42" s="55"/>
      <c r="AR42" s="165"/>
      <c r="AS42" s="55"/>
      <c r="AT42" s="55"/>
      <c r="AU42" s="55"/>
      <c r="AV42" s="55"/>
      <c r="AW42" s="55"/>
      <c r="AX42" s="55"/>
      <c r="AY42" s="55"/>
      <c r="AZ42" s="55"/>
      <c r="BA42" s="165"/>
      <c r="BB42" s="55"/>
      <c r="BC42" s="55"/>
      <c r="BD42" s="55"/>
      <c r="BE42" s="165"/>
      <c r="BF42" s="55"/>
      <c r="BG42" s="10"/>
      <c r="BH42" s="55"/>
      <c r="BI42" s="55"/>
      <c r="BJ42" s="55"/>
      <c r="BK42" s="55"/>
      <c r="BS42" s="141"/>
      <c r="CM42" s="141"/>
      <c r="DC42" s="141"/>
    </row>
    <row r="43" spans="1:113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f t="shared" si="3"/>
        <v>0</v>
      </c>
      <c r="P43" s="10"/>
      <c r="Q43" s="155" t="str">
        <f t="shared" si="4"/>
        <v/>
      </c>
      <c r="R43" s="171" t="str">
        <f t="shared" si="5"/>
        <v/>
      </c>
      <c r="S43" s="161"/>
      <c r="T43" s="55"/>
      <c r="U43" s="55"/>
      <c r="V43" s="55"/>
      <c r="W43" s="155" t="str">
        <f t="shared" si="0"/>
        <v/>
      </c>
      <c r="X43" s="171" t="str">
        <f t="shared" si="1"/>
        <v/>
      </c>
      <c r="Y43" s="165"/>
      <c r="Z43" s="10"/>
      <c r="AA43" s="55"/>
      <c r="AB43" s="55"/>
      <c r="AC43" s="55"/>
      <c r="AD43" s="55"/>
      <c r="AE43" s="55"/>
      <c r="AF43" s="167"/>
      <c r="AG43" s="55"/>
      <c r="AH43" s="55"/>
      <c r="AI43" s="165"/>
      <c r="AJ43" s="55"/>
      <c r="AK43" s="55"/>
      <c r="AL43" s="55"/>
      <c r="AM43" s="55"/>
      <c r="AN43" s="55"/>
      <c r="AO43" s="55"/>
      <c r="AP43" s="55"/>
      <c r="AQ43" s="55"/>
      <c r="AR43" s="165"/>
      <c r="AS43" s="55"/>
      <c r="AT43" s="55"/>
      <c r="AU43" s="55"/>
      <c r="AV43" s="55"/>
      <c r="AW43" s="55"/>
      <c r="AX43" s="55"/>
      <c r="AY43" s="55"/>
      <c r="AZ43" s="55"/>
      <c r="BA43" s="165"/>
      <c r="BB43" s="55"/>
      <c r="BC43" s="55"/>
      <c r="BD43" s="55"/>
      <c r="BE43" s="165"/>
      <c r="BF43" s="55"/>
      <c r="BG43" s="10"/>
      <c r="BH43" s="55"/>
      <c r="BI43" s="55"/>
      <c r="BJ43" s="55"/>
      <c r="BK43" s="55"/>
      <c r="BS43" s="141"/>
      <c r="CM43" s="141"/>
      <c r="DC43" s="141"/>
    </row>
    <row r="44" spans="1:113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f t="shared" si="3"/>
        <v>0</v>
      </c>
      <c r="P44" s="10"/>
      <c r="Q44" s="155" t="str">
        <f t="shared" si="4"/>
        <v/>
      </c>
      <c r="R44" s="171" t="str">
        <f t="shared" si="5"/>
        <v/>
      </c>
      <c r="S44" s="161"/>
      <c r="T44" s="55"/>
      <c r="U44" s="55"/>
      <c r="V44" s="55"/>
      <c r="W44" s="155" t="str">
        <f t="shared" si="0"/>
        <v/>
      </c>
      <c r="X44" s="171" t="str">
        <f t="shared" si="1"/>
        <v/>
      </c>
      <c r="Y44" s="165"/>
      <c r="Z44" s="10"/>
      <c r="AA44" s="55"/>
      <c r="AB44" s="55"/>
      <c r="AC44" s="55"/>
      <c r="AD44" s="55"/>
      <c r="AE44" s="55"/>
      <c r="AF44" s="167"/>
      <c r="AG44" s="55"/>
      <c r="AH44" s="55"/>
      <c r="AI44" s="165"/>
      <c r="AJ44" s="55"/>
      <c r="AK44" s="55"/>
      <c r="AL44" s="55"/>
      <c r="AM44" s="55"/>
      <c r="AN44" s="55"/>
      <c r="AO44" s="55"/>
      <c r="AP44" s="55"/>
      <c r="AQ44" s="55"/>
      <c r="AR44" s="165"/>
      <c r="AS44" s="55"/>
      <c r="AT44" s="55"/>
      <c r="AU44" s="55"/>
      <c r="AV44" s="55"/>
      <c r="AW44" s="55"/>
      <c r="AX44" s="55"/>
      <c r="AY44" s="55"/>
      <c r="AZ44" s="55"/>
      <c r="BA44" s="165"/>
      <c r="BB44" s="55"/>
      <c r="BC44" s="55"/>
      <c r="BD44" s="55"/>
      <c r="BE44" s="165"/>
      <c r="BF44" s="55"/>
      <c r="BG44" s="10"/>
      <c r="BH44" s="55"/>
      <c r="BI44" s="55"/>
      <c r="BJ44" s="55"/>
      <c r="BK44" s="55"/>
      <c r="BS44" s="141"/>
      <c r="CM44" s="141"/>
      <c r="DC44" s="141"/>
    </row>
    <row r="45" spans="1:113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810</v>
      </c>
      <c r="H45" s="56">
        <v>1</v>
      </c>
      <c r="I45" s="56" t="s">
        <v>1046</v>
      </c>
      <c r="J45" s="56" t="s">
        <v>1060</v>
      </c>
      <c r="K45" s="56"/>
      <c r="L45" s="160">
        <v>5</v>
      </c>
      <c r="M45" s="17"/>
      <c r="N45" s="56" t="s">
        <v>1302</v>
      </c>
      <c r="O45" s="56">
        <f t="shared" si="3"/>
        <v>300</v>
      </c>
      <c r="P45" s="17">
        <v>10</v>
      </c>
      <c r="Q45" s="156">
        <f t="shared" si="4"/>
        <v>0.98678619270966395</v>
      </c>
      <c r="R45" s="172">
        <f t="shared" si="5"/>
        <v>4.32</v>
      </c>
      <c r="S45" s="162"/>
      <c r="T45" s="56"/>
      <c r="U45" s="56"/>
      <c r="V45" s="56"/>
      <c r="W45" s="156" t="str">
        <f t="shared" si="0"/>
        <v/>
      </c>
      <c r="X45" s="172" t="str">
        <f t="shared" si="1"/>
        <v/>
      </c>
      <c r="Y45" s="166"/>
      <c r="Z45" s="17"/>
      <c r="AA45" s="56"/>
      <c r="AB45" s="56"/>
      <c r="AC45" s="56"/>
      <c r="AD45" s="56"/>
      <c r="AE45" s="56"/>
      <c r="AF45" s="169"/>
      <c r="AG45" s="56"/>
      <c r="AH45" s="56"/>
      <c r="AI45" s="166"/>
      <c r="AJ45" s="150">
        <v>70</v>
      </c>
      <c r="AK45" s="150">
        <v>70</v>
      </c>
      <c r="AL45" s="150">
        <v>80</v>
      </c>
      <c r="AM45" s="56"/>
      <c r="AN45" s="56"/>
      <c r="AO45" s="56"/>
      <c r="AP45" s="56"/>
      <c r="AQ45" s="56"/>
      <c r="AR45" s="166"/>
      <c r="AS45" s="56"/>
      <c r="AT45" s="56"/>
      <c r="AU45" s="56"/>
      <c r="AV45" s="56"/>
      <c r="AW45" s="56"/>
      <c r="AX45" s="56"/>
      <c r="AY45" s="56"/>
      <c r="AZ45" s="56"/>
      <c r="BA45" s="166"/>
      <c r="BB45" s="56"/>
      <c r="BC45" s="56"/>
      <c r="BD45" s="56"/>
      <c r="BE45" s="166"/>
      <c r="BF45" s="56"/>
      <c r="BG45" s="17"/>
      <c r="BH45" s="150">
        <v>150</v>
      </c>
      <c r="BI45" s="150">
        <v>150</v>
      </c>
      <c r="BJ45" s="150">
        <v>150</v>
      </c>
      <c r="BK45" s="56"/>
      <c r="BO45" s="150">
        <v>150</v>
      </c>
      <c r="BS45" s="140"/>
      <c r="CM45" s="140"/>
      <c r="DC45" s="140"/>
    </row>
    <row r="46" spans="1:113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811</v>
      </c>
      <c r="H46" s="55">
        <v>3</v>
      </c>
      <c r="I46" s="55" t="s">
        <v>1046</v>
      </c>
      <c r="J46" s="55" t="s">
        <v>1060</v>
      </c>
      <c r="L46" s="158">
        <v>5</v>
      </c>
      <c r="N46" s="55" t="s">
        <v>1303</v>
      </c>
      <c r="O46" s="55">
        <f t="shared" si="3"/>
        <v>240</v>
      </c>
      <c r="P46" s="10">
        <v>8</v>
      </c>
      <c r="Q46" s="155">
        <f t="shared" si="4"/>
        <v>0.96857507299959522</v>
      </c>
      <c r="R46" s="171">
        <f t="shared" si="5"/>
        <v>3.4559999999999995</v>
      </c>
      <c r="W46" s="155" t="str">
        <f t="shared" si="0"/>
        <v/>
      </c>
      <c r="X46" s="171" t="str">
        <f t="shared" si="1"/>
        <v/>
      </c>
      <c r="AJ46" s="149">
        <v>50</v>
      </c>
      <c r="AK46" s="149">
        <v>50</v>
      </c>
      <c r="AL46" s="149">
        <v>50</v>
      </c>
      <c r="BH46" s="149">
        <v>180</v>
      </c>
      <c r="BI46" s="149">
        <v>180</v>
      </c>
      <c r="BJ46" s="149">
        <v>180</v>
      </c>
      <c r="BL46" s="105"/>
      <c r="BO46" s="149">
        <v>180</v>
      </c>
    </row>
    <row r="47" spans="1:113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812</v>
      </c>
      <c r="H47" s="55">
        <v>5</v>
      </c>
      <c r="I47" s="55" t="s">
        <v>1046</v>
      </c>
      <c r="J47" s="55" t="s">
        <v>1060</v>
      </c>
      <c r="L47" s="158">
        <v>5</v>
      </c>
      <c r="N47" s="55" t="s">
        <v>1304</v>
      </c>
      <c r="O47" s="55">
        <f t="shared" si="3"/>
        <v>150</v>
      </c>
      <c r="P47" s="10">
        <v>5</v>
      </c>
      <c r="Q47" s="155">
        <f t="shared" si="4"/>
        <v>0.88486174114429406</v>
      </c>
      <c r="R47" s="171">
        <f t="shared" si="5"/>
        <v>2.16</v>
      </c>
      <c r="W47" s="155" t="str">
        <f t="shared" si="0"/>
        <v/>
      </c>
      <c r="X47" s="171" t="str">
        <f t="shared" si="1"/>
        <v/>
      </c>
      <c r="AJ47" s="149">
        <v>20</v>
      </c>
      <c r="AK47" s="149">
        <v>20</v>
      </c>
      <c r="AL47" s="149">
        <v>20</v>
      </c>
      <c r="BH47" s="149">
        <v>210</v>
      </c>
      <c r="BI47" s="149">
        <v>210</v>
      </c>
      <c r="BJ47" s="149">
        <v>210</v>
      </c>
      <c r="BL47" s="105"/>
      <c r="BO47" s="149">
        <v>210</v>
      </c>
    </row>
    <row r="48" spans="1:113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813</v>
      </c>
      <c r="H48" s="55">
        <v>1</v>
      </c>
      <c r="I48" s="55" t="s">
        <v>1047</v>
      </c>
      <c r="J48" s="55" t="s">
        <v>1062</v>
      </c>
      <c r="L48" s="158">
        <v>360</v>
      </c>
      <c r="N48" s="55" t="s">
        <v>1305</v>
      </c>
      <c r="O48" s="55">
        <f t="shared" si="3"/>
        <v>300</v>
      </c>
      <c r="P48" s="10">
        <v>10</v>
      </c>
      <c r="Q48" s="155">
        <f t="shared" si="4"/>
        <v>0.98678619270966395</v>
      </c>
      <c r="R48" s="171">
        <f t="shared" si="5"/>
        <v>4.32</v>
      </c>
      <c r="W48" s="155" t="str">
        <f t="shared" si="0"/>
        <v/>
      </c>
      <c r="X48" s="171" t="str">
        <f t="shared" si="1"/>
        <v/>
      </c>
      <c r="AS48" s="149">
        <v>70</v>
      </c>
      <c r="AT48" s="149">
        <v>70</v>
      </c>
      <c r="AU48" s="149">
        <v>80</v>
      </c>
      <c r="AV48" s="149">
        <v>60</v>
      </c>
      <c r="AW48" s="149">
        <v>60</v>
      </c>
      <c r="AX48" s="149">
        <v>80</v>
      </c>
      <c r="BH48" s="149">
        <v>150</v>
      </c>
      <c r="BI48" s="149">
        <v>150</v>
      </c>
      <c r="BJ48" s="149">
        <v>150</v>
      </c>
      <c r="BL48" s="149">
        <v>150</v>
      </c>
      <c r="BM48" s="149">
        <v>150</v>
      </c>
      <c r="BO48" s="149">
        <v>150</v>
      </c>
      <c r="DD48" s="149">
        <v>150</v>
      </c>
      <c r="DE48" s="152">
        <v>110</v>
      </c>
      <c r="DF48" s="152">
        <v>110</v>
      </c>
      <c r="DI48" s="149">
        <v>150</v>
      </c>
    </row>
    <row r="49" spans="1:113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814</v>
      </c>
      <c r="H49" s="55">
        <v>3</v>
      </c>
      <c r="I49" s="55" t="s">
        <v>1047</v>
      </c>
      <c r="J49" s="55" t="s">
        <v>1062</v>
      </c>
      <c r="L49" s="158">
        <v>360</v>
      </c>
      <c r="N49" s="55" t="s">
        <v>1307</v>
      </c>
      <c r="O49" s="55">
        <f t="shared" si="3"/>
        <v>240</v>
      </c>
      <c r="P49" s="10">
        <v>8</v>
      </c>
      <c r="Q49" s="155">
        <f t="shared" si="4"/>
        <v>0.96857507299959522</v>
      </c>
      <c r="R49" s="171">
        <f t="shared" si="5"/>
        <v>3.4559999999999995</v>
      </c>
      <c r="W49" s="155" t="str">
        <f t="shared" si="0"/>
        <v/>
      </c>
      <c r="X49" s="171" t="str">
        <f t="shared" si="1"/>
        <v/>
      </c>
      <c r="AS49" s="149">
        <v>50</v>
      </c>
      <c r="AT49" s="149">
        <v>50</v>
      </c>
      <c r="AU49" s="149">
        <v>50</v>
      </c>
      <c r="AV49" s="149">
        <v>40</v>
      </c>
      <c r="AW49" s="149">
        <v>40</v>
      </c>
      <c r="AX49" s="149">
        <v>50</v>
      </c>
      <c r="BH49" s="149">
        <v>180</v>
      </c>
      <c r="BI49" s="149">
        <v>180</v>
      </c>
      <c r="BJ49" s="149">
        <v>180</v>
      </c>
      <c r="BL49" s="149">
        <v>180</v>
      </c>
      <c r="BM49" s="149">
        <v>180</v>
      </c>
      <c r="BO49" s="149">
        <v>180</v>
      </c>
      <c r="DD49" s="149">
        <v>180</v>
      </c>
      <c r="DE49" s="152">
        <v>120</v>
      </c>
      <c r="DF49" s="152">
        <v>120</v>
      </c>
      <c r="DI49" s="149">
        <v>180</v>
      </c>
    </row>
    <row r="50" spans="1:113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815</v>
      </c>
      <c r="H50" s="55">
        <v>5</v>
      </c>
      <c r="I50" s="55" t="s">
        <v>1047</v>
      </c>
      <c r="J50" s="55" t="s">
        <v>1062</v>
      </c>
      <c r="L50" s="158">
        <v>360</v>
      </c>
      <c r="N50" s="55" t="s">
        <v>1306</v>
      </c>
      <c r="O50" s="55">
        <f t="shared" si="3"/>
        <v>150</v>
      </c>
      <c r="P50" s="10">
        <v>5</v>
      </c>
      <c r="Q50" s="155">
        <f t="shared" si="4"/>
        <v>0.88486174114429406</v>
      </c>
      <c r="R50" s="171">
        <f t="shared" si="5"/>
        <v>2.16</v>
      </c>
      <c r="W50" s="155" t="str">
        <f t="shared" si="0"/>
        <v/>
      </c>
      <c r="X50" s="171" t="str">
        <f t="shared" si="1"/>
        <v/>
      </c>
      <c r="AS50" s="149">
        <v>20</v>
      </c>
      <c r="AT50" s="149">
        <v>20</v>
      </c>
      <c r="AU50" s="149">
        <v>20</v>
      </c>
      <c r="AV50" s="149">
        <v>10</v>
      </c>
      <c r="AW50" s="149">
        <v>10</v>
      </c>
      <c r="AX50" s="149">
        <v>20</v>
      </c>
      <c r="BH50" s="149">
        <v>210</v>
      </c>
      <c r="BI50" s="149">
        <v>210</v>
      </c>
      <c r="BJ50" s="149">
        <v>210</v>
      </c>
      <c r="BL50" s="149">
        <v>210</v>
      </c>
      <c r="BM50" s="149">
        <v>210</v>
      </c>
      <c r="BO50" s="149">
        <v>210</v>
      </c>
      <c r="DD50" s="149">
        <v>210</v>
      </c>
      <c r="DE50" s="152">
        <v>130</v>
      </c>
      <c r="DF50" s="152">
        <v>130</v>
      </c>
      <c r="DI50" s="149">
        <v>210</v>
      </c>
    </row>
    <row r="51" spans="1:113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858</v>
      </c>
      <c r="H51" s="55">
        <v>1</v>
      </c>
      <c r="I51" s="55" t="s">
        <v>1048</v>
      </c>
      <c r="J51" s="55" t="s">
        <v>1061</v>
      </c>
      <c r="L51" s="158">
        <v>360</v>
      </c>
      <c r="N51" s="55" t="s">
        <v>1308</v>
      </c>
      <c r="O51" s="55">
        <f t="shared" si="3"/>
        <v>300</v>
      </c>
      <c r="P51" s="10">
        <v>10</v>
      </c>
      <c r="Q51" s="155">
        <f t="shared" si="4"/>
        <v>0.98678619270966395</v>
      </c>
      <c r="R51" s="171">
        <f t="shared" si="5"/>
        <v>4.32</v>
      </c>
      <c r="W51" s="155" t="str">
        <f t="shared" si="0"/>
        <v/>
      </c>
      <c r="X51" s="171" t="str">
        <f t="shared" si="1"/>
        <v/>
      </c>
      <c r="AS51" s="149">
        <v>70</v>
      </c>
      <c r="AT51" s="149">
        <v>70</v>
      </c>
      <c r="AU51" s="149">
        <v>70</v>
      </c>
      <c r="AV51" s="149">
        <v>150</v>
      </c>
      <c r="AW51" s="149">
        <v>150</v>
      </c>
      <c r="AX51" s="149">
        <v>70</v>
      </c>
      <c r="BH51" s="149">
        <v>150</v>
      </c>
      <c r="BI51" s="149">
        <v>150</v>
      </c>
      <c r="BJ51" s="149">
        <v>150</v>
      </c>
      <c r="BL51" s="154">
        <v>70</v>
      </c>
      <c r="DD51" s="154">
        <v>70</v>
      </c>
      <c r="DE51" s="152">
        <v>110</v>
      </c>
      <c r="DF51" s="152">
        <v>110</v>
      </c>
      <c r="DI51" s="149">
        <v>150</v>
      </c>
    </row>
    <row r="52" spans="1:113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859</v>
      </c>
      <c r="H52" s="55">
        <v>3</v>
      </c>
      <c r="I52" s="55" t="s">
        <v>1048</v>
      </c>
      <c r="J52" s="55" t="s">
        <v>1061</v>
      </c>
      <c r="L52" s="158">
        <v>360</v>
      </c>
      <c r="N52" s="55" t="s">
        <v>1310</v>
      </c>
      <c r="O52" s="55">
        <f t="shared" si="3"/>
        <v>240</v>
      </c>
      <c r="P52" s="10">
        <v>8</v>
      </c>
      <c r="Q52" s="155">
        <f t="shared" si="4"/>
        <v>0.96857507299959522</v>
      </c>
      <c r="R52" s="171">
        <f t="shared" si="5"/>
        <v>3.4559999999999995</v>
      </c>
      <c r="W52" s="155" t="str">
        <f t="shared" si="0"/>
        <v/>
      </c>
      <c r="X52" s="171" t="str">
        <f t="shared" si="1"/>
        <v/>
      </c>
      <c r="AS52" s="149">
        <v>50</v>
      </c>
      <c r="AT52" s="149">
        <v>50</v>
      </c>
      <c r="AU52" s="149">
        <v>50</v>
      </c>
      <c r="AV52" s="149">
        <v>180</v>
      </c>
      <c r="AW52" s="149">
        <v>180</v>
      </c>
      <c r="AX52" s="149">
        <v>50</v>
      </c>
      <c r="BH52" s="149">
        <v>180</v>
      </c>
      <c r="BI52" s="149">
        <v>180</v>
      </c>
      <c r="BJ52" s="149">
        <v>180</v>
      </c>
      <c r="BL52" s="154">
        <v>50</v>
      </c>
      <c r="DD52" s="154">
        <v>50</v>
      </c>
      <c r="DE52" s="152">
        <v>120</v>
      </c>
      <c r="DF52" s="152">
        <v>120</v>
      </c>
      <c r="DI52" s="149">
        <v>180</v>
      </c>
    </row>
    <row r="53" spans="1:113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860</v>
      </c>
      <c r="H53" s="55">
        <v>5</v>
      </c>
      <c r="I53" s="55" t="s">
        <v>1048</v>
      </c>
      <c r="J53" s="55" t="s">
        <v>1061</v>
      </c>
      <c r="L53" s="158">
        <v>360</v>
      </c>
      <c r="N53" s="55" t="s">
        <v>1309</v>
      </c>
      <c r="O53" s="55">
        <f t="shared" si="3"/>
        <v>150</v>
      </c>
      <c r="P53" s="10">
        <v>5</v>
      </c>
      <c r="Q53" s="155">
        <f t="shared" si="4"/>
        <v>0.88486174114429406</v>
      </c>
      <c r="R53" s="171">
        <f t="shared" si="5"/>
        <v>2.16</v>
      </c>
      <c r="W53" s="155" t="str">
        <f t="shared" si="0"/>
        <v/>
      </c>
      <c r="X53" s="171" t="str">
        <f t="shared" si="1"/>
        <v/>
      </c>
      <c r="AS53" s="149">
        <v>20</v>
      </c>
      <c r="AT53" s="149">
        <v>20</v>
      </c>
      <c r="AU53" s="149">
        <v>20</v>
      </c>
      <c r="AV53" s="149">
        <v>200</v>
      </c>
      <c r="AW53" s="149">
        <v>200</v>
      </c>
      <c r="AX53" s="149">
        <v>20</v>
      </c>
      <c r="BH53" s="149">
        <v>210</v>
      </c>
      <c r="BI53" s="149">
        <v>210</v>
      </c>
      <c r="BJ53" s="149">
        <v>210</v>
      </c>
      <c r="BL53" s="154">
        <v>20</v>
      </c>
      <c r="DD53" s="154">
        <v>20</v>
      </c>
      <c r="DE53" s="152">
        <v>130</v>
      </c>
      <c r="DF53" s="152">
        <v>130</v>
      </c>
      <c r="DI53" s="149">
        <v>210</v>
      </c>
    </row>
    <row r="54" spans="1:113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967</v>
      </c>
      <c r="H54" s="55">
        <v>1</v>
      </c>
      <c r="I54" s="55" t="s">
        <v>1314</v>
      </c>
      <c r="J54" s="55" t="s">
        <v>1315</v>
      </c>
      <c r="L54" s="158">
        <v>360</v>
      </c>
      <c r="N54" s="55" t="s">
        <v>1311</v>
      </c>
      <c r="O54" s="55">
        <f t="shared" si="3"/>
        <v>300</v>
      </c>
      <c r="P54" s="10">
        <v>10</v>
      </c>
      <c r="Q54" s="155">
        <f t="shared" si="4"/>
        <v>0.98678619270966395</v>
      </c>
      <c r="R54" s="171">
        <f t="shared" si="5"/>
        <v>4.32</v>
      </c>
      <c r="W54" s="155" t="str">
        <f t="shared" si="0"/>
        <v/>
      </c>
      <c r="X54" s="171" t="str">
        <f t="shared" si="1"/>
        <v/>
      </c>
      <c r="AA54" s="149">
        <v>30</v>
      </c>
      <c r="AJ54" s="149">
        <v>70</v>
      </c>
      <c r="AK54" s="149">
        <v>70</v>
      </c>
      <c r="AL54" s="149">
        <v>70</v>
      </c>
      <c r="AO54" s="149">
        <v>70</v>
      </c>
      <c r="AP54" s="149"/>
      <c r="AQ54" s="149"/>
      <c r="AS54" s="149">
        <v>70</v>
      </c>
      <c r="AT54" s="149">
        <v>70</v>
      </c>
      <c r="AU54" s="149">
        <v>70</v>
      </c>
      <c r="AX54" s="149">
        <v>70</v>
      </c>
      <c r="AY54" s="149">
        <v>200</v>
      </c>
      <c r="AZ54" s="149"/>
      <c r="BB54" s="149"/>
      <c r="BC54" s="149"/>
      <c r="BD54" s="149">
        <v>50</v>
      </c>
      <c r="BF54" s="149">
        <v>150</v>
      </c>
      <c r="BH54" s="149">
        <v>150</v>
      </c>
      <c r="BI54" s="149">
        <v>150</v>
      </c>
      <c r="BJ54" s="149">
        <v>150</v>
      </c>
      <c r="BM54" s="149">
        <v>150</v>
      </c>
      <c r="BO54" s="149">
        <v>150</v>
      </c>
      <c r="DE54" s="152">
        <v>110</v>
      </c>
      <c r="DF54" s="152">
        <v>110</v>
      </c>
      <c r="DI54" s="149">
        <v>150</v>
      </c>
    </row>
    <row r="55" spans="1:113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968</v>
      </c>
      <c r="H55" s="55">
        <v>3</v>
      </c>
      <c r="I55" s="55" t="s">
        <v>1314</v>
      </c>
      <c r="J55" s="55" t="s">
        <v>1315</v>
      </c>
      <c r="K55" s="55"/>
      <c r="L55" s="158">
        <v>360</v>
      </c>
      <c r="M55" s="10"/>
      <c r="N55" s="55" t="s">
        <v>1313</v>
      </c>
      <c r="O55" s="55">
        <f t="shared" si="3"/>
        <v>240</v>
      </c>
      <c r="P55" s="10">
        <v>8</v>
      </c>
      <c r="Q55" s="155">
        <f t="shared" si="4"/>
        <v>0.96857507299959522</v>
      </c>
      <c r="R55" s="171">
        <f t="shared" si="5"/>
        <v>3.4559999999999995</v>
      </c>
      <c r="S55" s="161"/>
      <c r="T55" s="55"/>
      <c r="U55" s="55"/>
      <c r="V55" s="55"/>
      <c r="W55" s="155" t="str">
        <f t="shared" si="0"/>
        <v/>
      </c>
      <c r="X55" s="171" t="str">
        <f t="shared" si="1"/>
        <v/>
      </c>
      <c r="Y55" s="165"/>
      <c r="Z55" s="10"/>
      <c r="AA55" s="149">
        <v>15</v>
      </c>
      <c r="AB55" s="55"/>
      <c r="AC55" s="55"/>
      <c r="AD55" s="55"/>
      <c r="AE55" s="55"/>
      <c r="AF55" s="167"/>
      <c r="AG55" s="55"/>
      <c r="AH55" s="55"/>
      <c r="AI55" s="165"/>
      <c r="AJ55" s="149">
        <v>50</v>
      </c>
      <c r="AK55" s="149">
        <v>50</v>
      </c>
      <c r="AL55" s="149">
        <v>50</v>
      </c>
      <c r="AM55" s="55"/>
      <c r="AN55" s="55"/>
      <c r="AO55" s="149">
        <v>50</v>
      </c>
      <c r="AP55" s="149"/>
      <c r="AQ55" s="149"/>
      <c r="AR55" s="165"/>
      <c r="AS55" s="149">
        <v>50</v>
      </c>
      <c r="AT55" s="149">
        <v>50</v>
      </c>
      <c r="AU55" s="149">
        <v>50</v>
      </c>
      <c r="AV55" s="55"/>
      <c r="AW55" s="55"/>
      <c r="AX55" s="149">
        <v>50</v>
      </c>
      <c r="AY55" s="149">
        <v>400</v>
      </c>
      <c r="AZ55" s="149"/>
      <c r="BA55" s="165"/>
      <c r="BB55" s="149">
        <v>40</v>
      </c>
      <c r="BC55" s="149">
        <v>40</v>
      </c>
      <c r="BD55" s="149">
        <v>35</v>
      </c>
      <c r="BE55" s="165"/>
      <c r="BF55" s="149">
        <v>200</v>
      </c>
      <c r="BG55" s="10"/>
      <c r="BH55" s="149">
        <v>180</v>
      </c>
      <c r="BI55" s="149">
        <v>180</v>
      </c>
      <c r="BJ55" s="149">
        <v>180</v>
      </c>
      <c r="BK55" s="55"/>
      <c r="BM55" s="149">
        <v>180</v>
      </c>
      <c r="BO55" s="149">
        <v>180</v>
      </c>
      <c r="BS55" s="141"/>
      <c r="CM55" s="141"/>
      <c r="DC55" s="141"/>
      <c r="DE55" s="152">
        <v>120</v>
      </c>
      <c r="DF55" s="152">
        <v>120</v>
      </c>
      <c r="DI55" s="149">
        <v>180</v>
      </c>
    </row>
    <row r="56" spans="1:113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969</v>
      </c>
      <c r="H56" s="55">
        <v>5</v>
      </c>
      <c r="I56" s="55" t="s">
        <v>1314</v>
      </c>
      <c r="J56" s="55" t="s">
        <v>1315</v>
      </c>
      <c r="K56" s="55"/>
      <c r="L56" s="158">
        <v>360</v>
      </c>
      <c r="M56" s="10"/>
      <c r="N56" s="55" t="s">
        <v>1312</v>
      </c>
      <c r="O56" s="55">
        <f t="shared" si="3"/>
        <v>150</v>
      </c>
      <c r="P56" s="10">
        <v>5</v>
      </c>
      <c r="Q56" s="155">
        <f t="shared" si="4"/>
        <v>0.88486174114429406</v>
      </c>
      <c r="R56" s="171">
        <f t="shared" si="5"/>
        <v>2.16</v>
      </c>
      <c r="S56" s="161"/>
      <c r="T56" s="55"/>
      <c r="U56" s="55"/>
      <c r="V56" s="55"/>
      <c r="W56" s="155" t="str">
        <f t="shared" si="0"/>
        <v/>
      </c>
      <c r="X56" s="171" t="str">
        <f t="shared" si="1"/>
        <v/>
      </c>
      <c r="Y56" s="165"/>
      <c r="Z56" s="10"/>
      <c r="AA56" s="149">
        <v>10</v>
      </c>
      <c r="AB56" s="55"/>
      <c r="AC56" s="55"/>
      <c r="AD56" s="55"/>
      <c r="AE56" s="55"/>
      <c r="AF56" s="167"/>
      <c r="AG56" s="55"/>
      <c r="AH56" s="55"/>
      <c r="AI56" s="165"/>
      <c r="AJ56" s="149">
        <v>20</v>
      </c>
      <c r="AK56" s="149">
        <v>20</v>
      </c>
      <c r="AL56" s="149">
        <v>20</v>
      </c>
      <c r="AM56" s="55"/>
      <c r="AN56" s="55"/>
      <c r="AO56" s="149">
        <v>20</v>
      </c>
      <c r="AP56" s="149"/>
      <c r="AQ56" s="149"/>
      <c r="AR56" s="165"/>
      <c r="AS56" s="149">
        <v>20</v>
      </c>
      <c r="AT56" s="149">
        <v>20</v>
      </c>
      <c r="AU56" s="149">
        <v>20</v>
      </c>
      <c r="AV56" s="55"/>
      <c r="AW56" s="55"/>
      <c r="AX56" s="149">
        <v>20</v>
      </c>
      <c r="AY56" s="149">
        <v>600</v>
      </c>
      <c r="AZ56" s="149"/>
      <c r="BA56" s="165"/>
      <c r="BB56" s="149">
        <v>10</v>
      </c>
      <c r="BC56" s="149">
        <v>10</v>
      </c>
      <c r="BD56" s="149">
        <v>20</v>
      </c>
      <c r="BE56" s="165"/>
      <c r="BF56" s="149">
        <v>300</v>
      </c>
      <c r="BG56" s="10"/>
      <c r="BH56" s="149">
        <v>210</v>
      </c>
      <c r="BI56" s="149">
        <v>210</v>
      </c>
      <c r="BJ56" s="149">
        <v>210</v>
      </c>
      <c r="BK56" s="55"/>
      <c r="BM56" s="149">
        <v>210</v>
      </c>
      <c r="BO56" s="149">
        <v>210</v>
      </c>
      <c r="BS56" s="141"/>
      <c r="CM56" s="141"/>
      <c r="DC56" s="141"/>
      <c r="DE56" s="152">
        <v>130</v>
      </c>
      <c r="DF56" s="152">
        <v>130</v>
      </c>
      <c r="DI56" s="149">
        <v>210</v>
      </c>
    </row>
    <row r="57" spans="1:113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1049</v>
      </c>
      <c r="H57" s="55">
        <v>1</v>
      </c>
      <c r="I57" s="55" t="s">
        <v>1050</v>
      </c>
      <c r="J57" s="55" t="s">
        <v>1063</v>
      </c>
      <c r="K57" s="55"/>
      <c r="L57" s="158">
        <v>360</v>
      </c>
      <c r="M57" s="10"/>
      <c r="N57" s="55" t="s">
        <v>1316</v>
      </c>
      <c r="O57" s="55">
        <f t="shared" si="3"/>
        <v>300</v>
      </c>
      <c r="P57" s="10">
        <v>10</v>
      </c>
      <c r="Q57" s="155">
        <f t="shared" si="4"/>
        <v>0.98678619270966395</v>
      </c>
      <c r="R57" s="171">
        <f t="shared" si="5"/>
        <v>4.32</v>
      </c>
      <c r="S57" s="161"/>
      <c r="T57" s="55"/>
      <c r="U57" s="55"/>
      <c r="V57" s="55"/>
      <c r="W57" s="155" t="str">
        <f t="shared" si="0"/>
        <v/>
      </c>
      <c r="X57" s="171" t="str">
        <f t="shared" si="1"/>
        <v/>
      </c>
      <c r="Y57" s="165"/>
      <c r="Z57" s="10"/>
      <c r="AA57" s="55"/>
      <c r="AB57" s="55"/>
      <c r="AC57" s="55"/>
      <c r="AD57" s="55"/>
      <c r="AE57" s="55"/>
      <c r="AF57" s="167"/>
      <c r="AG57" s="55"/>
      <c r="AH57" s="55"/>
      <c r="AI57" s="165"/>
      <c r="AJ57" s="55"/>
      <c r="AK57" s="55"/>
      <c r="AL57" s="55"/>
      <c r="AM57" s="55"/>
      <c r="AN57" s="55"/>
      <c r="AO57" s="55"/>
      <c r="AP57" s="55"/>
      <c r="AQ57" s="55"/>
      <c r="AR57" s="165"/>
      <c r="AS57" s="55"/>
      <c r="AT57" s="55"/>
      <c r="AU57" s="55"/>
      <c r="AV57" s="55"/>
      <c r="AW57" s="55"/>
      <c r="AX57" s="55"/>
      <c r="AY57" s="55"/>
      <c r="AZ57" s="55"/>
      <c r="BA57" s="165"/>
      <c r="BB57" s="149">
        <v>50</v>
      </c>
      <c r="BC57" s="149">
        <v>50</v>
      </c>
      <c r="BD57" s="149"/>
      <c r="BE57" s="165"/>
      <c r="BF57" s="55"/>
      <c r="BG57" s="10"/>
      <c r="BH57" s="55"/>
      <c r="BI57" s="55"/>
      <c r="BJ57" s="55"/>
      <c r="BK57" s="55"/>
      <c r="BS57" s="141"/>
      <c r="CM57" s="141"/>
      <c r="DC57" s="141"/>
    </row>
    <row r="58" spans="1:113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861</v>
      </c>
      <c r="H58" s="55">
        <v>3</v>
      </c>
      <c r="I58" s="55" t="s">
        <v>1050</v>
      </c>
      <c r="J58" s="55" t="s">
        <v>1063</v>
      </c>
      <c r="K58" s="55"/>
      <c r="L58" s="158">
        <v>360</v>
      </c>
      <c r="M58" s="10"/>
      <c r="N58" s="55" t="s">
        <v>1318</v>
      </c>
      <c r="O58" s="55">
        <f t="shared" si="3"/>
        <v>240</v>
      </c>
      <c r="P58" s="10">
        <v>8</v>
      </c>
      <c r="Q58" s="155">
        <f t="shared" si="4"/>
        <v>0.96857507299959522</v>
      </c>
      <c r="R58" s="171">
        <f t="shared" si="5"/>
        <v>3.4559999999999995</v>
      </c>
      <c r="S58" s="161"/>
      <c r="T58" s="55"/>
      <c r="U58" s="55"/>
      <c r="V58" s="55"/>
      <c r="W58" s="155" t="str">
        <f t="shared" si="0"/>
        <v/>
      </c>
      <c r="X58" s="171" t="str">
        <f t="shared" si="1"/>
        <v/>
      </c>
      <c r="Y58" s="165"/>
      <c r="Z58" s="10"/>
      <c r="AA58" s="55"/>
      <c r="AB58" s="55"/>
      <c r="AC58" s="55"/>
      <c r="AD58" s="55"/>
      <c r="AE58" s="55"/>
      <c r="AF58" s="167"/>
      <c r="AG58" s="55"/>
      <c r="AH58" s="55"/>
      <c r="AI58" s="165"/>
      <c r="AJ58" s="55"/>
      <c r="AK58" s="55"/>
      <c r="AL58" s="55"/>
      <c r="AM58" s="55"/>
      <c r="AN58" s="55"/>
      <c r="AO58" s="55"/>
      <c r="AP58" s="55"/>
      <c r="AQ58" s="55"/>
      <c r="AR58" s="165"/>
      <c r="AS58" s="55"/>
      <c r="AT58" s="55"/>
      <c r="AU58" s="55"/>
      <c r="AV58" s="55"/>
      <c r="AW58" s="55"/>
      <c r="AX58" s="55"/>
      <c r="AY58" s="55"/>
      <c r="AZ58" s="55"/>
      <c r="BA58" s="165"/>
      <c r="BB58" s="149">
        <v>30</v>
      </c>
      <c r="BC58" s="149">
        <v>30</v>
      </c>
      <c r="BD58" s="149"/>
      <c r="BE58" s="165"/>
      <c r="BF58" s="55"/>
      <c r="BG58" s="10"/>
      <c r="BH58" s="55"/>
      <c r="BI58" s="55"/>
      <c r="BJ58" s="55"/>
      <c r="BK58" s="55"/>
      <c r="BS58" s="141"/>
      <c r="CM58" s="141"/>
      <c r="DC58" s="141"/>
    </row>
    <row r="59" spans="1:113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862</v>
      </c>
      <c r="H59" s="55">
        <v>5</v>
      </c>
      <c r="I59" s="55" t="s">
        <v>1050</v>
      </c>
      <c r="J59" s="55" t="s">
        <v>1063</v>
      </c>
      <c r="K59" s="55"/>
      <c r="L59" s="158">
        <v>360</v>
      </c>
      <c r="M59" s="10"/>
      <c r="N59" s="55" t="s">
        <v>1317</v>
      </c>
      <c r="O59" s="55">
        <f t="shared" si="3"/>
        <v>150</v>
      </c>
      <c r="P59" s="10">
        <v>5</v>
      </c>
      <c r="Q59" s="155">
        <f t="shared" si="4"/>
        <v>0.88486174114429406</v>
      </c>
      <c r="R59" s="171">
        <f t="shared" si="5"/>
        <v>2.16</v>
      </c>
      <c r="S59" s="161"/>
      <c r="T59" s="55"/>
      <c r="U59" s="55"/>
      <c r="V59" s="55"/>
      <c r="W59" s="155" t="str">
        <f t="shared" si="0"/>
        <v/>
      </c>
      <c r="X59" s="171" t="str">
        <f t="shared" si="1"/>
        <v/>
      </c>
      <c r="Y59" s="165"/>
      <c r="Z59" s="10"/>
      <c r="AA59" s="55"/>
      <c r="AB59" s="55"/>
      <c r="AC59" s="55"/>
      <c r="AD59" s="55"/>
      <c r="AE59" s="55"/>
      <c r="AF59" s="167"/>
      <c r="AG59" s="55"/>
      <c r="AH59" s="55"/>
      <c r="AI59" s="165"/>
      <c r="AJ59" s="55"/>
      <c r="AK59" s="55"/>
      <c r="AL59" s="55"/>
      <c r="AM59" s="55"/>
      <c r="AN59" s="55"/>
      <c r="AO59" s="55"/>
      <c r="AP59" s="55"/>
      <c r="AQ59" s="55"/>
      <c r="AR59" s="165"/>
      <c r="AS59" s="55"/>
      <c r="AT59" s="55"/>
      <c r="AU59" s="55"/>
      <c r="AV59" s="55"/>
      <c r="AW59" s="55"/>
      <c r="AX59" s="55"/>
      <c r="AY59" s="55"/>
      <c r="AZ59" s="55"/>
      <c r="BA59" s="165"/>
      <c r="BB59" s="149">
        <v>0</v>
      </c>
      <c r="BC59" s="149">
        <v>0</v>
      </c>
      <c r="BD59" s="149"/>
      <c r="BE59" s="165"/>
      <c r="BF59" s="55"/>
      <c r="BG59" s="10"/>
      <c r="BH59" s="55"/>
      <c r="BI59" s="55"/>
      <c r="BJ59" s="55"/>
      <c r="BK59" s="55"/>
      <c r="BS59" s="141"/>
      <c r="CM59" s="141"/>
      <c r="DC59" s="141"/>
    </row>
    <row r="60" spans="1:113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818</v>
      </c>
      <c r="H60" s="55">
        <v>1</v>
      </c>
      <c r="I60" s="55" t="s">
        <v>1051</v>
      </c>
      <c r="J60" s="55" t="s">
        <v>1064</v>
      </c>
      <c r="K60" s="55"/>
      <c r="L60" s="158">
        <v>360</v>
      </c>
      <c r="M60" s="10"/>
      <c r="N60" s="55" t="s">
        <v>1319</v>
      </c>
      <c r="O60" s="55">
        <f t="shared" si="3"/>
        <v>300</v>
      </c>
      <c r="P60" s="10">
        <v>10</v>
      </c>
      <c r="Q60" s="155">
        <f t="shared" si="4"/>
        <v>0.98678619270966395</v>
      </c>
      <c r="R60" s="171">
        <f t="shared" si="5"/>
        <v>4.32</v>
      </c>
      <c r="S60" s="161"/>
      <c r="T60" s="55"/>
      <c r="U60" s="55"/>
      <c r="V60" s="55"/>
      <c r="W60" s="155" t="str">
        <f t="shared" si="0"/>
        <v/>
      </c>
      <c r="X60" s="171" t="str">
        <f t="shared" si="1"/>
        <v/>
      </c>
      <c r="Y60" s="165"/>
      <c r="Z60" s="10"/>
      <c r="AA60" s="55"/>
      <c r="AB60" s="55"/>
      <c r="AC60" s="55"/>
      <c r="AD60" s="55"/>
      <c r="AE60" s="55"/>
      <c r="AF60" s="167"/>
      <c r="AG60" s="55"/>
      <c r="AH60" s="55"/>
      <c r="AI60" s="165"/>
      <c r="AJ60" s="149">
        <v>60</v>
      </c>
      <c r="AK60" s="149">
        <v>60</v>
      </c>
      <c r="AL60" s="149">
        <v>60</v>
      </c>
      <c r="AM60" s="55"/>
      <c r="AN60" s="55"/>
      <c r="AO60" s="149">
        <v>60</v>
      </c>
      <c r="AP60" s="149"/>
      <c r="AQ60" s="149"/>
      <c r="AR60" s="165"/>
      <c r="AS60" s="149">
        <v>60</v>
      </c>
      <c r="AT60" s="149">
        <v>60</v>
      </c>
      <c r="AU60" s="149">
        <v>60</v>
      </c>
      <c r="AV60" s="55"/>
      <c r="AW60" s="55"/>
      <c r="AX60" s="149">
        <v>60</v>
      </c>
      <c r="AY60" s="55"/>
      <c r="AZ60" s="55"/>
      <c r="BA60" s="165"/>
      <c r="BB60" s="55"/>
      <c r="BC60" s="55"/>
      <c r="BD60" s="55"/>
      <c r="BE60" s="165"/>
      <c r="BF60" s="55"/>
      <c r="BG60" s="10"/>
      <c r="BH60" s="149">
        <v>150</v>
      </c>
      <c r="BI60" s="149">
        <v>150</v>
      </c>
      <c r="BJ60" s="149">
        <v>150</v>
      </c>
      <c r="BK60" s="55"/>
      <c r="BM60" s="149">
        <v>150</v>
      </c>
      <c r="BO60" s="149">
        <v>150</v>
      </c>
      <c r="BS60" s="141"/>
      <c r="CM60" s="141"/>
      <c r="DC60" s="141"/>
      <c r="DE60" s="152">
        <v>110</v>
      </c>
      <c r="DF60" s="152">
        <v>110</v>
      </c>
      <c r="DI60" s="149">
        <v>150</v>
      </c>
    </row>
    <row r="61" spans="1:113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819</v>
      </c>
      <c r="H61" s="55">
        <v>3</v>
      </c>
      <c r="I61" s="55" t="s">
        <v>1051</v>
      </c>
      <c r="J61" s="55" t="s">
        <v>1064</v>
      </c>
      <c r="K61" s="55"/>
      <c r="L61" s="158">
        <v>360</v>
      </c>
      <c r="M61" s="10"/>
      <c r="N61" s="55" t="s">
        <v>1321</v>
      </c>
      <c r="O61" s="55">
        <f t="shared" si="3"/>
        <v>240</v>
      </c>
      <c r="P61" s="10">
        <v>8</v>
      </c>
      <c r="Q61" s="155">
        <f t="shared" si="4"/>
        <v>0.96857507299959522</v>
      </c>
      <c r="R61" s="171">
        <f t="shared" si="5"/>
        <v>3.4559999999999995</v>
      </c>
      <c r="S61" s="161"/>
      <c r="T61" s="55"/>
      <c r="U61" s="55"/>
      <c r="V61" s="55"/>
      <c r="W61" s="155" t="str">
        <f t="shared" si="0"/>
        <v/>
      </c>
      <c r="X61" s="171" t="str">
        <f t="shared" si="1"/>
        <v/>
      </c>
      <c r="Y61" s="165"/>
      <c r="Z61" s="10"/>
      <c r="AA61" s="55"/>
      <c r="AB61" s="55"/>
      <c r="AC61" s="55"/>
      <c r="AD61" s="55"/>
      <c r="AE61" s="55"/>
      <c r="AF61" s="167"/>
      <c r="AG61" s="55"/>
      <c r="AH61" s="55"/>
      <c r="AI61" s="165"/>
      <c r="AJ61" s="149">
        <v>30</v>
      </c>
      <c r="AK61" s="149">
        <v>30</v>
      </c>
      <c r="AL61" s="149">
        <v>30</v>
      </c>
      <c r="AM61" s="55"/>
      <c r="AN61" s="55"/>
      <c r="AO61" s="149">
        <v>30</v>
      </c>
      <c r="AP61" s="149"/>
      <c r="AQ61" s="149"/>
      <c r="AR61" s="165"/>
      <c r="AS61" s="149">
        <v>30</v>
      </c>
      <c r="AT61" s="149">
        <v>30</v>
      </c>
      <c r="AU61" s="149">
        <v>30</v>
      </c>
      <c r="AV61" s="55"/>
      <c r="AW61" s="55"/>
      <c r="AX61" s="149">
        <v>30</v>
      </c>
      <c r="AY61" s="55"/>
      <c r="AZ61" s="55"/>
      <c r="BA61" s="165"/>
      <c r="BB61" s="55"/>
      <c r="BC61" s="55"/>
      <c r="BD61" s="55"/>
      <c r="BE61" s="165"/>
      <c r="BF61" s="55"/>
      <c r="BG61" s="10"/>
      <c r="BH61" s="149">
        <v>180</v>
      </c>
      <c r="BI61" s="149">
        <v>180</v>
      </c>
      <c r="BJ61" s="149">
        <v>180</v>
      </c>
      <c r="BK61" s="55"/>
      <c r="BM61" s="149">
        <v>180</v>
      </c>
      <c r="BO61" s="149">
        <v>180</v>
      </c>
      <c r="BS61" s="141"/>
      <c r="CM61" s="141"/>
      <c r="DC61" s="141"/>
      <c r="DE61" s="152">
        <v>120</v>
      </c>
      <c r="DF61" s="152">
        <v>120</v>
      </c>
      <c r="DI61" s="149">
        <v>180</v>
      </c>
    </row>
    <row r="62" spans="1:113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820</v>
      </c>
      <c r="H62" s="55">
        <v>5</v>
      </c>
      <c r="I62" s="55" t="s">
        <v>1051</v>
      </c>
      <c r="J62" s="55" t="s">
        <v>1064</v>
      </c>
      <c r="K62" s="55"/>
      <c r="L62" s="158">
        <v>360</v>
      </c>
      <c r="M62" s="10"/>
      <c r="N62" s="55" t="s">
        <v>1320</v>
      </c>
      <c r="O62" s="55">
        <f t="shared" si="3"/>
        <v>150</v>
      </c>
      <c r="P62" s="10">
        <v>5</v>
      </c>
      <c r="Q62" s="155">
        <f t="shared" si="4"/>
        <v>0.88486174114429406</v>
      </c>
      <c r="R62" s="171">
        <f t="shared" si="5"/>
        <v>2.16</v>
      </c>
      <c r="S62" s="161"/>
      <c r="T62" s="55"/>
      <c r="U62" s="55"/>
      <c r="V62" s="55"/>
      <c r="W62" s="155" t="str">
        <f t="shared" si="0"/>
        <v/>
      </c>
      <c r="X62" s="171" t="str">
        <f t="shared" si="1"/>
        <v/>
      </c>
      <c r="Y62" s="165"/>
      <c r="Z62" s="10"/>
      <c r="AA62" s="55"/>
      <c r="AB62" s="55"/>
      <c r="AC62" s="55"/>
      <c r="AD62" s="55"/>
      <c r="AE62" s="55"/>
      <c r="AF62" s="167"/>
      <c r="AG62" s="55"/>
      <c r="AH62" s="55"/>
      <c r="AI62" s="165"/>
      <c r="AJ62" s="149">
        <v>0</v>
      </c>
      <c r="AK62" s="149">
        <v>0</v>
      </c>
      <c r="AL62" s="149">
        <v>0</v>
      </c>
      <c r="AM62" s="55"/>
      <c r="AN62" s="55"/>
      <c r="AO62" s="149">
        <v>0</v>
      </c>
      <c r="AP62" s="149"/>
      <c r="AQ62" s="149"/>
      <c r="AR62" s="165"/>
      <c r="AS62" s="149">
        <v>0</v>
      </c>
      <c r="AT62" s="149">
        <v>0</v>
      </c>
      <c r="AU62" s="149">
        <v>0</v>
      </c>
      <c r="AV62" s="55"/>
      <c r="AW62" s="55"/>
      <c r="AX62" s="149">
        <v>0</v>
      </c>
      <c r="AY62" s="55"/>
      <c r="AZ62" s="55"/>
      <c r="BA62" s="165"/>
      <c r="BB62" s="55"/>
      <c r="BC62" s="55"/>
      <c r="BD62" s="55"/>
      <c r="BE62" s="165"/>
      <c r="BF62" s="55"/>
      <c r="BG62" s="10"/>
      <c r="BH62" s="149">
        <v>260</v>
      </c>
      <c r="BI62" s="149">
        <v>260</v>
      </c>
      <c r="BJ62" s="149">
        <v>260</v>
      </c>
      <c r="BK62" s="55"/>
      <c r="BM62" s="149">
        <v>260</v>
      </c>
      <c r="BO62" s="149">
        <v>260</v>
      </c>
      <c r="BS62" s="141"/>
      <c r="CM62" s="141"/>
      <c r="DC62" s="141"/>
      <c r="DE62" s="152">
        <v>130</v>
      </c>
      <c r="DF62" s="152">
        <v>130</v>
      </c>
      <c r="DI62" s="149">
        <v>260</v>
      </c>
    </row>
    <row r="63" spans="1:113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863</v>
      </c>
      <c r="H63" s="55">
        <v>1</v>
      </c>
      <c r="I63" s="55" t="s">
        <v>1052</v>
      </c>
      <c r="J63" s="55" t="s">
        <v>1065</v>
      </c>
      <c r="K63" s="55"/>
      <c r="L63" s="158">
        <v>360</v>
      </c>
      <c r="M63" s="10"/>
      <c r="N63" s="55" t="s">
        <v>1322</v>
      </c>
      <c r="O63" s="55">
        <f t="shared" si="3"/>
        <v>300</v>
      </c>
      <c r="P63" s="10">
        <v>10</v>
      </c>
      <c r="Q63" s="155">
        <f t="shared" si="4"/>
        <v>0.98678619270966395</v>
      </c>
      <c r="R63" s="171">
        <f t="shared" si="5"/>
        <v>4.32</v>
      </c>
      <c r="S63" s="161"/>
      <c r="T63" s="55"/>
      <c r="U63" s="55"/>
      <c r="V63" s="55"/>
      <c r="W63" s="155" t="str">
        <f t="shared" si="0"/>
        <v/>
      </c>
      <c r="X63" s="171" t="str">
        <f t="shared" si="1"/>
        <v/>
      </c>
      <c r="Y63" s="165"/>
      <c r="Z63" s="10"/>
      <c r="AA63" s="55"/>
      <c r="AB63" s="55"/>
      <c r="AC63" s="55"/>
      <c r="AD63" s="55"/>
      <c r="AE63" s="55"/>
      <c r="AF63" s="167"/>
      <c r="AG63" s="55"/>
      <c r="AH63" s="55"/>
      <c r="AI63" s="165"/>
      <c r="AJ63" s="149">
        <v>60</v>
      </c>
      <c r="AK63" s="55"/>
      <c r="AL63" s="55"/>
      <c r="AM63" s="55"/>
      <c r="AN63" s="55"/>
      <c r="AO63" s="55"/>
      <c r="AP63" s="55"/>
      <c r="AQ63" s="55"/>
      <c r="AR63" s="165"/>
      <c r="AS63" s="149">
        <v>60</v>
      </c>
      <c r="AT63" s="55"/>
      <c r="AU63" s="55"/>
      <c r="AV63" s="55"/>
      <c r="AW63" s="55"/>
      <c r="AX63" s="55"/>
      <c r="AY63" s="55"/>
      <c r="AZ63" s="55"/>
      <c r="BA63" s="165"/>
      <c r="BB63" s="55"/>
      <c r="BC63" s="55"/>
      <c r="BD63" s="55"/>
      <c r="BE63" s="165"/>
      <c r="BF63" s="55"/>
      <c r="BG63" s="10"/>
      <c r="BH63" s="149">
        <v>150</v>
      </c>
      <c r="BI63" s="55"/>
      <c r="BJ63" s="55"/>
      <c r="BK63" s="55"/>
      <c r="BS63" s="141"/>
      <c r="CM63" s="141"/>
      <c r="DC63" s="141"/>
      <c r="DF63" s="152">
        <v>110</v>
      </c>
    </row>
    <row r="64" spans="1:113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864</v>
      </c>
      <c r="H64" s="55">
        <v>3</v>
      </c>
      <c r="I64" s="55" t="s">
        <v>1052</v>
      </c>
      <c r="J64" s="55" t="s">
        <v>1065</v>
      </c>
      <c r="K64" s="55"/>
      <c r="L64" s="158">
        <v>360</v>
      </c>
      <c r="M64" s="10"/>
      <c r="N64" s="55" t="s">
        <v>1324</v>
      </c>
      <c r="O64" s="55">
        <f t="shared" si="3"/>
        <v>240</v>
      </c>
      <c r="P64" s="10">
        <v>8</v>
      </c>
      <c r="Q64" s="155">
        <f t="shared" si="4"/>
        <v>0.96857507299959522</v>
      </c>
      <c r="R64" s="171">
        <f t="shared" si="5"/>
        <v>3.4559999999999995</v>
      </c>
      <c r="S64" s="161"/>
      <c r="T64" s="55"/>
      <c r="U64" s="55"/>
      <c r="V64" s="55"/>
      <c r="W64" s="155" t="str">
        <f t="shared" si="0"/>
        <v/>
      </c>
      <c r="X64" s="171" t="str">
        <f t="shared" si="1"/>
        <v/>
      </c>
      <c r="Y64" s="165"/>
      <c r="Z64" s="10"/>
      <c r="AA64" s="55"/>
      <c r="AB64" s="55"/>
      <c r="AC64" s="55"/>
      <c r="AD64" s="55"/>
      <c r="AE64" s="55"/>
      <c r="AF64" s="167"/>
      <c r="AG64" s="55"/>
      <c r="AH64" s="55"/>
      <c r="AI64" s="165"/>
      <c r="AJ64" s="149">
        <v>30</v>
      </c>
      <c r="AK64" s="55"/>
      <c r="AL64" s="55"/>
      <c r="AM64" s="55"/>
      <c r="AN64" s="55"/>
      <c r="AO64" s="55"/>
      <c r="AP64" s="55"/>
      <c r="AQ64" s="55"/>
      <c r="AR64" s="165"/>
      <c r="AS64" s="149">
        <v>30</v>
      </c>
      <c r="AT64" s="55"/>
      <c r="AU64" s="55"/>
      <c r="AV64" s="55"/>
      <c r="AW64" s="55"/>
      <c r="AX64" s="55"/>
      <c r="AY64" s="55"/>
      <c r="AZ64" s="55"/>
      <c r="BA64" s="165"/>
      <c r="BB64" s="55"/>
      <c r="BC64" s="55"/>
      <c r="BD64" s="55"/>
      <c r="BE64" s="165"/>
      <c r="BF64" s="55"/>
      <c r="BG64" s="10"/>
      <c r="BH64" s="149">
        <v>180</v>
      </c>
      <c r="BI64" s="55"/>
      <c r="BJ64" s="55"/>
      <c r="BK64" s="55"/>
      <c r="BS64" s="141"/>
      <c r="CM64" s="141"/>
      <c r="DC64" s="141"/>
      <c r="DF64" s="152">
        <v>120</v>
      </c>
    </row>
    <row r="65" spans="1:113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865</v>
      </c>
      <c r="H65" s="55">
        <v>5</v>
      </c>
      <c r="I65" s="55" t="s">
        <v>1052</v>
      </c>
      <c r="J65" s="55" t="s">
        <v>1065</v>
      </c>
      <c r="K65" s="55"/>
      <c r="L65" s="158">
        <v>360</v>
      </c>
      <c r="M65" s="10"/>
      <c r="N65" s="55" t="s">
        <v>1323</v>
      </c>
      <c r="O65" s="55">
        <f t="shared" si="3"/>
        <v>150</v>
      </c>
      <c r="P65" s="10">
        <v>5</v>
      </c>
      <c r="Q65" s="155">
        <f t="shared" si="4"/>
        <v>0.88486174114429406</v>
      </c>
      <c r="R65" s="171">
        <f t="shared" si="5"/>
        <v>2.16</v>
      </c>
      <c r="S65" s="161"/>
      <c r="T65" s="55"/>
      <c r="U65" s="55"/>
      <c r="V65" s="55"/>
      <c r="W65" s="155" t="str">
        <f t="shared" si="0"/>
        <v/>
      </c>
      <c r="X65" s="171" t="str">
        <f t="shared" si="1"/>
        <v/>
      </c>
      <c r="Y65" s="165"/>
      <c r="Z65" s="10"/>
      <c r="AA65" s="55"/>
      <c r="AB65" s="55"/>
      <c r="AC65" s="55"/>
      <c r="AD65" s="55"/>
      <c r="AE65" s="55"/>
      <c r="AF65" s="167"/>
      <c r="AG65" s="55"/>
      <c r="AH65" s="55"/>
      <c r="AI65" s="165"/>
      <c r="AJ65" s="149">
        <v>0</v>
      </c>
      <c r="AK65" s="55"/>
      <c r="AL65" s="55"/>
      <c r="AM65" s="55"/>
      <c r="AN65" s="55"/>
      <c r="AO65" s="55"/>
      <c r="AP65" s="55"/>
      <c r="AQ65" s="55"/>
      <c r="AR65" s="165"/>
      <c r="AS65" s="149">
        <v>0</v>
      </c>
      <c r="AT65" s="55"/>
      <c r="AU65" s="55"/>
      <c r="AV65" s="55"/>
      <c r="AW65" s="55"/>
      <c r="AX65" s="55"/>
      <c r="AY65" s="55"/>
      <c r="AZ65" s="55"/>
      <c r="BA65" s="165"/>
      <c r="BB65" s="55"/>
      <c r="BC65" s="55"/>
      <c r="BD65" s="55"/>
      <c r="BE65" s="165"/>
      <c r="BF65" s="55"/>
      <c r="BG65" s="10"/>
      <c r="BH65" s="149">
        <v>260</v>
      </c>
      <c r="BI65" s="55"/>
      <c r="BJ65" s="55"/>
      <c r="BK65" s="55"/>
      <c r="BS65" s="141"/>
      <c r="CM65" s="141"/>
      <c r="DC65" s="141"/>
      <c r="DF65" s="152">
        <v>130</v>
      </c>
    </row>
    <row r="66" spans="1:113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959</v>
      </c>
      <c r="H66" s="55">
        <v>1</v>
      </c>
      <c r="I66" s="55" t="s">
        <v>1053</v>
      </c>
      <c r="J66" s="55" t="s">
        <v>1066</v>
      </c>
      <c r="L66" s="158">
        <v>360</v>
      </c>
      <c r="N66" s="55" t="s">
        <v>1325</v>
      </c>
      <c r="O66" s="55">
        <f t="shared" si="3"/>
        <v>750</v>
      </c>
      <c r="P66" s="10">
        <v>25</v>
      </c>
      <c r="Q66" s="155">
        <f t="shared" si="4"/>
        <v>0.99998041415890593</v>
      </c>
      <c r="R66" s="171">
        <f t="shared" si="5"/>
        <v>10.799999999999999</v>
      </c>
      <c r="W66" s="155" t="str">
        <f t="shared" si="0"/>
        <v/>
      </c>
      <c r="X66" s="171" t="str">
        <f t="shared" si="1"/>
        <v/>
      </c>
      <c r="AA66" s="149">
        <v>90</v>
      </c>
      <c r="AS66" s="149">
        <v>130</v>
      </c>
      <c r="AT66" s="149">
        <v>130</v>
      </c>
      <c r="AU66" s="149">
        <v>130</v>
      </c>
      <c r="AX66" s="149">
        <v>130</v>
      </c>
      <c r="BD66" s="149">
        <v>120</v>
      </c>
      <c r="BH66" s="149">
        <v>80</v>
      </c>
      <c r="BI66" s="149">
        <v>80</v>
      </c>
      <c r="BJ66" s="149">
        <v>80</v>
      </c>
      <c r="BK66" s="149">
        <v>130</v>
      </c>
      <c r="BL66" s="105"/>
      <c r="BM66" s="149">
        <v>80</v>
      </c>
      <c r="BO66" s="149">
        <v>80</v>
      </c>
      <c r="DD66" s="149">
        <v>80</v>
      </c>
      <c r="DE66" s="149">
        <v>80</v>
      </c>
      <c r="DF66" s="149">
        <v>80</v>
      </c>
      <c r="DG66" s="152">
        <v>130</v>
      </c>
      <c r="DI66" s="149">
        <v>80</v>
      </c>
    </row>
    <row r="67" spans="1:113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960</v>
      </c>
      <c r="H67" s="55">
        <v>3</v>
      </c>
      <c r="I67" s="55" t="s">
        <v>1053</v>
      </c>
      <c r="J67" s="55" t="s">
        <v>1066</v>
      </c>
      <c r="L67" s="158">
        <v>360</v>
      </c>
      <c r="N67" s="55" t="s">
        <v>1326</v>
      </c>
      <c r="O67" s="55">
        <f t="shared" si="3"/>
        <v>600</v>
      </c>
      <c r="P67" s="10">
        <v>20</v>
      </c>
      <c r="Q67" s="155">
        <f t="shared" si="4"/>
        <v>0.99982765704618048</v>
      </c>
      <c r="R67" s="171">
        <f t="shared" si="5"/>
        <v>8.64</v>
      </c>
      <c r="W67" s="155" t="str">
        <f t="shared" si="0"/>
        <v/>
      </c>
      <c r="X67" s="171" t="str">
        <f t="shared" si="1"/>
        <v/>
      </c>
      <c r="AA67" s="149">
        <v>80</v>
      </c>
      <c r="AS67" s="149">
        <v>160</v>
      </c>
      <c r="AT67" s="149">
        <v>160</v>
      </c>
      <c r="AU67" s="149">
        <v>160</v>
      </c>
      <c r="AX67" s="149">
        <v>160</v>
      </c>
      <c r="BD67" s="149">
        <v>150</v>
      </c>
      <c r="BH67" s="149">
        <v>70</v>
      </c>
      <c r="BI67" s="149">
        <v>70</v>
      </c>
      <c r="BJ67" s="149">
        <v>70</v>
      </c>
      <c r="BK67" s="149">
        <v>150</v>
      </c>
      <c r="BL67" s="105"/>
      <c r="BM67" s="149">
        <v>70</v>
      </c>
      <c r="BO67" s="149">
        <v>70</v>
      </c>
      <c r="DD67" s="149">
        <v>70</v>
      </c>
      <c r="DE67" s="149">
        <v>70</v>
      </c>
      <c r="DF67" s="149">
        <v>70</v>
      </c>
      <c r="DG67" s="152">
        <v>140</v>
      </c>
      <c r="DI67" s="149">
        <v>70</v>
      </c>
    </row>
    <row r="68" spans="1:113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961</v>
      </c>
      <c r="H68" s="55">
        <v>5</v>
      </c>
      <c r="I68" s="55" t="s">
        <v>1053</v>
      </c>
      <c r="J68" s="55" t="s">
        <v>1066</v>
      </c>
      <c r="L68" s="158">
        <v>360</v>
      </c>
      <c r="N68" s="55" t="s">
        <v>1327</v>
      </c>
      <c r="O68" s="55">
        <f t="shared" si="3"/>
        <v>300</v>
      </c>
      <c r="P68" s="10">
        <v>10</v>
      </c>
      <c r="Q68" s="155">
        <f t="shared" si="4"/>
        <v>0.98678619270966395</v>
      </c>
      <c r="R68" s="171">
        <f t="shared" si="5"/>
        <v>4.32</v>
      </c>
      <c r="W68" s="155" t="str">
        <f t="shared" si="0"/>
        <v/>
      </c>
      <c r="X68" s="171" t="str">
        <f t="shared" si="1"/>
        <v/>
      </c>
      <c r="AA68" s="149">
        <v>70</v>
      </c>
      <c r="AS68" s="149">
        <v>200</v>
      </c>
      <c r="AT68" s="149">
        <v>200</v>
      </c>
      <c r="AU68" s="149">
        <v>200</v>
      </c>
      <c r="AX68" s="149">
        <v>200</v>
      </c>
      <c r="BD68" s="149">
        <v>180</v>
      </c>
      <c r="BH68" s="149">
        <v>50</v>
      </c>
      <c r="BI68" s="149">
        <v>50</v>
      </c>
      <c r="BJ68" s="149">
        <v>50</v>
      </c>
      <c r="BK68" s="149">
        <v>200</v>
      </c>
      <c r="BM68" s="149">
        <v>50</v>
      </c>
      <c r="BO68" s="149">
        <v>50</v>
      </c>
      <c r="DD68" s="149">
        <v>50</v>
      </c>
      <c r="DE68" s="149">
        <v>50</v>
      </c>
      <c r="DF68" s="149">
        <v>50</v>
      </c>
      <c r="DG68" s="152">
        <v>150</v>
      </c>
      <c r="DI68" s="149">
        <v>50</v>
      </c>
    </row>
    <row r="69" spans="1:113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f t="shared" si="3"/>
        <v>0</v>
      </c>
      <c r="Q69" s="155" t="str">
        <f t="shared" si="4"/>
        <v/>
      </c>
      <c r="R69" s="171" t="str">
        <f t="shared" si="5"/>
        <v/>
      </c>
      <c r="W69" s="155" t="str">
        <f t="shared" ref="W69:W84" si="7">IF((1-(1-T69/100000)^L69)=0,"",1-(1-T69/100000)^L69)</f>
        <v/>
      </c>
      <c r="X69" s="171" t="str">
        <f t="shared" si="1"/>
        <v/>
      </c>
    </row>
    <row r="70" spans="1:113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f t="shared" ref="O70:O133" si="8">P70*30</f>
        <v>0</v>
      </c>
      <c r="Q70" s="155" t="str">
        <f t="shared" ref="Q70:Q133" si="9">IF((1-(1-O70/100000)^1440)=0,"",1-(1-O70/100000)^1440)</f>
        <v/>
      </c>
      <c r="R70" s="171" t="str">
        <f t="shared" ref="R70:R133" si="10">IF((O70/100000)*1440=0,"",(O70/100000)*1440)</f>
        <v/>
      </c>
      <c r="W70" s="155" t="str">
        <f t="shared" si="7"/>
        <v/>
      </c>
      <c r="X70" s="171" t="str">
        <f t="shared" ref="X70:X84" si="11">IF((T70/100000)*L70=0,"",(T70/100000)*L70)</f>
        <v/>
      </c>
    </row>
    <row r="71" spans="1:113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f t="shared" si="8"/>
        <v>0</v>
      </c>
      <c r="Q71" s="155" t="str">
        <f t="shared" si="9"/>
        <v/>
      </c>
      <c r="R71" s="171" t="str">
        <f t="shared" si="10"/>
        <v/>
      </c>
      <c r="W71" s="155" t="str">
        <f t="shared" si="7"/>
        <v/>
      </c>
      <c r="X71" s="171" t="str">
        <f t="shared" si="11"/>
        <v/>
      </c>
    </row>
    <row r="72" spans="1:113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f t="shared" si="8"/>
        <v>0</v>
      </c>
      <c r="Q72" s="155" t="str">
        <f t="shared" si="9"/>
        <v/>
      </c>
      <c r="R72" s="171" t="str">
        <f t="shared" si="10"/>
        <v/>
      </c>
      <c r="W72" s="155" t="str">
        <f t="shared" si="7"/>
        <v/>
      </c>
      <c r="X72" s="171" t="str">
        <f t="shared" si="11"/>
        <v/>
      </c>
    </row>
    <row r="73" spans="1:113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f t="shared" si="8"/>
        <v>0</v>
      </c>
      <c r="Q73" s="155" t="str">
        <f t="shared" si="9"/>
        <v/>
      </c>
      <c r="R73" s="171" t="str">
        <f t="shared" si="10"/>
        <v/>
      </c>
      <c r="W73" s="155" t="str">
        <f t="shared" si="7"/>
        <v/>
      </c>
      <c r="X73" s="171" t="str">
        <f t="shared" si="11"/>
        <v/>
      </c>
    </row>
    <row r="74" spans="1:113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f t="shared" si="8"/>
        <v>0</v>
      </c>
      <c r="Q74" s="155" t="str">
        <f t="shared" si="9"/>
        <v/>
      </c>
      <c r="R74" s="171" t="str">
        <f t="shared" si="10"/>
        <v/>
      </c>
      <c r="W74" s="155" t="str">
        <f t="shared" si="7"/>
        <v/>
      </c>
      <c r="X74" s="171" t="str">
        <f t="shared" si="11"/>
        <v/>
      </c>
    </row>
    <row r="75" spans="1:113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f t="shared" si="8"/>
        <v>0</v>
      </c>
      <c r="P75" s="10"/>
      <c r="Q75" s="155" t="str">
        <f t="shared" si="9"/>
        <v/>
      </c>
      <c r="R75" s="171" t="str">
        <f t="shared" si="10"/>
        <v/>
      </c>
      <c r="S75" s="161"/>
      <c r="T75" s="55"/>
      <c r="U75" s="55"/>
      <c r="V75" s="55"/>
      <c r="W75" s="155" t="str">
        <f t="shared" si="7"/>
        <v/>
      </c>
      <c r="X75" s="171" t="str">
        <f t="shared" si="11"/>
        <v/>
      </c>
      <c r="Y75" s="165"/>
      <c r="Z75" s="10"/>
      <c r="AA75" s="55"/>
      <c r="AB75" s="55"/>
      <c r="AC75" s="55"/>
      <c r="AD75" s="55"/>
      <c r="AE75" s="55"/>
      <c r="AF75" s="167"/>
      <c r="AG75" s="55"/>
      <c r="AH75" s="55"/>
      <c r="AI75" s="165"/>
      <c r="AJ75" s="55"/>
      <c r="AK75" s="55"/>
      <c r="AL75" s="55"/>
      <c r="AM75" s="55"/>
      <c r="AN75" s="55"/>
      <c r="AO75" s="55"/>
      <c r="AP75" s="55"/>
      <c r="AQ75" s="55"/>
      <c r="AR75" s="165"/>
      <c r="AS75" s="55"/>
      <c r="AT75" s="55"/>
      <c r="AU75" s="55"/>
      <c r="AV75" s="55"/>
      <c r="AW75" s="55"/>
      <c r="AX75" s="55"/>
      <c r="AY75" s="55"/>
      <c r="AZ75" s="55"/>
      <c r="BA75" s="165"/>
      <c r="BB75" s="55"/>
      <c r="BC75" s="55"/>
      <c r="BD75" s="55"/>
      <c r="BE75" s="165"/>
      <c r="BF75" s="55"/>
      <c r="BG75" s="10"/>
      <c r="BH75" s="55"/>
      <c r="BI75" s="55"/>
      <c r="BJ75" s="55"/>
      <c r="BK75" s="55"/>
      <c r="BS75" s="141"/>
      <c r="CM75" s="141"/>
      <c r="DC75" s="141"/>
    </row>
    <row r="76" spans="1:113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f t="shared" si="8"/>
        <v>0</v>
      </c>
      <c r="P76" s="10"/>
      <c r="Q76" s="155" t="str">
        <f t="shared" si="9"/>
        <v/>
      </c>
      <c r="R76" s="171" t="str">
        <f t="shared" si="10"/>
        <v/>
      </c>
      <c r="S76" s="161"/>
      <c r="T76" s="55"/>
      <c r="U76" s="55"/>
      <c r="V76" s="55"/>
      <c r="W76" s="155" t="str">
        <f t="shared" si="7"/>
        <v/>
      </c>
      <c r="X76" s="171" t="str">
        <f t="shared" si="11"/>
        <v/>
      </c>
      <c r="Y76" s="165"/>
      <c r="Z76" s="10"/>
      <c r="AA76" s="55"/>
      <c r="AB76" s="55"/>
      <c r="AC76" s="55"/>
      <c r="AD76" s="55"/>
      <c r="AE76" s="55"/>
      <c r="AF76" s="167"/>
      <c r="AG76" s="55"/>
      <c r="AH76" s="55"/>
      <c r="AI76" s="165"/>
      <c r="AJ76" s="55"/>
      <c r="AK76" s="55"/>
      <c r="AL76" s="55"/>
      <c r="AM76" s="55"/>
      <c r="AN76" s="55"/>
      <c r="AO76" s="55"/>
      <c r="AP76" s="55"/>
      <c r="AQ76" s="55"/>
      <c r="AR76" s="165"/>
      <c r="AS76" s="55"/>
      <c r="AT76" s="55"/>
      <c r="AU76" s="55"/>
      <c r="AV76" s="55"/>
      <c r="AW76" s="55"/>
      <c r="AX76" s="55"/>
      <c r="AY76" s="55"/>
      <c r="AZ76" s="55"/>
      <c r="BA76" s="165"/>
      <c r="BB76" s="55"/>
      <c r="BC76" s="55"/>
      <c r="BD76" s="55"/>
      <c r="BE76" s="165"/>
      <c r="BF76" s="55"/>
      <c r="BG76" s="10"/>
      <c r="BH76" s="55"/>
      <c r="BI76" s="55"/>
      <c r="BJ76" s="55"/>
      <c r="BK76" s="55"/>
      <c r="BS76" s="141"/>
      <c r="CM76" s="141"/>
      <c r="DC76" s="141"/>
    </row>
    <row r="77" spans="1:113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f t="shared" si="8"/>
        <v>0</v>
      </c>
      <c r="P77" s="10"/>
      <c r="Q77" s="155" t="str">
        <f t="shared" si="9"/>
        <v/>
      </c>
      <c r="R77" s="171" t="str">
        <f t="shared" si="10"/>
        <v/>
      </c>
      <c r="S77" s="161"/>
      <c r="T77" s="55"/>
      <c r="U77" s="55"/>
      <c r="V77" s="55"/>
      <c r="W77" s="155" t="str">
        <f t="shared" si="7"/>
        <v/>
      </c>
      <c r="X77" s="171" t="str">
        <f t="shared" si="11"/>
        <v/>
      </c>
      <c r="Y77" s="165"/>
      <c r="Z77" s="10"/>
      <c r="AA77" s="55"/>
      <c r="AB77" s="55"/>
      <c r="AC77" s="55"/>
      <c r="AD77" s="55"/>
      <c r="AE77" s="55"/>
      <c r="AF77" s="167"/>
      <c r="AG77" s="55"/>
      <c r="AH77" s="55"/>
      <c r="AI77" s="165"/>
      <c r="AJ77" s="55"/>
      <c r="AK77" s="55"/>
      <c r="AL77" s="55"/>
      <c r="AM77" s="55"/>
      <c r="AN77" s="55"/>
      <c r="AO77" s="55"/>
      <c r="AP77" s="55"/>
      <c r="AQ77" s="55"/>
      <c r="AR77" s="165"/>
      <c r="AS77" s="55"/>
      <c r="AT77" s="55"/>
      <c r="AU77" s="55"/>
      <c r="AV77" s="55"/>
      <c r="AW77" s="55"/>
      <c r="AX77" s="55"/>
      <c r="AY77" s="55"/>
      <c r="AZ77" s="55"/>
      <c r="BA77" s="165"/>
      <c r="BB77" s="55"/>
      <c r="BC77" s="55"/>
      <c r="BD77" s="55"/>
      <c r="BE77" s="165"/>
      <c r="BF77" s="55"/>
      <c r="BG77" s="10"/>
      <c r="BH77" s="55"/>
      <c r="BI77" s="55"/>
      <c r="BJ77" s="55"/>
      <c r="BK77" s="55"/>
      <c r="BS77" s="141"/>
      <c r="CM77" s="141"/>
      <c r="DC77" s="141"/>
    </row>
    <row r="78" spans="1:113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f t="shared" si="8"/>
        <v>0</v>
      </c>
      <c r="P78" s="10"/>
      <c r="Q78" s="155" t="str">
        <f t="shared" si="9"/>
        <v/>
      </c>
      <c r="R78" s="171" t="str">
        <f t="shared" si="10"/>
        <v/>
      </c>
      <c r="S78" s="161"/>
      <c r="T78" s="55"/>
      <c r="U78" s="55"/>
      <c r="V78" s="55"/>
      <c r="W78" s="155" t="str">
        <f t="shared" si="7"/>
        <v/>
      </c>
      <c r="X78" s="171" t="str">
        <f t="shared" si="11"/>
        <v/>
      </c>
      <c r="Y78" s="165"/>
      <c r="Z78" s="10"/>
      <c r="AA78" s="55"/>
      <c r="AB78" s="55"/>
      <c r="AC78" s="55"/>
      <c r="AD78" s="55"/>
      <c r="AE78" s="55"/>
      <c r="AF78" s="167"/>
      <c r="AG78" s="55"/>
      <c r="AH78" s="55"/>
      <c r="AI78" s="165"/>
      <c r="AJ78" s="55"/>
      <c r="AK78" s="55"/>
      <c r="AL78" s="55"/>
      <c r="AM78" s="55"/>
      <c r="AN78" s="55"/>
      <c r="AO78" s="55"/>
      <c r="AP78" s="55"/>
      <c r="AQ78" s="55"/>
      <c r="AR78" s="165"/>
      <c r="AS78" s="55"/>
      <c r="AT78" s="55"/>
      <c r="AU78" s="55"/>
      <c r="AV78" s="55"/>
      <c r="AW78" s="55"/>
      <c r="AX78" s="55"/>
      <c r="AY78" s="55"/>
      <c r="AZ78" s="55"/>
      <c r="BA78" s="165"/>
      <c r="BB78" s="55"/>
      <c r="BC78" s="55"/>
      <c r="BD78" s="55"/>
      <c r="BE78" s="165"/>
      <c r="BF78" s="55"/>
      <c r="BG78" s="10"/>
      <c r="BH78" s="55"/>
      <c r="BI78" s="55"/>
      <c r="BJ78" s="55"/>
      <c r="BK78" s="55"/>
      <c r="BS78" s="141"/>
      <c r="CM78" s="141"/>
      <c r="DC78" s="141"/>
    </row>
    <row r="79" spans="1:113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f t="shared" si="8"/>
        <v>0</v>
      </c>
      <c r="P79" s="10"/>
      <c r="Q79" s="155" t="str">
        <f t="shared" si="9"/>
        <v/>
      </c>
      <c r="R79" s="171" t="str">
        <f t="shared" si="10"/>
        <v/>
      </c>
      <c r="S79" s="161"/>
      <c r="T79" s="55"/>
      <c r="U79" s="55"/>
      <c r="V79" s="55"/>
      <c r="W79" s="155" t="str">
        <f t="shared" si="7"/>
        <v/>
      </c>
      <c r="X79" s="171" t="str">
        <f t="shared" si="11"/>
        <v/>
      </c>
      <c r="Y79" s="165"/>
      <c r="Z79" s="10"/>
      <c r="AA79" s="55"/>
      <c r="AB79" s="55"/>
      <c r="AC79" s="55"/>
      <c r="AD79" s="55"/>
      <c r="AE79" s="55"/>
      <c r="AF79" s="167"/>
      <c r="AG79" s="55"/>
      <c r="AH79" s="55"/>
      <c r="AI79" s="165"/>
      <c r="AJ79" s="55"/>
      <c r="AK79" s="55"/>
      <c r="AL79" s="55"/>
      <c r="AM79" s="55"/>
      <c r="AN79" s="55"/>
      <c r="AO79" s="55"/>
      <c r="AP79" s="55"/>
      <c r="AQ79" s="55"/>
      <c r="AR79" s="165"/>
      <c r="AS79" s="55"/>
      <c r="AT79" s="55"/>
      <c r="AU79" s="55"/>
      <c r="AV79" s="55"/>
      <c r="AW79" s="55"/>
      <c r="AX79" s="55"/>
      <c r="AY79" s="55"/>
      <c r="AZ79" s="55"/>
      <c r="BA79" s="165"/>
      <c r="BB79" s="55"/>
      <c r="BC79" s="55"/>
      <c r="BD79" s="55"/>
      <c r="BE79" s="165"/>
      <c r="BF79" s="55"/>
      <c r="BG79" s="10"/>
      <c r="BH79" s="55"/>
      <c r="BI79" s="55"/>
      <c r="BJ79" s="55"/>
      <c r="BK79" s="55"/>
      <c r="BS79" s="141"/>
      <c r="CM79" s="141"/>
      <c r="DC79" s="141"/>
    </row>
    <row r="80" spans="1:113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f t="shared" si="8"/>
        <v>0</v>
      </c>
      <c r="P80" s="10"/>
      <c r="Q80" s="155" t="str">
        <f t="shared" si="9"/>
        <v/>
      </c>
      <c r="R80" s="171" t="str">
        <f t="shared" si="10"/>
        <v/>
      </c>
      <c r="S80" s="161"/>
      <c r="T80" s="55"/>
      <c r="U80" s="55"/>
      <c r="V80" s="55"/>
      <c r="W80" s="155" t="str">
        <f t="shared" si="7"/>
        <v/>
      </c>
      <c r="X80" s="171" t="str">
        <f t="shared" si="11"/>
        <v/>
      </c>
      <c r="Y80" s="165"/>
      <c r="Z80" s="10"/>
      <c r="AA80" s="55"/>
      <c r="AB80" s="55"/>
      <c r="AC80" s="55"/>
      <c r="AD80" s="55"/>
      <c r="AE80" s="55"/>
      <c r="AF80" s="167"/>
      <c r="AG80" s="55"/>
      <c r="AH80" s="55"/>
      <c r="AI80" s="165"/>
      <c r="AJ80" s="55"/>
      <c r="AK80" s="55"/>
      <c r="AL80" s="55"/>
      <c r="AM80" s="55"/>
      <c r="AN80" s="55"/>
      <c r="AO80" s="55"/>
      <c r="AP80" s="55"/>
      <c r="AQ80" s="55"/>
      <c r="AR80" s="165"/>
      <c r="AS80" s="55"/>
      <c r="AT80" s="55"/>
      <c r="AU80" s="55"/>
      <c r="AV80" s="55"/>
      <c r="AW80" s="55"/>
      <c r="AX80" s="55"/>
      <c r="AY80" s="55"/>
      <c r="AZ80" s="55"/>
      <c r="BA80" s="165"/>
      <c r="BB80" s="55"/>
      <c r="BC80" s="55"/>
      <c r="BD80" s="55"/>
      <c r="BE80" s="165"/>
      <c r="BF80" s="55"/>
      <c r="BG80" s="10"/>
      <c r="BH80" s="55"/>
      <c r="BI80" s="55"/>
      <c r="BJ80" s="55"/>
      <c r="BK80" s="55"/>
      <c r="BS80" s="141"/>
      <c r="CM80" s="141"/>
      <c r="DC80" s="141"/>
    </row>
    <row r="81" spans="1:110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f t="shared" si="8"/>
        <v>0</v>
      </c>
      <c r="P81" s="10"/>
      <c r="Q81" s="155" t="str">
        <f t="shared" si="9"/>
        <v/>
      </c>
      <c r="R81" s="171" t="str">
        <f t="shared" si="10"/>
        <v/>
      </c>
      <c r="S81" s="161"/>
      <c r="T81" s="55"/>
      <c r="U81" s="55"/>
      <c r="V81" s="55"/>
      <c r="W81" s="155" t="str">
        <f t="shared" si="7"/>
        <v/>
      </c>
      <c r="X81" s="171" t="str">
        <f t="shared" si="11"/>
        <v/>
      </c>
      <c r="Y81" s="165"/>
      <c r="Z81" s="10"/>
      <c r="AA81" s="55"/>
      <c r="AB81" s="55"/>
      <c r="AC81" s="55"/>
      <c r="AD81" s="55"/>
      <c r="AE81" s="55"/>
      <c r="AF81" s="167"/>
      <c r="AG81" s="55"/>
      <c r="AH81" s="55"/>
      <c r="AI81" s="165"/>
      <c r="AJ81" s="55"/>
      <c r="AK81" s="55"/>
      <c r="AL81" s="55"/>
      <c r="AM81" s="55"/>
      <c r="AN81" s="55"/>
      <c r="AO81" s="55"/>
      <c r="AP81" s="55"/>
      <c r="AQ81" s="55"/>
      <c r="AR81" s="165"/>
      <c r="AS81" s="55"/>
      <c r="AT81" s="55"/>
      <c r="AU81" s="55"/>
      <c r="AV81" s="55"/>
      <c r="AW81" s="55"/>
      <c r="AX81" s="55"/>
      <c r="AY81" s="55"/>
      <c r="AZ81" s="55"/>
      <c r="BA81" s="165"/>
      <c r="BB81" s="55"/>
      <c r="BC81" s="55"/>
      <c r="BD81" s="55"/>
      <c r="BE81" s="165"/>
      <c r="BF81" s="55"/>
      <c r="BG81" s="10"/>
      <c r="BH81" s="55"/>
      <c r="BI81" s="55"/>
      <c r="BJ81" s="55"/>
      <c r="BK81" s="55"/>
      <c r="BS81" s="141"/>
      <c r="CM81" s="141"/>
      <c r="DC81" s="141"/>
    </row>
    <row r="82" spans="1:110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f t="shared" si="8"/>
        <v>0</v>
      </c>
      <c r="P82" s="10"/>
      <c r="Q82" s="155" t="str">
        <f t="shared" si="9"/>
        <v/>
      </c>
      <c r="R82" s="171" t="str">
        <f t="shared" si="10"/>
        <v/>
      </c>
      <c r="S82" s="161"/>
      <c r="T82" s="55"/>
      <c r="U82" s="55"/>
      <c r="V82" s="55"/>
      <c r="W82" s="155" t="str">
        <f t="shared" si="7"/>
        <v/>
      </c>
      <c r="X82" s="171" t="str">
        <f t="shared" si="11"/>
        <v/>
      </c>
      <c r="Y82" s="165"/>
      <c r="Z82" s="10"/>
      <c r="AA82" s="55"/>
      <c r="AB82" s="55"/>
      <c r="AC82" s="55"/>
      <c r="AD82" s="55"/>
      <c r="AE82" s="55"/>
      <c r="AF82" s="167"/>
      <c r="AG82" s="55"/>
      <c r="AH82" s="55"/>
      <c r="AI82" s="165"/>
      <c r="AJ82" s="55"/>
      <c r="AK82" s="55"/>
      <c r="AL82" s="55"/>
      <c r="AM82" s="55"/>
      <c r="AN82" s="55"/>
      <c r="AO82" s="55"/>
      <c r="AP82" s="55"/>
      <c r="AQ82" s="55"/>
      <c r="AR82" s="165"/>
      <c r="AS82" s="55"/>
      <c r="AT82" s="55"/>
      <c r="AU82" s="55"/>
      <c r="AV82" s="55"/>
      <c r="AW82" s="55"/>
      <c r="AX82" s="55"/>
      <c r="AY82" s="55"/>
      <c r="AZ82" s="55"/>
      <c r="BA82" s="165"/>
      <c r="BB82" s="55"/>
      <c r="BC82" s="55"/>
      <c r="BD82" s="55"/>
      <c r="BE82" s="165"/>
      <c r="BF82" s="55"/>
      <c r="BG82" s="10"/>
      <c r="BH82" s="55"/>
      <c r="BI82" s="55"/>
      <c r="BJ82" s="55"/>
      <c r="BK82" s="55"/>
      <c r="BS82" s="141"/>
      <c r="CM82" s="141"/>
      <c r="DC82" s="141"/>
    </row>
    <row r="83" spans="1:110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f t="shared" si="8"/>
        <v>0</v>
      </c>
      <c r="P83" s="10"/>
      <c r="Q83" s="155" t="str">
        <f t="shared" si="9"/>
        <v/>
      </c>
      <c r="R83" s="171" t="str">
        <f t="shared" si="10"/>
        <v/>
      </c>
      <c r="S83" s="161"/>
      <c r="T83" s="55"/>
      <c r="U83" s="55"/>
      <c r="V83" s="55"/>
      <c r="W83" s="155" t="str">
        <f t="shared" si="7"/>
        <v/>
      </c>
      <c r="X83" s="171" t="str">
        <f t="shared" si="11"/>
        <v/>
      </c>
      <c r="Y83" s="165"/>
      <c r="Z83" s="10"/>
      <c r="AA83" s="55"/>
      <c r="AB83" s="55"/>
      <c r="AC83" s="55"/>
      <c r="AD83" s="55"/>
      <c r="AE83" s="55"/>
      <c r="AF83" s="167"/>
      <c r="AG83" s="55"/>
      <c r="AH83" s="55"/>
      <c r="AI83" s="165"/>
      <c r="AJ83" s="55"/>
      <c r="AK83" s="55"/>
      <c r="AL83" s="55"/>
      <c r="AM83" s="55"/>
      <c r="AN83" s="55"/>
      <c r="AO83" s="55"/>
      <c r="AP83" s="55"/>
      <c r="AQ83" s="55"/>
      <c r="AR83" s="165"/>
      <c r="AS83" s="55"/>
      <c r="AT83" s="55"/>
      <c r="AU83" s="55"/>
      <c r="AV83" s="55"/>
      <c r="AW83" s="55"/>
      <c r="AX83" s="55"/>
      <c r="AY83" s="55"/>
      <c r="AZ83" s="55"/>
      <c r="BA83" s="165"/>
      <c r="BB83" s="55"/>
      <c r="BC83" s="55"/>
      <c r="BD83" s="55"/>
      <c r="BE83" s="165"/>
      <c r="BF83" s="55"/>
      <c r="BG83" s="10"/>
      <c r="BH83" s="55"/>
      <c r="BI83" s="55"/>
      <c r="BJ83" s="55"/>
      <c r="BK83" s="55"/>
      <c r="BS83" s="141"/>
      <c r="CM83" s="141"/>
      <c r="DC83" s="141"/>
    </row>
    <row r="84" spans="1:110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f t="shared" si="8"/>
        <v>0</v>
      </c>
      <c r="P84" s="10"/>
      <c r="Q84" s="155" t="str">
        <f t="shared" si="9"/>
        <v/>
      </c>
      <c r="R84" s="171" t="str">
        <f t="shared" si="10"/>
        <v/>
      </c>
      <c r="S84" s="161"/>
      <c r="T84" s="55"/>
      <c r="U84" s="55"/>
      <c r="V84" s="55"/>
      <c r="W84" s="155" t="str">
        <f t="shared" si="7"/>
        <v/>
      </c>
      <c r="X84" s="171" t="str">
        <f t="shared" si="11"/>
        <v/>
      </c>
      <c r="Y84" s="165"/>
      <c r="Z84" s="10"/>
      <c r="AA84" s="55"/>
      <c r="AB84" s="55"/>
      <c r="AC84" s="55"/>
      <c r="AD84" s="55"/>
      <c r="AE84" s="55"/>
      <c r="AF84" s="167"/>
      <c r="AG84" s="55"/>
      <c r="AH84" s="55"/>
      <c r="AI84" s="165"/>
      <c r="AJ84" s="55"/>
      <c r="AK84" s="55"/>
      <c r="AL84" s="55"/>
      <c r="AM84" s="55"/>
      <c r="AN84" s="55"/>
      <c r="AO84" s="55"/>
      <c r="AP84" s="55"/>
      <c r="AQ84" s="55"/>
      <c r="AR84" s="165"/>
      <c r="AS84" s="55"/>
      <c r="AT84" s="55"/>
      <c r="AU84" s="55"/>
      <c r="AV84" s="55"/>
      <c r="AW84" s="55"/>
      <c r="AX84" s="55"/>
      <c r="AY84" s="55"/>
      <c r="AZ84" s="55"/>
      <c r="BA84" s="165"/>
      <c r="BB84" s="55"/>
      <c r="BC84" s="55"/>
      <c r="BD84" s="55"/>
      <c r="BE84" s="165"/>
      <c r="BF84" s="55"/>
      <c r="BG84" s="10"/>
      <c r="BH84" s="55"/>
      <c r="BI84" s="55"/>
      <c r="BJ84" s="55"/>
      <c r="BK84" s="55"/>
      <c r="BS84" s="141"/>
      <c r="CM84" s="141"/>
      <c r="DC84" s="141"/>
    </row>
    <row r="85" spans="1:110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821</v>
      </c>
      <c r="H85" s="56">
        <v>1</v>
      </c>
      <c r="I85" s="56"/>
      <c r="J85" s="56"/>
      <c r="K85" s="56"/>
      <c r="L85" s="160">
        <v>360</v>
      </c>
      <c r="M85" s="17"/>
      <c r="N85" s="56" t="s">
        <v>1328</v>
      </c>
      <c r="O85" s="56">
        <f t="shared" si="8"/>
        <v>0</v>
      </c>
      <c r="P85" s="17">
        <v>0</v>
      </c>
      <c r="Q85" s="156" t="str">
        <f t="shared" si="9"/>
        <v/>
      </c>
      <c r="R85" s="172" t="str">
        <f t="shared" si="10"/>
        <v/>
      </c>
      <c r="S85" s="164" t="s">
        <v>989</v>
      </c>
      <c r="T85" s="56">
        <v>100</v>
      </c>
      <c r="U85" s="56" t="s">
        <v>993</v>
      </c>
      <c r="V85" s="56" t="s">
        <v>994</v>
      </c>
      <c r="W85" s="156">
        <f>IF((1-(1-T85/100000)^L85)=0,"",1-(1-T85/100000)^L85)</f>
        <v>0.30244932813489689</v>
      </c>
      <c r="X85" s="172">
        <f>IF((T85/100000)*L85=0,"",(T85/100000)*L85)</f>
        <v>0.36</v>
      </c>
      <c r="Y85" s="166"/>
      <c r="Z85" s="17"/>
      <c r="AA85" s="56"/>
      <c r="AB85" s="56"/>
      <c r="AC85" s="56"/>
      <c r="AD85" s="56"/>
      <c r="AE85" s="56"/>
      <c r="AF85" s="169"/>
      <c r="AG85" s="150">
        <v>90</v>
      </c>
      <c r="AH85" s="150">
        <v>90</v>
      </c>
      <c r="AI85" s="166"/>
      <c r="AJ85" s="56"/>
      <c r="AK85" s="56"/>
      <c r="AL85" s="56"/>
      <c r="AM85" s="56"/>
      <c r="AN85" s="56"/>
      <c r="AO85" s="56"/>
      <c r="AP85" s="56"/>
      <c r="AQ85" s="56"/>
      <c r="AR85" s="166"/>
      <c r="AS85" s="56"/>
      <c r="AT85" s="56"/>
      <c r="AU85" s="56"/>
      <c r="AV85" s="56"/>
      <c r="AW85" s="56"/>
      <c r="AX85" s="56"/>
      <c r="AY85" s="56"/>
      <c r="AZ85" s="56"/>
      <c r="BA85" s="166"/>
      <c r="BB85" s="56"/>
      <c r="BC85" s="56"/>
      <c r="BD85" s="56"/>
      <c r="BE85" s="166"/>
      <c r="BF85" s="56"/>
      <c r="BG85" s="17"/>
      <c r="BH85" s="56"/>
      <c r="BI85" s="150">
        <v>150</v>
      </c>
      <c r="BJ85" s="150">
        <v>150</v>
      </c>
      <c r="BK85" s="56"/>
      <c r="BR85" s="150">
        <v>250</v>
      </c>
      <c r="BS85" s="140"/>
      <c r="CM85" s="140"/>
      <c r="DC85" s="140"/>
      <c r="DE85" s="151">
        <v>90</v>
      </c>
      <c r="DF85" s="151">
        <v>80</v>
      </c>
    </row>
    <row r="86" spans="1:110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822</v>
      </c>
      <c r="H86" s="55">
        <v>3</v>
      </c>
      <c r="L86" s="158">
        <v>360</v>
      </c>
      <c r="N86" s="55" t="s">
        <v>1329</v>
      </c>
      <c r="O86" s="55">
        <f t="shared" si="8"/>
        <v>0</v>
      </c>
      <c r="P86" s="10">
        <v>0</v>
      </c>
      <c r="Q86" s="155" t="str">
        <f t="shared" si="9"/>
        <v/>
      </c>
      <c r="R86" s="171" t="str">
        <f t="shared" si="10"/>
        <v/>
      </c>
      <c r="S86" s="95" t="s">
        <v>990</v>
      </c>
      <c r="T86" s="55">
        <v>200</v>
      </c>
      <c r="U86" s="55" t="s">
        <v>993</v>
      </c>
      <c r="V86" s="55" t="s">
        <v>995</v>
      </c>
      <c r="W86" s="155">
        <f t="shared" ref="W86:W149" si="12">IF((1-(1-T86/100000)^L86)=0,"",1-(1-T86/100000)^L86)</f>
        <v>0.51359854717556819</v>
      </c>
      <c r="X86" s="171">
        <f t="shared" ref="X86:X149" si="13">IF((T86/100000)*L86=0,"",(T86/100000)*L86)</f>
        <v>0.72</v>
      </c>
      <c r="AG86" s="149">
        <v>80</v>
      </c>
      <c r="AH86" s="149">
        <v>80</v>
      </c>
      <c r="BI86" s="149">
        <v>180</v>
      </c>
      <c r="BJ86" s="149">
        <v>180</v>
      </c>
      <c r="BL86" s="105"/>
      <c r="BR86" s="149">
        <v>280</v>
      </c>
      <c r="DE86" s="152">
        <v>70</v>
      </c>
      <c r="DF86" s="152">
        <v>60</v>
      </c>
    </row>
    <row r="87" spans="1:110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823</v>
      </c>
      <c r="H87" s="55">
        <v>5</v>
      </c>
      <c r="L87" s="158">
        <v>360</v>
      </c>
      <c r="N87" s="55" t="s">
        <v>1330</v>
      </c>
      <c r="O87" s="55">
        <f t="shared" si="8"/>
        <v>0</v>
      </c>
      <c r="P87" s="10">
        <v>0</v>
      </c>
      <c r="Q87" s="155" t="str">
        <f t="shared" si="9"/>
        <v/>
      </c>
      <c r="R87" s="171" t="str">
        <f t="shared" si="10"/>
        <v/>
      </c>
      <c r="S87" s="95" t="s">
        <v>990</v>
      </c>
      <c r="T87" s="55">
        <v>300</v>
      </c>
      <c r="U87" s="55" t="s">
        <v>993</v>
      </c>
      <c r="V87" s="55" t="s">
        <v>996</v>
      </c>
      <c r="W87" s="155">
        <f t="shared" si="12"/>
        <v>0.66095527471417181</v>
      </c>
      <c r="X87" s="171">
        <f t="shared" si="13"/>
        <v>1.08</v>
      </c>
      <c r="AG87" s="149">
        <v>70</v>
      </c>
      <c r="AH87" s="149">
        <v>70</v>
      </c>
      <c r="BI87" s="149">
        <v>260</v>
      </c>
      <c r="BJ87" s="149">
        <v>260</v>
      </c>
      <c r="BL87" s="105"/>
      <c r="BR87" s="149">
        <v>360</v>
      </c>
      <c r="DE87" s="152">
        <v>60</v>
      </c>
      <c r="DF87" s="152">
        <v>50</v>
      </c>
    </row>
    <row r="88" spans="1:110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866</v>
      </c>
      <c r="H88" s="55">
        <v>1</v>
      </c>
      <c r="L88" s="158">
        <v>360</v>
      </c>
      <c r="N88" s="55" t="s">
        <v>1331</v>
      </c>
      <c r="O88" s="55">
        <f t="shared" si="8"/>
        <v>0</v>
      </c>
      <c r="P88" s="10">
        <v>0</v>
      </c>
      <c r="Q88" s="155" t="str">
        <f t="shared" si="9"/>
        <v/>
      </c>
      <c r="R88" s="171" t="str">
        <f t="shared" si="10"/>
        <v/>
      </c>
      <c r="S88" s="95" t="s">
        <v>990</v>
      </c>
      <c r="T88" s="55">
        <v>100</v>
      </c>
      <c r="W88" s="155">
        <f t="shared" si="12"/>
        <v>0.30244932813489689</v>
      </c>
      <c r="X88" s="171">
        <f t="shared" si="13"/>
        <v>0.36</v>
      </c>
      <c r="AG88" s="149">
        <v>90</v>
      </c>
      <c r="AH88" s="149">
        <v>90</v>
      </c>
      <c r="BD88" s="55">
        <v>80</v>
      </c>
      <c r="BI88" s="149">
        <v>150</v>
      </c>
      <c r="BJ88" s="149">
        <v>150</v>
      </c>
      <c r="BR88" s="149">
        <v>250</v>
      </c>
    </row>
    <row r="89" spans="1:110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867</v>
      </c>
      <c r="H89" s="55">
        <v>3</v>
      </c>
      <c r="L89" s="158">
        <v>360</v>
      </c>
      <c r="N89" s="55" t="s">
        <v>1332</v>
      </c>
      <c r="O89" s="55">
        <f t="shared" si="8"/>
        <v>0</v>
      </c>
      <c r="P89" s="10">
        <v>0</v>
      </c>
      <c r="Q89" s="155" t="str">
        <f t="shared" si="9"/>
        <v/>
      </c>
      <c r="R89" s="171" t="str">
        <f t="shared" si="10"/>
        <v/>
      </c>
      <c r="S89" s="95" t="s">
        <v>990</v>
      </c>
      <c r="T89" s="55">
        <v>200</v>
      </c>
      <c r="W89" s="155">
        <f t="shared" si="12"/>
        <v>0.51359854717556819</v>
      </c>
      <c r="X89" s="171">
        <f t="shared" si="13"/>
        <v>0.72</v>
      </c>
      <c r="AG89" s="149">
        <v>80</v>
      </c>
      <c r="AH89" s="149">
        <v>80</v>
      </c>
      <c r="BD89" s="55">
        <v>70</v>
      </c>
      <c r="BI89" s="149">
        <v>180</v>
      </c>
      <c r="BJ89" s="149">
        <v>180</v>
      </c>
      <c r="BR89" s="149">
        <v>280</v>
      </c>
    </row>
    <row r="90" spans="1:110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868</v>
      </c>
      <c r="H90" s="55">
        <v>5</v>
      </c>
      <c r="L90" s="158">
        <v>360</v>
      </c>
      <c r="N90" s="55" t="s">
        <v>1333</v>
      </c>
      <c r="O90" s="55">
        <f t="shared" si="8"/>
        <v>0</v>
      </c>
      <c r="P90" s="10">
        <v>0</v>
      </c>
      <c r="Q90" s="155" t="str">
        <f t="shared" si="9"/>
        <v/>
      </c>
      <c r="R90" s="171" t="str">
        <f t="shared" si="10"/>
        <v/>
      </c>
      <c r="S90" s="95" t="s">
        <v>990</v>
      </c>
      <c r="T90" s="55">
        <v>300</v>
      </c>
      <c r="W90" s="155">
        <f t="shared" si="12"/>
        <v>0.66095527471417181</v>
      </c>
      <c r="X90" s="171">
        <f t="shared" si="13"/>
        <v>1.08</v>
      </c>
      <c r="AG90" s="149">
        <v>70</v>
      </c>
      <c r="AH90" s="149">
        <v>70</v>
      </c>
      <c r="BD90" s="55">
        <v>60</v>
      </c>
      <c r="BI90" s="149">
        <v>260</v>
      </c>
      <c r="BJ90" s="149">
        <v>260</v>
      </c>
      <c r="BR90" s="149">
        <v>360</v>
      </c>
    </row>
    <row r="91" spans="1:110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si="8"/>
        <v>0</v>
      </c>
      <c r="Q91" s="155" t="str">
        <f t="shared" si="9"/>
        <v/>
      </c>
      <c r="R91" s="171" t="str">
        <f t="shared" si="10"/>
        <v/>
      </c>
      <c r="W91" s="155" t="str">
        <f t="shared" si="12"/>
        <v/>
      </c>
      <c r="X91" s="171" t="str">
        <f t="shared" si="13"/>
        <v/>
      </c>
    </row>
    <row r="92" spans="1:110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8"/>
        <v>0</v>
      </c>
      <c r="Q92" s="155" t="str">
        <f t="shared" si="9"/>
        <v/>
      </c>
      <c r="R92" s="171" t="str">
        <f t="shared" si="10"/>
        <v/>
      </c>
      <c r="W92" s="155" t="str">
        <f t="shared" si="12"/>
        <v/>
      </c>
      <c r="X92" s="171" t="str">
        <f t="shared" si="13"/>
        <v/>
      </c>
    </row>
    <row r="93" spans="1:110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8"/>
        <v>0</v>
      </c>
      <c r="Q93" s="155" t="str">
        <f t="shared" si="9"/>
        <v/>
      </c>
      <c r="R93" s="171" t="str">
        <f t="shared" si="10"/>
        <v/>
      </c>
      <c r="W93" s="155" t="str">
        <f t="shared" si="12"/>
        <v/>
      </c>
      <c r="X93" s="171" t="str">
        <f t="shared" si="13"/>
        <v/>
      </c>
    </row>
    <row r="94" spans="1:110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8"/>
        <v>0</v>
      </c>
      <c r="Q94" s="155" t="str">
        <f t="shared" si="9"/>
        <v/>
      </c>
      <c r="R94" s="171" t="str">
        <f t="shared" si="10"/>
        <v/>
      </c>
      <c r="W94" s="155" t="str">
        <f t="shared" si="12"/>
        <v/>
      </c>
      <c r="X94" s="171" t="str">
        <f t="shared" si="13"/>
        <v/>
      </c>
    </row>
    <row r="95" spans="1:110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8"/>
        <v>0</v>
      </c>
      <c r="P95" s="10"/>
      <c r="Q95" s="155" t="str">
        <f t="shared" si="9"/>
        <v/>
      </c>
      <c r="R95" s="171" t="str">
        <f t="shared" si="10"/>
        <v/>
      </c>
      <c r="S95" s="161"/>
      <c r="T95" s="55"/>
      <c r="U95" s="55"/>
      <c r="V95" s="55"/>
      <c r="W95" s="155" t="str">
        <f t="shared" si="12"/>
        <v/>
      </c>
      <c r="X95" s="171" t="str">
        <f t="shared" si="13"/>
        <v/>
      </c>
      <c r="Y95" s="165"/>
      <c r="Z95" s="10"/>
      <c r="AA95" s="55"/>
      <c r="AB95" s="55"/>
      <c r="AC95" s="55"/>
      <c r="AD95" s="55"/>
      <c r="AE95" s="55"/>
      <c r="AF95" s="167"/>
      <c r="AG95" s="55"/>
      <c r="AH95" s="55"/>
      <c r="AI95" s="165"/>
      <c r="AJ95" s="55"/>
      <c r="AK95" s="55"/>
      <c r="AL95" s="55"/>
      <c r="AM95" s="55"/>
      <c r="AN95" s="55"/>
      <c r="AO95" s="55"/>
      <c r="AP95" s="55"/>
      <c r="AQ95" s="55"/>
      <c r="AR95" s="165"/>
      <c r="AS95" s="55"/>
      <c r="AT95" s="55"/>
      <c r="AU95" s="55"/>
      <c r="AV95" s="55"/>
      <c r="AW95" s="55"/>
      <c r="AX95" s="55"/>
      <c r="AY95" s="55"/>
      <c r="AZ95" s="55"/>
      <c r="BA95" s="165"/>
      <c r="BB95" s="55"/>
      <c r="BC95" s="55"/>
      <c r="BD95" s="55"/>
      <c r="BE95" s="165"/>
      <c r="BF95" s="55"/>
      <c r="BG95" s="10"/>
      <c r="BH95" s="55"/>
      <c r="BI95" s="55"/>
      <c r="BJ95" s="55"/>
      <c r="BK95" s="55"/>
      <c r="BS95" s="141"/>
      <c r="CM95" s="141"/>
      <c r="DC95" s="141"/>
    </row>
    <row r="96" spans="1:110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8"/>
        <v>0</v>
      </c>
      <c r="P96" s="10"/>
      <c r="Q96" s="155" t="str">
        <f t="shared" si="9"/>
        <v/>
      </c>
      <c r="R96" s="171" t="str">
        <f t="shared" si="10"/>
        <v/>
      </c>
      <c r="S96" s="161"/>
      <c r="T96" s="55"/>
      <c r="U96" s="55"/>
      <c r="V96" s="55"/>
      <c r="W96" s="155" t="str">
        <f t="shared" si="12"/>
        <v/>
      </c>
      <c r="X96" s="171" t="str">
        <f t="shared" si="13"/>
        <v/>
      </c>
      <c r="Y96" s="165"/>
      <c r="Z96" s="10"/>
      <c r="AA96" s="55"/>
      <c r="AB96" s="55"/>
      <c r="AC96" s="55"/>
      <c r="AD96" s="55"/>
      <c r="AE96" s="55"/>
      <c r="AF96" s="167"/>
      <c r="AG96" s="55"/>
      <c r="AH96" s="55"/>
      <c r="AI96" s="165"/>
      <c r="AJ96" s="55"/>
      <c r="AK96" s="55"/>
      <c r="AL96" s="55"/>
      <c r="AM96" s="55"/>
      <c r="AN96" s="55"/>
      <c r="AO96" s="55"/>
      <c r="AP96" s="55"/>
      <c r="AQ96" s="55"/>
      <c r="AR96" s="165"/>
      <c r="AS96" s="55"/>
      <c r="AT96" s="55"/>
      <c r="AU96" s="55"/>
      <c r="AV96" s="55"/>
      <c r="AW96" s="55"/>
      <c r="AX96" s="55"/>
      <c r="AY96" s="55"/>
      <c r="AZ96" s="55"/>
      <c r="BA96" s="165"/>
      <c r="BB96" s="55"/>
      <c r="BC96" s="55"/>
      <c r="BD96" s="55"/>
      <c r="BE96" s="165"/>
      <c r="BF96" s="55"/>
      <c r="BG96" s="10"/>
      <c r="BH96" s="55"/>
      <c r="BI96" s="55"/>
      <c r="BJ96" s="55"/>
      <c r="BK96" s="55"/>
      <c r="BS96" s="141"/>
      <c r="CM96" s="141"/>
      <c r="DC96" s="141"/>
    </row>
    <row r="97" spans="1:107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8"/>
        <v>0</v>
      </c>
      <c r="P97" s="10"/>
      <c r="Q97" s="155" t="str">
        <f t="shared" si="9"/>
        <v/>
      </c>
      <c r="R97" s="171" t="str">
        <f t="shared" si="10"/>
        <v/>
      </c>
      <c r="S97" s="161"/>
      <c r="T97" s="55"/>
      <c r="U97" s="55"/>
      <c r="V97" s="55"/>
      <c r="W97" s="155" t="str">
        <f t="shared" si="12"/>
        <v/>
      </c>
      <c r="X97" s="171" t="str">
        <f t="shared" si="13"/>
        <v/>
      </c>
      <c r="Y97" s="165"/>
      <c r="Z97" s="10"/>
      <c r="AA97" s="55"/>
      <c r="AB97" s="55"/>
      <c r="AC97" s="55"/>
      <c r="AD97" s="55"/>
      <c r="AE97" s="55"/>
      <c r="AF97" s="167"/>
      <c r="AG97" s="55"/>
      <c r="AH97" s="55"/>
      <c r="AI97" s="165"/>
      <c r="AJ97" s="55"/>
      <c r="AK97" s="55"/>
      <c r="AL97" s="55"/>
      <c r="AM97" s="55"/>
      <c r="AN97" s="55"/>
      <c r="AO97" s="55"/>
      <c r="AP97" s="55"/>
      <c r="AQ97" s="55"/>
      <c r="AR97" s="165"/>
      <c r="AS97" s="55"/>
      <c r="AT97" s="55"/>
      <c r="AU97" s="55"/>
      <c r="AV97" s="55"/>
      <c r="AW97" s="55"/>
      <c r="AX97" s="55"/>
      <c r="AY97" s="55"/>
      <c r="AZ97" s="55"/>
      <c r="BA97" s="165"/>
      <c r="BB97" s="55"/>
      <c r="BC97" s="55"/>
      <c r="BD97" s="55"/>
      <c r="BE97" s="165"/>
      <c r="BF97" s="55"/>
      <c r="BG97" s="10"/>
      <c r="BH97" s="55"/>
      <c r="BI97" s="55"/>
      <c r="BJ97" s="55"/>
      <c r="BK97" s="55"/>
      <c r="BS97" s="141"/>
      <c r="CM97" s="141"/>
      <c r="DC97" s="141"/>
    </row>
    <row r="98" spans="1:107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8"/>
        <v>0</v>
      </c>
      <c r="P98" s="10"/>
      <c r="Q98" s="155" t="str">
        <f t="shared" si="9"/>
        <v/>
      </c>
      <c r="R98" s="171" t="str">
        <f t="shared" si="10"/>
        <v/>
      </c>
      <c r="S98" s="161"/>
      <c r="T98" s="55"/>
      <c r="U98" s="55"/>
      <c r="V98" s="55"/>
      <c r="W98" s="155" t="str">
        <f t="shared" si="12"/>
        <v/>
      </c>
      <c r="X98" s="171" t="str">
        <f t="shared" si="13"/>
        <v/>
      </c>
      <c r="Y98" s="165"/>
      <c r="Z98" s="10"/>
      <c r="AA98" s="55"/>
      <c r="AB98" s="55"/>
      <c r="AC98" s="55"/>
      <c r="AD98" s="55"/>
      <c r="AE98" s="55"/>
      <c r="AF98" s="167"/>
      <c r="AG98" s="55"/>
      <c r="AH98" s="55"/>
      <c r="AI98" s="165"/>
      <c r="AJ98" s="55"/>
      <c r="AK98" s="55"/>
      <c r="AL98" s="55"/>
      <c r="AM98" s="55"/>
      <c r="AN98" s="55"/>
      <c r="AO98" s="55"/>
      <c r="AP98" s="55"/>
      <c r="AQ98" s="55"/>
      <c r="AR98" s="165"/>
      <c r="AS98" s="55"/>
      <c r="AT98" s="55"/>
      <c r="AU98" s="55"/>
      <c r="AV98" s="55"/>
      <c r="AW98" s="55"/>
      <c r="AX98" s="55"/>
      <c r="AY98" s="55"/>
      <c r="AZ98" s="55"/>
      <c r="BA98" s="165"/>
      <c r="BB98" s="55"/>
      <c r="BC98" s="55"/>
      <c r="BD98" s="55"/>
      <c r="BE98" s="165"/>
      <c r="BF98" s="55"/>
      <c r="BG98" s="10"/>
      <c r="BH98" s="55"/>
      <c r="BI98" s="55"/>
      <c r="BJ98" s="55"/>
      <c r="BK98" s="55"/>
      <c r="BS98" s="141"/>
      <c r="CM98" s="141"/>
      <c r="DC98" s="141"/>
    </row>
    <row r="99" spans="1:107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8"/>
        <v>0</v>
      </c>
      <c r="P99" s="10"/>
      <c r="Q99" s="155" t="str">
        <f t="shared" si="9"/>
        <v/>
      </c>
      <c r="R99" s="171" t="str">
        <f t="shared" si="10"/>
        <v/>
      </c>
      <c r="S99" s="161"/>
      <c r="T99" s="55"/>
      <c r="U99" s="55"/>
      <c r="V99" s="55"/>
      <c r="W99" s="155" t="str">
        <f t="shared" si="12"/>
        <v/>
      </c>
      <c r="X99" s="171" t="str">
        <f t="shared" si="13"/>
        <v/>
      </c>
      <c r="Y99" s="165"/>
      <c r="Z99" s="10"/>
      <c r="AA99" s="55"/>
      <c r="AB99" s="55"/>
      <c r="AC99" s="55"/>
      <c r="AD99" s="55"/>
      <c r="AE99" s="55"/>
      <c r="AF99" s="167"/>
      <c r="AG99" s="55"/>
      <c r="AH99" s="55"/>
      <c r="AI99" s="165"/>
      <c r="AJ99" s="55"/>
      <c r="AK99" s="55"/>
      <c r="AL99" s="55"/>
      <c r="AM99" s="55"/>
      <c r="AN99" s="55"/>
      <c r="AO99" s="55"/>
      <c r="AP99" s="55"/>
      <c r="AQ99" s="55"/>
      <c r="AR99" s="165"/>
      <c r="AS99" s="55"/>
      <c r="AT99" s="55"/>
      <c r="AU99" s="55"/>
      <c r="AV99" s="55"/>
      <c r="AW99" s="55"/>
      <c r="AX99" s="55"/>
      <c r="AY99" s="55"/>
      <c r="AZ99" s="55"/>
      <c r="BA99" s="165"/>
      <c r="BB99" s="55"/>
      <c r="BC99" s="55"/>
      <c r="BD99" s="55"/>
      <c r="BE99" s="165"/>
      <c r="BF99" s="55"/>
      <c r="BG99" s="10"/>
      <c r="BH99" s="55"/>
      <c r="BI99" s="55"/>
      <c r="BJ99" s="55"/>
      <c r="BK99" s="55"/>
      <c r="BS99" s="141"/>
      <c r="CM99" s="141"/>
      <c r="DC99" s="141"/>
    </row>
    <row r="100" spans="1:107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8"/>
        <v>0</v>
      </c>
      <c r="P100" s="10"/>
      <c r="Q100" s="155" t="str">
        <f t="shared" si="9"/>
        <v/>
      </c>
      <c r="R100" s="171" t="str">
        <f t="shared" si="10"/>
        <v/>
      </c>
      <c r="S100" s="161"/>
      <c r="T100" s="55"/>
      <c r="U100" s="55"/>
      <c r="V100" s="55"/>
      <c r="W100" s="155" t="str">
        <f t="shared" si="12"/>
        <v/>
      </c>
      <c r="X100" s="171" t="str">
        <f t="shared" si="13"/>
        <v/>
      </c>
      <c r="Y100" s="165"/>
      <c r="Z100" s="10"/>
      <c r="AA100" s="55"/>
      <c r="AB100" s="55"/>
      <c r="AC100" s="55"/>
      <c r="AD100" s="55"/>
      <c r="AE100" s="55"/>
      <c r="AF100" s="167"/>
      <c r="AG100" s="55"/>
      <c r="AH100" s="55"/>
      <c r="AI100" s="165"/>
      <c r="AJ100" s="55"/>
      <c r="AK100" s="55"/>
      <c r="AL100" s="55"/>
      <c r="AM100" s="55"/>
      <c r="AN100" s="55"/>
      <c r="AO100" s="55"/>
      <c r="AP100" s="55"/>
      <c r="AQ100" s="55"/>
      <c r="AR100" s="165"/>
      <c r="AS100" s="55"/>
      <c r="AT100" s="55"/>
      <c r="AU100" s="55"/>
      <c r="AV100" s="55"/>
      <c r="AW100" s="55"/>
      <c r="AX100" s="55"/>
      <c r="AY100" s="55"/>
      <c r="AZ100" s="55"/>
      <c r="BA100" s="165"/>
      <c r="BB100" s="55"/>
      <c r="BC100" s="55"/>
      <c r="BD100" s="55"/>
      <c r="BE100" s="165"/>
      <c r="BF100" s="55"/>
      <c r="BG100" s="10"/>
      <c r="BH100" s="55"/>
      <c r="BI100" s="55"/>
      <c r="BJ100" s="55"/>
      <c r="BK100" s="55"/>
      <c r="BS100" s="141"/>
      <c r="CM100" s="141"/>
      <c r="DC100" s="141"/>
    </row>
    <row r="101" spans="1:107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8"/>
        <v>0</v>
      </c>
      <c r="P101" s="10"/>
      <c r="Q101" s="155" t="str">
        <f t="shared" si="9"/>
        <v/>
      </c>
      <c r="R101" s="171" t="str">
        <f t="shared" si="10"/>
        <v/>
      </c>
      <c r="S101" s="161"/>
      <c r="T101" s="55"/>
      <c r="U101" s="55"/>
      <c r="V101" s="55"/>
      <c r="W101" s="155" t="str">
        <f t="shared" si="12"/>
        <v/>
      </c>
      <c r="X101" s="171" t="str">
        <f t="shared" si="13"/>
        <v/>
      </c>
      <c r="Y101" s="165"/>
      <c r="Z101" s="10"/>
      <c r="AA101" s="55"/>
      <c r="AB101" s="55"/>
      <c r="AC101" s="55"/>
      <c r="AD101" s="55"/>
      <c r="AE101" s="55"/>
      <c r="AF101" s="167"/>
      <c r="AG101" s="55"/>
      <c r="AH101" s="55"/>
      <c r="AI101" s="165"/>
      <c r="AJ101" s="55"/>
      <c r="AK101" s="55"/>
      <c r="AL101" s="55"/>
      <c r="AM101" s="55"/>
      <c r="AN101" s="55"/>
      <c r="AO101" s="55"/>
      <c r="AP101" s="55"/>
      <c r="AQ101" s="55"/>
      <c r="AR101" s="165"/>
      <c r="AS101" s="55"/>
      <c r="AT101" s="55"/>
      <c r="AU101" s="55"/>
      <c r="AV101" s="55"/>
      <c r="AW101" s="55"/>
      <c r="AX101" s="55"/>
      <c r="AY101" s="55"/>
      <c r="AZ101" s="55"/>
      <c r="BA101" s="165"/>
      <c r="BB101" s="55"/>
      <c r="BC101" s="55"/>
      <c r="BD101" s="55"/>
      <c r="BE101" s="165"/>
      <c r="BF101" s="55"/>
      <c r="BG101" s="10"/>
      <c r="BH101" s="55"/>
      <c r="BI101" s="55"/>
      <c r="BJ101" s="55"/>
      <c r="BK101" s="55"/>
      <c r="BS101" s="141"/>
      <c r="CM101" s="141"/>
      <c r="DC101" s="141"/>
    </row>
    <row r="102" spans="1:107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8"/>
        <v>0</v>
      </c>
      <c r="P102" s="10"/>
      <c r="Q102" s="155" t="str">
        <f t="shared" si="9"/>
        <v/>
      </c>
      <c r="R102" s="171" t="str">
        <f t="shared" si="10"/>
        <v/>
      </c>
      <c r="S102" s="161"/>
      <c r="T102" s="55"/>
      <c r="U102" s="55"/>
      <c r="V102" s="55"/>
      <c r="W102" s="155" t="str">
        <f t="shared" si="12"/>
        <v/>
      </c>
      <c r="X102" s="171" t="str">
        <f t="shared" si="13"/>
        <v/>
      </c>
      <c r="Y102" s="165"/>
      <c r="Z102" s="10"/>
      <c r="AA102" s="55"/>
      <c r="AB102" s="55"/>
      <c r="AC102" s="55"/>
      <c r="AD102" s="55"/>
      <c r="AE102" s="55"/>
      <c r="AF102" s="167"/>
      <c r="AG102" s="55"/>
      <c r="AH102" s="55"/>
      <c r="AI102" s="165"/>
      <c r="AJ102" s="55"/>
      <c r="AK102" s="55"/>
      <c r="AL102" s="55"/>
      <c r="AM102" s="55"/>
      <c r="AN102" s="55"/>
      <c r="AO102" s="55"/>
      <c r="AP102" s="55"/>
      <c r="AQ102" s="55"/>
      <c r="AR102" s="165"/>
      <c r="AS102" s="55"/>
      <c r="AT102" s="55"/>
      <c r="AU102" s="55"/>
      <c r="AV102" s="55"/>
      <c r="AW102" s="55"/>
      <c r="AX102" s="55"/>
      <c r="AY102" s="55"/>
      <c r="AZ102" s="55"/>
      <c r="BA102" s="165"/>
      <c r="BB102" s="55"/>
      <c r="BC102" s="55"/>
      <c r="BD102" s="55"/>
      <c r="BE102" s="165"/>
      <c r="BF102" s="55"/>
      <c r="BG102" s="10"/>
      <c r="BH102" s="55"/>
      <c r="BI102" s="55"/>
      <c r="BJ102" s="55"/>
      <c r="BK102" s="55"/>
      <c r="BS102" s="141"/>
      <c r="CM102" s="141"/>
      <c r="DC102" s="141"/>
    </row>
    <row r="103" spans="1:107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8"/>
        <v>0</v>
      </c>
      <c r="P103" s="10"/>
      <c r="Q103" s="155" t="str">
        <f t="shared" si="9"/>
        <v/>
      </c>
      <c r="R103" s="171" t="str">
        <f t="shared" si="10"/>
        <v/>
      </c>
      <c r="S103" s="161"/>
      <c r="T103" s="55"/>
      <c r="U103" s="55"/>
      <c r="V103" s="55"/>
      <c r="W103" s="155" t="str">
        <f t="shared" si="12"/>
        <v/>
      </c>
      <c r="X103" s="171" t="str">
        <f t="shared" si="13"/>
        <v/>
      </c>
      <c r="Y103" s="165"/>
      <c r="Z103" s="10"/>
      <c r="AA103" s="55"/>
      <c r="AB103" s="55"/>
      <c r="AC103" s="55"/>
      <c r="AD103" s="55"/>
      <c r="AE103" s="55"/>
      <c r="AF103" s="167"/>
      <c r="AG103" s="55"/>
      <c r="AH103" s="55"/>
      <c r="AI103" s="165"/>
      <c r="AJ103" s="55"/>
      <c r="AK103" s="55"/>
      <c r="AL103" s="55"/>
      <c r="AM103" s="55"/>
      <c r="AN103" s="55"/>
      <c r="AO103" s="55"/>
      <c r="AP103" s="55"/>
      <c r="AQ103" s="55"/>
      <c r="AR103" s="165"/>
      <c r="AS103" s="55"/>
      <c r="AT103" s="55"/>
      <c r="AU103" s="55"/>
      <c r="AV103" s="55"/>
      <c r="AW103" s="55"/>
      <c r="AX103" s="55"/>
      <c r="AY103" s="55"/>
      <c r="AZ103" s="55"/>
      <c r="BA103" s="165"/>
      <c r="BB103" s="55"/>
      <c r="BC103" s="55"/>
      <c r="BD103" s="55"/>
      <c r="BE103" s="165"/>
      <c r="BF103" s="55"/>
      <c r="BG103" s="10"/>
      <c r="BH103" s="55"/>
      <c r="BI103" s="55"/>
      <c r="BJ103" s="55"/>
      <c r="BK103" s="55"/>
      <c r="BS103" s="141"/>
      <c r="CM103" s="141"/>
      <c r="DC103" s="141"/>
    </row>
    <row r="104" spans="1:107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8"/>
        <v>0</v>
      </c>
      <c r="P104" s="10"/>
      <c r="Q104" s="155" t="str">
        <f t="shared" si="9"/>
        <v/>
      </c>
      <c r="R104" s="171" t="str">
        <f t="shared" si="10"/>
        <v/>
      </c>
      <c r="S104" s="161"/>
      <c r="T104" s="55"/>
      <c r="U104" s="55"/>
      <c r="V104" s="55"/>
      <c r="W104" s="155" t="str">
        <f t="shared" si="12"/>
        <v/>
      </c>
      <c r="X104" s="171" t="str">
        <f t="shared" si="13"/>
        <v/>
      </c>
      <c r="Y104" s="165"/>
      <c r="Z104" s="10"/>
      <c r="AA104" s="55"/>
      <c r="AB104" s="55"/>
      <c r="AC104" s="55"/>
      <c r="AD104" s="55"/>
      <c r="AE104" s="55"/>
      <c r="AF104" s="167"/>
      <c r="AG104" s="55"/>
      <c r="AH104" s="55"/>
      <c r="AI104" s="165"/>
      <c r="AJ104" s="55"/>
      <c r="AK104" s="55"/>
      <c r="AL104" s="55"/>
      <c r="AM104" s="55"/>
      <c r="AN104" s="55"/>
      <c r="AO104" s="55"/>
      <c r="AP104" s="55"/>
      <c r="AQ104" s="55"/>
      <c r="AR104" s="165"/>
      <c r="AS104" s="55"/>
      <c r="AT104" s="55"/>
      <c r="AU104" s="55"/>
      <c r="AV104" s="55"/>
      <c r="AW104" s="55"/>
      <c r="AX104" s="55"/>
      <c r="AY104" s="55"/>
      <c r="AZ104" s="55"/>
      <c r="BA104" s="165"/>
      <c r="BB104" s="55"/>
      <c r="BC104" s="55"/>
      <c r="BD104" s="55"/>
      <c r="BE104" s="165"/>
      <c r="BF104" s="55"/>
      <c r="BG104" s="10"/>
      <c r="BH104" s="55"/>
      <c r="BI104" s="55"/>
      <c r="BJ104" s="55"/>
      <c r="BK104" s="55"/>
      <c r="BS104" s="141"/>
      <c r="CM104" s="141"/>
      <c r="DC104" s="141"/>
    </row>
    <row r="105" spans="1:107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8"/>
        <v>0</v>
      </c>
      <c r="P105" s="17"/>
      <c r="Q105" s="156" t="str">
        <f t="shared" si="9"/>
        <v/>
      </c>
      <c r="R105" s="172" t="str">
        <f t="shared" si="10"/>
        <v/>
      </c>
      <c r="S105" s="162"/>
      <c r="T105" s="56"/>
      <c r="U105" s="56"/>
      <c r="V105" s="56"/>
      <c r="W105" s="156" t="str">
        <f t="shared" si="12"/>
        <v/>
      </c>
      <c r="X105" s="172" t="str">
        <f t="shared" si="13"/>
        <v/>
      </c>
      <c r="Y105" s="166"/>
      <c r="Z105" s="17"/>
      <c r="AA105" s="56"/>
      <c r="AB105" s="56"/>
      <c r="AC105" s="56"/>
      <c r="AD105" s="56"/>
      <c r="AE105" s="56"/>
      <c r="AF105" s="169"/>
      <c r="AG105" s="56"/>
      <c r="AH105" s="56"/>
      <c r="AI105" s="166"/>
      <c r="AJ105" s="56"/>
      <c r="AK105" s="56"/>
      <c r="AL105" s="56"/>
      <c r="AM105" s="56"/>
      <c r="AN105" s="56"/>
      <c r="AO105" s="56"/>
      <c r="AP105" s="56"/>
      <c r="AQ105" s="56"/>
      <c r="AR105" s="166"/>
      <c r="AS105" s="56"/>
      <c r="AT105" s="56"/>
      <c r="AU105" s="56"/>
      <c r="AV105" s="56"/>
      <c r="AW105" s="56"/>
      <c r="AX105" s="56"/>
      <c r="AY105" s="56"/>
      <c r="AZ105" s="56"/>
      <c r="BA105" s="166"/>
      <c r="BB105" s="56"/>
      <c r="BC105" s="56"/>
      <c r="BD105" s="56"/>
      <c r="BE105" s="166"/>
      <c r="BF105" s="56"/>
      <c r="BG105" s="17"/>
      <c r="BH105" s="56"/>
      <c r="BI105" s="56"/>
      <c r="BJ105" s="56"/>
      <c r="BK105" s="56"/>
      <c r="BS105" s="140"/>
      <c r="CM105" s="140"/>
      <c r="DC105" s="140"/>
    </row>
    <row r="106" spans="1:107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8"/>
        <v>0</v>
      </c>
      <c r="Q106" s="155" t="str">
        <f t="shared" si="9"/>
        <v/>
      </c>
      <c r="R106" s="171" t="str">
        <f t="shared" si="10"/>
        <v/>
      </c>
      <c r="W106" s="155" t="str">
        <f t="shared" si="12"/>
        <v/>
      </c>
      <c r="X106" s="171" t="str">
        <f t="shared" si="13"/>
        <v/>
      </c>
      <c r="BL106" s="105"/>
    </row>
    <row r="107" spans="1:107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8"/>
        <v>0</v>
      </c>
      <c r="Q107" s="155" t="str">
        <f t="shared" si="9"/>
        <v/>
      </c>
      <c r="R107" s="171" t="str">
        <f t="shared" si="10"/>
        <v/>
      </c>
      <c r="W107" s="155" t="str">
        <f t="shared" si="12"/>
        <v/>
      </c>
      <c r="X107" s="171" t="str">
        <f t="shared" si="13"/>
        <v/>
      </c>
      <c r="BL107" s="105"/>
    </row>
    <row r="108" spans="1:107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8"/>
        <v>0</v>
      </c>
      <c r="Q108" s="155" t="str">
        <f t="shared" si="9"/>
        <v/>
      </c>
      <c r="R108" s="171" t="str">
        <f t="shared" si="10"/>
        <v/>
      </c>
      <c r="W108" s="155" t="str">
        <f t="shared" si="12"/>
        <v/>
      </c>
      <c r="X108" s="171" t="str">
        <f t="shared" si="13"/>
        <v/>
      </c>
    </row>
    <row r="109" spans="1:107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8"/>
        <v>0</v>
      </c>
      <c r="Q109" s="155" t="str">
        <f t="shared" si="9"/>
        <v/>
      </c>
      <c r="R109" s="171" t="str">
        <f t="shared" si="10"/>
        <v/>
      </c>
      <c r="W109" s="155" t="str">
        <f t="shared" si="12"/>
        <v/>
      </c>
      <c r="X109" s="171" t="str">
        <f t="shared" si="13"/>
        <v/>
      </c>
    </row>
    <row r="110" spans="1:107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8"/>
        <v>0</v>
      </c>
      <c r="Q110" s="155" t="str">
        <f t="shared" si="9"/>
        <v/>
      </c>
      <c r="R110" s="171" t="str">
        <f t="shared" si="10"/>
        <v/>
      </c>
      <c r="W110" s="155" t="str">
        <f t="shared" si="12"/>
        <v/>
      </c>
      <c r="X110" s="171" t="str">
        <f t="shared" si="13"/>
        <v/>
      </c>
    </row>
    <row r="111" spans="1:107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8"/>
        <v>0</v>
      </c>
      <c r="Q111" s="155" t="str">
        <f t="shared" si="9"/>
        <v/>
      </c>
      <c r="R111" s="171" t="str">
        <f t="shared" si="10"/>
        <v/>
      </c>
      <c r="W111" s="155" t="str">
        <f t="shared" si="12"/>
        <v/>
      </c>
      <c r="X111" s="171" t="str">
        <f t="shared" si="13"/>
        <v/>
      </c>
    </row>
    <row r="112" spans="1:107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8"/>
        <v>0</v>
      </c>
      <c r="Q112" s="155" t="str">
        <f t="shared" si="9"/>
        <v/>
      </c>
      <c r="R112" s="171" t="str">
        <f t="shared" si="10"/>
        <v/>
      </c>
      <c r="W112" s="155" t="str">
        <f t="shared" si="12"/>
        <v/>
      </c>
      <c r="X112" s="171" t="str">
        <f t="shared" si="13"/>
        <v/>
      </c>
    </row>
    <row r="113" spans="1:107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8"/>
        <v>0</v>
      </c>
      <c r="Q113" s="155" t="str">
        <f t="shared" si="9"/>
        <v/>
      </c>
      <c r="R113" s="171" t="str">
        <f t="shared" si="10"/>
        <v/>
      </c>
      <c r="W113" s="155" t="str">
        <f t="shared" si="12"/>
        <v/>
      </c>
      <c r="X113" s="171" t="str">
        <f t="shared" si="13"/>
        <v/>
      </c>
    </row>
    <row r="114" spans="1:107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8"/>
        <v>0</v>
      </c>
      <c r="Q114" s="155" t="str">
        <f t="shared" si="9"/>
        <v/>
      </c>
      <c r="R114" s="171" t="str">
        <f t="shared" si="10"/>
        <v/>
      </c>
      <c r="W114" s="155" t="str">
        <f t="shared" si="12"/>
        <v/>
      </c>
      <c r="X114" s="171" t="str">
        <f t="shared" si="13"/>
        <v/>
      </c>
    </row>
    <row r="115" spans="1:107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8"/>
        <v>0</v>
      </c>
      <c r="P115" s="10"/>
      <c r="Q115" s="155" t="str">
        <f t="shared" si="9"/>
        <v/>
      </c>
      <c r="R115" s="171" t="str">
        <f t="shared" si="10"/>
        <v/>
      </c>
      <c r="S115" s="161"/>
      <c r="T115" s="55"/>
      <c r="U115" s="55"/>
      <c r="V115" s="55"/>
      <c r="W115" s="155" t="str">
        <f t="shared" si="12"/>
        <v/>
      </c>
      <c r="X115" s="171" t="str">
        <f t="shared" si="13"/>
        <v/>
      </c>
      <c r="Y115" s="165"/>
      <c r="Z115" s="10"/>
      <c r="AA115" s="55"/>
      <c r="AB115" s="55"/>
      <c r="AC115" s="55"/>
      <c r="AD115" s="55"/>
      <c r="AE115" s="55"/>
      <c r="AF115" s="167"/>
      <c r="AG115" s="55"/>
      <c r="AH115" s="55"/>
      <c r="AI115" s="165"/>
      <c r="AJ115" s="55"/>
      <c r="AK115" s="55"/>
      <c r="AL115" s="55"/>
      <c r="AM115" s="55"/>
      <c r="AN115" s="55"/>
      <c r="AO115" s="55"/>
      <c r="AP115" s="55"/>
      <c r="AQ115" s="55"/>
      <c r="AR115" s="165"/>
      <c r="AS115" s="55"/>
      <c r="AT115" s="55"/>
      <c r="AU115" s="55"/>
      <c r="AV115" s="55"/>
      <c r="AW115" s="55"/>
      <c r="AX115" s="55"/>
      <c r="AY115" s="55"/>
      <c r="AZ115" s="55"/>
      <c r="BA115" s="165"/>
      <c r="BB115" s="55"/>
      <c r="BC115" s="55"/>
      <c r="BD115" s="55"/>
      <c r="BE115" s="165"/>
      <c r="BF115" s="55"/>
      <c r="BG115" s="10"/>
      <c r="BH115" s="55"/>
      <c r="BI115" s="55"/>
      <c r="BJ115" s="55"/>
      <c r="BK115" s="55"/>
      <c r="BS115" s="141"/>
      <c r="CM115" s="141"/>
      <c r="DC115" s="141"/>
    </row>
    <row r="116" spans="1:107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8"/>
        <v>0</v>
      </c>
      <c r="P116" s="10"/>
      <c r="Q116" s="155" t="str">
        <f t="shared" si="9"/>
        <v/>
      </c>
      <c r="R116" s="171" t="str">
        <f t="shared" si="10"/>
        <v/>
      </c>
      <c r="S116" s="161"/>
      <c r="T116" s="55"/>
      <c r="U116" s="55"/>
      <c r="V116" s="55"/>
      <c r="W116" s="155" t="str">
        <f t="shared" si="12"/>
        <v/>
      </c>
      <c r="X116" s="171" t="str">
        <f t="shared" si="13"/>
        <v/>
      </c>
      <c r="Y116" s="165"/>
      <c r="Z116" s="10"/>
      <c r="AA116" s="55"/>
      <c r="AB116" s="55"/>
      <c r="AC116" s="55"/>
      <c r="AD116" s="55"/>
      <c r="AE116" s="55"/>
      <c r="AF116" s="167"/>
      <c r="AG116" s="55"/>
      <c r="AH116" s="55"/>
      <c r="AI116" s="165"/>
      <c r="AJ116" s="55"/>
      <c r="AK116" s="55"/>
      <c r="AL116" s="55"/>
      <c r="AM116" s="55"/>
      <c r="AN116" s="55"/>
      <c r="AO116" s="55"/>
      <c r="AP116" s="55"/>
      <c r="AQ116" s="55"/>
      <c r="AR116" s="165"/>
      <c r="AS116" s="55"/>
      <c r="AT116" s="55"/>
      <c r="AU116" s="55"/>
      <c r="AV116" s="55"/>
      <c r="AW116" s="55"/>
      <c r="AX116" s="55"/>
      <c r="AY116" s="55"/>
      <c r="AZ116" s="55"/>
      <c r="BA116" s="165"/>
      <c r="BB116" s="55"/>
      <c r="BC116" s="55"/>
      <c r="BD116" s="55"/>
      <c r="BE116" s="165"/>
      <c r="BF116" s="55"/>
      <c r="BG116" s="10"/>
      <c r="BH116" s="55"/>
      <c r="BI116" s="55"/>
      <c r="BJ116" s="55"/>
      <c r="BK116" s="55"/>
      <c r="BS116" s="141"/>
      <c r="CM116" s="141"/>
      <c r="DC116" s="141"/>
    </row>
    <row r="117" spans="1:107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8"/>
        <v>0</v>
      </c>
      <c r="P117" s="10"/>
      <c r="Q117" s="155" t="str">
        <f t="shared" si="9"/>
        <v/>
      </c>
      <c r="R117" s="171" t="str">
        <f t="shared" si="10"/>
        <v/>
      </c>
      <c r="S117" s="161"/>
      <c r="T117" s="55"/>
      <c r="U117" s="55"/>
      <c r="V117" s="55"/>
      <c r="W117" s="155" t="str">
        <f t="shared" si="12"/>
        <v/>
      </c>
      <c r="X117" s="171" t="str">
        <f t="shared" si="13"/>
        <v/>
      </c>
      <c r="Y117" s="165"/>
      <c r="Z117" s="10"/>
      <c r="AA117" s="55"/>
      <c r="AB117" s="55"/>
      <c r="AC117" s="55"/>
      <c r="AD117" s="55"/>
      <c r="AE117" s="55"/>
      <c r="AF117" s="167"/>
      <c r="AG117" s="55"/>
      <c r="AH117" s="55"/>
      <c r="AI117" s="165"/>
      <c r="AJ117" s="55"/>
      <c r="AK117" s="55"/>
      <c r="AL117" s="55"/>
      <c r="AM117" s="55"/>
      <c r="AN117" s="55"/>
      <c r="AO117" s="55"/>
      <c r="AP117" s="55"/>
      <c r="AQ117" s="55"/>
      <c r="AR117" s="165"/>
      <c r="AS117" s="55"/>
      <c r="AT117" s="55"/>
      <c r="AU117" s="55"/>
      <c r="AV117" s="55"/>
      <c r="AW117" s="55"/>
      <c r="AX117" s="55"/>
      <c r="AY117" s="55"/>
      <c r="AZ117" s="55"/>
      <c r="BA117" s="165"/>
      <c r="BB117" s="55"/>
      <c r="BC117" s="55"/>
      <c r="BD117" s="55"/>
      <c r="BE117" s="165"/>
      <c r="BF117" s="55"/>
      <c r="BG117" s="10"/>
      <c r="BH117" s="55"/>
      <c r="BI117" s="55"/>
      <c r="BJ117" s="55"/>
      <c r="BK117" s="55"/>
      <c r="BS117" s="141"/>
      <c r="CM117" s="141"/>
      <c r="DC117" s="141"/>
    </row>
    <row r="118" spans="1:107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8"/>
        <v>0</v>
      </c>
      <c r="P118" s="10"/>
      <c r="Q118" s="155" t="str">
        <f t="shared" si="9"/>
        <v/>
      </c>
      <c r="R118" s="171" t="str">
        <f t="shared" si="10"/>
        <v/>
      </c>
      <c r="S118" s="161"/>
      <c r="T118" s="55"/>
      <c r="U118" s="55"/>
      <c r="V118" s="55"/>
      <c r="W118" s="155" t="str">
        <f t="shared" si="12"/>
        <v/>
      </c>
      <c r="X118" s="171" t="str">
        <f t="shared" si="13"/>
        <v/>
      </c>
      <c r="Y118" s="165"/>
      <c r="Z118" s="10"/>
      <c r="AA118" s="55"/>
      <c r="AB118" s="55"/>
      <c r="AC118" s="55"/>
      <c r="AD118" s="55"/>
      <c r="AE118" s="55"/>
      <c r="AF118" s="167"/>
      <c r="AG118" s="55"/>
      <c r="AH118" s="55"/>
      <c r="AI118" s="165"/>
      <c r="AJ118" s="55"/>
      <c r="AK118" s="55"/>
      <c r="AL118" s="55"/>
      <c r="AM118" s="55"/>
      <c r="AN118" s="55"/>
      <c r="AO118" s="55"/>
      <c r="AP118" s="55"/>
      <c r="AQ118" s="55"/>
      <c r="AR118" s="165"/>
      <c r="AS118" s="55"/>
      <c r="AT118" s="55"/>
      <c r="AU118" s="55"/>
      <c r="AV118" s="55"/>
      <c r="AW118" s="55"/>
      <c r="AX118" s="55"/>
      <c r="AY118" s="55"/>
      <c r="AZ118" s="55"/>
      <c r="BA118" s="165"/>
      <c r="BB118" s="55"/>
      <c r="BC118" s="55"/>
      <c r="BD118" s="55"/>
      <c r="BE118" s="165"/>
      <c r="BF118" s="55"/>
      <c r="BG118" s="10"/>
      <c r="BH118" s="55"/>
      <c r="BI118" s="55"/>
      <c r="BJ118" s="55"/>
      <c r="BK118" s="55"/>
      <c r="BS118" s="141"/>
      <c r="CM118" s="141"/>
      <c r="DC118" s="141"/>
    </row>
    <row r="119" spans="1:107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8"/>
        <v>0</v>
      </c>
      <c r="P119" s="10"/>
      <c r="Q119" s="155" t="str">
        <f t="shared" si="9"/>
        <v/>
      </c>
      <c r="R119" s="171" t="str">
        <f t="shared" si="10"/>
        <v/>
      </c>
      <c r="S119" s="161"/>
      <c r="T119" s="55"/>
      <c r="U119" s="55"/>
      <c r="V119" s="55"/>
      <c r="W119" s="155" t="str">
        <f t="shared" si="12"/>
        <v/>
      </c>
      <c r="X119" s="171" t="str">
        <f t="shared" si="13"/>
        <v/>
      </c>
      <c r="Y119" s="165"/>
      <c r="Z119" s="10"/>
      <c r="AA119" s="55"/>
      <c r="AB119" s="55"/>
      <c r="AC119" s="55"/>
      <c r="AD119" s="55"/>
      <c r="AE119" s="55"/>
      <c r="AF119" s="167"/>
      <c r="AG119" s="55"/>
      <c r="AH119" s="55"/>
      <c r="AI119" s="165"/>
      <c r="AJ119" s="55"/>
      <c r="AK119" s="55"/>
      <c r="AL119" s="55"/>
      <c r="AM119" s="55"/>
      <c r="AN119" s="55"/>
      <c r="AO119" s="55"/>
      <c r="AP119" s="55"/>
      <c r="AQ119" s="55"/>
      <c r="AR119" s="165"/>
      <c r="AS119" s="55"/>
      <c r="AT119" s="55"/>
      <c r="AU119" s="55"/>
      <c r="AV119" s="55"/>
      <c r="AW119" s="55"/>
      <c r="AX119" s="55"/>
      <c r="AY119" s="55"/>
      <c r="AZ119" s="55"/>
      <c r="BA119" s="165"/>
      <c r="BB119" s="55"/>
      <c r="BC119" s="55"/>
      <c r="BD119" s="55"/>
      <c r="BE119" s="165"/>
      <c r="BF119" s="55"/>
      <c r="BG119" s="10"/>
      <c r="BH119" s="55"/>
      <c r="BI119" s="55"/>
      <c r="BJ119" s="55"/>
      <c r="BK119" s="55"/>
      <c r="BS119" s="141"/>
      <c r="CM119" s="141"/>
      <c r="DC119" s="141"/>
    </row>
    <row r="120" spans="1:107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8"/>
        <v>0</v>
      </c>
      <c r="P120" s="10"/>
      <c r="Q120" s="155" t="str">
        <f t="shared" si="9"/>
        <v/>
      </c>
      <c r="R120" s="171" t="str">
        <f t="shared" si="10"/>
        <v/>
      </c>
      <c r="S120" s="161"/>
      <c r="T120" s="55"/>
      <c r="U120" s="55"/>
      <c r="V120" s="55"/>
      <c r="W120" s="155" t="str">
        <f t="shared" si="12"/>
        <v/>
      </c>
      <c r="X120" s="171" t="str">
        <f t="shared" si="13"/>
        <v/>
      </c>
      <c r="Y120" s="165"/>
      <c r="Z120" s="10"/>
      <c r="AA120" s="55"/>
      <c r="AB120" s="55"/>
      <c r="AC120" s="55"/>
      <c r="AD120" s="55"/>
      <c r="AE120" s="55"/>
      <c r="AF120" s="167"/>
      <c r="AG120" s="55"/>
      <c r="AH120" s="55"/>
      <c r="AI120" s="165"/>
      <c r="AJ120" s="55"/>
      <c r="AK120" s="55"/>
      <c r="AL120" s="55"/>
      <c r="AM120" s="55"/>
      <c r="AN120" s="55"/>
      <c r="AO120" s="55"/>
      <c r="AP120" s="55"/>
      <c r="AQ120" s="55"/>
      <c r="AR120" s="165"/>
      <c r="AS120" s="55"/>
      <c r="AT120" s="55"/>
      <c r="AU120" s="55"/>
      <c r="AV120" s="55"/>
      <c r="AW120" s="55"/>
      <c r="AX120" s="55"/>
      <c r="AY120" s="55"/>
      <c r="AZ120" s="55"/>
      <c r="BA120" s="165"/>
      <c r="BB120" s="55"/>
      <c r="BC120" s="55"/>
      <c r="BD120" s="55"/>
      <c r="BE120" s="165"/>
      <c r="BF120" s="55"/>
      <c r="BG120" s="10"/>
      <c r="BH120" s="55"/>
      <c r="BI120" s="55"/>
      <c r="BJ120" s="55"/>
      <c r="BK120" s="55"/>
      <c r="BS120" s="141"/>
      <c r="CM120" s="141"/>
      <c r="DC120" s="141"/>
    </row>
    <row r="121" spans="1:107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8"/>
        <v>0</v>
      </c>
      <c r="P121" s="10"/>
      <c r="Q121" s="155" t="str">
        <f t="shared" si="9"/>
        <v/>
      </c>
      <c r="R121" s="171" t="str">
        <f t="shared" si="10"/>
        <v/>
      </c>
      <c r="S121" s="161"/>
      <c r="T121" s="55"/>
      <c r="U121" s="55"/>
      <c r="V121" s="55"/>
      <c r="W121" s="155" t="str">
        <f t="shared" si="12"/>
        <v/>
      </c>
      <c r="X121" s="171" t="str">
        <f t="shared" si="13"/>
        <v/>
      </c>
      <c r="Y121" s="165"/>
      <c r="Z121" s="10"/>
      <c r="AA121" s="55"/>
      <c r="AB121" s="55"/>
      <c r="AC121" s="55"/>
      <c r="AD121" s="55"/>
      <c r="AE121" s="55"/>
      <c r="AF121" s="167"/>
      <c r="AG121" s="55"/>
      <c r="AH121" s="55"/>
      <c r="AI121" s="165"/>
      <c r="AJ121" s="55"/>
      <c r="AK121" s="55"/>
      <c r="AL121" s="55"/>
      <c r="AM121" s="55"/>
      <c r="AN121" s="55"/>
      <c r="AO121" s="55"/>
      <c r="AP121" s="55"/>
      <c r="AQ121" s="55"/>
      <c r="AR121" s="165"/>
      <c r="AS121" s="55"/>
      <c r="AT121" s="55"/>
      <c r="AU121" s="55"/>
      <c r="AV121" s="55"/>
      <c r="AW121" s="55"/>
      <c r="AX121" s="55"/>
      <c r="AY121" s="55"/>
      <c r="AZ121" s="55"/>
      <c r="BA121" s="165"/>
      <c r="BB121" s="55"/>
      <c r="BC121" s="55"/>
      <c r="BD121" s="55"/>
      <c r="BE121" s="165"/>
      <c r="BF121" s="55"/>
      <c r="BG121" s="10"/>
      <c r="BH121" s="55"/>
      <c r="BI121" s="55"/>
      <c r="BJ121" s="55"/>
      <c r="BK121" s="55"/>
      <c r="BS121" s="141"/>
      <c r="CM121" s="141"/>
      <c r="DC121" s="141"/>
    </row>
    <row r="122" spans="1:107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8"/>
        <v>0</v>
      </c>
      <c r="P122" s="10"/>
      <c r="Q122" s="155" t="str">
        <f t="shared" si="9"/>
        <v/>
      </c>
      <c r="R122" s="171" t="str">
        <f t="shared" si="10"/>
        <v/>
      </c>
      <c r="S122" s="161"/>
      <c r="T122" s="55"/>
      <c r="U122" s="55"/>
      <c r="V122" s="55"/>
      <c r="W122" s="155" t="str">
        <f t="shared" si="12"/>
        <v/>
      </c>
      <c r="X122" s="171" t="str">
        <f t="shared" si="13"/>
        <v/>
      </c>
      <c r="Y122" s="165"/>
      <c r="Z122" s="10"/>
      <c r="AA122" s="55"/>
      <c r="AB122" s="55"/>
      <c r="AC122" s="55"/>
      <c r="AD122" s="55"/>
      <c r="AE122" s="55"/>
      <c r="AF122" s="167"/>
      <c r="AG122" s="55"/>
      <c r="AH122" s="55"/>
      <c r="AI122" s="165"/>
      <c r="AJ122" s="55"/>
      <c r="AK122" s="55"/>
      <c r="AL122" s="55"/>
      <c r="AM122" s="55"/>
      <c r="AN122" s="55"/>
      <c r="AO122" s="55"/>
      <c r="AP122" s="55"/>
      <c r="AQ122" s="55"/>
      <c r="AR122" s="165"/>
      <c r="AS122" s="55"/>
      <c r="AT122" s="55"/>
      <c r="AU122" s="55"/>
      <c r="AV122" s="55"/>
      <c r="AW122" s="55"/>
      <c r="AX122" s="55"/>
      <c r="AY122" s="55"/>
      <c r="AZ122" s="55"/>
      <c r="BA122" s="165"/>
      <c r="BB122" s="55"/>
      <c r="BC122" s="55"/>
      <c r="BD122" s="55"/>
      <c r="BE122" s="165"/>
      <c r="BF122" s="55"/>
      <c r="BG122" s="10"/>
      <c r="BH122" s="55"/>
      <c r="BI122" s="55"/>
      <c r="BJ122" s="55"/>
      <c r="BK122" s="55"/>
      <c r="BS122" s="141"/>
      <c r="CM122" s="141"/>
      <c r="DC122" s="141"/>
    </row>
    <row r="123" spans="1:107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8"/>
        <v>0</v>
      </c>
      <c r="P123" s="10"/>
      <c r="Q123" s="155" t="str">
        <f t="shared" si="9"/>
        <v/>
      </c>
      <c r="R123" s="171" t="str">
        <f t="shared" si="10"/>
        <v/>
      </c>
      <c r="S123" s="161"/>
      <c r="T123" s="55"/>
      <c r="U123" s="55"/>
      <c r="V123" s="55"/>
      <c r="W123" s="155" t="str">
        <f t="shared" si="12"/>
        <v/>
      </c>
      <c r="X123" s="171" t="str">
        <f t="shared" si="13"/>
        <v/>
      </c>
      <c r="Y123" s="165"/>
      <c r="Z123" s="10"/>
      <c r="AA123" s="55"/>
      <c r="AB123" s="55"/>
      <c r="AC123" s="55"/>
      <c r="AD123" s="55"/>
      <c r="AE123" s="55"/>
      <c r="AF123" s="167"/>
      <c r="AG123" s="55"/>
      <c r="AH123" s="55"/>
      <c r="AI123" s="165"/>
      <c r="AJ123" s="55"/>
      <c r="AK123" s="55"/>
      <c r="AL123" s="55"/>
      <c r="AM123" s="55"/>
      <c r="AN123" s="55"/>
      <c r="AO123" s="55"/>
      <c r="AP123" s="55"/>
      <c r="AQ123" s="55"/>
      <c r="AR123" s="165"/>
      <c r="AS123" s="55"/>
      <c r="AT123" s="55"/>
      <c r="AU123" s="55"/>
      <c r="AV123" s="55"/>
      <c r="AW123" s="55"/>
      <c r="AX123" s="55"/>
      <c r="AY123" s="55"/>
      <c r="AZ123" s="55"/>
      <c r="BA123" s="165"/>
      <c r="BB123" s="55"/>
      <c r="BC123" s="55"/>
      <c r="BD123" s="55"/>
      <c r="BE123" s="165"/>
      <c r="BF123" s="55"/>
      <c r="BG123" s="10"/>
      <c r="BH123" s="55"/>
      <c r="BI123" s="55"/>
      <c r="BJ123" s="55"/>
      <c r="BK123" s="55"/>
      <c r="BS123" s="141"/>
      <c r="CM123" s="141"/>
      <c r="DC123" s="141"/>
    </row>
    <row r="124" spans="1:107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8"/>
        <v>0</v>
      </c>
      <c r="P124" s="10"/>
      <c r="Q124" s="155" t="str">
        <f t="shared" si="9"/>
        <v/>
      </c>
      <c r="R124" s="171" t="str">
        <f t="shared" si="10"/>
        <v/>
      </c>
      <c r="S124" s="161"/>
      <c r="T124" s="55"/>
      <c r="U124" s="55"/>
      <c r="V124" s="55"/>
      <c r="W124" s="155" t="str">
        <f t="shared" si="12"/>
        <v/>
      </c>
      <c r="X124" s="171" t="str">
        <f t="shared" si="13"/>
        <v/>
      </c>
      <c r="Y124" s="165"/>
      <c r="Z124" s="10"/>
      <c r="AA124" s="55"/>
      <c r="AB124" s="55"/>
      <c r="AC124" s="55"/>
      <c r="AD124" s="55"/>
      <c r="AE124" s="55"/>
      <c r="AF124" s="167"/>
      <c r="AG124" s="55"/>
      <c r="AH124" s="55"/>
      <c r="AI124" s="165"/>
      <c r="AJ124" s="55"/>
      <c r="AK124" s="55"/>
      <c r="AL124" s="55"/>
      <c r="AM124" s="55"/>
      <c r="AN124" s="55"/>
      <c r="AO124" s="55"/>
      <c r="AP124" s="55"/>
      <c r="AQ124" s="55"/>
      <c r="AR124" s="165"/>
      <c r="AS124" s="55"/>
      <c r="AT124" s="55"/>
      <c r="AU124" s="55"/>
      <c r="AV124" s="55"/>
      <c r="AW124" s="55"/>
      <c r="AX124" s="55"/>
      <c r="AY124" s="55"/>
      <c r="AZ124" s="55"/>
      <c r="BA124" s="165"/>
      <c r="BB124" s="55"/>
      <c r="BC124" s="55"/>
      <c r="BD124" s="55"/>
      <c r="BE124" s="165"/>
      <c r="BF124" s="55"/>
      <c r="BG124" s="10"/>
      <c r="BH124" s="55"/>
      <c r="BI124" s="55"/>
      <c r="BJ124" s="55"/>
      <c r="BK124" s="55"/>
      <c r="BS124" s="141"/>
      <c r="CM124" s="141"/>
      <c r="DC124" s="141"/>
    </row>
    <row r="125" spans="1:107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8"/>
        <v>0</v>
      </c>
      <c r="P125" s="17"/>
      <c r="Q125" s="156" t="str">
        <f t="shared" si="9"/>
        <v/>
      </c>
      <c r="R125" s="172" t="str">
        <f t="shared" si="10"/>
        <v/>
      </c>
      <c r="S125" s="162"/>
      <c r="T125" s="56"/>
      <c r="U125" s="56"/>
      <c r="V125" s="56"/>
      <c r="W125" s="156" t="str">
        <f t="shared" si="12"/>
        <v/>
      </c>
      <c r="X125" s="172" t="str">
        <f t="shared" si="13"/>
        <v/>
      </c>
      <c r="Y125" s="166"/>
      <c r="Z125" s="17"/>
      <c r="AA125" s="56"/>
      <c r="AB125" s="56"/>
      <c r="AC125" s="56"/>
      <c r="AD125" s="56"/>
      <c r="AE125" s="56"/>
      <c r="AF125" s="169"/>
      <c r="AG125" s="56"/>
      <c r="AH125" s="56"/>
      <c r="AI125" s="166"/>
      <c r="AJ125" s="56"/>
      <c r="AK125" s="56"/>
      <c r="AL125" s="56"/>
      <c r="AM125" s="56"/>
      <c r="AN125" s="56"/>
      <c r="AO125" s="56"/>
      <c r="AP125" s="56"/>
      <c r="AQ125" s="56"/>
      <c r="AR125" s="166"/>
      <c r="AS125" s="56"/>
      <c r="AT125" s="56"/>
      <c r="AU125" s="56"/>
      <c r="AV125" s="56"/>
      <c r="AW125" s="56"/>
      <c r="AX125" s="56"/>
      <c r="AY125" s="56"/>
      <c r="AZ125" s="56"/>
      <c r="BA125" s="166"/>
      <c r="BB125" s="56"/>
      <c r="BC125" s="56"/>
      <c r="BD125" s="56"/>
      <c r="BE125" s="166"/>
      <c r="BF125" s="56"/>
      <c r="BG125" s="17"/>
      <c r="BH125" s="56"/>
      <c r="BI125" s="56"/>
      <c r="BJ125" s="56"/>
      <c r="BK125" s="56"/>
      <c r="BS125" s="140"/>
      <c r="CM125" s="140"/>
      <c r="DC125" s="140"/>
    </row>
    <row r="126" spans="1:107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8"/>
        <v>0</v>
      </c>
      <c r="Q126" s="155" t="str">
        <f t="shared" si="9"/>
        <v/>
      </c>
      <c r="R126" s="171" t="str">
        <f t="shared" si="10"/>
        <v/>
      </c>
      <c r="W126" s="155" t="str">
        <f t="shared" si="12"/>
        <v/>
      </c>
      <c r="X126" s="171" t="str">
        <f t="shared" si="13"/>
        <v/>
      </c>
      <c r="BL126" s="105"/>
    </row>
    <row r="127" spans="1:107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8"/>
        <v>0</v>
      </c>
      <c r="Q127" s="155" t="str">
        <f t="shared" si="9"/>
        <v/>
      </c>
      <c r="R127" s="171" t="str">
        <f t="shared" si="10"/>
        <v/>
      </c>
      <c r="W127" s="155" t="str">
        <f t="shared" si="12"/>
        <v/>
      </c>
      <c r="X127" s="171" t="str">
        <f t="shared" si="13"/>
        <v/>
      </c>
      <c r="BL127" s="105"/>
    </row>
    <row r="128" spans="1:107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8"/>
        <v>0</v>
      </c>
      <c r="Q128" s="155" t="str">
        <f t="shared" si="9"/>
        <v/>
      </c>
      <c r="R128" s="171" t="str">
        <f t="shared" si="10"/>
        <v/>
      </c>
      <c r="W128" s="155" t="str">
        <f t="shared" si="12"/>
        <v/>
      </c>
      <c r="X128" s="171" t="str">
        <f t="shared" si="13"/>
        <v/>
      </c>
    </row>
    <row r="129" spans="1:107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8"/>
        <v>0</v>
      </c>
      <c r="Q129" s="155" t="str">
        <f t="shared" si="9"/>
        <v/>
      </c>
      <c r="R129" s="171" t="str">
        <f t="shared" si="10"/>
        <v/>
      </c>
      <c r="W129" s="155" t="str">
        <f t="shared" si="12"/>
        <v/>
      </c>
      <c r="X129" s="171" t="str">
        <f t="shared" si="13"/>
        <v/>
      </c>
    </row>
    <row r="130" spans="1:107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8"/>
        <v>0</v>
      </c>
      <c r="Q130" s="155" t="str">
        <f t="shared" si="9"/>
        <v/>
      </c>
      <c r="R130" s="171" t="str">
        <f t="shared" si="10"/>
        <v/>
      </c>
      <c r="W130" s="155" t="str">
        <f t="shared" si="12"/>
        <v/>
      </c>
      <c r="X130" s="171" t="str">
        <f t="shared" si="13"/>
        <v/>
      </c>
    </row>
    <row r="131" spans="1:107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8"/>
        <v>0</v>
      </c>
      <c r="Q131" s="155" t="str">
        <f t="shared" si="9"/>
        <v/>
      </c>
      <c r="R131" s="171" t="str">
        <f t="shared" si="10"/>
        <v/>
      </c>
      <c r="W131" s="155" t="str">
        <f t="shared" si="12"/>
        <v/>
      </c>
      <c r="X131" s="171" t="str">
        <f t="shared" si="13"/>
        <v/>
      </c>
    </row>
    <row r="132" spans="1:107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8"/>
        <v>0</v>
      </c>
      <c r="Q132" s="155" t="str">
        <f t="shared" si="9"/>
        <v/>
      </c>
      <c r="R132" s="171" t="str">
        <f t="shared" si="10"/>
        <v/>
      </c>
      <c r="W132" s="155" t="str">
        <f t="shared" si="12"/>
        <v/>
      </c>
      <c r="X132" s="171" t="str">
        <f t="shared" si="13"/>
        <v/>
      </c>
    </row>
    <row r="133" spans="1:107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8"/>
        <v>0</v>
      </c>
      <c r="Q133" s="155" t="str">
        <f t="shared" si="9"/>
        <v/>
      </c>
      <c r="R133" s="171" t="str">
        <f t="shared" si="10"/>
        <v/>
      </c>
      <c r="W133" s="155" t="str">
        <f t="shared" si="12"/>
        <v/>
      </c>
      <c r="X133" s="171" t="str">
        <f t="shared" si="13"/>
        <v/>
      </c>
    </row>
    <row r="134" spans="1:107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5">P134*30</f>
        <v>0</v>
      </c>
      <c r="Q134" s="155" t="str">
        <f t="shared" ref="Q134:Q197" si="16">IF((1-(1-O134/100000)^1440)=0,"",1-(1-O134/100000)^1440)</f>
        <v/>
      </c>
      <c r="R134" s="171" t="str">
        <f t="shared" ref="R134:R197" si="17">IF((O134/100000)*1440=0,"",(O134/100000)*1440)</f>
        <v/>
      </c>
      <c r="W134" s="155" t="str">
        <f t="shared" si="12"/>
        <v/>
      </c>
      <c r="X134" s="171" t="str">
        <f t="shared" si="13"/>
        <v/>
      </c>
    </row>
    <row r="135" spans="1:107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5"/>
        <v>0</v>
      </c>
      <c r="P135" s="10"/>
      <c r="Q135" s="155" t="str">
        <f t="shared" si="16"/>
        <v/>
      </c>
      <c r="R135" s="171" t="str">
        <f t="shared" si="17"/>
        <v/>
      </c>
      <c r="S135" s="161"/>
      <c r="T135" s="55"/>
      <c r="U135" s="55"/>
      <c r="V135" s="55"/>
      <c r="W135" s="155" t="str">
        <f t="shared" si="12"/>
        <v/>
      </c>
      <c r="X135" s="171" t="str">
        <f t="shared" si="13"/>
        <v/>
      </c>
      <c r="Y135" s="165"/>
      <c r="Z135" s="10"/>
      <c r="AA135" s="55"/>
      <c r="AB135" s="55"/>
      <c r="AC135" s="55"/>
      <c r="AD135" s="55"/>
      <c r="AE135" s="55"/>
      <c r="AF135" s="167"/>
      <c r="AG135" s="55"/>
      <c r="AH135" s="55"/>
      <c r="AI135" s="165"/>
      <c r="AJ135" s="55"/>
      <c r="AK135" s="55"/>
      <c r="AL135" s="55"/>
      <c r="AM135" s="55"/>
      <c r="AN135" s="55"/>
      <c r="AO135" s="55"/>
      <c r="AP135" s="55"/>
      <c r="AQ135" s="55"/>
      <c r="AR135" s="165"/>
      <c r="AS135" s="55"/>
      <c r="AT135" s="55"/>
      <c r="AU135" s="55"/>
      <c r="AV135" s="55"/>
      <c r="AW135" s="55"/>
      <c r="AX135" s="55"/>
      <c r="AY135" s="55"/>
      <c r="AZ135" s="55"/>
      <c r="BA135" s="165"/>
      <c r="BB135" s="55"/>
      <c r="BC135" s="55"/>
      <c r="BD135" s="55"/>
      <c r="BE135" s="165"/>
      <c r="BF135" s="55"/>
      <c r="BG135" s="10"/>
      <c r="BH135" s="55"/>
      <c r="BI135" s="55"/>
      <c r="BJ135" s="55"/>
      <c r="BK135" s="55"/>
      <c r="BS135" s="141"/>
      <c r="CM135" s="141"/>
      <c r="DC135" s="141"/>
    </row>
    <row r="136" spans="1:107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5"/>
        <v>0</v>
      </c>
      <c r="P136" s="10"/>
      <c r="Q136" s="155" t="str">
        <f t="shared" si="16"/>
        <v/>
      </c>
      <c r="R136" s="171" t="str">
        <f t="shared" si="17"/>
        <v/>
      </c>
      <c r="S136" s="161"/>
      <c r="T136" s="55"/>
      <c r="U136" s="55"/>
      <c r="V136" s="55"/>
      <c r="W136" s="155" t="str">
        <f t="shared" si="12"/>
        <v/>
      </c>
      <c r="X136" s="171" t="str">
        <f t="shared" si="13"/>
        <v/>
      </c>
      <c r="Y136" s="165"/>
      <c r="Z136" s="10"/>
      <c r="AA136" s="55"/>
      <c r="AB136" s="55"/>
      <c r="AC136" s="55"/>
      <c r="AD136" s="55"/>
      <c r="AE136" s="55"/>
      <c r="AF136" s="167"/>
      <c r="AG136" s="55"/>
      <c r="AH136" s="55"/>
      <c r="AI136" s="165"/>
      <c r="AJ136" s="55"/>
      <c r="AK136" s="55"/>
      <c r="AL136" s="55"/>
      <c r="AM136" s="55"/>
      <c r="AN136" s="55"/>
      <c r="AO136" s="55"/>
      <c r="AP136" s="55"/>
      <c r="AQ136" s="55"/>
      <c r="AR136" s="165"/>
      <c r="AS136" s="55"/>
      <c r="AT136" s="55"/>
      <c r="AU136" s="55"/>
      <c r="AV136" s="55"/>
      <c r="AW136" s="55"/>
      <c r="AX136" s="55"/>
      <c r="AY136" s="55"/>
      <c r="AZ136" s="55"/>
      <c r="BA136" s="165"/>
      <c r="BB136" s="55"/>
      <c r="BC136" s="55"/>
      <c r="BD136" s="55"/>
      <c r="BE136" s="165"/>
      <c r="BF136" s="55"/>
      <c r="BG136" s="10"/>
      <c r="BH136" s="55"/>
      <c r="BI136" s="55"/>
      <c r="BJ136" s="55"/>
      <c r="BK136" s="55"/>
      <c r="BS136" s="141"/>
      <c r="CM136" s="141"/>
      <c r="DC136" s="141"/>
    </row>
    <row r="137" spans="1:107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5"/>
        <v>0</v>
      </c>
      <c r="P137" s="10"/>
      <c r="Q137" s="155" t="str">
        <f t="shared" si="16"/>
        <v/>
      </c>
      <c r="R137" s="171" t="str">
        <f t="shared" si="17"/>
        <v/>
      </c>
      <c r="S137" s="161"/>
      <c r="T137" s="55"/>
      <c r="U137" s="55"/>
      <c r="V137" s="55"/>
      <c r="W137" s="155" t="str">
        <f t="shared" si="12"/>
        <v/>
      </c>
      <c r="X137" s="171" t="str">
        <f t="shared" si="13"/>
        <v/>
      </c>
      <c r="Y137" s="165"/>
      <c r="Z137" s="10"/>
      <c r="AA137" s="55"/>
      <c r="AB137" s="55"/>
      <c r="AC137" s="55"/>
      <c r="AD137" s="55"/>
      <c r="AE137" s="55"/>
      <c r="AF137" s="167"/>
      <c r="AG137" s="55"/>
      <c r="AH137" s="55"/>
      <c r="AI137" s="165"/>
      <c r="AJ137" s="55"/>
      <c r="AK137" s="55"/>
      <c r="AL137" s="55"/>
      <c r="AM137" s="55"/>
      <c r="AN137" s="55"/>
      <c r="AO137" s="55"/>
      <c r="AP137" s="55"/>
      <c r="AQ137" s="55"/>
      <c r="AR137" s="165"/>
      <c r="AS137" s="55"/>
      <c r="AT137" s="55"/>
      <c r="AU137" s="55"/>
      <c r="AV137" s="55"/>
      <c r="AW137" s="55"/>
      <c r="AX137" s="55"/>
      <c r="AY137" s="55"/>
      <c r="AZ137" s="55"/>
      <c r="BA137" s="165"/>
      <c r="BB137" s="55"/>
      <c r="BC137" s="55"/>
      <c r="BD137" s="55"/>
      <c r="BE137" s="165"/>
      <c r="BF137" s="55"/>
      <c r="BG137" s="10"/>
      <c r="BH137" s="55"/>
      <c r="BI137" s="55"/>
      <c r="BJ137" s="55"/>
      <c r="BK137" s="55"/>
      <c r="BS137" s="141"/>
      <c r="CM137" s="141"/>
      <c r="DC137" s="141"/>
    </row>
    <row r="138" spans="1:107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5"/>
        <v>0</v>
      </c>
      <c r="P138" s="10"/>
      <c r="Q138" s="155" t="str">
        <f t="shared" si="16"/>
        <v/>
      </c>
      <c r="R138" s="171" t="str">
        <f t="shared" si="17"/>
        <v/>
      </c>
      <c r="S138" s="161"/>
      <c r="T138" s="55"/>
      <c r="U138" s="55"/>
      <c r="V138" s="55"/>
      <c r="W138" s="155" t="str">
        <f t="shared" si="12"/>
        <v/>
      </c>
      <c r="X138" s="171" t="str">
        <f t="shared" si="13"/>
        <v/>
      </c>
      <c r="Y138" s="165"/>
      <c r="Z138" s="10"/>
      <c r="AA138" s="55"/>
      <c r="AB138" s="55"/>
      <c r="AC138" s="55"/>
      <c r="AD138" s="55"/>
      <c r="AE138" s="55"/>
      <c r="AF138" s="167"/>
      <c r="AG138" s="55"/>
      <c r="AH138" s="55"/>
      <c r="AI138" s="165"/>
      <c r="AJ138" s="55"/>
      <c r="AK138" s="55"/>
      <c r="AL138" s="55"/>
      <c r="AM138" s="55"/>
      <c r="AN138" s="55"/>
      <c r="AO138" s="55"/>
      <c r="AP138" s="55"/>
      <c r="AQ138" s="55"/>
      <c r="AR138" s="165"/>
      <c r="AS138" s="55"/>
      <c r="AT138" s="55"/>
      <c r="AU138" s="55"/>
      <c r="AV138" s="55"/>
      <c r="AW138" s="55"/>
      <c r="AX138" s="55"/>
      <c r="AY138" s="55"/>
      <c r="AZ138" s="55"/>
      <c r="BA138" s="165"/>
      <c r="BB138" s="55"/>
      <c r="BC138" s="55"/>
      <c r="BD138" s="55"/>
      <c r="BE138" s="165"/>
      <c r="BF138" s="55"/>
      <c r="BG138" s="10"/>
      <c r="BH138" s="55"/>
      <c r="BI138" s="55"/>
      <c r="BJ138" s="55"/>
      <c r="BK138" s="55"/>
      <c r="BS138" s="141"/>
      <c r="CM138" s="141"/>
      <c r="DC138" s="141"/>
    </row>
    <row r="139" spans="1:107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5"/>
        <v>0</v>
      </c>
      <c r="P139" s="10"/>
      <c r="Q139" s="155" t="str">
        <f t="shared" si="16"/>
        <v/>
      </c>
      <c r="R139" s="171" t="str">
        <f t="shared" si="17"/>
        <v/>
      </c>
      <c r="S139" s="161"/>
      <c r="T139" s="55"/>
      <c r="U139" s="55"/>
      <c r="V139" s="55"/>
      <c r="W139" s="155" t="str">
        <f t="shared" si="12"/>
        <v/>
      </c>
      <c r="X139" s="171" t="str">
        <f t="shared" si="13"/>
        <v/>
      </c>
      <c r="Y139" s="165"/>
      <c r="Z139" s="10"/>
      <c r="AA139" s="55"/>
      <c r="AB139" s="55"/>
      <c r="AC139" s="55"/>
      <c r="AD139" s="55"/>
      <c r="AE139" s="55"/>
      <c r="AF139" s="167"/>
      <c r="AG139" s="55"/>
      <c r="AH139" s="55"/>
      <c r="AI139" s="165"/>
      <c r="AJ139" s="55"/>
      <c r="AK139" s="55"/>
      <c r="AL139" s="55"/>
      <c r="AM139" s="55"/>
      <c r="AN139" s="55"/>
      <c r="AO139" s="55"/>
      <c r="AP139" s="55"/>
      <c r="AQ139" s="55"/>
      <c r="AR139" s="165"/>
      <c r="AS139" s="55"/>
      <c r="AT139" s="55"/>
      <c r="AU139" s="55"/>
      <c r="AV139" s="55"/>
      <c r="AW139" s="55"/>
      <c r="AX139" s="55"/>
      <c r="AY139" s="55"/>
      <c r="AZ139" s="55"/>
      <c r="BA139" s="165"/>
      <c r="BB139" s="55"/>
      <c r="BC139" s="55"/>
      <c r="BD139" s="55"/>
      <c r="BE139" s="165"/>
      <c r="BF139" s="55"/>
      <c r="BG139" s="10"/>
      <c r="BH139" s="55"/>
      <c r="BI139" s="55"/>
      <c r="BJ139" s="55"/>
      <c r="BK139" s="55"/>
      <c r="BS139" s="141"/>
      <c r="CM139" s="141"/>
      <c r="DC139" s="141"/>
    </row>
    <row r="140" spans="1:107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5"/>
        <v>0</v>
      </c>
      <c r="P140" s="10"/>
      <c r="Q140" s="155" t="str">
        <f t="shared" si="16"/>
        <v/>
      </c>
      <c r="R140" s="171" t="str">
        <f t="shared" si="17"/>
        <v/>
      </c>
      <c r="S140" s="161"/>
      <c r="T140" s="55"/>
      <c r="U140" s="55"/>
      <c r="V140" s="55"/>
      <c r="W140" s="155" t="str">
        <f t="shared" si="12"/>
        <v/>
      </c>
      <c r="X140" s="171" t="str">
        <f t="shared" si="13"/>
        <v/>
      </c>
      <c r="Y140" s="165"/>
      <c r="Z140" s="10"/>
      <c r="AA140" s="55"/>
      <c r="AB140" s="55"/>
      <c r="AC140" s="55"/>
      <c r="AD140" s="55"/>
      <c r="AE140" s="55"/>
      <c r="AF140" s="167"/>
      <c r="AG140" s="55"/>
      <c r="AH140" s="55"/>
      <c r="AI140" s="165"/>
      <c r="AJ140" s="55"/>
      <c r="AK140" s="55"/>
      <c r="AL140" s="55"/>
      <c r="AM140" s="55"/>
      <c r="AN140" s="55"/>
      <c r="AO140" s="55"/>
      <c r="AP140" s="55"/>
      <c r="AQ140" s="55"/>
      <c r="AR140" s="165"/>
      <c r="AS140" s="55"/>
      <c r="AT140" s="55"/>
      <c r="AU140" s="55"/>
      <c r="AV140" s="55"/>
      <c r="AW140" s="55"/>
      <c r="AX140" s="55"/>
      <c r="AY140" s="55"/>
      <c r="AZ140" s="55"/>
      <c r="BA140" s="165"/>
      <c r="BB140" s="55"/>
      <c r="BC140" s="55"/>
      <c r="BD140" s="55"/>
      <c r="BE140" s="165"/>
      <c r="BF140" s="55"/>
      <c r="BG140" s="10"/>
      <c r="BH140" s="55"/>
      <c r="BI140" s="55"/>
      <c r="BJ140" s="55"/>
      <c r="BK140" s="55"/>
      <c r="BS140" s="141"/>
      <c r="CM140" s="141"/>
      <c r="DC140" s="141"/>
    </row>
    <row r="141" spans="1:107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5"/>
        <v>0</v>
      </c>
      <c r="P141" s="10"/>
      <c r="Q141" s="155" t="str">
        <f t="shared" si="16"/>
        <v/>
      </c>
      <c r="R141" s="171" t="str">
        <f t="shared" si="17"/>
        <v/>
      </c>
      <c r="S141" s="161"/>
      <c r="T141" s="55"/>
      <c r="U141" s="55"/>
      <c r="V141" s="55"/>
      <c r="W141" s="155" t="str">
        <f t="shared" si="12"/>
        <v/>
      </c>
      <c r="X141" s="171" t="str">
        <f t="shared" si="13"/>
        <v/>
      </c>
      <c r="Y141" s="165"/>
      <c r="Z141" s="10"/>
      <c r="AA141" s="55"/>
      <c r="AB141" s="55"/>
      <c r="AC141" s="55"/>
      <c r="AD141" s="55"/>
      <c r="AE141" s="55"/>
      <c r="AF141" s="167"/>
      <c r="AG141" s="55"/>
      <c r="AH141" s="55"/>
      <c r="AI141" s="165"/>
      <c r="AJ141" s="55"/>
      <c r="AK141" s="55"/>
      <c r="AL141" s="55"/>
      <c r="AM141" s="55"/>
      <c r="AN141" s="55"/>
      <c r="AO141" s="55"/>
      <c r="AP141" s="55"/>
      <c r="AQ141" s="55"/>
      <c r="AR141" s="165"/>
      <c r="AS141" s="55"/>
      <c r="AT141" s="55"/>
      <c r="AU141" s="55"/>
      <c r="AV141" s="55"/>
      <c r="AW141" s="55"/>
      <c r="AX141" s="55"/>
      <c r="AY141" s="55"/>
      <c r="AZ141" s="55"/>
      <c r="BA141" s="165"/>
      <c r="BB141" s="55"/>
      <c r="BC141" s="55"/>
      <c r="BD141" s="55"/>
      <c r="BE141" s="165"/>
      <c r="BF141" s="55"/>
      <c r="BG141" s="10"/>
      <c r="BH141" s="55"/>
      <c r="BI141" s="55"/>
      <c r="BJ141" s="55"/>
      <c r="BK141" s="55"/>
      <c r="BS141" s="141"/>
      <c r="CM141" s="141"/>
      <c r="DC141" s="141"/>
    </row>
    <row r="142" spans="1:107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5"/>
        <v>0</v>
      </c>
      <c r="P142" s="10"/>
      <c r="Q142" s="155" t="str">
        <f t="shared" si="16"/>
        <v/>
      </c>
      <c r="R142" s="171" t="str">
        <f t="shared" si="17"/>
        <v/>
      </c>
      <c r="S142" s="161"/>
      <c r="T142" s="55"/>
      <c r="U142" s="55"/>
      <c r="V142" s="55"/>
      <c r="W142" s="155" t="str">
        <f t="shared" si="12"/>
        <v/>
      </c>
      <c r="X142" s="171" t="str">
        <f t="shared" si="13"/>
        <v/>
      </c>
      <c r="Y142" s="165"/>
      <c r="Z142" s="10"/>
      <c r="AA142" s="55"/>
      <c r="AB142" s="55"/>
      <c r="AC142" s="55"/>
      <c r="AD142" s="55"/>
      <c r="AE142" s="55"/>
      <c r="AF142" s="167"/>
      <c r="AG142" s="55"/>
      <c r="AH142" s="55"/>
      <c r="AI142" s="165"/>
      <c r="AJ142" s="55"/>
      <c r="AK142" s="55"/>
      <c r="AL142" s="55"/>
      <c r="AM142" s="55"/>
      <c r="AN142" s="55"/>
      <c r="AO142" s="55"/>
      <c r="AP142" s="55"/>
      <c r="AQ142" s="55"/>
      <c r="AR142" s="165"/>
      <c r="AS142" s="55"/>
      <c r="AT142" s="55"/>
      <c r="AU142" s="55"/>
      <c r="AV142" s="55"/>
      <c r="AW142" s="55"/>
      <c r="AX142" s="55"/>
      <c r="AY142" s="55"/>
      <c r="AZ142" s="55"/>
      <c r="BA142" s="165"/>
      <c r="BB142" s="55"/>
      <c r="BC142" s="55"/>
      <c r="BD142" s="55"/>
      <c r="BE142" s="165"/>
      <c r="BF142" s="55"/>
      <c r="BG142" s="10"/>
      <c r="BH142" s="55"/>
      <c r="BI142" s="55"/>
      <c r="BJ142" s="55"/>
      <c r="BK142" s="55"/>
      <c r="BS142" s="141"/>
      <c r="CM142" s="141"/>
      <c r="DC142" s="141"/>
    </row>
    <row r="143" spans="1:107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5"/>
        <v>0</v>
      </c>
      <c r="P143" s="10"/>
      <c r="Q143" s="155" t="str">
        <f t="shared" si="16"/>
        <v/>
      </c>
      <c r="R143" s="171" t="str">
        <f t="shared" si="17"/>
        <v/>
      </c>
      <c r="S143" s="161"/>
      <c r="T143" s="55"/>
      <c r="U143" s="55"/>
      <c r="V143" s="55"/>
      <c r="W143" s="155" t="str">
        <f t="shared" si="12"/>
        <v/>
      </c>
      <c r="X143" s="171" t="str">
        <f t="shared" si="13"/>
        <v/>
      </c>
      <c r="Y143" s="165"/>
      <c r="Z143" s="10"/>
      <c r="AA143" s="55"/>
      <c r="AB143" s="55"/>
      <c r="AC143" s="55"/>
      <c r="AD143" s="55"/>
      <c r="AE143" s="55"/>
      <c r="AF143" s="167"/>
      <c r="AG143" s="55"/>
      <c r="AH143" s="55"/>
      <c r="AI143" s="165"/>
      <c r="AJ143" s="55"/>
      <c r="AK143" s="55"/>
      <c r="AL143" s="55"/>
      <c r="AM143" s="55"/>
      <c r="AN143" s="55"/>
      <c r="AO143" s="55"/>
      <c r="AP143" s="55"/>
      <c r="AQ143" s="55"/>
      <c r="AR143" s="165"/>
      <c r="AS143" s="55"/>
      <c r="AT143" s="55"/>
      <c r="AU143" s="55"/>
      <c r="AV143" s="55"/>
      <c r="AW143" s="55"/>
      <c r="AX143" s="55"/>
      <c r="AY143" s="55"/>
      <c r="AZ143" s="55"/>
      <c r="BA143" s="165"/>
      <c r="BB143" s="55"/>
      <c r="BC143" s="55"/>
      <c r="BD143" s="55"/>
      <c r="BE143" s="165"/>
      <c r="BF143" s="55"/>
      <c r="BG143" s="10"/>
      <c r="BH143" s="55"/>
      <c r="BI143" s="55"/>
      <c r="BJ143" s="55"/>
      <c r="BK143" s="55"/>
      <c r="BS143" s="141"/>
      <c r="CM143" s="141"/>
      <c r="DC143" s="141"/>
    </row>
    <row r="144" spans="1:107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5"/>
        <v>0</v>
      </c>
      <c r="P144" s="10"/>
      <c r="Q144" s="155" t="str">
        <f t="shared" si="16"/>
        <v/>
      </c>
      <c r="R144" s="171" t="str">
        <f t="shared" si="17"/>
        <v/>
      </c>
      <c r="S144" s="161"/>
      <c r="T144" s="55"/>
      <c r="U144" s="55"/>
      <c r="V144" s="55"/>
      <c r="W144" s="155" t="str">
        <f t="shared" si="12"/>
        <v/>
      </c>
      <c r="X144" s="171" t="str">
        <f t="shared" si="13"/>
        <v/>
      </c>
      <c r="Y144" s="165"/>
      <c r="Z144" s="10"/>
      <c r="AA144" s="55"/>
      <c r="AB144" s="55"/>
      <c r="AC144" s="55"/>
      <c r="AD144" s="55"/>
      <c r="AE144" s="55"/>
      <c r="AF144" s="167"/>
      <c r="AG144" s="55"/>
      <c r="AH144" s="55"/>
      <c r="AI144" s="165"/>
      <c r="AJ144" s="55"/>
      <c r="AK144" s="55"/>
      <c r="AL144" s="55"/>
      <c r="AM144" s="55"/>
      <c r="AN144" s="55"/>
      <c r="AO144" s="55"/>
      <c r="AP144" s="55"/>
      <c r="AQ144" s="55"/>
      <c r="AR144" s="165"/>
      <c r="AS144" s="55"/>
      <c r="AT144" s="55"/>
      <c r="AU144" s="55"/>
      <c r="AV144" s="55"/>
      <c r="AW144" s="55"/>
      <c r="AX144" s="55"/>
      <c r="AY144" s="55"/>
      <c r="AZ144" s="55"/>
      <c r="BA144" s="165"/>
      <c r="BB144" s="55"/>
      <c r="BC144" s="55"/>
      <c r="BD144" s="55"/>
      <c r="BE144" s="165"/>
      <c r="BF144" s="55"/>
      <c r="BG144" s="10"/>
      <c r="BH144" s="55"/>
      <c r="BI144" s="55"/>
      <c r="BJ144" s="55"/>
      <c r="BK144" s="55"/>
      <c r="BS144" s="141"/>
      <c r="CM144" s="141"/>
      <c r="DC144" s="141"/>
    </row>
    <row r="145" spans="1:107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5"/>
        <v>0</v>
      </c>
      <c r="P145" s="17"/>
      <c r="Q145" s="156" t="str">
        <f t="shared" si="16"/>
        <v/>
      </c>
      <c r="R145" s="172" t="str">
        <f t="shared" si="17"/>
        <v/>
      </c>
      <c r="S145" s="162"/>
      <c r="T145" s="56"/>
      <c r="U145" s="56"/>
      <c r="V145" s="56"/>
      <c r="W145" s="156" t="str">
        <f t="shared" si="12"/>
        <v/>
      </c>
      <c r="X145" s="172" t="str">
        <f t="shared" si="13"/>
        <v/>
      </c>
      <c r="Y145" s="166"/>
      <c r="Z145" s="17"/>
      <c r="AA145" s="56"/>
      <c r="AB145" s="56"/>
      <c r="AC145" s="56"/>
      <c r="AD145" s="56"/>
      <c r="AE145" s="56"/>
      <c r="AF145" s="169"/>
      <c r="AG145" s="56"/>
      <c r="AH145" s="56"/>
      <c r="AI145" s="166"/>
      <c r="AJ145" s="56"/>
      <c r="AK145" s="56"/>
      <c r="AL145" s="56"/>
      <c r="AM145" s="56"/>
      <c r="AN145" s="56"/>
      <c r="AO145" s="56"/>
      <c r="AP145" s="56"/>
      <c r="AQ145" s="56"/>
      <c r="AR145" s="166"/>
      <c r="AS145" s="56"/>
      <c r="AT145" s="56"/>
      <c r="AU145" s="56"/>
      <c r="AV145" s="56"/>
      <c r="AW145" s="56"/>
      <c r="AX145" s="56"/>
      <c r="AY145" s="56"/>
      <c r="AZ145" s="56"/>
      <c r="BA145" s="166"/>
      <c r="BB145" s="56"/>
      <c r="BC145" s="56"/>
      <c r="BD145" s="56"/>
      <c r="BE145" s="166"/>
      <c r="BF145" s="56"/>
      <c r="BG145" s="17"/>
      <c r="BH145" s="56"/>
      <c r="BI145" s="56"/>
      <c r="BJ145" s="56"/>
      <c r="BK145" s="56"/>
      <c r="BS145" s="140"/>
      <c r="CM145" s="140"/>
      <c r="DC145" s="140"/>
    </row>
    <row r="146" spans="1:107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5"/>
        <v>0</v>
      </c>
      <c r="Q146" s="155" t="str">
        <f t="shared" si="16"/>
        <v/>
      </c>
      <c r="R146" s="171" t="str">
        <f t="shared" si="17"/>
        <v/>
      </c>
      <c r="W146" s="155" t="str">
        <f t="shared" si="12"/>
        <v/>
      </c>
      <c r="X146" s="171" t="str">
        <f t="shared" si="13"/>
        <v/>
      </c>
      <c r="BL146" s="105"/>
    </row>
    <row r="147" spans="1:107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5"/>
        <v>0</v>
      </c>
      <c r="Q147" s="155" t="str">
        <f t="shared" si="16"/>
        <v/>
      </c>
      <c r="R147" s="171" t="str">
        <f t="shared" si="17"/>
        <v/>
      </c>
      <c r="W147" s="155" t="str">
        <f t="shared" si="12"/>
        <v/>
      </c>
      <c r="X147" s="171" t="str">
        <f t="shared" si="13"/>
        <v/>
      </c>
      <c r="BL147" s="105"/>
    </row>
    <row r="148" spans="1:107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5"/>
        <v>0</v>
      </c>
      <c r="Q148" s="155" t="str">
        <f t="shared" si="16"/>
        <v/>
      </c>
      <c r="R148" s="171" t="str">
        <f t="shared" si="17"/>
        <v/>
      </c>
      <c r="W148" s="155" t="str">
        <f t="shared" si="12"/>
        <v/>
      </c>
      <c r="X148" s="171" t="str">
        <f t="shared" si="13"/>
        <v/>
      </c>
    </row>
    <row r="149" spans="1:107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5"/>
        <v>0</v>
      </c>
      <c r="Q149" s="155" t="str">
        <f t="shared" si="16"/>
        <v/>
      </c>
      <c r="R149" s="171" t="str">
        <f t="shared" si="17"/>
        <v/>
      </c>
      <c r="W149" s="155" t="str">
        <f t="shared" si="12"/>
        <v/>
      </c>
      <c r="X149" s="171" t="str">
        <f t="shared" si="13"/>
        <v/>
      </c>
    </row>
    <row r="150" spans="1:107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5"/>
        <v>0</v>
      </c>
      <c r="Q150" s="155" t="str">
        <f t="shared" si="16"/>
        <v/>
      </c>
      <c r="R150" s="171" t="str">
        <f t="shared" si="17"/>
        <v/>
      </c>
      <c r="W150" s="155" t="str">
        <f t="shared" ref="W150:W213" si="18">IF((1-(1-T150/100000)^L150)=0,"",1-(1-T150/100000)^L150)</f>
        <v/>
      </c>
      <c r="X150" s="171" t="str">
        <f t="shared" ref="X150:X213" si="19">IF((T150/100000)*L150=0,"",(T150/100000)*L150)</f>
        <v/>
      </c>
    </row>
    <row r="151" spans="1:107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5"/>
        <v>0</v>
      </c>
      <c r="Q151" s="155" t="str">
        <f t="shared" si="16"/>
        <v/>
      </c>
      <c r="R151" s="171" t="str">
        <f t="shared" si="17"/>
        <v/>
      </c>
      <c r="W151" s="155" t="str">
        <f t="shared" si="18"/>
        <v/>
      </c>
      <c r="X151" s="171" t="str">
        <f t="shared" si="19"/>
        <v/>
      </c>
    </row>
    <row r="152" spans="1:107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5"/>
        <v>0</v>
      </c>
      <c r="Q152" s="155" t="str">
        <f t="shared" si="16"/>
        <v/>
      </c>
      <c r="R152" s="171" t="str">
        <f t="shared" si="17"/>
        <v/>
      </c>
      <c r="W152" s="155" t="str">
        <f t="shared" si="18"/>
        <v/>
      </c>
      <c r="X152" s="171" t="str">
        <f t="shared" si="19"/>
        <v/>
      </c>
    </row>
    <row r="153" spans="1:107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5"/>
        <v>0</v>
      </c>
      <c r="Q153" s="155" t="str">
        <f t="shared" si="16"/>
        <v/>
      </c>
      <c r="R153" s="171" t="str">
        <f t="shared" si="17"/>
        <v/>
      </c>
      <c r="W153" s="155" t="str">
        <f t="shared" si="18"/>
        <v/>
      </c>
      <c r="X153" s="171" t="str">
        <f t="shared" si="19"/>
        <v/>
      </c>
    </row>
    <row r="154" spans="1:107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5"/>
        <v>0</v>
      </c>
      <c r="Q154" s="155" t="str">
        <f t="shared" si="16"/>
        <v/>
      </c>
      <c r="R154" s="171" t="str">
        <f t="shared" si="17"/>
        <v/>
      </c>
      <c r="W154" s="155" t="str">
        <f t="shared" si="18"/>
        <v/>
      </c>
      <c r="X154" s="171" t="str">
        <f t="shared" si="19"/>
        <v/>
      </c>
    </row>
    <row r="155" spans="1:107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5"/>
        <v>0</v>
      </c>
      <c r="P155" s="10"/>
      <c r="Q155" s="155" t="str">
        <f t="shared" si="16"/>
        <v/>
      </c>
      <c r="R155" s="171" t="str">
        <f t="shared" si="17"/>
        <v/>
      </c>
      <c r="S155" s="161"/>
      <c r="T155" s="55"/>
      <c r="U155" s="55"/>
      <c r="V155" s="55"/>
      <c r="W155" s="155" t="str">
        <f t="shared" si="18"/>
        <v/>
      </c>
      <c r="X155" s="171" t="str">
        <f t="shared" si="19"/>
        <v/>
      </c>
      <c r="Y155" s="165"/>
      <c r="Z155" s="10"/>
      <c r="AA155" s="55"/>
      <c r="AB155" s="55"/>
      <c r="AC155" s="55"/>
      <c r="AD155" s="55"/>
      <c r="AE155" s="55"/>
      <c r="AF155" s="167"/>
      <c r="AG155" s="55"/>
      <c r="AH155" s="55"/>
      <c r="AI155" s="165"/>
      <c r="AJ155" s="55"/>
      <c r="AK155" s="55"/>
      <c r="AL155" s="55"/>
      <c r="AM155" s="55"/>
      <c r="AN155" s="55"/>
      <c r="AO155" s="55"/>
      <c r="AP155" s="55"/>
      <c r="AQ155" s="55"/>
      <c r="AR155" s="165"/>
      <c r="AS155" s="55"/>
      <c r="AT155" s="55"/>
      <c r="AU155" s="55"/>
      <c r="AV155" s="55"/>
      <c r="AW155" s="55"/>
      <c r="AX155" s="55"/>
      <c r="AY155" s="55"/>
      <c r="AZ155" s="55"/>
      <c r="BA155" s="165"/>
      <c r="BB155" s="55"/>
      <c r="BC155" s="55"/>
      <c r="BD155" s="55"/>
      <c r="BE155" s="165"/>
      <c r="BF155" s="55"/>
      <c r="BG155" s="10"/>
      <c r="BH155" s="55"/>
      <c r="BI155" s="55"/>
      <c r="BJ155" s="55"/>
      <c r="BK155" s="55"/>
      <c r="BS155" s="141"/>
      <c r="CM155" s="141"/>
      <c r="DC155" s="141"/>
    </row>
    <row r="156" spans="1:107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5"/>
        <v>0</v>
      </c>
      <c r="P156" s="10"/>
      <c r="Q156" s="155" t="str">
        <f t="shared" si="16"/>
        <v/>
      </c>
      <c r="R156" s="171" t="str">
        <f t="shared" si="17"/>
        <v/>
      </c>
      <c r="S156" s="161"/>
      <c r="T156" s="55"/>
      <c r="U156" s="55"/>
      <c r="V156" s="55"/>
      <c r="W156" s="155" t="str">
        <f t="shared" si="18"/>
        <v/>
      </c>
      <c r="X156" s="171" t="str">
        <f t="shared" si="19"/>
        <v/>
      </c>
      <c r="Y156" s="165"/>
      <c r="Z156" s="10"/>
      <c r="AA156" s="55"/>
      <c r="AB156" s="55"/>
      <c r="AC156" s="55"/>
      <c r="AD156" s="55"/>
      <c r="AE156" s="55"/>
      <c r="AF156" s="167"/>
      <c r="AG156" s="55"/>
      <c r="AH156" s="55"/>
      <c r="AI156" s="165"/>
      <c r="AJ156" s="55"/>
      <c r="AK156" s="55"/>
      <c r="AL156" s="55"/>
      <c r="AM156" s="55"/>
      <c r="AN156" s="55"/>
      <c r="AO156" s="55"/>
      <c r="AP156" s="55"/>
      <c r="AQ156" s="55"/>
      <c r="AR156" s="165"/>
      <c r="AS156" s="55"/>
      <c r="AT156" s="55"/>
      <c r="AU156" s="55"/>
      <c r="AV156" s="55"/>
      <c r="AW156" s="55"/>
      <c r="AX156" s="55"/>
      <c r="AY156" s="55"/>
      <c r="AZ156" s="55"/>
      <c r="BA156" s="165"/>
      <c r="BB156" s="55"/>
      <c r="BC156" s="55"/>
      <c r="BD156" s="55"/>
      <c r="BE156" s="165"/>
      <c r="BF156" s="55"/>
      <c r="BG156" s="10"/>
      <c r="BH156" s="55"/>
      <c r="BI156" s="55"/>
      <c r="BJ156" s="55"/>
      <c r="BK156" s="55"/>
      <c r="BS156" s="141"/>
      <c r="CM156" s="141"/>
      <c r="DC156" s="141"/>
    </row>
    <row r="157" spans="1:107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5"/>
        <v>0</v>
      </c>
      <c r="P157" s="10"/>
      <c r="Q157" s="155" t="str">
        <f t="shared" si="16"/>
        <v/>
      </c>
      <c r="R157" s="171" t="str">
        <f t="shared" si="17"/>
        <v/>
      </c>
      <c r="S157" s="161"/>
      <c r="T157" s="55"/>
      <c r="U157" s="55"/>
      <c r="V157" s="55"/>
      <c r="W157" s="155" t="str">
        <f t="shared" si="18"/>
        <v/>
      </c>
      <c r="X157" s="171" t="str">
        <f t="shared" si="19"/>
        <v/>
      </c>
      <c r="Y157" s="165"/>
      <c r="Z157" s="10"/>
      <c r="AA157" s="55"/>
      <c r="AB157" s="55"/>
      <c r="AC157" s="55"/>
      <c r="AD157" s="55"/>
      <c r="AE157" s="55"/>
      <c r="AF157" s="167"/>
      <c r="AG157" s="55"/>
      <c r="AH157" s="55"/>
      <c r="AI157" s="165"/>
      <c r="AJ157" s="55"/>
      <c r="AK157" s="55"/>
      <c r="AL157" s="55"/>
      <c r="AM157" s="55"/>
      <c r="AN157" s="55"/>
      <c r="AO157" s="55"/>
      <c r="AP157" s="55"/>
      <c r="AQ157" s="55"/>
      <c r="AR157" s="165"/>
      <c r="AS157" s="55"/>
      <c r="AT157" s="55"/>
      <c r="AU157" s="55"/>
      <c r="AV157" s="55"/>
      <c r="AW157" s="55"/>
      <c r="AX157" s="55"/>
      <c r="AY157" s="55"/>
      <c r="AZ157" s="55"/>
      <c r="BA157" s="165"/>
      <c r="BB157" s="55"/>
      <c r="BC157" s="55"/>
      <c r="BD157" s="55"/>
      <c r="BE157" s="165"/>
      <c r="BF157" s="55"/>
      <c r="BG157" s="10"/>
      <c r="BH157" s="55"/>
      <c r="BI157" s="55"/>
      <c r="BJ157" s="55"/>
      <c r="BK157" s="55"/>
      <c r="BS157" s="141"/>
      <c r="CM157" s="141"/>
      <c r="DC157" s="141"/>
    </row>
    <row r="158" spans="1:107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5"/>
        <v>0</v>
      </c>
      <c r="P158" s="10"/>
      <c r="Q158" s="155" t="str">
        <f t="shared" si="16"/>
        <v/>
      </c>
      <c r="R158" s="171" t="str">
        <f t="shared" si="17"/>
        <v/>
      </c>
      <c r="S158" s="161"/>
      <c r="T158" s="55"/>
      <c r="U158" s="55"/>
      <c r="V158" s="55"/>
      <c r="W158" s="155" t="str">
        <f t="shared" si="18"/>
        <v/>
      </c>
      <c r="X158" s="171" t="str">
        <f t="shared" si="19"/>
        <v/>
      </c>
      <c r="Y158" s="165"/>
      <c r="Z158" s="10"/>
      <c r="AA158" s="55"/>
      <c r="AB158" s="55"/>
      <c r="AC158" s="55"/>
      <c r="AD158" s="55"/>
      <c r="AE158" s="55"/>
      <c r="AF158" s="167"/>
      <c r="AG158" s="55"/>
      <c r="AH158" s="55"/>
      <c r="AI158" s="165"/>
      <c r="AJ158" s="55"/>
      <c r="AK158" s="55"/>
      <c r="AL158" s="55"/>
      <c r="AM158" s="55"/>
      <c r="AN158" s="55"/>
      <c r="AO158" s="55"/>
      <c r="AP158" s="55"/>
      <c r="AQ158" s="55"/>
      <c r="AR158" s="165"/>
      <c r="AS158" s="55"/>
      <c r="AT158" s="55"/>
      <c r="AU158" s="55"/>
      <c r="AV158" s="55"/>
      <c r="AW158" s="55"/>
      <c r="AX158" s="55"/>
      <c r="AY158" s="55"/>
      <c r="AZ158" s="55"/>
      <c r="BA158" s="165"/>
      <c r="BB158" s="55"/>
      <c r="BC158" s="55"/>
      <c r="BD158" s="55"/>
      <c r="BE158" s="165"/>
      <c r="BF158" s="55"/>
      <c r="BG158" s="10"/>
      <c r="BH158" s="55"/>
      <c r="BI158" s="55"/>
      <c r="BJ158" s="55"/>
      <c r="BK158" s="55"/>
      <c r="BS158" s="141"/>
      <c r="CM158" s="141"/>
      <c r="DC158" s="141"/>
    </row>
    <row r="159" spans="1:107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5"/>
        <v>0</v>
      </c>
      <c r="P159" s="10"/>
      <c r="Q159" s="155" t="str">
        <f t="shared" si="16"/>
        <v/>
      </c>
      <c r="R159" s="171" t="str">
        <f t="shared" si="17"/>
        <v/>
      </c>
      <c r="S159" s="161"/>
      <c r="T159" s="55"/>
      <c r="U159" s="55"/>
      <c r="V159" s="55"/>
      <c r="W159" s="155" t="str">
        <f t="shared" si="18"/>
        <v/>
      </c>
      <c r="X159" s="171" t="str">
        <f t="shared" si="19"/>
        <v/>
      </c>
      <c r="Y159" s="165"/>
      <c r="Z159" s="10"/>
      <c r="AA159" s="55"/>
      <c r="AB159" s="55"/>
      <c r="AC159" s="55"/>
      <c r="AD159" s="55"/>
      <c r="AE159" s="55"/>
      <c r="AF159" s="167"/>
      <c r="AG159" s="55"/>
      <c r="AH159" s="55"/>
      <c r="AI159" s="165"/>
      <c r="AJ159" s="55"/>
      <c r="AK159" s="55"/>
      <c r="AL159" s="55"/>
      <c r="AM159" s="55"/>
      <c r="AN159" s="55"/>
      <c r="AO159" s="55"/>
      <c r="AP159" s="55"/>
      <c r="AQ159" s="55"/>
      <c r="AR159" s="165"/>
      <c r="AS159" s="55"/>
      <c r="AT159" s="55"/>
      <c r="AU159" s="55"/>
      <c r="AV159" s="55"/>
      <c r="AW159" s="55"/>
      <c r="AX159" s="55"/>
      <c r="AY159" s="55"/>
      <c r="AZ159" s="55"/>
      <c r="BA159" s="165"/>
      <c r="BB159" s="55"/>
      <c r="BC159" s="55"/>
      <c r="BD159" s="55"/>
      <c r="BE159" s="165"/>
      <c r="BF159" s="55"/>
      <c r="BG159" s="10"/>
      <c r="BH159" s="55"/>
      <c r="BI159" s="55"/>
      <c r="BJ159" s="55"/>
      <c r="BK159" s="55"/>
      <c r="BS159" s="141"/>
      <c r="CM159" s="141"/>
      <c r="DC159" s="141"/>
    </row>
    <row r="160" spans="1:107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5"/>
        <v>0</v>
      </c>
      <c r="P160" s="10"/>
      <c r="Q160" s="155" t="str">
        <f t="shared" si="16"/>
        <v/>
      </c>
      <c r="R160" s="171" t="str">
        <f t="shared" si="17"/>
        <v/>
      </c>
      <c r="S160" s="161"/>
      <c r="T160" s="55"/>
      <c r="U160" s="55"/>
      <c r="V160" s="55"/>
      <c r="W160" s="155" t="str">
        <f t="shared" si="18"/>
        <v/>
      </c>
      <c r="X160" s="171" t="str">
        <f t="shared" si="19"/>
        <v/>
      </c>
      <c r="Y160" s="165"/>
      <c r="Z160" s="10"/>
      <c r="AA160" s="55"/>
      <c r="AB160" s="55"/>
      <c r="AC160" s="55"/>
      <c r="AD160" s="55"/>
      <c r="AE160" s="55"/>
      <c r="AF160" s="167"/>
      <c r="AG160" s="55"/>
      <c r="AH160" s="55"/>
      <c r="AI160" s="165"/>
      <c r="AJ160" s="55"/>
      <c r="AK160" s="55"/>
      <c r="AL160" s="55"/>
      <c r="AM160" s="55"/>
      <c r="AN160" s="55"/>
      <c r="AO160" s="55"/>
      <c r="AP160" s="55"/>
      <c r="AQ160" s="55"/>
      <c r="AR160" s="165"/>
      <c r="AS160" s="55"/>
      <c r="AT160" s="55"/>
      <c r="AU160" s="55"/>
      <c r="AV160" s="55"/>
      <c r="AW160" s="55"/>
      <c r="AX160" s="55"/>
      <c r="AY160" s="55"/>
      <c r="AZ160" s="55"/>
      <c r="BA160" s="165"/>
      <c r="BB160" s="55"/>
      <c r="BC160" s="55"/>
      <c r="BD160" s="55"/>
      <c r="BE160" s="165"/>
      <c r="BF160" s="55"/>
      <c r="BG160" s="10"/>
      <c r="BH160" s="55"/>
      <c r="BI160" s="55"/>
      <c r="BJ160" s="55"/>
      <c r="BK160" s="55"/>
      <c r="BS160" s="141"/>
      <c r="CM160" s="141"/>
      <c r="DC160" s="141"/>
    </row>
    <row r="161" spans="1:107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5"/>
        <v>0</v>
      </c>
      <c r="P161" s="10"/>
      <c r="Q161" s="155" t="str">
        <f t="shared" si="16"/>
        <v/>
      </c>
      <c r="R161" s="171" t="str">
        <f t="shared" si="17"/>
        <v/>
      </c>
      <c r="S161" s="161"/>
      <c r="T161" s="55"/>
      <c r="U161" s="55"/>
      <c r="V161" s="55"/>
      <c r="W161" s="155" t="str">
        <f t="shared" si="18"/>
        <v/>
      </c>
      <c r="X161" s="171" t="str">
        <f t="shared" si="19"/>
        <v/>
      </c>
      <c r="Y161" s="165"/>
      <c r="Z161" s="10"/>
      <c r="AA161" s="55"/>
      <c r="AB161" s="55"/>
      <c r="AC161" s="55"/>
      <c r="AD161" s="55"/>
      <c r="AE161" s="55"/>
      <c r="AF161" s="167"/>
      <c r="AG161" s="55"/>
      <c r="AH161" s="55"/>
      <c r="AI161" s="165"/>
      <c r="AJ161" s="55"/>
      <c r="AK161" s="55"/>
      <c r="AL161" s="55"/>
      <c r="AM161" s="55"/>
      <c r="AN161" s="55"/>
      <c r="AO161" s="55"/>
      <c r="AP161" s="55"/>
      <c r="AQ161" s="55"/>
      <c r="AR161" s="165"/>
      <c r="AS161" s="55"/>
      <c r="AT161" s="55"/>
      <c r="AU161" s="55"/>
      <c r="AV161" s="55"/>
      <c r="AW161" s="55"/>
      <c r="AX161" s="55"/>
      <c r="AY161" s="55"/>
      <c r="AZ161" s="55"/>
      <c r="BA161" s="165"/>
      <c r="BB161" s="55"/>
      <c r="BC161" s="55"/>
      <c r="BD161" s="55"/>
      <c r="BE161" s="165"/>
      <c r="BF161" s="55"/>
      <c r="BG161" s="10"/>
      <c r="BH161" s="55"/>
      <c r="BI161" s="55"/>
      <c r="BJ161" s="55"/>
      <c r="BK161" s="55"/>
      <c r="BS161" s="141"/>
      <c r="CM161" s="141"/>
      <c r="DC161" s="141"/>
    </row>
    <row r="162" spans="1:107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5"/>
        <v>0</v>
      </c>
      <c r="P162" s="10"/>
      <c r="Q162" s="155" t="str">
        <f t="shared" si="16"/>
        <v/>
      </c>
      <c r="R162" s="171" t="str">
        <f t="shared" si="17"/>
        <v/>
      </c>
      <c r="S162" s="161"/>
      <c r="T162" s="55"/>
      <c r="U162" s="55"/>
      <c r="V162" s="55"/>
      <c r="W162" s="155" t="str">
        <f t="shared" si="18"/>
        <v/>
      </c>
      <c r="X162" s="171" t="str">
        <f t="shared" si="19"/>
        <v/>
      </c>
      <c r="Y162" s="165"/>
      <c r="Z162" s="10"/>
      <c r="AA162" s="55"/>
      <c r="AB162" s="55"/>
      <c r="AC162" s="55"/>
      <c r="AD162" s="55"/>
      <c r="AE162" s="55"/>
      <c r="AF162" s="167"/>
      <c r="AG162" s="55"/>
      <c r="AH162" s="55"/>
      <c r="AI162" s="165"/>
      <c r="AJ162" s="55"/>
      <c r="AK162" s="55"/>
      <c r="AL162" s="55"/>
      <c r="AM162" s="55"/>
      <c r="AN162" s="55"/>
      <c r="AO162" s="55"/>
      <c r="AP162" s="55"/>
      <c r="AQ162" s="55"/>
      <c r="AR162" s="165"/>
      <c r="AS162" s="55"/>
      <c r="AT162" s="55"/>
      <c r="AU162" s="55"/>
      <c r="AV162" s="55"/>
      <c r="AW162" s="55"/>
      <c r="AX162" s="55"/>
      <c r="AY162" s="55"/>
      <c r="AZ162" s="55"/>
      <c r="BA162" s="165"/>
      <c r="BB162" s="55"/>
      <c r="BC162" s="55"/>
      <c r="BD162" s="55"/>
      <c r="BE162" s="165"/>
      <c r="BF162" s="55"/>
      <c r="BG162" s="10"/>
      <c r="BH162" s="55"/>
      <c r="BI162" s="55"/>
      <c r="BJ162" s="55"/>
      <c r="BK162" s="55"/>
      <c r="BS162" s="141"/>
      <c r="CM162" s="141"/>
      <c r="DC162" s="141"/>
    </row>
    <row r="163" spans="1:107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5"/>
        <v>0</v>
      </c>
      <c r="P163" s="10"/>
      <c r="Q163" s="155" t="str">
        <f t="shared" si="16"/>
        <v/>
      </c>
      <c r="R163" s="171" t="str">
        <f t="shared" si="17"/>
        <v/>
      </c>
      <c r="S163" s="161"/>
      <c r="T163" s="55"/>
      <c r="U163" s="55"/>
      <c r="V163" s="55"/>
      <c r="W163" s="155" t="str">
        <f t="shared" si="18"/>
        <v/>
      </c>
      <c r="X163" s="171" t="str">
        <f t="shared" si="19"/>
        <v/>
      </c>
      <c r="Y163" s="165"/>
      <c r="Z163" s="10"/>
      <c r="AA163" s="55"/>
      <c r="AB163" s="55"/>
      <c r="AC163" s="55"/>
      <c r="AD163" s="55"/>
      <c r="AE163" s="55"/>
      <c r="AF163" s="167"/>
      <c r="AG163" s="55"/>
      <c r="AH163" s="55"/>
      <c r="AI163" s="165"/>
      <c r="AJ163" s="55"/>
      <c r="AK163" s="55"/>
      <c r="AL163" s="55"/>
      <c r="AM163" s="55"/>
      <c r="AN163" s="55"/>
      <c r="AO163" s="55"/>
      <c r="AP163" s="55"/>
      <c r="AQ163" s="55"/>
      <c r="AR163" s="165"/>
      <c r="AS163" s="55"/>
      <c r="AT163" s="55"/>
      <c r="AU163" s="55"/>
      <c r="AV163" s="55"/>
      <c r="AW163" s="55"/>
      <c r="AX163" s="55"/>
      <c r="AY163" s="55"/>
      <c r="AZ163" s="55"/>
      <c r="BA163" s="165"/>
      <c r="BB163" s="55"/>
      <c r="BC163" s="55"/>
      <c r="BD163" s="55"/>
      <c r="BE163" s="165"/>
      <c r="BF163" s="55"/>
      <c r="BG163" s="10"/>
      <c r="BH163" s="55"/>
      <c r="BI163" s="55"/>
      <c r="BJ163" s="55"/>
      <c r="BK163" s="55"/>
      <c r="BS163" s="141"/>
      <c r="CM163" s="141"/>
      <c r="DC163" s="141"/>
    </row>
    <row r="164" spans="1:107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5"/>
        <v>0</v>
      </c>
      <c r="P164" s="10"/>
      <c r="Q164" s="155" t="str">
        <f t="shared" si="16"/>
        <v/>
      </c>
      <c r="R164" s="171" t="str">
        <f t="shared" si="17"/>
        <v/>
      </c>
      <c r="S164" s="161"/>
      <c r="T164" s="55"/>
      <c r="U164" s="55"/>
      <c r="V164" s="55"/>
      <c r="W164" s="155" t="str">
        <f t="shared" si="18"/>
        <v/>
      </c>
      <c r="X164" s="171" t="str">
        <f t="shared" si="19"/>
        <v/>
      </c>
      <c r="Y164" s="165"/>
      <c r="Z164" s="10"/>
      <c r="AA164" s="55"/>
      <c r="AB164" s="55"/>
      <c r="AC164" s="55"/>
      <c r="AD164" s="55"/>
      <c r="AE164" s="55"/>
      <c r="AF164" s="167"/>
      <c r="AG164" s="55"/>
      <c r="AH164" s="55"/>
      <c r="AI164" s="165"/>
      <c r="AJ164" s="55"/>
      <c r="AK164" s="55"/>
      <c r="AL164" s="55"/>
      <c r="AM164" s="55"/>
      <c r="AN164" s="55"/>
      <c r="AO164" s="55"/>
      <c r="AP164" s="55"/>
      <c r="AQ164" s="55"/>
      <c r="AR164" s="165"/>
      <c r="AS164" s="55"/>
      <c r="AT164" s="55"/>
      <c r="AU164" s="55"/>
      <c r="AV164" s="55"/>
      <c r="AW164" s="55"/>
      <c r="AX164" s="55"/>
      <c r="AY164" s="55"/>
      <c r="AZ164" s="55"/>
      <c r="BA164" s="165"/>
      <c r="BB164" s="55"/>
      <c r="BC164" s="55"/>
      <c r="BD164" s="55"/>
      <c r="BE164" s="165"/>
      <c r="BF164" s="55"/>
      <c r="BG164" s="10"/>
      <c r="BH164" s="55"/>
      <c r="BI164" s="55"/>
      <c r="BJ164" s="55"/>
      <c r="BK164" s="55"/>
      <c r="BS164" s="141"/>
      <c r="CM164" s="141"/>
      <c r="DC164" s="141"/>
    </row>
    <row r="165" spans="1:107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5"/>
        <v>0</v>
      </c>
      <c r="P165" s="17"/>
      <c r="Q165" s="156" t="str">
        <f t="shared" si="16"/>
        <v/>
      </c>
      <c r="R165" s="172" t="str">
        <f t="shared" si="17"/>
        <v/>
      </c>
      <c r="S165" s="162"/>
      <c r="T165" s="56"/>
      <c r="U165" s="56"/>
      <c r="V165" s="56"/>
      <c r="W165" s="156" t="str">
        <f t="shared" si="18"/>
        <v/>
      </c>
      <c r="X165" s="172" t="str">
        <f t="shared" si="19"/>
        <v/>
      </c>
      <c r="Y165" s="166"/>
      <c r="Z165" s="17"/>
      <c r="AA165" s="56"/>
      <c r="AB165" s="56"/>
      <c r="AC165" s="56"/>
      <c r="AD165" s="56"/>
      <c r="AE165" s="56"/>
      <c r="AF165" s="169"/>
      <c r="AG165" s="56"/>
      <c r="AH165" s="56"/>
      <c r="AI165" s="166"/>
      <c r="AJ165" s="56"/>
      <c r="AK165" s="56"/>
      <c r="AL165" s="56"/>
      <c r="AM165" s="56"/>
      <c r="AN165" s="56"/>
      <c r="AO165" s="56"/>
      <c r="AP165" s="56"/>
      <c r="AQ165" s="56"/>
      <c r="AR165" s="166"/>
      <c r="AS165" s="56"/>
      <c r="AT165" s="56"/>
      <c r="AU165" s="56"/>
      <c r="AV165" s="56"/>
      <c r="AW165" s="56"/>
      <c r="AX165" s="56"/>
      <c r="AY165" s="56"/>
      <c r="AZ165" s="56"/>
      <c r="BA165" s="166"/>
      <c r="BB165" s="56"/>
      <c r="BC165" s="56"/>
      <c r="BD165" s="56"/>
      <c r="BE165" s="166"/>
      <c r="BF165" s="56"/>
      <c r="BG165" s="17"/>
      <c r="BH165" s="56"/>
      <c r="BI165" s="56"/>
      <c r="BJ165" s="56"/>
      <c r="BK165" s="56"/>
      <c r="BS165" s="140"/>
      <c r="CM165" s="140"/>
      <c r="DC165" s="140"/>
    </row>
    <row r="166" spans="1:107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5"/>
        <v>0</v>
      </c>
      <c r="Q166" s="155" t="str">
        <f t="shared" si="16"/>
        <v/>
      </c>
      <c r="R166" s="171" t="str">
        <f t="shared" si="17"/>
        <v/>
      </c>
      <c r="W166" s="155" t="str">
        <f t="shared" si="18"/>
        <v/>
      </c>
      <c r="X166" s="171" t="str">
        <f t="shared" si="19"/>
        <v/>
      </c>
      <c r="BL166" s="105"/>
    </row>
    <row r="167" spans="1:107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5"/>
        <v>0</v>
      </c>
      <c r="Q167" s="155" t="str">
        <f t="shared" si="16"/>
        <v/>
      </c>
      <c r="R167" s="171" t="str">
        <f t="shared" si="17"/>
        <v/>
      </c>
      <c r="W167" s="155" t="str">
        <f t="shared" si="18"/>
        <v/>
      </c>
      <c r="X167" s="171" t="str">
        <f t="shared" si="19"/>
        <v/>
      </c>
      <c r="BL167" s="105"/>
    </row>
    <row r="168" spans="1:107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5"/>
        <v>0</v>
      </c>
      <c r="Q168" s="155" t="str">
        <f t="shared" si="16"/>
        <v/>
      </c>
      <c r="R168" s="171" t="str">
        <f t="shared" si="17"/>
        <v/>
      </c>
      <c r="W168" s="155" t="str">
        <f t="shared" si="18"/>
        <v/>
      </c>
      <c r="X168" s="171" t="str">
        <f t="shared" si="19"/>
        <v/>
      </c>
    </row>
    <row r="169" spans="1:107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5"/>
        <v>0</v>
      </c>
      <c r="Q169" s="155" t="str">
        <f t="shared" si="16"/>
        <v/>
      </c>
      <c r="R169" s="171" t="str">
        <f t="shared" si="17"/>
        <v/>
      </c>
      <c r="W169" s="155" t="str">
        <f t="shared" si="18"/>
        <v/>
      </c>
      <c r="X169" s="171" t="str">
        <f t="shared" si="19"/>
        <v/>
      </c>
    </row>
    <row r="170" spans="1:107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5"/>
        <v>0</v>
      </c>
      <c r="Q170" s="155" t="str">
        <f t="shared" si="16"/>
        <v/>
      </c>
      <c r="R170" s="171" t="str">
        <f t="shared" si="17"/>
        <v/>
      </c>
      <c r="W170" s="155" t="str">
        <f t="shared" si="18"/>
        <v/>
      </c>
      <c r="X170" s="171" t="str">
        <f t="shared" si="19"/>
        <v/>
      </c>
    </row>
    <row r="171" spans="1:107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5"/>
        <v>0</v>
      </c>
      <c r="Q171" s="155" t="str">
        <f t="shared" si="16"/>
        <v/>
      </c>
      <c r="R171" s="171" t="str">
        <f t="shared" si="17"/>
        <v/>
      </c>
      <c r="W171" s="155" t="str">
        <f t="shared" si="18"/>
        <v/>
      </c>
      <c r="X171" s="171" t="str">
        <f t="shared" si="19"/>
        <v/>
      </c>
    </row>
    <row r="172" spans="1:107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5"/>
        <v>0</v>
      </c>
      <c r="Q172" s="155" t="str">
        <f t="shared" si="16"/>
        <v/>
      </c>
      <c r="R172" s="171" t="str">
        <f t="shared" si="17"/>
        <v/>
      </c>
      <c r="W172" s="155" t="str">
        <f t="shared" si="18"/>
        <v/>
      </c>
      <c r="X172" s="171" t="str">
        <f t="shared" si="19"/>
        <v/>
      </c>
    </row>
    <row r="173" spans="1:107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5"/>
        <v>0</v>
      </c>
      <c r="Q173" s="155" t="str">
        <f t="shared" si="16"/>
        <v/>
      </c>
      <c r="R173" s="171" t="str">
        <f t="shared" si="17"/>
        <v/>
      </c>
      <c r="W173" s="155" t="str">
        <f t="shared" si="18"/>
        <v/>
      </c>
      <c r="X173" s="171" t="str">
        <f t="shared" si="19"/>
        <v/>
      </c>
    </row>
    <row r="174" spans="1:107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5"/>
        <v>0</v>
      </c>
      <c r="Q174" s="155" t="str">
        <f t="shared" si="16"/>
        <v/>
      </c>
      <c r="R174" s="171" t="str">
        <f t="shared" si="17"/>
        <v/>
      </c>
      <c r="W174" s="155" t="str">
        <f t="shared" si="18"/>
        <v/>
      </c>
      <c r="X174" s="171" t="str">
        <f t="shared" si="19"/>
        <v/>
      </c>
    </row>
    <row r="175" spans="1:107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5"/>
        <v>0</v>
      </c>
      <c r="P175" s="10"/>
      <c r="Q175" s="155" t="str">
        <f t="shared" si="16"/>
        <v/>
      </c>
      <c r="R175" s="171" t="str">
        <f t="shared" si="17"/>
        <v/>
      </c>
      <c r="S175" s="161"/>
      <c r="T175" s="55"/>
      <c r="U175" s="55"/>
      <c r="V175" s="55"/>
      <c r="W175" s="155" t="str">
        <f t="shared" si="18"/>
        <v/>
      </c>
      <c r="X175" s="171" t="str">
        <f t="shared" si="19"/>
        <v/>
      </c>
      <c r="Y175" s="165"/>
      <c r="Z175" s="10"/>
      <c r="AA175" s="55"/>
      <c r="AB175" s="55"/>
      <c r="AC175" s="55"/>
      <c r="AD175" s="55"/>
      <c r="AE175" s="55"/>
      <c r="AF175" s="167"/>
      <c r="AG175" s="55"/>
      <c r="AH175" s="55"/>
      <c r="AI175" s="165"/>
      <c r="AJ175" s="55"/>
      <c r="AK175" s="55"/>
      <c r="AL175" s="55"/>
      <c r="AM175" s="55"/>
      <c r="AN175" s="55"/>
      <c r="AO175" s="55"/>
      <c r="AP175" s="55"/>
      <c r="AQ175" s="55"/>
      <c r="AR175" s="165"/>
      <c r="AS175" s="55"/>
      <c r="AT175" s="55"/>
      <c r="AU175" s="55"/>
      <c r="AV175" s="55"/>
      <c r="AW175" s="55"/>
      <c r="AX175" s="55"/>
      <c r="AY175" s="55"/>
      <c r="AZ175" s="55"/>
      <c r="BA175" s="165"/>
      <c r="BB175" s="55"/>
      <c r="BC175" s="55"/>
      <c r="BD175" s="55"/>
      <c r="BE175" s="165"/>
      <c r="BF175" s="55"/>
      <c r="BG175" s="10"/>
      <c r="BH175" s="55"/>
      <c r="BI175" s="55"/>
      <c r="BJ175" s="55"/>
      <c r="BK175" s="55"/>
      <c r="BS175" s="141"/>
      <c r="CM175" s="141"/>
      <c r="DC175" s="141"/>
    </row>
    <row r="176" spans="1:107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5"/>
        <v>0</v>
      </c>
      <c r="P176" s="10"/>
      <c r="Q176" s="155" t="str">
        <f t="shared" si="16"/>
        <v/>
      </c>
      <c r="R176" s="171" t="str">
        <f t="shared" si="17"/>
        <v/>
      </c>
      <c r="S176" s="161"/>
      <c r="T176" s="55"/>
      <c r="U176" s="55"/>
      <c r="V176" s="55"/>
      <c r="W176" s="155" t="str">
        <f t="shared" si="18"/>
        <v/>
      </c>
      <c r="X176" s="171" t="str">
        <f t="shared" si="19"/>
        <v/>
      </c>
      <c r="Y176" s="165"/>
      <c r="Z176" s="10"/>
      <c r="AA176" s="55"/>
      <c r="AB176" s="55"/>
      <c r="AC176" s="55"/>
      <c r="AD176" s="55"/>
      <c r="AE176" s="55"/>
      <c r="AF176" s="167"/>
      <c r="AG176" s="55"/>
      <c r="AH176" s="55"/>
      <c r="AI176" s="165"/>
      <c r="AJ176" s="55"/>
      <c r="AK176" s="55"/>
      <c r="AL176" s="55"/>
      <c r="AM176" s="55"/>
      <c r="AN176" s="55"/>
      <c r="AO176" s="55"/>
      <c r="AP176" s="55"/>
      <c r="AQ176" s="55"/>
      <c r="AR176" s="165"/>
      <c r="AS176" s="55"/>
      <c r="AT176" s="55"/>
      <c r="AU176" s="55"/>
      <c r="AV176" s="55"/>
      <c r="AW176" s="55"/>
      <c r="AX176" s="55"/>
      <c r="AY176" s="55"/>
      <c r="AZ176" s="55"/>
      <c r="BA176" s="165"/>
      <c r="BB176" s="55"/>
      <c r="BC176" s="55"/>
      <c r="BD176" s="55"/>
      <c r="BE176" s="165"/>
      <c r="BF176" s="55"/>
      <c r="BG176" s="10"/>
      <c r="BH176" s="55"/>
      <c r="BI176" s="55"/>
      <c r="BJ176" s="55"/>
      <c r="BK176" s="55"/>
      <c r="BS176" s="141"/>
      <c r="CM176" s="141"/>
      <c r="DC176" s="141"/>
    </row>
    <row r="177" spans="1:107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5"/>
        <v>0</v>
      </c>
      <c r="P177" s="10"/>
      <c r="Q177" s="155" t="str">
        <f t="shared" si="16"/>
        <v/>
      </c>
      <c r="R177" s="171" t="str">
        <f t="shared" si="17"/>
        <v/>
      </c>
      <c r="S177" s="161"/>
      <c r="T177" s="55"/>
      <c r="U177" s="55"/>
      <c r="V177" s="55"/>
      <c r="W177" s="155" t="str">
        <f t="shared" si="18"/>
        <v/>
      </c>
      <c r="X177" s="171" t="str">
        <f t="shared" si="19"/>
        <v/>
      </c>
      <c r="Y177" s="165"/>
      <c r="Z177" s="10"/>
      <c r="AA177" s="55"/>
      <c r="AB177" s="55"/>
      <c r="AC177" s="55"/>
      <c r="AD177" s="55"/>
      <c r="AE177" s="55"/>
      <c r="AF177" s="167"/>
      <c r="AG177" s="55"/>
      <c r="AH177" s="55"/>
      <c r="AI177" s="165"/>
      <c r="AJ177" s="55"/>
      <c r="AK177" s="55"/>
      <c r="AL177" s="55"/>
      <c r="AM177" s="55"/>
      <c r="AN177" s="55"/>
      <c r="AO177" s="55"/>
      <c r="AP177" s="55"/>
      <c r="AQ177" s="55"/>
      <c r="AR177" s="165"/>
      <c r="AS177" s="55"/>
      <c r="AT177" s="55"/>
      <c r="AU177" s="55"/>
      <c r="AV177" s="55"/>
      <c r="AW177" s="55"/>
      <c r="AX177" s="55"/>
      <c r="AY177" s="55"/>
      <c r="AZ177" s="55"/>
      <c r="BA177" s="165"/>
      <c r="BB177" s="55"/>
      <c r="BC177" s="55"/>
      <c r="BD177" s="55"/>
      <c r="BE177" s="165"/>
      <c r="BF177" s="55"/>
      <c r="BG177" s="10"/>
      <c r="BH177" s="55"/>
      <c r="BI177" s="55"/>
      <c r="BJ177" s="55"/>
      <c r="BK177" s="55"/>
      <c r="BS177" s="141"/>
      <c r="CM177" s="141"/>
      <c r="DC177" s="141"/>
    </row>
    <row r="178" spans="1:107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5"/>
        <v>0</v>
      </c>
      <c r="P178" s="10"/>
      <c r="Q178" s="155" t="str">
        <f t="shared" si="16"/>
        <v/>
      </c>
      <c r="R178" s="171" t="str">
        <f t="shared" si="17"/>
        <v/>
      </c>
      <c r="S178" s="161"/>
      <c r="T178" s="55"/>
      <c r="U178" s="55"/>
      <c r="V178" s="55"/>
      <c r="W178" s="155" t="str">
        <f t="shared" si="18"/>
        <v/>
      </c>
      <c r="X178" s="171" t="str">
        <f t="shared" si="19"/>
        <v/>
      </c>
      <c r="Y178" s="165"/>
      <c r="Z178" s="10"/>
      <c r="AA178" s="55"/>
      <c r="AB178" s="55"/>
      <c r="AC178" s="55"/>
      <c r="AD178" s="55"/>
      <c r="AE178" s="55"/>
      <c r="AF178" s="167"/>
      <c r="AG178" s="55"/>
      <c r="AH178" s="55"/>
      <c r="AI178" s="165"/>
      <c r="AJ178" s="55"/>
      <c r="AK178" s="55"/>
      <c r="AL178" s="55"/>
      <c r="AM178" s="55"/>
      <c r="AN178" s="55"/>
      <c r="AO178" s="55"/>
      <c r="AP178" s="55"/>
      <c r="AQ178" s="55"/>
      <c r="AR178" s="165"/>
      <c r="AS178" s="55"/>
      <c r="AT178" s="55"/>
      <c r="AU178" s="55"/>
      <c r="AV178" s="55"/>
      <c r="AW178" s="55"/>
      <c r="AX178" s="55"/>
      <c r="AY178" s="55"/>
      <c r="AZ178" s="55"/>
      <c r="BA178" s="165"/>
      <c r="BB178" s="55"/>
      <c r="BC178" s="55"/>
      <c r="BD178" s="55"/>
      <c r="BE178" s="165"/>
      <c r="BF178" s="55"/>
      <c r="BG178" s="10"/>
      <c r="BH178" s="55"/>
      <c r="BI178" s="55"/>
      <c r="BJ178" s="55"/>
      <c r="BK178" s="55"/>
      <c r="BS178" s="141"/>
      <c r="CM178" s="141"/>
      <c r="DC178" s="141"/>
    </row>
    <row r="179" spans="1:107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5"/>
        <v>0</v>
      </c>
      <c r="P179" s="10"/>
      <c r="Q179" s="155" t="str">
        <f t="shared" si="16"/>
        <v/>
      </c>
      <c r="R179" s="171" t="str">
        <f t="shared" si="17"/>
        <v/>
      </c>
      <c r="S179" s="161"/>
      <c r="T179" s="55"/>
      <c r="U179" s="55"/>
      <c r="V179" s="55"/>
      <c r="W179" s="155" t="str">
        <f t="shared" si="18"/>
        <v/>
      </c>
      <c r="X179" s="171" t="str">
        <f t="shared" si="19"/>
        <v/>
      </c>
      <c r="Y179" s="165"/>
      <c r="Z179" s="10"/>
      <c r="AA179" s="55"/>
      <c r="AB179" s="55"/>
      <c r="AC179" s="55"/>
      <c r="AD179" s="55"/>
      <c r="AE179" s="55"/>
      <c r="AF179" s="167"/>
      <c r="AG179" s="55"/>
      <c r="AH179" s="55"/>
      <c r="AI179" s="165"/>
      <c r="AJ179" s="55"/>
      <c r="AK179" s="55"/>
      <c r="AL179" s="55"/>
      <c r="AM179" s="55"/>
      <c r="AN179" s="55"/>
      <c r="AO179" s="55"/>
      <c r="AP179" s="55"/>
      <c r="AQ179" s="55"/>
      <c r="AR179" s="165"/>
      <c r="AS179" s="55"/>
      <c r="AT179" s="55"/>
      <c r="AU179" s="55"/>
      <c r="AV179" s="55"/>
      <c r="AW179" s="55"/>
      <c r="AX179" s="55"/>
      <c r="AY179" s="55"/>
      <c r="AZ179" s="55"/>
      <c r="BA179" s="165"/>
      <c r="BB179" s="55"/>
      <c r="BC179" s="55"/>
      <c r="BD179" s="55"/>
      <c r="BE179" s="165"/>
      <c r="BF179" s="55"/>
      <c r="BG179" s="10"/>
      <c r="BH179" s="55"/>
      <c r="BI179" s="55"/>
      <c r="BJ179" s="55"/>
      <c r="BK179" s="55"/>
      <c r="BS179" s="141"/>
      <c r="CM179" s="141"/>
      <c r="DC179" s="141"/>
    </row>
    <row r="180" spans="1:107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5"/>
        <v>0</v>
      </c>
      <c r="P180" s="10"/>
      <c r="Q180" s="155" t="str">
        <f t="shared" si="16"/>
        <v/>
      </c>
      <c r="R180" s="171" t="str">
        <f t="shared" si="17"/>
        <v/>
      </c>
      <c r="S180" s="161"/>
      <c r="T180" s="55"/>
      <c r="U180" s="55"/>
      <c r="V180" s="55"/>
      <c r="W180" s="155" t="str">
        <f t="shared" si="18"/>
        <v/>
      </c>
      <c r="X180" s="171" t="str">
        <f t="shared" si="19"/>
        <v/>
      </c>
      <c r="Y180" s="165"/>
      <c r="Z180" s="10"/>
      <c r="AA180" s="55"/>
      <c r="AB180" s="55"/>
      <c r="AC180" s="55"/>
      <c r="AD180" s="55"/>
      <c r="AE180" s="55"/>
      <c r="AF180" s="167"/>
      <c r="AG180" s="55"/>
      <c r="AH180" s="55"/>
      <c r="AI180" s="165"/>
      <c r="AJ180" s="55"/>
      <c r="AK180" s="55"/>
      <c r="AL180" s="55"/>
      <c r="AM180" s="55"/>
      <c r="AN180" s="55"/>
      <c r="AO180" s="55"/>
      <c r="AP180" s="55"/>
      <c r="AQ180" s="55"/>
      <c r="AR180" s="165"/>
      <c r="AS180" s="55"/>
      <c r="AT180" s="55"/>
      <c r="AU180" s="55"/>
      <c r="AV180" s="55"/>
      <c r="AW180" s="55"/>
      <c r="AX180" s="55"/>
      <c r="AY180" s="55"/>
      <c r="AZ180" s="55"/>
      <c r="BA180" s="165"/>
      <c r="BB180" s="55"/>
      <c r="BC180" s="55"/>
      <c r="BD180" s="55"/>
      <c r="BE180" s="165"/>
      <c r="BF180" s="55"/>
      <c r="BG180" s="10"/>
      <c r="BH180" s="55"/>
      <c r="BI180" s="55"/>
      <c r="BJ180" s="55"/>
      <c r="BK180" s="55"/>
      <c r="BS180" s="141"/>
      <c r="CM180" s="141"/>
      <c r="DC180" s="141"/>
    </row>
    <row r="181" spans="1:107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5"/>
        <v>0</v>
      </c>
      <c r="P181" s="10"/>
      <c r="Q181" s="155" t="str">
        <f t="shared" si="16"/>
        <v/>
      </c>
      <c r="R181" s="171" t="str">
        <f t="shared" si="17"/>
        <v/>
      </c>
      <c r="S181" s="161"/>
      <c r="T181" s="55"/>
      <c r="U181" s="55"/>
      <c r="V181" s="55"/>
      <c r="W181" s="155" t="str">
        <f t="shared" si="18"/>
        <v/>
      </c>
      <c r="X181" s="171" t="str">
        <f t="shared" si="19"/>
        <v/>
      </c>
      <c r="Y181" s="165"/>
      <c r="Z181" s="10"/>
      <c r="AA181" s="55"/>
      <c r="AB181" s="55"/>
      <c r="AC181" s="55"/>
      <c r="AD181" s="55"/>
      <c r="AE181" s="55"/>
      <c r="AF181" s="167"/>
      <c r="AG181" s="55"/>
      <c r="AH181" s="55"/>
      <c r="AI181" s="165"/>
      <c r="AJ181" s="55"/>
      <c r="AK181" s="55"/>
      <c r="AL181" s="55"/>
      <c r="AM181" s="55"/>
      <c r="AN181" s="55"/>
      <c r="AO181" s="55"/>
      <c r="AP181" s="55"/>
      <c r="AQ181" s="55"/>
      <c r="AR181" s="165"/>
      <c r="AS181" s="55"/>
      <c r="AT181" s="55"/>
      <c r="AU181" s="55"/>
      <c r="AV181" s="55"/>
      <c r="AW181" s="55"/>
      <c r="AX181" s="55"/>
      <c r="AY181" s="55"/>
      <c r="AZ181" s="55"/>
      <c r="BA181" s="165"/>
      <c r="BB181" s="55"/>
      <c r="BC181" s="55"/>
      <c r="BD181" s="55"/>
      <c r="BE181" s="165"/>
      <c r="BF181" s="55"/>
      <c r="BG181" s="10"/>
      <c r="BH181" s="55"/>
      <c r="BI181" s="55"/>
      <c r="BJ181" s="55"/>
      <c r="BK181" s="55"/>
      <c r="BS181" s="141"/>
      <c r="CM181" s="141"/>
      <c r="DC181" s="141"/>
    </row>
    <row r="182" spans="1:107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5"/>
        <v>0</v>
      </c>
      <c r="P182" s="10"/>
      <c r="Q182" s="155" t="str">
        <f t="shared" si="16"/>
        <v/>
      </c>
      <c r="R182" s="171" t="str">
        <f t="shared" si="17"/>
        <v/>
      </c>
      <c r="S182" s="161"/>
      <c r="T182" s="55"/>
      <c r="U182" s="55"/>
      <c r="V182" s="55"/>
      <c r="W182" s="155" t="str">
        <f t="shared" si="18"/>
        <v/>
      </c>
      <c r="X182" s="171" t="str">
        <f t="shared" si="19"/>
        <v/>
      </c>
      <c r="Y182" s="165"/>
      <c r="Z182" s="10"/>
      <c r="AA182" s="55"/>
      <c r="AB182" s="55"/>
      <c r="AC182" s="55"/>
      <c r="AD182" s="55"/>
      <c r="AE182" s="55"/>
      <c r="AF182" s="167"/>
      <c r="AG182" s="55"/>
      <c r="AH182" s="55"/>
      <c r="AI182" s="165"/>
      <c r="AJ182" s="55"/>
      <c r="AK182" s="55"/>
      <c r="AL182" s="55"/>
      <c r="AM182" s="55"/>
      <c r="AN182" s="55"/>
      <c r="AO182" s="55"/>
      <c r="AP182" s="55"/>
      <c r="AQ182" s="55"/>
      <c r="AR182" s="165"/>
      <c r="AS182" s="55"/>
      <c r="AT182" s="55"/>
      <c r="AU182" s="55"/>
      <c r="AV182" s="55"/>
      <c r="AW182" s="55"/>
      <c r="AX182" s="55"/>
      <c r="AY182" s="55"/>
      <c r="AZ182" s="55"/>
      <c r="BA182" s="165"/>
      <c r="BB182" s="55"/>
      <c r="BC182" s="55"/>
      <c r="BD182" s="55"/>
      <c r="BE182" s="165"/>
      <c r="BF182" s="55"/>
      <c r="BG182" s="10"/>
      <c r="BH182" s="55"/>
      <c r="BI182" s="55"/>
      <c r="BJ182" s="55"/>
      <c r="BK182" s="55"/>
      <c r="BS182" s="141"/>
      <c r="CM182" s="141"/>
      <c r="DC182" s="141"/>
    </row>
    <row r="183" spans="1:107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5"/>
        <v>0</v>
      </c>
      <c r="P183" s="10"/>
      <c r="Q183" s="155" t="str">
        <f t="shared" si="16"/>
        <v/>
      </c>
      <c r="R183" s="171" t="str">
        <f t="shared" si="17"/>
        <v/>
      </c>
      <c r="S183" s="161"/>
      <c r="T183" s="55"/>
      <c r="U183" s="55"/>
      <c r="V183" s="55"/>
      <c r="W183" s="155" t="str">
        <f t="shared" si="18"/>
        <v/>
      </c>
      <c r="X183" s="171" t="str">
        <f t="shared" si="19"/>
        <v/>
      </c>
      <c r="Y183" s="165"/>
      <c r="Z183" s="10"/>
      <c r="AA183" s="55"/>
      <c r="AB183" s="55"/>
      <c r="AC183" s="55"/>
      <c r="AD183" s="55"/>
      <c r="AE183" s="55"/>
      <c r="AF183" s="167"/>
      <c r="AG183" s="55"/>
      <c r="AH183" s="55"/>
      <c r="AI183" s="165"/>
      <c r="AJ183" s="55"/>
      <c r="AK183" s="55"/>
      <c r="AL183" s="55"/>
      <c r="AM183" s="55"/>
      <c r="AN183" s="55"/>
      <c r="AO183" s="55"/>
      <c r="AP183" s="55"/>
      <c r="AQ183" s="55"/>
      <c r="AR183" s="165"/>
      <c r="AS183" s="55"/>
      <c r="AT183" s="55"/>
      <c r="AU183" s="55"/>
      <c r="AV183" s="55"/>
      <c r="AW183" s="55"/>
      <c r="AX183" s="55"/>
      <c r="AY183" s="55"/>
      <c r="AZ183" s="55"/>
      <c r="BA183" s="165"/>
      <c r="BB183" s="55"/>
      <c r="BC183" s="55"/>
      <c r="BD183" s="55"/>
      <c r="BE183" s="165"/>
      <c r="BF183" s="55"/>
      <c r="BG183" s="10"/>
      <c r="BH183" s="55"/>
      <c r="BI183" s="55"/>
      <c r="BJ183" s="55"/>
      <c r="BK183" s="55"/>
      <c r="BS183" s="141"/>
      <c r="CM183" s="141"/>
      <c r="DC183" s="141"/>
    </row>
    <row r="184" spans="1:107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5"/>
        <v>0</v>
      </c>
      <c r="P184" s="10"/>
      <c r="Q184" s="155" t="str">
        <f t="shared" si="16"/>
        <v/>
      </c>
      <c r="R184" s="171" t="str">
        <f t="shared" si="17"/>
        <v/>
      </c>
      <c r="S184" s="161"/>
      <c r="T184" s="55"/>
      <c r="U184" s="55"/>
      <c r="V184" s="55"/>
      <c r="W184" s="155" t="str">
        <f t="shared" si="18"/>
        <v/>
      </c>
      <c r="X184" s="171" t="str">
        <f t="shared" si="19"/>
        <v/>
      </c>
      <c r="Y184" s="165"/>
      <c r="Z184" s="10"/>
      <c r="AA184" s="55"/>
      <c r="AB184" s="55"/>
      <c r="AC184" s="55"/>
      <c r="AD184" s="55"/>
      <c r="AE184" s="55"/>
      <c r="AF184" s="167"/>
      <c r="AG184" s="55"/>
      <c r="AH184" s="55"/>
      <c r="AI184" s="165"/>
      <c r="AJ184" s="55"/>
      <c r="AK184" s="55"/>
      <c r="AL184" s="55"/>
      <c r="AM184" s="55"/>
      <c r="AN184" s="55"/>
      <c r="AO184" s="55"/>
      <c r="AP184" s="55"/>
      <c r="AQ184" s="55"/>
      <c r="AR184" s="165"/>
      <c r="AS184" s="55"/>
      <c r="AT184" s="55"/>
      <c r="AU184" s="55"/>
      <c r="AV184" s="55"/>
      <c r="AW184" s="55"/>
      <c r="AX184" s="55"/>
      <c r="AY184" s="55"/>
      <c r="AZ184" s="55"/>
      <c r="BA184" s="165"/>
      <c r="BB184" s="55"/>
      <c r="BC184" s="55"/>
      <c r="BD184" s="55"/>
      <c r="BE184" s="165"/>
      <c r="BF184" s="55"/>
      <c r="BG184" s="10"/>
      <c r="BH184" s="55"/>
      <c r="BI184" s="55"/>
      <c r="BJ184" s="55"/>
      <c r="BK184" s="55"/>
      <c r="BS184" s="141"/>
      <c r="CM184" s="141"/>
      <c r="DC184" s="141"/>
    </row>
    <row r="185" spans="1:107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5"/>
        <v>0</v>
      </c>
      <c r="P185" s="17"/>
      <c r="Q185" s="156" t="str">
        <f t="shared" si="16"/>
        <v/>
      </c>
      <c r="R185" s="172" t="str">
        <f t="shared" si="17"/>
        <v/>
      </c>
      <c r="S185" s="162"/>
      <c r="T185" s="56"/>
      <c r="U185" s="56"/>
      <c r="V185" s="56"/>
      <c r="W185" s="156" t="str">
        <f t="shared" si="18"/>
        <v/>
      </c>
      <c r="X185" s="172" t="str">
        <f t="shared" si="19"/>
        <v/>
      </c>
      <c r="Y185" s="166"/>
      <c r="Z185" s="17"/>
      <c r="AA185" s="56"/>
      <c r="AB185" s="56"/>
      <c r="AC185" s="56"/>
      <c r="AD185" s="56"/>
      <c r="AE185" s="56"/>
      <c r="AF185" s="169"/>
      <c r="AG185" s="56"/>
      <c r="AH185" s="56"/>
      <c r="AI185" s="166"/>
      <c r="AJ185" s="56"/>
      <c r="AK185" s="56"/>
      <c r="AL185" s="56"/>
      <c r="AM185" s="56"/>
      <c r="AN185" s="56"/>
      <c r="AO185" s="56"/>
      <c r="AP185" s="56"/>
      <c r="AQ185" s="56"/>
      <c r="AR185" s="166"/>
      <c r="AS185" s="56"/>
      <c r="AT185" s="56"/>
      <c r="AU185" s="56"/>
      <c r="AV185" s="56"/>
      <c r="AW185" s="56"/>
      <c r="AX185" s="56"/>
      <c r="AY185" s="56"/>
      <c r="AZ185" s="56"/>
      <c r="BA185" s="166"/>
      <c r="BB185" s="56"/>
      <c r="BC185" s="56"/>
      <c r="BD185" s="56"/>
      <c r="BE185" s="166"/>
      <c r="BF185" s="56"/>
      <c r="BG185" s="17"/>
      <c r="BH185" s="56"/>
      <c r="BI185" s="56"/>
      <c r="BJ185" s="56"/>
      <c r="BK185" s="56"/>
      <c r="BS185" s="140"/>
      <c r="CM185" s="140"/>
      <c r="DC185" s="140"/>
    </row>
    <row r="186" spans="1:107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5"/>
        <v>0</v>
      </c>
      <c r="Q186" s="155" t="str">
        <f t="shared" si="16"/>
        <v/>
      </c>
      <c r="R186" s="171" t="str">
        <f t="shared" si="17"/>
        <v/>
      </c>
      <c r="W186" s="155" t="str">
        <f t="shared" si="18"/>
        <v/>
      </c>
      <c r="X186" s="171" t="str">
        <f t="shared" si="19"/>
        <v/>
      </c>
      <c r="BL186" s="105"/>
    </row>
    <row r="187" spans="1:107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5"/>
        <v>0</v>
      </c>
      <c r="Q187" s="155" t="str">
        <f t="shared" si="16"/>
        <v/>
      </c>
      <c r="R187" s="171" t="str">
        <f t="shared" si="17"/>
        <v/>
      </c>
      <c r="W187" s="155" t="str">
        <f t="shared" si="18"/>
        <v/>
      </c>
      <c r="X187" s="171" t="str">
        <f t="shared" si="19"/>
        <v/>
      </c>
      <c r="BL187" s="105"/>
    </row>
    <row r="188" spans="1:107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5"/>
        <v>0</v>
      </c>
      <c r="Q188" s="155" t="str">
        <f t="shared" si="16"/>
        <v/>
      </c>
      <c r="R188" s="171" t="str">
        <f t="shared" si="17"/>
        <v/>
      </c>
      <c r="W188" s="155" t="str">
        <f t="shared" si="18"/>
        <v/>
      </c>
      <c r="X188" s="171" t="str">
        <f t="shared" si="19"/>
        <v/>
      </c>
    </row>
    <row r="189" spans="1:107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5"/>
        <v>0</v>
      </c>
      <c r="Q189" s="155" t="str">
        <f t="shared" si="16"/>
        <v/>
      </c>
      <c r="R189" s="171" t="str">
        <f t="shared" si="17"/>
        <v/>
      </c>
      <c r="W189" s="155" t="str">
        <f t="shared" si="18"/>
        <v/>
      </c>
      <c r="X189" s="171" t="str">
        <f t="shared" si="19"/>
        <v/>
      </c>
    </row>
    <row r="190" spans="1:107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5"/>
        <v>0</v>
      </c>
      <c r="Q190" s="155" t="str">
        <f t="shared" si="16"/>
        <v/>
      </c>
      <c r="R190" s="171" t="str">
        <f t="shared" si="17"/>
        <v/>
      </c>
      <c r="W190" s="155" t="str">
        <f t="shared" si="18"/>
        <v/>
      </c>
      <c r="X190" s="171" t="str">
        <f t="shared" si="19"/>
        <v/>
      </c>
    </row>
    <row r="191" spans="1:107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5"/>
        <v>0</v>
      </c>
      <c r="Q191" s="155" t="str">
        <f t="shared" si="16"/>
        <v/>
      </c>
      <c r="R191" s="171" t="str">
        <f t="shared" si="17"/>
        <v/>
      </c>
      <c r="W191" s="155" t="str">
        <f t="shared" si="18"/>
        <v/>
      </c>
      <c r="X191" s="171" t="str">
        <f t="shared" si="19"/>
        <v/>
      </c>
    </row>
    <row r="192" spans="1:107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5"/>
        <v>0</v>
      </c>
      <c r="Q192" s="155" t="str">
        <f t="shared" si="16"/>
        <v/>
      </c>
      <c r="R192" s="171" t="str">
        <f t="shared" si="17"/>
        <v/>
      </c>
      <c r="W192" s="155" t="str">
        <f t="shared" si="18"/>
        <v/>
      </c>
      <c r="X192" s="171" t="str">
        <f t="shared" si="19"/>
        <v/>
      </c>
    </row>
    <row r="193" spans="1:107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5"/>
        <v>0</v>
      </c>
      <c r="Q193" s="155" t="str">
        <f t="shared" si="16"/>
        <v/>
      </c>
      <c r="R193" s="171" t="str">
        <f t="shared" si="17"/>
        <v/>
      </c>
      <c r="W193" s="155" t="str">
        <f t="shared" si="18"/>
        <v/>
      </c>
      <c r="X193" s="171" t="str">
        <f t="shared" si="19"/>
        <v/>
      </c>
    </row>
    <row r="194" spans="1:107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5"/>
        <v>0</v>
      </c>
      <c r="Q194" s="155" t="str">
        <f t="shared" si="16"/>
        <v/>
      </c>
      <c r="R194" s="171" t="str">
        <f t="shared" si="17"/>
        <v/>
      </c>
      <c r="W194" s="155" t="str">
        <f t="shared" si="18"/>
        <v/>
      </c>
      <c r="X194" s="171" t="str">
        <f t="shared" si="19"/>
        <v/>
      </c>
    </row>
    <row r="195" spans="1:107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5"/>
        <v>0</v>
      </c>
      <c r="P195" s="10"/>
      <c r="Q195" s="155" t="str">
        <f t="shared" si="16"/>
        <v/>
      </c>
      <c r="R195" s="171" t="str">
        <f t="shared" si="17"/>
        <v/>
      </c>
      <c r="S195" s="161"/>
      <c r="T195" s="55"/>
      <c r="U195" s="55"/>
      <c r="V195" s="55"/>
      <c r="W195" s="155" t="str">
        <f t="shared" si="18"/>
        <v/>
      </c>
      <c r="X195" s="171" t="str">
        <f t="shared" si="19"/>
        <v/>
      </c>
      <c r="Y195" s="165"/>
      <c r="Z195" s="10"/>
      <c r="AA195" s="55"/>
      <c r="AB195" s="55"/>
      <c r="AC195" s="55"/>
      <c r="AD195" s="55"/>
      <c r="AE195" s="55"/>
      <c r="AF195" s="167"/>
      <c r="AG195" s="55"/>
      <c r="AH195" s="55"/>
      <c r="AI195" s="165"/>
      <c r="AJ195" s="55"/>
      <c r="AK195" s="55"/>
      <c r="AL195" s="55"/>
      <c r="AM195" s="55"/>
      <c r="AN195" s="55"/>
      <c r="AO195" s="55"/>
      <c r="AP195" s="55"/>
      <c r="AQ195" s="55"/>
      <c r="AR195" s="165"/>
      <c r="AS195" s="55"/>
      <c r="AT195" s="55"/>
      <c r="AU195" s="55"/>
      <c r="AV195" s="55"/>
      <c r="AW195" s="55"/>
      <c r="AX195" s="55"/>
      <c r="AY195" s="55"/>
      <c r="AZ195" s="55"/>
      <c r="BA195" s="165"/>
      <c r="BB195" s="55"/>
      <c r="BC195" s="55"/>
      <c r="BD195" s="55"/>
      <c r="BE195" s="165"/>
      <c r="BF195" s="55"/>
      <c r="BG195" s="10"/>
      <c r="BH195" s="55"/>
      <c r="BI195" s="55"/>
      <c r="BJ195" s="55"/>
      <c r="BK195" s="55"/>
      <c r="BS195" s="141"/>
      <c r="CM195" s="141"/>
      <c r="DC195" s="141"/>
    </row>
    <row r="196" spans="1:107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5"/>
        <v>0</v>
      </c>
      <c r="P196" s="10"/>
      <c r="Q196" s="155" t="str">
        <f t="shared" si="16"/>
        <v/>
      </c>
      <c r="R196" s="171" t="str">
        <f t="shared" si="17"/>
        <v/>
      </c>
      <c r="S196" s="161"/>
      <c r="T196" s="55"/>
      <c r="U196" s="55"/>
      <c r="V196" s="55"/>
      <c r="W196" s="155" t="str">
        <f t="shared" si="18"/>
        <v/>
      </c>
      <c r="X196" s="171" t="str">
        <f t="shared" si="19"/>
        <v/>
      </c>
      <c r="Y196" s="165"/>
      <c r="Z196" s="10"/>
      <c r="AA196" s="55"/>
      <c r="AB196" s="55"/>
      <c r="AC196" s="55"/>
      <c r="AD196" s="55"/>
      <c r="AE196" s="55"/>
      <c r="AF196" s="167"/>
      <c r="AG196" s="55"/>
      <c r="AH196" s="55"/>
      <c r="AI196" s="165"/>
      <c r="AJ196" s="55"/>
      <c r="AK196" s="55"/>
      <c r="AL196" s="55"/>
      <c r="AM196" s="55"/>
      <c r="AN196" s="55"/>
      <c r="AO196" s="55"/>
      <c r="AP196" s="55"/>
      <c r="AQ196" s="55"/>
      <c r="AR196" s="165"/>
      <c r="AS196" s="55"/>
      <c r="AT196" s="55"/>
      <c r="AU196" s="55"/>
      <c r="AV196" s="55"/>
      <c r="AW196" s="55"/>
      <c r="AX196" s="55"/>
      <c r="AY196" s="55"/>
      <c r="AZ196" s="55"/>
      <c r="BA196" s="165"/>
      <c r="BB196" s="55"/>
      <c r="BC196" s="55"/>
      <c r="BD196" s="55"/>
      <c r="BE196" s="165"/>
      <c r="BF196" s="55"/>
      <c r="BG196" s="10"/>
      <c r="BH196" s="55"/>
      <c r="BI196" s="55"/>
      <c r="BJ196" s="55"/>
      <c r="BK196" s="55"/>
      <c r="BS196" s="141"/>
      <c r="CM196" s="141"/>
      <c r="DC196" s="141"/>
    </row>
    <row r="197" spans="1:107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5"/>
        <v>0</v>
      </c>
      <c r="P197" s="10"/>
      <c r="Q197" s="155" t="str">
        <f t="shared" si="16"/>
        <v/>
      </c>
      <c r="R197" s="171" t="str">
        <f t="shared" si="17"/>
        <v/>
      </c>
      <c r="S197" s="161"/>
      <c r="T197" s="55"/>
      <c r="U197" s="55"/>
      <c r="V197" s="55"/>
      <c r="W197" s="155" t="str">
        <f t="shared" si="18"/>
        <v/>
      </c>
      <c r="X197" s="171" t="str">
        <f t="shared" si="19"/>
        <v/>
      </c>
      <c r="Y197" s="165"/>
      <c r="Z197" s="10"/>
      <c r="AA197" s="55"/>
      <c r="AB197" s="55"/>
      <c r="AC197" s="55"/>
      <c r="AD197" s="55"/>
      <c r="AE197" s="55"/>
      <c r="AF197" s="167"/>
      <c r="AG197" s="55"/>
      <c r="AH197" s="55"/>
      <c r="AI197" s="165"/>
      <c r="AJ197" s="55"/>
      <c r="AK197" s="55"/>
      <c r="AL197" s="55"/>
      <c r="AM197" s="55"/>
      <c r="AN197" s="55"/>
      <c r="AO197" s="55"/>
      <c r="AP197" s="55"/>
      <c r="AQ197" s="55"/>
      <c r="AR197" s="165"/>
      <c r="AS197" s="55"/>
      <c r="AT197" s="55"/>
      <c r="AU197" s="55"/>
      <c r="AV197" s="55"/>
      <c r="AW197" s="55"/>
      <c r="AX197" s="55"/>
      <c r="AY197" s="55"/>
      <c r="AZ197" s="55"/>
      <c r="BA197" s="165"/>
      <c r="BB197" s="55"/>
      <c r="BC197" s="55"/>
      <c r="BD197" s="55"/>
      <c r="BE197" s="165"/>
      <c r="BF197" s="55"/>
      <c r="BG197" s="10"/>
      <c r="BH197" s="55"/>
      <c r="BI197" s="55"/>
      <c r="BJ197" s="55"/>
      <c r="BK197" s="55"/>
      <c r="BS197" s="141"/>
      <c r="CM197" s="141"/>
      <c r="DC197" s="141"/>
    </row>
    <row r="198" spans="1:107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1">P198*30</f>
        <v>0</v>
      </c>
      <c r="P198" s="10"/>
      <c r="Q198" s="155" t="str">
        <f t="shared" ref="Q198:Q224" si="22">IF((1-(1-O198/100000)^1440)=0,"",1-(1-O198/100000)^1440)</f>
        <v/>
      </c>
      <c r="R198" s="171" t="str">
        <f t="shared" ref="R198:R224" si="23">IF((O198/100000)*1440=0,"",(O198/100000)*1440)</f>
        <v/>
      </c>
      <c r="S198" s="161"/>
      <c r="T198" s="55"/>
      <c r="U198" s="55"/>
      <c r="V198" s="55"/>
      <c r="W198" s="155" t="str">
        <f t="shared" si="18"/>
        <v/>
      </c>
      <c r="X198" s="171" t="str">
        <f t="shared" si="19"/>
        <v/>
      </c>
      <c r="Y198" s="165"/>
      <c r="Z198" s="10"/>
      <c r="AA198" s="55"/>
      <c r="AB198" s="55"/>
      <c r="AC198" s="55"/>
      <c r="AD198" s="55"/>
      <c r="AE198" s="55"/>
      <c r="AF198" s="167"/>
      <c r="AG198" s="55"/>
      <c r="AH198" s="55"/>
      <c r="AI198" s="165"/>
      <c r="AJ198" s="55"/>
      <c r="AK198" s="55"/>
      <c r="AL198" s="55"/>
      <c r="AM198" s="55"/>
      <c r="AN198" s="55"/>
      <c r="AO198" s="55"/>
      <c r="AP198" s="55"/>
      <c r="AQ198" s="55"/>
      <c r="AR198" s="165"/>
      <c r="AS198" s="55"/>
      <c r="AT198" s="55"/>
      <c r="AU198" s="55"/>
      <c r="AV198" s="55"/>
      <c r="AW198" s="55"/>
      <c r="AX198" s="55"/>
      <c r="AY198" s="55"/>
      <c r="AZ198" s="55"/>
      <c r="BA198" s="165"/>
      <c r="BB198" s="55"/>
      <c r="BC198" s="55"/>
      <c r="BD198" s="55"/>
      <c r="BE198" s="165"/>
      <c r="BF198" s="55"/>
      <c r="BG198" s="10"/>
      <c r="BH198" s="55"/>
      <c r="BI198" s="55"/>
      <c r="BJ198" s="55"/>
      <c r="BK198" s="55"/>
      <c r="BS198" s="141"/>
      <c r="CM198" s="141"/>
      <c r="DC198" s="141"/>
    </row>
    <row r="199" spans="1:107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1"/>
        <v>0</v>
      </c>
      <c r="P199" s="10"/>
      <c r="Q199" s="155" t="str">
        <f t="shared" si="22"/>
        <v/>
      </c>
      <c r="R199" s="171" t="str">
        <f t="shared" si="23"/>
        <v/>
      </c>
      <c r="S199" s="161"/>
      <c r="T199" s="55"/>
      <c r="U199" s="55"/>
      <c r="V199" s="55"/>
      <c r="W199" s="155" t="str">
        <f t="shared" si="18"/>
        <v/>
      </c>
      <c r="X199" s="171" t="str">
        <f t="shared" si="19"/>
        <v/>
      </c>
      <c r="Y199" s="165"/>
      <c r="Z199" s="10"/>
      <c r="AA199" s="55"/>
      <c r="AB199" s="55"/>
      <c r="AC199" s="55"/>
      <c r="AD199" s="55"/>
      <c r="AE199" s="55"/>
      <c r="AF199" s="167"/>
      <c r="AG199" s="55"/>
      <c r="AH199" s="55"/>
      <c r="AI199" s="165"/>
      <c r="AJ199" s="55"/>
      <c r="AK199" s="55"/>
      <c r="AL199" s="55"/>
      <c r="AM199" s="55"/>
      <c r="AN199" s="55"/>
      <c r="AO199" s="55"/>
      <c r="AP199" s="55"/>
      <c r="AQ199" s="55"/>
      <c r="AR199" s="165"/>
      <c r="AS199" s="55"/>
      <c r="AT199" s="55"/>
      <c r="AU199" s="55"/>
      <c r="AV199" s="55"/>
      <c r="AW199" s="55"/>
      <c r="AX199" s="55"/>
      <c r="AY199" s="55"/>
      <c r="AZ199" s="55"/>
      <c r="BA199" s="165"/>
      <c r="BB199" s="55"/>
      <c r="BC199" s="55"/>
      <c r="BD199" s="55"/>
      <c r="BE199" s="165"/>
      <c r="BF199" s="55"/>
      <c r="BG199" s="10"/>
      <c r="BH199" s="55"/>
      <c r="BI199" s="55"/>
      <c r="BJ199" s="55"/>
      <c r="BK199" s="55"/>
      <c r="BS199" s="141"/>
      <c r="CM199" s="141"/>
      <c r="DC199" s="141"/>
    </row>
    <row r="200" spans="1:107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1"/>
        <v>0</v>
      </c>
      <c r="P200" s="10"/>
      <c r="Q200" s="155" t="str">
        <f t="shared" si="22"/>
        <v/>
      </c>
      <c r="R200" s="171" t="str">
        <f t="shared" si="23"/>
        <v/>
      </c>
      <c r="S200" s="161"/>
      <c r="T200" s="55"/>
      <c r="U200" s="55"/>
      <c r="V200" s="55"/>
      <c r="W200" s="155" t="str">
        <f t="shared" si="18"/>
        <v/>
      </c>
      <c r="X200" s="171" t="str">
        <f t="shared" si="19"/>
        <v/>
      </c>
      <c r="Y200" s="165"/>
      <c r="Z200" s="10"/>
      <c r="AA200" s="55"/>
      <c r="AB200" s="55"/>
      <c r="AC200" s="55"/>
      <c r="AD200" s="55"/>
      <c r="AE200" s="55"/>
      <c r="AF200" s="167"/>
      <c r="AG200" s="55"/>
      <c r="AH200" s="55"/>
      <c r="AI200" s="165"/>
      <c r="AJ200" s="55"/>
      <c r="AK200" s="55"/>
      <c r="AL200" s="55"/>
      <c r="AM200" s="55"/>
      <c r="AN200" s="55"/>
      <c r="AO200" s="55"/>
      <c r="AP200" s="55"/>
      <c r="AQ200" s="55"/>
      <c r="AR200" s="165"/>
      <c r="AS200" s="55"/>
      <c r="AT200" s="55"/>
      <c r="AU200" s="55"/>
      <c r="AV200" s="55"/>
      <c r="AW200" s="55"/>
      <c r="AX200" s="55"/>
      <c r="AY200" s="55"/>
      <c r="AZ200" s="55"/>
      <c r="BA200" s="165"/>
      <c r="BB200" s="55"/>
      <c r="BC200" s="55"/>
      <c r="BD200" s="55"/>
      <c r="BE200" s="165"/>
      <c r="BF200" s="55"/>
      <c r="BG200" s="10"/>
      <c r="BH200" s="55"/>
      <c r="BI200" s="55"/>
      <c r="BJ200" s="55"/>
      <c r="BK200" s="55"/>
      <c r="BS200" s="141"/>
      <c r="CM200" s="141"/>
      <c r="DC200" s="141"/>
    </row>
    <row r="201" spans="1:107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1"/>
        <v>0</v>
      </c>
      <c r="P201" s="10"/>
      <c r="Q201" s="155" t="str">
        <f t="shared" si="22"/>
        <v/>
      </c>
      <c r="R201" s="171" t="str">
        <f t="shared" si="23"/>
        <v/>
      </c>
      <c r="S201" s="161"/>
      <c r="T201" s="55"/>
      <c r="U201" s="55"/>
      <c r="V201" s="55"/>
      <c r="W201" s="155" t="str">
        <f t="shared" si="18"/>
        <v/>
      </c>
      <c r="X201" s="171" t="str">
        <f t="shared" si="19"/>
        <v/>
      </c>
      <c r="Y201" s="165"/>
      <c r="Z201" s="10"/>
      <c r="AA201" s="55"/>
      <c r="AB201" s="55"/>
      <c r="AC201" s="55"/>
      <c r="AD201" s="55"/>
      <c r="AE201" s="55"/>
      <c r="AF201" s="167"/>
      <c r="AG201" s="55"/>
      <c r="AH201" s="55"/>
      <c r="AI201" s="165"/>
      <c r="AJ201" s="55"/>
      <c r="AK201" s="55"/>
      <c r="AL201" s="55"/>
      <c r="AM201" s="55"/>
      <c r="AN201" s="55"/>
      <c r="AO201" s="55"/>
      <c r="AP201" s="55"/>
      <c r="AQ201" s="55"/>
      <c r="AR201" s="165"/>
      <c r="AS201" s="55"/>
      <c r="AT201" s="55"/>
      <c r="AU201" s="55"/>
      <c r="AV201" s="55"/>
      <c r="AW201" s="55"/>
      <c r="AX201" s="55"/>
      <c r="AY201" s="55"/>
      <c r="AZ201" s="55"/>
      <c r="BA201" s="165"/>
      <c r="BB201" s="55"/>
      <c r="BC201" s="55"/>
      <c r="BD201" s="55"/>
      <c r="BE201" s="165"/>
      <c r="BF201" s="55"/>
      <c r="BG201" s="10"/>
      <c r="BH201" s="55"/>
      <c r="BI201" s="55"/>
      <c r="BJ201" s="55"/>
      <c r="BK201" s="55"/>
      <c r="BS201" s="141"/>
      <c r="CM201" s="141"/>
      <c r="DC201" s="141"/>
    </row>
    <row r="202" spans="1:107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1"/>
        <v>0</v>
      </c>
      <c r="P202" s="10"/>
      <c r="Q202" s="155" t="str">
        <f t="shared" si="22"/>
        <v/>
      </c>
      <c r="R202" s="171" t="str">
        <f t="shared" si="23"/>
        <v/>
      </c>
      <c r="S202" s="161"/>
      <c r="T202" s="55"/>
      <c r="U202" s="55"/>
      <c r="V202" s="55"/>
      <c r="W202" s="155" t="str">
        <f t="shared" si="18"/>
        <v/>
      </c>
      <c r="X202" s="171" t="str">
        <f t="shared" si="19"/>
        <v/>
      </c>
      <c r="Y202" s="165"/>
      <c r="Z202" s="10"/>
      <c r="AA202" s="55"/>
      <c r="AB202" s="55"/>
      <c r="AC202" s="55"/>
      <c r="AD202" s="55"/>
      <c r="AE202" s="55"/>
      <c r="AF202" s="167"/>
      <c r="AG202" s="55"/>
      <c r="AH202" s="55"/>
      <c r="AI202" s="165"/>
      <c r="AJ202" s="55"/>
      <c r="AK202" s="55"/>
      <c r="AL202" s="55"/>
      <c r="AM202" s="55"/>
      <c r="AN202" s="55"/>
      <c r="AO202" s="55"/>
      <c r="AP202" s="55"/>
      <c r="AQ202" s="55"/>
      <c r="AR202" s="165"/>
      <c r="AS202" s="55"/>
      <c r="AT202" s="55"/>
      <c r="AU202" s="55"/>
      <c r="AV202" s="55"/>
      <c r="AW202" s="55"/>
      <c r="AX202" s="55"/>
      <c r="AY202" s="55"/>
      <c r="AZ202" s="55"/>
      <c r="BA202" s="165"/>
      <c r="BB202" s="55"/>
      <c r="BC202" s="55"/>
      <c r="BD202" s="55"/>
      <c r="BE202" s="165"/>
      <c r="BF202" s="55"/>
      <c r="BG202" s="10"/>
      <c r="BH202" s="55"/>
      <c r="BI202" s="55"/>
      <c r="BJ202" s="55"/>
      <c r="BK202" s="55"/>
      <c r="BS202" s="141"/>
      <c r="CM202" s="141"/>
      <c r="DC202" s="141"/>
    </row>
    <row r="203" spans="1:107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1"/>
        <v>0</v>
      </c>
      <c r="P203" s="10"/>
      <c r="Q203" s="155" t="str">
        <f t="shared" si="22"/>
        <v/>
      </c>
      <c r="R203" s="171" t="str">
        <f t="shared" si="23"/>
        <v/>
      </c>
      <c r="S203" s="161"/>
      <c r="T203" s="55"/>
      <c r="U203" s="55"/>
      <c r="V203" s="55"/>
      <c r="W203" s="155" t="str">
        <f t="shared" si="18"/>
        <v/>
      </c>
      <c r="X203" s="171" t="str">
        <f t="shared" si="19"/>
        <v/>
      </c>
      <c r="Y203" s="165"/>
      <c r="Z203" s="10"/>
      <c r="AA203" s="55"/>
      <c r="AB203" s="55"/>
      <c r="AC203" s="55"/>
      <c r="AD203" s="55"/>
      <c r="AE203" s="55"/>
      <c r="AF203" s="167"/>
      <c r="AG203" s="55"/>
      <c r="AH203" s="55"/>
      <c r="AI203" s="165"/>
      <c r="AJ203" s="55"/>
      <c r="AK203" s="55"/>
      <c r="AL203" s="55"/>
      <c r="AM203" s="55"/>
      <c r="AN203" s="55"/>
      <c r="AO203" s="55"/>
      <c r="AP203" s="55"/>
      <c r="AQ203" s="55"/>
      <c r="AR203" s="165"/>
      <c r="AS203" s="55"/>
      <c r="AT203" s="55"/>
      <c r="AU203" s="55"/>
      <c r="AV203" s="55"/>
      <c r="AW203" s="55"/>
      <c r="AX203" s="55"/>
      <c r="AY203" s="55"/>
      <c r="AZ203" s="55"/>
      <c r="BA203" s="165"/>
      <c r="BB203" s="55"/>
      <c r="BC203" s="55"/>
      <c r="BD203" s="55"/>
      <c r="BE203" s="165"/>
      <c r="BF203" s="55"/>
      <c r="BG203" s="10"/>
      <c r="BH203" s="55"/>
      <c r="BI203" s="55"/>
      <c r="BJ203" s="55"/>
      <c r="BK203" s="55"/>
      <c r="BS203" s="141"/>
      <c r="CM203" s="141"/>
      <c r="DC203" s="141"/>
    </row>
    <row r="204" spans="1:107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1"/>
        <v>0</v>
      </c>
      <c r="P204" s="10"/>
      <c r="Q204" s="155" t="str">
        <f t="shared" si="22"/>
        <v/>
      </c>
      <c r="R204" s="171" t="str">
        <f t="shared" si="23"/>
        <v/>
      </c>
      <c r="S204" s="161"/>
      <c r="T204" s="55"/>
      <c r="U204" s="55"/>
      <c r="V204" s="55"/>
      <c r="W204" s="155" t="str">
        <f t="shared" si="18"/>
        <v/>
      </c>
      <c r="X204" s="171" t="str">
        <f t="shared" si="19"/>
        <v/>
      </c>
      <c r="Y204" s="165"/>
      <c r="Z204" s="10"/>
      <c r="AA204" s="55"/>
      <c r="AB204" s="55"/>
      <c r="AC204" s="55"/>
      <c r="AD204" s="55"/>
      <c r="AE204" s="55"/>
      <c r="AF204" s="167"/>
      <c r="AG204" s="55"/>
      <c r="AH204" s="55"/>
      <c r="AI204" s="165"/>
      <c r="AJ204" s="55"/>
      <c r="AK204" s="55"/>
      <c r="AL204" s="55"/>
      <c r="AM204" s="55"/>
      <c r="AN204" s="55"/>
      <c r="AO204" s="55"/>
      <c r="AP204" s="55"/>
      <c r="AQ204" s="55"/>
      <c r="AR204" s="165"/>
      <c r="AS204" s="55"/>
      <c r="AT204" s="55"/>
      <c r="AU204" s="55"/>
      <c r="AV204" s="55"/>
      <c r="AW204" s="55"/>
      <c r="AX204" s="55"/>
      <c r="AY204" s="55"/>
      <c r="AZ204" s="55"/>
      <c r="BA204" s="165"/>
      <c r="BB204" s="55"/>
      <c r="BC204" s="55"/>
      <c r="BD204" s="55"/>
      <c r="BE204" s="165"/>
      <c r="BF204" s="55"/>
      <c r="BG204" s="10"/>
      <c r="BH204" s="55"/>
      <c r="BI204" s="55"/>
      <c r="BJ204" s="55"/>
      <c r="BK204" s="55"/>
      <c r="BS204" s="141"/>
      <c r="CM204" s="141"/>
      <c r="DC204" s="141"/>
    </row>
    <row r="205" spans="1:107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1"/>
        <v>0</v>
      </c>
      <c r="P205" s="17"/>
      <c r="Q205" s="156" t="str">
        <f t="shared" si="22"/>
        <v/>
      </c>
      <c r="R205" s="172" t="str">
        <f t="shared" si="23"/>
        <v/>
      </c>
      <c r="S205" s="162"/>
      <c r="T205" s="56"/>
      <c r="U205" s="56"/>
      <c r="V205" s="56"/>
      <c r="W205" s="156" t="str">
        <f t="shared" si="18"/>
        <v/>
      </c>
      <c r="X205" s="172" t="str">
        <f t="shared" si="19"/>
        <v/>
      </c>
      <c r="Y205" s="166"/>
      <c r="Z205" s="17"/>
      <c r="AA205" s="56"/>
      <c r="AB205" s="56"/>
      <c r="AC205" s="56"/>
      <c r="AD205" s="56"/>
      <c r="AE205" s="56"/>
      <c r="AF205" s="169"/>
      <c r="AG205" s="56"/>
      <c r="AH205" s="56"/>
      <c r="AI205" s="166"/>
      <c r="AJ205" s="56"/>
      <c r="AK205" s="56"/>
      <c r="AL205" s="56"/>
      <c r="AM205" s="56"/>
      <c r="AN205" s="56"/>
      <c r="AO205" s="56"/>
      <c r="AP205" s="56"/>
      <c r="AQ205" s="56"/>
      <c r="AR205" s="166"/>
      <c r="AS205" s="56"/>
      <c r="AT205" s="56"/>
      <c r="AU205" s="56"/>
      <c r="AV205" s="56"/>
      <c r="AW205" s="56"/>
      <c r="AX205" s="56"/>
      <c r="AY205" s="56"/>
      <c r="AZ205" s="56"/>
      <c r="BA205" s="166"/>
      <c r="BB205" s="56"/>
      <c r="BC205" s="56"/>
      <c r="BD205" s="56"/>
      <c r="BE205" s="166"/>
      <c r="BF205" s="56"/>
      <c r="BG205" s="17"/>
      <c r="BH205" s="56"/>
      <c r="BI205" s="56"/>
      <c r="BJ205" s="56"/>
      <c r="BK205" s="56"/>
      <c r="BS205" s="140"/>
      <c r="CM205" s="140"/>
      <c r="DC205" s="140"/>
    </row>
    <row r="206" spans="1:107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1"/>
        <v>0</v>
      </c>
      <c r="Q206" s="155" t="str">
        <f t="shared" si="22"/>
        <v/>
      </c>
      <c r="R206" s="171" t="str">
        <f t="shared" si="23"/>
        <v/>
      </c>
      <c r="W206" s="155" t="str">
        <f t="shared" si="18"/>
        <v/>
      </c>
      <c r="X206" s="171" t="str">
        <f t="shared" si="19"/>
        <v/>
      </c>
      <c r="BL206" s="105"/>
    </row>
    <row r="207" spans="1:107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1"/>
        <v>0</v>
      </c>
      <c r="Q207" s="155" t="str">
        <f t="shared" si="22"/>
        <v/>
      </c>
      <c r="R207" s="171" t="str">
        <f t="shared" si="23"/>
        <v/>
      </c>
      <c r="W207" s="155" t="str">
        <f t="shared" si="18"/>
        <v/>
      </c>
      <c r="X207" s="171" t="str">
        <f t="shared" si="19"/>
        <v/>
      </c>
      <c r="BL207" s="105"/>
    </row>
    <row r="208" spans="1:107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1"/>
        <v>0</v>
      </c>
      <c r="Q208" s="155" t="str">
        <f t="shared" si="22"/>
        <v/>
      </c>
      <c r="R208" s="171" t="str">
        <f t="shared" si="23"/>
        <v/>
      </c>
      <c r="W208" s="155" t="str">
        <f t="shared" si="18"/>
        <v/>
      </c>
      <c r="X208" s="171" t="str">
        <f t="shared" si="19"/>
        <v/>
      </c>
    </row>
    <row r="209" spans="1:107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1"/>
        <v>0</v>
      </c>
      <c r="Q209" s="155" t="str">
        <f t="shared" si="22"/>
        <v/>
      </c>
      <c r="R209" s="171" t="str">
        <f t="shared" si="23"/>
        <v/>
      </c>
      <c r="W209" s="155" t="str">
        <f t="shared" si="18"/>
        <v/>
      </c>
      <c r="X209" s="171" t="str">
        <f t="shared" si="19"/>
        <v/>
      </c>
    </row>
    <row r="210" spans="1:107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1"/>
        <v>0</v>
      </c>
      <c r="Q210" s="155" t="str">
        <f t="shared" si="22"/>
        <v/>
      </c>
      <c r="R210" s="171" t="str">
        <f t="shared" si="23"/>
        <v/>
      </c>
      <c r="W210" s="155" t="str">
        <f t="shared" si="18"/>
        <v/>
      </c>
      <c r="X210" s="171" t="str">
        <f t="shared" si="19"/>
        <v/>
      </c>
    </row>
    <row r="211" spans="1:107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1"/>
        <v>0</v>
      </c>
      <c r="Q211" s="155" t="str">
        <f t="shared" si="22"/>
        <v/>
      </c>
      <c r="R211" s="171" t="str">
        <f t="shared" si="23"/>
        <v/>
      </c>
      <c r="W211" s="155" t="str">
        <f t="shared" si="18"/>
        <v/>
      </c>
      <c r="X211" s="171" t="str">
        <f t="shared" si="19"/>
        <v/>
      </c>
    </row>
    <row r="212" spans="1:107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1"/>
        <v>0</v>
      </c>
      <c r="Q212" s="155" t="str">
        <f t="shared" si="22"/>
        <v/>
      </c>
      <c r="R212" s="171" t="str">
        <f t="shared" si="23"/>
        <v/>
      </c>
      <c r="W212" s="155" t="str">
        <f t="shared" si="18"/>
        <v/>
      </c>
      <c r="X212" s="171" t="str">
        <f t="shared" si="19"/>
        <v/>
      </c>
    </row>
    <row r="213" spans="1:107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1"/>
        <v>0</v>
      </c>
      <c r="Q213" s="155" t="str">
        <f t="shared" si="22"/>
        <v/>
      </c>
      <c r="R213" s="171" t="str">
        <f t="shared" si="23"/>
        <v/>
      </c>
      <c r="W213" s="155" t="str">
        <f t="shared" si="18"/>
        <v/>
      </c>
      <c r="X213" s="171" t="str">
        <f t="shared" si="19"/>
        <v/>
      </c>
    </row>
    <row r="214" spans="1:107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1"/>
        <v>0</v>
      </c>
      <c r="Q214" s="155" t="str">
        <f t="shared" si="22"/>
        <v/>
      </c>
      <c r="R214" s="171" t="str">
        <f t="shared" si="23"/>
        <v/>
      </c>
      <c r="W214" s="155" t="str">
        <f t="shared" ref="W214:W224" si="24">IF((1-(1-T214/100000)^L214)=0,"",1-(1-T214/100000)^L214)</f>
        <v/>
      </c>
      <c r="X214" s="171" t="str">
        <f t="shared" ref="X214:X224" si="25">IF((T214/100000)*L214=0,"",(T214/100000)*L214)</f>
        <v/>
      </c>
    </row>
    <row r="215" spans="1:107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1"/>
        <v>0</v>
      </c>
      <c r="P215" s="10"/>
      <c r="Q215" s="155" t="str">
        <f t="shared" si="22"/>
        <v/>
      </c>
      <c r="R215" s="171" t="str">
        <f t="shared" si="23"/>
        <v/>
      </c>
      <c r="S215" s="161"/>
      <c r="T215" s="55"/>
      <c r="U215" s="55"/>
      <c r="V215" s="55"/>
      <c r="W215" s="155" t="str">
        <f t="shared" si="24"/>
        <v/>
      </c>
      <c r="X215" s="171" t="str">
        <f t="shared" si="25"/>
        <v/>
      </c>
      <c r="Y215" s="165"/>
      <c r="Z215" s="10"/>
      <c r="AA215" s="55"/>
      <c r="AB215" s="55"/>
      <c r="AC215" s="55"/>
      <c r="AD215" s="55"/>
      <c r="AE215" s="55"/>
      <c r="AF215" s="167"/>
      <c r="AG215" s="55"/>
      <c r="AH215" s="55"/>
      <c r="AI215" s="165"/>
      <c r="AJ215" s="55"/>
      <c r="AK215" s="55"/>
      <c r="AL215" s="55"/>
      <c r="AM215" s="55"/>
      <c r="AN215" s="55"/>
      <c r="AO215" s="55"/>
      <c r="AP215" s="55"/>
      <c r="AQ215" s="55"/>
      <c r="AR215" s="165"/>
      <c r="AS215" s="55"/>
      <c r="AT215" s="55"/>
      <c r="AU215" s="55"/>
      <c r="AV215" s="55"/>
      <c r="AW215" s="55"/>
      <c r="AX215" s="55"/>
      <c r="AY215" s="55"/>
      <c r="AZ215" s="55"/>
      <c r="BA215" s="165"/>
      <c r="BB215" s="55"/>
      <c r="BC215" s="55"/>
      <c r="BD215" s="55"/>
      <c r="BE215" s="165"/>
      <c r="BF215" s="55"/>
      <c r="BG215" s="10"/>
      <c r="BH215" s="55"/>
      <c r="BI215" s="55"/>
      <c r="BJ215" s="55"/>
      <c r="BK215" s="55"/>
      <c r="BS215" s="141"/>
      <c r="CM215" s="141"/>
      <c r="DC215" s="141"/>
    </row>
    <row r="216" spans="1:107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1"/>
        <v>0</v>
      </c>
      <c r="P216" s="10"/>
      <c r="Q216" s="155" t="str">
        <f t="shared" si="22"/>
        <v/>
      </c>
      <c r="R216" s="171" t="str">
        <f t="shared" si="23"/>
        <v/>
      </c>
      <c r="S216" s="161"/>
      <c r="T216" s="55"/>
      <c r="U216" s="55"/>
      <c r="V216" s="55"/>
      <c r="W216" s="155" t="str">
        <f t="shared" si="24"/>
        <v/>
      </c>
      <c r="X216" s="171" t="str">
        <f t="shared" si="25"/>
        <v/>
      </c>
      <c r="Y216" s="165"/>
      <c r="Z216" s="10"/>
      <c r="AA216" s="55"/>
      <c r="AB216" s="55"/>
      <c r="AC216" s="55"/>
      <c r="AD216" s="55"/>
      <c r="AE216" s="55"/>
      <c r="AF216" s="167"/>
      <c r="AG216" s="55"/>
      <c r="AH216" s="55"/>
      <c r="AI216" s="165"/>
      <c r="AJ216" s="55"/>
      <c r="AK216" s="55"/>
      <c r="AL216" s="55"/>
      <c r="AM216" s="55"/>
      <c r="AN216" s="55"/>
      <c r="AO216" s="55"/>
      <c r="AP216" s="55"/>
      <c r="AQ216" s="55"/>
      <c r="AR216" s="165"/>
      <c r="AS216" s="55"/>
      <c r="AT216" s="55"/>
      <c r="AU216" s="55"/>
      <c r="AV216" s="55"/>
      <c r="AW216" s="55"/>
      <c r="AX216" s="55"/>
      <c r="AY216" s="55"/>
      <c r="AZ216" s="55"/>
      <c r="BA216" s="165"/>
      <c r="BB216" s="55"/>
      <c r="BC216" s="55"/>
      <c r="BD216" s="55"/>
      <c r="BE216" s="165"/>
      <c r="BF216" s="55"/>
      <c r="BG216" s="10"/>
      <c r="BH216" s="55"/>
      <c r="BI216" s="55"/>
      <c r="BJ216" s="55"/>
      <c r="BK216" s="55"/>
      <c r="BS216" s="141"/>
      <c r="CM216" s="141"/>
      <c r="DC216" s="141"/>
    </row>
    <row r="217" spans="1:107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1"/>
        <v>0</v>
      </c>
      <c r="P217" s="10"/>
      <c r="Q217" s="155" t="str">
        <f t="shared" si="22"/>
        <v/>
      </c>
      <c r="R217" s="171" t="str">
        <f t="shared" si="23"/>
        <v/>
      </c>
      <c r="S217" s="161"/>
      <c r="T217" s="55"/>
      <c r="U217" s="55"/>
      <c r="V217" s="55"/>
      <c r="W217" s="155" t="str">
        <f t="shared" si="24"/>
        <v/>
      </c>
      <c r="X217" s="171" t="str">
        <f t="shared" si="25"/>
        <v/>
      </c>
      <c r="Y217" s="165"/>
      <c r="Z217" s="10"/>
      <c r="AA217" s="55"/>
      <c r="AB217" s="55"/>
      <c r="AC217" s="55"/>
      <c r="AD217" s="55"/>
      <c r="AE217" s="55"/>
      <c r="AF217" s="167"/>
      <c r="AG217" s="55"/>
      <c r="AH217" s="55"/>
      <c r="AI217" s="165"/>
      <c r="AJ217" s="55"/>
      <c r="AK217" s="55"/>
      <c r="AL217" s="55"/>
      <c r="AM217" s="55"/>
      <c r="AN217" s="55"/>
      <c r="AO217" s="55"/>
      <c r="AP217" s="55"/>
      <c r="AQ217" s="55"/>
      <c r="AR217" s="165"/>
      <c r="AS217" s="55"/>
      <c r="AT217" s="55"/>
      <c r="AU217" s="55"/>
      <c r="AV217" s="55"/>
      <c r="AW217" s="55"/>
      <c r="AX217" s="55"/>
      <c r="AY217" s="55"/>
      <c r="AZ217" s="55"/>
      <c r="BA217" s="165"/>
      <c r="BB217" s="55"/>
      <c r="BC217" s="55"/>
      <c r="BD217" s="55"/>
      <c r="BE217" s="165"/>
      <c r="BF217" s="55"/>
      <c r="BG217" s="10"/>
      <c r="BH217" s="55"/>
      <c r="BI217" s="55"/>
      <c r="BJ217" s="55"/>
      <c r="BK217" s="55"/>
      <c r="BS217" s="141"/>
      <c r="CM217" s="141"/>
      <c r="DC217" s="141"/>
    </row>
    <row r="218" spans="1:107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1"/>
        <v>0</v>
      </c>
      <c r="P218" s="10"/>
      <c r="Q218" s="155" t="str">
        <f t="shared" si="22"/>
        <v/>
      </c>
      <c r="R218" s="171" t="str">
        <f t="shared" si="23"/>
        <v/>
      </c>
      <c r="S218" s="161"/>
      <c r="T218" s="55"/>
      <c r="U218" s="55"/>
      <c r="V218" s="55"/>
      <c r="W218" s="155" t="str">
        <f t="shared" si="24"/>
        <v/>
      </c>
      <c r="X218" s="171" t="str">
        <f t="shared" si="25"/>
        <v/>
      </c>
      <c r="Y218" s="165"/>
      <c r="Z218" s="10"/>
      <c r="AA218" s="55"/>
      <c r="AB218" s="55"/>
      <c r="AC218" s="55"/>
      <c r="AD218" s="55"/>
      <c r="AE218" s="55"/>
      <c r="AF218" s="167"/>
      <c r="AG218" s="55"/>
      <c r="AH218" s="55"/>
      <c r="AI218" s="165"/>
      <c r="AJ218" s="55"/>
      <c r="AK218" s="55"/>
      <c r="AL218" s="55"/>
      <c r="AM218" s="55"/>
      <c r="AN218" s="55"/>
      <c r="AO218" s="55"/>
      <c r="AP218" s="55"/>
      <c r="AQ218" s="55"/>
      <c r="AR218" s="165"/>
      <c r="AS218" s="55"/>
      <c r="AT218" s="55"/>
      <c r="AU218" s="55"/>
      <c r="AV218" s="55"/>
      <c r="AW218" s="55"/>
      <c r="AX218" s="55"/>
      <c r="AY218" s="55"/>
      <c r="AZ218" s="55"/>
      <c r="BA218" s="165"/>
      <c r="BB218" s="55"/>
      <c r="BC218" s="55"/>
      <c r="BD218" s="55"/>
      <c r="BE218" s="165"/>
      <c r="BF218" s="55"/>
      <c r="BG218" s="10"/>
      <c r="BH218" s="55"/>
      <c r="BI218" s="55"/>
      <c r="BJ218" s="55"/>
      <c r="BK218" s="55"/>
      <c r="BS218" s="141"/>
      <c r="CM218" s="141"/>
      <c r="DC218" s="141"/>
    </row>
    <row r="219" spans="1:107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1"/>
        <v>0</v>
      </c>
      <c r="P219" s="10"/>
      <c r="Q219" s="155" t="str">
        <f t="shared" si="22"/>
        <v/>
      </c>
      <c r="R219" s="171" t="str">
        <f t="shared" si="23"/>
        <v/>
      </c>
      <c r="S219" s="161"/>
      <c r="T219" s="55"/>
      <c r="U219" s="55"/>
      <c r="V219" s="55"/>
      <c r="W219" s="155" t="str">
        <f t="shared" si="24"/>
        <v/>
      </c>
      <c r="X219" s="171" t="str">
        <f t="shared" si="25"/>
        <v/>
      </c>
      <c r="Y219" s="165"/>
      <c r="Z219" s="10"/>
      <c r="AA219" s="55"/>
      <c r="AB219" s="55"/>
      <c r="AC219" s="55"/>
      <c r="AD219" s="55"/>
      <c r="AE219" s="55"/>
      <c r="AF219" s="167"/>
      <c r="AG219" s="55"/>
      <c r="AH219" s="55"/>
      <c r="AI219" s="165"/>
      <c r="AJ219" s="55"/>
      <c r="AK219" s="55"/>
      <c r="AL219" s="55"/>
      <c r="AM219" s="55"/>
      <c r="AN219" s="55"/>
      <c r="AO219" s="55"/>
      <c r="AP219" s="55"/>
      <c r="AQ219" s="55"/>
      <c r="AR219" s="165"/>
      <c r="AS219" s="55"/>
      <c r="AT219" s="55"/>
      <c r="AU219" s="55"/>
      <c r="AV219" s="55"/>
      <c r="AW219" s="55"/>
      <c r="AX219" s="55"/>
      <c r="AY219" s="55"/>
      <c r="AZ219" s="55"/>
      <c r="BA219" s="165"/>
      <c r="BB219" s="55"/>
      <c r="BC219" s="55"/>
      <c r="BD219" s="55"/>
      <c r="BE219" s="165"/>
      <c r="BF219" s="55"/>
      <c r="BG219" s="10"/>
      <c r="BH219" s="55"/>
      <c r="BI219" s="55"/>
      <c r="BJ219" s="55"/>
      <c r="BK219" s="55"/>
      <c r="BS219" s="141"/>
      <c r="CM219" s="141"/>
      <c r="DC219" s="141"/>
    </row>
    <row r="220" spans="1:107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1"/>
        <v>0</v>
      </c>
      <c r="P220" s="10"/>
      <c r="Q220" s="155" t="str">
        <f t="shared" si="22"/>
        <v/>
      </c>
      <c r="R220" s="171" t="str">
        <f t="shared" si="23"/>
        <v/>
      </c>
      <c r="S220" s="161"/>
      <c r="T220" s="55"/>
      <c r="U220" s="55"/>
      <c r="V220" s="55"/>
      <c r="W220" s="155" t="str">
        <f t="shared" si="24"/>
        <v/>
      </c>
      <c r="X220" s="171" t="str">
        <f t="shared" si="25"/>
        <v/>
      </c>
      <c r="Y220" s="165"/>
      <c r="Z220" s="10"/>
      <c r="AA220" s="55"/>
      <c r="AB220" s="55"/>
      <c r="AC220" s="55"/>
      <c r="AD220" s="55"/>
      <c r="AE220" s="55"/>
      <c r="AF220" s="167"/>
      <c r="AG220" s="55"/>
      <c r="AH220" s="55"/>
      <c r="AI220" s="165"/>
      <c r="AJ220" s="55"/>
      <c r="AK220" s="55"/>
      <c r="AL220" s="55"/>
      <c r="AM220" s="55"/>
      <c r="AN220" s="55"/>
      <c r="AO220" s="55"/>
      <c r="AP220" s="55"/>
      <c r="AQ220" s="55"/>
      <c r="AR220" s="165"/>
      <c r="AS220" s="55"/>
      <c r="AT220" s="55"/>
      <c r="AU220" s="55"/>
      <c r="AV220" s="55"/>
      <c r="AW220" s="55"/>
      <c r="AX220" s="55"/>
      <c r="AY220" s="55"/>
      <c r="AZ220" s="55"/>
      <c r="BA220" s="165"/>
      <c r="BB220" s="55"/>
      <c r="BC220" s="55"/>
      <c r="BD220" s="55"/>
      <c r="BE220" s="165"/>
      <c r="BF220" s="55"/>
      <c r="BG220" s="10"/>
      <c r="BH220" s="55"/>
      <c r="BI220" s="55"/>
      <c r="BJ220" s="55"/>
      <c r="BK220" s="55"/>
      <c r="BS220" s="141"/>
      <c r="CM220" s="141"/>
      <c r="DC220" s="141"/>
    </row>
    <row r="221" spans="1:107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1"/>
        <v>0</v>
      </c>
      <c r="P221" s="10"/>
      <c r="Q221" s="155" t="str">
        <f t="shared" si="22"/>
        <v/>
      </c>
      <c r="R221" s="171" t="str">
        <f t="shared" si="23"/>
        <v/>
      </c>
      <c r="S221" s="161"/>
      <c r="T221" s="55"/>
      <c r="U221" s="55"/>
      <c r="V221" s="55"/>
      <c r="W221" s="155" t="str">
        <f t="shared" si="24"/>
        <v/>
      </c>
      <c r="X221" s="171" t="str">
        <f t="shared" si="25"/>
        <v/>
      </c>
      <c r="Y221" s="165"/>
      <c r="Z221" s="10"/>
      <c r="AA221" s="55"/>
      <c r="AB221" s="55"/>
      <c r="AC221" s="55"/>
      <c r="AD221" s="55"/>
      <c r="AE221" s="55"/>
      <c r="AF221" s="167"/>
      <c r="AG221" s="55"/>
      <c r="AH221" s="55"/>
      <c r="AI221" s="165"/>
      <c r="AJ221" s="55"/>
      <c r="AK221" s="55"/>
      <c r="AL221" s="55"/>
      <c r="AM221" s="55"/>
      <c r="AN221" s="55"/>
      <c r="AO221" s="55"/>
      <c r="AP221" s="55"/>
      <c r="AQ221" s="55"/>
      <c r="AR221" s="165"/>
      <c r="AS221" s="55"/>
      <c r="AT221" s="55"/>
      <c r="AU221" s="55"/>
      <c r="AV221" s="55"/>
      <c r="AW221" s="55"/>
      <c r="AX221" s="55"/>
      <c r="AY221" s="55"/>
      <c r="AZ221" s="55"/>
      <c r="BA221" s="165"/>
      <c r="BB221" s="55"/>
      <c r="BC221" s="55"/>
      <c r="BD221" s="55"/>
      <c r="BE221" s="165"/>
      <c r="BF221" s="55"/>
      <c r="BG221" s="10"/>
      <c r="BH221" s="55"/>
      <c r="BI221" s="55"/>
      <c r="BJ221" s="55"/>
      <c r="BK221" s="55"/>
      <c r="BS221" s="141"/>
      <c r="CM221" s="141"/>
      <c r="DC221" s="141"/>
    </row>
    <row r="222" spans="1:107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1"/>
        <v>0</v>
      </c>
      <c r="P222" s="10"/>
      <c r="Q222" s="155" t="str">
        <f t="shared" si="22"/>
        <v/>
      </c>
      <c r="R222" s="171" t="str">
        <f t="shared" si="23"/>
        <v/>
      </c>
      <c r="S222" s="161"/>
      <c r="T222" s="55"/>
      <c r="U222" s="55"/>
      <c r="V222" s="55"/>
      <c r="W222" s="155" t="str">
        <f t="shared" si="24"/>
        <v/>
      </c>
      <c r="X222" s="171" t="str">
        <f t="shared" si="25"/>
        <v/>
      </c>
      <c r="Y222" s="165"/>
      <c r="Z222" s="10"/>
      <c r="AA222" s="55"/>
      <c r="AB222" s="55"/>
      <c r="AC222" s="55"/>
      <c r="AD222" s="55"/>
      <c r="AE222" s="55"/>
      <c r="AF222" s="167"/>
      <c r="AG222" s="55"/>
      <c r="AH222" s="55"/>
      <c r="AI222" s="165"/>
      <c r="AJ222" s="55"/>
      <c r="AK222" s="55"/>
      <c r="AL222" s="55"/>
      <c r="AM222" s="55"/>
      <c r="AN222" s="55"/>
      <c r="AO222" s="55"/>
      <c r="AP222" s="55"/>
      <c r="AQ222" s="55"/>
      <c r="AR222" s="165"/>
      <c r="AS222" s="55"/>
      <c r="AT222" s="55"/>
      <c r="AU222" s="55"/>
      <c r="AV222" s="55"/>
      <c r="AW222" s="55"/>
      <c r="AX222" s="55"/>
      <c r="AY222" s="55"/>
      <c r="AZ222" s="55"/>
      <c r="BA222" s="165"/>
      <c r="BB222" s="55"/>
      <c r="BC222" s="55"/>
      <c r="BD222" s="55"/>
      <c r="BE222" s="165"/>
      <c r="BF222" s="55"/>
      <c r="BG222" s="10"/>
      <c r="BH222" s="55"/>
      <c r="BI222" s="55"/>
      <c r="BJ222" s="55"/>
      <c r="BK222" s="55"/>
      <c r="BS222" s="141"/>
      <c r="CM222" s="141"/>
      <c r="DC222" s="141"/>
    </row>
    <row r="223" spans="1:107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1"/>
        <v>0</v>
      </c>
      <c r="P223" s="10"/>
      <c r="Q223" s="155" t="str">
        <f t="shared" si="22"/>
        <v/>
      </c>
      <c r="R223" s="171" t="str">
        <f t="shared" si="23"/>
        <v/>
      </c>
      <c r="S223" s="161"/>
      <c r="T223" s="55"/>
      <c r="U223" s="55"/>
      <c r="V223" s="55"/>
      <c r="W223" s="155" t="str">
        <f t="shared" si="24"/>
        <v/>
      </c>
      <c r="X223" s="171" t="str">
        <f t="shared" si="25"/>
        <v/>
      </c>
      <c r="Y223" s="165"/>
      <c r="Z223" s="10"/>
      <c r="AA223" s="55"/>
      <c r="AB223" s="55"/>
      <c r="AC223" s="55"/>
      <c r="AD223" s="55"/>
      <c r="AE223" s="55"/>
      <c r="AF223" s="167"/>
      <c r="AG223" s="55"/>
      <c r="AH223" s="55"/>
      <c r="AI223" s="165"/>
      <c r="AJ223" s="55"/>
      <c r="AK223" s="55"/>
      <c r="AL223" s="55"/>
      <c r="AM223" s="55"/>
      <c r="AN223" s="55"/>
      <c r="AO223" s="55"/>
      <c r="AP223" s="55"/>
      <c r="AQ223" s="55"/>
      <c r="AR223" s="165"/>
      <c r="AS223" s="55"/>
      <c r="AT223" s="55"/>
      <c r="AU223" s="55"/>
      <c r="AV223" s="55"/>
      <c r="AW223" s="55"/>
      <c r="AX223" s="55"/>
      <c r="AY223" s="55"/>
      <c r="AZ223" s="55"/>
      <c r="BA223" s="165"/>
      <c r="BB223" s="55"/>
      <c r="BC223" s="55"/>
      <c r="BD223" s="55"/>
      <c r="BE223" s="165"/>
      <c r="BF223" s="55"/>
      <c r="BG223" s="10"/>
      <c r="BH223" s="55"/>
      <c r="BI223" s="55"/>
      <c r="BJ223" s="55"/>
      <c r="BK223" s="55"/>
      <c r="BS223" s="141"/>
      <c r="CM223" s="141"/>
      <c r="DC223" s="141"/>
    </row>
    <row r="224" spans="1:107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1"/>
        <v>0</v>
      </c>
      <c r="P224" s="10"/>
      <c r="Q224" s="155" t="str">
        <f t="shared" si="22"/>
        <v/>
      </c>
      <c r="R224" s="171" t="str">
        <f t="shared" si="23"/>
        <v/>
      </c>
      <c r="S224" s="161"/>
      <c r="T224" s="55"/>
      <c r="U224" s="55"/>
      <c r="V224" s="55"/>
      <c r="W224" s="155" t="str">
        <f t="shared" si="24"/>
        <v/>
      </c>
      <c r="X224" s="171" t="str">
        <f t="shared" si="25"/>
        <v/>
      </c>
      <c r="Y224" s="165"/>
      <c r="Z224" s="10"/>
      <c r="AA224" s="55"/>
      <c r="AB224" s="55"/>
      <c r="AC224" s="55"/>
      <c r="AD224" s="55"/>
      <c r="AE224" s="55"/>
      <c r="AF224" s="167"/>
      <c r="AG224" s="55"/>
      <c r="AH224" s="55"/>
      <c r="AI224" s="165"/>
      <c r="AJ224" s="55"/>
      <c r="AK224" s="55"/>
      <c r="AL224" s="55"/>
      <c r="AM224" s="55"/>
      <c r="AN224" s="55"/>
      <c r="AO224" s="55"/>
      <c r="AP224" s="55"/>
      <c r="AQ224" s="55"/>
      <c r="AR224" s="165"/>
      <c r="AS224" s="55"/>
      <c r="AT224" s="55"/>
      <c r="AU224" s="55"/>
      <c r="AV224" s="55"/>
      <c r="AW224" s="55"/>
      <c r="AX224" s="55"/>
      <c r="AY224" s="55"/>
      <c r="AZ224" s="55"/>
      <c r="BA224" s="165"/>
      <c r="BB224" s="55"/>
      <c r="BC224" s="55"/>
      <c r="BD224" s="55"/>
      <c r="BE224" s="165"/>
      <c r="BF224" s="55"/>
      <c r="BG224" s="10"/>
      <c r="BH224" s="55"/>
      <c r="BI224" s="55"/>
      <c r="BJ224" s="55"/>
      <c r="BK224" s="55"/>
      <c r="BS224" s="141"/>
      <c r="CM224" s="141"/>
      <c r="DC224" s="141"/>
    </row>
    <row r="225" spans="1:107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56"/>
      <c r="R225" s="172"/>
      <c r="S225" s="162"/>
      <c r="T225" s="56"/>
      <c r="U225" s="56"/>
      <c r="V225" s="56"/>
      <c r="W225" s="156"/>
      <c r="X225" s="172"/>
      <c r="Y225" s="166"/>
      <c r="Z225" s="17"/>
      <c r="AA225" s="56"/>
      <c r="AB225" s="56"/>
      <c r="AC225" s="56"/>
      <c r="AD225" s="56"/>
      <c r="AE225" s="56"/>
      <c r="AF225" s="169"/>
      <c r="AG225" s="56"/>
      <c r="AH225" s="56"/>
      <c r="AI225" s="166"/>
      <c r="AJ225" s="56"/>
      <c r="AK225" s="56"/>
      <c r="AL225" s="56"/>
      <c r="AM225" s="56"/>
      <c r="AN225" s="56"/>
      <c r="AO225" s="56"/>
      <c r="AP225" s="56"/>
      <c r="AQ225" s="56"/>
      <c r="AR225" s="166"/>
      <c r="AS225" s="56"/>
      <c r="AT225" s="56"/>
      <c r="AU225" s="56"/>
      <c r="AV225" s="56"/>
      <c r="AW225" s="56"/>
      <c r="AX225" s="56"/>
      <c r="AY225" s="56"/>
      <c r="AZ225" s="56"/>
      <c r="BA225" s="166"/>
      <c r="BB225" s="56"/>
      <c r="BC225" s="56"/>
      <c r="BD225" s="56"/>
      <c r="BE225" s="166"/>
      <c r="BF225" s="56"/>
      <c r="BG225" s="17"/>
      <c r="BH225" s="56"/>
      <c r="BI225" s="56"/>
      <c r="BJ225" s="56"/>
      <c r="BK225" s="56"/>
      <c r="BS225" s="140"/>
      <c r="CM225" s="140"/>
      <c r="DC225" s="140"/>
    </row>
    <row r="226" spans="1:107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55"/>
      <c r="R226" s="171"/>
      <c r="S226" s="161"/>
      <c r="T226" s="55"/>
      <c r="U226" s="55"/>
      <c r="V226" s="55"/>
      <c r="W226" s="155"/>
      <c r="X226" s="171"/>
      <c r="Y226" s="165"/>
      <c r="Z226" s="10"/>
      <c r="AA226" s="55"/>
      <c r="AB226" s="55"/>
      <c r="AC226" s="55"/>
      <c r="AD226" s="55"/>
      <c r="AE226" s="55"/>
      <c r="AF226" s="167"/>
      <c r="AG226" s="55"/>
      <c r="AH226" s="55"/>
      <c r="AI226" s="165"/>
      <c r="AJ226" s="55"/>
      <c r="AK226" s="55"/>
      <c r="AL226" s="55"/>
      <c r="AM226" s="55"/>
      <c r="AN226" s="55"/>
      <c r="AO226" s="55"/>
      <c r="AP226" s="55"/>
      <c r="AQ226" s="55"/>
      <c r="AR226" s="165"/>
      <c r="AS226" s="55"/>
      <c r="AT226" s="55"/>
      <c r="AU226" s="55"/>
      <c r="AV226" s="55"/>
      <c r="AW226" s="55"/>
      <c r="AX226" s="55"/>
      <c r="AY226" s="55"/>
      <c r="AZ226" s="55"/>
      <c r="BA226" s="165"/>
      <c r="BB226" s="55"/>
      <c r="BC226" s="55"/>
      <c r="BD226" s="55"/>
      <c r="BE226" s="165"/>
      <c r="BF226" s="55"/>
      <c r="BG226" s="10"/>
      <c r="BH226" s="55"/>
      <c r="BI226" s="55"/>
      <c r="BJ226" s="55"/>
      <c r="BK226" s="55"/>
      <c r="BS226" s="141"/>
      <c r="CM226" s="141"/>
      <c r="DC226" s="141"/>
    </row>
    <row r="227" spans="1:107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55"/>
      <c r="R227" s="171"/>
      <c r="S227" s="161"/>
      <c r="T227" s="55"/>
      <c r="U227" s="55"/>
      <c r="V227" s="55"/>
      <c r="W227" s="155"/>
      <c r="X227" s="171"/>
      <c r="Y227" s="165"/>
      <c r="Z227" s="10"/>
      <c r="AA227" s="55"/>
      <c r="AB227" s="55"/>
      <c r="AC227" s="55"/>
      <c r="AD227" s="55"/>
      <c r="AE227" s="55"/>
      <c r="AF227" s="167"/>
      <c r="AG227" s="55"/>
      <c r="AH227" s="55"/>
      <c r="AI227" s="165"/>
      <c r="AJ227" s="55"/>
      <c r="AK227" s="55"/>
      <c r="AL227" s="55"/>
      <c r="AM227" s="55"/>
      <c r="AN227" s="55"/>
      <c r="AO227" s="55"/>
      <c r="AP227" s="55"/>
      <c r="AQ227" s="55"/>
      <c r="AR227" s="165"/>
      <c r="AS227" s="55"/>
      <c r="AT227" s="55"/>
      <c r="AU227" s="55"/>
      <c r="AV227" s="55"/>
      <c r="AW227" s="55"/>
      <c r="AX227" s="55"/>
      <c r="AY227" s="55"/>
      <c r="AZ227" s="55"/>
      <c r="BA227" s="165"/>
      <c r="BB227" s="55"/>
      <c r="BC227" s="55"/>
      <c r="BD227" s="55"/>
      <c r="BE227" s="165"/>
      <c r="BF227" s="55"/>
      <c r="BG227" s="10"/>
      <c r="BH227" s="55"/>
      <c r="BI227" s="55"/>
      <c r="BJ227" s="55"/>
      <c r="BK227" s="55"/>
      <c r="BS227" s="141"/>
      <c r="CM227" s="141"/>
      <c r="DC227" s="141"/>
    </row>
    <row r="228" spans="1:107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55"/>
      <c r="R228" s="171"/>
      <c r="S228" s="161"/>
      <c r="T228" s="55"/>
      <c r="U228" s="55"/>
      <c r="V228" s="55"/>
      <c r="W228" s="155"/>
      <c r="X228" s="171"/>
      <c r="Y228" s="165"/>
      <c r="Z228" s="10"/>
      <c r="AA228" s="55"/>
      <c r="AB228" s="55"/>
      <c r="AC228" s="55"/>
      <c r="AD228" s="55"/>
      <c r="AE228" s="55"/>
      <c r="AF228" s="167"/>
      <c r="AG228" s="55"/>
      <c r="AH228" s="55"/>
      <c r="AI228" s="165"/>
      <c r="AJ228" s="55"/>
      <c r="AK228" s="55"/>
      <c r="AL228" s="55"/>
      <c r="AM228" s="55"/>
      <c r="AN228" s="55"/>
      <c r="AO228" s="55"/>
      <c r="AP228" s="55"/>
      <c r="AQ228" s="55"/>
      <c r="AR228" s="165"/>
      <c r="AS228" s="55"/>
      <c r="AT228" s="55"/>
      <c r="AU228" s="55"/>
      <c r="AV228" s="55"/>
      <c r="AW228" s="55"/>
      <c r="AX228" s="55"/>
      <c r="AY228" s="55"/>
      <c r="AZ228" s="55"/>
      <c r="BA228" s="165"/>
      <c r="BB228" s="55"/>
      <c r="BC228" s="55"/>
      <c r="BD228" s="55"/>
      <c r="BE228" s="165"/>
      <c r="BF228" s="55"/>
      <c r="BG228" s="10"/>
      <c r="BH228" s="55"/>
      <c r="BI228" s="55"/>
      <c r="BJ228" s="55"/>
      <c r="BK228" s="55"/>
      <c r="BS228" s="141"/>
      <c r="CM228" s="141"/>
      <c r="DC228" s="141"/>
    </row>
    <row r="229" spans="1:107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55"/>
      <c r="R229" s="171"/>
      <c r="S229" s="161"/>
      <c r="T229" s="55"/>
      <c r="U229" s="55"/>
      <c r="V229" s="55"/>
      <c r="W229" s="155"/>
      <c r="X229" s="171"/>
      <c r="Y229" s="165"/>
      <c r="Z229" s="10"/>
      <c r="AA229" s="55"/>
      <c r="AB229" s="55"/>
      <c r="AC229" s="55"/>
      <c r="AD229" s="55"/>
      <c r="AE229" s="55"/>
      <c r="AF229" s="167"/>
      <c r="AG229" s="55"/>
      <c r="AH229" s="55"/>
      <c r="AI229" s="165"/>
      <c r="AJ229" s="55"/>
      <c r="AK229" s="55"/>
      <c r="AL229" s="55"/>
      <c r="AM229" s="55"/>
      <c r="AN229" s="55"/>
      <c r="AO229" s="55"/>
      <c r="AP229" s="55"/>
      <c r="AQ229" s="55"/>
      <c r="AR229" s="165"/>
      <c r="AS229" s="55"/>
      <c r="AT229" s="55"/>
      <c r="AU229" s="55"/>
      <c r="AV229" s="55"/>
      <c r="AW229" s="55"/>
      <c r="AX229" s="55"/>
      <c r="AY229" s="55"/>
      <c r="AZ229" s="55"/>
      <c r="BA229" s="165"/>
      <c r="BB229" s="55"/>
      <c r="BC229" s="55"/>
      <c r="BD229" s="55"/>
      <c r="BE229" s="165"/>
      <c r="BF229" s="55"/>
      <c r="BG229" s="10"/>
      <c r="BH229" s="55"/>
      <c r="BI229" s="55"/>
      <c r="BJ229" s="55"/>
      <c r="BK229" s="55"/>
      <c r="BS229" s="141"/>
      <c r="CM229" s="141"/>
      <c r="DC229" s="141"/>
    </row>
    <row r="230" spans="1:107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55"/>
      <c r="R230" s="171"/>
      <c r="S230" s="161"/>
      <c r="T230" s="55"/>
      <c r="U230" s="55"/>
      <c r="V230" s="55"/>
      <c r="W230" s="155"/>
      <c r="X230" s="171"/>
      <c r="Y230" s="165"/>
      <c r="Z230" s="10"/>
      <c r="AA230" s="55"/>
      <c r="AB230" s="55"/>
      <c r="AC230" s="55"/>
      <c r="AD230" s="55"/>
      <c r="AE230" s="55"/>
      <c r="AF230" s="167"/>
      <c r="AG230" s="55"/>
      <c r="AH230" s="55"/>
      <c r="AI230" s="165"/>
      <c r="AJ230" s="55"/>
      <c r="AK230" s="55"/>
      <c r="AL230" s="55"/>
      <c r="AM230" s="55"/>
      <c r="AN230" s="55"/>
      <c r="AO230" s="55"/>
      <c r="AP230" s="55"/>
      <c r="AQ230" s="55"/>
      <c r="AR230" s="165"/>
      <c r="AS230" s="55"/>
      <c r="AT230" s="55"/>
      <c r="AU230" s="55"/>
      <c r="AV230" s="55"/>
      <c r="AW230" s="55"/>
      <c r="AX230" s="55"/>
      <c r="AY230" s="55"/>
      <c r="AZ230" s="55"/>
      <c r="BA230" s="165"/>
      <c r="BB230" s="55"/>
      <c r="BC230" s="55"/>
      <c r="BD230" s="55"/>
      <c r="BE230" s="165"/>
      <c r="BF230" s="55"/>
      <c r="BG230" s="10"/>
      <c r="BH230" s="55"/>
      <c r="BI230" s="55"/>
      <c r="BJ230" s="55"/>
      <c r="BK230" s="55"/>
      <c r="BS230" s="141"/>
      <c r="CM230" s="141"/>
      <c r="DC230" s="141"/>
    </row>
    <row r="231" spans="1:107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55"/>
      <c r="R231" s="171"/>
      <c r="S231" s="161"/>
      <c r="T231" s="55"/>
      <c r="U231" s="55"/>
      <c r="V231" s="55"/>
      <c r="W231" s="155"/>
      <c r="X231" s="171"/>
      <c r="Y231" s="165"/>
      <c r="Z231" s="10"/>
      <c r="AA231" s="55"/>
      <c r="AB231" s="55"/>
      <c r="AC231" s="55"/>
      <c r="AD231" s="55"/>
      <c r="AE231" s="55"/>
      <c r="AF231" s="167"/>
      <c r="AG231" s="55"/>
      <c r="AH231" s="55"/>
      <c r="AI231" s="165"/>
      <c r="AJ231" s="55"/>
      <c r="AK231" s="55"/>
      <c r="AL231" s="55"/>
      <c r="AM231" s="55"/>
      <c r="AN231" s="55"/>
      <c r="AO231" s="55"/>
      <c r="AP231" s="55"/>
      <c r="AQ231" s="55"/>
      <c r="AR231" s="165"/>
      <c r="AS231" s="55"/>
      <c r="AT231" s="55"/>
      <c r="AU231" s="55"/>
      <c r="AV231" s="55"/>
      <c r="AW231" s="55"/>
      <c r="AX231" s="55"/>
      <c r="AY231" s="55"/>
      <c r="AZ231" s="55"/>
      <c r="BA231" s="165"/>
      <c r="BB231" s="55"/>
      <c r="BC231" s="55"/>
      <c r="BD231" s="55"/>
      <c r="BE231" s="165"/>
      <c r="BF231" s="55"/>
      <c r="BG231" s="10"/>
      <c r="BH231" s="55"/>
      <c r="BI231" s="55"/>
      <c r="BJ231" s="55"/>
      <c r="BK231" s="55"/>
      <c r="BS231" s="141"/>
      <c r="CM231" s="141"/>
      <c r="DC231" s="141"/>
    </row>
    <row r="232" spans="1:107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55"/>
      <c r="R232" s="171"/>
      <c r="S232" s="161"/>
      <c r="T232" s="55"/>
      <c r="U232" s="55"/>
      <c r="V232" s="55"/>
      <c r="W232" s="155"/>
      <c r="X232" s="171"/>
      <c r="Y232" s="165"/>
      <c r="Z232" s="10"/>
      <c r="AA232" s="55"/>
      <c r="AB232" s="55"/>
      <c r="AC232" s="55"/>
      <c r="AD232" s="55"/>
      <c r="AE232" s="55"/>
      <c r="AF232" s="167"/>
      <c r="AG232" s="55"/>
      <c r="AH232" s="55"/>
      <c r="AI232" s="165"/>
      <c r="AJ232" s="55"/>
      <c r="AK232" s="55"/>
      <c r="AL232" s="55"/>
      <c r="AM232" s="55"/>
      <c r="AN232" s="55"/>
      <c r="AO232" s="55"/>
      <c r="AP232" s="55"/>
      <c r="AQ232" s="55"/>
      <c r="AR232" s="165"/>
      <c r="AS232" s="55"/>
      <c r="AT232" s="55"/>
      <c r="AU232" s="55"/>
      <c r="AV232" s="55"/>
      <c r="AW232" s="55"/>
      <c r="AX232" s="55"/>
      <c r="AY232" s="55"/>
      <c r="AZ232" s="55"/>
      <c r="BA232" s="165"/>
      <c r="BB232" s="55"/>
      <c r="BC232" s="55"/>
      <c r="BD232" s="55"/>
      <c r="BE232" s="165"/>
      <c r="BF232" s="55"/>
      <c r="BG232" s="10"/>
      <c r="BH232" s="55"/>
      <c r="BI232" s="55"/>
      <c r="BJ232" s="55"/>
      <c r="BK232" s="55"/>
      <c r="BS232" s="141"/>
      <c r="CM232" s="141"/>
      <c r="DC232" s="141"/>
    </row>
    <row r="233" spans="1:107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55"/>
      <c r="R233" s="171"/>
      <c r="S233" s="161"/>
      <c r="T233" s="55"/>
      <c r="U233" s="55"/>
      <c r="V233" s="55"/>
      <c r="W233" s="155"/>
      <c r="X233" s="171"/>
      <c r="Y233" s="165"/>
      <c r="Z233" s="10"/>
      <c r="AA233" s="55"/>
      <c r="AB233" s="55"/>
      <c r="AC233" s="55"/>
      <c r="AD233" s="55"/>
      <c r="AE233" s="55"/>
      <c r="AF233" s="167"/>
      <c r="AG233" s="55"/>
      <c r="AH233" s="55"/>
      <c r="AI233" s="165"/>
      <c r="AJ233" s="55"/>
      <c r="AK233" s="55"/>
      <c r="AL233" s="55"/>
      <c r="AM233" s="55"/>
      <c r="AN233" s="55"/>
      <c r="AO233" s="55"/>
      <c r="AP233" s="55"/>
      <c r="AQ233" s="55"/>
      <c r="AR233" s="165"/>
      <c r="AS233" s="55"/>
      <c r="AT233" s="55"/>
      <c r="AU233" s="55"/>
      <c r="AV233" s="55"/>
      <c r="AW233" s="55"/>
      <c r="AX233" s="55"/>
      <c r="AY233" s="55"/>
      <c r="AZ233" s="55"/>
      <c r="BA233" s="165"/>
      <c r="BB233" s="55"/>
      <c r="BC233" s="55"/>
      <c r="BD233" s="55"/>
      <c r="BE233" s="165"/>
      <c r="BF233" s="55"/>
      <c r="BG233" s="10"/>
      <c r="BH233" s="55"/>
      <c r="BI233" s="55"/>
      <c r="BJ233" s="55"/>
      <c r="BK233" s="55"/>
      <c r="BS233" s="141"/>
      <c r="CM233" s="141"/>
      <c r="DC233" s="141"/>
    </row>
    <row r="234" spans="1:107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55"/>
      <c r="R234" s="171"/>
      <c r="S234" s="161"/>
      <c r="T234" s="55"/>
      <c r="U234" s="55"/>
      <c r="V234" s="55"/>
      <c r="W234" s="155"/>
      <c r="X234" s="171"/>
      <c r="Y234" s="165"/>
      <c r="Z234" s="10"/>
      <c r="AA234" s="55"/>
      <c r="AB234" s="55"/>
      <c r="AC234" s="55"/>
      <c r="AD234" s="55"/>
      <c r="AE234" s="55"/>
      <c r="AF234" s="167"/>
      <c r="AG234" s="55"/>
      <c r="AH234" s="55"/>
      <c r="AI234" s="165"/>
      <c r="AJ234" s="55"/>
      <c r="AK234" s="55"/>
      <c r="AL234" s="55"/>
      <c r="AM234" s="55"/>
      <c r="AN234" s="55"/>
      <c r="AO234" s="55"/>
      <c r="AP234" s="55"/>
      <c r="AQ234" s="55"/>
      <c r="AR234" s="165"/>
      <c r="AS234" s="55"/>
      <c r="AT234" s="55"/>
      <c r="AU234" s="55"/>
      <c r="AV234" s="55"/>
      <c r="AW234" s="55"/>
      <c r="AX234" s="55"/>
      <c r="AY234" s="55"/>
      <c r="AZ234" s="55"/>
      <c r="BA234" s="165"/>
      <c r="BB234" s="55"/>
      <c r="BC234" s="55"/>
      <c r="BD234" s="55"/>
      <c r="BE234" s="165"/>
      <c r="BF234" s="55"/>
      <c r="BG234" s="10"/>
      <c r="BH234" s="55"/>
      <c r="BI234" s="55"/>
      <c r="BJ234" s="55"/>
      <c r="BK234" s="55"/>
      <c r="BS234" s="141"/>
      <c r="CM234" s="141"/>
      <c r="DC234" s="141"/>
    </row>
    <row r="235" spans="1:107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55"/>
      <c r="R235" s="171"/>
      <c r="S235" s="161"/>
      <c r="T235" s="55"/>
      <c r="U235" s="55"/>
      <c r="V235" s="55"/>
      <c r="W235" s="155"/>
      <c r="X235" s="171"/>
      <c r="Y235" s="165"/>
      <c r="Z235" s="10"/>
      <c r="AA235" s="55"/>
      <c r="AB235" s="55"/>
      <c r="AC235" s="55"/>
      <c r="AD235" s="55"/>
      <c r="AE235" s="55"/>
      <c r="AF235" s="167"/>
      <c r="AG235" s="55"/>
      <c r="AH235" s="55"/>
      <c r="AI235" s="165"/>
      <c r="AJ235" s="55"/>
      <c r="AK235" s="55"/>
      <c r="AL235" s="55"/>
      <c r="AM235" s="55"/>
      <c r="AN235" s="55"/>
      <c r="AO235" s="55"/>
      <c r="AP235" s="55"/>
      <c r="AQ235" s="55"/>
      <c r="AR235" s="165"/>
      <c r="AS235" s="55"/>
      <c r="AT235" s="55"/>
      <c r="AU235" s="55"/>
      <c r="AV235" s="55"/>
      <c r="AW235" s="55"/>
      <c r="AX235" s="55"/>
      <c r="AY235" s="55"/>
      <c r="AZ235" s="55"/>
      <c r="BA235" s="165"/>
      <c r="BB235" s="55"/>
      <c r="BC235" s="55"/>
      <c r="BD235" s="55"/>
      <c r="BE235" s="165"/>
      <c r="BF235" s="55"/>
      <c r="BG235" s="10"/>
      <c r="BH235" s="55"/>
      <c r="BI235" s="55"/>
      <c r="BJ235" s="55"/>
      <c r="BK235" s="55"/>
      <c r="BS235" s="141"/>
      <c r="CM235" s="141"/>
      <c r="DC235" s="141"/>
    </row>
    <row r="236" spans="1:107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55"/>
      <c r="R236" s="171"/>
      <c r="S236" s="161"/>
      <c r="T236" s="55"/>
      <c r="U236" s="55"/>
      <c r="V236" s="55"/>
      <c r="W236" s="155"/>
      <c r="X236" s="171"/>
      <c r="Y236" s="165"/>
      <c r="Z236" s="10"/>
      <c r="AA236" s="55"/>
      <c r="AB236" s="55"/>
      <c r="AC236" s="55"/>
      <c r="AD236" s="55"/>
      <c r="AE236" s="55"/>
      <c r="AF236" s="167"/>
      <c r="AG236" s="55"/>
      <c r="AH236" s="55"/>
      <c r="AI236" s="165"/>
      <c r="AJ236" s="55"/>
      <c r="AK236" s="55"/>
      <c r="AL236" s="55"/>
      <c r="AM236" s="55"/>
      <c r="AN236" s="55"/>
      <c r="AO236" s="55"/>
      <c r="AP236" s="55"/>
      <c r="AQ236" s="55"/>
      <c r="AR236" s="165"/>
      <c r="AS236" s="55"/>
      <c r="AT236" s="55"/>
      <c r="AU236" s="55"/>
      <c r="AV236" s="55"/>
      <c r="AW236" s="55"/>
      <c r="AX236" s="55"/>
      <c r="AY236" s="55"/>
      <c r="AZ236" s="55"/>
      <c r="BA236" s="165"/>
      <c r="BB236" s="55"/>
      <c r="BC236" s="55"/>
      <c r="BD236" s="55"/>
      <c r="BE236" s="165"/>
      <c r="BF236" s="55"/>
      <c r="BG236" s="10"/>
      <c r="BH236" s="55"/>
      <c r="BI236" s="55"/>
      <c r="BJ236" s="55"/>
      <c r="BK236" s="55"/>
      <c r="BS236" s="141"/>
      <c r="CM236" s="141"/>
      <c r="DC236" s="141"/>
    </row>
    <row r="237" spans="1:107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55"/>
      <c r="R237" s="171"/>
      <c r="S237" s="161"/>
      <c r="T237" s="55"/>
      <c r="U237" s="55"/>
      <c r="V237" s="55"/>
      <c r="W237" s="155"/>
      <c r="X237" s="171"/>
      <c r="Y237" s="165"/>
      <c r="Z237" s="10"/>
      <c r="AA237" s="55"/>
      <c r="AB237" s="55"/>
      <c r="AC237" s="55"/>
      <c r="AD237" s="55"/>
      <c r="AE237" s="55"/>
      <c r="AF237" s="167"/>
      <c r="AG237" s="55"/>
      <c r="AH237" s="55"/>
      <c r="AI237" s="165"/>
      <c r="AJ237" s="55"/>
      <c r="AK237" s="55"/>
      <c r="AL237" s="55"/>
      <c r="AM237" s="55"/>
      <c r="AN237" s="55"/>
      <c r="AO237" s="55"/>
      <c r="AP237" s="55"/>
      <c r="AQ237" s="55"/>
      <c r="AR237" s="165"/>
      <c r="AS237" s="55"/>
      <c r="AT237" s="55"/>
      <c r="AU237" s="55"/>
      <c r="AV237" s="55"/>
      <c r="AW237" s="55"/>
      <c r="AX237" s="55"/>
      <c r="AY237" s="55"/>
      <c r="AZ237" s="55"/>
      <c r="BA237" s="165"/>
      <c r="BB237" s="55"/>
      <c r="BC237" s="55"/>
      <c r="BD237" s="55"/>
      <c r="BE237" s="165"/>
      <c r="BF237" s="55"/>
      <c r="BG237" s="10"/>
      <c r="BH237" s="55"/>
      <c r="BI237" s="55"/>
      <c r="BJ237" s="55"/>
      <c r="BK237" s="55"/>
      <c r="BS237" s="141"/>
      <c r="CM237" s="141"/>
      <c r="DC237" s="141"/>
    </row>
    <row r="238" spans="1:107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55"/>
      <c r="R238" s="171"/>
      <c r="S238" s="161"/>
      <c r="T238" s="55"/>
      <c r="U238" s="55"/>
      <c r="V238" s="55"/>
      <c r="W238" s="155"/>
      <c r="X238" s="171"/>
      <c r="Y238" s="165"/>
      <c r="Z238" s="10"/>
      <c r="AA238" s="55"/>
      <c r="AB238" s="55"/>
      <c r="AC238" s="55"/>
      <c r="AD238" s="55"/>
      <c r="AE238" s="55"/>
      <c r="AF238" s="167"/>
      <c r="AG238" s="55"/>
      <c r="AH238" s="55"/>
      <c r="AI238" s="165"/>
      <c r="AJ238" s="55"/>
      <c r="AK238" s="55"/>
      <c r="AL238" s="55"/>
      <c r="AM238" s="55"/>
      <c r="AN238" s="55"/>
      <c r="AO238" s="55"/>
      <c r="AP238" s="55"/>
      <c r="AQ238" s="55"/>
      <c r="AR238" s="165"/>
      <c r="AS238" s="55"/>
      <c r="AT238" s="55"/>
      <c r="AU238" s="55"/>
      <c r="AV238" s="55"/>
      <c r="AW238" s="55"/>
      <c r="AX238" s="55"/>
      <c r="AY238" s="55"/>
      <c r="AZ238" s="55"/>
      <c r="BA238" s="165"/>
      <c r="BB238" s="55"/>
      <c r="BC238" s="55"/>
      <c r="BD238" s="55"/>
      <c r="BE238" s="165"/>
      <c r="BF238" s="55"/>
      <c r="BG238" s="10"/>
      <c r="BH238" s="55"/>
      <c r="BI238" s="55"/>
      <c r="BJ238" s="55"/>
      <c r="BK238" s="55"/>
      <c r="BS238" s="141"/>
      <c r="CM238" s="141"/>
      <c r="DC238" s="141"/>
    </row>
    <row r="239" spans="1:107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55"/>
      <c r="R239" s="171"/>
      <c r="S239" s="161"/>
      <c r="T239" s="55"/>
      <c r="U239" s="55"/>
      <c r="V239" s="55"/>
      <c r="W239" s="155"/>
      <c r="X239" s="171"/>
      <c r="Y239" s="165"/>
      <c r="Z239" s="10"/>
      <c r="AA239" s="55"/>
      <c r="AB239" s="55"/>
      <c r="AC239" s="55"/>
      <c r="AD239" s="55"/>
      <c r="AE239" s="55"/>
      <c r="AF239" s="167"/>
      <c r="AG239" s="55"/>
      <c r="AH239" s="55"/>
      <c r="AI239" s="165"/>
      <c r="AJ239" s="55"/>
      <c r="AK239" s="55"/>
      <c r="AL239" s="55"/>
      <c r="AM239" s="55"/>
      <c r="AN239" s="55"/>
      <c r="AO239" s="55"/>
      <c r="AP239" s="55"/>
      <c r="AQ239" s="55"/>
      <c r="AR239" s="165"/>
      <c r="AS239" s="55"/>
      <c r="AT239" s="55"/>
      <c r="AU239" s="55"/>
      <c r="AV239" s="55"/>
      <c r="AW239" s="55"/>
      <c r="AX239" s="55"/>
      <c r="AY239" s="55"/>
      <c r="AZ239" s="55"/>
      <c r="BA239" s="165"/>
      <c r="BB239" s="55"/>
      <c r="BC239" s="55"/>
      <c r="BD239" s="55"/>
      <c r="BE239" s="165"/>
      <c r="BF239" s="55"/>
      <c r="BG239" s="10"/>
      <c r="BH239" s="55"/>
      <c r="BI239" s="55"/>
      <c r="BJ239" s="55"/>
      <c r="BK239" s="55"/>
      <c r="BS239" s="141"/>
      <c r="CM239" s="141"/>
      <c r="DC239" s="141"/>
    </row>
    <row r="240" spans="1:107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55"/>
      <c r="R240" s="171"/>
      <c r="S240" s="161"/>
      <c r="T240" s="55"/>
      <c r="U240" s="55"/>
      <c r="V240" s="55"/>
      <c r="W240" s="155"/>
      <c r="X240" s="171"/>
      <c r="Y240" s="165"/>
      <c r="Z240" s="10"/>
      <c r="AA240" s="55"/>
      <c r="AB240" s="55"/>
      <c r="AC240" s="55"/>
      <c r="AD240" s="55"/>
      <c r="AE240" s="55"/>
      <c r="AF240" s="167"/>
      <c r="AG240" s="55"/>
      <c r="AH240" s="55"/>
      <c r="AI240" s="165"/>
      <c r="AJ240" s="55"/>
      <c r="AK240" s="55"/>
      <c r="AL240" s="55"/>
      <c r="AM240" s="55"/>
      <c r="AN240" s="55"/>
      <c r="AO240" s="55"/>
      <c r="AP240" s="55"/>
      <c r="AQ240" s="55"/>
      <c r="AR240" s="165"/>
      <c r="AS240" s="55"/>
      <c r="AT240" s="55"/>
      <c r="AU240" s="55"/>
      <c r="AV240" s="55"/>
      <c r="AW240" s="55"/>
      <c r="AX240" s="55"/>
      <c r="AY240" s="55"/>
      <c r="AZ240" s="55"/>
      <c r="BA240" s="165"/>
      <c r="BB240" s="55"/>
      <c r="BC240" s="55"/>
      <c r="BD240" s="55"/>
      <c r="BE240" s="165"/>
      <c r="BF240" s="55"/>
      <c r="BG240" s="10"/>
      <c r="BH240" s="55"/>
      <c r="BI240" s="55"/>
      <c r="BJ240" s="55"/>
      <c r="BK240" s="55"/>
      <c r="BS240" s="141"/>
      <c r="CM240" s="141"/>
      <c r="DC240" s="141"/>
    </row>
    <row r="241" spans="1:107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55"/>
      <c r="R241" s="171"/>
      <c r="S241" s="161"/>
      <c r="T241" s="55"/>
      <c r="U241" s="55"/>
      <c r="V241" s="55"/>
      <c r="W241" s="155"/>
      <c r="X241" s="171"/>
      <c r="Y241" s="165"/>
      <c r="Z241" s="10"/>
      <c r="AA241" s="55"/>
      <c r="AB241" s="55"/>
      <c r="AC241" s="55"/>
      <c r="AD241" s="55"/>
      <c r="AE241" s="55"/>
      <c r="AF241" s="167"/>
      <c r="AG241" s="55"/>
      <c r="AH241" s="55"/>
      <c r="AI241" s="165"/>
      <c r="AJ241" s="55"/>
      <c r="AK241" s="55"/>
      <c r="AL241" s="55"/>
      <c r="AM241" s="55"/>
      <c r="AN241" s="55"/>
      <c r="AO241" s="55"/>
      <c r="AP241" s="55"/>
      <c r="AQ241" s="55"/>
      <c r="AR241" s="165"/>
      <c r="AS241" s="55"/>
      <c r="AT241" s="55"/>
      <c r="AU241" s="55"/>
      <c r="AV241" s="55"/>
      <c r="AW241" s="55"/>
      <c r="AX241" s="55"/>
      <c r="AY241" s="55"/>
      <c r="AZ241" s="55"/>
      <c r="BA241" s="165"/>
      <c r="BB241" s="55"/>
      <c r="BC241" s="55"/>
      <c r="BD241" s="55"/>
      <c r="BE241" s="165"/>
      <c r="BF241" s="55"/>
      <c r="BG241" s="10"/>
      <c r="BH241" s="55"/>
      <c r="BI241" s="55"/>
      <c r="BJ241" s="55"/>
      <c r="BK241" s="55"/>
      <c r="BS241" s="141"/>
      <c r="CM241" s="141"/>
      <c r="DC241" s="141"/>
    </row>
    <row r="242" spans="1:107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55"/>
      <c r="R242" s="171"/>
      <c r="S242" s="161"/>
      <c r="T242" s="55"/>
      <c r="U242" s="55"/>
      <c r="V242" s="55"/>
      <c r="W242" s="155"/>
      <c r="X242" s="171"/>
      <c r="Y242" s="165"/>
      <c r="Z242" s="10"/>
      <c r="AA242" s="55"/>
      <c r="AB242" s="55"/>
      <c r="AC242" s="55"/>
      <c r="AD242" s="55"/>
      <c r="AE242" s="55"/>
      <c r="AF242" s="167"/>
      <c r="AG242" s="55"/>
      <c r="AH242" s="55"/>
      <c r="AI242" s="165"/>
      <c r="AJ242" s="55"/>
      <c r="AK242" s="55"/>
      <c r="AL242" s="55"/>
      <c r="AM242" s="55"/>
      <c r="AN242" s="55"/>
      <c r="AO242" s="55"/>
      <c r="AP242" s="55"/>
      <c r="AQ242" s="55"/>
      <c r="AR242" s="165"/>
      <c r="AS242" s="55"/>
      <c r="AT242" s="55"/>
      <c r="AU242" s="55"/>
      <c r="AV242" s="55"/>
      <c r="AW242" s="55"/>
      <c r="AX242" s="55"/>
      <c r="AY242" s="55"/>
      <c r="AZ242" s="55"/>
      <c r="BA242" s="165"/>
      <c r="BB242" s="55"/>
      <c r="BC242" s="55"/>
      <c r="BD242" s="55"/>
      <c r="BE242" s="165"/>
      <c r="BF242" s="55"/>
      <c r="BG242" s="10"/>
      <c r="BH242" s="55"/>
      <c r="BI242" s="55"/>
      <c r="BJ242" s="55"/>
      <c r="BK242" s="55"/>
      <c r="BS242" s="141"/>
      <c r="CM242" s="141"/>
      <c r="DC242" s="141"/>
    </row>
    <row r="243" spans="1:107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55"/>
      <c r="R243" s="171"/>
      <c r="S243" s="161"/>
      <c r="T243" s="55"/>
      <c r="U243" s="55"/>
      <c r="V243" s="55"/>
      <c r="W243" s="155"/>
      <c r="X243" s="171"/>
      <c r="Y243" s="165"/>
      <c r="Z243" s="10"/>
      <c r="AA243" s="55"/>
      <c r="AB243" s="55"/>
      <c r="AC243" s="55"/>
      <c r="AD243" s="55"/>
      <c r="AE243" s="55"/>
      <c r="AF243" s="167"/>
      <c r="AG243" s="55"/>
      <c r="AH243" s="55"/>
      <c r="AI243" s="165"/>
      <c r="AJ243" s="55"/>
      <c r="AK243" s="55"/>
      <c r="AL243" s="55"/>
      <c r="AM243" s="55"/>
      <c r="AN243" s="55"/>
      <c r="AO243" s="55"/>
      <c r="AP243" s="55"/>
      <c r="AQ243" s="55"/>
      <c r="AR243" s="165"/>
      <c r="AS243" s="55"/>
      <c r="AT243" s="55"/>
      <c r="AU243" s="55"/>
      <c r="AV243" s="55"/>
      <c r="AW243" s="55"/>
      <c r="AX243" s="55"/>
      <c r="AY243" s="55"/>
      <c r="AZ243" s="55"/>
      <c r="BA243" s="165"/>
      <c r="BB243" s="55"/>
      <c r="BC243" s="55"/>
      <c r="BD243" s="55"/>
      <c r="BE243" s="165"/>
      <c r="BF243" s="55"/>
      <c r="BG243" s="10"/>
      <c r="BH243" s="55"/>
      <c r="BI243" s="55"/>
      <c r="BJ243" s="55"/>
      <c r="BK243" s="55"/>
      <c r="BS243" s="141"/>
      <c r="CM243" s="141"/>
      <c r="DC243" s="141"/>
    </row>
    <row r="244" spans="1:107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55"/>
      <c r="R244" s="171"/>
      <c r="S244" s="161"/>
      <c r="T244" s="55"/>
      <c r="U244" s="55"/>
      <c r="V244" s="55"/>
      <c r="W244" s="155"/>
      <c r="X244" s="171"/>
      <c r="Y244" s="165"/>
      <c r="Z244" s="10"/>
      <c r="AA244" s="55"/>
      <c r="AB244" s="55"/>
      <c r="AC244" s="55"/>
      <c r="AD244" s="55"/>
      <c r="AE244" s="55"/>
      <c r="AF244" s="167"/>
      <c r="AG244" s="55"/>
      <c r="AH244" s="55"/>
      <c r="AI244" s="165"/>
      <c r="AJ244" s="55"/>
      <c r="AK244" s="55"/>
      <c r="AL244" s="55"/>
      <c r="AM244" s="55"/>
      <c r="AN244" s="55"/>
      <c r="AO244" s="55"/>
      <c r="AP244" s="55"/>
      <c r="AQ244" s="55"/>
      <c r="AR244" s="165"/>
      <c r="AS244" s="55"/>
      <c r="AT244" s="55"/>
      <c r="AU244" s="55"/>
      <c r="AV244" s="55"/>
      <c r="AW244" s="55"/>
      <c r="AX244" s="55"/>
      <c r="AY244" s="55"/>
      <c r="AZ244" s="55"/>
      <c r="BA244" s="165"/>
      <c r="BB244" s="55"/>
      <c r="BC244" s="55"/>
      <c r="BD244" s="55"/>
      <c r="BE244" s="165"/>
      <c r="BF244" s="55"/>
      <c r="BG244" s="10"/>
      <c r="BH244" s="55"/>
      <c r="BI244" s="55"/>
      <c r="BJ244" s="55"/>
      <c r="BK244" s="55"/>
      <c r="BS244" s="141"/>
      <c r="CM244" s="141"/>
      <c r="DC244" s="141"/>
    </row>
    <row r="245" spans="1:107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55"/>
      <c r="R245" s="171"/>
      <c r="S245" s="161"/>
      <c r="T245" s="55"/>
      <c r="U245" s="55"/>
      <c r="V245" s="55"/>
      <c r="W245" s="155"/>
      <c r="X245" s="171"/>
      <c r="Y245" s="165"/>
      <c r="Z245" s="10"/>
      <c r="AA245" s="55"/>
      <c r="AB245" s="55"/>
      <c r="AC245" s="55"/>
      <c r="AD245" s="55"/>
      <c r="AE245" s="55"/>
      <c r="AF245" s="167"/>
      <c r="AG245" s="55"/>
      <c r="AH245" s="55"/>
      <c r="AI245" s="165"/>
      <c r="AJ245" s="55"/>
      <c r="AK245" s="55"/>
      <c r="AL245" s="55"/>
      <c r="AM245" s="55"/>
      <c r="AN245" s="55"/>
      <c r="AO245" s="55"/>
      <c r="AP245" s="55"/>
      <c r="AQ245" s="55"/>
      <c r="AR245" s="165"/>
      <c r="AS245" s="55"/>
      <c r="AT245" s="55"/>
      <c r="AU245" s="55"/>
      <c r="AV245" s="55"/>
      <c r="AW245" s="55"/>
      <c r="AX245" s="55"/>
      <c r="AY245" s="55"/>
      <c r="AZ245" s="55"/>
      <c r="BA245" s="165"/>
      <c r="BB245" s="55"/>
      <c r="BC245" s="55"/>
      <c r="BD245" s="55"/>
      <c r="BE245" s="165"/>
      <c r="BF245" s="55"/>
      <c r="BG245" s="10"/>
      <c r="BH245" s="55"/>
      <c r="BI245" s="55"/>
      <c r="BJ245" s="55"/>
      <c r="BK245" s="55"/>
      <c r="BS245" s="141"/>
      <c r="CM245" s="141"/>
      <c r="DC245" s="141"/>
    </row>
    <row r="246" spans="1:107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55"/>
      <c r="R246" s="171"/>
      <c r="S246" s="161"/>
      <c r="T246" s="55"/>
      <c r="U246" s="55"/>
      <c r="V246" s="55"/>
      <c r="W246" s="155"/>
      <c r="X246" s="171"/>
      <c r="Y246" s="165"/>
      <c r="Z246" s="10"/>
      <c r="AA246" s="55"/>
      <c r="AB246" s="55"/>
      <c r="AC246" s="55"/>
      <c r="AD246" s="55"/>
      <c r="AE246" s="55"/>
      <c r="AF246" s="167"/>
      <c r="AG246" s="55"/>
      <c r="AH246" s="55"/>
      <c r="AI246" s="165"/>
      <c r="AJ246" s="55"/>
      <c r="AK246" s="55"/>
      <c r="AL246" s="55"/>
      <c r="AM246" s="55"/>
      <c r="AN246" s="55"/>
      <c r="AO246" s="55"/>
      <c r="AP246" s="55"/>
      <c r="AQ246" s="55"/>
      <c r="AR246" s="165"/>
      <c r="AS246" s="55"/>
      <c r="AT246" s="55"/>
      <c r="AU246" s="55"/>
      <c r="AV246" s="55"/>
      <c r="AW246" s="55"/>
      <c r="AX246" s="55"/>
      <c r="AY246" s="55"/>
      <c r="AZ246" s="55"/>
      <c r="BA246" s="165"/>
      <c r="BB246" s="55"/>
      <c r="BC246" s="55"/>
      <c r="BD246" s="55"/>
      <c r="BE246" s="165"/>
      <c r="BF246" s="55"/>
      <c r="BG246" s="10"/>
      <c r="BH246" s="55"/>
      <c r="BI246" s="55"/>
      <c r="BJ246" s="55"/>
      <c r="BK246" s="55"/>
      <c r="BS246" s="141"/>
      <c r="CM246" s="141"/>
      <c r="DC246" s="141"/>
    </row>
    <row r="247" spans="1:107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55"/>
      <c r="R247" s="171"/>
      <c r="S247" s="161"/>
      <c r="T247" s="55"/>
      <c r="U247" s="55"/>
      <c r="V247" s="55"/>
      <c r="W247" s="155"/>
      <c r="X247" s="171"/>
      <c r="Y247" s="165"/>
      <c r="Z247" s="10"/>
      <c r="AA247" s="55"/>
      <c r="AB247" s="55"/>
      <c r="AC247" s="55"/>
      <c r="AD247" s="55"/>
      <c r="AE247" s="55"/>
      <c r="AF247" s="167"/>
      <c r="AG247" s="55"/>
      <c r="AH247" s="55"/>
      <c r="AI247" s="165"/>
      <c r="AJ247" s="55"/>
      <c r="AK247" s="55"/>
      <c r="AL247" s="55"/>
      <c r="AM247" s="55"/>
      <c r="AN247" s="55"/>
      <c r="AO247" s="55"/>
      <c r="AP247" s="55"/>
      <c r="AQ247" s="55"/>
      <c r="AR247" s="165"/>
      <c r="AS247" s="55"/>
      <c r="AT247" s="55"/>
      <c r="AU247" s="55"/>
      <c r="AV247" s="55"/>
      <c r="AW247" s="55"/>
      <c r="AX247" s="55"/>
      <c r="AY247" s="55"/>
      <c r="AZ247" s="55"/>
      <c r="BA247" s="165"/>
      <c r="BB247" s="55"/>
      <c r="BC247" s="55"/>
      <c r="BD247" s="55"/>
      <c r="BE247" s="165"/>
      <c r="BF247" s="55"/>
      <c r="BG247" s="10"/>
      <c r="BH247" s="55"/>
      <c r="BI247" s="55"/>
      <c r="BJ247" s="55"/>
      <c r="BK247" s="55"/>
      <c r="BS247" s="141"/>
      <c r="CM247" s="141"/>
      <c r="DC247" s="141"/>
    </row>
    <row r="248" spans="1:107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55"/>
      <c r="R248" s="171"/>
      <c r="S248" s="161"/>
      <c r="T248" s="55"/>
      <c r="U248" s="55"/>
      <c r="V248" s="55"/>
      <c r="W248" s="155"/>
      <c r="X248" s="171"/>
      <c r="Y248" s="165"/>
      <c r="Z248" s="10"/>
      <c r="AA248" s="55"/>
      <c r="AB248" s="55"/>
      <c r="AC248" s="55"/>
      <c r="AD248" s="55"/>
      <c r="AE248" s="55"/>
      <c r="AF248" s="167"/>
      <c r="AG248" s="55"/>
      <c r="AH248" s="55"/>
      <c r="AI248" s="165"/>
      <c r="AJ248" s="55"/>
      <c r="AK248" s="55"/>
      <c r="AL248" s="55"/>
      <c r="AM248" s="55"/>
      <c r="AN248" s="55"/>
      <c r="AO248" s="55"/>
      <c r="AP248" s="55"/>
      <c r="AQ248" s="55"/>
      <c r="AR248" s="165"/>
      <c r="AS248" s="55"/>
      <c r="AT248" s="55"/>
      <c r="AU248" s="55"/>
      <c r="AV248" s="55"/>
      <c r="AW248" s="55"/>
      <c r="AX248" s="55"/>
      <c r="AY248" s="55"/>
      <c r="AZ248" s="55"/>
      <c r="BA248" s="165"/>
      <c r="BB248" s="55"/>
      <c r="BC248" s="55"/>
      <c r="BD248" s="55"/>
      <c r="BE248" s="165"/>
      <c r="BF248" s="55"/>
      <c r="BG248" s="10"/>
      <c r="BH248" s="55"/>
      <c r="BI248" s="55"/>
      <c r="BJ248" s="55"/>
      <c r="BK248" s="55"/>
      <c r="BS248" s="141"/>
      <c r="CM248" s="141"/>
      <c r="DC248" s="141"/>
    </row>
    <row r="249" spans="1:107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55"/>
      <c r="R249" s="171"/>
      <c r="S249" s="161"/>
      <c r="T249" s="55"/>
      <c r="U249" s="55"/>
      <c r="V249" s="55"/>
      <c r="W249" s="155"/>
      <c r="X249" s="171"/>
      <c r="Y249" s="165"/>
      <c r="Z249" s="10"/>
      <c r="AA249" s="55"/>
      <c r="AB249" s="55"/>
      <c r="AC249" s="55"/>
      <c r="AD249" s="55"/>
      <c r="AE249" s="55"/>
      <c r="AF249" s="167"/>
      <c r="AG249" s="55"/>
      <c r="AH249" s="55"/>
      <c r="AI249" s="165"/>
      <c r="AJ249" s="55"/>
      <c r="AK249" s="55"/>
      <c r="AL249" s="55"/>
      <c r="AM249" s="55"/>
      <c r="AN249" s="55"/>
      <c r="AO249" s="55"/>
      <c r="AP249" s="55"/>
      <c r="AQ249" s="55"/>
      <c r="AR249" s="165"/>
      <c r="AS249" s="55"/>
      <c r="AT249" s="55"/>
      <c r="AU249" s="55"/>
      <c r="AV249" s="55"/>
      <c r="AW249" s="55"/>
      <c r="AX249" s="55"/>
      <c r="AY249" s="55"/>
      <c r="AZ249" s="55"/>
      <c r="BA249" s="165"/>
      <c r="BB249" s="55"/>
      <c r="BC249" s="55"/>
      <c r="BD249" s="55"/>
      <c r="BE249" s="165"/>
      <c r="BF249" s="55"/>
      <c r="BG249" s="10"/>
      <c r="BH249" s="55"/>
      <c r="BI249" s="55"/>
      <c r="BJ249" s="55"/>
      <c r="BK249" s="55"/>
      <c r="BS249" s="141"/>
      <c r="CM249" s="141"/>
      <c r="DC249" s="141"/>
    </row>
    <row r="250" spans="1:107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55"/>
      <c r="R250" s="171"/>
      <c r="S250" s="161"/>
      <c r="T250" s="55"/>
      <c r="U250" s="55"/>
      <c r="V250" s="55"/>
      <c r="W250" s="155"/>
      <c r="X250" s="171"/>
      <c r="Y250" s="165"/>
      <c r="Z250" s="10"/>
      <c r="AA250" s="55"/>
      <c r="AB250" s="55"/>
      <c r="AC250" s="55"/>
      <c r="AD250" s="55"/>
      <c r="AE250" s="55"/>
      <c r="AF250" s="167"/>
      <c r="AG250" s="55"/>
      <c r="AH250" s="55"/>
      <c r="AI250" s="165"/>
      <c r="AJ250" s="55"/>
      <c r="AK250" s="55"/>
      <c r="AL250" s="55"/>
      <c r="AM250" s="55"/>
      <c r="AN250" s="55"/>
      <c r="AO250" s="55"/>
      <c r="AP250" s="55"/>
      <c r="AQ250" s="55"/>
      <c r="AR250" s="165"/>
      <c r="AS250" s="55"/>
      <c r="AT250" s="55"/>
      <c r="AU250" s="55"/>
      <c r="AV250" s="55"/>
      <c r="AW250" s="55"/>
      <c r="AX250" s="55"/>
      <c r="AY250" s="55"/>
      <c r="AZ250" s="55"/>
      <c r="BA250" s="165"/>
      <c r="BB250" s="55"/>
      <c r="BC250" s="55"/>
      <c r="BD250" s="55"/>
      <c r="BE250" s="165"/>
      <c r="BF250" s="55"/>
      <c r="BG250" s="10"/>
      <c r="BH250" s="55"/>
      <c r="BI250" s="55"/>
      <c r="BJ250" s="55"/>
      <c r="BK250" s="55"/>
      <c r="BS250" s="141"/>
      <c r="CM250" s="141"/>
      <c r="DC250" s="141"/>
    </row>
    <row r="251" spans="1:107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55"/>
      <c r="R251" s="171"/>
      <c r="S251" s="161"/>
      <c r="T251" s="55"/>
      <c r="U251" s="55"/>
      <c r="V251" s="55"/>
      <c r="W251" s="155"/>
      <c r="X251" s="171"/>
      <c r="Y251" s="165"/>
      <c r="Z251" s="10"/>
      <c r="AA251" s="55"/>
      <c r="AB251" s="55"/>
      <c r="AC251" s="55"/>
      <c r="AD251" s="55"/>
      <c r="AE251" s="55"/>
      <c r="AF251" s="167"/>
      <c r="AG251" s="55"/>
      <c r="AH251" s="55"/>
      <c r="AI251" s="165"/>
      <c r="AJ251" s="55"/>
      <c r="AK251" s="55"/>
      <c r="AL251" s="55"/>
      <c r="AM251" s="55"/>
      <c r="AN251" s="55"/>
      <c r="AO251" s="55"/>
      <c r="AP251" s="55"/>
      <c r="AQ251" s="55"/>
      <c r="AR251" s="165"/>
      <c r="AS251" s="55"/>
      <c r="AT251" s="55"/>
      <c r="AU251" s="55"/>
      <c r="AV251" s="55"/>
      <c r="AW251" s="55"/>
      <c r="AX251" s="55"/>
      <c r="AY251" s="55"/>
      <c r="AZ251" s="55"/>
      <c r="BA251" s="165"/>
      <c r="BB251" s="55"/>
      <c r="BC251" s="55"/>
      <c r="BD251" s="55"/>
      <c r="BE251" s="165"/>
      <c r="BF251" s="55"/>
      <c r="BG251" s="10"/>
      <c r="BH251" s="55"/>
      <c r="BI251" s="55"/>
      <c r="BJ251" s="55"/>
      <c r="BK251" s="55"/>
      <c r="BS251" s="141"/>
      <c r="CM251" s="141"/>
      <c r="DC251" s="141"/>
    </row>
    <row r="252" spans="1:107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55"/>
      <c r="R252" s="171"/>
      <c r="S252" s="161"/>
      <c r="T252" s="55"/>
      <c r="U252" s="55"/>
      <c r="V252" s="55"/>
      <c r="W252" s="155"/>
      <c r="X252" s="171"/>
      <c r="Y252" s="165"/>
      <c r="Z252" s="10"/>
      <c r="AA252" s="55"/>
      <c r="AB252" s="55"/>
      <c r="AC252" s="55"/>
      <c r="AD252" s="55"/>
      <c r="AE252" s="55"/>
      <c r="AF252" s="167"/>
      <c r="AG252" s="55"/>
      <c r="AH252" s="55"/>
      <c r="AI252" s="165"/>
      <c r="AJ252" s="55"/>
      <c r="AK252" s="55"/>
      <c r="AL252" s="55"/>
      <c r="AM252" s="55"/>
      <c r="AN252" s="55"/>
      <c r="AO252" s="55"/>
      <c r="AP252" s="55"/>
      <c r="AQ252" s="55"/>
      <c r="AR252" s="165"/>
      <c r="AS252" s="55"/>
      <c r="AT252" s="55"/>
      <c r="AU252" s="55"/>
      <c r="AV252" s="55"/>
      <c r="AW252" s="55"/>
      <c r="AX252" s="55"/>
      <c r="AY252" s="55"/>
      <c r="AZ252" s="55"/>
      <c r="BA252" s="165"/>
      <c r="BB252" s="55"/>
      <c r="BC252" s="55"/>
      <c r="BD252" s="55"/>
      <c r="BE252" s="165"/>
      <c r="BF252" s="55"/>
      <c r="BG252" s="10"/>
      <c r="BH252" s="55"/>
      <c r="BI252" s="55"/>
      <c r="BJ252" s="55"/>
      <c r="BK252" s="55"/>
      <c r="BS252" s="141"/>
      <c r="CM252" s="141"/>
      <c r="DC252" s="141"/>
    </row>
    <row r="253" spans="1:107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55"/>
      <c r="R253" s="171"/>
      <c r="S253" s="161"/>
      <c r="T253" s="55"/>
      <c r="U253" s="55"/>
      <c r="V253" s="55"/>
      <c r="W253" s="155"/>
      <c r="X253" s="171"/>
      <c r="Y253" s="165"/>
      <c r="Z253" s="10"/>
      <c r="AA253" s="55"/>
      <c r="AB253" s="55"/>
      <c r="AC253" s="55"/>
      <c r="AD253" s="55"/>
      <c r="AE253" s="55"/>
      <c r="AF253" s="167"/>
      <c r="AG253" s="55"/>
      <c r="AH253" s="55"/>
      <c r="AI253" s="165"/>
      <c r="AJ253" s="55"/>
      <c r="AK253" s="55"/>
      <c r="AL253" s="55"/>
      <c r="AM253" s="55"/>
      <c r="AN253" s="55"/>
      <c r="AO253" s="55"/>
      <c r="AP253" s="55"/>
      <c r="AQ253" s="55"/>
      <c r="AR253" s="165"/>
      <c r="AS253" s="55"/>
      <c r="AT253" s="55"/>
      <c r="AU253" s="55"/>
      <c r="AV253" s="55"/>
      <c r="AW253" s="55"/>
      <c r="AX253" s="55"/>
      <c r="AY253" s="55"/>
      <c r="AZ253" s="55"/>
      <c r="BA253" s="165"/>
      <c r="BB253" s="55"/>
      <c r="BC253" s="55"/>
      <c r="BD253" s="55"/>
      <c r="BE253" s="165"/>
      <c r="BF253" s="55"/>
      <c r="BG253" s="10"/>
      <c r="BH253" s="55"/>
      <c r="BI253" s="55"/>
      <c r="BJ253" s="55"/>
      <c r="BK253" s="55"/>
      <c r="BS253" s="141"/>
      <c r="CM253" s="141"/>
      <c r="DC253" s="141"/>
    </row>
    <row r="254" spans="1:107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55"/>
      <c r="R254" s="171"/>
      <c r="S254" s="161"/>
      <c r="T254" s="55"/>
      <c r="U254" s="55"/>
      <c r="V254" s="55"/>
      <c r="W254" s="155"/>
      <c r="X254" s="171"/>
      <c r="Y254" s="165"/>
      <c r="Z254" s="10"/>
      <c r="AA254" s="55"/>
      <c r="AB254" s="55"/>
      <c r="AC254" s="55"/>
      <c r="AD254" s="55"/>
      <c r="AE254" s="55"/>
      <c r="AF254" s="167"/>
      <c r="AG254" s="55"/>
      <c r="AH254" s="55"/>
      <c r="AI254" s="165"/>
      <c r="AJ254" s="55"/>
      <c r="AK254" s="55"/>
      <c r="AL254" s="55"/>
      <c r="AM254" s="55"/>
      <c r="AN254" s="55"/>
      <c r="AO254" s="55"/>
      <c r="AP254" s="55"/>
      <c r="AQ254" s="55"/>
      <c r="AR254" s="165"/>
      <c r="AS254" s="55"/>
      <c r="AT254" s="55"/>
      <c r="AU254" s="55"/>
      <c r="AV254" s="55"/>
      <c r="AW254" s="55"/>
      <c r="AX254" s="55"/>
      <c r="AY254" s="55"/>
      <c r="AZ254" s="55"/>
      <c r="BA254" s="165"/>
      <c r="BB254" s="55"/>
      <c r="BC254" s="55"/>
      <c r="BD254" s="55"/>
      <c r="BE254" s="165"/>
      <c r="BF254" s="55"/>
      <c r="BG254" s="10"/>
      <c r="BH254" s="55"/>
      <c r="BI254" s="55"/>
      <c r="BJ254" s="55"/>
      <c r="BK254" s="55"/>
      <c r="BS254" s="141"/>
      <c r="CM254" s="141"/>
      <c r="DC254" s="141"/>
    </row>
    <row r="255" spans="1:107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55"/>
      <c r="R255" s="171"/>
      <c r="S255" s="161"/>
      <c r="T255" s="55"/>
      <c r="U255" s="55"/>
      <c r="V255" s="55"/>
      <c r="W255" s="155"/>
      <c r="X255" s="171"/>
      <c r="Y255" s="165"/>
      <c r="Z255" s="10"/>
      <c r="AA255" s="55"/>
      <c r="AB255" s="55"/>
      <c r="AC255" s="55"/>
      <c r="AD255" s="55"/>
      <c r="AE255" s="55"/>
      <c r="AF255" s="167"/>
      <c r="AG255" s="55"/>
      <c r="AH255" s="55"/>
      <c r="AI255" s="165"/>
      <c r="AJ255" s="55"/>
      <c r="AK255" s="55"/>
      <c r="AL255" s="55"/>
      <c r="AM255" s="55"/>
      <c r="AN255" s="55"/>
      <c r="AO255" s="55"/>
      <c r="AP255" s="55"/>
      <c r="AQ255" s="55"/>
      <c r="AR255" s="165"/>
      <c r="AS255" s="55"/>
      <c r="AT255" s="55"/>
      <c r="AU255" s="55"/>
      <c r="AV255" s="55"/>
      <c r="AW255" s="55"/>
      <c r="AX255" s="55"/>
      <c r="AY255" s="55"/>
      <c r="AZ255" s="55"/>
      <c r="BA255" s="165"/>
      <c r="BB255" s="55"/>
      <c r="BC255" s="55"/>
      <c r="BD255" s="55"/>
      <c r="BE255" s="165"/>
      <c r="BF255" s="55"/>
      <c r="BG255" s="10"/>
      <c r="BH255" s="55"/>
      <c r="BI255" s="55"/>
      <c r="BJ255" s="55"/>
      <c r="BK255" s="55"/>
      <c r="BS255" s="141"/>
      <c r="CM255" s="141"/>
      <c r="DC255" s="141"/>
    </row>
    <row r="256" spans="1:107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55"/>
      <c r="R256" s="171"/>
      <c r="S256" s="161"/>
      <c r="T256" s="55"/>
      <c r="U256" s="55"/>
      <c r="V256" s="55"/>
      <c r="W256" s="155"/>
      <c r="X256" s="171"/>
      <c r="Y256" s="165"/>
      <c r="Z256" s="10"/>
      <c r="AA256" s="55"/>
      <c r="AB256" s="55"/>
      <c r="AC256" s="55"/>
      <c r="AD256" s="55"/>
      <c r="AE256" s="55"/>
      <c r="AF256" s="167"/>
      <c r="AG256" s="55"/>
      <c r="AH256" s="55"/>
      <c r="AI256" s="165"/>
      <c r="AJ256" s="55"/>
      <c r="AK256" s="55"/>
      <c r="AL256" s="55"/>
      <c r="AM256" s="55"/>
      <c r="AN256" s="55"/>
      <c r="AO256" s="55"/>
      <c r="AP256" s="55"/>
      <c r="AQ256" s="55"/>
      <c r="AR256" s="165"/>
      <c r="AS256" s="55"/>
      <c r="AT256" s="55"/>
      <c r="AU256" s="55"/>
      <c r="AV256" s="55"/>
      <c r="AW256" s="55"/>
      <c r="AX256" s="55"/>
      <c r="AY256" s="55"/>
      <c r="AZ256" s="55"/>
      <c r="BA256" s="165"/>
      <c r="BB256" s="55"/>
      <c r="BC256" s="55"/>
      <c r="BD256" s="55"/>
      <c r="BE256" s="165"/>
      <c r="BF256" s="55"/>
      <c r="BG256" s="10"/>
      <c r="BH256" s="55"/>
      <c r="BI256" s="55"/>
      <c r="BJ256" s="55"/>
      <c r="BK256" s="55"/>
      <c r="BS256" s="141"/>
      <c r="CM256" s="141"/>
      <c r="DC256" s="141"/>
    </row>
    <row r="257" spans="1:107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55"/>
      <c r="R257" s="171"/>
      <c r="S257" s="161"/>
      <c r="T257" s="55"/>
      <c r="U257" s="55"/>
      <c r="V257" s="55"/>
      <c r="W257" s="155"/>
      <c r="X257" s="171"/>
      <c r="Y257" s="165"/>
      <c r="Z257" s="10"/>
      <c r="AA257" s="55"/>
      <c r="AB257" s="55"/>
      <c r="AC257" s="55"/>
      <c r="AD257" s="55"/>
      <c r="AE257" s="55"/>
      <c r="AF257" s="167"/>
      <c r="AG257" s="55"/>
      <c r="AH257" s="55"/>
      <c r="AI257" s="165"/>
      <c r="AJ257" s="55"/>
      <c r="AK257" s="55"/>
      <c r="AL257" s="55"/>
      <c r="AM257" s="55"/>
      <c r="AN257" s="55"/>
      <c r="AO257" s="55"/>
      <c r="AP257" s="55"/>
      <c r="AQ257" s="55"/>
      <c r="AR257" s="165"/>
      <c r="AS257" s="55"/>
      <c r="AT257" s="55"/>
      <c r="AU257" s="55"/>
      <c r="AV257" s="55"/>
      <c r="AW257" s="55"/>
      <c r="AX257" s="55"/>
      <c r="AY257" s="55"/>
      <c r="AZ257" s="55"/>
      <c r="BA257" s="165"/>
      <c r="BB257" s="55"/>
      <c r="BC257" s="55"/>
      <c r="BD257" s="55"/>
      <c r="BE257" s="165"/>
      <c r="BF257" s="55"/>
      <c r="BG257" s="10"/>
      <c r="BH257" s="55"/>
      <c r="BI257" s="55"/>
      <c r="BJ257" s="55"/>
      <c r="BK257" s="55"/>
      <c r="BS257" s="141"/>
      <c r="CM257" s="141"/>
      <c r="DC257" s="141"/>
    </row>
    <row r="258" spans="1:107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55"/>
      <c r="R258" s="171"/>
      <c r="S258" s="161"/>
      <c r="T258" s="55"/>
      <c r="U258" s="55"/>
      <c r="V258" s="55"/>
      <c r="W258" s="155"/>
      <c r="X258" s="171"/>
      <c r="Y258" s="165"/>
      <c r="Z258" s="10"/>
      <c r="AA258" s="55"/>
      <c r="AB258" s="55"/>
      <c r="AC258" s="55"/>
      <c r="AD258" s="55"/>
      <c r="AE258" s="55"/>
      <c r="AF258" s="167"/>
      <c r="AG258" s="55"/>
      <c r="AH258" s="55"/>
      <c r="AI258" s="165"/>
      <c r="AJ258" s="55"/>
      <c r="AK258" s="55"/>
      <c r="AL258" s="55"/>
      <c r="AM258" s="55"/>
      <c r="AN258" s="55"/>
      <c r="AO258" s="55"/>
      <c r="AP258" s="55"/>
      <c r="AQ258" s="55"/>
      <c r="AR258" s="165"/>
      <c r="AS258" s="55"/>
      <c r="AT258" s="55"/>
      <c r="AU258" s="55"/>
      <c r="AV258" s="55"/>
      <c r="AW258" s="55"/>
      <c r="AX258" s="55"/>
      <c r="AY258" s="55"/>
      <c r="AZ258" s="55"/>
      <c r="BA258" s="165"/>
      <c r="BB258" s="55"/>
      <c r="BC258" s="55"/>
      <c r="BD258" s="55"/>
      <c r="BE258" s="165"/>
      <c r="BF258" s="55"/>
      <c r="BG258" s="10"/>
      <c r="BH258" s="55"/>
      <c r="BI258" s="55"/>
      <c r="BJ258" s="55"/>
      <c r="BK258" s="55"/>
      <c r="BS258" s="141"/>
      <c r="CM258" s="141"/>
      <c r="DC258" s="141"/>
    </row>
    <row r="259" spans="1:107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55"/>
      <c r="R259" s="171"/>
      <c r="S259" s="161"/>
      <c r="T259" s="55"/>
      <c r="U259" s="55"/>
      <c r="V259" s="55"/>
      <c r="W259" s="155"/>
      <c r="X259" s="171"/>
      <c r="Y259" s="165"/>
      <c r="Z259" s="10"/>
      <c r="AA259" s="55"/>
      <c r="AB259" s="55"/>
      <c r="AC259" s="55"/>
      <c r="AD259" s="55"/>
      <c r="AE259" s="55"/>
      <c r="AF259" s="167"/>
      <c r="AG259" s="55"/>
      <c r="AH259" s="55"/>
      <c r="AI259" s="165"/>
      <c r="AJ259" s="55"/>
      <c r="AK259" s="55"/>
      <c r="AL259" s="55"/>
      <c r="AM259" s="55"/>
      <c r="AN259" s="55"/>
      <c r="AO259" s="55"/>
      <c r="AP259" s="55"/>
      <c r="AQ259" s="55"/>
      <c r="AR259" s="165"/>
      <c r="AS259" s="55"/>
      <c r="AT259" s="55"/>
      <c r="AU259" s="55"/>
      <c r="AV259" s="55"/>
      <c r="AW259" s="55"/>
      <c r="AX259" s="55"/>
      <c r="AY259" s="55"/>
      <c r="AZ259" s="55"/>
      <c r="BA259" s="165"/>
      <c r="BB259" s="55"/>
      <c r="BC259" s="55"/>
      <c r="BD259" s="55"/>
      <c r="BE259" s="165"/>
      <c r="BF259" s="55"/>
      <c r="BG259" s="10"/>
      <c r="BH259" s="55"/>
      <c r="BI259" s="55"/>
      <c r="BJ259" s="55"/>
      <c r="BK259" s="55"/>
      <c r="BS259" s="141"/>
      <c r="CM259" s="141"/>
      <c r="DC259" s="141"/>
    </row>
    <row r="260" spans="1:107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55"/>
      <c r="R260" s="171"/>
      <c r="S260" s="161"/>
      <c r="T260" s="55"/>
      <c r="U260" s="55"/>
      <c r="V260" s="55"/>
      <c r="W260" s="155"/>
      <c r="X260" s="171"/>
      <c r="Y260" s="165"/>
      <c r="Z260" s="10"/>
      <c r="AA260" s="55"/>
      <c r="AB260" s="55"/>
      <c r="AC260" s="55"/>
      <c r="AD260" s="55"/>
      <c r="AE260" s="55"/>
      <c r="AF260" s="167"/>
      <c r="AG260" s="55"/>
      <c r="AH260" s="55"/>
      <c r="AI260" s="165"/>
      <c r="AJ260" s="55"/>
      <c r="AK260" s="55"/>
      <c r="AL260" s="55"/>
      <c r="AM260" s="55"/>
      <c r="AN260" s="55"/>
      <c r="AO260" s="55"/>
      <c r="AP260" s="55"/>
      <c r="AQ260" s="55"/>
      <c r="AR260" s="165"/>
      <c r="AS260" s="55"/>
      <c r="AT260" s="55"/>
      <c r="AU260" s="55"/>
      <c r="AV260" s="55"/>
      <c r="AW260" s="55"/>
      <c r="AX260" s="55"/>
      <c r="AY260" s="55"/>
      <c r="AZ260" s="55"/>
      <c r="BA260" s="165"/>
      <c r="BB260" s="55"/>
      <c r="BC260" s="55"/>
      <c r="BD260" s="55"/>
      <c r="BE260" s="165"/>
      <c r="BF260" s="55"/>
      <c r="BG260" s="10"/>
      <c r="BH260" s="55"/>
      <c r="BI260" s="55"/>
      <c r="BJ260" s="55"/>
      <c r="BK260" s="55"/>
      <c r="BS260" s="141"/>
      <c r="CM260" s="141"/>
      <c r="DC260" s="141"/>
    </row>
    <row r="261" spans="1:107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55"/>
      <c r="R261" s="171"/>
      <c r="S261" s="161"/>
      <c r="T261" s="55"/>
      <c r="U261" s="55"/>
      <c r="V261" s="55"/>
      <c r="W261" s="155"/>
      <c r="X261" s="171"/>
      <c r="Y261" s="165"/>
      <c r="Z261" s="10"/>
      <c r="AA261" s="55"/>
      <c r="AB261" s="55"/>
      <c r="AC261" s="55"/>
      <c r="AD261" s="55"/>
      <c r="AE261" s="55"/>
      <c r="AF261" s="167"/>
      <c r="AG261" s="55"/>
      <c r="AH261" s="55"/>
      <c r="AI261" s="165"/>
      <c r="AJ261" s="55"/>
      <c r="AK261" s="55"/>
      <c r="AL261" s="55"/>
      <c r="AM261" s="55"/>
      <c r="AN261" s="55"/>
      <c r="AO261" s="55"/>
      <c r="AP261" s="55"/>
      <c r="AQ261" s="55"/>
      <c r="AR261" s="165"/>
      <c r="AS261" s="55"/>
      <c r="AT261" s="55"/>
      <c r="AU261" s="55"/>
      <c r="AV261" s="55"/>
      <c r="AW261" s="55"/>
      <c r="AX261" s="55"/>
      <c r="AY261" s="55"/>
      <c r="AZ261" s="55"/>
      <c r="BA261" s="165"/>
      <c r="BB261" s="55"/>
      <c r="BC261" s="55"/>
      <c r="BD261" s="55"/>
      <c r="BE261" s="165"/>
      <c r="BF261" s="55"/>
      <c r="BG261" s="10"/>
      <c r="BH261" s="55"/>
      <c r="BI261" s="55"/>
      <c r="BJ261" s="55"/>
      <c r="BK261" s="55"/>
      <c r="BS261" s="141"/>
      <c r="CM261" s="141"/>
      <c r="DC261" s="141"/>
    </row>
    <row r="262" spans="1:107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55"/>
      <c r="R262" s="171"/>
      <c r="S262" s="161"/>
      <c r="T262" s="55"/>
      <c r="U262" s="55"/>
      <c r="V262" s="55"/>
      <c r="W262" s="155"/>
      <c r="X262" s="171"/>
      <c r="Y262" s="165"/>
      <c r="Z262" s="10"/>
      <c r="AA262" s="55"/>
      <c r="AB262" s="55"/>
      <c r="AC262" s="55"/>
      <c r="AD262" s="55"/>
      <c r="AE262" s="55"/>
      <c r="AF262" s="167"/>
      <c r="AG262" s="55"/>
      <c r="AH262" s="55"/>
      <c r="AI262" s="165"/>
      <c r="AJ262" s="55"/>
      <c r="AK262" s="55"/>
      <c r="AL262" s="55"/>
      <c r="AM262" s="55"/>
      <c r="AN262" s="55"/>
      <c r="AO262" s="55"/>
      <c r="AP262" s="55"/>
      <c r="AQ262" s="55"/>
      <c r="AR262" s="165"/>
      <c r="AS262" s="55"/>
      <c r="AT262" s="55"/>
      <c r="AU262" s="55"/>
      <c r="AV262" s="55"/>
      <c r="AW262" s="55"/>
      <c r="AX262" s="55"/>
      <c r="AY262" s="55"/>
      <c r="AZ262" s="55"/>
      <c r="BA262" s="165"/>
      <c r="BB262" s="55"/>
      <c r="BC262" s="55"/>
      <c r="BD262" s="55"/>
      <c r="BE262" s="165"/>
      <c r="BF262" s="55"/>
      <c r="BG262" s="10"/>
      <c r="BH262" s="55"/>
      <c r="BI262" s="55"/>
      <c r="BJ262" s="55"/>
      <c r="BK262" s="55"/>
      <c r="BS262" s="141"/>
      <c r="CM262" s="141"/>
      <c r="DC262" s="141"/>
    </row>
    <row r="263" spans="1:107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55"/>
      <c r="R263" s="171"/>
      <c r="S263" s="161"/>
      <c r="T263" s="55"/>
      <c r="U263" s="55"/>
      <c r="V263" s="55"/>
      <c r="W263" s="155"/>
      <c r="X263" s="171"/>
      <c r="Y263" s="165"/>
      <c r="Z263" s="10"/>
      <c r="AA263" s="55"/>
      <c r="AB263" s="55"/>
      <c r="AC263" s="55"/>
      <c r="AD263" s="55"/>
      <c r="AE263" s="55"/>
      <c r="AF263" s="167"/>
      <c r="AG263" s="55"/>
      <c r="AH263" s="55"/>
      <c r="AI263" s="165"/>
      <c r="AJ263" s="55"/>
      <c r="AK263" s="55"/>
      <c r="AL263" s="55"/>
      <c r="AM263" s="55"/>
      <c r="AN263" s="55"/>
      <c r="AO263" s="55"/>
      <c r="AP263" s="55"/>
      <c r="AQ263" s="55"/>
      <c r="AR263" s="165"/>
      <c r="AS263" s="55"/>
      <c r="AT263" s="55"/>
      <c r="AU263" s="55"/>
      <c r="AV263" s="55"/>
      <c r="AW263" s="55"/>
      <c r="AX263" s="55"/>
      <c r="AY263" s="55"/>
      <c r="AZ263" s="55"/>
      <c r="BA263" s="165"/>
      <c r="BB263" s="55"/>
      <c r="BC263" s="55"/>
      <c r="BD263" s="55"/>
      <c r="BE263" s="165"/>
      <c r="BF263" s="55"/>
      <c r="BG263" s="10"/>
      <c r="BH263" s="55"/>
      <c r="BI263" s="55"/>
      <c r="BJ263" s="55"/>
      <c r="BK263" s="55"/>
      <c r="BS263" s="141"/>
      <c r="CM263" s="141"/>
      <c r="DC263" s="141"/>
    </row>
    <row r="264" spans="1:107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55"/>
      <c r="R264" s="171"/>
      <c r="S264" s="161"/>
      <c r="T264" s="55"/>
      <c r="U264" s="55"/>
      <c r="V264" s="55"/>
      <c r="W264" s="155"/>
      <c r="X264" s="171"/>
      <c r="Y264" s="165"/>
      <c r="Z264" s="10"/>
      <c r="AA264" s="55"/>
      <c r="AB264" s="55"/>
      <c r="AC264" s="55"/>
      <c r="AD264" s="55"/>
      <c r="AE264" s="55"/>
      <c r="AF264" s="167"/>
      <c r="AG264" s="55"/>
      <c r="AH264" s="55"/>
      <c r="AI264" s="165"/>
      <c r="AJ264" s="55"/>
      <c r="AK264" s="55"/>
      <c r="AL264" s="55"/>
      <c r="AM264" s="55"/>
      <c r="AN264" s="55"/>
      <c r="AO264" s="55"/>
      <c r="AP264" s="55"/>
      <c r="AQ264" s="55"/>
      <c r="AR264" s="165"/>
      <c r="AS264" s="55"/>
      <c r="AT264" s="55"/>
      <c r="AU264" s="55"/>
      <c r="AV264" s="55"/>
      <c r="AW264" s="55"/>
      <c r="AX264" s="55"/>
      <c r="AY264" s="55"/>
      <c r="AZ264" s="55"/>
      <c r="BA264" s="165"/>
      <c r="BB264" s="55"/>
      <c r="BC264" s="55"/>
      <c r="BD264" s="55"/>
      <c r="BE264" s="165"/>
      <c r="BF264" s="55"/>
      <c r="BG264" s="10"/>
      <c r="BH264" s="55"/>
      <c r="BI264" s="55"/>
      <c r="BJ264" s="55"/>
      <c r="BK264" s="55"/>
      <c r="BS264" s="141"/>
      <c r="CM264" s="141"/>
      <c r="DC264" s="141"/>
    </row>
    <row r="265" spans="1:107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55"/>
      <c r="R265" s="171"/>
      <c r="S265" s="161"/>
      <c r="T265" s="55"/>
      <c r="U265" s="55"/>
      <c r="V265" s="55"/>
      <c r="W265" s="155"/>
      <c r="X265" s="171"/>
      <c r="Y265" s="165"/>
      <c r="Z265" s="10"/>
      <c r="AA265" s="55"/>
      <c r="AB265" s="55"/>
      <c r="AC265" s="55"/>
      <c r="AD265" s="55"/>
      <c r="AE265" s="55"/>
      <c r="AF265" s="167"/>
      <c r="AG265" s="55"/>
      <c r="AH265" s="55"/>
      <c r="AI265" s="165"/>
      <c r="AJ265" s="55"/>
      <c r="AK265" s="55"/>
      <c r="AL265" s="55"/>
      <c r="AM265" s="55"/>
      <c r="AN265" s="55"/>
      <c r="AO265" s="55"/>
      <c r="AP265" s="55"/>
      <c r="AQ265" s="55"/>
      <c r="AR265" s="165"/>
      <c r="AS265" s="55"/>
      <c r="AT265" s="55"/>
      <c r="AU265" s="55"/>
      <c r="AV265" s="55"/>
      <c r="AW265" s="55"/>
      <c r="AX265" s="55"/>
      <c r="AY265" s="55"/>
      <c r="AZ265" s="55"/>
      <c r="BA265" s="165"/>
      <c r="BB265" s="55"/>
      <c r="BC265" s="55"/>
      <c r="BD265" s="55"/>
      <c r="BE265" s="165"/>
      <c r="BF265" s="55"/>
      <c r="BG265" s="10"/>
      <c r="BH265" s="55"/>
      <c r="BI265" s="55"/>
      <c r="BJ265" s="55"/>
      <c r="BK265" s="55"/>
      <c r="BS265" s="141"/>
      <c r="CM265" s="141"/>
      <c r="DC265" s="141"/>
    </row>
    <row r="266" spans="1:107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55"/>
      <c r="R266" s="171"/>
      <c r="S266" s="161"/>
      <c r="T266" s="55"/>
      <c r="U266" s="55"/>
      <c r="V266" s="55"/>
      <c r="W266" s="155"/>
      <c r="X266" s="171"/>
      <c r="Y266" s="165"/>
      <c r="Z266" s="10"/>
      <c r="AA266" s="55"/>
      <c r="AB266" s="55"/>
      <c r="AC266" s="55"/>
      <c r="AD266" s="55"/>
      <c r="AE266" s="55"/>
      <c r="AF266" s="167"/>
      <c r="AG266" s="55"/>
      <c r="AH266" s="55"/>
      <c r="AI266" s="165"/>
      <c r="AJ266" s="55"/>
      <c r="AK266" s="55"/>
      <c r="AL266" s="55"/>
      <c r="AM266" s="55"/>
      <c r="AN266" s="55"/>
      <c r="AO266" s="55"/>
      <c r="AP266" s="55"/>
      <c r="AQ266" s="55"/>
      <c r="AR266" s="165"/>
      <c r="AS266" s="55"/>
      <c r="AT266" s="55"/>
      <c r="AU266" s="55"/>
      <c r="AV266" s="55"/>
      <c r="AW266" s="55"/>
      <c r="AX266" s="55"/>
      <c r="AY266" s="55"/>
      <c r="AZ266" s="55"/>
      <c r="BA266" s="165"/>
      <c r="BB266" s="55"/>
      <c r="BC266" s="55"/>
      <c r="BD266" s="55"/>
      <c r="BE266" s="165"/>
      <c r="BF266" s="55"/>
      <c r="BG266" s="10"/>
      <c r="BH266" s="55"/>
      <c r="BI266" s="55"/>
      <c r="BJ266" s="55"/>
      <c r="BK266" s="55"/>
      <c r="BS266" s="141"/>
      <c r="CM266" s="141"/>
      <c r="DC266" s="141"/>
    </row>
    <row r="267" spans="1:107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55"/>
      <c r="R267" s="171"/>
      <c r="S267" s="161"/>
      <c r="T267" s="55"/>
      <c r="U267" s="55"/>
      <c r="V267" s="55"/>
      <c r="W267" s="155"/>
      <c r="X267" s="171"/>
      <c r="Y267" s="165"/>
      <c r="Z267" s="10"/>
      <c r="AA267" s="55"/>
      <c r="AB267" s="55"/>
      <c r="AC267" s="55"/>
      <c r="AD267" s="55"/>
      <c r="AE267" s="55"/>
      <c r="AF267" s="167"/>
      <c r="AG267" s="55"/>
      <c r="AH267" s="55"/>
      <c r="AI267" s="165"/>
      <c r="AJ267" s="55"/>
      <c r="AK267" s="55"/>
      <c r="AL267" s="55"/>
      <c r="AM267" s="55"/>
      <c r="AN267" s="55"/>
      <c r="AO267" s="55"/>
      <c r="AP267" s="55"/>
      <c r="AQ267" s="55"/>
      <c r="AR267" s="165"/>
      <c r="AS267" s="55"/>
      <c r="AT267" s="55"/>
      <c r="AU267" s="55"/>
      <c r="AV267" s="55"/>
      <c r="AW267" s="55"/>
      <c r="AX267" s="55"/>
      <c r="AY267" s="55"/>
      <c r="AZ267" s="55"/>
      <c r="BA267" s="165"/>
      <c r="BB267" s="55"/>
      <c r="BC267" s="55"/>
      <c r="BD267" s="55"/>
      <c r="BE267" s="165"/>
      <c r="BF267" s="55"/>
      <c r="BG267" s="10"/>
      <c r="BH267" s="55"/>
      <c r="BI267" s="55"/>
      <c r="BJ267" s="55"/>
      <c r="BK267" s="55"/>
      <c r="BS267" s="141"/>
      <c r="CM267" s="141"/>
      <c r="DC267" s="141"/>
    </row>
    <row r="268" spans="1:107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55"/>
      <c r="R268" s="171"/>
      <c r="S268" s="161"/>
      <c r="T268" s="55"/>
      <c r="U268" s="55"/>
      <c r="V268" s="55"/>
      <c r="W268" s="155"/>
      <c r="X268" s="171"/>
      <c r="Y268" s="165"/>
      <c r="Z268" s="10"/>
      <c r="AA268" s="55"/>
      <c r="AB268" s="55"/>
      <c r="AC268" s="55"/>
      <c r="AD268" s="55"/>
      <c r="AE268" s="55"/>
      <c r="AF268" s="167"/>
      <c r="AG268" s="55"/>
      <c r="AH268" s="55"/>
      <c r="AI268" s="165"/>
      <c r="AJ268" s="55"/>
      <c r="AK268" s="55"/>
      <c r="AL268" s="55"/>
      <c r="AM268" s="55"/>
      <c r="AN268" s="55"/>
      <c r="AO268" s="55"/>
      <c r="AP268" s="55"/>
      <c r="AQ268" s="55"/>
      <c r="AR268" s="165"/>
      <c r="AS268" s="55"/>
      <c r="AT268" s="55"/>
      <c r="AU268" s="55"/>
      <c r="AV268" s="55"/>
      <c r="AW268" s="55"/>
      <c r="AX268" s="55"/>
      <c r="AY268" s="55"/>
      <c r="AZ268" s="55"/>
      <c r="BA268" s="165"/>
      <c r="BB268" s="55"/>
      <c r="BC268" s="55"/>
      <c r="BD268" s="55"/>
      <c r="BE268" s="165"/>
      <c r="BF268" s="55"/>
      <c r="BG268" s="10"/>
      <c r="BH268" s="55"/>
      <c r="BI268" s="55"/>
      <c r="BJ268" s="55"/>
      <c r="BK268" s="55"/>
      <c r="BS268" s="141"/>
      <c r="CM268" s="141"/>
      <c r="DC268" s="141"/>
    </row>
    <row r="269" spans="1:107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55"/>
      <c r="R269" s="171"/>
      <c r="S269" s="161"/>
      <c r="T269" s="55"/>
      <c r="U269" s="55"/>
      <c r="V269" s="55"/>
      <c r="W269" s="155"/>
      <c r="X269" s="171"/>
      <c r="Y269" s="165"/>
      <c r="Z269" s="10"/>
      <c r="AA269" s="55"/>
      <c r="AB269" s="55"/>
      <c r="AC269" s="55"/>
      <c r="AD269" s="55"/>
      <c r="AE269" s="55"/>
      <c r="AF269" s="167"/>
      <c r="AG269" s="55"/>
      <c r="AH269" s="55"/>
      <c r="AI269" s="165"/>
      <c r="AJ269" s="55"/>
      <c r="AK269" s="55"/>
      <c r="AL269" s="55"/>
      <c r="AM269" s="55"/>
      <c r="AN269" s="55"/>
      <c r="AO269" s="55"/>
      <c r="AP269" s="55"/>
      <c r="AQ269" s="55"/>
      <c r="AR269" s="165"/>
      <c r="AS269" s="55"/>
      <c r="AT269" s="55"/>
      <c r="AU269" s="55"/>
      <c r="AV269" s="55"/>
      <c r="AW269" s="55"/>
      <c r="AX269" s="55"/>
      <c r="AY269" s="55"/>
      <c r="AZ269" s="55"/>
      <c r="BA269" s="165"/>
      <c r="BB269" s="55"/>
      <c r="BC269" s="55"/>
      <c r="BD269" s="55"/>
      <c r="BE269" s="165"/>
      <c r="BF269" s="55"/>
      <c r="BG269" s="10"/>
      <c r="BH269" s="55"/>
      <c r="BI269" s="55"/>
      <c r="BJ269" s="55"/>
      <c r="BK269" s="55"/>
      <c r="BS269" s="141"/>
      <c r="CM269" s="141"/>
      <c r="DC269" s="141"/>
    </row>
    <row r="270" spans="1:107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55"/>
      <c r="R270" s="171"/>
      <c r="S270" s="161"/>
      <c r="T270" s="55"/>
      <c r="U270" s="55"/>
      <c r="V270" s="55"/>
      <c r="W270" s="155"/>
      <c r="X270" s="171"/>
      <c r="Y270" s="165"/>
      <c r="Z270" s="10"/>
      <c r="AA270" s="55"/>
      <c r="AB270" s="55"/>
      <c r="AC270" s="55"/>
      <c r="AD270" s="55"/>
      <c r="AE270" s="55"/>
      <c r="AF270" s="167"/>
      <c r="AG270" s="55"/>
      <c r="AH270" s="55"/>
      <c r="AI270" s="165"/>
      <c r="AJ270" s="55"/>
      <c r="AK270" s="55"/>
      <c r="AL270" s="55"/>
      <c r="AM270" s="55"/>
      <c r="AN270" s="55"/>
      <c r="AO270" s="55"/>
      <c r="AP270" s="55"/>
      <c r="AQ270" s="55"/>
      <c r="AR270" s="165"/>
      <c r="AS270" s="55"/>
      <c r="AT270" s="55"/>
      <c r="AU270" s="55"/>
      <c r="AV270" s="55"/>
      <c r="AW270" s="55"/>
      <c r="AX270" s="55"/>
      <c r="AY270" s="55"/>
      <c r="AZ270" s="55"/>
      <c r="BA270" s="165"/>
      <c r="BB270" s="55"/>
      <c r="BC270" s="55"/>
      <c r="BD270" s="55"/>
      <c r="BE270" s="165"/>
      <c r="BF270" s="55"/>
      <c r="BG270" s="10"/>
      <c r="BH270" s="55"/>
      <c r="BI270" s="55"/>
      <c r="BJ270" s="55"/>
      <c r="BK270" s="55"/>
      <c r="BS270" s="141"/>
      <c r="CM270" s="141"/>
      <c r="DC270" s="141"/>
    </row>
    <row r="271" spans="1:107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55"/>
      <c r="R271" s="171"/>
      <c r="S271" s="161"/>
      <c r="T271" s="55"/>
      <c r="U271" s="55"/>
      <c r="V271" s="55"/>
      <c r="W271" s="155"/>
      <c r="X271" s="171"/>
      <c r="Y271" s="165"/>
      <c r="Z271" s="10"/>
      <c r="AA271" s="55"/>
      <c r="AB271" s="55"/>
      <c r="AC271" s="55"/>
      <c r="AD271" s="55"/>
      <c r="AE271" s="55"/>
      <c r="AF271" s="167"/>
      <c r="AG271" s="55"/>
      <c r="AH271" s="55"/>
      <c r="AI271" s="165"/>
      <c r="AJ271" s="55"/>
      <c r="AK271" s="55"/>
      <c r="AL271" s="55"/>
      <c r="AM271" s="55"/>
      <c r="AN271" s="55"/>
      <c r="AO271" s="55"/>
      <c r="AP271" s="55"/>
      <c r="AQ271" s="55"/>
      <c r="AR271" s="165"/>
      <c r="AS271" s="55"/>
      <c r="AT271" s="55"/>
      <c r="AU271" s="55"/>
      <c r="AV271" s="55"/>
      <c r="AW271" s="55"/>
      <c r="AX271" s="55"/>
      <c r="AY271" s="55"/>
      <c r="AZ271" s="55"/>
      <c r="BA271" s="165"/>
      <c r="BB271" s="55"/>
      <c r="BC271" s="55"/>
      <c r="BD271" s="55"/>
      <c r="BE271" s="165"/>
      <c r="BF271" s="55"/>
      <c r="BG271" s="10"/>
      <c r="BH271" s="55"/>
      <c r="BI271" s="55"/>
      <c r="BJ271" s="55"/>
      <c r="BK271" s="55"/>
      <c r="BS271" s="141"/>
      <c r="CM271" s="141"/>
      <c r="DC271" s="141"/>
    </row>
    <row r="272" spans="1:107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55"/>
      <c r="R272" s="171"/>
      <c r="S272" s="161"/>
      <c r="T272" s="55"/>
      <c r="U272" s="55"/>
      <c r="V272" s="55"/>
      <c r="W272" s="155"/>
      <c r="X272" s="171"/>
      <c r="Y272" s="165"/>
      <c r="Z272" s="10"/>
      <c r="AA272" s="55"/>
      <c r="AB272" s="55"/>
      <c r="AC272" s="55"/>
      <c r="AD272" s="55"/>
      <c r="AE272" s="55"/>
      <c r="AF272" s="167"/>
      <c r="AG272" s="55"/>
      <c r="AH272" s="55"/>
      <c r="AI272" s="165"/>
      <c r="AJ272" s="55"/>
      <c r="AK272" s="55"/>
      <c r="AL272" s="55"/>
      <c r="AM272" s="55"/>
      <c r="AN272" s="55"/>
      <c r="AO272" s="55"/>
      <c r="AP272" s="55"/>
      <c r="AQ272" s="55"/>
      <c r="AR272" s="165"/>
      <c r="AS272" s="55"/>
      <c r="AT272" s="55"/>
      <c r="AU272" s="55"/>
      <c r="AV272" s="55"/>
      <c r="AW272" s="55"/>
      <c r="AX272" s="55"/>
      <c r="AY272" s="55"/>
      <c r="AZ272" s="55"/>
      <c r="BA272" s="165"/>
      <c r="BB272" s="55"/>
      <c r="BC272" s="55"/>
      <c r="BD272" s="55"/>
      <c r="BE272" s="165"/>
      <c r="BF272" s="55"/>
      <c r="BG272" s="10"/>
      <c r="BH272" s="55"/>
      <c r="BI272" s="55"/>
      <c r="BJ272" s="55"/>
      <c r="BK272" s="55"/>
      <c r="BS272" s="141"/>
      <c r="CM272" s="141"/>
      <c r="DC272" s="141"/>
    </row>
    <row r="273" spans="1:107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55"/>
      <c r="R273" s="171"/>
      <c r="S273" s="161"/>
      <c r="T273" s="55"/>
      <c r="U273" s="55"/>
      <c r="V273" s="55"/>
      <c r="W273" s="155"/>
      <c r="X273" s="171"/>
      <c r="Y273" s="165"/>
      <c r="Z273" s="10"/>
      <c r="AA273" s="55"/>
      <c r="AB273" s="55"/>
      <c r="AC273" s="55"/>
      <c r="AD273" s="55"/>
      <c r="AE273" s="55"/>
      <c r="AF273" s="167"/>
      <c r="AG273" s="55"/>
      <c r="AH273" s="55"/>
      <c r="AI273" s="165"/>
      <c r="AJ273" s="55"/>
      <c r="AK273" s="55"/>
      <c r="AL273" s="55"/>
      <c r="AM273" s="55"/>
      <c r="AN273" s="55"/>
      <c r="AO273" s="55"/>
      <c r="AP273" s="55"/>
      <c r="AQ273" s="55"/>
      <c r="AR273" s="165"/>
      <c r="AS273" s="55"/>
      <c r="AT273" s="55"/>
      <c r="AU273" s="55"/>
      <c r="AV273" s="55"/>
      <c r="AW273" s="55"/>
      <c r="AX273" s="55"/>
      <c r="AY273" s="55"/>
      <c r="AZ273" s="55"/>
      <c r="BA273" s="165"/>
      <c r="BB273" s="55"/>
      <c r="BC273" s="55"/>
      <c r="BD273" s="55"/>
      <c r="BE273" s="165"/>
      <c r="BF273" s="55"/>
      <c r="BG273" s="10"/>
      <c r="BH273" s="55"/>
      <c r="BI273" s="55"/>
      <c r="BJ273" s="55"/>
      <c r="BK273" s="55"/>
      <c r="BS273" s="141"/>
      <c r="CM273" s="141"/>
      <c r="DC273" s="141"/>
    </row>
    <row r="274" spans="1:107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55"/>
      <c r="R274" s="171"/>
      <c r="S274" s="161"/>
      <c r="T274" s="55"/>
      <c r="U274" s="55"/>
      <c r="V274" s="55"/>
      <c r="W274" s="155"/>
      <c r="X274" s="171"/>
      <c r="Y274" s="165"/>
      <c r="Z274" s="10"/>
      <c r="AA274" s="55"/>
      <c r="AB274" s="55"/>
      <c r="AC274" s="55"/>
      <c r="AD274" s="55"/>
      <c r="AE274" s="55"/>
      <c r="AF274" s="167"/>
      <c r="AG274" s="55"/>
      <c r="AH274" s="55"/>
      <c r="AI274" s="165"/>
      <c r="AJ274" s="55"/>
      <c r="AK274" s="55"/>
      <c r="AL274" s="55"/>
      <c r="AM274" s="55"/>
      <c r="AN274" s="55"/>
      <c r="AO274" s="55"/>
      <c r="AP274" s="55"/>
      <c r="AQ274" s="55"/>
      <c r="AR274" s="165"/>
      <c r="AS274" s="55"/>
      <c r="AT274" s="55"/>
      <c r="AU274" s="55"/>
      <c r="AV274" s="55"/>
      <c r="AW274" s="55"/>
      <c r="AX274" s="55"/>
      <c r="AY274" s="55"/>
      <c r="AZ274" s="55"/>
      <c r="BA274" s="165"/>
      <c r="BB274" s="55"/>
      <c r="BC274" s="55"/>
      <c r="BD274" s="55"/>
      <c r="BE274" s="165"/>
      <c r="BF274" s="55"/>
      <c r="BG274" s="10"/>
      <c r="BH274" s="55"/>
      <c r="BI274" s="55"/>
      <c r="BJ274" s="55"/>
      <c r="BK274" s="55"/>
      <c r="BS274" s="141"/>
      <c r="CM274" s="141"/>
      <c r="DC274" s="141"/>
    </row>
    <row r="275" spans="1:107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55"/>
      <c r="R275" s="171"/>
      <c r="S275" s="161"/>
      <c r="T275" s="55"/>
      <c r="U275" s="55"/>
      <c r="V275" s="55"/>
      <c r="W275" s="155"/>
      <c r="X275" s="171"/>
      <c r="Y275" s="165"/>
      <c r="Z275" s="10"/>
      <c r="AA275" s="55"/>
      <c r="AB275" s="55"/>
      <c r="AC275" s="55"/>
      <c r="AD275" s="55"/>
      <c r="AE275" s="55"/>
      <c r="AF275" s="167"/>
      <c r="AG275" s="55"/>
      <c r="AH275" s="55"/>
      <c r="AI275" s="165"/>
      <c r="AJ275" s="55"/>
      <c r="AK275" s="55"/>
      <c r="AL275" s="55"/>
      <c r="AM275" s="55"/>
      <c r="AN275" s="55"/>
      <c r="AO275" s="55"/>
      <c r="AP275" s="55"/>
      <c r="AQ275" s="55"/>
      <c r="AR275" s="165"/>
      <c r="AS275" s="55"/>
      <c r="AT275" s="55"/>
      <c r="AU275" s="55"/>
      <c r="AV275" s="55"/>
      <c r="AW275" s="55"/>
      <c r="AX275" s="55"/>
      <c r="AY275" s="55"/>
      <c r="AZ275" s="55"/>
      <c r="BA275" s="165"/>
      <c r="BB275" s="55"/>
      <c r="BC275" s="55"/>
      <c r="BD275" s="55"/>
      <c r="BE275" s="165"/>
      <c r="BF275" s="55"/>
      <c r="BG275" s="10"/>
      <c r="BH275" s="55"/>
      <c r="BI275" s="55"/>
      <c r="BJ275" s="55"/>
      <c r="BK275" s="55"/>
      <c r="BS275" s="141"/>
      <c r="CM275" s="141"/>
      <c r="DC275" s="141"/>
    </row>
    <row r="276" spans="1:107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55"/>
      <c r="R276" s="171"/>
      <c r="S276" s="161"/>
      <c r="T276" s="55"/>
      <c r="U276" s="55"/>
      <c r="V276" s="55"/>
      <c r="W276" s="155"/>
      <c r="X276" s="171"/>
      <c r="Y276" s="165"/>
      <c r="Z276" s="10"/>
      <c r="AA276" s="55"/>
      <c r="AB276" s="55"/>
      <c r="AC276" s="55"/>
      <c r="AD276" s="55"/>
      <c r="AE276" s="55"/>
      <c r="AF276" s="167"/>
      <c r="AG276" s="55"/>
      <c r="AH276" s="55"/>
      <c r="AI276" s="165"/>
      <c r="AJ276" s="55"/>
      <c r="AK276" s="55"/>
      <c r="AL276" s="55"/>
      <c r="AM276" s="55"/>
      <c r="AN276" s="55"/>
      <c r="AO276" s="55"/>
      <c r="AP276" s="55"/>
      <c r="AQ276" s="55"/>
      <c r="AR276" s="165"/>
      <c r="AS276" s="55"/>
      <c r="AT276" s="55"/>
      <c r="AU276" s="55"/>
      <c r="AV276" s="55"/>
      <c r="AW276" s="55"/>
      <c r="AX276" s="55"/>
      <c r="AY276" s="55"/>
      <c r="AZ276" s="55"/>
      <c r="BA276" s="165"/>
      <c r="BB276" s="55"/>
      <c r="BC276" s="55"/>
      <c r="BD276" s="55"/>
      <c r="BE276" s="165"/>
      <c r="BF276" s="55"/>
      <c r="BG276" s="10"/>
      <c r="BH276" s="55"/>
      <c r="BI276" s="55"/>
      <c r="BJ276" s="55"/>
      <c r="BK276" s="55"/>
      <c r="BS276" s="141"/>
      <c r="CM276" s="141"/>
      <c r="DC276" s="141"/>
    </row>
    <row r="277" spans="1:107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55"/>
      <c r="R277" s="171"/>
      <c r="S277" s="161"/>
      <c r="T277" s="55"/>
      <c r="U277" s="55"/>
      <c r="V277" s="55"/>
      <c r="W277" s="155"/>
      <c r="X277" s="171"/>
      <c r="Y277" s="165"/>
      <c r="Z277" s="10"/>
      <c r="AA277" s="55"/>
      <c r="AB277" s="55"/>
      <c r="AC277" s="55"/>
      <c r="AD277" s="55"/>
      <c r="AE277" s="55"/>
      <c r="AF277" s="167"/>
      <c r="AG277" s="55"/>
      <c r="AH277" s="55"/>
      <c r="AI277" s="165"/>
      <c r="AJ277" s="55"/>
      <c r="AK277" s="55"/>
      <c r="AL277" s="55"/>
      <c r="AM277" s="55"/>
      <c r="AN277" s="55"/>
      <c r="AO277" s="55"/>
      <c r="AP277" s="55"/>
      <c r="AQ277" s="55"/>
      <c r="AR277" s="165"/>
      <c r="AS277" s="55"/>
      <c r="AT277" s="55"/>
      <c r="AU277" s="55"/>
      <c r="AV277" s="55"/>
      <c r="AW277" s="55"/>
      <c r="AX277" s="55"/>
      <c r="AY277" s="55"/>
      <c r="AZ277" s="55"/>
      <c r="BA277" s="165"/>
      <c r="BB277" s="55"/>
      <c r="BC277" s="55"/>
      <c r="BD277" s="55"/>
      <c r="BE277" s="165"/>
      <c r="BF277" s="55"/>
      <c r="BG277" s="10"/>
      <c r="BH277" s="55"/>
      <c r="BI277" s="55"/>
      <c r="BJ277" s="55"/>
      <c r="BK277" s="55"/>
      <c r="BS277" s="141"/>
      <c r="CM277" s="141"/>
      <c r="DC277" s="141"/>
    </row>
    <row r="278" spans="1:107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55"/>
      <c r="R278" s="171"/>
      <c r="S278" s="161"/>
      <c r="T278" s="55"/>
      <c r="U278" s="55"/>
      <c r="V278" s="55"/>
      <c r="W278" s="155"/>
      <c r="X278" s="171"/>
      <c r="Y278" s="165"/>
      <c r="Z278" s="10"/>
      <c r="AA278" s="55"/>
      <c r="AB278" s="55"/>
      <c r="AC278" s="55"/>
      <c r="AD278" s="55"/>
      <c r="AE278" s="55"/>
      <c r="AF278" s="167"/>
      <c r="AG278" s="55"/>
      <c r="AH278" s="55"/>
      <c r="AI278" s="165"/>
      <c r="AJ278" s="55"/>
      <c r="AK278" s="55"/>
      <c r="AL278" s="55"/>
      <c r="AM278" s="55"/>
      <c r="AN278" s="55"/>
      <c r="AO278" s="55"/>
      <c r="AP278" s="55"/>
      <c r="AQ278" s="55"/>
      <c r="AR278" s="165"/>
      <c r="AS278" s="55"/>
      <c r="AT278" s="55"/>
      <c r="AU278" s="55"/>
      <c r="AV278" s="55"/>
      <c r="AW278" s="55"/>
      <c r="AX278" s="55"/>
      <c r="AY278" s="55"/>
      <c r="AZ278" s="55"/>
      <c r="BA278" s="165"/>
      <c r="BB278" s="55"/>
      <c r="BC278" s="55"/>
      <c r="BD278" s="55"/>
      <c r="BE278" s="165"/>
      <c r="BF278" s="55"/>
      <c r="BG278" s="10"/>
      <c r="BH278" s="55"/>
      <c r="BI278" s="55"/>
      <c r="BJ278" s="55"/>
      <c r="BK278" s="55"/>
      <c r="BS278" s="141"/>
      <c r="CM278" s="141"/>
      <c r="DC278" s="141"/>
    </row>
    <row r="279" spans="1:107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55"/>
      <c r="R279" s="171"/>
      <c r="S279" s="161"/>
      <c r="T279" s="55"/>
      <c r="U279" s="55"/>
      <c r="V279" s="55"/>
      <c r="W279" s="155"/>
      <c r="X279" s="171"/>
      <c r="Y279" s="165"/>
      <c r="Z279" s="10"/>
      <c r="AA279" s="55"/>
      <c r="AB279" s="55"/>
      <c r="AC279" s="55"/>
      <c r="AD279" s="55"/>
      <c r="AE279" s="55"/>
      <c r="AF279" s="167"/>
      <c r="AG279" s="55"/>
      <c r="AH279" s="55"/>
      <c r="AI279" s="165"/>
      <c r="AJ279" s="55"/>
      <c r="AK279" s="55"/>
      <c r="AL279" s="55"/>
      <c r="AM279" s="55"/>
      <c r="AN279" s="55"/>
      <c r="AO279" s="55"/>
      <c r="AP279" s="55"/>
      <c r="AQ279" s="55"/>
      <c r="AR279" s="165"/>
      <c r="AS279" s="55"/>
      <c r="AT279" s="55"/>
      <c r="AU279" s="55"/>
      <c r="AV279" s="55"/>
      <c r="AW279" s="55"/>
      <c r="AX279" s="55"/>
      <c r="AY279" s="55"/>
      <c r="AZ279" s="55"/>
      <c r="BA279" s="165"/>
      <c r="BB279" s="55"/>
      <c r="BC279" s="55"/>
      <c r="BD279" s="55"/>
      <c r="BE279" s="165"/>
      <c r="BF279" s="55"/>
      <c r="BG279" s="10"/>
      <c r="BH279" s="55"/>
      <c r="BI279" s="55"/>
      <c r="BJ279" s="55"/>
      <c r="BK279" s="55"/>
      <c r="BS279" s="141"/>
      <c r="CM279" s="141"/>
      <c r="DC279" s="141"/>
    </row>
    <row r="280" spans="1:107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55"/>
      <c r="R280" s="171"/>
      <c r="S280" s="161"/>
      <c r="T280" s="55"/>
      <c r="U280" s="55"/>
      <c r="V280" s="55"/>
      <c r="W280" s="155"/>
      <c r="X280" s="171"/>
      <c r="Y280" s="165"/>
      <c r="Z280" s="10"/>
      <c r="AA280" s="55"/>
      <c r="AB280" s="55"/>
      <c r="AC280" s="55"/>
      <c r="AD280" s="55"/>
      <c r="AE280" s="55"/>
      <c r="AF280" s="167"/>
      <c r="AG280" s="55"/>
      <c r="AH280" s="55"/>
      <c r="AI280" s="165"/>
      <c r="AJ280" s="55"/>
      <c r="AK280" s="55"/>
      <c r="AL280" s="55"/>
      <c r="AM280" s="55"/>
      <c r="AN280" s="55"/>
      <c r="AO280" s="55"/>
      <c r="AP280" s="55"/>
      <c r="AQ280" s="55"/>
      <c r="AR280" s="165"/>
      <c r="AS280" s="55"/>
      <c r="AT280" s="55"/>
      <c r="AU280" s="55"/>
      <c r="AV280" s="55"/>
      <c r="AW280" s="55"/>
      <c r="AX280" s="55"/>
      <c r="AY280" s="55"/>
      <c r="AZ280" s="55"/>
      <c r="BA280" s="165"/>
      <c r="BB280" s="55"/>
      <c r="BC280" s="55"/>
      <c r="BD280" s="55"/>
      <c r="BE280" s="165"/>
      <c r="BF280" s="55"/>
      <c r="BG280" s="10"/>
      <c r="BH280" s="55"/>
      <c r="BI280" s="55"/>
      <c r="BJ280" s="55"/>
      <c r="BK280" s="55"/>
      <c r="BS280" s="141"/>
      <c r="CM280" s="141"/>
      <c r="DC280" s="141"/>
    </row>
    <row r="281" spans="1:107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55"/>
      <c r="R281" s="171"/>
      <c r="S281" s="161"/>
      <c r="T281" s="55"/>
      <c r="U281" s="55"/>
      <c r="V281" s="55"/>
      <c r="W281" s="155"/>
      <c r="X281" s="171"/>
      <c r="Y281" s="165"/>
      <c r="Z281" s="10"/>
      <c r="AA281" s="55"/>
      <c r="AB281" s="55"/>
      <c r="AC281" s="55"/>
      <c r="AD281" s="55"/>
      <c r="AE281" s="55"/>
      <c r="AF281" s="167"/>
      <c r="AG281" s="55"/>
      <c r="AH281" s="55"/>
      <c r="AI281" s="165"/>
      <c r="AJ281" s="55"/>
      <c r="AK281" s="55"/>
      <c r="AL281" s="55"/>
      <c r="AM281" s="55"/>
      <c r="AN281" s="55"/>
      <c r="AO281" s="55"/>
      <c r="AP281" s="55"/>
      <c r="AQ281" s="55"/>
      <c r="AR281" s="165"/>
      <c r="AS281" s="55"/>
      <c r="AT281" s="55"/>
      <c r="AU281" s="55"/>
      <c r="AV281" s="55"/>
      <c r="AW281" s="55"/>
      <c r="AX281" s="55"/>
      <c r="AY281" s="55"/>
      <c r="AZ281" s="55"/>
      <c r="BA281" s="165"/>
      <c r="BB281" s="55"/>
      <c r="BC281" s="55"/>
      <c r="BD281" s="55"/>
      <c r="BE281" s="165"/>
      <c r="BF281" s="55"/>
      <c r="BG281" s="10"/>
      <c r="BH281" s="55"/>
      <c r="BI281" s="55"/>
      <c r="BJ281" s="55"/>
      <c r="BK281" s="55"/>
      <c r="BS281" s="141"/>
      <c r="CM281" s="141"/>
      <c r="DC281" s="141"/>
    </row>
    <row r="282" spans="1:107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55"/>
      <c r="R282" s="171"/>
      <c r="S282" s="161"/>
      <c r="T282" s="55"/>
      <c r="U282" s="55"/>
      <c r="V282" s="55"/>
      <c r="W282" s="155"/>
      <c r="X282" s="171"/>
      <c r="Y282" s="165"/>
      <c r="Z282" s="10"/>
      <c r="AA282" s="55"/>
      <c r="AB282" s="55"/>
      <c r="AC282" s="55"/>
      <c r="AD282" s="55"/>
      <c r="AE282" s="55"/>
      <c r="AF282" s="167"/>
      <c r="AG282" s="55"/>
      <c r="AH282" s="55"/>
      <c r="AI282" s="165"/>
      <c r="AJ282" s="55"/>
      <c r="AK282" s="55"/>
      <c r="AL282" s="55"/>
      <c r="AM282" s="55"/>
      <c r="AN282" s="55"/>
      <c r="AO282" s="55"/>
      <c r="AP282" s="55"/>
      <c r="AQ282" s="55"/>
      <c r="AR282" s="165"/>
      <c r="AS282" s="55"/>
      <c r="AT282" s="55"/>
      <c r="AU282" s="55"/>
      <c r="AV282" s="55"/>
      <c r="AW282" s="55"/>
      <c r="AX282" s="55"/>
      <c r="AY282" s="55"/>
      <c r="AZ282" s="55"/>
      <c r="BA282" s="165"/>
      <c r="BB282" s="55"/>
      <c r="BC282" s="55"/>
      <c r="BD282" s="55"/>
      <c r="BE282" s="165"/>
      <c r="BF282" s="55"/>
      <c r="BG282" s="10"/>
      <c r="BH282" s="55"/>
      <c r="BI282" s="55"/>
      <c r="BJ282" s="55"/>
      <c r="BK282" s="55"/>
      <c r="BS282" s="141"/>
      <c r="CM282" s="141"/>
      <c r="DC282" s="141"/>
    </row>
    <row r="283" spans="1:107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55"/>
      <c r="R283" s="171"/>
      <c r="S283" s="161"/>
      <c r="T283" s="55"/>
      <c r="U283" s="55"/>
      <c r="V283" s="55"/>
      <c r="W283" s="155"/>
      <c r="X283" s="171"/>
      <c r="Y283" s="165"/>
      <c r="Z283" s="10"/>
      <c r="AA283" s="55"/>
      <c r="AB283" s="55"/>
      <c r="AC283" s="55"/>
      <c r="AD283" s="55"/>
      <c r="AE283" s="55"/>
      <c r="AF283" s="167"/>
      <c r="AG283" s="55"/>
      <c r="AH283" s="55"/>
      <c r="AI283" s="165"/>
      <c r="AJ283" s="55"/>
      <c r="AK283" s="55"/>
      <c r="AL283" s="55"/>
      <c r="AM283" s="55"/>
      <c r="AN283" s="55"/>
      <c r="AO283" s="55"/>
      <c r="AP283" s="55"/>
      <c r="AQ283" s="55"/>
      <c r="AR283" s="165"/>
      <c r="AS283" s="55"/>
      <c r="AT283" s="55"/>
      <c r="AU283" s="55"/>
      <c r="AV283" s="55"/>
      <c r="AW283" s="55"/>
      <c r="AX283" s="55"/>
      <c r="AY283" s="55"/>
      <c r="AZ283" s="55"/>
      <c r="BA283" s="165"/>
      <c r="BB283" s="55"/>
      <c r="BC283" s="55"/>
      <c r="BD283" s="55"/>
      <c r="BE283" s="165"/>
      <c r="BF283" s="55"/>
      <c r="BG283" s="10"/>
      <c r="BH283" s="55"/>
      <c r="BI283" s="55"/>
      <c r="BJ283" s="55"/>
      <c r="BK283" s="55"/>
      <c r="BS283" s="141"/>
      <c r="CM283" s="141"/>
      <c r="DC283" s="141"/>
    </row>
    <row r="284" spans="1:107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55"/>
      <c r="R284" s="171"/>
      <c r="S284" s="161"/>
      <c r="T284" s="55"/>
      <c r="U284" s="55"/>
      <c r="V284" s="55"/>
      <c r="W284" s="155"/>
      <c r="X284" s="171"/>
      <c r="Y284" s="165"/>
      <c r="Z284" s="10"/>
      <c r="AA284" s="55"/>
      <c r="AB284" s="55"/>
      <c r="AC284" s="55"/>
      <c r="AD284" s="55"/>
      <c r="AE284" s="55"/>
      <c r="AF284" s="167"/>
      <c r="AG284" s="55"/>
      <c r="AH284" s="55"/>
      <c r="AI284" s="165"/>
      <c r="AJ284" s="55"/>
      <c r="AK284" s="55"/>
      <c r="AL284" s="55"/>
      <c r="AM284" s="55"/>
      <c r="AN284" s="55"/>
      <c r="AO284" s="55"/>
      <c r="AP284" s="55"/>
      <c r="AQ284" s="55"/>
      <c r="AR284" s="165"/>
      <c r="AS284" s="55"/>
      <c r="AT284" s="55"/>
      <c r="AU284" s="55"/>
      <c r="AV284" s="55"/>
      <c r="AW284" s="55"/>
      <c r="AX284" s="55"/>
      <c r="AY284" s="55"/>
      <c r="AZ284" s="55"/>
      <c r="BA284" s="165"/>
      <c r="BB284" s="55"/>
      <c r="BC284" s="55"/>
      <c r="BD284" s="55"/>
      <c r="BE284" s="165"/>
      <c r="BF284" s="55"/>
      <c r="BG284" s="10"/>
      <c r="BH284" s="55"/>
      <c r="BI284" s="55"/>
      <c r="BJ284" s="55"/>
      <c r="BK284" s="55"/>
      <c r="BS284" s="141"/>
      <c r="CM284" s="141"/>
      <c r="DC284" s="141"/>
    </row>
    <row r="285" spans="1:107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55"/>
      <c r="R285" s="171"/>
      <c r="S285" s="161"/>
      <c r="T285" s="55"/>
      <c r="U285" s="55"/>
      <c r="V285" s="55"/>
      <c r="W285" s="155"/>
      <c r="X285" s="171"/>
      <c r="Y285" s="165"/>
      <c r="Z285" s="10"/>
      <c r="AA285" s="55"/>
      <c r="AB285" s="55"/>
      <c r="AC285" s="55"/>
      <c r="AD285" s="55"/>
      <c r="AE285" s="55"/>
      <c r="AF285" s="167"/>
      <c r="AG285" s="55"/>
      <c r="AH285" s="55"/>
      <c r="AI285" s="165"/>
      <c r="AJ285" s="55"/>
      <c r="AK285" s="55"/>
      <c r="AL285" s="55"/>
      <c r="AM285" s="55"/>
      <c r="AN285" s="55"/>
      <c r="AO285" s="55"/>
      <c r="AP285" s="55"/>
      <c r="AQ285" s="55"/>
      <c r="AR285" s="165"/>
      <c r="AS285" s="55"/>
      <c r="AT285" s="55"/>
      <c r="AU285" s="55"/>
      <c r="AV285" s="55"/>
      <c r="AW285" s="55"/>
      <c r="AX285" s="55"/>
      <c r="AY285" s="55"/>
      <c r="AZ285" s="55"/>
      <c r="BA285" s="165"/>
      <c r="BB285" s="55"/>
      <c r="BC285" s="55"/>
      <c r="BD285" s="55"/>
      <c r="BE285" s="165"/>
      <c r="BF285" s="55"/>
      <c r="BG285" s="10"/>
      <c r="BH285" s="55"/>
      <c r="BI285" s="55"/>
      <c r="BJ285" s="55"/>
      <c r="BK285" s="55"/>
      <c r="BS285" s="141"/>
      <c r="CM285" s="141"/>
      <c r="DC285" s="141"/>
    </row>
    <row r="286" spans="1:107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55"/>
      <c r="R286" s="171"/>
      <c r="S286" s="161"/>
      <c r="T286" s="55"/>
      <c r="U286" s="55"/>
      <c r="V286" s="55"/>
      <c r="W286" s="155"/>
      <c r="X286" s="171"/>
      <c r="Y286" s="165"/>
      <c r="Z286" s="10"/>
      <c r="AA286" s="55"/>
      <c r="AB286" s="55"/>
      <c r="AC286" s="55"/>
      <c r="AD286" s="55"/>
      <c r="AE286" s="55"/>
      <c r="AF286" s="167"/>
      <c r="AG286" s="55"/>
      <c r="AH286" s="55"/>
      <c r="AI286" s="165"/>
      <c r="AJ286" s="55"/>
      <c r="AK286" s="55"/>
      <c r="AL286" s="55"/>
      <c r="AM286" s="55"/>
      <c r="AN286" s="55"/>
      <c r="AO286" s="55"/>
      <c r="AP286" s="55"/>
      <c r="AQ286" s="55"/>
      <c r="AR286" s="165"/>
      <c r="AS286" s="55"/>
      <c r="AT286" s="55"/>
      <c r="AU286" s="55"/>
      <c r="AV286" s="55"/>
      <c r="AW286" s="55"/>
      <c r="AX286" s="55"/>
      <c r="AY286" s="55"/>
      <c r="AZ286" s="55"/>
      <c r="BA286" s="165"/>
      <c r="BB286" s="55"/>
      <c r="BC286" s="55"/>
      <c r="BD286" s="55"/>
      <c r="BE286" s="165"/>
      <c r="BF286" s="55"/>
      <c r="BG286" s="10"/>
      <c r="BH286" s="55"/>
      <c r="BI286" s="55"/>
      <c r="BJ286" s="55"/>
      <c r="BK286" s="55"/>
      <c r="BS286" s="141"/>
      <c r="CM286" s="141"/>
      <c r="DC286" s="141"/>
    </row>
    <row r="287" spans="1:107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55"/>
      <c r="R287" s="171"/>
      <c r="S287" s="161"/>
      <c r="T287" s="55"/>
      <c r="U287" s="55"/>
      <c r="V287" s="55"/>
      <c r="W287" s="155"/>
      <c r="X287" s="171"/>
      <c r="Y287" s="165"/>
      <c r="Z287" s="10"/>
      <c r="AA287" s="55"/>
      <c r="AB287" s="55"/>
      <c r="AC287" s="55"/>
      <c r="AD287" s="55"/>
      <c r="AE287" s="55"/>
      <c r="AF287" s="167"/>
      <c r="AG287" s="55"/>
      <c r="AH287" s="55"/>
      <c r="AI287" s="165"/>
      <c r="AJ287" s="55"/>
      <c r="AK287" s="55"/>
      <c r="AL287" s="55"/>
      <c r="AM287" s="55"/>
      <c r="AN287" s="55"/>
      <c r="AO287" s="55"/>
      <c r="AP287" s="55"/>
      <c r="AQ287" s="55"/>
      <c r="AR287" s="165"/>
      <c r="AS287" s="55"/>
      <c r="AT287" s="55"/>
      <c r="AU287" s="55"/>
      <c r="AV287" s="55"/>
      <c r="AW287" s="55"/>
      <c r="AX287" s="55"/>
      <c r="AY287" s="55"/>
      <c r="AZ287" s="55"/>
      <c r="BA287" s="165"/>
      <c r="BB287" s="55"/>
      <c r="BC287" s="55"/>
      <c r="BD287" s="55"/>
      <c r="BE287" s="165"/>
      <c r="BF287" s="55"/>
      <c r="BG287" s="10"/>
      <c r="BH287" s="55"/>
      <c r="BI287" s="55"/>
      <c r="BJ287" s="55"/>
      <c r="BK287" s="55"/>
      <c r="BS287" s="141"/>
      <c r="CM287" s="141"/>
      <c r="DC287" s="141"/>
    </row>
    <row r="288" spans="1:107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55"/>
      <c r="R288" s="171"/>
      <c r="S288" s="161"/>
      <c r="T288" s="55"/>
      <c r="U288" s="55"/>
      <c r="V288" s="55"/>
      <c r="W288" s="155"/>
      <c r="X288" s="171"/>
      <c r="Y288" s="165"/>
      <c r="Z288" s="10"/>
      <c r="AA288" s="55"/>
      <c r="AB288" s="55"/>
      <c r="AC288" s="55"/>
      <c r="AD288" s="55"/>
      <c r="AE288" s="55"/>
      <c r="AF288" s="167"/>
      <c r="AG288" s="55"/>
      <c r="AH288" s="55"/>
      <c r="AI288" s="165"/>
      <c r="AJ288" s="55"/>
      <c r="AK288" s="55"/>
      <c r="AL288" s="55"/>
      <c r="AM288" s="55"/>
      <c r="AN288" s="55"/>
      <c r="AO288" s="55"/>
      <c r="AP288" s="55"/>
      <c r="AQ288" s="55"/>
      <c r="AR288" s="165"/>
      <c r="AS288" s="55"/>
      <c r="AT288" s="55"/>
      <c r="AU288" s="55"/>
      <c r="AV288" s="55"/>
      <c r="AW288" s="55"/>
      <c r="AX288" s="55"/>
      <c r="AY288" s="55"/>
      <c r="AZ288" s="55"/>
      <c r="BA288" s="165"/>
      <c r="BB288" s="55"/>
      <c r="BC288" s="55"/>
      <c r="BD288" s="55"/>
      <c r="BE288" s="165"/>
      <c r="BF288" s="55"/>
      <c r="BG288" s="10"/>
      <c r="BH288" s="55"/>
      <c r="BI288" s="55"/>
      <c r="BJ288" s="55"/>
      <c r="BK288" s="55"/>
      <c r="BS288" s="141"/>
      <c r="CM288" s="141"/>
      <c r="DC288" s="141"/>
    </row>
    <row r="289" spans="1:107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55"/>
      <c r="R289" s="171"/>
      <c r="S289" s="161"/>
      <c r="T289" s="55"/>
      <c r="U289" s="55"/>
      <c r="V289" s="55"/>
      <c r="W289" s="155"/>
      <c r="X289" s="171"/>
      <c r="Y289" s="165"/>
      <c r="Z289" s="10"/>
      <c r="AA289" s="55"/>
      <c r="AB289" s="55"/>
      <c r="AC289" s="55"/>
      <c r="AD289" s="55"/>
      <c r="AE289" s="55"/>
      <c r="AF289" s="167"/>
      <c r="AG289" s="55"/>
      <c r="AH289" s="55"/>
      <c r="AI289" s="165"/>
      <c r="AJ289" s="55"/>
      <c r="AK289" s="55"/>
      <c r="AL289" s="55"/>
      <c r="AM289" s="55"/>
      <c r="AN289" s="55"/>
      <c r="AO289" s="55"/>
      <c r="AP289" s="55"/>
      <c r="AQ289" s="55"/>
      <c r="AR289" s="165"/>
      <c r="AS289" s="55"/>
      <c r="AT289" s="55"/>
      <c r="AU289" s="55"/>
      <c r="AV289" s="55"/>
      <c r="AW289" s="55"/>
      <c r="AX289" s="55"/>
      <c r="AY289" s="55"/>
      <c r="AZ289" s="55"/>
      <c r="BA289" s="165"/>
      <c r="BB289" s="55"/>
      <c r="BC289" s="55"/>
      <c r="BD289" s="55"/>
      <c r="BE289" s="165"/>
      <c r="BF289" s="55"/>
      <c r="BG289" s="10"/>
      <c r="BH289" s="55"/>
      <c r="BI289" s="55"/>
      <c r="BJ289" s="55"/>
      <c r="BK289" s="55"/>
      <c r="BS289" s="141"/>
      <c r="CM289" s="141"/>
      <c r="DC289" s="141"/>
    </row>
    <row r="290" spans="1:107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55"/>
      <c r="R290" s="171"/>
      <c r="S290" s="161"/>
      <c r="T290" s="55"/>
      <c r="U290" s="55"/>
      <c r="V290" s="55"/>
      <c r="W290" s="155"/>
      <c r="X290" s="171"/>
      <c r="Y290" s="165"/>
      <c r="Z290" s="10"/>
      <c r="AA290" s="55"/>
      <c r="AB290" s="55"/>
      <c r="AC290" s="55"/>
      <c r="AD290" s="55"/>
      <c r="AE290" s="55"/>
      <c r="AF290" s="167"/>
      <c r="AG290" s="55"/>
      <c r="AH290" s="55"/>
      <c r="AI290" s="165"/>
      <c r="AJ290" s="55"/>
      <c r="AK290" s="55"/>
      <c r="AL290" s="55"/>
      <c r="AM290" s="55"/>
      <c r="AN290" s="55"/>
      <c r="AO290" s="55"/>
      <c r="AP290" s="55"/>
      <c r="AQ290" s="55"/>
      <c r="AR290" s="165"/>
      <c r="AS290" s="55"/>
      <c r="AT290" s="55"/>
      <c r="AU290" s="55"/>
      <c r="AV290" s="55"/>
      <c r="AW290" s="55"/>
      <c r="AX290" s="55"/>
      <c r="AY290" s="55"/>
      <c r="AZ290" s="55"/>
      <c r="BA290" s="165"/>
      <c r="BB290" s="55"/>
      <c r="BC290" s="55"/>
      <c r="BD290" s="55"/>
      <c r="BE290" s="165"/>
      <c r="BF290" s="55"/>
      <c r="BG290" s="10"/>
      <c r="BH290" s="55"/>
      <c r="BI290" s="55"/>
      <c r="BJ290" s="55"/>
      <c r="BK290" s="55"/>
      <c r="BS290" s="141"/>
      <c r="CM290" s="141"/>
      <c r="DC290" s="141"/>
    </row>
    <row r="291" spans="1:107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55"/>
      <c r="R291" s="171"/>
      <c r="S291" s="161"/>
      <c r="T291" s="55"/>
      <c r="U291" s="55"/>
      <c r="V291" s="55"/>
      <c r="W291" s="155"/>
      <c r="X291" s="171"/>
      <c r="Y291" s="165"/>
      <c r="Z291" s="10"/>
      <c r="AA291" s="55"/>
      <c r="AB291" s="55"/>
      <c r="AC291" s="55"/>
      <c r="AD291" s="55"/>
      <c r="AE291" s="55"/>
      <c r="AF291" s="167"/>
      <c r="AG291" s="55"/>
      <c r="AH291" s="55"/>
      <c r="AI291" s="165"/>
      <c r="AJ291" s="55"/>
      <c r="AK291" s="55"/>
      <c r="AL291" s="55"/>
      <c r="AM291" s="55"/>
      <c r="AN291" s="55"/>
      <c r="AO291" s="55"/>
      <c r="AP291" s="55"/>
      <c r="AQ291" s="55"/>
      <c r="AR291" s="165"/>
      <c r="AS291" s="55"/>
      <c r="AT291" s="55"/>
      <c r="AU291" s="55"/>
      <c r="AV291" s="55"/>
      <c r="AW291" s="55"/>
      <c r="AX291" s="55"/>
      <c r="AY291" s="55"/>
      <c r="AZ291" s="55"/>
      <c r="BA291" s="165"/>
      <c r="BB291" s="55"/>
      <c r="BC291" s="55"/>
      <c r="BD291" s="55"/>
      <c r="BE291" s="165"/>
      <c r="BF291" s="55"/>
      <c r="BG291" s="10"/>
      <c r="BH291" s="55"/>
      <c r="BI291" s="55"/>
      <c r="BJ291" s="55"/>
      <c r="BK291" s="55"/>
      <c r="BS291" s="141"/>
      <c r="CM291" s="141"/>
      <c r="DC291" s="141"/>
    </row>
    <row r="292" spans="1:107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55"/>
      <c r="R292" s="171"/>
      <c r="S292" s="161"/>
      <c r="T292" s="55"/>
      <c r="U292" s="55"/>
      <c r="V292" s="55"/>
      <c r="W292" s="155"/>
      <c r="X292" s="171"/>
      <c r="Y292" s="165"/>
      <c r="Z292" s="10"/>
      <c r="AA292" s="55"/>
      <c r="AB292" s="55"/>
      <c r="AC292" s="55"/>
      <c r="AD292" s="55"/>
      <c r="AE292" s="55"/>
      <c r="AF292" s="167"/>
      <c r="AG292" s="55"/>
      <c r="AH292" s="55"/>
      <c r="AI292" s="165"/>
      <c r="AJ292" s="55"/>
      <c r="AK292" s="55"/>
      <c r="AL292" s="55"/>
      <c r="AM292" s="55"/>
      <c r="AN292" s="55"/>
      <c r="AO292" s="55"/>
      <c r="AP292" s="55"/>
      <c r="AQ292" s="55"/>
      <c r="AR292" s="165"/>
      <c r="AS292" s="55"/>
      <c r="AT292" s="55"/>
      <c r="AU292" s="55"/>
      <c r="AV292" s="55"/>
      <c r="AW292" s="55"/>
      <c r="AX292" s="55"/>
      <c r="AY292" s="55"/>
      <c r="AZ292" s="55"/>
      <c r="BA292" s="165"/>
      <c r="BB292" s="55"/>
      <c r="BC292" s="55"/>
      <c r="BD292" s="55"/>
      <c r="BE292" s="165"/>
      <c r="BF292" s="55"/>
      <c r="BG292" s="10"/>
      <c r="BH292" s="55"/>
      <c r="BI292" s="55"/>
      <c r="BJ292" s="55"/>
      <c r="BK292" s="55"/>
      <c r="BS292" s="141"/>
      <c r="CM292" s="141"/>
      <c r="DC292" s="141"/>
    </row>
    <row r="293" spans="1:107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55"/>
      <c r="R293" s="171"/>
      <c r="S293" s="161"/>
      <c r="T293" s="55"/>
      <c r="U293" s="55"/>
      <c r="V293" s="55"/>
      <c r="W293" s="155"/>
      <c r="X293" s="171"/>
      <c r="Y293" s="165"/>
      <c r="Z293" s="10"/>
      <c r="AA293" s="55"/>
      <c r="AB293" s="55"/>
      <c r="AC293" s="55"/>
      <c r="AD293" s="55"/>
      <c r="AE293" s="55"/>
      <c r="AF293" s="167"/>
      <c r="AG293" s="55"/>
      <c r="AH293" s="55"/>
      <c r="AI293" s="165"/>
      <c r="AJ293" s="55"/>
      <c r="AK293" s="55"/>
      <c r="AL293" s="55"/>
      <c r="AM293" s="55"/>
      <c r="AN293" s="55"/>
      <c r="AO293" s="55"/>
      <c r="AP293" s="55"/>
      <c r="AQ293" s="55"/>
      <c r="AR293" s="165"/>
      <c r="AS293" s="55"/>
      <c r="AT293" s="55"/>
      <c r="AU293" s="55"/>
      <c r="AV293" s="55"/>
      <c r="AW293" s="55"/>
      <c r="AX293" s="55"/>
      <c r="AY293" s="55"/>
      <c r="AZ293" s="55"/>
      <c r="BA293" s="165"/>
      <c r="BB293" s="55"/>
      <c r="BC293" s="55"/>
      <c r="BD293" s="55"/>
      <c r="BE293" s="165"/>
      <c r="BF293" s="55"/>
      <c r="BG293" s="10"/>
      <c r="BH293" s="55"/>
      <c r="BI293" s="55"/>
      <c r="BJ293" s="55"/>
      <c r="BK293" s="55"/>
      <c r="BS293" s="141"/>
      <c r="CM293" s="141"/>
      <c r="DC293" s="141"/>
    </row>
    <row r="294" spans="1:107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55"/>
      <c r="R294" s="171"/>
      <c r="S294" s="161"/>
      <c r="T294" s="55"/>
      <c r="U294" s="55"/>
      <c r="V294" s="55"/>
      <c r="W294" s="155"/>
      <c r="X294" s="171"/>
      <c r="Y294" s="165"/>
      <c r="Z294" s="10"/>
      <c r="AA294" s="55"/>
      <c r="AB294" s="55"/>
      <c r="AC294" s="55"/>
      <c r="AD294" s="55"/>
      <c r="AE294" s="55"/>
      <c r="AF294" s="167"/>
      <c r="AG294" s="55"/>
      <c r="AH294" s="55"/>
      <c r="AI294" s="165"/>
      <c r="AJ294" s="55"/>
      <c r="AK294" s="55"/>
      <c r="AL294" s="55"/>
      <c r="AM294" s="55"/>
      <c r="AN294" s="55"/>
      <c r="AO294" s="55"/>
      <c r="AP294" s="55"/>
      <c r="AQ294" s="55"/>
      <c r="AR294" s="165"/>
      <c r="AS294" s="55"/>
      <c r="AT294" s="55"/>
      <c r="AU294" s="55"/>
      <c r="AV294" s="55"/>
      <c r="AW294" s="55"/>
      <c r="AX294" s="55"/>
      <c r="AY294" s="55"/>
      <c r="AZ294" s="55"/>
      <c r="BA294" s="165"/>
      <c r="BB294" s="55"/>
      <c r="BC294" s="55"/>
      <c r="BD294" s="55"/>
      <c r="BE294" s="165"/>
      <c r="BF294" s="55"/>
      <c r="BG294" s="10"/>
      <c r="BH294" s="55"/>
      <c r="BI294" s="55"/>
      <c r="BJ294" s="55"/>
      <c r="BK294" s="55"/>
      <c r="BS294" s="141"/>
      <c r="CM294" s="141"/>
      <c r="DC294" s="141"/>
    </row>
    <row r="295" spans="1:107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55"/>
      <c r="R295" s="171"/>
      <c r="S295" s="161"/>
      <c r="T295" s="55"/>
      <c r="U295" s="55"/>
      <c r="V295" s="55"/>
      <c r="W295" s="155"/>
      <c r="X295" s="171"/>
      <c r="Y295" s="165"/>
      <c r="Z295" s="10"/>
      <c r="AA295" s="55"/>
      <c r="AB295" s="55"/>
      <c r="AC295" s="55"/>
      <c r="AD295" s="55"/>
      <c r="AE295" s="55"/>
      <c r="AF295" s="167"/>
      <c r="AG295" s="55"/>
      <c r="AH295" s="55"/>
      <c r="AI295" s="165"/>
      <c r="AJ295" s="55"/>
      <c r="AK295" s="55"/>
      <c r="AL295" s="55"/>
      <c r="AM295" s="55"/>
      <c r="AN295" s="55"/>
      <c r="AO295" s="55"/>
      <c r="AP295" s="55"/>
      <c r="AQ295" s="55"/>
      <c r="AR295" s="165"/>
      <c r="AS295" s="55"/>
      <c r="AT295" s="55"/>
      <c r="AU295" s="55"/>
      <c r="AV295" s="55"/>
      <c r="AW295" s="55"/>
      <c r="AX295" s="55"/>
      <c r="AY295" s="55"/>
      <c r="AZ295" s="55"/>
      <c r="BA295" s="165"/>
      <c r="BB295" s="55"/>
      <c r="BC295" s="55"/>
      <c r="BD295" s="55"/>
      <c r="BE295" s="165"/>
      <c r="BF295" s="55"/>
      <c r="BG295" s="10"/>
      <c r="BH295" s="55"/>
      <c r="BI295" s="55"/>
      <c r="BJ295" s="55"/>
      <c r="BK295" s="55"/>
      <c r="BS295" s="141"/>
      <c r="CM295" s="141"/>
      <c r="DC295" s="141"/>
    </row>
    <row r="296" spans="1:107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55"/>
      <c r="R296" s="171"/>
      <c r="S296" s="161"/>
      <c r="T296" s="55"/>
      <c r="U296" s="55"/>
      <c r="V296" s="55"/>
      <c r="W296" s="155"/>
      <c r="X296" s="171"/>
      <c r="Y296" s="165"/>
      <c r="Z296" s="10"/>
      <c r="AA296" s="55"/>
      <c r="AB296" s="55"/>
      <c r="AC296" s="55"/>
      <c r="AD296" s="55"/>
      <c r="AE296" s="55"/>
      <c r="AF296" s="167"/>
      <c r="AG296" s="55"/>
      <c r="AH296" s="55"/>
      <c r="AI296" s="165"/>
      <c r="AJ296" s="55"/>
      <c r="AK296" s="55"/>
      <c r="AL296" s="55"/>
      <c r="AM296" s="55"/>
      <c r="AN296" s="55"/>
      <c r="AO296" s="55"/>
      <c r="AP296" s="55"/>
      <c r="AQ296" s="55"/>
      <c r="AR296" s="165"/>
      <c r="AS296" s="55"/>
      <c r="AT296" s="55"/>
      <c r="AU296" s="55"/>
      <c r="AV296" s="55"/>
      <c r="AW296" s="55"/>
      <c r="AX296" s="55"/>
      <c r="AY296" s="55"/>
      <c r="AZ296" s="55"/>
      <c r="BA296" s="165"/>
      <c r="BB296" s="55"/>
      <c r="BC296" s="55"/>
      <c r="BD296" s="55"/>
      <c r="BE296" s="165"/>
      <c r="BF296" s="55"/>
      <c r="BG296" s="10"/>
      <c r="BH296" s="55"/>
      <c r="BI296" s="55"/>
      <c r="BJ296" s="55"/>
      <c r="BK296" s="55"/>
      <c r="BS296" s="141"/>
      <c r="CM296" s="141"/>
      <c r="DC296" s="141"/>
    </row>
    <row r="297" spans="1:107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55"/>
      <c r="R297" s="171"/>
      <c r="S297" s="161"/>
      <c r="T297" s="55"/>
      <c r="U297" s="55"/>
      <c r="V297" s="55"/>
      <c r="W297" s="155"/>
      <c r="X297" s="171"/>
      <c r="Y297" s="165"/>
      <c r="Z297" s="10"/>
      <c r="AA297" s="55"/>
      <c r="AB297" s="55"/>
      <c r="AC297" s="55"/>
      <c r="AD297" s="55"/>
      <c r="AE297" s="55"/>
      <c r="AF297" s="167"/>
      <c r="AG297" s="55"/>
      <c r="AH297" s="55"/>
      <c r="AI297" s="165"/>
      <c r="AJ297" s="55"/>
      <c r="AK297" s="55"/>
      <c r="AL297" s="55"/>
      <c r="AM297" s="55"/>
      <c r="AN297" s="55"/>
      <c r="AO297" s="55"/>
      <c r="AP297" s="55"/>
      <c r="AQ297" s="55"/>
      <c r="AR297" s="165"/>
      <c r="AS297" s="55"/>
      <c r="AT297" s="55"/>
      <c r="AU297" s="55"/>
      <c r="AV297" s="55"/>
      <c r="AW297" s="55"/>
      <c r="AX297" s="55"/>
      <c r="AY297" s="55"/>
      <c r="AZ297" s="55"/>
      <c r="BA297" s="165"/>
      <c r="BB297" s="55"/>
      <c r="BC297" s="55"/>
      <c r="BD297" s="55"/>
      <c r="BE297" s="165"/>
      <c r="BF297" s="55"/>
      <c r="BG297" s="10"/>
      <c r="BH297" s="55"/>
      <c r="BI297" s="55"/>
      <c r="BJ297" s="55"/>
      <c r="BK297" s="55"/>
      <c r="BS297" s="141"/>
      <c r="CM297" s="141"/>
      <c r="DC297" s="141"/>
    </row>
    <row r="298" spans="1:107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55"/>
      <c r="R298" s="171"/>
      <c r="S298" s="161"/>
      <c r="T298" s="55"/>
      <c r="U298" s="55"/>
      <c r="V298" s="55"/>
      <c r="W298" s="155"/>
      <c r="X298" s="171"/>
      <c r="Y298" s="165"/>
      <c r="Z298" s="10"/>
      <c r="AA298" s="55"/>
      <c r="AB298" s="55"/>
      <c r="AC298" s="55"/>
      <c r="AD298" s="55"/>
      <c r="AE298" s="55"/>
      <c r="AF298" s="167"/>
      <c r="AG298" s="55"/>
      <c r="AH298" s="55"/>
      <c r="AI298" s="165"/>
      <c r="AJ298" s="55"/>
      <c r="AK298" s="55"/>
      <c r="AL298" s="55"/>
      <c r="AM298" s="55"/>
      <c r="AN298" s="55"/>
      <c r="AO298" s="55"/>
      <c r="AP298" s="55"/>
      <c r="AQ298" s="55"/>
      <c r="AR298" s="165"/>
      <c r="AS298" s="55"/>
      <c r="AT298" s="55"/>
      <c r="AU298" s="55"/>
      <c r="AV298" s="55"/>
      <c r="AW298" s="55"/>
      <c r="AX298" s="55"/>
      <c r="AY298" s="55"/>
      <c r="AZ298" s="55"/>
      <c r="BA298" s="165"/>
      <c r="BB298" s="55"/>
      <c r="BC298" s="55"/>
      <c r="BD298" s="55"/>
      <c r="BE298" s="165"/>
      <c r="BF298" s="55"/>
      <c r="BG298" s="10"/>
      <c r="BH298" s="55"/>
      <c r="BI298" s="55"/>
      <c r="BJ298" s="55"/>
      <c r="BK298" s="55"/>
      <c r="BS298" s="141"/>
      <c r="CM298" s="141"/>
      <c r="DC298" s="141"/>
    </row>
    <row r="299" spans="1:107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55"/>
      <c r="R299" s="171"/>
      <c r="S299" s="161"/>
      <c r="T299" s="55"/>
      <c r="U299" s="55"/>
      <c r="V299" s="55"/>
      <c r="W299" s="155"/>
      <c r="X299" s="171"/>
      <c r="Y299" s="165"/>
      <c r="Z299" s="10"/>
      <c r="AA299" s="55"/>
      <c r="AB299" s="55"/>
      <c r="AC299" s="55"/>
      <c r="AD299" s="55"/>
      <c r="AE299" s="55"/>
      <c r="AF299" s="167"/>
      <c r="AG299" s="55"/>
      <c r="AH299" s="55"/>
      <c r="AI299" s="165"/>
      <c r="AJ299" s="55"/>
      <c r="AK299" s="55"/>
      <c r="AL299" s="55"/>
      <c r="AM299" s="55"/>
      <c r="AN299" s="55"/>
      <c r="AO299" s="55"/>
      <c r="AP299" s="55"/>
      <c r="AQ299" s="55"/>
      <c r="AR299" s="165"/>
      <c r="AS299" s="55"/>
      <c r="AT299" s="55"/>
      <c r="AU299" s="55"/>
      <c r="AV299" s="55"/>
      <c r="AW299" s="55"/>
      <c r="AX299" s="55"/>
      <c r="AY299" s="55"/>
      <c r="AZ299" s="55"/>
      <c r="BA299" s="165"/>
      <c r="BB299" s="55"/>
      <c r="BC299" s="55"/>
      <c r="BD299" s="55"/>
      <c r="BE299" s="165"/>
      <c r="BF299" s="55"/>
      <c r="BG299" s="10"/>
      <c r="BH299" s="55"/>
      <c r="BI299" s="55"/>
      <c r="BJ299" s="55"/>
      <c r="BK299" s="55"/>
      <c r="BS299" s="141"/>
      <c r="CM299" s="141"/>
      <c r="DC299" s="141"/>
    </row>
    <row r="300" spans="1:107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55"/>
      <c r="R300" s="171"/>
      <c r="S300" s="161"/>
      <c r="T300" s="55"/>
      <c r="U300" s="55"/>
      <c r="V300" s="55"/>
      <c r="W300" s="155"/>
      <c r="X300" s="171"/>
      <c r="Y300" s="165"/>
      <c r="Z300" s="10"/>
      <c r="AA300" s="55"/>
      <c r="AB300" s="55"/>
      <c r="AC300" s="55"/>
      <c r="AD300" s="55"/>
      <c r="AE300" s="55"/>
      <c r="AF300" s="167"/>
      <c r="AG300" s="55"/>
      <c r="AH300" s="55"/>
      <c r="AI300" s="165"/>
      <c r="AJ300" s="55"/>
      <c r="AK300" s="55"/>
      <c r="AL300" s="55"/>
      <c r="AM300" s="55"/>
      <c r="AN300" s="55"/>
      <c r="AO300" s="55"/>
      <c r="AP300" s="55"/>
      <c r="AQ300" s="55"/>
      <c r="AR300" s="165"/>
      <c r="AS300" s="55"/>
      <c r="AT300" s="55"/>
      <c r="AU300" s="55"/>
      <c r="AV300" s="55"/>
      <c r="AW300" s="55"/>
      <c r="AX300" s="55"/>
      <c r="AY300" s="55"/>
      <c r="AZ300" s="55"/>
      <c r="BA300" s="165"/>
      <c r="BB300" s="55"/>
      <c r="BC300" s="55"/>
      <c r="BD300" s="55"/>
      <c r="BE300" s="165"/>
      <c r="BF300" s="55"/>
      <c r="BG300" s="10"/>
      <c r="BH300" s="55"/>
      <c r="BI300" s="55"/>
      <c r="BJ300" s="55"/>
      <c r="BK300" s="55"/>
      <c r="BS300" s="141"/>
      <c r="CM300" s="141"/>
      <c r="DC300" s="141"/>
    </row>
    <row r="301" spans="1:107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55"/>
      <c r="R301" s="171"/>
      <c r="S301" s="161"/>
      <c r="T301" s="55"/>
      <c r="U301" s="55"/>
      <c r="V301" s="55"/>
      <c r="W301" s="155"/>
      <c r="X301" s="171"/>
      <c r="Y301" s="165"/>
      <c r="Z301" s="10"/>
      <c r="AA301" s="55"/>
      <c r="AB301" s="55"/>
      <c r="AC301" s="55"/>
      <c r="AD301" s="55"/>
      <c r="AE301" s="55"/>
      <c r="AF301" s="167"/>
      <c r="AG301" s="55"/>
      <c r="AH301" s="55"/>
      <c r="AI301" s="165"/>
      <c r="AJ301" s="55"/>
      <c r="AK301" s="55"/>
      <c r="AL301" s="55"/>
      <c r="AM301" s="55"/>
      <c r="AN301" s="55"/>
      <c r="AO301" s="55"/>
      <c r="AP301" s="55"/>
      <c r="AQ301" s="55"/>
      <c r="AR301" s="165"/>
      <c r="AS301" s="55"/>
      <c r="AT301" s="55"/>
      <c r="AU301" s="55"/>
      <c r="AV301" s="55"/>
      <c r="AW301" s="55"/>
      <c r="AX301" s="55"/>
      <c r="AY301" s="55"/>
      <c r="AZ301" s="55"/>
      <c r="BA301" s="165"/>
      <c r="BB301" s="55"/>
      <c r="BC301" s="55"/>
      <c r="BD301" s="55"/>
      <c r="BE301" s="165"/>
      <c r="BF301" s="55"/>
      <c r="BG301" s="10"/>
      <c r="BH301" s="55"/>
      <c r="BI301" s="55"/>
      <c r="BJ301" s="55"/>
      <c r="BK301" s="55"/>
      <c r="BS301" s="141"/>
      <c r="CM301" s="141"/>
      <c r="DC301" s="141"/>
    </row>
    <row r="302" spans="1:107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55"/>
      <c r="R302" s="171"/>
      <c r="S302" s="161"/>
      <c r="T302" s="55"/>
      <c r="U302" s="55"/>
      <c r="V302" s="55"/>
      <c r="W302" s="155"/>
      <c r="X302" s="171"/>
      <c r="Y302" s="165"/>
      <c r="Z302" s="10"/>
      <c r="AA302" s="55"/>
      <c r="AB302" s="55"/>
      <c r="AC302" s="55"/>
      <c r="AD302" s="55"/>
      <c r="AE302" s="55"/>
      <c r="AF302" s="167"/>
      <c r="AG302" s="55"/>
      <c r="AH302" s="55"/>
      <c r="AI302" s="165"/>
      <c r="AJ302" s="55"/>
      <c r="AK302" s="55"/>
      <c r="AL302" s="55"/>
      <c r="AM302" s="55"/>
      <c r="AN302" s="55"/>
      <c r="AO302" s="55"/>
      <c r="AP302" s="55"/>
      <c r="AQ302" s="55"/>
      <c r="AR302" s="165"/>
      <c r="AS302" s="55"/>
      <c r="AT302" s="55"/>
      <c r="AU302" s="55"/>
      <c r="AV302" s="55"/>
      <c r="AW302" s="55"/>
      <c r="AX302" s="55"/>
      <c r="AY302" s="55"/>
      <c r="AZ302" s="55"/>
      <c r="BA302" s="165"/>
      <c r="BB302" s="55"/>
      <c r="BC302" s="55"/>
      <c r="BD302" s="55"/>
      <c r="BE302" s="165"/>
      <c r="BF302" s="55"/>
      <c r="BG302" s="10"/>
      <c r="BH302" s="55"/>
      <c r="BI302" s="55"/>
      <c r="BJ302" s="55"/>
      <c r="BK302" s="55"/>
      <c r="BS302" s="141"/>
      <c r="CM302" s="141"/>
      <c r="DC302" s="141"/>
    </row>
    <row r="303" spans="1:107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55"/>
      <c r="R303" s="171"/>
      <c r="S303" s="161"/>
      <c r="T303" s="55"/>
      <c r="U303" s="55"/>
      <c r="V303" s="55"/>
      <c r="W303" s="155"/>
      <c r="X303" s="171"/>
      <c r="Y303" s="165"/>
      <c r="Z303" s="10"/>
      <c r="AA303" s="55"/>
      <c r="AB303" s="55"/>
      <c r="AC303" s="55"/>
      <c r="AD303" s="55"/>
      <c r="AE303" s="55"/>
      <c r="AF303" s="167"/>
      <c r="AG303" s="55"/>
      <c r="AH303" s="55"/>
      <c r="AI303" s="165"/>
      <c r="AJ303" s="55"/>
      <c r="AK303" s="55"/>
      <c r="AL303" s="55"/>
      <c r="AM303" s="55"/>
      <c r="AN303" s="55"/>
      <c r="AO303" s="55"/>
      <c r="AP303" s="55"/>
      <c r="AQ303" s="55"/>
      <c r="AR303" s="165"/>
      <c r="AS303" s="55"/>
      <c r="AT303" s="55"/>
      <c r="AU303" s="55"/>
      <c r="AV303" s="55"/>
      <c r="AW303" s="55"/>
      <c r="AX303" s="55"/>
      <c r="AY303" s="55"/>
      <c r="AZ303" s="55"/>
      <c r="BA303" s="165"/>
      <c r="BB303" s="55"/>
      <c r="BC303" s="55"/>
      <c r="BD303" s="55"/>
      <c r="BE303" s="165"/>
      <c r="BF303" s="55"/>
      <c r="BG303" s="10"/>
      <c r="BH303" s="55"/>
      <c r="BI303" s="55"/>
      <c r="BJ303" s="55"/>
      <c r="BK303" s="55"/>
      <c r="BS303" s="141"/>
      <c r="CM303" s="141"/>
      <c r="DC303" s="141"/>
    </row>
    <row r="304" spans="1:107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55"/>
      <c r="R304" s="171"/>
      <c r="S304" s="161"/>
      <c r="T304" s="55"/>
      <c r="U304" s="55"/>
      <c r="V304" s="55"/>
      <c r="W304" s="155"/>
      <c r="X304" s="171"/>
      <c r="Y304" s="165"/>
      <c r="Z304" s="10"/>
      <c r="AA304" s="55"/>
      <c r="AB304" s="55"/>
      <c r="AC304" s="55"/>
      <c r="AD304" s="55"/>
      <c r="AE304" s="55"/>
      <c r="AF304" s="167"/>
      <c r="AG304" s="55"/>
      <c r="AH304" s="55"/>
      <c r="AI304" s="165"/>
      <c r="AJ304" s="55"/>
      <c r="AK304" s="55"/>
      <c r="AL304" s="55"/>
      <c r="AM304" s="55"/>
      <c r="AN304" s="55"/>
      <c r="AO304" s="55"/>
      <c r="AP304" s="55"/>
      <c r="AQ304" s="55"/>
      <c r="AR304" s="165"/>
      <c r="AS304" s="55"/>
      <c r="AT304" s="55"/>
      <c r="AU304" s="55"/>
      <c r="AV304" s="55"/>
      <c r="AW304" s="55"/>
      <c r="AX304" s="55"/>
      <c r="AY304" s="55"/>
      <c r="AZ304" s="55"/>
      <c r="BA304" s="165"/>
      <c r="BB304" s="55"/>
      <c r="BC304" s="55"/>
      <c r="BD304" s="55"/>
      <c r="BE304" s="165"/>
      <c r="BF304" s="55"/>
      <c r="BG304" s="10"/>
      <c r="BH304" s="55"/>
      <c r="BI304" s="55"/>
      <c r="BJ304" s="55"/>
      <c r="BK304" s="55"/>
      <c r="BS304" s="141"/>
      <c r="CM304" s="141"/>
      <c r="DC304" s="141"/>
    </row>
    <row r="305" spans="1:107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55"/>
      <c r="R305" s="171"/>
      <c r="S305" s="161"/>
      <c r="T305" s="55"/>
      <c r="U305" s="55"/>
      <c r="V305" s="55"/>
      <c r="W305" s="155"/>
      <c r="X305" s="171"/>
      <c r="Y305" s="165"/>
      <c r="Z305" s="10"/>
      <c r="AA305" s="55"/>
      <c r="AB305" s="55"/>
      <c r="AC305" s="55"/>
      <c r="AD305" s="55"/>
      <c r="AE305" s="55"/>
      <c r="AF305" s="167"/>
      <c r="AG305" s="55"/>
      <c r="AH305" s="55"/>
      <c r="AI305" s="165"/>
      <c r="AJ305" s="55"/>
      <c r="AK305" s="55"/>
      <c r="AL305" s="55"/>
      <c r="AM305" s="55"/>
      <c r="AN305" s="55"/>
      <c r="AO305" s="55"/>
      <c r="AP305" s="55"/>
      <c r="AQ305" s="55"/>
      <c r="AR305" s="165"/>
      <c r="AS305" s="55"/>
      <c r="AT305" s="55"/>
      <c r="AU305" s="55"/>
      <c r="AV305" s="55"/>
      <c r="AW305" s="55"/>
      <c r="AX305" s="55"/>
      <c r="AY305" s="55"/>
      <c r="AZ305" s="55"/>
      <c r="BA305" s="165"/>
      <c r="BB305" s="55"/>
      <c r="BC305" s="55"/>
      <c r="BD305" s="55"/>
      <c r="BE305" s="165"/>
      <c r="BF305" s="55"/>
      <c r="BG305" s="10"/>
      <c r="BH305" s="55"/>
      <c r="BI305" s="55"/>
      <c r="BJ305" s="55"/>
      <c r="BK305" s="55"/>
      <c r="BS305" s="141"/>
      <c r="CM305" s="141"/>
      <c r="DC305" s="141"/>
    </row>
    <row r="306" spans="1:107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55"/>
      <c r="R306" s="171"/>
      <c r="S306" s="161"/>
      <c r="T306" s="55"/>
      <c r="U306" s="55"/>
      <c r="V306" s="55"/>
      <c r="W306" s="155"/>
      <c r="X306" s="171"/>
      <c r="Y306" s="165"/>
      <c r="Z306" s="10"/>
      <c r="AA306" s="55"/>
      <c r="AB306" s="55"/>
      <c r="AC306" s="55"/>
      <c r="AD306" s="55"/>
      <c r="AE306" s="55"/>
      <c r="AF306" s="167"/>
      <c r="AG306" s="55"/>
      <c r="AH306" s="55"/>
      <c r="AI306" s="165"/>
      <c r="AJ306" s="55"/>
      <c r="AK306" s="55"/>
      <c r="AL306" s="55"/>
      <c r="AM306" s="55"/>
      <c r="AN306" s="55"/>
      <c r="AO306" s="55"/>
      <c r="AP306" s="55"/>
      <c r="AQ306" s="55"/>
      <c r="AR306" s="165"/>
      <c r="AS306" s="55"/>
      <c r="AT306" s="55"/>
      <c r="AU306" s="55"/>
      <c r="AV306" s="55"/>
      <c r="AW306" s="55"/>
      <c r="AX306" s="55"/>
      <c r="AY306" s="55"/>
      <c r="AZ306" s="55"/>
      <c r="BA306" s="165"/>
      <c r="BB306" s="55"/>
      <c r="BC306" s="55"/>
      <c r="BD306" s="55"/>
      <c r="BE306" s="165"/>
      <c r="BF306" s="55"/>
      <c r="BG306" s="10"/>
      <c r="BH306" s="55"/>
      <c r="BI306" s="55"/>
      <c r="BJ306" s="55"/>
      <c r="BK306" s="55"/>
      <c r="BS306" s="141"/>
      <c r="CM306" s="141"/>
      <c r="DC306" s="141"/>
    </row>
    <row r="307" spans="1:107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55"/>
      <c r="R307" s="171"/>
      <c r="S307" s="161"/>
      <c r="T307" s="55"/>
      <c r="U307" s="55"/>
      <c r="V307" s="55"/>
      <c r="W307" s="155"/>
      <c r="X307" s="171"/>
      <c r="Y307" s="165"/>
      <c r="Z307" s="10"/>
      <c r="AA307" s="55"/>
      <c r="AB307" s="55"/>
      <c r="AC307" s="55"/>
      <c r="AD307" s="55"/>
      <c r="AE307" s="55"/>
      <c r="AF307" s="167"/>
      <c r="AG307" s="55"/>
      <c r="AH307" s="55"/>
      <c r="AI307" s="165"/>
      <c r="AJ307" s="55"/>
      <c r="AK307" s="55"/>
      <c r="AL307" s="55"/>
      <c r="AM307" s="55"/>
      <c r="AN307" s="55"/>
      <c r="AO307" s="55"/>
      <c r="AP307" s="55"/>
      <c r="AQ307" s="55"/>
      <c r="AR307" s="165"/>
      <c r="AS307" s="55"/>
      <c r="AT307" s="55"/>
      <c r="AU307" s="55"/>
      <c r="AV307" s="55"/>
      <c r="AW307" s="55"/>
      <c r="AX307" s="55"/>
      <c r="AY307" s="55"/>
      <c r="AZ307" s="55"/>
      <c r="BA307" s="165"/>
      <c r="BB307" s="55"/>
      <c r="BC307" s="55"/>
      <c r="BD307" s="55"/>
      <c r="BE307" s="165"/>
      <c r="BF307" s="55"/>
      <c r="BG307" s="10"/>
      <c r="BH307" s="55"/>
      <c r="BI307" s="55"/>
      <c r="BJ307" s="55"/>
      <c r="BK307" s="55"/>
      <c r="BS307" s="141"/>
      <c r="CM307" s="141"/>
      <c r="DC307" s="141"/>
    </row>
    <row r="308" spans="1:107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55"/>
      <c r="R308" s="171"/>
      <c r="S308" s="161"/>
      <c r="T308" s="55"/>
      <c r="U308" s="55"/>
      <c r="V308" s="55"/>
      <c r="W308" s="155"/>
      <c r="X308" s="171"/>
      <c r="Y308" s="165"/>
      <c r="Z308" s="10"/>
      <c r="AA308" s="55"/>
      <c r="AB308" s="55"/>
      <c r="AC308" s="55"/>
      <c r="AD308" s="55"/>
      <c r="AE308" s="55"/>
      <c r="AF308" s="167"/>
      <c r="AG308" s="55"/>
      <c r="AH308" s="55"/>
      <c r="AI308" s="165"/>
      <c r="AJ308" s="55"/>
      <c r="AK308" s="55"/>
      <c r="AL308" s="55"/>
      <c r="AM308" s="55"/>
      <c r="AN308" s="55"/>
      <c r="AO308" s="55"/>
      <c r="AP308" s="55"/>
      <c r="AQ308" s="55"/>
      <c r="AR308" s="165"/>
      <c r="AS308" s="55"/>
      <c r="AT308" s="55"/>
      <c r="AU308" s="55"/>
      <c r="AV308" s="55"/>
      <c r="AW308" s="55"/>
      <c r="AX308" s="55"/>
      <c r="AY308" s="55"/>
      <c r="AZ308" s="55"/>
      <c r="BA308" s="165"/>
      <c r="BB308" s="55"/>
      <c r="BC308" s="55"/>
      <c r="BD308" s="55"/>
      <c r="BE308" s="165"/>
      <c r="BF308" s="55"/>
      <c r="BG308" s="10"/>
      <c r="BH308" s="55"/>
      <c r="BI308" s="55"/>
      <c r="BJ308" s="55"/>
      <c r="BK308" s="55"/>
      <c r="BS308" s="141"/>
      <c r="CM308" s="141"/>
      <c r="DC308" s="141"/>
    </row>
    <row r="309" spans="1:107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55"/>
      <c r="R309" s="171"/>
      <c r="S309" s="161"/>
      <c r="T309" s="55"/>
      <c r="U309" s="55"/>
      <c r="V309" s="55"/>
      <c r="W309" s="155"/>
      <c r="X309" s="171"/>
      <c r="Y309" s="165"/>
      <c r="Z309" s="10"/>
      <c r="AA309" s="55"/>
      <c r="AB309" s="55"/>
      <c r="AC309" s="55"/>
      <c r="AD309" s="55"/>
      <c r="AE309" s="55"/>
      <c r="AF309" s="167"/>
      <c r="AG309" s="55"/>
      <c r="AH309" s="55"/>
      <c r="AI309" s="165"/>
      <c r="AJ309" s="55"/>
      <c r="AK309" s="55"/>
      <c r="AL309" s="55"/>
      <c r="AM309" s="55"/>
      <c r="AN309" s="55"/>
      <c r="AO309" s="55"/>
      <c r="AP309" s="55"/>
      <c r="AQ309" s="55"/>
      <c r="AR309" s="165"/>
      <c r="AS309" s="55"/>
      <c r="AT309" s="55"/>
      <c r="AU309" s="55"/>
      <c r="AV309" s="55"/>
      <c r="AW309" s="55"/>
      <c r="AX309" s="55"/>
      <c r="AY309" s="55"/>
      <c r="AZ309" s="55"/>
      <c r="BA309" s="165"/>
      <c r="BB309" s="55"/>
      <c r="BC309" s="55"/>
      <c r="BD309" s="55"/>
      <c r="BE309" s="165"/>
      <c r="BF309" s="55"/>
      <c r="BG309" s="10"/>
      <c r="BH309" s="55"/>
      <c r="BI309" s="55"/>
      <c r="BJ309" s="55"/>
      <c r="BK309" s="55"/>
      <c r="BS309" s="141"/>
      <c r="CM309" s="141"/>
      <c r="DC309" s="141"/>
    </row>
    <row r="310" spans="1:107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55"/>
      <c r="R310" s="171"/>
      <c r="S310" s="161"/>
      <c r="T310" s="55"/>
      <c r="U310" s="55"/>
      <c r="V310" s="55"/>
      <c r="W310" s="155"/>
      <c r="X310" s="171"/>
      <c r="Y310" s="165"/>
      <c r="Z310" s="10"/>
      <c r="AA310" s="55"/>
      <c r="AB310" s="55"/>
      <c r="AC310" s="55"/>
      <c r="AD310" s="55"/>
      <c r="AE310" s="55"/>
      <c r="AF310" s="167"/>
      <c r="AG310" s="55"/>
      <c r="AH310" s="55"/>
      <c r="AI310" s="165"/>
      <c r="AJ310" s="55"/>
      <c r="AK310" s="55"/>
      <c r="AL310" s="55"/>
      <c r="AM310" s="55"/>
      <c r="AN310" s="55"/>
      <c r="AO310" s="55"/>
      <c r="AP310" s="55"/>
      <c r="AQ310" s="55"/>
      <c r="AR310" s="165"/>
      <c r="AS310" s="55"/>
      <c r="AT310" s="55"/>
      <c r="AU310" s="55"/>
      <c r="AV310" s="55"/>
      <c r="AW310" s="55"/>
      <c r="AX310" s="55"/>
      <c r="AY310" s="55"/>
      <c r="AZ310" s="55"/>
      <c r="BA310" s="165"/>
      <c r="BB310" s="55"/>
      <c r="BC310" s="55"/>
      <c r="BD310" s="55"/>
      <c r="BE310" s="165"/>
      <c r="BF310" s="55"/>
      <c r="BG310" s="10"/>
      <c r="BH310" s="55"/>
      <c r="BI310" s="55"/>
      <c r="BJ310" s="55"/>
      <c r="BK310" s="55"/>
      <c r="BS310" s="141"/>
      <c r="CM310" s="141"/>
      <c r="DC310" s="141"/>
    </row>
    <row r="311" spans="1:107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55"/>
      <c r="R311" s="171"/>
      <c r="S311" s="161"/>
      <c r="T311" s="55"/>
      <c r="U311" s="55"/>
      <c r="V311" s="55"/>
      <c r="W311" s="155"/>
      <c r="X311" s="171"/>
      <c r="Y311" s="165"/>
      <c r="Z311" s="10"/>
      <c r="AA311" s="55"/>
      <c r="AB311" s="55"/>
      <c r="AC311" s="55"/>
      <c r="AD311" s="55"/>
      <c r="AE311" s="55"/>
      <c r="AF311" s="167"/>
      <c r="AG311" s="55"/>
      <c r="AH311" s="55"/>
      <c r="AI311" s="165"/>
      <c r="AJ311" s="55"/>
      <c r="AK311" s="55"/>
      <c r="AL311" s="55"/>
      <c r="AM311" s="55"/>
      <c r="AN311" s="55"/>
      <c r="AO311" s="55"/>
      <c r="AP311" s="55"/>
      <c r="AQ311" s="55"/>
      <c r="AR311" s="165"/>
      <c r="AS311" s="55"/>
      <c r="AT311" s="55"/>
      <c r="AU311" s="55"/>
      <c r="AV311" s="55"/>
      <c r="AW311" s="55"/>
      <c r="AX311" s="55"/>
      <c r="AY311" s="55"/>
      <c r="AZ311" s="55"/>
      <c r="BA311" s="165"/>
      <c r="BB311" s="55"/>
      <c r="BC311" s="55"/>
      <c r="BD311" s="55"/>
      <c r="BE311" s="165"/>
      <c r="BF311" s="55"/>
      <c r="BG311" s="10"/>
      <c r="BH311" s="55"/>
      <c r="BI311" s="55"/>
      <c r="BJ311" s="55"/>
      <c r="BK311" s="55"/>
      <c r="BS311" s="141"/>
      <c r="CM311" s="141"/>
      <c r="DC311" s="141"/>
    </row>
    <row r="312" spans="1:107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55"/>
      <c r="R312" s="171"/>
      <c r="S312" s="161"/>
      <c r="T312" s="55"/>
      <c r="U312" s="55"/>
      <c r="V312" s="55"/>
      <c r="W312" s="155"/>
      <c r="X312" s="171"/>
      <c r="Y312" s="165"/>
      <c r="Z312" s="10"/>
      <c r="AA312" s="55"/>
      <c r="AB312" s="55"/>
      <c r="AC312" s="55"/>
      <c r="AD312" s="55"/>
      <c r="AE312" s="55"/>
      <c r="AF312" s="167"/>
      <c r="AG312" s="55"/>
      <c r="AH312" s="55"/>
      <c r="AI312" s="165"/>
      <c r="AJ312" s="55"/>
      <c r="AK312" s="55"/>
      <c r="AL312" s="55"/>
      <c r="AM312" s="55"/>
      <c r="AN312" s="55"/>
      <c r="AO312" s="55"/>
      <c r="AP312" s="55"/>
      <c r="AQ312" s="55"/>
      <c r="AR312" s="165"/>
      <c r="AS312" s="55"/>
      <c r="AT312" s="55"/>
      <c r="AU312" s="55"/>
      <c r="AV312" s="55"/>
      <c r="AW312" s="55"/>
      <c r="AX312" s="55"/>
      <c r="AY312" s="55"/>
      <c r="AZ312" s="55"/>
      <c r="BA312" s="165"/>
      <c r="BB312" s="55"/>
      <c r="BC312" s="55"/>
      <c r="BD312" s="55"/>
      <c r="BE312" s="165"/>
      <c r="BF312" s="55"/>
      <c r="BG312" s="10"/>
      <c r="BH312" s="55"/>
      <c r="BI312" s="55"/>
      <c r="BJ312" s="55"/>
      <c r="BK312" s="55"/>
      <c r="BS312" s="141"/>
      <c r="CM312" s="141"/>
      <c r="DC312" s="141"/>
    </row>
    <row r="313" spans="1:107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55"/>
      <c r="R313" s="171"/>
      <c r="S313" s="161"/>
      <c r="T313" s="55"/>
      <c r="U313" s="55"/>
      <c r="V313" s="55"/>
      <c r="W313" s="155"/>
      <c r="X313" s="171"/>
      <c r="Y313" s="165"/>
      <c r="Z313" s="10"/>
      <c r="AA313" s="55"/>
      <c r="AB313" s="55"/>
      <c r="AC313" s="55"/>
      <c r="AD313" s="55"/>
      <c r="AE313" s="55"/>
      <c r="AF313" s="167"/>
      <c r="AG313" s="55"/>
      <c r="AH313" s="55"/>
      <c r="AI313" s="165"/>
      <c r="AJ313" s="55"/>
      <c r="AK313" s="55"/>
      <c r="AL313" s="55"/>
      <c r="AM313" s="55"/>
      <c r="AN313" s="55"/>
      <c r="AO313" s="55"/>
      <c r="AP313" s="55"/>
      <c r="AQ313" s="55"/>
      <c r="AR313" s="165"/>
      <c r="AS313" s="55"/>
      <c r="AT313" s="55"/>
      <c r="AU313" s="55"/>
      <c r="AV313" s="55"/>
      <c r="AW313" s="55"/>
      <c r="AX313" s="55"/>
      <c r="AY313" s="55"/>
      <c r="AZ313" s="55"/>
      <c r="BA313" s="165"/>
      <c r="BB313" s="55"/>
      <c r="BC313" s="55"/>
      <c r="BD313" s="55"/>
      <c r="BE313" s="165"/>
      <c r="BF313" s="55"/>
      <c r="BG313" s="10"/>
      <c r="BH313" s="55"/>
      <c r="BI313" s="55"/>
      <c r="BJ313" s="55"/>
      <c r="BK313" s="55"/>
      <c r="BS313" s="141"/>
      <c r="CM313" s="141"/>
      <c r="DC313" s="141"/>
    </row>
    <row r="314" spans="1:107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55"/>
      <c r="R314" s="171"/>
      <c r="S314" s="161"/>
      <c r="T314" s="55"/>
      <c r="U314" s="55"/>
      <c r="V314" s="55"/>
      <c r="W314" s="155"/>
      <c r="X314" s="171"/>
      <c r="Y314" s="165"/>
      <c r="Z314" s="10"/>
      <c r="AA314" s="55"/>
      <c r="AB314" s="55"/>
      <c r="AC314" s="55"/>
      <c r="AD314" s="55"/>
      <c r="AE314" s="55"/>
      <c r="AF314" s="167"/>
      <c r="AG314" s="55"/>
      <c r="AH314" s="55"/>
      <c r="AI314" s="165"/>
      <c r="AJ314" s="55"/>
      <c r="AK314" s="55"/>
      <c r="AL314" s="55"/>
      <c r="AM314" s="55"/>
      <c r="AN314" s="55"/>
      <c r="AO314" s="55"/>
      <c r="AP314" s="55"/>
      <c r="AQ314" s="55"/>
      <c r="AR314" s="165"/>
      <c r="AS314" s="55"/>
      <c r="AT314" s="55"/>
      <c r="AU314" s="55"/>
      <c r="AV314" s="55"/>
      <c r="AW314" s="55"/>
      <c r="AX314" s="55"/>
      <c r="AY314" s="55"/>
      <c r="AZ314" s="55"/>
      <c r="BA314" s="165"/>
      <c r="BB314" s="55"/>
      <c r="BC314" s="55"/>
      <c r="BD314" s="55"/>
      <c r="BE314" s="165"/>
      <c r="BF314" s="55"/>
      <c r="BG314" s="10"/>
      <c r="BH314" s="55"/>
      <c r="BI314" s="55"/>
      <c r="BJ314" s="55"/>
      <c r="BK314" s="55"/>
      <c r="BS314" s="141"/>
      <c r="CM314" s="141"/>
      <c r="DC314" s="141"/>
    </row>
    <row r="315" spans="1:107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55"/>
      <c r="R315" s="171"/>
      <c r="S315" s="161"/>
      <c r="T315" s="55"/>
      <c r="U315" s="55"/>
      <c r="V315" s="55"/>
      <c r="W315" s="155"/>
      <c r="X315" s="171"/>
      <c r="Y315" s="165"/>
      <c r="Z315" s="10"/>
      <c r="AA315" s="55"/>
      <c r="AB315" s="55"/>
      <c r="AC315" s="55"/>
      <c r="AD315" s="55"/>
      <c r="AE315" s="55"/>
      <c r="AF315" s="167"/>
      <c r="AG315" s="55"/>
      <c r="AH315" s="55"/>
      <c r="AI315" s="165"/>
      <c r="AJ315" s="55"/>
      <c r="AK315" s="55"/>
      <c r="AL315" s="55"/>
      <c r="AM315" s="55"/>
      <c r="AN315" s="55"/>
      <c r="AO315" s="55"/>
      <c r="AP315" s="55"/>
      <c r="AQ315" s="55"/>
      <c r="AR315" s="165"/>
      <c r="AS315" s="55"/>
      <c r="AT315" s="55"/>
      <c r="AU315" s="55"/>
      <c r="AV315" s="55"/>
      <c r="AW315" s="55"/>
      <c r="AX315" s="55"/>
      <c r="AY315" s="55"/>
      <c r="AZ315" s="55"/>
      <c r="BA315" s="165"/>
      <c r="BB315" s="55"/>
      <c r="BC315" s="55"/>
      <c r="BD315" s="55"/>
      <c r="BE315" s="165"/>
      <c r="BF315" s="55"/>
      <c r="BG315" s="10"/>
      <c r="BH315" s="55"/>
      <c r="BI315" s="55"/>
      <c r="BJ315" s="55"/>
      <c r="BK315" s="55"/>
      <c r="BS315" s="141"/>
      <c r="CM315" s="141"/>
      <c r="DC315" s="141"/>
    </row>
    <row r="316" spans="1:107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55"/>
      <c r="R316" s="171"/>
      <c r="S316" s="161"/>
      <c r="T316" s="55"/>
      <c r="U316" s="55"/>
      <c r="V316" s="55"/>
      <c r="W316" s="155"/>
      <c r="X316" s="171"/>
      <c r="Y316" s="165"/>
      <c r="Z316" s="10"/>
      <c r="AA316" s="55"/>
      <c r="AB316" s="55"/>
      <c r="AC316" s="55"/>
      <c r="AD316" s="55"/>
      <c r="AE316" s="55"/>
      <c r="AF316" s="167"/>
      <c r="AG316" s="55"/>
      <c r="AH316" s="55"/>
      <c r="AI316" s="165"/>
      <c r="AJ316" s="55"/>
      <c r="AK316" s="55"/>
      <c r="AL316" s="55"/>
      <c r="AM316" s="55"/>
      <c r="AN316" s="55"/>
      <c r="AO316" s="55"/>
      <c r="AP316" s="55"/>
      <c r="AQ316" s="55"/>
      <c r="AR316" s="165"/>
      <c r="AS316" s="55"/>
      <c r="AT316" s="55"/>
      <c r="AU316" s="55"/>
      <c r="AV316" s="55"/>
      <c r="AW316" s="55"/>
      <c r="AX316" s="55"/>
      <c r="AY316" s="55"/>
      <c r="AZ316" s="55"/>
      <c r="BA316" s="165"/>
      <c r="BB316" s="55"/>
      <c r="BC316" s="55"/>
      <c r="BD316" s="55"/>
      <c r="BE316" s="165"/>
      <c r="BF316" s="55"/>
      <c r="BG316" s="10"/>
      <c r="BH316" s="55"/>
      <c r="BI316" s="55"/>
      <c r="BJ316" s="55"/>
      <c r="BK316" s="55"/>
      <c r="BS316" s="141"/>
      <c r="CM316" s="141"/>
      <c r="DC316" s="141"/>
    </row>
    <row r="317" spans="1:107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55"/>
      <c r="R317" s="171"/>
      <c r="S317" s="161"/>
      <c r="T317" s="55"/>
      <c r="U317" s="55"/>
      <c r="V317" s="55"/>
      <c r="W317" s="155"/>
      <c r="X317" s="171"/>
      <c r="Y317" s="165"/>
      <c r="Z317" s="10"/>
      <c r="AA317" s="55"/>
      <c r="AB317" s="55"/>
      <c r="AC317" s="55"/>
      <c r="AD317" s="55"/>
      <c r="AE317" s="55"/>
      <c r="AF317" s="167"/>
      <c r="AG317" s="55"/>
      <c r="AH317" s="55"/>
      <c r="AI317" s="165"/>
      <c r="AJ317" s="55"/>
      <c r="AK317" s="55"/>
      <c r="AL317" s="55"/>
      <c r="AM317" s="55"/>
      <c r="AN317" s="55"/>
      <c r="AO317" s="55"/>
      <c r="AP317" s="55"/>
      <c r="AQ317" s="55"/>
      <c r="AR317" s="165"/>
      <c r="AS317" s="55"/>
      <c r="AT317" s="55"/>
      <c r="AU317" s="55"/>
      <c r="AV317" s="55"/>
      <c r="AW317" s="55"/>
      <c r="AX317" s="55"/>
      <c r="AY317" s="55"/>
      <c r="AZ317" s="55"/>
      <c r="BA317" s="165"/>
      <c r="BB317" s="55"/>
      <c r="BC317" s="55"/>
      <c r="BD317" s="55"/>
      <c r="BE317" s="165"/>
      <c r="BF317" s="55"/>
      <c r="BG317" s="10"/>
      <c r="BH317" s="55"/>
      <c r="BI317" s="55"/>
      <c r="BJ317" s="55"/>
      <c r="BK317" s="55"/>
      <c r="BS317" s="141"/>
      <c r="CM317" s="141"/>
      <c r="DC317" s="141"/>
    </row>
    <row r="318" spans="1:107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55"/>
      <c r="R318" s="171"/>
      <c r="S318" s="161"/>
      <c r="T318" s="55"/>
      <c r="U318" s="55"/>
      <c r="V318" s="55"/>
      <c r="W318" s="155"/>
      <c r="X318" s="171"/>
      <c r="Y318" s="165"/>
      <c r="Z318" s="10"/>
      <c r="AA318" s="55"/>
      <c r="AB318" s="55"/>
      <c r="AC318" s="55"/>
      <c r="AD318" s="55"/>
      <c r="AE318" s="55"/>
      <c r="AF318" s="167"/>
      <c r="AG318" s="55"/>
      <c r="AH318" s="55"/>
      <c r="AI318" s="165"/>
      <c r="AJ318" s="55"/>
      <c r="AK318" s="55"/>
      <c r="AL318" s="55"/>
      <c r="AM318" s="55"/>
      <c r="AN318" s="55"/>
      <c r="AO318" s="55"/>
      <c r="AP318" s="55"/>
      <c r="AQ318" s="55"/>
      <c r="AR318" s="165"/>
      <c r="AS318" s="55"/>
      <c r="AT318" s="55"/>
      <c r="AU318" s="55"/>
      <c r="AV318" s="55"/>
      <c r="AW318" s="55"/>
      <c r="AX318" s="55"/>
      <c r="AY318" s="55"/>
      <c r="AZ318" s="55"/>
      <c r="BA318" s="165"/>
      <c r="BB318" s="55"/>
      <c r="BC318" s="55"/>
      <c r="BD318" s="55"/>
      <c r="BE318" s="165"/>
      <c r="BF318" s="55"/>
      <c r="BG318" s="10"/>
      <c r="BH318" s="55"/>
      <c r="BI318" s="55"/>
      <c r="BJ318" s="55"/>
      <c r="BK318" s="55"/>
      <c r="BS318" s="141"/>
      <c r="CM318" s="141"/>
      <c r="DC318" s="141"/>
    </row>
    <row r="319" spans="1:107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55"/>
      <c r="R319" s="171"/>
      <c r="S319" s="161"/>
      <c r="T319" s="55"/>
      <c r="U319" s="55"/>
      <c r="V319" s="55"/>
      <c r="W319" s="155"/>
      <c r="X319" s="171"/>
      <c r="Y319" s="165"/>
      <c r="Z319" s="10"/>
      <c r="AA319" s="55"/>
      <c r="AB319" s="55"/>
      <c r="AC319" s="55"/>
      <c r="AD319" s="55"/>
      <c r="AE319" s="55"/>
      <c r="AF319" s="167"/>
      <c r="AG319" s="55"/>
      <c r="AH319" s="55"/>
      <c r="AI319" s="165"/>
      <c r="AJ319" s="55"/>
      <c r="AK319" s="55"/>
      <c r="AL319" s="55"/>
      <c r="AM319" s="55"/>
      <c r="AN319" s="55"/>
      <c r="AO319" s="55"/>
      <c r="AP319" s="55"/>
      <c r="AQ319" s="55"/>
      <c r="AR319" s="165"/>
      <c r="AS319" s="55"/>
      <c r="AT319" s="55"/>
      <c r="AU319" s="55"/>
      <c r="AV319" s="55"/>
      <c r="AW319" s="55"/>
      <c r="AX319" s="55"/>
      <c r="AY319" s="55"/>
      <c r="AZ319" s="55"/>
      <c r="BA319" s="165"/>
      <c r="BB319" s="55"/>
      <c r="BC319" s="55"/>
      <c r="BD319" s="55"/>
      <c r="BE319" s="165"/>
      <c r="BF319" s="55"/>
      <c r="BG319" s="10"/>
      <c r="BH319" s="55"/>
      <c r="BI319" s="55"/>
      <c r="BJ319" s="55"/>
      <c r="BK319" s="55"/>
      <c r="BS319" s="141"/>
      <c r="CM319" s="141"/>
      <c r="DC319" s="141"/>
    </row>
    <row r="320" spans="1:107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55"/>
      <c r="R320" s="171"/>
      <c r="S320" s="161"/>
      <c r="T320" s="55"/>
      <c r="U320" s="55"/>
      <c r="V320" s="55"/>
      <c r="W320" s="155"/>
      <c r="X320" s="171"/>
      <c r="Y320" s="165"/>
      <c r="Z320" s="10"/>
      <c r="AA320" s="55"/>
      <c r="AB320" s="55"/>
      <c r="AC320" s="55"/>
      <c r="AD320" s="55"/>
      <c r="AE320" s="55"/>
      <c r="AF320" s="167"/>
      <c r="AG320" s="55"/>
      <c r="AH320" s="55"/>
      <c r="AI320" s="165"/>
      <c r="AJ320" s="55"/>
      <c r="AK320" s="55"/>
      <c r="AL320" s="55"/>
      <c r="AM320" s="55"/>
      <c r="AN320" s="55"/>
      <c r="AO320" s="55"/>
      <c r="AP320" s="55"/>
      <c r="AQ320" s="55"/>
      <c r="AR320" s="165"/>
      <c r="AS320" s="55"/>
      <c r="AT320" s="55"/>
      <c r="AU320" s="55"/>
      <c r="AV320" s="55"/>
      <c r="AW320" s="55"/>
      <c r="AX320" s="55"/>
      <c r="AY320" s="55"/>
      <c r="AZ320" s="55"/>
      <c r="BA320" s="165"/>
      <c r="BB320" s="55"/>
      <c r="BC320" s="55"/>
      <c r="BD320" s="55"/>
      <c r="BE320" s="165"/>
      <c r="BF320" s="55"/>
      <c r="BG320" s="10"/>
      <c r="BH320" s="55"/>
      <c r="BI320" s="55"/>
      <c r="BJ320" s="55"/>
      <c r="BK320" s="55"/>
      <c r="BS320" s="141"/>
      <c r="CM320" s="141"/>
      <c r="DC320" s="141"/>
    </row>
    <row r="321" spans="1:107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55"/>
      <c r="R321" s="171"/>
      <c r="S321" s="161"/>
      <c r="T321" s="55"/>
      <c r="U321" s="55"/>
      <c r="V321" s="55"/>
      <c r="W321" s="155"/>
      <c r="X321" s="171"/>
      <c r="Y321" s="165"/>
      <c r="Z321" s="10"/>
      <c r="AA321" s="55"/>
      <c r="AB321" s="55"/>
      <c r="AC321" s="55"/>
      <c r="AD321" s="55"/>
      <c r="AE321" s="55"/>
      <c r="AF321" s="167"/>
      <c r="AG321" s="55"/>
      <c r="AH321" s="55"/>
      <c r="AI321" s="165"/>
      <c r="AJ321" s="55"/>
      <c r="AK321" s="55"/>
      <c r="AL321" s="55"/>
      <c r="AM321" s="55"/>
      <c r="AN321" s="55"/>
      <c r="AO321" s="55"/>
      <c r="AP321" s="55"/>
      <c r="AQ321" s="55"/>
      <c r="AR321" s="165"/>
      <c r="AS321" s="55"/>
      <c r="AT321" s="55"/>
      <c r="AU321" s="55"/>
      <c r="AV321" s="55"/>
      <c r="AW321" s="55"/>
      <c r="AX321" s="55"/>
      <c r="AY321" s="55"/>
      <c r="AZ321" s="55"/>
      <c r="BA321" s="165"/>
      <c r="BB321" s="55"/>
      <c r="BC321" s="55"/>
      <c r="BD321" s="55"/>
      <c r="BE321" s="165"/>
      <c r="BF321" s="55"/>
      <c r="BG321" s="10"/>
      <c r="BH321" s="55"/>
      <c r="BI321" s="55"/>
      <c r="BJ321" s="55"/>
      <c r="BK321" s="55"/>
      <c r="BS321" s="141"/>
      <c r="CM321" s="141"/>
      <c r="DC321" s="141"/>
    </row>
    <row r="322" spans="1:107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55"/>
      <c r="R322" s="171"/>
      <c r="S322" s="161"/>
      <c r="T322" s="55"/>
      <c r="U322" s="55"/>
      <c r="V322" s="55"/>
      <c r="W322" s="155"/>
      <c r="X322" s="171"/>
      <c r="Y322" s="165"/>
      <c r="Z322" s="10"/>
      <c r="AA322" s="55"/>
      <c r="AB322" s="55"/>
      <c r="AC322" s="55"/>
      <c r="AD322" s="55"/>
      <c r="AE322" s="55"/>
      <c r="AF322" s="167"/>
      <c r="AG322" s="55"/>
      <c r="AH322" s="55"/>
      <c r="AI322" s="165"/>
      <c r="AJ322" s="55"/>
      <c r="AK322" s="55"/>
      <c r="AL322" s="55"/>
      <c r="AM322" s="55"/>
      <c r="AN322" s="55"/>
      <c r="AO322" s="55"/>
      <c r="AP322" s="55"/>
      <c r="AQ322" s="55"/>
      <c r="AR322" s="165"/>
      <c r="AS322" s="55"/>
      <c r="AT322" s="55"/>
      <c r="AU322" s="55"/>
      <c r="AV322" s="55"/>
      <c r="AW322" s="55"/>
      <c r="AX322" s="55"/>
      <c r="AY322" s="55"/>
      <c r="AZ322" s="55"/>
      <c r="BA322" s="165"/>
      <c r="BB322" s="55"/>
      <c r="BC322" s="55"/>
      <c r="BD322" s="55"/>
      <c r="BE322" s="165"/>
      <c r="BF322" s="55"/>
      <c r="BG322" s="10"/>
      <c r="BH322" s="55"/>
      <c r="BI322" s="55"/>
      <c r="BJ322" s="55"/>
      <c r="BK322" s="55"/>
      <c r="BS322" s="141"/>
      <c r="CM322" s="141"/>
      <c r="DC322" s="141"/>
    </row>
    <row r="323" spans="1:107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55"/>
      <c r="R323" s="171"/>
      <c r="S323" s="161"/>
      <c r="T323" s="55"/>
      <c r="U323" s="55"/>
      <c r="V323" s="55"/>
      <c r="W323" s="155"/>
      <c r="X323" s="171"/>
      <c r="Y323" s="165"/>
      <c r="Z323" s="10"/>
      <c r="AA323" s="55"/>
      <c r="AB323" s="55"/>
      <c r="AC323" s="55"/>
      <c r="AD323" s="55"/>
      <c r="AE323" s="55"/>
      <c r="AF323" s="167"/>
      <c r="AG323" s="55"/>
      <c r="AH323" s="55"/>
      <c r="AI323" s="165"/>
      <c r="AJ323" s="55"/>
      <c r="AK323" s="55"/>
      <c r="AL323" s="55"/>
      <c r="AM323" s="55"/>
      <c r="AN323" s="55"/>
      <c r="AO323" s="55"/>
      <c r="AP323" s="55"/>
      <c r="AQ323" s="55"/>
      <c r="AR323" s="165"/>
      <c r="AS323" s="55"/>
      <c r="AT323" s="55"/>
      <c r="AU323" s="55"/>
      <c r="AV323" s="55"/>
      <c r="AW323" s="55"/>
      <c r="AX323" s="55"/>
      <c r="AY323" s="55"/>
      <c r="AZ323" s="55"/>
      <c r="BA323" s="165"/>
      <c r="BB323" s="55"/>
      <c r="BC323" s="55"/>
      <c r="BD323" s="55"/>
      <c r="BE323" s="165"/>
      <c r="BF323" s="55"/>
      <c r="BG323" s="10"/>
      <c r="BH323" s="55"/>
      <c r="BI323" s="55"/>
      <c r="BJ323" s="55"/>
      <c r="BK323" s="55"/>
      <c r="BS323" s="141"/>
      <c r="CM323" s="141"/>
      <c r="DC323" s="141"/>
    </row>
    <row r="324" spans="1:107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55"/>
      <c r="R324" s="171"/>
      <c r="S324" s="161"/>
      <c r="T324" s="55"/>
      <c r="U324" s="55"/>
      <c r="V324" s="55"/>
      <c r="W324" s="155"/>
      <c r="X324" s="171"/>
      <c r="Y324" s="165"/>
      <c r="Z324" s="10"/>
      <c r="AA324" s="55"/>
      <c r="AB324" s="55"/>
      <c r="AC324" s="55"/>
      <c r="AD324" s="55"/>
      <c r="AE324" s="55"/>
      <c r="AF324" s="167"/>
      <c r="AG324" s="55"/>
      <c r="AH324" s="55"/>
      <c r="AI324" s="165"/>
      <c r="AJ324" s="55"/>
      <c r="AK324" s="55"/>
      <c r="AL324" s="55"/>
      <c r="AM324" s="55"/>
      <c r="AN324" s="55"/>
      <c r="AO324" s="55"/>
      <c r="AP324" s="55"/>
      <c r="AQ324" s="55"/>
      <c r="AR324" s="165"/>
      <c r="AS324" s="55"/>
      <c r="AT324" s="55"/>
      <c r="AU324" s="55"/>
      <c r="AV324" s="55"/>
      <c r="AW324" s="55"/>
      <c r="AX324" s="55"/>
      <c r="AY324" s="55"/>
      <c r="AZ324" s="55"/>
      <c r="BA324" s="165"/>
      <c r="BB324" s="55"/>
      <c r="BC324" s="55"/>
      <c r="BD324" s="55"/>
      <c r="BE324" s="165"/>
      <c r="BF324" s="55"/>
      <c r="BG324" s="10"/>
      <c r="BH324" s="55"/>
      <c r="BI324" s="55"/>
      <c r="BJ324" s="55"/>
      <c r="BK324" s="55"/>
      <c r="BS324" s="141"/>
      <c r="CM324" s="141"/>
      <c r="DC324" s="141"/>
    </row>
    <row r="325" spans="1:107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55"/>
      <c r="R325" s="171"/>
      <c r="S325" s="161"/>
      <c r="T325" s="55"/>
      <c r="U325" s="55"/>
      <c r="V325" s="55"/>
      <c r="W325" s="155"/>
      <c r="X325" s="171"/>
      <c r="Y325" s="165"/>
      <c r="Z325" s="10"/>
      <c r="AA325" s="55"/>
      <c r="AB325" s="55"/>
      <c r="AC325" s="55"/>
      <c r="AD325" s="55"/>
      <c r="AE325" s="55"/>
      <c r="AF325" s="167"/>
      <c r="AG325" s="55"/>
      <c r="AH325" s="55"/>
      <c r="AI325" s="165"/>
      <c r="AJ325" s="55"/>
      <c r="AK325" s="55"/>
      <c r="AL325" s="55"/>
      <c r="AM325" s="55"/>
      <c r="AN325" s="55"/>
      <c r="AO325" s="55"/>
      <c r="AP325" s="55"/>
      <c r="AQ325" s="55"/>
      <c r="AR325" s="165"/>
      <c r="AS325" s="55"/>
      <c r="AT325" s="55"/>
      <c r="AU325" s="55"/>
      <c r="AV325" s="55"/>
      <c r="AW325" s="55"/>
      <c r="AX325" s="55"/>
      <c r="AY325" s="55"/>
      <c r="AZ325" s="55"/>
      <c r="BA325" s="165"/>
      <c r="BB325" s="55"/>
      <c r="BC325" s="55"/>
      <c r="BD325" s="55"/>
      <c r="BE325" s="165"/>
      <c r="BF325" s="55"/>
      <c r="BG325" s="10"/>
      <c r="BH325" s="55"/>
      <c r="BI325" s="55"/>
      <c r="BJ325" s="55"/>
      <c r="BK325" s="55"/>
      <c r="BS325" s="141"/>
      <c r="CM325" s="141"/>
      <c r="DC325" s="141"/>
    </row>
    <row r="326" spans="1:107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55"/>
      <c r="R326" s="171"/>
      <c r="S326" s="161"/>
      <c r="T326" s="55"/>
      <c r="U326" s="55"/>
      <c r="V326" s="55"/>
      <c r="W326" s="155"/>
      <c r="X326" s="171"/>
      <c r="Y326" s="165"/>
      <c r="Z326" s="10"/>
      <c r="AA326" s="55"/>
      <c r="AB326" s="55"/>
      <c r="AC326" s="55"/>
      <c r="AD326" s="55"/>
      <c r="AE326" s="55"/>
      <c r="AF326" s="167"/>
      <c r="AG326" s="55"/>
      <c r="AH326" s="55"/>
      <c r="AI326" s="165"/>
      <c r="AJ326" s="55"/>
      <c r="AK326" s="55"/>
      <c r="AL326" s="55"/>
      <c r="AM326" s="55"/>
      <c r="AN326" s="55"/>
      <c r="AO326" s="55"/>
      <c r="AP326" s="55"/>
      <c r="AQ326" s="55"/>
      <c r="AR326" s="165"/>
      <c r="AS326" s="55"/>
      <c r="AT326" s="55"/>
      <c r="AU326" s="55"/>
      <c r="AV326" s="55"/>
      <c r="AW326" s="55"/>
      <c r="AX326" s="55"/>
      <c r="AY326" s="55"/>
      <c r="AZ326" s="55"/>
      <c r="BA326" s="165"/>
      <c r="BB326" s="55"/>
      <c r="BC326" s="55"/>
      <c r="BD326" s="55"/>
      <c r="BE326" s="165"/>
      <c r="BF326" s="55"/>
      <c r="BG326" s="10"/>
      <c r="BH326" s="55"/>
      <c r="BI326" s="55"/>
      <c r="BJ326" s="55"/>
      <c r="BK326" s="55"/>
      <c r="BS326" s="141"/>
      <c r="CM326" s="141"/>
      <c r="DC326" s="141"/>
    </row>
    <row r="327" spans="1:107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55"/>
      <c r="R327" s="171"/>
      <c r="S327" s="161"/>
      <c r="T327" s="55"/>
      <c r="U327" s="55"/>
      <c r="V327" s="55"/>
      <c r="W327" s="155"/>
      <c r="X327" s="171"/>
      <c r="Y327" s="165"/>
      <c r="Z327" s="10"/>
      <c r="AA327" s="55"/>
      <c r="AB327" s="55"/>
      <c r="AC327" s="55"/>
      <c r="AD327" s="55"/>
      <c r="AE327" s="55"/>
      <c r="AF327" s="167"/>
      <c r="AG327" s="55"/>
      <c r="AH327" s="55"/>
      <c r="AI327" s="165"/>
      <c r="AJ327" s="55"/>
      <c r="AK327" s="55"/>
      <c r="AL327" s="55"/>
      <c r="AM327" s="55"/>
      <c r="AN327" s="55"/>
      <c r="AO327" s="55"/>
      <c r="AP327" s="55"/>
      <c r="AQ327" s="55"/>
      <c r="AR327" s="165"/>
      <c r="AS327" s="55"/>
      <c r="AT327" s="55"/>
      <c r="AU327" s="55"/>
      <c r="AV327" s="55"/>
      <c r="AW327" s="55"/>
      <c r="AX327" s="55"/>
      <c r="AY327" s="55"/>
      <c r="AZ327" s="55"/>
      <c r="BA327" s="165"/>
      <c r="BB327" s="55"/>
      <c r="BC327" s="55"/>
      <c r="BD327" s="55"/>
      <c r="BE327" s="165"/>
      <c r="BF327" s="55"/>
      <c r="BG327" s="10"/>
      <c r="BH327" s="55"/>
      <c r="BI327" s="55"/>
      <c r="BJ327" s="55"/>
      <c r="BK327" s="55"/>
      <c r="BS327" s="141"/>
      <c r="CM327" s="141"/>
      <c r="DC327" s="141"/>
    </row>
    <row r="328" spans="1:107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55"/>
      <c r="R328" s="171"/>
      <c r="S328" s="161"/>
      <c r="T328" s="55"/>
      <c r="U328" s="55"/>
      <c r="V328" s="55"/>
      <c r="W328" s="155"/>
      <c r="X328" s="171"/>
      <c r="Y328" s="165"/>
      <c r="Z328" s="10"/>
      <c r="AA328" s="55"/>
      <c r="AB328" s="55"/>
      <c r="AC328" s="55"/>
      <c r="AD328" s="55"/>
      <c r="AE328" s="55"/>
      <c r="AF328" s="167"/>
      <c r="AG328" s="55"/>
      <c r="AH328" s="55"/>
      <c r="AI328" s="165"/>
      <c r="AJ328" s="55"/>
      <c r="AK328" s="55"/>
      <c r="AL328" s="55"/>
      <c r="AM328" s="55"/>
      <c r="AN328" s="55"/>
      <c r="AO328" s="55"/>
      <c r="AP328" s="55"/>
      <c r="AQ328" s="55"/>
      <c r="AR328" s="165"/>
      <c r="AS328" s="55"/>
      <c r="AT328" s="55"/>
      <c r="AU328" s="55"/>
      <c r="AV328" s="55"/>
      <c r="AW328" s="55"/>
      <c r="AX328" s="55"/>
      <c r="AY328" s="55"/>
      <c r="AZ328" s="55"/>
      <c r="BA328" s="165"/>
      <c r="BB328" s="55"/>
      <c r="BC328" s="55"/>
      <c r="BD328" s="55"/>
      <c r="BE328" s="165"/>
      <c r="BF328" s="55"/>
      <c r="BG328" s="10"/>
      <c r="BH328" s="55"/>
      <c r="BI328" s="55"/>
      <c r="BJ328" s="55"/>
      <c r="BK328" s="55"/>
      <c r="BS328" s="141"/>
      <c r="CM328" s="141"/>
      <c r="DC328" s="141"/>
    </row>
    <row r="329" spans="1:107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55"/>
      <c r="R329" s="171"/>
      <c r="S329" s="161"/>
      <c r="T329" s="55"/>
      <c r="U329" s="55"/>
      <c r="V329" s="55"/>
      <c r="W329" s="155"/>
      <c r="X329" s="171"/>
      <c r="Y329" s="165"/>
      <c r="Z329" s="10"/>
      <c r="AA329" s="55"/>
      <c r="AB329" s="55"/>
      <c r="AC329" s="55"/>
      <c r="AD329" s="55"/>
      <c r="AE329" s="55"/>
      <c r="AF329" s="167"/>
      <c r="AG329" s="55"/>
      <c r="AH329" s="55"/>
      <c r="AI329" s="165"/>
      <c r="AJ329" s="55"/>
      <c r="AK329" s="55"/>
      <c r="AL329" s="55"/>
      <c r="AM329" s="55"/>
      <c r="AN329" s="55"/>
      <c r="AO329" s="55"/>
      <c r="AP329" s="55"/>
      <c r="AQ329" s="55"/>
      <c r="AR329" s="165"/>
      <c r="AS329" s="55"/>
      <c r="AT329" s="55"/>
      <c r="AU329" s="55"/>
      <c r="AV329" s="55"/>
      <c r="AW329" s="55"/>
      <c r="AX329" s="55"/>
      <c r="AY329" s="55"/>
      <c r="AZ329" s="55"/>
      <c r="BA329" s="165"/>
      <c r="BB329" s="55"/>
      <c r="BC329" s="55"/>
      <c r="BD329" s="55"/>
      <c r="BE329" s="165"/>
      <c r="BF329" s="55"/>
      <c r="BG329" s="10"/>
      <c r="BH329" s="55"/>
      <c r="BI329" s="55"/>
      <c r="BJ329" s="55"/>
      <c r="BK329" s="55"/>
      <c r="BS329" s="141"/>
      <c r="CM329" s="141"/>
      <c r="DC329" s="141"/>
    </row>
    <row r="330" spans="1:107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55"/>
      <c r="R330" s="171"/>
      <c r="S330" s="161"/>
      <c r="T330" s="55"/>
      <c r="U330" s="55"/>
      <c r="V330" s="55"/>
      <c r="W330" s="155"/>
      <c r="X330" s="171"/>
      <c r="Y330" s="165"/>
      <c r="Z330" s="10"/>
      <c r="AA330" s="55"/>
      <c r="AB330" s="55"/>
      <c r="AC330" s="55"/>
      <c r="AD330" s="55"/>
      <c r="AE330" s="55"/>
      <c r="AF330" s="167"/>
      <c r="AG330" s="55"/>
      <c r="AH330" s="55"/>
      <c r="AI330" s="165"/>
      <c r="AJ330" s="55"/>
      <c r="AK330" s="55"/>
      <c r="AL330" s="55"/>
      <c r="AM330" s="55"/>
      <c r="AN330" s="55"/>
      <c r="AO330" s="55"/>
      <c r="AP330" s="55"/>
      <c r="AQ330" s="55"/>
      <c r="AR330" s="165"/>
      <c r="AS330" s="55"/>
      <c r="AT330" s="55"/>
      <c r="AU330" s="55"/>
      <c r="AV330" s="55"/>
      <c r="AW330" s="55"/>
      <c r="AX330" s="55"/>
      <c r="AY330" s="55"/>
      <c r="AZ330" s="55"/>
      <c r="BA330" s="165"/>
      <c r="BB330" s="55"/>
      <c r="BC330" s="55"/>
      <c r="BD330" s="55"/>
      <c r="BE330" s="165"/>
      <c r="BF330" s="55"/>
      <c r="BG330" s="10"/>
      <c r="BH330" s="55"/>
      <c r="BI330" s="55"/>
      <c r="BJ330" s="55"/>
      <c r="BK330" s="55"/>
      <c r="BS330" s="141"/>
      <c r="CM330" s="141"/>
      <c r="DC330" s="141"/>
    </row>
    <row r="331" spans="1:107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55"/>
      <c r="R331" s="171"/>
      <c r="S331" s="161"/>
      <c r="T331" s="55"/>
      <c r="U331" s="55"/>
      <c r="V331" s="55"/>
      <c r="W331" s="155"/>
      <c r="X331" s="171"/>
      <c r="Y331" s="165"/>
      <c r="Z331" s="10"/>
      <c r="AA331" s="55"/>
      <c r="AB331" s="55"/>
      <c r="AC331" s="55"/>
      <c r="AD331" s="55"/>
      <c r="AE331" s="55"/>
      <c r="AF331" s="167"/>
      <c r="AG331" s="55"/>
      <c r="AH331" s="55"/>
      <c r="AI331" s="165"/>
      <c r="AJ331" s="55"/>
      <c r="AK331" s="55"/>
      <c r="AL331" s="55"/>
      <c r="AM331" s="55"/>
      <c r="AN331" s="55"/>
      <c r="AO331" s="55"/>
      <c r="AP331" s="55"/>
      <c r="AQ331" s="55"/>
      <c r="AR331" s="165"/>
      <c r="AS331" s="55"/>
      <c r="AT331" s="55"/>
      <c r="AU331" s="55"/>
      <c r="AV331" s="55"/>
      <c r="AW331" s="55"/>
      <c r="AX331" s="55"/>
      <c r="AY331" s="55"/>
      <c r="AZ331" s="55"/>
      <c r="BA331" s="165"/>
      <c r="BB331" s="55"/>
      <c r="BC331" s="55"/>
      <c r="BD331" s="55"/>
      <c r="BE331" s="165"/>
      <c r="BF331" s="55"/>
      <c r="BG331" s="10"/>
      <c r="BH331" s="55"/>
      <c r="BI331" s="55"/>
      <c r="BJ331" s="55"/>
      <c r="BK331" s="55"/>
      <c r="BS331" s="141"/>
      <c r="CM331" s="141"/>
      <c r="DC331" s="141"/>
    </row>
    <row r="332" spans="1:107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55"/>
      <c r="R332" s="171"/>
      <c r="S332" s="161"/>
      <c r="T332" s="55"/>
      <c r="U332" s="55"/>
      <c r="V332" s="55"/>
      <c r="W332" s="155"/>
      <c r="X332" s="171"/>
      <c r="Y332" s="165"/>
      <c r="Z332" s="10"/>
      <c r="AA332" s="55"/>
      <c r="AB332" s="55"/>
      <c r="AC332" s="55"/>
      <c r="AD332" s="55"/>
      <c r="AE332" s="55"/>
      <c r="AF332" s="167"/>
      <c r="AG332" s="55"/>
      <c r="AH332" s="55"/>
      <c r="AI332" s="165"/>
      <c r="AJ332" s="55"/>
      <c r="AK332" s="55"/>
      <c r="AL332" s="55"/>
      <c r="AM332" s="55"/>
      <c r="AN332" s="55"/>
      <c r="AO332" s="55"/>
      <c r="AP332" s="55"/>
      <c r="AQ332" s="55"/>
      <c r="AR332" s="165"/>
      <c r="AS332" s="55"/>
      <c r="AT332" s="55"/>
      <c r="AU332" s="55"/>
      <c r="AV332" s="55"/>
      <c r="AW332" s="55"/>
      <c r="AX332" s="55"/>
      <c r="AY332" s="55"/>
      <c r="AZ332" s="55"/>
      <c r="BA332" s="165"/>
      <c r="BB332" s="55"/>
      <c r="BC332" s="55"/>
      <c r="BD332" s="55"/>
      <c r="BE332" s="165"/>
      <c r="BF332" s="55"/>
      <c r="BG332" s="10"/>
      <c r="BH332" s="55"/>
      <c r="BI332" s="55"/>
      <c r="BJ332" s="55"/>
      <c r="BK332" s="55"/>
      <c r="BS332" s="141"/>
      <c r="CM332" s="141"/>
      <c r="DC332" s="141"/>
    </row>
    <row r="333" spans="1:107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55"/>
      <c r="R333" s="171"/>
      <c r="S333" s="161"/>
      <c r="T333" s="55"/>
      <c r="U333" s="55"/>
      <c r="V333" s="55"/>
      <c r="W333" s="155"/>
      <c r="X333" s="171"/>
      <c r="Y333" s="165"/>
      <c r="Z333" s="10"/>
      <c r="AA333" s="55"/>
      <c r="AB333" s="55"/>
      <c r="AC333" s="55"/>
      <c r="AD333" s="55"/>
      <c r="AE333" s="55"/>
      <c r="AF333" s="167"/>
      <c r="AG333" s="55"/>
      <c r="AH333" s="55"/>
      <c r="AI333" s="165"/>
      <c r="AJ333" s="55"/>
      <c r="AK333" s="55"/>
      <c r="AL333" s="55"/>
      <c r="AM333" s="55"/>
      <c r="AN333" s="55"/>
      <c r="AO333" s="55"/>
      <c r="AP333" s="55"/>
      <c r="AQ333" s="55"/>
      <c r="AR333" s="165"/>
      <c r="AS333" s="55"/>
      <c r="AT333" s="55"/>
      <c r="AU333" s="55"/>
      <c r="AV333" s="55"/>
      <c r="AW333" s="55"/>
      <c r="AX333" s="55"/>
      <c r="AY333" s="55"/>
      <c r="AZ333" s="55"/>
      <c r="BA333" s="165"/>
      <c r="BB333" s="55"/>
      <c r="BC333" s="55"/>
      <c r="BD333" s="55"/>
      <c r="BE333" s="165"/>
      <c r="BF333" s="55"/>
      <c r="BG333" s="10"/>
      <c r="BH333" s="55"/>
      <c r="BI333" s="55"/>
      <c r="BJ333" s="55"/>
      <c r="BK333" s="55"/>
      <c r="BS333" s="141"/>
      <c r="CM333" s="141"/>
      <c r="DC333" s="141"/>
    </row>
    <row r="334" spans="1:107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55"/>
      <c r="R334" s="171"/>
      <c r="S334" s="161"/>
      <c r="T334" s="55"/>
      <c r="U334" s="55"/>
      <c r="V334" s="55"/>
      <c r="W334" s="155"/>
      <c r="X334" s="171"/>
      <c r="Y334" s="165"/>
      <c r="Z334" s="10"/>
      <c r="AA334" s="55"/>
      <c r="AB334" s="55"/>
      <c r="AC334" s="55"/>
      <c r="AD334" s="55"/>
      <c r="AE334" s="55"/>
      <c r="AF334" s="167"/>
      <c r="AG334" s="55"/>
      <c r="AH334" s="55"/>
      <c r="AI334" s="165"/>
      <c r="AJ334" s="55"/>
      <c r="AK334" s="55"/>
      <c r="AL334" s="55"/>
      <c r="AM334" s="55"/>
      <c r="AN334" s="55"/>
      <c r="AO334" s="55"/>
      <c r="AP334" s="55"/>
      <c r="AQ334" s="55"/>
      <c r="AR334" s="165"/>
      <c r="AS334" s="55"/>
      <c r="AT334" s="55"/>
      <c r="AU334" s="55"/>
      <c r="AV334" s="55"/>
      <c r="AW334" s="55"/>
      <c r="AX334" s="55"/>
      <c r="AY334" s="55"/>
      <c r="AZ334" s="55"/>
      <c r="BA334" s="165"/>
      <c r="BB334" s="55"/>
      <c r="BC334" s="55"/>
      <c r="BD334" s="55"/>
      <c r="BE334" s="165"/>
      <c r="BF334" s="55"/>
      <c r="BG334" s="10"/>
      <c r="BH334" s="55"/>
      <c r="BI334" s="55"/>
      <c r="BJ334" s="55"/>
      <c r="BK334" s="55"/>
      <c r="BS334" s="141"/>
      <c r="CM334" s="141"/>
      <c r="DC334" s="141"/>
    </row>
    <row r="335" spans="1:107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55"/>
      <c r="R335" s="171"/>
      <c r="S335" s="161"/>
      <c r="T335" s="55"/>
      <c r="U335" s="55"/>
      <c r="V335" s="55"/>
      <c r="W335" s="155"/>
      <c r="X335" s="171"/>
      <c r="Y335" s="165"/>
      <c r="Z335" s="10"/>
      <c r="AA335" s="55"/>
      <c r="AB335" s="55"/>
      <c r="AC335" s="55"/>
      <c r="AD335" s="55"/>
      <c r="AE335" s="55"/>
      <c r="AF335" s="167"/>
      <c r="AG335" s="55"/>
      <c r="AH335" s="55"/>
      <c r="AI335" s="165"/>
      <c r="AJ335" s="55"/>
      <c r="AK335" s="55"/>
      <c r="AL335" s="55"/>
      <c r="AM335" s="55"/>
      <c r="AN335" s="55"/>
      <c r="AO335" s="55"/>
      <c r="AP335" s="55"/>
      <c r="AQ335" s="55"/>
      <c r="AR335" s="165"/>
      <c r="AS335" s="55"/>
      <c r="AT335" s="55"/>
      <c r="AU335" s="55"/>
      <c r="AV335" s="55"/>
      <c r="AW335" s="55"/>
      <c r="AX335" s="55"/>
      <c r="AY335" s="55"/>
      <c r="AZ335" s="55"/>
      <c r="BA335" s="165"/>
      <c r="BB335" s="55"/>
      <c r="BC335" s="55"/>
      <c r="BD335" s="55"/>
      <c r="BE335" s="165"/>
      <c r="BF335" s="55"/>
      <c r="BG335" s="10"/>
      <c r="BH335" s="55"/>
      <c r="BI335" s="55"/>
      <c r="BJ335" s="55"/>
      <c r="BK335" s="55"/>
      <c r="BS335" s="141"/>
      <c r="CM335" s="141"/>
      <c r="DC335" s="141"/>
    </row>
    <row r="336" spans="1:107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55"/>
      <c r="R336" s="171"/>
      <c r="S336" s="161"/>
      <c r="T336" s="55"/>
      <c r="U336" s="55"/>
      <c r="V336" s="55"/>
      <c r="W336" s="155"/>
      <c r="X336" s="171"/>
      <c r="Y336" s="165"/>
      <c r="Z336" s="10"/>
      <c r="AA336" s="55"/>
      <c r="AB336" s="55"/>
      <c r="AC336" s="55"/>
      <c r="AD336" s="55"/>
      <c r="AE336" s="55"/>
      <c r="AF336" s="167"/>
      <c r="AG336" s="55"/>
      <c r="AH336" s="55"/>
      <c r="AI336" s="165"/>
      <c r="AJ336" s="55"/>
      <c r="AK336" s="55"/>
      <c r="AL336" s="55"/>
      <c r="AM336" s="55"/>
      <c r="AN336" s="55"/>
      <c r="AO336" s="55"/>
      <c r="AP336" s="55"/>
      <c r="AQ336" s="55"/>
      <c r="AR336" s="165"/>
      <c r="AS336" s="55"/>
      <c r="AT336" s="55"/>
      <c r="AU336" s="55"/>
      <c r="AV336" s="55"/>
      <c r="AW336" s="55"/>
      <c r="AX336" s="55"/>
      <c r="AY336" s="55"/>
      <c r="AZ336" s="55"/>
      <c r="BA336" s="165"/>
      <c r="BB336" s="55"/>
      <c r="BC336" s="55"/>
      <c r="BD336" s="55"/>
      <c r="BE336" s="165"/>
      <c r="BF336" s="55"/>
      <c r="BG336" s="10"/>
      <c r="BH336" s="55"/>
      <c r="BI336" s="55"/>
      <c r="BJ336" s="55"/>
      <c r="BK336" s="55"/>
      <c r="BS336" s="141"/>
      <c r="CM336" s="141"/>
      <c r="DC336" s="141"/>
    </row>
    <row r="337" spans="1:107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55"/>
      <c r="R337" s="171"/>
      <c r="S337" s="161"/>
      <c r="T337" s="55"/>
      <c r="U337" s="55"/>
      <c r="V337" s="55"/>
      <c r="W337" s="155"/>
      <c r="X337" s="171"/>
      <c r="Y337" s="165"/>
      <c r="Z337" s="10"/>
      <c r="AA337" s="55"/>
      <c r="AB337" s="55"/>
      <c r="AC337" s="55"/>
      <c r="AD337" s="55"/>
      <c r="AE337" s="55"/>
      <c r="AF337" s="167"/>
      <c r="AG337" s="55"/>
      <c r="AH337" s="55"/>
      <c r="AI337" s="165"/>
      <c r="AJ337" s="55"/>
      <c r="AK337" s="55"/>
      <c r="AL337" s="55"/>
      <c r="AM337" s="55"/>
      <c r="AN337" s="55"/>
      <c r="AO337" s="55"/>
      <c r="AP337" s="55"/>
      <c r="AQ337" s="55"/>
      <c r="AR337" s="165"/>
      <c r="AS337" s="55"/>
      <c r="AT337" s="55"/>
      <c r="AU337" s="55"/>
      <c r="AV337" s="55"/>
      <c r="AW337" s="55"/>
      <c r="AX337" s="55"/>
      <c r="AY337" s="55"/>
      <c r="AZ337" s="55"/>
      <c r="BA337" s="165"/>
      <c r="BB337" s="55"/>
      <c r="BC337" s="55"/>
      <c r="BD337" s="55"/>
      <c r="BE337" s="165"/>
      <c r="BF337" s="55"/>
      <c r="BG337" s="10"/>
      <c r="BH337" s="55"/>
      <c r="BI337" s="55"/>
      <c r="BJ337" s="55"/>
      <c r="BK337" s="55"/>
      <c r="BS337" s="141"/>
      <c r="CM337" s="141"/>
      <c r="DC337" s="141"/>
    </row>
    <row r="338" spans="1:107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55"/>
      <c r="R338" s="171"/>
      <c r="S338" s="161"/>
      <c r="T338" s="55"/>
      <c r="U338" s="55"/>
      <c r="V338" s="55"/>
      <c r="W338" s="155"/>
      <c r="X338" s="171"/>
      <c r="Y338" s="165"/>
      <c r="Z338" s="10"/>
      <c r="AA338" s="55"/>
      <c r="AB338" s="55"/>
      <c r="AC338" s="55"/>
      <c r="AD338" s="55"/>
      <c r="AE338" s="55"/>
      <c r="AF338" s="167"/>
      <c r="AG338" s="55"/>
      <c r="AH338" s="55"/>
      <c r="AI338" s="165"/>
      <c r="AJ338" s="55"/>
      <c r="AK338" s="55"/>
      <c r="AL338" s="55"/>
      <c r="AM338" s="55"/>
      <c r="AN338" s="55"/>
      <c r="AO338" s="55"/>
      <c r="AP338" s="55"/>
      <c r="AQ338" s="55"/>
      <c r="AR338" s="165"/>
      <c r="AS338" s="55"/>
      <c r="AT338" s="55"/>
      <c r="AU338" s="55"/>
      <c r="AV338" s="55"/>
      <c r="AW338" s="55"/>
      <c r="AX338" s="55"/>
      <c r="AY338" s="55"/>
      <c r="AZ338" s="55"/>
      <c r="BA338" s="165"/>
      <c r="BB338" s="55"/>
      <c r="BC338" s="55"/>
      <c r="BD338" s="55"/>
      <c r="BE338" s="165"/>
      <c r="BF338" s="55"/>
      <c r="BG338" s="10"/>
      <c r="BH338" s="55"/>
      <c r="BI338" s="55"/>
      <c r="BJ338" s="55"/>
      <c r="BK338" s="55"/>
      <c r="BS338" s="141"/>
      <c r="CM338" s="141"/>
      <c r="DC338" s="141"/>
    </row>
    <row r="339" spans="1:107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55"/>
      <c r="R339" s="171"/>
      <c r="S339" s="161"/>
      <c r="T339" s="55"/>
      <c r="U339" s="55"/>
      <c r="V339" s="55"/>
      <c r="W339" s="155"/>
      <c r="X339" s="171"/>
      <c r="Y339" s="165"/>
      <c r="Z339" s="10"/>
      <c r="AA339" s="55"/>
      <c r="AB339" s="55"/>
      <c r="AC339" s="55"/>
      <c r="AD339" s="55"/>
      <c r="AE339" s="55"/>
      <c r="AF339" s="167"/>
      <c r="AG339" s="55"/>
      <c r="AH339" s="55"/>
      <c r="AI339" s="165"/>
      <c r="AJ339" s="55"/>
      <c r="AK339" s="55"/>
      <c r="AL339" s="55"/>
      <c r="AM339" s="55"/>
      <c r="AN339" s="55"/>
      <c r="AO339" s="55"/>
      <c r="AP339" s="55"/>
      <c r="AQ339" s="55"/>
      <c r="AR339" s="165"/>
      <c r="AS339" s="55"/>
      <c r="AT339" s="55"/>
      <c r="AU339" s="55"/>
      <c r="AV339" s="55"/>
      <c r="AW339" s="55"/>
      <c r="AX339" s="55"/>
      <c r="AY339" s="55"/>
      <c r="AZ339" s="55"/>
      <c r="BA339" s="165"/>
      <c r="BB339" s="55"/>
      <c r="BC339" s="55"/>
      <c r="BD339" s="55"/>
      <c r="BE339" s="165"/>
      <c r="BF339" s="55"/>
      <c r="BG339" s="10"/>
      <c r="BH339" s="55"/>
      <c r="BI339" s="55"/>
      <c r="BJ339" s="55"/>
      <c r="BK339" s="55"/>
      <c r="BS339" s="141"/>
      <c r="CM339" s="141"/>
      <c r="DC339" s="141"/>
    </row>
    <row r="340" spans="1:107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55"/>
      <c r="R340" s="171"/>
      <c r="S340" s="161"/>
      <c r="T340" s="55"/>
      <c r="U340" s="55"/>
      <c r="V340" s="55"/>
      <c r="W340" s="155"/>
      <c r="X340" s="171"/>
      <c r="Y340" s="165"/>
      <c r="Z340" s="10"/>
      <c r="AA340" s="55"/>
      <c r="AB340" s="55"/>
      <c r="AC340" s="55"/>
      <c r="AD340" s="55"/>
      <c r="AE340" s="55"/>
      <c r="AF340" s="167"/>
      <c r="AG340" s="55"/>
      <c r="AH340" s="55"/>
      <c r="AI340" s="165"/>
      <c r="AJ340" s="55"/>
      <c r="AK340" s="55"/>
      <c r="AL340" s="55"/>
      <c r="AM340" s="55"/>
      <c r="AN340" s="55"/>
      <c r="AO340" s="55"/>
      <c r="AP340" s="55"/>
      <c r="AQ340" s="55"/>
      <c r="AR340" s="165"/>
      <c r="AS340" s="55"/>
      <c r="AT340" s="55"/>
      <c r="AU340" s="55"/>
      <c r="AV340" s="55"/>
      <c r="AW340" s="55"/>
      <c r="AX340" s="55"/>
      <c r="AY340" s="55"/>
      <c r="AZ340" s="55"/>
      <c r="BA340" s="165"/>
      <c r="BB340" s="55"/>
      <c r="BC340" s="55"/>
      <c r="BD340" s="55"/>
      <c r="BE340" s="165"/>
      <c r="BF340" s="55"/>
      <c r="BG340" s="10"/>
      <c r="BH340" s="55"/>
      <c r="BI340" s="55"/>
      <c r="BJ340" s="55"/>
      <c r="BK340" s="55"/>
      <c r="BS340" s="141"/>
      <c r="CM340" s="141"/>
      <c r="DC340" s="141"/>
    </row>
    <row r="341" spans="1:107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55"/>
      <c r="R341" s="171"/>
      <c r="S341" s="161"/>
      <c r="T341" s="55"/>
      <c r="U341" s="55"/>
      <c r="V341" s="55"/>
      <c r="W341" s="155"/>
      <c r="X341" s="171"/>
      <c r="Y341" s="165"/>
      <c r="Z341" s="10"/>
      <c r="AA341" s="55"/>
      <c r="AB341" s="55"/>
      <c r="AC341" s="55"/>
      <c r="AD341" s="55"/>
      <c r="AE341" s="55"/>
      <c r="AF341" s="167"/>
      <c r="AG341" s="55"/>
      <c r="AH341" s="55"/>
      <c r="AI341" s="165"/>
      <c r="AJ341" s="55"/>
      <c r="AK341" s="55"/>
      <c r="AL341" s="55"/>
      <c r="AM341" s="55"/>
      <c r="AN341" s="55"/>
      <c r="AO341" s="55"/>
      <c r="AP341" s="55"/>
      <c r="AQ341" s="55"/>
      <c r="AR341" s="165"/>
      <c r="AS341" s="55"/>
      <c r="AT341" s="55"/>
      <c r="AU341" s="55"/>
      <c r="AV341" s="55"/>
      <c r="AW341" s="55"/>
      <c r="AX341" s="55"/>
      <c r="AY341" s="55"/>
      <c r="AZ341" s="55"/>
      <c r="BA341" s="165"/>
      <c r="BB341" s="55"/>
      <c r="BC341" s="55"/>
      <c r="BD341" s="55"/>
      <c r="BE341" s="165"/>
      <c r="BF341" s="55"/>
      <c r="BG341" s="10"/>
      <c r="BH341" s="55"/>
      <c r="BI341" s="55"/>
      <c r="BJ341" s="55"/>
      <c r="BK341" s="55"/>
      <c r="BS341" s="141"/>
      <c r="CM341" s="141"/>
      <c r="DC341" s="141"/>
    </row>
    <row r="342" spans="1:107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55"/>
      <c r="R342" s="171"/>
      <c r="S342" s="161"/>
      <c r="T342" s="55"/>
      <c r="U342" s="55"/>
      <c r="V342" s="55"/>
      <c r="W342" s="155"/>
      <c r="X342" s="171"/>
      <c r="Y342" s="165"/>
      <c r="Z342" s="10"/>
      <c r="AA342" s="55"/>
      <c r="AB342" s="55"/>
      <c r="AC342" s="55"/>
      <c r="AD342" s="55"/>
      <c r="AE342" s="55"/>
      <c r="AF342" s="167"/>
      <c r="AG342" s="55"/>
      <c r="AH342" s="55"/>
      <c r="AI342" s="165"/>
      <c r="AJ342" s="55"/>
      <c r="AK342" s="55"/>
      <c r="AL342" s="55"/>
      <c r="AM342" s="55"/>
      <c r="AN342" s="55"/>
      <c r="AO342" s="55"/>
      <c r="AP342" s="55"/>
      <c r="AQ342" s="55"/>
      <c r="AR342" s="165"/>
      <c r="AS342" s="55"/>
      <c r="AT342" s="55"/>
      <c r="AU342" s="55"/>
      <c r="AV342" s="55"/>
      <c r="AW342" s="55"/>
      <c r="AX342" s="55"/>
      <c r="AY342" s="55"/>
      <c r="AZ342" s="55"/>
      <c r="BA342" s="165"/>
      <c r="BB342" s="55"/>
      <c r="BC342" s="55"/>
      <c r="BD342" s="55"/>
      <c r="BE342" s="165"/>
      <c r="BF342" s="55"/>
      <c r="BG342" s="10"/>
      <c r="BH342" s="55"/>
      <c r="BI342" s="55"/>
      <c r="BJ342" s="55"/>
      <c r="BK342" s="55"/>
      <c r="BS342" s="141"/>
      <c r="CM342" s="141"/>
      <c r="DC342" s="141"/>
    </row>
    <row r="343" spans="1:107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55"/>
      <c r="R343" s="171"/>
      <c r="S343" s="161"/>
      <c r="T343" s="55"/>
      <c r="U343" s="55"/>
      <c r="V343" s="55"/>
      <c r="W343" s="155"/>
      <c r="X343" s="171"/>
      <c r="Y343" s="165"/>
      <c r="Z343" s="10"/>
      <c r="AA343" s="55"/>
      <c r="AB343" s="55"/>
      <c r="AC343" s="55"/>
      <c r="AD343" s="55"/>
      <c r="AE343" s="55"/>
      <c r="AF343" s="167"/>
      <c r="AG343" s="55"/>
      <c r="AH343" s="55"/>
      <c r="AI343" s="165"/>
      <c r="AJ343" s="55"/>
      <c r="AK343" s="55"/>
      <c r="AL343" s="55"/>
      <c r="AM343" s="55"/>
      <c r="AN343" s="55"/>
      <c r="AO343" s="55"/>
      <c r="AP343" s="55"/>
      <c r="AQ343" s="55"/>
      <c r="AR343" s="165"/>
      <c r="AS343" s="55"/>
      <c r="AT343" s="55"/>
      <c r="AU343" s="55"/>
      <c r="AV343" s="55"/>
      <c r="AW343" s="55"/>
      <c r="AX343" s="55"/>
      <c r="AY343" s="55"/>
      <c r="AZ343" s="55"/>
      <c r="BA343" s="165"/>
      <c r="BB343" s="55"/>
      <c r="BC343" s="55"/>
      <c r="BD343" s="55"/>
      <c r="BE343" s="165"/>
      <c r="BF343" s="55"/>
      <c r="BG343" s="10"/>
      <c r="BH343" s="55"/>
      <c r="BI343" s="55"/>
      <c r="BJ343" s="55"/>
      <c r="BK343" s="55"/>
      <c r="BS343" s="141"/>
      <c r="CM343" s="141"/>
      <c r="DC343" s="141"/>
    </row>
    <row r="344" spans="1:107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55"/>
      <c r="R344" s="171"/>
      <c r="S344" s="161"/>
      <c r="T344" s="55"/>
      <c r="U344" s="55"/>
      <c r="V344" s="55"/>
      <c r="W344" s="155"/>
      <c r="X344" s="171"/>
      <c r="Y344" s="165"/>
      <c r="Z344" s="10"/>
      <c r="AA344" s="55"/>
      <c r="AB344" s="55"/>
      <c r="AC344" s="55"/>
      <c r="AD344" s="55"/>
      <c r="AE344" s="55"/>
      <c r="AF344" s="167"/>
      <c r="AG344" s="55"/>
      <c r="AH344" s="55"/>
      <c r="AI344" s="165"/>
      <c r="AJ344" s="55"/>
      <c r="AK344" s="55"/>
      <c r="AL344" s="55"/>
      <c r="AM344" s="55"/>
      <c r="AN344" s="55"/>
      <c r="AO344" s="55"/>
      <c r="AP344" s="55"/>
      <c r="AQ344" s="55"/>
      <c r="AR344" s="165"/>
      <c r="AS344" s="55"/>
      <c r="AT344" s="55"/>
      <c r="AU344" s="55"/>
      <c r="AV344" s="55"/>
      <c r="AW344" s="55"/>
      <c r="AX344" s="55"/>
      <c r="AY344" s="55"/>
      <c r="AZ344" s="55"/>
      <c r="BA344" s="165"/>
      <c r="BB344" s="55"/>
      <c r="BC344" s="55"/>
      <c r="BD344" s="55"/>
      <c r="BE344" s="165"/>
      <c r="BF344" s="55"/>
      <c r="BG344" s="10"/>
      <c r="BH344" s="55"/>
      <c r="BI344" s="55"/>
      <c r="BJ344" s="55"/>
      <c r="BK344" s="55"/>
      <c r="BS344" s="141"/>
      <c r="CM344" s="141"/>
      <c r="DC344" s="141"/>
    </row>
    <row r="345" spans="1:107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55"/>
      <c r="R345" s="171"/>
      <c r="S345" s="161"/>
      <c r="T345" s="55"/>
      <c r="U345" s="55"/>
      <c r="V345" s="55"/>
      <c r="W345" s="155"/>
      <c r="X345" s="171"/>
      <c r="Y345" s="165"/>
      <c r="Z345" s="10"/>
      <c r="AA345" s="55"/>
      <c r="AB345" s="55"/>
      <c r="AC345" s="55"/>
      <c r="AD345" s="55"/>
      <c r="AE345" s="55"/>
      <c r="AF345" s="167"/>
      <c r="AG345" s="55"/>
      <c r="AH345" s="55"/>
      <c r="AI345" s="165"/>
      <c r="AJ345" s="55"/>
      <c r="AK345" s="55"/>
      <c r="AL345" s="55"/>
      <c r="AM345" s="55"/>
      <c r="AN345" s="55"/>
      <c r="AO345" s="55"/>
      <c r="AP345" s="55"/>
      <c r="AQ345" s="55"/>
      <c r="AR345" s="165"/>
      <c r="AS345" s="55"/>
      <c r="AT345" s="55"/>
      <c r="AU345" s="55"/>
      <c r="AV345" s="55"/>
      <c r="AW345" s="55"/>
      <c r="AX345" s="55"/>
      <c r="AY345" s="55"/>
      <c r="AZ345" s="55"/>
      <c r="BA345" s="165"/>
      <c r="BB345" s="55"/>
      <c r="BC345" s="55"/>
      <c r="BD345" s="55"/>
      <c r="BE345" s="165"/>
      <c r="BF345" s="55"/>
      <c r="BG345" s="10"/>
      <c r="BH345" s="55"/>
      <c r="BI345" s="55"/>
      <c r="BJ345" s="55"/>
      <c r="BK345" s="55"/>
      <c r="BS345" s="141"/>
      <c r="CM345" s="141"/>
      <c r="DC345" s="141"/>
    </row>
    <row r="346" spans="1:107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55"/>
      <c r="R346" s="171"/>
      <c r="S346" s="161"/>
      <c r="T346" s="55"/>
      <c r="U346" s="55"/>
      <c r="V346" s="55"/>
      <c r="W346" s="155"/>
      <c r="X346" s="171"/>
      <c r="Y346" s="165"/>
      <c r="Z346" s="10"/>
      <c r="AA346" s="55"/>
      <c r="AB346" s="55"/>
      <c r="AC346" s="55"/>
      <c r="AD346" s="55"/>
      <c r="AE346" s="55"/>
      <c r="AF346" s="167"/>
      <c r="AG346" s="55"/>
      <c r="AH346" s="55"/>
      <c r="AI346" s="165"/>
      <c r="AJ346" s="55"/>
      <c r="AK346" s="55"/>
      <c r="AL346" s="55"/>
      <c r="AM346" s="55"/>
      <c r="AN346" s="55"/>
      <c r="AO346" s="55"/>
      <c r="AP346" s="55"/>
      <c r="AQ346" s="55"/>
      <c r="AR346" s="165"/>
      <c r="AS346" s="55"/>
      <c r="AT346" s="55"/>
      <c r="AU346" s="55"/>
      <c r="AV346" s="55"/>
      <c r="AW346" s="55"/>
      <c r="AX346" s="55"/>
      <c r="AY346" s="55"/>
      <c r="AZ346" s="55"/>
      <c r="BA346" s="165"/>
      <c r="BB346" s="55"/>
      <c r="BC346" s="55"/>
      <c r="BD346" s="55"/>
      <c r="BE346" s="165"/>
      <c r="BF346" s="55"/>
      <c r="BG346" s="10"/>
      <c r="BH346" s="55"/>
      <c r="BI346" s="55"/>
      <c r="BJ346" s="55"/>
      <c r="BK346" s="55"/>
      <c r="BS346" s="141"/>
      <c r="CM346" s="141"/>
      <c r="DC346" s="141"/>
    </row>
    <row r="347" spans="1:107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55"/>
      <c r="R347" s="171"/>
      <c r="S347" s="161"/>
      <c r="T347" s="55"/>
      <c r="U347" s="55"/>
      <c r="V347" s="55"/>
      <c r="W347" s="155"/>
      <c r="X347" s="171"/>
      <c r="Y347" s="165"/>
      <c r="Z347" s="10"/>
      <c r="AA347" s="55"/>
      <c r="AB347" s="55"/>
      <c r="AC347" s="55"/>
      <c r="AD347" s="55"/>
      <c r="AE347" s="55"/>
      <c r="AF347" s="167"/>
      <c r="AG347" s="55"/>
      <c r="AH347" s="55"/>
      <c r="AI347" s="165"/>
      <c r="AJ347" s="55"/>
      <c r="AK347" s="55"/>
      <c r="AL347" s="55"/>
      <c r="AM347" s="55"/>
      <c r="AN347" s="55"/>
      <c r="AO347" s="55"/>
      <c r="AP347" s="55"/>
      <c r="AQ347" s="55"/>
      <c r="AR347" s="165"/>
      <c r="AS347" s="55"/>
      <c r="AT347" s="55"/>
      <c r="AU347" s="55"/>
      <c r="AV347" s="55"/>
      <c r="AW347" s="55"/>
      <c r="AX347" s="55"/>
      <c r="AY347" s="55"/>
      <c r="AZ347" s="55"/>
      <c r="BA347" s="165"/>
      <c r="BB347" s="55"/>
      <c r="BC347" s="55"/>
      <c r="BD347" s="55"/>
      <c r="BE347" s="165"/>
      <c r="BF347" s="55"/>
      <c r="BG347" s="10"/>
      <c r="BH347" s="55"/>
      <c r="BI347" s="55"/>
      <c r="BJ347" s="55"/>
      <c r="BK347" s="55"/>
      <c r="BS347" s="141"/>
      <c r="CM347" s="141"/>
      <c r="DC347" s="141"/>
    </row>
    <row r="348" spans="1:107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55"/>
      <c r="R348" s="171"/>
      <c r="S348" s="161"/>
      <c r="T348" s="55"/>
      <c r="U348" s="55"/>
      <c r="V348" s="55"/>
      <c r="W348" s="155"/>
      <c r="X348" s="171"/>
      <c r="Y348" s="165"/>
      <c r="Z348" s="10"/>
      <c r="AA348" s="55"/>
      <c r="AB348" s="55"/>
      <c r="AC348" s="55"/>
      <c r="AD348" s="55"/>
      <c r="AE348" s="55"/>
      <c r="AF348" s="167"/>
      <c r="AG348" s="55"/>
      <c r="AH348" s="55"/>
      <c r="AI348" s="165"/>
      <c r="AJ348" s="55"/>
      <c r="AK348" s="55"/>
      <c r="AL348" s="55"/>
      <c r="AM348" s="55"/>
      <c r="AN348" s="55"/>
      <c r="AO348" s="55"/>
      <c r="AP348" s="55"/>
      <c r="AQ348" s="55"/>
      <c r="AR348" s="165"/>
      <c r="AS348" s="55"/>
      <c r="AT348" s="55"/>
      <c r="AU348" s="55"/>
      <c r="AV348" s="55"/>
      <c r="AW348" s="55"/>
      <c r="AX348" s="55"/>
      <c r="AY348" s="55"/>
      <c r="AZ348" s="55"/>
      <c r="BA348" s="165"/>
      <c r="BB348" s="55"/>
      <c r="BC348" s="55"/>
      <c r="BD348" s="55"/>
      <c r="BE348" s="165"/>
      <c r="BF348" s="55"/>
      <c r="BG348" s="10"/>
      <c r="BH348" s="55"/>
      <c r="BI348" s="55"/>
      <c r="BJ348" s="55"/>
      <c r="BK348" s="55"/>
      <c r="BS348" s="141"/>
      <c r="CM348" s="141"/>
      <c r="DC348" s="141"/>
    </row>
    <row r="349" spans="1:107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55"/>
      <c r="R349" s="171"/>
      <c r="S349" s="161"/>
      <c r="T349" s="55"/>
      <c r="U349" s="55"/>
      <c r="V349" s="55"/>
      <c r="W349" s="155"/>
      <c r="X349" s="171"/>
      <c r="Y349" s="165"/>
      <c r="Z349" s="10"/>
      <c r="AA349" s="55"/>
      <c r="AB349" s="55"/>
      <c r="AC349" s="55"/>
      <c r="AD349" s="55"/>
      <c r="AE349" s="55"/>
      <c r="AF349" s="167"/>
      <c r="AG349" s="55"/>
      <c r="AH349" s="55"/>
      <c r="AI349" s="165"/>
      <c r="AJ349" s="55"/>
      <c r="AK349" s="55"/>
      <c r="AL349" s="55"/>
      <c r="AM349" s="55"/>
      <c r="AN349" s="55"/>
      <c r="AO349" s="55"/>
      <c r="AP349" s="55"/>
      <c r="AQ349" s="55"/>
      <c r="AR349" s="165"/>
      <c r="AS349" s="55"/>
      <c r="AT349" s="55"/>
      <c r="AU349" s="55"/>
      <c r="AV349" s="55"/>
      <c r="AW349" s="55"/>
      <c r="AX349" s="55"/>
      <c r="AY349" s="55"/>
      <c r="AZ349" s="55"/>
      <c r="BA349" s="165"/>
      <c r="BB349" s="55"/>
      <c r="BC349" s="55"/>
      <c r="BD349" s="55"/>
      <c r="BE349" s="165"/>
      <c r="BF349" s="55"/>
      <c r="BG349" s="10"/>
      <c r="BH349" s="55"/>
      <c r="BI349" s="55"/>
      <c r="BJ349" s="55"/>
      <c r="BK349" s="55"/>
      <c r="BS349" s="141"/>
      <c r="CM349" s="141"/>
      <c r="DC349" s="141"/>
    </row>
    <row r="350" spans="1:107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55"/>
      <c r="R350" s="171"/>
      <c r="S350" s="161"/>
      <c r="T350" s="55"/>
      <c r="U350" s="55"/>
      <c r="V350" s="55"/>
      <c r="W350" s="155"/>
      <c r="X350" s="171"/>
      <c r="Y350" s="165"/>
      <c r="Z350" s="10"/>
      <c r="AA350" s="55"/>
      <c r="AB350" s="55"/>
      <c r="AC350" s="55"/>
      <c r="AD350" s="55"/>
      <c r="AE350" s="55"/>
      <c r="AF350" s="167"/>
      <c r="AG350" s="55"/>
      <c r="AH350" s="55"/>
      <c r="AI350" s="165"/>
      <c r="AJ350" s="55"/>
      <c r="AK350" s="55"/>
      <c r="AL350" s="55"/>
      <c r="AM350" s="55"/>
      <c r="AN350" s="55"/>
      <c r="AO350" s="55"/>
      <c r="AP350" s="55"/>
      <c r="AQ350" s="55"/>
      <c r="AR350" s="165"/>
      <c r="AS350" s="55"/>
      <c r="AT350" s="55"/>
      <c r="AU350" s="55"/>
      <c r="AV350" s="55"/>
      <c r="AW350" s="55"/>
      <c r="AX350" s="55"/>
      <c r="AY350" s="55"/>
      <c r="AZ350" s="55"/>
      <c r="BA350" s="165"/>
      <c r="BB350" s="55"/>
      <c r="BC350" s="55"/>
      <c r="BD350" s="55"/>
      <c r="BE350" s="165"/>
      <c r="BF350" s="55"/>
      <c r="BG350" s="10"/>
      <c r="BH350" s="55"/>
      <c r="BI350" s="55"/>
      <c r="BJ350" s="55"/>
      <c r="BK350" s="55"/>
      <c r="BS350" s="141"/>
      <c r="CM350" s="141"/>
      <c r="DC350" s="141"/>
    </row>
    <row r="351" spans="1:107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55"/>
      <c r="R351" s="171"/>
      <c r="S351" s="161"/>
      <c r="T351" s="55"/>
      <c r="U351" s="55"/>
      <c r="V351" s="55"/>
      <c r="W351" s="155"/>
      <c r="X351" s="171"/>
      <c r="Y351" s="165"/>
      <c r="Z351" s="10"/>
      <c r="AA351" s="55"/>
      <c r="AB351" s="55"/>
      <c r="AC351" s="55"/>
      <c r="AD351" s="55"/>
      <c r="AE351" s="55"/>
      <c r="AF351" s="167"/>
      <c r="AG351" s="55"/>
      <c r="AH351" s="55"/>
      <c r="AI351" s="165"/>
      <c r="AJ351" s="55"/>
      <c r="AK351" s="55"/>
      <c r="AL351" s="55"/>
      <c r="AM351" s="55"/>
      <c r="AN351" s="55"/>
      <c r="AO351" s="55"/>
      <c r="AP351" s="55"/>
      <c r="AQ351" s="55"/>
      <c r="AR351" s="165"/>
      <c r="AS351" s="55"/>
      <c r="AT351" s="55"/>
      <c r="AU351" s="55"/>
      <c r="AV351" s="55"/>
      <c r="AW351" s="55"/>
      <c r="AX351" s="55"/>
      <c r="AY351" s="55"/>
      <c r="AZ351" s="55"/>
      <c r="BA351" s="165"/>
      <c r="BB351" s="55"/>
      <c r="BC351" s="55"/>
      <c r="BD351" s="55"/>
      <c r="BE351" s="165"/>
      <c r="BF351" s="55"/>
      <c r="BG351" s="10"/>
      <c r="BH351" s="55"/>
      <c r="BI351" s="55"/>
      <c r="BJ351" s="55"/>
      <c r="BK351" s="55"/>
      <c r="BS351" s="141"/>
      <c r="CM351" s="141"/>
      <c r="DC351" s="141"/>
    </row>
    <row r="352" spans="1:107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55"/>
      <c r="R352" s="171"/>
      <c r="S352" s="161"/>
      <c r="T352" s="55"/>
      <c r="U352" s="55"/>
      <c r="V352" s="55"/>
      <c r="W352" s="155"/>
      <c r="X352" s="171"/>
      <c r="Y352" s="165"/>
      <c r="Z352" s="10"/>
      <c r="AA352" s="55"/>
      <c r="AB352" s="55"/>
      <c r="AC352" s="55"/>
      <c r="AD352" s="55"/>
      <c r="AE352" s="55"/>
      <c r="AF352" s="167"/>
      <c r="AG352" s="55"/>
      <c r="AH352" s="55"/>
      <c r="AI352" s="165"/>
      <c r="AJ352" s="55"/>
      <c r="AK352" s="55"/>
      <c r="AL352" s="55"/>
      <c r="AM352" s="55"/>
      <c r="AN352" s="55"/>
      <c r="AO352" s="55"/>
      <c r="AP352" s="55"/>
      <c r="AQ352" s="55"/>
      <c r="AR352" s="165"/>
      <c r="AS352" s="55"/>
      <c r="AT352" s="55"/>
      <c r="AU352" s="55"/>
      <c r="AV352" s="55"/>
      <c r="AW352" s="55"/>
      <c r="AX352" s="55"/>
      <c r="AY352" s="55"/>
      <c r="AZ352" s="55"/>
      <c r="BA352" s="165"/>
      <c r="BB352" s="55"/>
      <c r="BC352" s="55"/>
      <c r="BD352" s="55"/>
      <c r="BE352" s="165"/>
      <c r="BF352" s="55"/>
      <c r="BG352" s="10"/>
      <c r="BH352" s="55"/>
      <c r="BI352" s="55"/>
      <c r="BJ352" s="55"/>
      <c r="BK352" s="55"/>
      <c r="BS352" s="141"/>
      <c r="CM352" s="141"/>
      <c r="DC352" s="141"/>
    </row>
    <row r="353" spans="1:107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55"/>
      <c r="R353" s="171"/>
      <c r="S353" s="161"/>
      <c r="T353" s="55"/>
      <c r="U353" s="55"/>
      <c r="V353" s="55"/>
      <c r="W353" s="155"/>
      <c r="X353" s="171"/>
      <c r="Y353" s="165"/>
      <c r="Z353" s="10"/>
      <c r="AA353" s="55"/>
      <c r="AB353" s="55"/>
      <c r="AC353" s="55"/>
      <c r="AD353" s="55"/>
      <c r="AE353" s="55"/>
      <c r="AF353" s="167"/>
      <c r="AG353" s="55"/>
      <c r="AH353" s="55"/>
      <c r="AI353" s="165"/>
      <c r="AJ353" s="55"/>
      <c r="AK353" s="55"/>
      <c r="AL353" s="55"/>
      <c r="AM353" s="55"/>
      <c r="AN353" s="55"/>
      <c r="AO353" s="55"/>
      <c r="AP353" s="55"/>
      <c r="AQ353" s="55"/>
      <c r="AR353" s="165"/>
      <c r="AS353" s="55"/>
      <c r="AT353" s="55"/>
      <c r="AU353" s="55"/>
      <c r="AV353" s="55"/>
      <c r="AW353" s="55"/>
      <c r="AX353" s="55"/>
      <c r="AY353" s="55"/>
      <c r="AZ353" s="55"/>
      <c r="BA353" s="165"/>
      <c r="BB353" s="55"/>
      <c r="BC353" s="55"/>
      <c r="BD353" s="55"/>
      <c r="BE353" s="165"/>
      <c r="BF353" s="55"/>
      <c r="BG353" s="10"/>
      <c r="BH353" s="55"/>
      <c r="BI353" s="55"/>
      <c r="BJ353" s="55"/>
      <c r="BK353" s="55"/>
      <c r="BS353" s="141"/>
      <c r="CM353" s="141"/>
      <c r="DC353" s="141"/>
    </row>
    <row r="354" spans="1:107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55"/>
      <c r="R354" s="171"/>
      <c r="S354" s="161"/>
      <c r="T354" s="55"/>
      <c r="U354" s="55"/>
      <c r="V354" s="55"/>
      <c r="W354" s="155"/>
      <c r="X354" s="171"/>
      <c r="Y354" s="165"/>
      <c r="Z354" s="10"/>
      <c r="AA354" s="55"/>
      <c r="AB354" s="55"/>
      <c r="AC354" s="55"/>
      <c r="AD354" s="55"/>
      <c r="AE354" s="55"/>
      <c r="AF354" s="167"/>
      <c r="AG354" s="55"/>
      <c r="AH354" s="55"/>
      <c r="AI354" s="165"/>
      <c r="AJ354" s="55"/>
      <c r="AK354" s="55"/>
      <c r="AL354" s="55"/>
      <c r="AM354" s="55"/>
      <c r="AN354" s="55"/>
      <c r="AO354" s="55"/>
      <c r="AP354" s="55"/>
      <c r="AQ354" s="55"/>
      <c r="AR354" s="165"/>
      <c r="AS354" s="55"/>
      <c r="AT354" s="55"/>
      <c r="AU354" s="55"/>
      <c r="AV354" s="55"/>
      <c r="AW354" s="55"/>
      <c r="AX354" s="55"/>
      <c r="AY354" s="55"/>
      <c r="AZ354" s="55"/>
      <c r="BA354" s="165"/>
      <c r="BB354" s="55"/>
      <c r="BC354" s="55"/>
      <c r="BD354" s="55"/>
      <c r="BE354" s="165"/>
      <c r="BF354" s="55"/>
      <c r="BG354" s="10"/>
      <c r="BH354" s="55"/>
      <c r="BI354" s="55"/>
      <c r="BJ354" s="55"/>
      <c r="BK354" s="55"/>
      <c r="BS354" s="141"/>
      <c r="CM354" s="141"/>
      <c r="DC354" s="141"/>
    </row>
    <row r="355" spans="1:107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55"/>
      <c r="R355" s="171"/>
      <c r="S355" s="161"/>
      <c r="T355" s="55"/>
      <c r="U355" s="55"/>
      <c r="V355" s="55"/>
      <c r="W355" s="155"/>
      <c r="X355" s="171"/>
      <c r="Y355" s="165"/>
      <c r="Z355" s="10"/>
      <c r="AA355" s="55"/>
      <c r="AB355" s="55"/>
      <c r="AC355" s="55"/>
      <c r="AD355" s="55"/>
      <c r="AE355" s="55"/>
      <c r="AF355" s="167"/>
      <c r="AG355" s="55"/>
      <c r="AH355" s="55"/>
      <c r="AI355" s="165"/>
      <c r="AJ355" s="55"/>
      <c r="AK355" s="55"/>
      <c r="AL355" s="55"/>
      <c r="AM355" s="55"/>
      <c r="AN355" s="55"/>
      <c r="AO355" s="55"/>
      <c r="AP355" s="55"/>
      <c r="AQ355" s="55"/>
      <c r="AR355" s="165"/>
      <c r="AS355" s="55"/>
      <c r="AT355" s="55"/>
      <c r="AU355" s="55"/>
      <c r="AV355" s="55"/>
      <c r="AW355" s="55"/>
      <c r="AX355" s="55"/>
      <c r="AY355" s="55"/>
      <c r="AZ355" s="55"/>
      <c r="BA355" s="165"/>
      <c r="BB355" s="55"/>
      <c r="BC355" s="55"/>
      <c r="BD355" s="55"/>
      <c r="BE355" s="165"/>
      <c r="BF355" s="55"/>
      <c r="BG355" s="10"/>
      <c r="BH355" s="55"/>
      <c r="BI355" s="55"/>
      <c r="BJ355" s="55"/>
      <c r="BK355" s="55"/>
      <c r="BS355" s="141"/>
      <c r="CM355" s="141"/>
      <c r="DC355" s="141"/>
    </row>
    <row r="356" spans="1:107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55"/>
      <c r="R356" s="171"/>
      <c r="S356" s="161"/>
      <c r="T356" s="55"/>
      <c r="U356" s="55"/>
      <c r="V356" s="55"/>
      <c r="W356" s="155"/>
      <c r="X356" s="171"/>
      <c r="Y356" s="165"/>
      <c r="Z356" s="10"/>
      <c r="AA356" s="55"/>
      <c r="AB356" s="55"/>
      <c r="AC356" s="55"/>
      <c r="AD356" s="55"/>
      <c r="AE356" s="55"/>
      <c r="AF356" s="167"/>
      <c r="AG356" s="55"/>
      <c r="AH356" s="55"/>
      <c r="AI356" s="165"/>
      <c r="AJ356" s="55"/>
      <c r="AK356" s="55"/>
      <c r="AL356" s="55"/>
      <c r="AM356" s="55"/>
      <c r="AN356" s="55"/>
      <c r="AO356" s="55"/>
      <c r="AP356" s="55"/>
      <c r="AQ356" s="55"/>
      <c r="AR356" s="165"/>
      <c r="AS356" s="55"/>
      <c r="AT356" s="55"/>
      <c r="AU356" s="55"/>
      <c r="AV356" s="55"/>
      <c r="AW356" s="55"/>
      <c r="AX356" s="55"/>
      <c r="AY356" s="55"/>
      <c r="AZ356" s="55"/>
      <c r="BA356" s="165"/>
      <c r="BB356" s="55"/>
      <c r="BC356" s="55"/>
      <c r="BD356" s="55"/>
      <c r="BE356" s="165"/>
      <c r="BF356" s="55"/>
      <c r="BG356" s="10"/>
      <c r="BH356" s="55"/>
      <c r="BI356" s="55"/>
      <c r="BJ356" s="55"/>
      <c r="BK356" s="55"/>
      <c r="BS356" s="141"/>
      <c r="CM356" s="141"/>
      <c r="DC356" s="141"/>
    </row>
    <row r="357" spans="1:107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55"/>
      <c r="R357" s="171"/>
      <c r="S357" s="161"/>
      <c r="T357" s="55"/>
      <c r="U357" s="55"/>
      <c r="V357" s="55"/>
      <c r="W357" s="155"/>
      <c r="X357" s="171"/>
      <c r="Y357" s="165"/>
      <c r="Z357" s="10"/>
      <c r="AA357" s="55"/>
      <c r="AB357" s="55"/>
      <c r="AC357" s="55"/>
      <c r="AD357" s="55"/>
      <c r="AE357" s="55"/>
      <c r="AF357" s="167"/>
      <c r="AG357" s="55"/>
      <c r="AH357" s="55"/>
      <c r="AI357" s="165"/>
      <c r="AJ357" s="55"/>
      <c r="AK357" s="55"/>
      <c r="AL357" s="55"/>
      <c r="AM357" s="55"/>
      <c r="AN357" s="55"/>
      <c r="AO357" s="55"/>
      <c r="AP357" s="55"/>
      <c r="AQ357" s="55"/>
      <c r="AR357" s="165"/>
      <c r="AS357" s="55"/>
      <c r="AT357" s="55"/>
      <c r="AU357" s="55"/>
      <c r="AV357" s="55"/>
      <c r="AW357" s="55"/>
      <c r="AX357" s="55"/>
      <c r="AY357" s="55"/>
      <c r="AZ357" s="55"/>
      <c r="BA357" s="165"/>
      <c r="BB357" s="55"/>
      <c r="BC357" s="55"/>
      <c r="BD357" s="55"/>
      <c r="BE357" s="165"/>
      <c r="BF357" s="55"/>
      <c r="BG357" s="10"/>
      <c r="BH357" s="55"/>
      <c r="BI357" s="55"/>
      <c r="BJ357" s="55"/>
      <c r="BK357" s="55"/>
      <c r="BS357" s="141"/>
      <c r="CM357" s="141"/>
      <c r="DC357" s="141"/>
    </row>
    <row r="358" spans="1:107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55"/>
      <c r="R358" s="171"/>
      <c r="S358" s="161"/>
      <c r="T358" s="55"/>
      <c r="U358" s="55"/>
      <c r="V358" s="55"/>
      <c r="W358" s="155"/>
      <c r="X358" s="171"/>
      <c r="Y358" s="165"/>
      <c r="Z358" s="10"/>
      <c r="AA358" s="55"/>
      <c r="AB358" s="55"/>
      <c r="AC358" s="55"/>
      <c r="AD358" s="55"/>
      <c r="AE358" s="55"/>
      <c r="AF358" s="167"/>
      <c r="AG358" s="55"/>
      <c r="AH358" s="55"/>
      <c r="AI358" s="165"/>
      <c r="AJ358" s="55"/>
      <c r="AK358" s="55"/>
      <c r="AL358" s="55"/>
      <c r="AM358" s="55"/>
      <c r="AN358" s="55"/>
      <c r="AO358" s="55"/>
      <c r="AP358" s="55"/>
      <c r="AQ358" s="55"/>
      <c r="AR358" s="165"/>
      <c r="AS358" s="55"/>
      <c r="AT358" s="55"/>
      <c r="AU358" s="55"/>
      <c r="AV358" s="55"/>
      <c r="AW358" s="55"/>
      <c r="AX358" s="55"/>
      <c r="AY358" s="55"/>
      <c r="AZ358" s="55"/>
      <c r="BA358" s="165"/>
      <c r="BB358" s="55"/>
      <c r="BC358" s="55"/>
      <c r="BD358" s="55"/>
      <c r="BE358" s="165"/>
      <c r="BF358" s="55"/>
      <c r="BG358" s="10"/>
      <c r="BH358" s="55"/>
      <c r="BI358" s="55"/>
      <c r="BJ358" s="55"/>
      <c r="BK358" s="55"/>
      <c r="BS358" s="141"/>
      <c r="CM358" s="141"/>
      <c r="DC358" s="141"/>
    </row>
    <row r="359" spans="1:107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55"/>
      <c r="R359" s="171"/>
      <c r="S359" s="161"/>
      <c r="T359" s="55"/>
      <c r="U359" s="55"/>
      <c r="V359" s="55"/>
      <c r="W359" s="155"/>
      <c r="X359" s="171"/>
      <c r="Y359" s="165"/>
      <c r="Z359" s="10"/>
      <c r="AA359" s="55"/>
      <c r="AB359" s="55"/>
      <c r="AC359" s="55"/>
      <c r="AD359" s="55"/>
      <c r="AE359" s="55"/>
      <c r="AF359" s="167"/>
      <c r="AG359" s="55"/>
      <c r="AH359" s="55"/>
      <c r="AI359" s="165"/>
      <c r="AJ359" s="55"/>
      <c r="AK359" s="55"/>
      <c r="AL359" s="55"/>
      <c r="AM359" s="55"/>
      <c r="AN359" s="55"/>
      <c r="AO359" s="55"/>
      <c r="AP359" s="55"/>
      <c r="AQ359" s="55"/>
      <c r="AR359" s="165"/>
      <c r="AS359" s="55"/>
      <c r="AT359" s="55"/>
      <c r="AU359" s="55"/>
      <c r="AV359" s="55"/>
      <c r="AW359" s="55"/>
      <c r="AX359" s="55"/>
      <c r="AY359" s="55"/>
      <c r="AZ359" s="55"/>
      <c r="BA359" s="165"/>
      <c r="BB359" s="55"/>
      <c r="BC359" s="55"/>
      <c r="BD359" s="55"/>
      <c r="BE359" s="165"/>
      <c r="BF359" s="55"/>
      <c r="BG359" s="10"/>
      <c r="BH359" s="55"/>
      <c r="BI359" s="55"/>
      <c r="BJ359" s="55"/>
      <c r="BK359" s="55"/>
      <c r="BS359" s="141"/>
      <c r="CM359" s="141"/>
      <c r="DC359" s="141"/>
    </row>
    <row r="360" spans="1:107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55"/>
      <c r="R360" s="171"/>
      <c r="S360" s="161"/>
      <c r="T360" s="55"/>
      <c r="U360" s="55"/>
      <c r="V360" s="55"/>
      <c r="W360" s="155"/>
      <c r="X360" s="171"/>
      <c r="Y360" s="165"/>
      <c r="Z360" s="10"/>
      <c r="AA360" s="55"/>
      <c r="AB360" s="55"/>
      <c r="AC360" s="55"/>
      <c r="AD360" s="55"/>
      <c r="AE360" s="55"/>
      <c r="AF360" s="167"/>
      <c r="AG360" s="55"/>
      <c r="AH360" s="55"/>
      <c r="AI360" s="165"/>
      <c r="AJ360" s="55"/>
      <c r="AK360" s="55"/>
      <c r="AL360" s="55"/>
      <c r="AM360" s="55"/>
      <c r="AN360" s="55"/>
      <c r="AO360" s="55"/>
      <c r="AP360" s="55"/>
      <c r="AQ360" s="55"/>
      <c r="AR360" s="165"/>
      <c r="AS360" s="55"/>
      <c r="AT360" s="55"/>
      <c r="AU360" s="55"/>
      <c r="AV360" s="55"/>
      <c r="AW360" s="55"/>
      <c r="AX360" s="55"/>
      <c r="AY360" s="55"/>
      <c r="AZ360" s="55"/>
      <c r="BA360" s="165"/>
      <c r="BB360" s="55"/>
      <c r="BC360" s="55"/>
      <c r="BD360" s="55"/>
      <c r="BE360" s="165"/>
      <c r="BF360" s="55"/>
      <c r="BG360" s="10"/>
      <c r="BH360" s="55"/>
      <c r="BI360" s="55"/>
      <c r="BJ360" s="55"/>
      <c r="BK360" s="55"/>
      <c r="BS360" s="141"/>
      <c r="CM360" s="141"/>
      <c r="DC360" s="141"/>
    </row>
    <row r="361" spans="1:107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55"/>
      <c r="R361" s="171"/>
      <c r="S361" s="161"/>
      <c r="T361" s="55"/>
      <c r="U361" s="55"/>
      <c r="V361" s="55"/>
      <c r="W361" s="155"/>
      <c r="X361" s="171"/>
      <c r="Y361" s="165"/>
      <c r="Z361" s="10"/>
      <c r="AA361" s="55"/>
      <c r="AB361" s="55"/>
      <c r="AC361" s="55"/>
      <c r="AD361" s="55"/>
      <c r="AE361" s="55"/>
      <c r="AF361" s="167"/>
      <c r="AG361" s="55"/>
      <c r="AH361" s="55"/>
      <c r="AI361" s="165"/>
      <c r="AJ361" s="55"/>
      <c r="AK361" s="55"/>
      <c r="AL361" s="55"/>
      <c r="AM361" s="55"/>
      <c r="AN361" s="55"/>
      <c r="AO361" s="55"/>
      <c r="AP361" s="55"/>
      <c r="AQ361" s="55"/>
      <c r="AR361" s="165"/>
      <c r="AS361" s="55"/>
      <c r="AT361" s="55"/>
      <c r="AU361" s="55"/>
      <c r="AV361" s="55"/>
      <c r="AW361" s="55"/>
      <c r="AX361" s="55"/>
      <c r="AY361" s="55"/>
      <c r="AZ361" s="55"/>
      <c r="BA361" s="165"/>
      <c r="BB361" s="55"/>
      <c r="BC361" s="55"/>
      <c r="BD361" s="55"/>
      <c r="BE361" s="165"/>
      <c r="BF361" s="55"/>
      <c r="BG361" s="10"/>
      <c r="BH361" s="55"/>
      <c r="BI361" s="55"/>
      <c r="BJ361" s="55"/>
      <c r="BK361" s="55"/>
      <c r="BS361" s="141"/>
      <c r="CM361" s="141"/>
      <c r="DC361" s="141"/>
    </row>
    <row r="362" spans="1:107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55"/>
      <c r="R362" s="171"/>
      <c r="S362" s="161"/>
      <c r="T362" s="55"/>
      <c r="U362" s="55"/>
      <c r="V362" s="55"/>
      <c r="W362" s="155"/>
      <c r="X362" s="171"/>
      <c r="Y362" s="165"/>
      <c r="Z362" s="10"/>
      <c r="AA362" s="55"/>
      <c r="AB362" s="55"/>
      <c r="AC362" s="55"/>
      <c r="AD362" s="55"/>
      <c r="AE362" s="55"/>
      <c r="AF362" s="167"/>
      <c r="AG362" s="55"/>
      <c r="AH362" s="55"/>
      <c r="AI362" s="165"/>
      <c r="AJ362" s="55"/>
      <c r="AK362" s="55"/>
      <c r="AL362" s="55"/>
      <c r="AM362" s="55"/>
      <c r="AN362" s="55"/>
      <c r="AO362" s="55"/>
      <c r="AP362" s="55"/>
      <c r="AQ362" s="55"/>
      <c r="AR362" s="165"/>
      <c r="AS362" s="55"/>
      <c r="AT362" s="55"/>
      <c r="AU362" s="55"/>
      <c r="AV362" s="55"/>
      <c r="AW362" s="55"/>
      <c r="AX362" s="55"/>
      <c r="AY362" s="55"/>
      <c r="AZ362" s="55"/>
      <c r="BA362" s="165"/>
      <c r="BB362" s="55"/>
      <c r="BC362" s="55"/>
      <c r="BD362" s="55"/>
      <c r="BE362" s="165"/>
      <c r="BF362" s="55"/>
      <c r="BG362" s="10"/>
      <c r="BH362" s="55"/>
      <c r="BI362" s="55"/>
      <c r="BJ362" s="55"/>
      <c r="BK362" s="55"/>
      <c r="BS362" s="141"/>
      <c r="CM362" s="141"/>
      <c r="DC362" s="141"/>
    </row>
    <row r="363" spans="1:107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55"/>
      <c r="R363" s="171"/>
      <c r="S363" s="161"/>
      <c r="T363" s="55"/>
      <c r="U363" s="55"/>
      <c r="V363" s="55"/>
      <c r="W363" s="155"/>
      <c r="X363" s="171"/>
      <c r="Y363" s="165"/>
      <c r="Z363" s="10"/>
      <c r="AA363" s="55"/>
      <c r="AB363" s="55"/>
      <c r="AC363" s="55"/>
      <c r="AD363" s="55"/>
      <c r="AE363" s="55"/>
      <c r="AF363" s="167"/>
      <c r="AG363" s="55"/>
      <c r="AH363" s="55"/>
      <c r="AI363" s="165"/>
      <c r="AJ363" s="55"/>
      <c r="AK363" s="55"/>
      <c r="AL363" s="55"/>
      <c r="AM363" s="55"/>
      <c r="AN363" s="55"/>
      <c r="AO363" s="55"/>
      <c r="AP363" s="55"/>
      <c r="AQ363" s="55"/>
      <c r="AR363" s="165"/>
      <c r="AS363" s="55"/>
      <c r="AT363" s="55"/>
      <c r="AU363" s="55"/>
      <c r="AV363" s="55"/>
      <c r="AW363" s="55"/>
      <c r="AX363" s="55"/>
      <c r="AY363" s="55"/>
      <c r="AZ363" s="55"/>
      <c r="BA363" s="165"/>
      <c r="BB363" s="55"/>
      <c r="BC363" s="55"/>
      <c r="BD363" s="55"/>
      <c r="BE363" s="165"/>
      <c r="BF363" s="55"/>
      <c r="BG363" s="10"/>
      <c r="BH363" s="55"/>
      <c r="BI363" s="55"/>
      <c r="BJ363" s="55"/>
      <c r="BK363" s="55"/>
      <c r="BS363" s="141"/>
      <c r="CM363" s="141"/>
      <c r="DC363" s="141"/>
    </row>
    <row r="364" spans="1:107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55"/>
      <c r="R364" s="171"/>
      <c r="S364" s="161"/>
      <c r="T364" s="55"/>
      <c r="U364" s="55"/>
      <c r="V364" s="55"/>
      <c r="W364" s="155"/>
      <c r="X364" s="171"/>
      <c r="Y364" s="165"/>
      <c r="Z364" s="10"/>
      <c r="AA364" s="55"/>
      <c r="AB364" s="55"/>
      <c r="AC364" s="55"/>
      <c r="AD364" s="55"/>
      <c r="AE364" s="55"/>
      <c r="AF364" s="167"/>
      <c r="AG364" s="55"/>
      <c r="AH364" s="55"/>
      <c r="AI364" s="165"/>
      <c r="AJ364" s="55"/>
      <c r="AK364" s="55"/>
      <c r="AL364" s="55"/>
      <c r="AM364" s="55"/>
      <c r="AN364" s="55"/>
      <c r="AO364" s="55"/>
      <c r="AP364" s="55"/>
      <c r="AQ364" s="55"/>
      <c r="AR364" s="165"/>
      <c r="AS364" s="55"/>
      <c r="AT364" s="55"/>
      <c r="AU364" s="55"/>
      <c r="AV364" s="55"/>
      <c r="AW364" s="55"/>
      <c r="AX364" s="55"/>
      <c r="AY364" s="55"/>
      <c r="AZ364" s="55"/>
      <c r="BA364" s="165"/>
      <c r="BB364" s="55"/>
      <c r="BC364" s="55"/>
      <c r="BD364" s="55"/>
      <c r="BE364" s="165"/>
      <c r="BF364" s="55"/>
      <c r="BG364" s="10"/>
      <c r="BH364" s="55"/>
      <c r="BI364" s="55"/>
      <c r="BJ364" s="55"/>
      <c r="BK364" s="55"/>
      <c r="BS364" s="141"/>
      <c r="CM364" s="141"/>
      <c r="DC364" s="141"/>
    </row>
    <row r="365" spans="1:107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55"/>
      <c r="R365" s="171"/>
      <c r="S365" s="161"/>
      <c r="T365" s="55"/>
      <c r="U365" s="55"/>
      <c r="V365" s="55"/>
      <c r="W365" s="155"/>
      <c r="X365" s="171"/>
      <c r="Y365" s="165"/>
      <c r="Z365" s="10"/>
      <c r="AA365" s="55"/>
      <c r="AB365" s="55"/>
      <c r="AC365" s="55"/>
      <c r="AD365" s="55"/>
      <c r="AE365" s="55"/>
      <c r="AF365" s="167"/>
      <c r="AG365" s="55"/>
      <c r="AH365" s="55"/>
      <c r="AI365" s="165"/>
      <c r="AJ365" s="55"/>
      <c r="AK365" s="55"/>
      <c r="AL365" s="55"/>
      <c r="AM365" s="55"/>
      <c r="AN365" s="55"/>
      <c r="AO365" s="55"/>
      <c r="AP365" s="55"/>
      <c r="AQ365" s="55"/>
      <c r="AR365" s="165"/>
      <c r="AS365" s="55"/>
      <c r="AT365" s="55"/>
      <c r="AU365" s="55"/>
      <c r="AV365" s="55"/>
      <c r="AW365" s="55"/>
      <c r="AX365" s="55"/>
      <c r="AY365" s="55"/>
      <c r="AZ365" s="55"/>
      <c r="BA365" s="165"/>
      <c r="BB365" s="55"/>
      <c r="BC365" s="55"/>
      <c r="BD365" s="55"/>
      <c r="BE365" s="165"/>
      <c r="BF365" s="55"/>
      <c r="BG365" s="10"/>
      <c r="BH365" s="55"/>
      <c r="BI365" s="55"/>
      <c r="BJ365" s="55"/>
      <c r="BK365" s="55"/>
      <c r="BS365" s="141"/>
      <c r="CM365" s="141"/>
      <c r="DC365" s="141"/>
    </row>
    <row r="366" spans="1:107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55"/>
      <c r="R366" s="171"/>
      <c r="S366" s="161"/>
      <c r="T366" s="55"/>
      <c r="U366" s="55"/>
      <c r="V366" s="55"/>
      <c r="W366" s="155"/>
      <c r="X366" s="171"/>
      <c r="Y366" s="165"/>
      <c r="Z366" s="10"/>
      <c r="AA366" s="55"/>
      <c r="AB366" s="55"/>
      <c r="AC366" s="55"/>
      <c r="AD366" s="55"/>
      <c r="AE366" s="55"/>
      <c r="AF366" s="167"/>
      <c r="AG366" s="55"/>
      <c r="AH366" s="55"/>
      <c r="AI366" s="165"/>
      <c r="AJ366" s="55"/>
      <c r="AK366" s="55"/>
      <c r="AL366" s="55"/>
      <c r="AM366" s="55"/>
      <c r="AN366" s="55"/>
      <c r="AO366" s="55"/>
      <c r="AP366" s="55"/>
      <c r="AQ366" s="55"/>
      <c r="AR366" s="165"/>
      <c r="AS366" s="55"/>
      <c r="AT366" s="55"/>
      <c r="AU366" s="55"/>
      <c r="AV366" s="55"/>
      <c r="AW366" s="55"/>
      <c r="AX366" s="55"/>
      <c r="AY366" s="55"/>
      <c r="AZ366" s="55"/>
      <c r="BA366" s="165"/>
      <c r="BB366" s="55"/>
      <c r="BC366" s="55"/>
      <c r="BD366" s="55"/>
      <c r="BE366" s="165"/>
      <c r="BF366" s="55"/>
      <c r="BG366" s="10"/>
      <c r="BH366" s="55"/>
      <c r="BI366" s="55"/>
      <c r="BJ366" s="55"/>
      <c r="BK366" s="55"/>
      <c r="BS366" s="141"/>
      <c r="CM366" s="141"/>
      <c r="DC366" s="141"/>
    </row>
    <row r="367" spans="1:107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55"/>
      <c r="R367" s="171"/>
      <c r="S367" s="161"/>
      <c r="T367" s="55"/>
      <c r="U367" s="55"/>
      <c r="V367" s="55"/>
      <c r="W367" s="155"/>
      <c r="X367" s="171"/>
      <c r="Y367" s="165"/>
      <c r="Z367" s="10"/>
      <c r="AA367" s="55"/>
      <c r="AB367" s="55"/>
      <c r="AC367" s="55"/>
      <c r="AD367" s="55"/>
      <c r="AE367" s="55"/>
      <c r="AF367" s="167"/>
      <c r="AG367" s="55"/>
      <c r="AH367" s="55"/>
      <c r="AI367" s="165"/>
      <c r="AJ367" s="55"/>
      <c r="AK367" s="55"/>
      <c r="AL367" s="55"/>
      <c r="AM367" s="55"/>
      <c r="AN367" s="55"/>
      <c r="AO367" s="55"/>
      <c r="AP367" s="55"/>
      <c r="AQ367" s="55"/>
      <c r="AR367" s="165"/>
      <c r="AS367" s="55"/>
      <c r="AT367" s="55"/>
      <c r="AU367" s="55"/>
      <c r="AV367" s="55"/>
      <c r="AW367" s="55"/>
      <c r="AX367" s="55"/>
      <c r="AY367" s="55"/>
      <c r="AZ367" s="55"/>
      <c r="BA367" s="165"/>
      <c r="BB367" s="55"/>
      <c r="BC367" s="55"/>
      <c r="BD367" s="55"/>
      <c r="BE367" s="165"/>
      <c r="BF367" s="55"/>
      <c r="BG367" s="10"/>
      <c r="BH367" s="55"/>
      <c r="BI367" s="55"/>
      <c r="BJ367" s="55"/>
      <c r="BK367" s="55"/>
      <c r="BS367" s="141"/>
      <c r="CM367" s="141"/>
      <c r="DC367" s="141"/>
    </row>
    <row r="368" spans="1:107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55"/>
      <c r="R368" s="171"/>
      <c r="S368" s="161"/>
      <c r="T368" s="55"/>
      <c r="U368" s="55"/>
      <c r="V368" s="55"/>
      <c r="W368" s="155"/>
      <c r="X368" s="171"/>
      <c r="Y368" s="165"/>
      <c r="Z368" s="10"/>
      <c r="AA368" s="55"/>
      <c r="AB368" s="55"/>
      <c r="AC368" s="55"/>
      <c r="AD368" s="55"/>
      <c r="AE368" s="55"/>
      <c r="AF368" s="167"/>
      <c r="AG368" s="55"/>
      <c r="AH368" s="55"/>
      <c r="AI368" s="165"/>
      <c r="AJ368" s="55"/>
      <c r="AK368" s="55"/>
      <c r="AL368" s="55"/>
      <c r="AM368" s="55"/>
      <c r="AN368" s="55"/>
      <c r="AO368" s="55"/>
      <c r="AP368" s="55"/>
      <c r="AQ368" s="55"/>
      <c r="AR368" s="165"/>
      <c r="AS368" s="55"/>
      <c r="AT368" s="55"/>
      <c r="AU368" s="55"/>
      <c r="AV368" s="55"/>
      <c r="AW368" s="55"/>
      <c r="AX368" s="55"/>
      <c r="AY368" s="55"/>
      <c r="AZ368" s="55"/>
      <c r="BA368" s="165"/>
      <c r="BB368" s="55"/>
      <c r="BC368" s="55"/>
      <c r="BD368" s="55"/>
      <c r="BE368" s="165"/>
      <c r="BF368" s="55"/>
      <c r="BG368" s="10"/>
      <c r="BH368" s="55"/>
      <c r="BI368" s="55"/>
      <c r="BJ368" s="55"/>
      <c r="BK368" s="55"/>
      <c r="BS368" s="141"/>
      <c r="CM368" s="141"/>
      <c r="DC368" s="141"/>
    </row>
    <row r="369" spans="1:107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55"/>
      <c r="R369" s="171"/>
      <c r="S369" s="161"/>
      <c r="T369" s="55"/>
      <c r="U369" s="55"/>
      <c r="V369" s="55"/>
      <c r="W369" s="155"/>
      <c r="X369" s="171"/>
      <c r="Y369" s="165"/>
      <c r="Z369" s="10"/>
      <c r="AA369" s="55"/>
      <c r="AB369" s="55"/>
      <c r="AC369" s="55"/>
      <c r="AD369" s="55"/>
      <c r="AE369" s="55"/>
      <c r="AF369" s="167"/>
      <c r="AG369" s="55"/>
      <c r="AH369" s="55"/>
      <c r="AI369" s="165"/>
      <c r="AJ369" s="55"/>
      <c r="AK369" s="55"/>
      <c r="AL369" s="55"/>
      <c r="AM369" s="55"/>
      <c r="AN369" s="55"/>
      <c r="AO369" s="55"/>
      <c r="AP369" s="55"/>
      <c r="AQ369" s="55"/>
      <c r="AR369" s="165"/>
      <c r="AS369" s="55"/>
      <c r="AT369" s="55"/>
      <c r="AU369" s="55"/>
      <c r="AV369" s="55"/>
      <c r="AW369" s="55"/>
      <c r="AX369" s="55"/>
      <c r="AY369" s="55"/>
      <c r="AZ369" s="55"/>
      <c r="BA369" s="165"/>
      <c r="BB369" s="55"/>
      <c r="BC369" s="55"/>
      <c r="BD369" s="55"/>
      <c r="BE369" s="165"/>
      <c r="BF369" s="55"/>
      <c r="BG369" s="10"/>
      <c r="BH369" s="55"/>
      <c r="BI369" s="55"/>
      <c r="BJ369" s="55"/>
      <c r="BK369" s="55"/>
      <c r="BS369" s="141"/>
      <c r="CM369" s="141"/>
      <c r="DC369" s="141"/>
    </row>
    <row r="370" spans="1:107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55"/>
      <c r="R370" s="171"/>
      <c r="S370" s="161"/>
      <c r="T370" s="55"/>
      <c r="U370" s="55"/>
      <c r="V370" s="55"/>
      <c r="W370" s="155"/>
      <c r="X370" s="171"/>
      <c r="Y370" s="165"/>
      <c r="Z370" s="10"/>
      <c r="AA370" s="55"/>
      <c r="AB370" s="55"/>
      <c r="AC370" s="55"/>
      <c r="AD370" s="55"/>
      <c r="AE370" s="55"/>
      <c r="AF370" s="167"/>
      <c r="AG370" s="55"/>
      <c r="AH370" s="55"/>
      <c r="AI370" s="165"/>
      <c r="AJ370" s="55"/>
      <c r="AK370" s="55"/>
      <c r="AL370" s="55"/>
      <c r="AM370" s="55"/>
      <c r="AN370" s="55"/>
      <c r="AO370" s="55"/>
      <c r="AP370" s="55"/>
      <c r="AQ370" s="55"/>
      <c r="AR370" s="165"/>
      <c r="AS370" s="55"/>
      <c r="AT370" s="55"/>
      <c r="AU370" s="55"/>
      <c r="AV370" s="55"/>
      <c r="AW370" s="55"/>
      <c r="AX370" s="55"/>
      <c r="AY370" s="55"/>
      <c r="AZ370" s="55"/>
      <c r="BA370" s="165"/>
      <c r="BB370" s="55"/>
      <c r="BC370" s="55"/>
      <c r="BD370" s="55"/>
      <c r="BE370" s="165"/>
      <c r="BF370" s="55"/>
      <c r="BG370" s="10"/>
      <c r="BH370" s="55"/>
      <c r="BI370" s="55"/>
      <c r="BJ370" s="55"/>
      <c r="BK370" s="55"/>
      <c r="BS370" s="141"/>
      <c r="CM370" s="141"/>
      <c r="DC370" s="141"/>
    </row>
    <row r="371" spans="1:107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55"/>
      <c r="R371" s="171"/>
      <c r="S371" s="161"/>
      <c r="T371" s="55"/>
      <c r="U371" s="55"/>
      <c r="V371" s="55"/>
      <c r="W371" s="155"/>
      <c r="X371" s="171"/>
      <c r="Y371" s="165"/>
      <c r="Z371" s="10"/>
      <c r="AA371" s="55"/>
      <c r="AB371" s="55"/>
      <c r="AC371" s="55"/>
      <c r="AD371" s="55"/>
      <c r="AE371" s="55"/>
      <c r="AF371" s="167"/>
      <c r="AG371" s="55"/>
      <c r="AH371" s="55"/>
      <c r="AI371" s="165"/>
      <c r="AJ371" s="55"/>
      <c r="AK371" s="55"/>
      <c r="AL371" s="55"/>
      <c r="AM371" s="55"/>
      <c r="AN371" s="55"/>
      <c r="AO371" s="55"/>
      <c r="AP371" s="55"/>
      <c r="AQ371" s="55"/>
      <c r="AR371" s="165"/>
      <c r="AS371" s="55"/>
      <c r="AT371" s="55"/>
      <c r="AU371" s="55"/>
      <c r="AV371" s="55"/>
      <c r="AW371" s="55"/>
      <c r="AX371" s="55"/>
      <c r="AY371" s="55"/>
      <c r="AZ371" s="55"/>
      <c r="BA371" s="165"/>
      <c r="BB371" s="55"/>
      <c r="BC371" s="55"/>
      <c r="BD371" s="55"/>
      <c r="BE371" s="165"/>
      <c r="BF371" s="55"/>
      <c r="BG371" s="10"/>
      <c r="BH371" s="55"/>
      <c r="BI371" s="55"/>
      <c r="BJ371" s="55"/>
      <c r="BK371" s="55"/>
      <c r="BS371" s="141"/>
      <c r="CM371" s="141"/>
      <c r="DC371" s="141"/>
    </row>
    <row r="372" spans="1:107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55"/>
      <c r="R372" s="171"/>
      <c r="S372" s="161"/>
      <c r="T372" s="55"/>
      <c r="U372" s="55"/>
      <c r="V372" s="55"/>
      <c r="W372" s="155"/>
      <c r="X372" s="171"/>
      <c r="Y372" s="165"/>
      <c r="Z372" s="10"/>
      <c r="AA372" s="55"/>
      <c r="AB372" s="55"/>
      <c r="AC372" s="55"/>
      <c r="AD372" s="55"/>
      <c r="AE372" s="55"/>
      <c r="AF372" s="167"/>
      <c r="AG372" s="55"/>
      <c r="AH372" s="55"/>
      <c r="AI372" s="165"/>
      <c r="AJ372" s="55"/>
      <c r="AK372" s="55"/>
      <c r="AL372" s="55"/>
      <c r="AM372" s="55"/>
      <c r="AN372" s="55"/>
      <c r="AO372" s="55"/>
      <c r="AP372" s="55"/>
      <c r="AQ372" s="55"/>
      <c r="AR372" s="165"/>
      <c r="AS372" s="55"/>
      <c r="AT372" s="55"/>
      <c r="AU372" s="55"/>
      <c r="AV372" s="55"/>
      <c r="AW372" s="55"/>
      <c r="AX372" s="55"/>
      <c r="AY372" s="55"/>
      <c r="AZ372" s="55"/>
      <c r="BA372" s="165"/>
      <c r="BB372" s="55"/>
      <c r="BC372" s="55"/>
      <c r="BD372" s="55"/>
      <c r="BE372" s="165"/>
      <c r="BF372" s="55"/>
      <c r="BG372" s="10"/>
      <c r="BH372" s="55"/>
      <c r="BI372" s="55"/>
      <c r="BJ372" s="55"/>
      <c r="BK372" s="55"/>
      <c r="BS372" s="141"/>
      <c r="CM372" s="141"/>
      <c r="DC372" s="141"/>
    </row>
    <row r="373" spans="1:107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55"/>
      <c r="R373" s="171"/>
      <c r="S373" s="161"/>
      <c r="T373" s="55"/>
      <c r="U373" s="55"/>
      <c r="V373" s="55"/>
      <c r="W373" s="155"/>
      <c r="X373" s="171"/>
      <c r="Y373" s="165"/>
      <c r="Z373" s="10"/>
      <c r="AA373" s="55"/>
      <c r="AB373" s="55"/>
      <c r="AC373" s="55"/>
      <c r="AD373" s="55"/>
      <c r="AE373" s="55"/>
      <c r="AF373" s="167"/>
      <c r="AG373" s="55"/>
      <c r="AH373" s="55"/>
      <c r="AI373" s="165"/>
      <c r="AJ373" s="55"/>
      <c r="AK373" s="55"/>
      <c r="AL373" s="55"/>
      <c r="AM373" s="55"/>
      <c r="AN373" s="55"/>
      <c r="AO373" s="55"/>
      <c r="AP373" s="55"/>
      <c r="AQ373" s="55"/>
      <c r="AR373" s="165"/>
      <c r="AS373" s="55"/>
      <c r="AT373" s="55"/>
      <c r="AU373" s="55"/>
      <c r="AV373" s="55"/>
      <c r="AW373" s="55"/>
      <c r="AX373" s="55"/>
      <c r="AY373" s="55"/>
      <c r="AZ373" s="55"/>
      <c r="BA373" s="165"/>
      <c r="BB373" s="55"/>
      <c r="BC373" s="55"/>
      <c r="BD373" s="55"/>
      <c r="BE373" s="165"/>
      <c r="BF373" s="55"/>
      <c r="BG373" s="10"/>
      <c r="BH373" s="55"/>
      <c r="BI373" s="55"/>
      <c r="BJ373" s="55"/>
      <c r="BK373" s="55"/>
      <c r="BS373" s="141"/>
      <c r="CM373" s="141"/>
      <c r="DC373" s="141"/>
    </row>
    <row r="374" spans="1:107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55"/>
      <c r="R374" s="171"/>
      <c r="S374" s="161"/>
      <c r="T374" s="55"/>
      <c r="U374" s="55"/>
      <c r="V374" s="55"/>
      <c r="W374" s="155"/>
      <c r="X374" s="171"/>
      <c r="Y374" s="165"/>
      <c r="Z374" s="10"/>
      <c r="AA374" s="55"/>
      <c r="AB374" s="55"/>
      <c r="AC374" s="55"/>
      <c r="AD374" s="55"/>
      <c r="AE374" s="55"/>
      <c r="AF374" s="167"/>
      <c r="AG374" s="55"/>
      <c r="AH374" s="55"/>
      <c r="AI374" s="165"/>
      <c r="AJ374" s="55"/>
      <c r="AK374" s="55"/>
      <c r="AL374" s="55"/>
      <c r="AM374" s="55"/>
      <c r="AN374" s="55"/>
      <c r="AO374" s="55"/>
      <c r="AP374" s="55"/>
      <c r="AQ374" s="55"/>
      <c r="AR374" s="165"/>
      <c r="AS374" s="55"/>
      <c r="AT374" s="55"/>
      <c r="AU374" s="55"/>
      <c r="AV374" s="55"/>
      <c r="AW374" s="55"/>
      <c r="AX374" s="55"/>
      <c r="AY374" s="55"/>
      <c r="AZ374" s="55"/>
      <c r="BA374" s="165"/>
      <c r="BB374" s="55"/>
      <c r="BC374" s="55"/>
      <c r="BD374" s="55"/>
      <c r="BE374" s="165"/>
      <c r="BF374" s="55"/>
      <c r="BG374" s="10"/>
      <c r="BH374" s="55"/>
      <c r="BI374" s="55"/>
      <c r="BJ374" s="55"/>
      <c r="BK374" s="55"/>
      <c r="BS374" s="141"/>
      <c r="CM374" s="141"/>
      <c r="DC374" s="141"/>
    </row>
    <row r="375" spans="1:107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55"/>
      <c r="R375" s="171"/>
      <c r="S375" s="161"/>
      <c r="T375" s="55"/>
      <c r="U375" s="55"/>
      <c r="V375" s="55"/>
      <c r="W375" s="155"/>
      <c r="X375" s="171"/>
      <c r="Y375" s="165"/>
      <c r="Z375" s="10"/>
      <c r="AA375" s="55"/>
      <c r="AB375" s="55"/>
      <c r="AC375" s="55"/>
      <c r="AD375" s="55"/>
      <c r="AE375" s="55"/>
      <c r="AF375" s="167"/>
      <c r="AG375" s="55"/>
      <c r="AH375" s="55"/>
      <c r="AI375" s="165"/>
      <c r="AJ375" s="55"/>
      <c r="AK375" s="55"/>
      <c r="AL375" s="55"/>
      <c r="AM375" s="55"/>
      <c r="AN375" s="55"/>
      <c r="AO375" s="55"/>
      <c r="AP375" s="55"/>
      <c r="AQ375" s="55"/>
      <c r="AR375" s="165"/>
      <c r="AS375" s="55"/>
      <c r="AT375" s="55"/>
      <c r="AU375" s="55"/>
      <c r="AV375" s="55"/>
      <c r="AW375" s="55"/>
      <c r="AX375" s="55"/>
      <c r="AY375" s="55"/>
      <c r="AZ375" s="55"/>
      <c r="BA375" s="165"/>
      <c r="BB375" s="55"/>
      <c r="BC375" s="55"/>
      <c r="BD375" s="55"/>
      <c r="BE375" s="165"/>
      <c r="BF375" s="55"/>
      <c r="BG375" s="10"/>
      <c r="BH375" s="55"/>
      <c r="BI375" s="55"/>
      <c r="BJ375" s="55"/>
      <c r="BK375" s="55"/>
      <c r="BS375" s="141"/>
      <c r="CM375" s="141"/>
      <c r="DC375" s="141"/>
    </row>
    <row r="376" spans="1:107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55"/>
      <c r="R376" s="171"/>
      <c r="S376" s="161"/>
      <c r="T376" s="55"/>
      <c r="U376" s="55"/>
      <c r="V376" s="55"/>
      <c r="W376" s="155"/>
      <c r="X376" s="171"/>
      <c r="Y376" s="165"/>
      <c r="Z376" s="10"/>
      <c r="AA376" s="55"/>
      <c r="AB376" s="55"/>
      <c r="AC376" s="55"/>
      <c r="AD376" s="55"/>
      <c r="AE376" s="55"/>
      <c r="AF376" s="167"/>
      <c r="AG376" s="55"/>
      <c r="AH376" s="55"/>
      <c r="AI376" s="165"/>
      <c r="AJ376" s="55"/>
      <c r="AK376" s="55"/>
      <c r="AL376" s="55"/>
      <c r="AM376" s="55"/>
      <c r="AN376" s="55"/>
      <c r="AO376" s="55"/>
      <c r="AP376" s="55"/>
      <c r="AQ376" s="55"/>
      <c r="AR376" s="165"/>
      <c r="AS376" s="55"/>
      <c r="AT376" s="55"/>
      <c r="AU376" s="55"/>
      <c r="AV376" s="55"/>
      <c r="AW376" s="55"/>
      <c r="AX376" s="55"/>
      <c r="AY376" s="55"/>
      <c r="AZ376" s="55"/>
      <c r="BA376" s="165"/>
      <c r="BB376" s="55"/>
      <c r="BC376" s="55"/>
      <c r="BD376" s="55"/>
      <c r="BE376" s="165"/>
      <c r="BF376" s="55"/>
      <c r="BG376" s="10"/>
      <c r="BH376" s="55"/>
      <c r="BI376" s="55"/>
      <c r="BJ376" s="55"/>
      <c r="BK376" s="55"/>
      <c r="BS376" s="141"/>
      <c r="CM376" s="141"/>
      <c r="DC376" s="141"/>
    </row>
    <row r="377" spans="1:107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55"/>
      <c r="R377" s="171"/>
      <c r="S377" s="161"/>
      <c r="T377" s="55"/>
      <c r="U377" s="55"/>
      <c r="V377" s="55"/>
      <c r="W377" s="155"/>
      <c r="X377" s="171"/>
      <c r="Y377" s="165"/>
      <c r="Z377" s="10"/>
      <c r="AA377" s="55"/>
      <c r="AB377" s="55"/>
      <c r="AC377" s="55"/>
      <c r="AD377" s="55"/>
      <c r="AE377" s="55"/>
      <c r="AF377" s="167"/>
      <c r="AG377" s="55"/>
      <c r="AH377" s="55"/>
      <c r="AI377" s="165"/>
      <c r="AJ377" s="55"/>
      <c r="AK377" s="55"/>
      <c r="AL377" s="55"/>
      <c r="AM377" s="55"/>
      <c r="AN377" s="55"/>
      <c r="AO377" s="55"/>
      <c r="AP377" s="55"/>
      <c r="AQ377" s="55"/>
      <c r="AR377" s="165"/>
      <c r="AS377" s="55"/>
      <c r="AT377" s="55"/>
      <c r="AU377" s="55"/>
      <c r="AV377" s="55"/>
      <c r="AW377" s="55"/>
      <c r="AX377" s="55"/>
      <c r="AY377" s="55"/>
      <c r="AZ377" s="55"/>
      <c r="BA377" s="165"/>
      <c r="BB377" s="55"/>
      <c r="BC377" s="55"/>
      <c r="BD377" s="55"/>
      <c r="BE377" s="165"/>
      <c r="BF377" s="55"/>
      <c r="BG377" s="10"/>
      <c r="BH377" s="55"/>
      <c r="BI377" s="55"/>
      <c r="BJ377" s="55"/>
      <c r="BK377" s="55"/>
      <c r="BS377" s="141"/>
      <c r="CM377" s="141"/>
      <c r="DC377" s="141"/>
    </row>
    <row r="378" spans="1:107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55"/>
      <c r="R378" s="171"/>
      <c r="S378" s="161"/>
      <c r="T378" s="55"/>
      <c r="U378" s="55"/>
      <c r="V378" s="55"/>
      <c r="W378" s="155"/>
      <c r="X378" s="171"/>
      <c r="Y378" s="165"/>
      <c r="Z378" s="10"/>
      <c r="AA378" s="55"/>
      <c r="AB378" s="55"/>
      <c r="AC378" s="55"/>
      <c r="AD378" s="55"/>
      <c r="AE378" s="55"/>
      <c r="AF378" s="167"/>
      <c r="AG378" s="55"/>
      <c r="AH378" s="55"/>
      <c r="AI378" s="165"/>
      <c r="AJ378" s="55"/>
      <c r="AK378" s="55"/>
      <c r="AL378" s="55"/>
      <c r="AM378" s="55"/>
      <c r="AN378" s="55"/>
      <c r="AO378" s="55"/>
      <c r="AP378" s="55"/>
      <c r="AQ378" s="55"/>
      <c r="AR378" s="165"/>
      <c r="AS378" s="55"/>
      <c r="AT378" s="55"/>
      <c r="AU378" s="55"/>
      <c r="AV378" s="55"/>
      <c r="AW378" s="55"/>
      <c r="AX378" s="55"/>
      <c r="AY378" s="55"/>
      <c r="AZ378" s="55"/>
      <c r="BA378" s="165"/>
      <c r="BB378" s="55"/>
      <c r="BC378" s="55"/>
      <c r="BD378" s="55"/>
      <c r="BE378" s="165"/>
      <c r="BF378" s="55"/>
      <c r="BG378" s="10"/>
      <c r="BH378" s="55"/>
      <c r="BI378" s="55"/>
      <c r="BJ378" s="55"/>
      <c r="BK378" s="55"/>
      <c r="BS378" s="141"/>
      <c r="CM378" s="141"/>
      <c r="DC378" s="141"/>
    </row>
    <row r="379" spans="1:107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55"/>
      <c r="R379" s="171"/>
      <c r="S379" s="161"/>
      <c r="T379" s="55"/>
      <c r="U379" s="55"/>
      <c r="V379" s="55"/>
      <c r="W379" s="155"/>
      <c r="X379" s="171"/>
      <c r="Y379" s="165"/>
      <c r="Z379" s="10"/>
      <c r="AA379" s="55"/>
      <c r="AB379" s="55"/>
      <c r="AC379" s="55"/>
      <c r="AD379" s="55"/>
      <c r="AE379" s="55"/>
      <c r="AF379" s="167"/>
      <c r="AG379" s="55"/>
      <c r="AH379" s="55"/>
      <c r="AI379" s="165"/>
      <c r="AJ379" s="55"/>
      <c r="AK379" s="55"/>
      <c r="AL379" s="55"/>
      <c r="AM379" s="55"/>
      <c r="AN379" s="55"/>
      <c r="AO379" s="55"/>
      <c r="AP379" s="55"/>
      <c r="AQ379" s="55"/>
      <c r="AR379" s="165"/>
      <c r="AS379" s="55"/>
      <c r="AT379" s="55"/>
      <c r="AU379" s="55"/>
      <c r="AV379" s="55"/>
      <c r="AW379" s="55"/>
      <c r="AX379" s="55"/>
      <c r="AY379" s="55"/>
      <c r="AZ379" s="55"/>
      <c r="BA379" s="165"/>
      <c r="BB379" s="55"/>
      <c r="BC379" s="55"/>
      <c r="BD379" s="55"/>
      <c r="BE379" s="165"/>
      <c r="BF379" s="55"/>
      <c r="BG379" s="10"/>
      <c r="BH379" s="55"/>
      <c r="BI379" s="55"/>
      <c r="BJ379" s="55"/>
      <c r="BK379" s="55"/>
      <c r="BS379" s="141"/>
      <c r="CM379" s="141"/>
      <c r="DC379" s="141"/>
    </row>
    <row r="380" spans="1:107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55"/>
      <c r="R380" s="171"/>
      <c r="S380" s="161"/>
      <c r="T380" s="55"/>
      <c r="U380" s="55"/>
      <c r="V380" s="55"/>
      <c r="W380" s="155"/>
      <c r="X380" s="171"/>
      <c r="Y380" s="165"/>
      <c r="Z380" s="10"/>
      <c r="AA380" s="55"/>
      <c r="AB380" s="55"/>
      <c r="AC380" s="55"/>
      <c r="AD380" s="55"/>
      <c r="AE380" s="55"/>
      <c r="AF380" s="167"/>
      <c r="AG380" s="55"/>
      <c r="AH380" s="55"/>
      <c r="AI380" s="165"/>
      <c r="AJ380" s="55"/>
      <c r="AK380" s="55"/>
      <c r="AL380" s="55"/>
      <c r="AM380" s="55"/>
      <c r="AN380" s="55"/>
      <c r="AO380" s="55"/>
      <c r="AP380" s="55"/>
      <c r="AQ380" s="55"/>
      <c r="AR380" s="165"/>
      <c r="AS380" s="55"/>
      <c r="AT380" s="55"/>
      <c r="AU380" s="55"/>
      <c r="AV380" s="55"/>
      <c r="AW380" s="55"/>
      <c r="AX380" s="55"/>
      <c r="AY380" s="55"/>
      <c r="AZ380" s="55"/>
      <c r="BA380" s="165"/>
      <c r="BB380" s="55"/>
      <c r="BC380" s="55"/>
      <c r="BD380" s="55"/>
      <c r="BE380" s="165"/>
      <c r="BF380" s="55"/>
      <c r="BG380" s="10"/>
      <c r="BH380" s="55"/>
      <c r="BI380" s="55"/>
      <c r="BJ380" s="55"/>
      <c r="BK380" s="55"/>
      <c r="BS380" s="141"/>
      <c r="CM380" s="141"/>
      <c r="DC380" s="141"/>
    </row>
    <row r="381" spans="1:107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55"/>
      <c r="R381" s="171"/>
      <c r="S381" s="161"/>
      <c r="T381" s="55"/>
      <c r="U381" s="55"/>
      <c r="V381" s="55"/>
      <c r="W381" s="155"/>
      <c r="X381" s="171"/>
      <c r="Y381" s="165"/>
      <c r="Z381" s="10"/>
      <c r="AA381" s="55"/>
      <c r="AB381" s="55"/>
      <c r="AC381" s="55"/>
      <c r="AD381" s="55"/>
      <c r="AE381" s="55"/>
      <c r="AF381" s="167"/>
      <c r="AG381" s="55"/>
      <c r="AH381" s="55"/>
      <c r="AI381" s="165"/>
      <c r="AJ381" s="55"/>
      <c r="AK381" s="55"/>
      <c r="AL381" s="55"/>
      <c r="AM381" s="55"/>
      <c r="AN381" s="55"/>
      <c r="AO381" s="55"/>
      <c r="AP381" s="55"/>
      <c r="AQ381" s="55"/>
      <c r="AR381" s="165"/>
      <c r="AS381" s="55"/>
      <c r="AT381" s="55"/>
      <c r="AU381" s="55"/>
      <c r="AV381" s="55"/>
      <c r="AW381" s="55"/>
      <c r="AX381" s="55"/>
      <c r="AY381" s="55"/>
      <c r="AZ381" s="55"/>
      <c r="BA381" s="165"/>
      <c r="BB381" s="55"/>
      <c r="BC381" s="55"/>
      <c r="BD381" s="55"/>
      <c r="BE381" s="165"/>
      <c r="BF381" s="55"/>
      <c r="BG381" s="10"/>
      <c r="BH381" s="55"/>
      <c r="BI381" s="55"/>
      <c r="BJ381" s="55"/>
      <c r="BK381" s="55"/>
      <c r="BS381" s="141"/>
      <c r="CM381" s="141"/>
      <c r="DC381" s="141"/>
    </row>
    <row r="382" spans="1:107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55"/>
      <c r="R382" s="171"/>
      <c r="S382" s="161"/>
      <c r="T382" s="55"/>
      <c r="U382" s="55"/>
      <c r="V382" s="55"/>
      <c r="W382" s="155"/>
      <c r="X382" s="171"/>
      <c r="Y382" s="165"/>
      <c r="Z382" s="10"/>
      <c r="AA382" s="55"/>
      <c r="AB382" s="55"/>
      <c r="AC382" s="55"/>
      <c r="AD382" s="55"/>
      <c r="AE382" s="55"/>
      <c r="AF382" s="167"/>
      <c r="AG382" s="55"/>
      <c r="AH382" s="55"/>
      <c r="AI382" s="165"/>
      <c r="AJ382" s="55"/>
      <c r="AK382" s="55"/>
      <c r="AL382" s="55"/>
      <c r="AM382" s="55"/>
      <c r="AN382" s="55"/>
      <c r="AO382" s="55"/>
      <c r="AP382" s="55"/>
      <c r="AQ382" s="55"/>
      <c r="AR382" s="165"/>
      <c r="AS382" s="55"/>
      <c r="AT382" s="55"/>
      <c r="AU382" s="55"/>
      <c r="AV382" s="55"/>
      <c r="AW382" s="55"/>
      <c r="AX382" s="55"/>
      <c r="AY382" s="55"/>
      <c r="AZ382" s="55"/>
      <c r="BA382" s="165"/>
      <c r="BB382" s="55"/>
      <c r="BC382" s="55"/>
      <c r="BD382" s="55"/>
      <c r="BE382" s="165"/>
      <c r="BF382" s="55"/>
      <c r="BG382" s="10"/>
      <c r="BH382" s="55"/>
      <c r="BI382" s="55"/>
      <c r="BJ382" s="55"/>
      <c r="BK382" s="55"/>
      <c r="BS382" s="141"/>
      <c r="CM382" s="141"/>
      <c r="DC382" s="141"/>
    </row>
    <row r="383" spans="1:107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55"/>
      <c r="R383" s="171"/>
      <c r="S383" s="161"/>
      <c r="T383" s="55"/>
      <c r="U383" s="55"/>
      <c r="V383" s="55"/>
      <c r="W383" s="155"/>
      <c r="X383" s="171"/>
      <c r="Y383" s="165"/>
      <c r="Z383" s="10"/>
      <c r="AA383" s="55"/>
      <c r="AB383" s="55"/>
      <c r="AC383" s="55"/>
      <c r="AD383" s="55"/>
      <c r="AE383" s="55"/>
      <c r="AF383" s="167"/>
      <c r="AG383" s="55"/>
      <c r="AH383" s="55"/>
      <c r="AI383" s="165"/>
      <c r="AJ383" s="55"/>
      <c r="AK383" s="55"/>
      <c r="AL383" s="55"/>
      <c r="AM383" s="55"/>
      <c r="AN383" s="55"/>
      <c r="AO383" s="55"/>
      <c r="AP383" s="55"/>
      <c r="AQ383" s="55"/>
      <c r="AR383" s="165"/>
      <c r="AS383" s="55"/>
      <c r="AT383" s="55"/>
      <c r="AU383" s="55"/>
      <c r="AV383" s="55"/>
      <c r="AW383" s="55"/>
      <c r="AX383" s="55"/>
      <c r="AY383" s="55"/>
      <c r="AZ383" s="55"/>
      <c r="BA383" s="165"/>
      <c r="BB383" s="55"/>
      <c r="BC383" s="55"/>
      <c r="BD383" s="55"/>
      <c r="BE383" s="165"/>
      <c r="BF383" s="55"/>
      <c r="BG383" s="10"/>
      <c r="BH383" s="55"/>
      <c r="BI383" s="55"/>
      <c r="BJ383" s="55"/>
      <c r="BK383" s="55"/>
      <c r="BS383" s="141"/>
      <c r="CM383" s="141"/>
      <c r="DC383" s="141"/>
    </row>
    <row r="384" spans="1:107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55"/>
      <c r="R384" s="171"/>
      <c r="S384" s="161"/>
      <c r="T384" s="55"/>
      <c r="U384" s="55"/>
      <c r="V384" s="55"/>
      <c r="W384" s="155"/>
      <c r="X384" s="171"/>
      <c r="Y384" s="165"/>
      <c r="Z384" s="10"/>
      <c r="AA384" s="55"/>
      <c r="AB384" s="55"/>
      <c r="AC384" s="55"/>
      <c r="AD384" s="55"/>
      <c r="AE384" s="55"/>
      <c r="AF384" s="167"/>
      <c r="AG384" s="55"/>
      <c r="AH384" s="55"/>
      <c r="AI384" s="165"/>
      <c r="AJ384" s="55"/>
      <c r="AK384" s="55"/>
      <c r="AL384" s="55"/>
      <c r="AM384" s="55"/>
      <c r="AN384" s="55"/>
      <c r="AO384" s="55"/>
      <c r="AP384" s="55"/>
      <c r="AQ384" s="55"/>
      <c r="AR384" s="165"/>
      <c r="AS384" s="55"/>
      <c r="AT384" s="55"/>
      <c r="AU384" s="55"/>
      <c r="AV384" s="55"/>
      <c r="AW384" s="55"/>
      <c r="AX384" s="55"/>
      <c r="AY384" s="55"/>
      <c r="AZ384" s="55"/>
      <c r="BA384" s="165"/>
      <c r="BB384" s="55"/>
      <c r="BC384" s="55"/>
      <c r="BD384" s="55"/>
      <c r="BE384" s="165"/>
      <c r="BF384" s="55"/>
      <c r="BG384" s="10"/>
      <c r="BH384" s="55"/>
      <c r="BI384" s="55"/>
      <c r="BJ384" s="55"/>
      <c r="BK384" s="55"/>
      <c r="BS384" s="141"/>
      <c r="CM384" s="141"/>
      <c r="DC384" s="141"/>
    </row>
    <row r="385" spans="1:107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55"/>
      <c r="R385" s="171"/>
      <c r="S385" s="161"/>
      <c r="T385" s="55"/>
      <c r="U385" s="55"/>
      <c r="V385" s="55"/>
      <c r="W385" s="155"/>
      <c r="X385" s="171"/>
      <c r="Y385" s="165"/>
      <c r="Z385" s="10"/>
      <c r="AA385" s="55"/>
      <c r="AB385" s="55"/>
      <c r="AC385" s="55"/>
      <c r="AD385" s="55"/>
      <c r="AE385" s="55"/>
      <c r="AF385" s="167"/>
      <c r="AG385" s="55"/>
      <c r="AH385" s="55"/>
      <c r="AI385" s="165"/>
      <c r="AJ385" s="55"/>
      <c r="AK385" s="55"/>
      <c r="AL385" s="55"/>
      <c r="AM385" s="55"/>
      <c r="AN385" s="55"/>
      <c r="AO385" s="55"/>
      <c r="AP385" s="55"/>
      <c r="AQ385" s="55"/>
      <c r="AR385" s="165"/>
      <c r="AS385" s="55"/>
      <c r="AT385" s="55"/>
      <c r="AU385" s="55"/>
      <c r="AV385" s="55"/>
      <c r="AW385" s="55"/>
      <c r="AX385" s="55"/>
      <c r="AY385" s="55"/>
      <c r="AZ385" s="55"/>
      <c r="BA385" s="165"/>
      <c r="BB385" s="55"/>
      <c r="BC385" s="55"/>
      <c r="BD385" s="55"/>
      <c r="BE385" s="165"/>
      <c r="BF385" s="55"/>
      <c r="BG385" s="10"/>
      <c r="BH385" s="55"/>
      <c r="BI385" s="55"/>
      <c r="BJ385" s="55"/>
      <c r="BK385" s="55"/>
      <c r="BS385" s="141"/>
      <c r="CM385" s="141"/>
      <c r="DC385" s="141"/>
    </row>
    <row r="386" spans="1:107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55"/>
      <c r="R386" s="171"/>
      <c r="S386" s="161"/>
      <c r="T386" s="55"/>
      <c r="U386" s="55"/>
      <c r="V386" s="55"/>
      <c r="W386" s="155"/>
      <c r="X386" s="171"/>
      <c r="Y386" s="165"/>
      <c r="Z386" s="10"/>
      <c r="AA386" s="55"/>
      <c r="AB386" s="55"/>
      <c r="AC386" s="55"/>
      <c r="AD386" s="55"/>
      <c r="AE386" s="55"/>
      <c r="AF386" s="167"/>
      <c r="AG386" s="55"/>
      <c r="AH386" s="55"/>
      <c r="AI386" s="165"/>
      <c r="AJ386" s="55"/>
      <c r="AK386" s="55"/>
      <c r="AL386" s="55"/>
      <c r="AM386" s="55"/>
      <c r="AN386" s="55"/>
      <c r="AO386" s="55"/>
      <c r="AP386" s="55"/>
      <c r="AQ386" s="55"/>
      <c r="AR386" s="165"/>
      <c r="AS386" s="55"/>
      <c r="AT386" s="55"/>
      <c r="AU386" s="55"/>
      <c r="AV386" s="55"/>
      <c r="AW386" s="55"/>
      <c r="AX386" s="55"/>
      <c r="AY386" s="55"/>
      <c r="AZ386" s="55"/>
      <c r="BA386" s="165"/>
      <c r="BB386" s="55"/>
      <c r="BC386" s="55"/>
      <c r="BD386" s="55"/>
      <c r="BE386" s="165"/>
      <c r="BF386" s="55"/>
      <c r="BG386" s="10"/>
      <c r="BH386" s="55"/>
      <c r="BI386" s="55"/>
      <c r="BJ386" s="55"/>
      <c r="BK386" s="55"/>
      <c r="BS386" s="141"/>
      <c r="CM386" s="141"/>
      <c r="DC386" s="141"/>
    </row>
    <row r="387" spans="1:107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55"/>
      <c r="R387" s="171"/>
      <c r="S387" s="161"/>
      <c r="T387" s="55"/>
      <c r="U387" s="55"/>
      <c r="V387" s="55"/>
      <c r="W387" s="155"/>
      <c r="X387" s="171"/>
      <c r="Y387" s="165"/>
      <c r="Z387" s="10"/>
      <c r="AA387" s="55"/>
      <c r="AB387" s="55"/>
      <c r="AC387" s="55"/>
      <c r="AD387" s="55"/>
      <c r="AE387" s="55"/>
      <c r="AF387" s="167"/>
      <c r="AG387" s="55"/>
      <c r="AH387" s="55"/>
      <c r="AI387" s="165"/>
      <c r="AJ387" s="55"/>
      <c r="AK387" s="55"/>
      <c r="AL387" s="55"/>
      <c r="AM387" s="55"/>
      <c r="AN387" s="55"/>
      <c r="AO387" s="55"/>
      <c r="AP387" s="55"/>
      <c r="AQ387" s="55"/>
      <c r="AR387" s="165"/>
      <c r="AS387" s="55"/>
      <c r="AT387" s="55"/>
      <c r="AU387" s="55"/>
      <c r="AV387" s="55"/>
      <c r="AW387" s="55"/>
      <c r="AX387" s="55"/>
      <c r="AY387" s="55"/>
      <c r="AZ387" s="55"/>
      <c r="BA387" s="165"/>
      <c r="BB387" s="55"/>
      <c r="BC387" s="55"/>
      <c r="BD387" s="55"/>
      <c r="BE387" s="165"/>
      <c r="BF387" s="55"/>
      <c r="BG387" s="10"/>
      <c r="BH387" s="55"/>
      <c r="BI387" s="55"/>
      <c r="BJ387" s="55"/>
      <c r="BK387" s="55"/>
      <c r="BS387" s="141"/>
      <c r="CM387" s="141"/>
      <c r="DC387" s="141"/>
    </row>
    <row r="388" spans="1:107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55"/>
      <c r="R388" s="171"/>
      <c r="S388" s="161"/>
      <c r="T388" s="55"/>
      <c r="U388" s="55"/>
      <c r="V388" s="55"/>
      <c r="W388" s="155"/>
      <c r="X388" s="171"/>
      <c r="Y388" s="165"/>
      <c r="Z388" s="10"/>
      <c r="AA388" s="55"/>
      <c r="AB388" s="55"/>
      <c r="AC388" s="55"/>
      <c r="AD388" s="55"/>
      <c r="AE388" s="55"/>
      <c r="AF388" s="167"/>
      <c r="AG388" s="55"/>
      <c r="AH388" s="55"/>
      <c r="AI388" s="165"/>
      <c r="AJ388" s="55"/>
      <c r="AK388" s="55"/>
      <c r="AL388" s="55"/>
      <c r="AM388" s="55"/>
      <c r="AN388" s="55"/>
      <c r="AO388" s="55"/>
      <c r="AP388" s="55"/>
      <c r="AQ388" s="55"/>
      <c r="AR388" s="165"/>
      <c r="AS388" s="55"/>
      <c r="AT388" s="55"/>
      <c r="AU388" s="55"/>
      <c r="AV388" s="55"/>
      <c r="AW388" s="55"/>
      <c r="AX388" s="55"/>
      <c r="AY388" s="55"/>
      <c r="AZ388" s="55"/>
      <c r="BA388" s="165"/>
      <c r="BB388" s="55"/>
      <c r="BC388" s="55"/>
      <c r="BD388" s="55"/>
      <c r="BE388" s="165"/>
      <c r="BF388" s="55"/>
      <c r="BG388" s="10"/>
      <c r="BH388" s="55"/>
      <c r="BI388" s="55"/>
      <c r="BJ388" s="55"/>
      <c r="BK388" s="55"/>
      <c r="BS388" s="141"/>
      <c r="CM388" s="141"/>
      <c r="DC388" s="141"/>
    </row>
    <row r="389" spans="1:107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55"/>
      <c r="R389" s="171"/>
      <c r="S389" s="161"/>
      <c r="T389" s="55"/>
      <c r="U389" s="55"/>
      <c r="V389" s="55"/>
      <c r="W389" s="155"/>
      <c r="X389" s="171"/>
      <c r="Y389" s="165"/>
      <c r="Z389" s="10"/>
      <c r="AA389" s="55"/>
      <c r="AB389" s="55"/>
      <c r="AC389" s="55"/>
      <c r="AD389" s="55"/>
      <c r="AE389" s="55"/>
      <c r="AF389" s="167"/>
      <c r="AG389" s="55"/>
      <c r="AH389" s="55"/>
      <c r="AI389" s="165"/>
      <c r="AJ389" s="55"/>
      <c r="AK389" s="55"/>
      <c r="AL389" s="55"/>
      <c r="AM389" s="55"/>
      <c r="AN389" s="55"/>
      <c r="AO389" s="55"/>
      <c r="AP389" s="55"/>
      <c r="AQ389" s="55"/>
      <c r="AR389" s="165"/>
      <c r="AS389" s="55"/>
      <c r="AT389" s="55"/>
      <c r="AU389" s="55"/>
      <c r="AV389" s="55"/>
      <c r="AW389" s="55"/>
      <c r="AX389" s="55"/>
      <c r="AY389" s="55"/>
      <c r="AZ389" s="55"/>
      <c r="BA389" s="165"/>
      <c r="BB389" s="55"/>
      <c r="BC389" s="55"/>
      <c r="BD389" s="55"/>
      <c r="BE389" s="165"/>
      <c r="BF389" s="55"/>
      <c r="BG389" s="10"/>
      <c r="BH389" s="55"/>
      <c r="BI389" s="55"/>
      <c r="BJ389" s="55"/>
      <c r="BK389" s="55"/>
      <c r="BS389" s="141"/>
      <c r="CM389" s="141"/>
      <c r="DC389" s="141"/>
    </row>
    <row r="390" spans="1:107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55"/>
      <c r="R390" s="171"/>
      <c r="S390" s="161"/>
      <c r="T390" s="55"/>
      <c r="U390" s="55"/>
      <c r="V390" s="55"/>
      <c r="W390" s="155"/>
      <c r="X390" s="171"/>
      <c r="Y390" s="165"/>
      <c r="Z390" s="10"/>
      <c r="AA390" s="55"/>
      <c r="AB390" s="55"/>
      <c r="AC390" s="55"/>
      <c r="AD390" s="55"/>
      <c r="AE390" s="55"/>
      <c r="AF390" s="167"/>
      <c r="AG390" s="55"/>
      <c r="AH390" s="55"/>
      <c r="AI390" s="165"/>
      <c r="AJ390" s="55"/>
      <c r="AK390" s="55"/>
      <c r="AL390" s="55"/>
      <c r="AM390" s="55"/>
      <c r="AN390" s="55"/>
      <c r="AO390" s="55"/>
      <c r="AP390" s="55"/>
      <c r="AQ390" s="55"/>
      <c r="AR390" s="165"/>
      <c r="AS390" s="55"/>
      <c r="AT390" s="55"/>
      <c r="AU390" s="55"/>
      <c r="AV390" s="55"/>
      <c r="AW390" s="55"/>
      <c r="AX390" s="55"/>
      <c r="AY390" s="55"/>
      <c r="AZ390" s="55"/>
      <c r="BA390" s="165"/>
      <c r="BB390" s="55"/>
      <c r="BC390" s="55"/>
      <c r="BD390" s="55"/>
      <c r="BE390" s="165"/>
      <c r="BF390" s="55"/>
      <c r="BG390" s="10"/>
      <c r="BH390" s="55"/>
      <c r="BI390" s="55"/>
      <c r="BJ390" s="55"/>
      <c r="BK390" s="55"/>
      <c r="BS390" s="141"/>
      <c r="CM390" s="141"/>
      <c r="DC390" s="141"/>
    </row>
    <row r="391" spans="1:107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55"/>
      <c r="R391" s="171"/>
      <c r="S391" s="161"/>
      <c r="T391" s="55"/>
      <c r="U391" s="55"/>
      <c r="V391" s="55"/>
      <c r="W391" s="155"/>
      <c r="X391" s="171"/>
      <c r="Y391" s="165"/>
      <c r="Z391" s="10"/>
      <c r="AA391" s="55"/>
      <c r="AB391" s="55"/>
      <c r="AC391" s="55"/>
      <c r="AD391" s="55"/>
      <c r="AE391" s="55"/>
      <c r="AF391" s="167"/>
      <c r="AG391" s="55"/>
      <c r="AH391" s="55"/>
      <c r="AI391" s="165"/>
      <c r="AJ391" s="55"/>
      <c r="AK391" s="55"/>
      <c r="AL391" s="55"/>
      <c r="AM391" s="55"/>
      <c r="AN391" s="55"/>
      <c r="AO391" s="55"/>
      <c r="AP391" s="55"/>
      <c r="AQ391" s="55"/>
      <c r="AR391" s="165"/>
      <c r="AS391" s="55"/>
      <c r="AT391" s="55"/>
      <c r="AU391" s="55"/>
      <c r="AV391" s="55"/>
      <c r="AW391" s="55"/>
      <c r="AX391" s="55"/>
      <c r="AY391" s="55"/>
      <c r="AZ391" s="55"/>
      <c r="BA391" s="165"/>
      <c r="BB391" s="55"/>
      <c r="BC391" s="55"/>
      <c r="BD391" s="55"/>
      <c r="BE391" s="165"/>
      <c r="BF391" s="55"/>
      <c r="BG391" s="10"/>
      <c r="BH391" s="55"/>
      <c r="BI391" s="55"/>
      <c r="BJ391" s="55"/>
      <c r="BK391" s="55"/>
      <c r="BS391" s="141"/>
      <c r="CM391" s="141"/>
      <c r="DC391" s="141"/>
    </row>
    <row r="392" spans="1:107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55"/>
      <c r="R392" s="171"/>
      <c r="S392" s="161"/>
      <c r="T392" s="55"/>
      <c r="U392" s="55"/>
      <c r="V392" s="55"/>
      <c r="W392" s="155"/>
      <c r="X392" s="171"/>
      <c r="Y392" s="165"/>
      <c r="Z392" s="10"/>
      <c r="AA392" s="55"/>
      <c r="AB392" s="55"/>
      <c r="AC392" s="55"/>
      <c r="AD392" s="55"/>
      <c r="AE392" s="55"/>
      <c r="AF392" s="167"/>
      <c r="AG392" s="55"/>
      <c r="AH392" s="55"/>
      <c r="AI392" s="165"/>
      <c r="AJ392" s="55"/>
      <c r="AK392" s="55"/>
      <c r="AL392" s="55"/>
      <c r="AM392" s="55"/>
      <c r="AN392" s="55"/>
      <c r="AO392" s="55"/>
      <c r="AP392" s="55"/>
      <c r="AQ392" s="55"/>
      <c r="AR392" s="165"/>
      <c r="AS392" s="55"/>
      <c r="AT392" s="55"/>
      <c r="AU392" s="55"/>
      <c r="AV392" s="55"/>
      <c r="AW392" s="55"/>
      <c r="AX392" s="55"/>
      <c r="AY392" s="55"/>
      <c r="AZ392" s="55"/>
      <c r="BA392" s="165"/>
      <c r="BB392" s="55"/>
      <c r="BC392" s="55"/>
      <c r="BD392" s="55"/>
      <c r="BE392" s="165"/>
      <c r="BF392" s="55"/>
      <c r="BG392" s="10"/>
      <c r="BH392" s="55"/>
      <c r="BI392" s="55"/>
      <c r="BJ392" s="55"/>
      <c r="BK392" s="55"/>
      <c r="BS392" s="141"/>
      <c r="CM392" s="141"/>
      <c r="DC392" s="141"/>
    </row>
    <row r="393" spans="1:107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55"/>
      <c r="R393" s="171"/>
      <c r="S393" s="161"/>
      <c r="T393" s="55"/>
      <c r="U393" s="55"/>
      <c r="V393" s="55"/>
      <c r="W393" s="155"/>
      <c r="X393" s="171"/>
      <c r="Y393" s="165"/>
      <c r="Z393" s="10"/>
      <c r="AA393" s="55"/>
      <c r="AB393" s="55"/>
      <c r="AC393" s="55"/>
      <c r="AD393" s="55"/>
      <c r="AE393" s="55"/>
      <c r="AF393" s="167"/>
      <c r="AG393" s="55"/>
      <c r="AH393" s="55"/>
      <c r="AI393" s="165"/>
      <c r="AJ393" s="55"/>
      <c r="AK393" s="55"/>
      <c r="AL393" s="55"/>
      <c r="AM393" s="55"/>
      <c r="AN393" s="55"/>
      <c r="AO393" s="55"/>
      <c r="AP393" s="55"/>
      <c r="AQ393" s="55"/>
      <c r="AR393" s="165"/>
      <c r="AS393" s="55"/>
      <c r="AT393" s="55"/>
      <c r="AU393" s="55"/>
      <c r="AV393" s="55"/>
      <c r="AW393" s="55"/>
      <c r="AX393" s="55"/>
      <c r="AY393" s="55"/>
      <c r="AZ393" s="55"/>
      <c r="BA393" s="165"/>
      <c r="BB393" s="55"/>
      <c r="BC393" s="55"/>
      <c r="BD393" s="55"/>
      <c r="BE393" s="165"/>
      <c r="BF393" s="55"/>
      <c r="BG393" s="10"/>
      <c r="BH393" s="55"/>
      <c r="BI393" s="55"/>
      <c r="BJ393" s="55"/>
      <c r="BK393" s="55"/>
      <c r="BS393" s="141"/>
      <c r="CM393" s="141"/>
      <c r="DC393" s="141"/>
    </row>
    <row r="394" spans="1:107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55"/>
      <c r="R394" s="171"/>
      <c r="S394" s="161"/>
      <c r="T394" s="55"/>
      <c r="U394" s="55"/>
      <c r="V394" s="55"/>
      <c r="W394" s="155"/>
      <c r="X394" s="171"/>
      <c r="Y394" s="165"/>
      <c r="Z394" s="10"/>
      <c r="AA394" s="55"/>
      <c r="AB394" s="55"/>
      <c r="AC394" s="55"/>
      <c r="AD394" s="55"/>
      <c r="AE394" s="55"/>
      <c r="AF394" s="167"/>
      <c r="AG394" s="55"/>
      <c r="AH394" s="55"/>
      <c r="AI394" s="165"/>
      <c r="AJ394" s="55"/>
      <c r="AK394" s="55"/>
      <c r="AL394" s="55"/>
      <c r="AM394" s="55"/>
      <c r="AN394" s="55"/>
      <c r="AO394" s="55"/>
      <c r="AP394" s="55"/>
      <c r="AQ394" s="55"/>
      <c r="AR394" s="165"/>
      <c r="AS394" s="55"/>
      <c r="AT394" s="55"/>
      <c r="AU394" s="55"/>
      <c r="AV394" s="55"/>
      <c r="AW394" s="55"/>
      <c r="AX394" s="55"/>
      <c r="AY394" s="55"/>
      <c r="AZ394" s="55"/>
      <c r="BA394" s="165"/>
      <c r="BB394" s="55"/>
      <c r="BC394" s="55"/>
      <c r="BD394" s="55"/>
      <c r="BE394" s="165"/>
      <c r="BF394" s="55"/>
      <c r="BG394" s="10"/>
      <c r="BH394" s="55"/>
      <c r="BI394" s="55"/>
      <c r="BJ394" s="55"/>
      <c r="BK394" s="55"/>
      <c r="BS394" s="141"/>
      <c r="CM394" s="141"/>
      <c r="DC394" s="141"/>
    </row>
    <row r="395" spans="1:107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55"/>
      <c r="R395" s="171"/>
      <c r="S395" s="161"/>
      <c r="T395" s="55"/>
      <c r="U395" s="55"/>
      <c r="V395" s="55"/>
      <c r="W395" s="155"/>
      <c r="X395" s="171"/>
      <c r="Y395" s="165"/>
      <c r="Z395" s="10"/>
      <c r="AA395" s="55"/>
      <c r="AB395" s="55"/>
      <c r="AC395" s="55"/>
      <c r="AD395" s="55"/>
      <c r="AE395" s="55"/>
      <c r="AF395" s="167"/>
      <c r="AG395" s="55"/>
      <c r="AH395" s="55"/>
      <c r="AI395" s="165"/>
      <c r="AJ395" s="55"/>
      <c r="AK395" s="55"/>
      <c r="AL395" s="55"/>
      <c r="AM395" s="55"/>
      <c r="AN395" s="55"/>
      <c r="AO395" s="55"/>
      <c r="AP395" s="55"/>
      <c r="AQ395" s="55"/>
      <c r="AR395" s="165"/>
      <c r="AS395" s="55"/>
      <c r="AT395" s="55"/>
      <c r="AU395" s="55"/>
      <c r="AV395" s="55"/>
      <c r="AW395" s="55"/>
      <c r="AX395" s="55"/>
      <c r="AY395" s="55"/>
      <c r="AZ395" s="55"/>
      <c r="BA395" s="165"/>
      <c r="BB395" s="55"/>
      <c r="BC395" s="55"/>
      <c r="BD395" s="55"/>
      <c r="BE395" s="165"/>
      <c r="BF395" s="55"/>
      <c r="BG395" s="10"/>
      <c r="BH395" s="55"/>
      <c r="BI395" s="55"/>
      <c r="BJ395" s="55"/>
      <c r="BK395" s="55"/>
      <c r="BS395" s="141"/>
      <c r="CM395" s="141"/>
      <c r="DC395" s="141"/>
    </row>
    <row r="396" spans="1:107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55"/>
      <c r="R396" s="171"/>
      <c r="S396" s="161"/>
      <c r="T396" s="55"/>
      <c r="U396" s="55"/>
      <c r="V396" s="55"/>
      <c r="W396" s="155"/>
      <c r="X396" s="171"/>
      <c r="Y396" s="165"/>
      <c r="Z396" s="10"/>
      <c r="AA396" s="55"/>
      <c r="AB396" s="55"/>
      <c r="AC396" s="55"/>
      <c r="AD396" s="55"/>
      <c r="AE396" s="55"/>
      <c r="AF396" s="167"/>
      <c r="AG396" s="55"/>
      <c r="AH396" s="55"/>
      <c r="AI396" s="165"/>
      <c r="AJ396" s="55"/>
      <c r="AK396" s="55"/>
      <c r="AL396" s="55"/>
      <c r="AM396" s="55"/>
      <c r="AN396" s="55"/>
      <c r="AO396" s="55"/>
      <c r="AP396" s="55"/>
      <c r="AQ396" s="55"/>
      <c r="AR396" s="165"/>
      <c r="AS396" s="55"/>
      <c r="AT396" s="55"/>
      <c r="AU396" s="55"/>
      <c r="AV396" s="55"/>
      <c r="AW396" s="55"/>
      <c r="AX396" s="55"/>
      <c r="AY396" s="55"/>
      <c r="AZ396" s="55"/>
      <c r="BA396" s="165"/>
      <c r="BB396" s="55"/>
      <c r="BC396" s="55"/>
      <c r="BD396" s="55"/>
      <c r="BE396" s="165"/>
      <c r="BF396" s="55"/>
      <c r="BG396" s="10"/>
      <c r="BH396" s="55"/>
      <c r="BI396" s="55"/>
      <c r="BJ396" s="55"/>
      <c r="BK396" s="55"/>
      <c r="BS396" s="141"/>
      <c r="CM396" s="141"/>
      <c r="DC396" s="141"/>
    </row>
    <row r="397" spans="1:107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55"/>
      <c r="R397" s="171"/>
      <c r="S397" s="161"/>
      <c r="T397" s="55"/>
      <c r="U397" s="55"/>
      <c r="V397" s="55"/>
      <c r="W397" s="155"/>
      <c r="X397" s="171"/>
      <c r="Y397" s="165"/>
      <c r="Z397" s="10"/>
      <c r="AA397" s="55"/>
      <c r="AB397" s="55"/>
      <c r="AC397" s="55"/>
      <c r="AD397" s="55"/>
      <c r="AE397" s="55"/>
      <c r="AF397" s="167"/>
      <c r="AG397" s="55"/>
      <c r="AH397" s="55"/>
      <c r="AI397" s="165"/>
      <c r="AJ397" s="55"/>
      <c r="AK397" s="55"/>
      <c r="AL397" s="55"/>
      <c r="AM397" s="55"/>
      <c r="AN397" s="55"/>
      <c r="AO397" s="55"/>
      <c r="AP397" s="55"/>
      <c r="AQ397" s="55"/>
      <c r="AR397" s="165"/>
      <c r="AS397" s="55"/>
      <c r="AT397" s="55"/>
      <c r="AU397" s="55"/>
      <c r="AV397" s="55"/>
      <c r="AW397" s="55"/>
      <c r="AX397" s="55"/>
      <c r="AY397" s="55"/>
      <c r="AZ397" s="55"/>
      <c r="BA397" s="165"/>
      <c r="BB397" s="55"/>
      <c r="BC397" s="55"/>
      <c r="BD397" s="55"/>
      <c r="BE397" s="165"/>
      <c r="BF397" s="55"/>
      <c r="BG397" s="10"/>
      <c r="BH397" s="55"/>
      <c r="BI397" s="55"/>
      <c r="BJ397" s="55"/>
      <c r="BK397" s="55"/>
      <c r="BS397" s="141"/>
      <c r="CM397" s="141"/>
      <c r="DC397" s="141"/>
    </row>
    <row r="398" spans="1:107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55"/>
      <c r="R398" s="171"/>
      <c r="S398" s="161"/>
      <c r="T398" s="55"/>
      <c r="U398" s="55"/>
      <c r="V398" s="55"/>
      <c r="W398" s="155"/>
      <c r="X398" s="171"/>
      <c r="Y398" s="165"/>
      <c r="Z398" s="10"/>
      <c r="AA398" s="55"/>
      <c r="AB398" s="55"/>
      <c r="AC398" s="55"/>
      <c r="AD398" s="55"/>
      <c r="AE398" s="55"/>
      <c r="AF398" s="167"/>
      <c r="AG398" s="55"/>
      <c r="AH398" s="55"/>
      <c r="AI398" s="165"/>
      <c r="AJ398" s="55"/>
      <c r="AK398" s="55"/>
      <c r="AL398" s="55"/>
      <c r="AM398" s="55"/>
      <c r="AN398" s="55"/>
      <c r="AO398" s="55"/>
      <c r="AP398" s="55"/>
      <c r="AQ398" s="55"/>
      <c r="AR398" s="165"/>
      <c r="AS398" s="55"/>
      <c r="AT398" s="55"/>
      <c r="AU398" s="55"/>
      <c r="AV398" s="55"/>
      <c r="AW398" s="55"/>
      <c r="AX398" s="55"/>
      <c r="AY398" s="55"/>
      <c r="AZ398" s="55"/>
      <c r="BA398" s="165"/>
      <c r="BB398" s="55"/>
      <c r="BC398" s="55"/>
      <c r="BD398" s="55"/>
      <c r="BE398" s="165"/>
      <c r="BF398" s="55"/>
      <c r="BG398" s="10"/>
      <c r="BH398" s="55"/>
      <c r="BI398" s="55"/>
      <c r="BJ398" s="55"/>
      <c r="BK398" s="55"/>
      <c r="BS398" s="141"/>
      <c r="CM398" s="141"/>
      <c r="DC398" s="141"/>
    </row>
    <row r="399" spans="1:107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55"/>
      <c r="R399" s="171"/>
      <c r="S399" s="161"/>
      <c r="T399" s="55"/>
      <c r="U399" s="55"/>
      <c r="V399" s="55"/>
      <c r="W399" s="155"/>
      <c r="X399" s="171"/>
      <c r="Y399" s="165"/>
      <c r="Z399" s="10"/>
      <c r="AA399" s="55"/>
      <c r="AB399" s="55"/>
      <c r="AC399" s="55"/>
      <c r="AD399" s="55"/>
      <c r="AE399" s="55"/>
      <c r="AF399" s="167"/>
      <c r="AG399" s="55"/>
      <c r="AH399" s="55"/>
      <c r="AI399" s="165"/>
      <c r="AJ399" s="55"/>
      <c r="AK399" s="55"/>
      <c r="AL399" s="55"/>
      <c r="AM399" s="55"/>
      <c r="AN399" s="55"/>
      <c r="AO399" s="55"/>
      <c r="AP399" s="55"/>
      <c r="AQ399" s="55"/>
      <c r="AR399" s="165"/>
      <c r="AS399" s="55"/>
      <c r="AT399" s="55"/>
      <c r="AU399" s="55"/>
      <c r="AV399" s="55"/>
      <c r="AW399" s="55"/>
      <c r="AX399" s="55"/>
      <c r="AY399" s="55"/>
      <c r="AZ399" s="55"/>
      <c r="BA399" s="165"/>
      <c r="BB399" s="55"/>
      <c r="BC399" s="55"/>
      <c r="BD399" s="55"/>
      <c r="BE399" s="165"/>
      <c r="BF399" s="55"/>
      <c r="BG399" s="10"/>
      <c r="BH399" s="55"/>
      <c r="BI399" s="55"/>
      <c r="BJ399" s="55"/>
      <c r="BK399" s="55"/>
      <c r="BS399" s="141"/>
      <c r="CM399" s="141"/>
      <c r="DC399" s="141"/>
    </row>
    <row r="400" spans="1:107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55"/>
      <c r="R400" s="171"/>
      <c r="S400" s="161"/>
      <c r="T400" s="55"/>
      <c r="U400" s="55"/>
      <c r="V400" s="55"/>
      <c r="W400" s="155"/>
      <c r="X400" s="171"/>
      <c r="Y400" s="165"/>
      <c r="Z400" s="10"/>
      <c r="AA400" s="55"/>
      <c r="AB400" s="55"/>
      <c r="AC400" s="55"/>
      <c r="AD400" s="55"/>
      <c r="AE400" s="55"/>
      <c r="AF400" s="167"/>
      <c r="AG400" s="55"/>
      <c r="AH400" s="55"/>
      <c r="AI400" s="165"/>
      <c r="AJ400" s="55"/>
      <c r="AK400" s="55"/>
      <c r="AL400" s="55"/>
      <c r="AM400" s="55"/>
      <c r="AN400" s="55"/>
      <c r="AO400" s="55"/>
      <c r="AP400" s="55"/>
      <c r="AQ400" s="55"/>
      <c r="AR400" s="165"/>
      <c r="AS400" s="55"/>
      <c r="AT400" s="55"/>
      <c r="AU400" s="55"/>
      <c r="AV400" s="55"/>
      <c r="AW400" s="55"/>
      <c r="AX400" s="55"/>
      <c r="AY400" s="55"/>
      <c r="AZ400" s="55"/>
      <c r="BA400" s="165"/>
      <c r="BB400" s="55"/>
      <c r="BC400" s="55"/>
      <c r="BD400" s="55"/>
      <c r="BE400" s="165"/>
      <c r="BF400" s="55"/>
      <c r="BG400" s="10"/>
      <c r="BH400" s="55"/>
      <c r="BI400" s="55"/>
      <c r="BJ400" s="55"/>
      <c r="BK400" s="55"/>
      <c r="BS400" s="141"/>
      <c r="CM400" s="141"/>
      <c r="DC400" s="141"/>
    </row>
    <row r="401" spans="1:107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55"/>
      <c r="R401" s="171"/>
      <c r="S401" s="161"/>
      <c r="T401" s="55"/>
      <c r="U401" s="55"/>
      <c r="V401" s="55"/>
      <c r="W401" s="155"/>
      <c r="X401" s="171"/>
      <c r="Y401" s="165"/>
      <c r="Z401" s="10"/>
      <c r="AA401" s="55"/>
      <c r="AB401" s="55"/>
      <c r="AC401" s="55"/>
      <c r="AD401" s="55"/>
      <c r="AE401" s="55"/>
      <c r="AF401" s="167"/>
      <c r="AG401" s="55"/>
      <c r="AH401" s="55"/>
      <c r="AI401" s="165"/>
      <c r="AJ401" s="55"/>
      <c r="AK401" s="55"/>
      <c r="AL401" s="55"/>
      <c r="AM401" s="55"/>
      <c r="AN401" s="55"/>
      <c r="AO401" s="55"/>
      <c r="AP401" s="55"/>
      <c r="AQ401" s="55"/>
      <c r="AR401" s="165"/>
      <c r="AS401" s="55"/>
      <c r="AT401" s="55"/>
      <c r="AU401" s="55"/>
      <c r="AV401" s="55"/>
      <c r="AW401" s="55"/>
      <c r="AX401" s="55"/>
      <c r="AY401" s="55"/>
      <c r="AZ401" s="55"/>
      <c r="BA401" s="165"/>
      <c r="BB401" s="55"/>
      <c r="BC401" s="55"/>
      <c r="BD401" s="55"/>
      <c r="BE401" s="165"/>
      <c r="BF401" s="55"/>
      <c r="BG401" s="10"/>
      <c r="BH401" s="55"/>
      <c r="BI401" s="55"/>
      <c r="BJ401" s="55"/>
      <c r="BK401" s="55"/>
      <c r="BS401" s="141"/>
      <c r="CM401" s="141"/>
      <c r="DC401" s="141"/>
    </row>
    <row r="402" spans="1:107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55"/>
      <c r="R402" s="171"/>
      <c r="S402" s="161"/>
      <c r="T402" s="55"/>
      <c r="U402" s="55"/>
      <c r="V402" s="55"/>
      <c r="W402" s="155"/>
      <c r="X402" s="171"/>
      <c r="Y402" s="165"/>
      <c r="Z402" s="10"/>
      <c r="AA402" s="55"/>
      <c r="AB402" s="55"/>
      <c r="AC402" s="55"/>
      <c r="AD402" s="55"/>
      <c r="AE402" s="55"/>
      <c r="AF402" s="167"/>
      <c r="AG402" s="55"/>
      <c r="AH402" s="55"/>
      <c r="AI402" s="165"/>
      <c r="AJ402" s="55"/>
      <c r="AK402" s="55"/>
      <c r="AL402" s="55"/>
      <c r="AM402" s="55"/>
      <c r="AN402" s="55"/>
      <c r="AO402" s="55"/>
      <c r="AP402" s="55"/>
      <c r="AQ402" s="55"/>
      <c r="AR402" s="165"/>
      <c r="AS402" s="55"/>
      <c r="AT402" s="55"/>
      <c r="AU402" s="55"/>
      <c r="AV402" s="55"/>
      <c r="AW402" s="55"/>
      <c r="AX402" s="55"/>
      <c r="AY402" s="55"/>
      <c r="AZ402" s="55"/>
      <c r="BA402" s="165"/>
      <c r="BB402" s="55"/>
      <c r="BC402" s="55"/>
      <c r="BD402" s="55"/>
      <c r="BE402" s="165"/>
      <c r="BF402" s="55"/>
      <c r="BG402" s="10"/>
      <c r="BH402" s="55"/>
      <c r="BI402" s="55"/>
      <c r="BJ402" s="55"/>
      <c r="BK402" s="55"/>
      <c r="BS402" s="141"/>
      <c r="CM402" s="141"/>
      <c r="DC402" s="141"/>
    </row>
    <row r="403" spans="1:107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55"/>
      <c r="R403" s="171"/>
      <c r="S403" s="161"/>
      <c r="T403" s="55"/>
      <c r="U403" s="55"/>
      <c r="V403" s="55"/>
      <c r="W403" s="155"/>
      <c r="X403" s="171"/>
      <c r="Y403" s="165"/>
      <c r="Z403" s="10"/>
      <c r="AA403" s="55"/>
      <c r="AB403" s="55"/>
      <c r="AC403" s="55"/>
      <c r="AD403" s="55"/>
      <c r="AE403" s="55"/>
      <c r="AF403" s="167"/>
      <c r="AG403" s="55"/>
      <c r="AH403" s="55"/>
      <c r="AI403" s="165"/>
      <c r="AJ403" s="55"/>
      <c r="AK403" s="55"/>
      <c r="AL403" s="55"/>
      <c r="AM403" s="55"/>
      <c r="AN403" s="55"/>
      <c r="AO403" s="55"/>
      <c r="AP403" s="55"/>
      <c r="AQ403" s="55"/>
      <c r="AR403" s="165"/>
      <c r="AS403" s="55"/>
      <c r="AT403" s="55"/>
      <c r="AU403" s="55"/>
      <c r="AV403" s="55"/>
      <c r="AW403" s="55"/>
      <c r="AX403" s="55"/>
      <c r="AY403" s="55"/>
      <c r="AZ403" s="55"/>
      <c r="BA403" s="165"/>
      <c r="BB403" s="55"/>
      <c r="BC403" s="55"/>
      <c r="BD403" s="55"/>
      <c r="BE403" s="165"/>
      <c r="BF403" s="55"/>
      <c r="BG403" s="10"/>
      <c r="BH403" s="55"/>
      <c r="BI403" s="55"/>
      <c r="BJ403" s="55"/>
      <c r="BK403" s="55"/>
      <c r="BS403" s="141"/>
      <c r="CM403" s="141"/>
      <c r="DC403" s="141"/>
    </row>
    <row r="404" spans="1:107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55"/>
      <c r="R404" s="171"/>
      <c r="S404" s="161"/>
      <c r="T404" s="55"/>
      <c r="U404" s="55"/>
      <c r="V404" s="55"/>
      <c r="W404" s="155"/>
      <c r="X404" s="171"/>
      <c r="Y404" s="165"/>
      <c r="Z404" s="10"/>
      <c r="AA404" s="55"/>
      <c r="AB404" s="55"/>
      <c r="AC404" s="55"/>
      <c r="AD404" s="55"/>
      <c r="AE404" s="55"/>
      <c r="AF404" s="167"/>
      <c r="AG404" s="55"/>
      <c r="AH404" s="55"/>
      <c r="AI404" s="165"/>
      <c r="AJ404" s="55"/>
      <c r="AK404" s="55"/>
      <c r="AL404" s="55"/>
      <c r="AM404" s="55"/>
      <c r="AN404" s="55"/>
      <c r="AO404" s="55"/>
      <c r="AP404" s="55"/>
      <c r="AQ404" s="55"/>
      <c r="AR404" s="165"/>
      <c r="AS404" s="55"/>
      <c r="AT404" s="55"/>
      <c r="AU404" s="55"/>
      <c r="AV404" s="55"/>
      <c r="AW404" s="55"/>
      <c r="AX404" s="55"/>
      <c r="AY404" s="55"/>
      <c r="AZ404" s="55"/>
      <c r="BA404" s="165"/>
      <c r="BB404" s="55"/>
      <c r="BC404" s="55"/>
      <c r="BD404" s="55"/>
      <c r="BE404" s="165"/>
      <c r="BF404" s="55"/>
      <c r="BG404" s="10"/>
      <c r="BH404" s="55"/>
      <c r="BI404" s="55"/>
      <c r="BJ404" s="55"/>
      <c r="BK404" s="55"/>
      <c r="BS404" s="141"/>
      <c r="CM404" s="141"/>
      <c r="DC404" s="141"/>
    </row>
    <row r="405" spans="1:107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55"/>
      <c r="R405" s="171"/>
      <c r="S405" s="161"/>
      <c r="T405" s="55"/>
      <c r="U405" s="55"/>
      <c r="V405" s="55"/>
      <c r="W405" s="155"/>
      <c r="X405" s="171"/>
      <c r="Y405" s="165"/>
      <c r="Z405" s="10"/>
      <c r="AA405" s="55"/>
      <c r="AB405" s="55"/>
      <c r="AC405" s="55"/>
      <c r="AD405" s="55"/>
      <c r="AE405" s="55"/>
      <c r="AF405" s="167"/>
      <c r="AG405" s="55"/>
      <c r="AH405" s="55"/>
      <c r="AI405" s="165"/>
      <c r="AJ405" s="55"/>
      <c r="AK405" s="55"/>
      <c r="AL405" s="55"/>
      <c r="AM405" s="55"/>
      <c r="AN405" s="55"/>
      <c r="AO405" s="55"/>
      <c r="AP405" s="55"/>
      <c r="AQ405" s="55"/>
      <c r="AR405" s="165"/>
      <c r="AS405" s="55"/>
      <c r="AT405" s="55"/>
      <c r="AU405" s="55"/>
      <c r="AV405" s="55"/>
      <c r="AW405" s="55"/>
      <c r="AX405" s="55"/>
      <c r="AY405" s="55"/>
      <c r="AZ405" s="55"/>
      <c r="BA405" s="165"/>
      <c r="BB405" s="55"/>
      <c r="BC405" s="55"/>
      <c r="BD405" s="55"/>
      <c r="BE405" s="165"/>
      <c r="BF405" s="55"/>
      <c r="BG405" s="10"/>
      <c r="BH405" s="55"/>
      <c r="BI405" s="55"/>
      <c r="BJ405" s="55"/>
      <c r="BK405" s="55"/>
      <c r="BS405" s="141"/>
      <c r="CM405" s="141"/>
      <c r="DC405" s="141"/>
    </row>
    <row r="406" spans="1:107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55"/>
      <c r="R406" s="171"/>
      <c r="S406" s="161"/>
      <c r="T406" s="55"/>
      <c r="U406" s="55"/>
      <c r="V406" s="55"/>
      <c r="W406" s="155"/>
      <c r="X406" s="171"/>
      <c r="Y406" s="165"/>
      <c r="Z406" s="10"/>
      <c r="AA406" s="55"/>
      <c r="AB406" s="55"/>
      <c r="AC406" s="55"/>
      <c r="AD406" s="55"/>
      <c r="AE406" s="55"/>
      <c r="AF406" s="167"/>
      <c r="AG406" s="55"/>
      <c r="AH406" s="55"/>
      <c r="AI406" s="165"/>
      <c r="AJ406" s="55"/>
      <c r="AK406" s="55"/>
      <c r="AL406" s="55"/>
      <c r="AM406" s="55"/>
      <c r="AN406" s="55"/>
      <c r="AO406" s="55"/>
      <c r="AP406" s="55"/>
      <c r="AQ406" s="55"/>
      <c r="AR406" s="165"/>
      <c r="AS406" s="55"/>
      <c r="AT406" s="55"/>
      <c r="AU406" s="55"/>
      <c r="AV406" s="55"/>
      <c r="AW406" s="55"/>
      <c r="AX406" s="55"/>
      <c r="AY406" s="55"/>
      <c r="AZ406" s="55"/>
      <c r="BA406" s="165"/>
      <c r="BB406" s="55"/>
      <c r="BC406" s="55"/>
      <c r="BD406" s="55"/>
      <c r="BE406" s="165"/>
      <c r="BF406" s="55"/>
      <c r="BG406" s="10"/>
      <c r="BH406" s="55"/>
      <c r="BI406" s="55"/>
      <c r="BJ406" s="55"/>
      <c r="BK406" s="55"/>
      <c r="BS406" s="141"/>
      <c r="CM406" s="141"/>
      <c r="DC406" s="141"/>
    </row>
    <row r="407" spans="1:107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55"/>
      <c r="R407" s="171"/>
      <c r="S407" s="161"/>
      <c r="T407" s="55"/>
      <c r="U407" s="55"/>
      <c r="V407" s="55"/>
      <c r="W407" s="155"/>
      <c r="X407" s="171"/>
      <c r="Y407" s="165"/>
      <c r="Z407" s="10"/>
      <c r="AA407" s="55"/>
      <c r="AB407" s="55"/>
      <c r="AC407" s="55"/>
      <c r="AD407" s="55"/>
      <c r="AE407" s="55"/>
      <c r="AF407" s="167"/>
      <c r="AG407" s="55"/>
      <c r="AH407" s="55"/>
      <c r="AI407" s="165"/>
      <c r="AJ407" s="55"/>
      <c r="AK407" s="55"/>
      <c r="AL407" s="55"/>
      <c r="AM407" s="55"/>
      <c r="AN407" s="55"/>
      <c r="AO407" s="55"/>
      <c r="AP407" s="55"/>
      <c r="AQ407" s="55"/>
      <c r="AR407" s="165"/>
      <c r="AS407" s="55"/>
      <c r="AT407" s="55"/>
      <c r="AU407" s="55"/>
      <c r="AV407" s="55"/>
      <c r="AW407" s="55"/>
      <c r="AX407" s="55"/>
      <c r="AY407" s="55"/>
      <c r="AZ407" s="55"/>
      <c r="BA407" s="165"/>
      <c r="BB407" s="55"/>
      <c r="BC407" s="55"/>
      <c r="BD407" s="55"/>
      <c r="BE407" s="165"/>
      <c r="BF407" s="55"/>
      <c r="BG407" s="10"/>
      <c r="BH407" s="55"/>
      <c r="BI407" s="55"/>
      <c r="BJ407" s="55"/>
      <c r="BK407" s="55"/>
      <c r="BS407" s="141"/>
      <c r="CM407" s="141"/>
      <c r="DC407" s="141"/>
    </row>
    <row r="408" spans="1:107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55"/>
      <c r="R408" s="171"/>
      <c r="S408" s="161"/>
      <c r="T408" s="55"/>
      <c r="U408" s="55"/>
      <c r="V408" s="55"/>
      <c r="W408" s="155"/>
      <c r="X408" s="171"/>
      <c r="Y408" s="165"/>
      <c r="Z408" s="10"/>
      <c r="AA408" s="55"/>
      <c r="AB408" s="55"/>
      <c r="AC408" s="55"/>
      <c r="AD408" s="55"/>
      <c r="AE408" s="55"/>
      <c r="AF408" s="167"/>
      <c r="AG408" s="55"/>
      <c r="AH408" s="55"/>
      <c r="AI408" s="165"/>
      <c r="AJ408" s="55"/>
      <c r="AK408" s="55"/>
      <c r="AL408" s="55"/>
      <c r="AM408" s="55"/>
      <c r="AN408" s="55"/>
      <c r="AO408" s="55"/>
      <c r="AP408" s="55"/>
      <c r="AQ408" s="55"/>
      <c r="AR408" s="165"/>
      <c r="AS408" s="55"/>
      <c r="AT408" s="55"/>
      <c r="AU408" s="55"/>
      <c r="AV408" s="55"/>
      <c r="AW408" s="55"/>
      <c r="AX408" s="55"/>
      <c r="AY408" s="55"/>
      <c r="AZ408" s="55"/>
      <c r="BA408" s="165"/>
      <c r="BB408" s="55"/>
      <c r="BC408" s="55"/>
      <c r="BD408" s="55"/>
      <c r="BE408" s="165"/>
      <c r="BF408" s="55"/>
      <c r="BG408" s="10"/>
      <c r="BH408" s="55"/>
      <c r="BI408" s="55"/>
      <c r="BJ408" s="55"/>
      <c r="BK408" s="55"/>
      <c r="BS408" s="141"/>
      <c r="CM408" s="141"/>
      <c r="DC408" s="141"/>
    </row>
    <row r="409" spans="1:107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55"/>
      <c r="R409" s="171"/>
      <c r="S409" s="161"/>
      <c r="T409" s="55"/>
      <c r="U409" s="55"/>
      <c r="V409" s="55"/>
      <c r="W409" s="155"/>
      <c r="X409" s="171"/>
      <c r="Y409" s="165"/>
      <c r="Z409" s="10"/>
      <c r="AA409" s="55"/>
      <c r="AB409" s="55"/>
      <c r="AC409" s="55"/>
      <c r="AD409" s="55"/>
      <c r="AE409" s="55"/>
      <c r="AF409" s="167"/>
      <c r="AG409" s="55"/>
      <c r="AH409" s="55"/>
      <c r="AI409" s="165"/>
      <c r="AJ409" s="55"/>
      <c r="AK409" s="55"/>
      <c r="AL409" s="55"/>
      <c r="AM409" s="55"/>
      <c r="AN409" s="55"/>
      <c r="AO409" s="55"/>
      <c r="AP409" s="55"/>
      <c r="AQ409" s="55"/>
      <c r="AR409" s="165"/>
      <c r="AS409" s="55"/>
      <c r="AT409" s="55"/>
      <c r="AU409" s="55"/>
      <c r="AV409" s="55"/>
      <c r="AW409" s="55"/>
      <c r="AX409" s="55"/>
      <c r="AY409" s="55"/>
      <c r="AZ409" s="55"/>
      <c r="BA409" s="165"/>
      <c r="BB409" s="55"/>
      <c r="BC409" s="55"/>
      <c r="BD409" s="55"/>
      <c r="BE409" s="165"/>
      <c r="BF409" s="55"/>
      <c r="BG409" s="10"/>
      <c r="BH409" s="55"/>
      <c r="BI409" s="55"/>
      <c r="BJ409" s="55"/>
      <c r="BK409" s="55"/>
      <c r="BS409" s="141"/>
      <c r="CM409" s="141"/>
      <c r="DC409" s="141"/>
    </row>
    <row r="410" spans="1:107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55"/>
      <c r="R410" s="171"/>
      <c r="S410" s="161"/>
      <c r="T410" s="55"/>
      <c r="U410" s="55"/>
      <c r="V410" s="55"/>
      <c r="W410" s="155"/>
      <c r="X410" s="171"/>
      <c r="Y410" s="165"/>
      <c r="Z410" s="10"/>
      <c r="AA410" s="55"/>
      <c r="AB410" s="55"/>
      <c r="AC410" s="55"/>
      <c r="AD410" s="55"/>
      <c r="AE410" s="55"/>
      <c r="AF410" s="167"/>
      <c r="AG410" s="55"/>
      <c r="AH410" s="55"/>
      <c r="AI410" s="165"/>
      <c r="AJ410" s="55"/>
      <c r="AK410" s="55"/>
      <c r="AL410" s="55"/>
      <c r="AM410" s="55"/>
      <c r="AN410" s="55"/>
      <c r="AO410" s="55"/>
      <c r="AP410" s="55"/>
      <c r="AQ410" s="55"/>
      <c r="AR410" s="165"/>
      <c r="AS410" s="55"/>
      <c r="AT410" s="55"/>
      <c r="AU410" s="55"/>
      <c r="AV410" s="55"/>
      <c r="AW410" s="55"/>
      <c r="AX410" s="55"/>
      <c r="AY410" s="55"/>
      <c r="AZ410" s="55"/>
      <c r="BA410" s="165"/>
      <c r="BB410" s="55"/>
      <c r="BC410" s="55"/>
      <c r="BD410" s="55"/>
      <c r="BE410" s="165"/>
      <c r="BF410" s="55"/>
      <c r="BG410" s="10"/>
      <c r="BH410" s="55"/>
      <c r="BI410" s="55"/>
      <c r="BJ410" s="55"/>
      <c r="BK410" s="55"/>
      <c r="BS410" s="141"/>
      <c r="CM410" s="141"/>
      <c r="DC410" s="141"/>
    </row>
    <row r="411" spans="1:107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55"/>
      <c r="R411" s="171"/>
      <c r="S411" s="161"/>
      <c r="T411" s="55"/>
      <c r="U411" s="55"/>
      <c r="V411" s="55"/>
      <c r="W411" s="155"/>
      <c r="X411" s="171"/>
      <c r="Y411" s="165"/>
      <c r="Z411" s="10"/>
      <c r="AA411" s="55"/>
      <c r="AB411" s="55"/>
      <c r="AC411" s="55"/>
      <c r="AD411" s="55"/>
      <c r="AE411" s="55"/>
      <c r="AF411" s="167"/>
      <c r="AG411" s="55"/>
      <c r="AH411" s="55"/>
      <c r="AI411" s="165"/>
      <c r="AJ411" s="55"/>
      <c r="AK411" s="55"/>
      <c r="AL411" s="55"/>
      <c r="AM411" s="55"/>
      <c r="AN411" s="55"/>
      <c r="AO411" s="55"/>
      <c r="AP411" s="55"/>
      <c r="AQ411" s="55"/>
      <c r="AR411" s="165"/>
      <c r="AS411" s="55"/>
      <c r="AT411" s="55"/>
      <c r="AU411" s="55"/>
      <c r="AV411" s="55"/>
      <c r="AW411" s="55"/>
      <c r="AX411" s="55"/>
      <c r="AY411" s="55"/>
      <c r="AZ411" s="55"/>
      <c r="BA411" s="165"/>
      <c r="BB411" s="55"/>
      <c r="BC411" s="55"/>
      <c r="BD411" s="55"/>
      <c r="BE411" s="165"/>
      <c r="BF411" s="55"/>
      <c r="BG411" s="10"/>
      <c r="BH411" s="55"/>
      <c r="BI411" s="55"/>
      <c r="BJ411" s="55"/>
      <c r="BK411" s="55"/>
      <c r="BS411" s="141"/>
      <c r="CM411" s="141"/>
      <c r="DC411" s="141"/>
    </row>
    <row r="412" spans="1:107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55"/>
      <c r="R412" s="171"/>
      <c r="S412" s="161"/>
      <c r="T412" s="55"/>
      <c r="U412" s="55"/>
      <c r="V412" s="55"/>
      <c r="W412" s="155"/>
      <c r="X412" s="171"/>
      <c r="Y412" s="165"/>
      <c r="Z412" s="10"/>
      <c r="AA412" s="55"/>
      <c r="AB412" s="55"/>
      <c r="AC412" s="55"/>
      <c r="AD412" s="55"/>
      <c r="AE412" s="55"/>
      <c r="AF412" s="167"/>
      <c r="AG412" s="55"/>
      <c r="AH412" s="55"/>
      <c r="AI412" s="165"/>
      <c r="AJ412" s="55"/>
      <c r="AK412" s="55"/>
      <c r="AL412" s="55"/>
      <c r="AM412" s="55"/>
      <c r="AN412" s="55"/>
      <c r="AO412" s="55"/>
      <c r="AP412" s="55"/>
      <c r="AQ412" s="55"/>
      <c r="AR412" s="165"/>
      <c r="AS412" s="55"/>
      <c r="AT412" s="55"/>
      <c r="AU412" s="55"/>
      <c r="AV412" s="55"/>
      <c r="AW412" s="55"/>
      <c r="AX412" s="55"/>
      <c r="AY412" s="55"/>
      <c r="AZ412" s="55"/>
      <c r="BA412" s="165"/>
      <c r="BB412" s="55"/>
      <c r="BC412" s="55"/>
      <c r="BD412" s="55"/>
      <c r="BE412" s="165"/>
      <c r="BF412" s="55"/>
      <c r="BG412" s="10"/>
      <c r="BH412" s="55"/>
      <c r="BI412" s="55"/>
      <c r="BJ412" s="55"/>
      <c r="BK412" s="55"/>
      <c r="BS412" s="141"/>
      <c r="CM412" s="141"/>
      <c r="DC412" s="141"/>
    </row>
    <row r="413" spans="1:107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55"/>
      <c r="R413" s="171"/>
      <c r="S413" s="161"/>
      <c r="T413" s="55"/>
      <c r="U413" s="55"/>
      <c r="V413" s="55"/>
      <c r="W413" s="155"/>
      <c r="X413" s="171"/>
      <c r="Y413" s="165"/>
      <c r="Z413" s="10"/>
      <c r="AA413" s="55"/>
      <c r="AB413" s="55"/>
      <c r="AC413" s="55"/>
      <c r="AD413" s="55"/>
      <c r="AE413" s="55"/>
      <c r="AF413" s="167"/>
      <c r="AG413" s="55"/>
      <c r="AH413" s="55"/>
      <c r="AI413" s="165"/>
      <c r="AJ413" s="55"/>
      <c r="AK413" s="55"/>
      <c r="AL413" s="55"/>
      <c r="AM413" s="55"/>
      <c r="AN413" s="55"/>
      <c r="AO413" s="55"/>
      <c r="AP413" s="55"/>
      <c r="AQ413" s="55"/>
      <c r="AR413" s="165"/>
      <c r="AS413" s="55"/>
      <c r="AT413" s="55"/>
      <c r="AU413" s="55"/>
      <c r="AV413" s="55"/>
      <c r="AW413" s="55"/>
      <c r="AX413" s="55"/>
      <c r="AY413" s="55"/>
      <c r="AZ413" s="55"/>
      <c r="BA413" s="165"/>
      <c r="BB413" s="55"/>
      <c r="BC413" s="55"/>
      <c r="BD413" s="55"/>
      <c r="BE413" s="165"/>
      <c r="BF413" s="55"/>
      <c r="BG413" s="10"/>
      <c r="BH413" s="55"/>
      <c r="BI413" s="55"/>
      <c r="BJ413" s="55"/>
      <c r="BK413" s="55"/>
      <c r="BS413" s="141"/>
      <c r="CM413" s="141"/>
      <c r="DC413" s="141"/>
    </row>
    <row r="414" spans="1:107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55"/>
      <c r="R414" s="171"/>
      <c r="S414" s="161"/>
      <c r="T414" s="55"/>
      <c r="U414" s="55"/>
      <c r="V414" s="55"/>
      <c r="W414" s="155"/>
      <c r="X414" s="171"/>
      <c r="Y414" s="165"/>
      <c r="Z414" s="10"/>
      <c r="AA414" s="55"/>
      <c r="AB414" s="55"/>
      <c r="AC414" s="55"/>
      <c r="AD414" s="55"/>
      <c r="AE414" s="55"/>
      <c r="AF414" s="167"/>
      <c r="AG414" s="55"/>
      <c r="AH414" s="55"/>
      <c r="AI414" s="165"/>
      <c r="AJ414" s="55"/>
      <c r="AK414" s="55"/>
      <c r="AL414" s="55"/>
      <c r="AM414" s="55"/>
      <c r="AN414" s="55"/>
      <c r="AO414" s="55"/>
      <c r="AP414" s="55"/>
      <c r="AQ414" s="55"/>
      <c r="AR414" s="165"/>
      <c r="AS414" s="55"/>
      <c r="AT414" s="55"/>
      <c r="AU414" s="55"/>
      <c r="AV414" s="55"/>
      <c r="AW414" s="55"/>
      <c r="AX414" s="55"/>
      <c r="AY414" s="55"/>
      <c r="AZ414" s="55"/>
      <c r="BA414" s="165"/>
      <c r="BB414" s="55"/>
      <c r="BC414" s="55"/>
      <c r="BD414" s="55"/>
      <c r="BE414" s="165"/>
      <c r="BF414" s="55"/>
      <c r="BG414" s="10"/>
      <c r="BH414" s="55"/>
      <c r="BI414" s="55"/>
      <c r="BJ414" s="55"/>
      <c r="BK414" s="55"/>
      <c r="BS414" s="141"/>
      <c r="CM414" s="141"/>
      <c r="DC414" s="141"/>
    </row>
    <row r="415" spans="1:107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55"/>
      <c r="R415" s="171"/>
      <c r="S415" s="161"/>
      <c r="T415" s="55"/>
      <c r="U415" s="55"/>
      <c r="V415" s="55"/>
      <c r="W415" s="155"/>
      <c r="X415" s="171"/>
      <c r="Y415" s="165"/>
      <c r="Z415" s="10"/>
      <c r="AA415" s="55"/>
      <c r="AB415" s="55"/>
      <c r="AC415" s="55"/>
      <c r="AD415" s="55"/>
      <c r="AE415" s="55"/>
      <c r="AF415" s="167"/>
      <c r="AG415" s="55"/>
      <c r="AH415" s="55"/>
      <c r="AI415" s="165"/>
      <c r="AJ415" s="55"/>
      <c r="AK415" s="55"/>
      <c r="AL415" s="55"/>
      <c r="AM415" s="55"/>
      <c r="AN415" s="55"/>
      <c r="AO415" s="55"/>
      <c r="AP415" s="55"/>
      <c r="AQ415" s="55"/>
      <c r="AR415" s="165"/>
      <c r="AS415" s="55"/>
      <c r="AT415" s="55"/>
      <c r="AU415" s="55"/>
      <c r="AV415" s="55"/>
      <c r="AW415" s="55"/>
      <c r="AX415" s="55"/>
      <c r="AY415" s="55"/>
      <c r="AZ415" s="55"/>
      <c r="BA415" s="165"/>
      <c r="BB415" s="55"/>
      <c r="BC415" s="55"/>
      <c r="BD415" s="55"/>
      <c r="BE415" s="165"/>
      <c r="BF415" s="55"/>
      <c r="BG415" s="10"/>
      <c r="BH415" s="55"/>
      <c r="BI415" s="55"/>
      <c r="BJ415" s="55"/>
      <c r="BK415" s="55"/>
      <c r="BS415" s="141"/>
      <c r="CM415" s="141"/>
      <c r="DC415" s="141"/>
    </row>
    <row r="416" spans="1:107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55"/>
      <c r="R416" s="171"/>
      <c r="S416" s="161"/>
      <c r="T416" s="55"/>
      <c r="U416" s="55"/>
      <c r="V416" s="55"/>
      <c r="W416" s="155"/>
      <c r="X416" s="171"/>
      <c r="Y416" s="165"/>
      <c r="Z416" s="10"/>
      <c r="AA416" s="55"/>
      <c r="AB416" s="55"/>
      <c r="AC416" s="55"/>
      <c r="AD416" s="55"/>
      <c r="AE416" s="55"/>
      <c r="AF416" s="167"/>
      <c r="AG416" s="55"/>
      <c r="AH416" s="55"/>
      <c r="AI416" s="165"/>
      <c r="AJ416" s="55"/>
      <c r="AK416" s="55"/>
      <c r="AL416" s="55"/>
      <c r="AM416" s="55"/>
      <c r="AN416" s="55"/>
      <c r="AO416" s="55"/>
      <c r="AP416" s="55"/>
      <c r="AQ416" s="55"/>
      <c r="AR416" s="165"/>
      <c r="AS416" s="55"/>
      <c r="AT416" s="55"/>
      <c r="AU416" s="55"/>
      <c r="AV416" s="55"/>
      <c r="AW416" s="55"/>
      <c r="AX416" s="55"/>
      <c r="AY416" s="55"/>
      <c r="AZ416" s="55"/>
      <c r="BA416" s="165"/>
      <c r="BB416" s="55"/>
      <c r="BC416" s="55"/>
      <c r="BD416" s="55"/>
      <c r="BE416" s="165"/>
      <c r="BF416" s="55"/>
      <c r="BG416" s="10"/>
      <c r="BH416" s="55"/>
      <c r="BI416" s="55"/>
      <c r="BJ416" s="55"/>
      <c r="BK416" s="55"/>
      <c r="BS416" s="141"/>
      <c r="CM416" s="141"/>
      <c r="DC416" s="141"/>
    </row>
    <row r="417" spans="1:107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55"/>
      <c r="R417" s="171"/>
      <c r="S417" s="161"/>
      <c r="T417" s="55"/>
      <c r="U417" s="55"/>
      <c r="V417" s="55"/>
      <c r="W417" s="155"/>
      <c r="X417" s="171"/>
      <c r="Y417" s="165"/>
      <c r="Z417" s="10"/>
      <c r="AA417" s="55"/>
      <c r="AB417" s="55"/>
      <c r="AC417" s="55"/>
      <c r="AD417" s="55"/>
      <c r="AE417" s="55"/>
      <c r="AF417" s="167"/>
      <c r="AG417" s="55"/>
      <c r="AH417" s="55"/>
      <c r="AI417" s="165"/>
      <c r="AJ417" s="55"/>
      <c r="AK417" s="55"/>
      <c r="AL417" s="55"/>
      <c r="AM417" s="55"/>
      <c r="AN417" s="55"/>
      <c r="AO417" s="55"/>
      <c r="AP417" s="55"/>
      <c r="AQ417" s="55"/>
      <c r="AR417" s="165"/>
      <c r="AS417" s="55"/>
      <c r="AT417" s="55"/>
      <c r="AU417" s="55"/>
      <c r="AV417" s="55"/>
      <c r="AW417" s="55"/>
      <c r="AX417" s="55"/>
      <c r="AY417" s="55"/>
      <c r="AZ417" s="55"/>
      <c r="BA417" s="165"/>
      <c r="BB417" s="55"/>
      <c r="BC417" s="55"/>
      <c r="BD417" s="55"/>
      <c r="BE417" s="165"/>
      <c r="BF417" s="55"/>
      <c r="BG417" s="10"/>
      <c r="BH417" s="55"/>
      <c r="BI417" s="55"/>
      <c r="BJ417" s="55"/>
      <c r="BK417" s="55"/>
      <c r="BS417" s="141"/>
      <c r="CM417" s="141"/>
      <c r="DC417" s="141"/>
    </row>
    <row r="418" spans="1:107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55"/>
      <c r="R418" s="171"/>
      <c r="S418" s="161"/>
      <c r="T418" s="55"/>
      <c r="U418" s="55"/>
      <c r="V418" s="55"/>
      <c r="W418" s="155"/>
      <c r="X418" s="171"/>
      <c r="Y418" s="165"/>
      <c r="Z418" s="10"/>
      <c r="AA418" s="55"/>
      <c r="AB418" s="55"/>
      <c r="AC418" s="55"/>
      <c r="AD418" s="55"/>
      <c r="AE418" s="55"/>
      <c r="AF418" s="167"/>
      <c r="AG418" s="55"/>
      <c r="AH418" s="55"/>
      <c r="AI418" s="165"/>
      <c r="AJ418" s="55"/>
      <c r="AK418" s="55"/>
      <c r="AL418" s="55"/>
      <c r="AM418" s="55"/>
      <c r="AN418" s="55"/>
      <c r="AO418" s="55"/>
      <c r="AP418" s="55"/>
      <c r="AQ418" s="55"/>
      <c r="AR418" s="165"/>
      <c r="AS418" s="55"/>
      <c r="AT418" s="55"/>
      <c r="AU418" s="55"/>
      <c r="AV418" s="55"/>
      <c r="AW418" s="55"/>
      <c r="AX418" s="55"/>
      <c r="AY418" s="55"/>
      <c r="AZ418" s="55"/>
      <c r="BA418" s="165"/>
      <c r="BB418" s="55"/>
      <c r="BC418" s="55"/>
      <c r="BD418" s="55"/>
      <c r="BE418" s="165"/>
      <c r="BF418" s="55"/>
      <c r="BG418" s="10"/>
      <c r="BH418" s="55"/>
      <c r="BI418" s="55"/>
      <c r="BJ418" s="55"/>
      <c r="BK418" s="55"/>
      <c r="BS418" s="141"/>
      <c r="CM418" s="141"/>
      <c r="DC418" s="141"/>
    </row>
    <row r="419" spans="1:107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55"/>
      <c r="R419" s="171"/>
      <c r="S419" s="161"/>
      <c r="T419" s="55"/>
      <c r="U419" s="55"/>
      <c r="V419" s="55"/>
      <c r="W419" s="155"/>
      <c r="X419" s="171"/>
      <c r="Y419" s="165"/>
      <c r="Z419" s="10"/>
      <c r="AA419" s="55"/>
      <c r="AB419" s="55"/>
      <c r="AC419" s="55"/>
      <c r="AD419" s="55"/>
      <c r="AE419" s="55"/>
      <c r="AF419" s="167"/>
      <c r="AG419" s="55"/>
      <c r="AH419" s="55"/>
      <c r="AI419" s="165"/>
      <c r="AJ419" s="55"/>
      <c r="AK419" s="55"/>
      <c r="AL419" s="55"/>
      <c r="AM419" s="55"/>
      <c r="AN419" s="55"/>
      <c r="AO419" s="55"/>
      <c r="AP419" s="55"/>
      <c r="AQ419" s="55"/>
      <c r="AR419" s="165"/>
      <c r="AS419" s="55"/>
      <c r="AT419" s="55"/>
      <c r="AU419" s="55"/>
      <c r="AV419" s="55"/>
      <c r="AW419" s="55"/>
      <c r="AX419" s="55"/>
      <c r="AY419" s="55"/>
      <c r="AZ419" s="55"/>
      <c r="BA419" s="165"/>
      <c r="BB419" s="55"/>
      <c r="BC419" s="55"/>
      <c r="BD419" s="55"/>
      <c r="BE419" s="165"/>
      <c r="BF419" s="55"/>
      <c r="BG419" s="10"/>
      <c r="BH419" s="55"/>
      <c r="BI419" s="55"/>
      <c r="BJ419" s="55"/>
      <c r="BK419" s="55"/>
      <c r="BS419" s="141"/>
      <c r="CM419" s="141"/>
      <c r="DC419" s="141"/>
    </row>
    <row r="420" spans="1:107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55"/>
      <c r="R420" s="171"/>
      <c r="S420" s="161"/>
      <c r="T420" s="55"/>
      <c r="U420" s="55"/>
      <c r="V420" s="55"/>
      <c r="W420" s="155"/>
      <c r="X420" s="171"/>
      <c r="Y420" s="165"/>
      <c r="Z420" s="10"/>
      <c r="AA420" s="55"/>
      <c r="AB420" s="55"/>
      <c r="AC420" s="55"/>
      <c r="AD420" s="55"/>
      <c r="AE420" s="55"/>
      <c r="AF420" s="167"/>
      <c r="AG420" s="55"/>
      <c r="AH420" s="55"/>
      <c r="AI420" s="165"/>
      <c r="AJ420" s="55"/>
      <c r="AK420" s="55"/>
      <c r="AL420" s="55"/>
      <c r="AM420" s="55"/>
      <c r="AN420" s="55"/>
      <c r="AO420" s="55"/>
      <c r="AP420" s="55"/>
      <c r="AQ420" s="55"/>
      <c r="AR420" s="165"/>
      <c r="AS420" s="55"/>
      <c r="AT420" s="55"/>
      <c r="AU420" s="55"/>
      <c r="AV420" s="55"/>
      <c r="AW420" s="55"/>
      <c r="AX420" s="55"/>
      <c r="AY420" s="55"/>
      <c r="AZ420" s="55"/>
      <c r="BA420" s="165"/>
      <c r="BB420" s="55"/>
      <c r="BC420" s="55"/>
      <c r="BD420" s="55"/>
      <c r="BE420" s="165"/>
      <c r="BF420" s="55"/>
      <c r="BG420" s="10"/>
      <c r="BH420" s="55"/>
      <c r="BI420" s="55"/>
      <c r="BJ420" s="55"/>
      <c r="BK420" s="55"/>
      <c r="BS420" s="141"/>
      <c r="CM420" s="141"/>
      <c r="DC420" s="141"/>
    </row>
    <row r="421" spans="1:107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55"/>
      <c r="R421" s="171"/>
      <c r="S421" s="161"/>
      <c r="T421" s="55"/>
      <c r="U421" s="55"/>
      <c r="V421" s="55"/>
      <c r="W421" s="155"/>
      <c r="X421" s="171"/>
      <c r="Y421" s="165"/>
      <c r="Z421" s="10"/>
      <c r="AA421" s="55"/>
      <c r="AB421" s="55"/>
      <c r="AC421" s="55"/>
      <c r="AD421" s="55"/>
      <c r="AE421" s="55"/>
      <c r="AF421" s="167"/>
      <c r="AG421" s="55"/>
      <c r="AH421" s="55"/>
      <c r="AI421" s="165"/>
      <c r="AJ421" s="55"/>
      <c r="AK421" s="55"/>
      <c r="AL421" s="55"/>
      <c r="AM421" s="55"/>
      <c r="AN421" s="55"/>
      <c r="AO421" s="55"/>
      <c r="AP421" s="55"/>
      <c r="AQ421" s="55"/>
      <c r="AR421" s="165"/>
      <c r="AS421" s="55"/>
      <c r="AT421" s="55"/>
      <c r="AU421" s="55"/>
      <c r="AV421" s="55"/>
      <c r="AW421" s="55"/>
      <c r="AX421" s="55"/>
      <c r="AY421" s="55"/>
      <c r="AZ421" s="55"/>
      <c r="BA421" s="165"/>
      <c r="BB421" s="55"/>
      <c r="BC421" s="55"/>
      <c r="BD421" s="55"/>
      <c r="BE421" s="165"/>
      <c r="BF421" s="55"/>
      <c r="BG421" s="10"/>
      <c r="BH421" s="55"/>
      <c r="BI421" s="55"/>
      <c r="BJ421" s="55"/>
      <c r="BK421" s="55"/>
      <c r="BS421" s="141"/>
      <c r="CM421" s="141"/>
      <c r="DC421" s="141"/>
    </row>
    <row r="422" spans="1:107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55"/>
      <c r="R422" s="171"/>
      <c r="S422" s="161"/>
      <c r="T422" s="55"/>
      <c r="U422" s="55"/>
      <c r="V422" s="55"/>
      <c r="W422" s="155"/>
      <c r="X422" s="171"/>
      <c r="Y422" s="165"/>
      <c r="Z422" s="10"/>
      <c r="AA422" s="55"/>
      <c r="AB422" s="55"/>
      <c r="AC422" s="55"/>
      <c r="AD422" s="55"/>
      <c r="AE422" s="55"/>
      <c r="AF422" s="167"/>
      <c r="AG422" s="55"/>
      <c r="AH422" s="55"/>
      <c r="AI422" s="165"/>
      <c r="AJ422" s="55"/>
      <c r="AK422" s="55"/>
      <c r="AL422" s="55"/>
      <c r="AM422" s="55"/>
      <c r="AN422" s="55"/>
      <c r="AO422" s="55"/>
      <c r="AP422" s="55"/>
      <c r="AQ422" s="55"/>
      <c r="AR422" s="165"/>
      <c r="AS422" s="55"/>
      <c r="AT422" s="55"/>
      <c r="AU422" s="55"/>
      <c r="AV422" s="55"/>
      <c r="AW422" s="55"/>
      <c r="AX422" s="55"/>
      <c r="AY422" s="55"/>
      <c r="AZ422" s="55"/>
      <c r="BA422" s="165"/>
      <c r="BB422" s="55"/>
      <c r="BC422" s="55"/>
      <c r="BD422" s="55"/>
      <c r="BE422" s="165"/>
      <c r="BF422" s="55"/>
      <c r="BG422" s="10"/>
      <c r="BH422" s="55"/>
      <c r="BI422" s="55"/>
      <c r="BJ422" s="55"/>
      <c r="BK422" s="55"/>
      <c r="BS422" s="141"/>
      <c r="CM422" s="141"/>
      <c r="DC422" s="141"/>
    </row>
    <row r="423" spans="1:107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55"/>
      <c r="R423" s="171"/>
      <c r="S423" s="161"/>
      <c r="T423" s="55"/>
      <c r="U423" s="55"/>
      <c r="V423" s="55"/>
      <c r="W423" s="155"/>
      <c r="X423" s="171"/>
      <c r="Y423" s="165"/>
      <c r="Z423" s="10"/>
      <c r="AA423" s="55"/>
      <c r="AB423" s="55"/>
      <c r="AC423" s="55"/>
      <c r="AD423" s="55"/>
      <c r="AE423" s="55"/>
      <c r="AF423" s="167"/>
      <c r="AG423" s="55"/>
      <c r="AH423" s="55"/>
      <c r="AI423" s="165"/>
      <c r="AJ423" s="55"/>
      <c r="AK423" s="55"/>
      <c r="AL423" s="55"/>
      <c r="AM423" s="55"/>
      <c r="AN423" s="55"/>
      <c r="AO423" s="55"/>
      <c r="AP423" s="55"/>
      <c r="AQ423" s="55"/>
      <c r="AR423" s="165"/>
      <c r="AS423" s="55"/>
      <c r="AT423" s="55"/>
      <c r="AU423" s="55"/>
      <c r="AV423" s="55"/>
      <c r="AW423" s="55"/>
      <c r="AX423" s="55"/>
      <c r="AY423" s="55"/>
      <c r="AZ423" s="55"/>
      <c r="BA423" s="165"/>
      <c r="BB423" s="55"/>
      <c r="BC423" s="55"/>
      <c r="BD423" s="55"/>
      <c r="BE423" s="165"/>
      <c r="BF423" s="55"/>
      <c r="BG423" s="10"/>
      <c r="BH423" s="55"/>
      <c r="BI423" s="55"/>
      <c r="BJ423" s="55"/>
      <c r="BK423" s="55"/>
      <c r="BS423" s="141"/>
      <c r="CM423" s="141"/>
      <c r="DC423" s="141"/>
    </row>
    <row r="424" spans="1:107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55"/>
      <c r="R424" s="171"/>
      <c r="S424" s="161"/>
      <c r="T424" s="55"/>
      <c r="U424" s="55"/>
      <c r="V424" s="55"/>
      <c r="W424" s="155"/>
      <c r="X424" s="171"/>
      <c r="Y424" s="165"/>
      <c r="Z424" s="10"/>
      <c r="AA424" s="55"/>
      <c r="AB424" s="55"/>
      <c r="AC424" s="55"/>
      <c r="AD424" s="55"/>
      <c r="AE424" s="55"/>
      <c r="AF424" s="167"/>
      <c r="AG424" s="55"/>
      <c r="AH424" s="55"/>
      <c r="AI424" s="165"/>
      <c r="AJ424" s="55"/>
      <c r="AK424" s="55"/>
      <c r="AL424" s="55"/>
      <c r="AM424" s="55"/>
      <c r="AN424" s="55"/>
      <c r="AO424" s="55"/>
      <c r="AP424" s="55"/>
      <c r="AQ424" s="55"/>
      <c r="AR424" s="165"/>
      <c r="AS424" s="55"/>
      <c r="AT424" s="55"/>
      <c r="AU424" s="55"/>
      <c r="AV424" s="55"/>
      <c r="AW424" s="55"/>
      <c r="AX424" s="55"/>
      <c r="AY424" s="55"/>
      <c r="AZ424" s="55"/>
      <c r="BA424" s="165"/>
      <c r="BB424" s="55"/>
      <c r="BC424" s="55"/>
      <c r="BD424" s="55"/>
      <c r="BE424" s="165"/>
      <c r="BF424" s="55"/>
      <c r="BG424" s="10"/>
      <c r="BH424" s="55"/>
      <c r="BI424" s="55"/>
      <c r="BJ424" s="55"/>
      <c r="BK424" s="55"/>
      <c r="BS424" s="141"/>
      <c r="CM424" s="141"/>
      <c r="DC424" s="141"/>
    </row>
    <row r="425" spans="1:107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55"/>
      <c r="R425" s="171"/>
      <c r="S425" s="161"/>
      <c r="T425" s="55"/>
      <c r="U425" s="55"/>
      <c r="V425" s="55"/>
      <c r="W425" s="155"/>
      <c r="X425" s="171"/>
      <c r="Y425" s="165"/>
      <c r="Z425" s="10"/>
      <c r="AA425" s="55"/>
      <c r="AB425" s="55"/>
      <c r="AC425" s="55"/>
      <c r="AD425" s="55"/>
      <c r="AE425" s="55"/>
      <c r="AF425" s="167"/>
      <c r="AG425" s="55"/>
      <c r="AH425" s="55"/>
      <c r="AI425" s="165"/>
      <c r="AJ425" s="55"/>
      <c r="AK425" s="55"/>
      <c r="AL425" s="55"/>
      <c r="AM425" s="55"/>
      <c r="AN425" s="55"/>
      <c r="AO425" s="55"/>
      <c r="AP425" s="55"/>
      <c r="AQ425" s="55"/>
      <c r="AR425" s="165"/>
      <c r="AS425" s="55"/>
      <c r="AT425" s="55"/>
      <c r="AU425" s="55"/>
      <c r="AV425" s="55"/>
      <c r="AW425" s="55"/>
      <c r="AX425" s="55"/>
      <c r="AY425" s="55"/>
      <c r="AZ425" s="55"/>
      <c r="BA425" s="165"/>
      <c r="BB425" s="55"/>
      <c r="BC425" s="55"/>
      <c r="BD425" s="55"/>
      <c r="BE425" s="165"/>
      <c r="BF425" s="55"/>
      <c r="BG425" s="10"/>
      <c r="BH425" s="55"/>
      <c r="BI425" s="55"/>
      <c r="BJ425" s="55"/>
      <c r="BK425" s="55"/>
      <c r="BS425" s="141"/>
      <c r="CM425" s="141"/>
      <c r="DC425" s="141"/>
    </row>
    <row r="426" spans="1:107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55"/>
      <c r="R426" s="171"/>
      <c r="S426" s="161"/>
      <c r="T426" s="55"/>
      <c r="U426" s="55"/>
      <c r="V426" s="55"/>
      <c r="W426" s="155"/>
      <c r="X426" s="171"/>
      <c r="Y426" s="165"/>
      <c r="Z426" s="10"/>
      <c r="AA426" s="55"/>
      <c r="AB426" s="55"/>
      <c r="AC426" s="55"/>
      <c r="AD426" s="55"/>
      <c r="AE426" s="55"/>
      <c r="AF426" s="167"/>
      <c r="AG426" s="55"/>
      <c r="AH426" s="55"/>
      <c r="AI426" s="165"/>
      <c r="AJ426" s="55"/>
      <c r="AK426" s="55"/>
      <c r="AL426" s="55"/>
      <c r="AM426" s="55"/>
      <c r="AN426" s="55"/>
      <c r="AO426" s="55"/>
      <c r="AP426" s="55"/>
      <c r="AQ426" s="55"/>
      <c r="AR426" s="165"/>
      <c r="AS426" s="55"/>
      <c r="AT426" s="55"/>
      <c r="AU426" s="55"/>
      <c r="AV426" s="55"/>
      <c r="AW426" s="55"/>
      <c r="AX426" s="55"/>
      <c r="AY426" s="55"/>
      <c r="AZ426" s="55"/>
      <c r="BA426" s="165"/>
      <c r="BB426" s="55"/>
      <c r="BC426" s="55"/>
      <c r="BD426" s="55"/>
      <c r="BE426" s="165"/>
      <c r="BF426" s="55"/>
      <c r="BG426" s="10"/>
      <c r="BH426" s="55"/>
      <c r="BI426" s="55"/>
      <c r="BJ426" s="55"/>
      <c r="BK426" s="55"/>
      <c r="BS426" s="141"/>
      <c r="CM426" s="141"/>
      <c r="DC426" s="141"/>
    </row>
    <row r="427" spans="1:107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55"/>
      <c r="R427" s="171"/>
      <c r="S427" s="161"/>
      <c r="T427" s="55"/>
      <c r="U427" s="55"/>
      <c r="V427" s="55"/>
      <c r="W427" s="155"/>
      <c r="X427" s="171"/>
      <c r="Y427" s="165"/>
      <c r="Z427" s="10"/>
      <c r="AA427" s="55"/>
      <c r="AB427" s="55"/>
      <c r="AC427" s="55"/>
      <c r="AD427" s="55"/>
      <c r="AE427" s="55"/>
      <c r="AF427" s="167"/>
      <c r="AG427" s="55"/>
      <c r="AH427" s="55"/>
      <c r="AI427" s="165"/>
      <c r="AJ427" s="55"/>
      <c r="AK427" s="55"/>
      <c r="AL427" s="55"/>
      <c r="AM427" s="55"/>
      <c r="AN427" s="55"/>
      <c r="AO427" s="55"/>
      <c r="AP427" s="55"/>
      <c r="AQ427" s="55"/>
      <c r="AR427" s="165"/>
      <c r="AS427" s="55"/>
      <c r="AT427" s="55"/>
      <c r="AU427" s="55"/>
      <c r="AV427" s="55"/>
      <c r="AW427" s="55"/>
      <c r="AX427" s="55"/>
      <c r="AY427" s="55"/>
      <c r="AZ427" s="55"/>
      <c r="BA427" s="165"/>
      <c r="BB427" s="55"/>
      <c r="BC427" s="55"/>
      <c r="BD427" s="55"/>
      <c r="BE427" s="165"/>
      <c r="BF427" s="55"/>
      <c r="BG427" s="10"/>
      <c r="BH427" s="55"/>
      <c r="BI427" s="55"/>
      <c r="BJ427" s="55"/>
      <c r="BK427" s="55"/>
      <c r="BS427" s="141"/>
      <c r="CM427" s="141"/>
      <c r="DC427" s="141"/>
    </row>
    <row r="428" spans="1:107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55"/>
      <c r="R428" s="171"/>
      <c r="S428" s="161"/>
      <c r="T428" s="55"/>
      <c r="U428" s="55"/>
      <c r="V428" s="55"/>
      <c r="W428" s="155"/>
      <c r="X428" s="171"/>
      <c r="Y428" s="165"/>
      <c r="Z428" s="10"/>
      <c r="AA428" s="55"/>
      <c r="AB428" s="55"/>
      <c r="AC428" s="55"/>
      <c r="AD428" s="55"/>
      <c r="AE428" s="55"/>
      <c r="AF428" s="167"/>
      <c r="AG428" s="55"/>
      <c r="AH428" s="55"/>
      <c r="AI428" s="165"/>
      <c r="AJ428" s="55"/>
      <c r="AK428" s="55"/>
      <c r="AL428" s="55"/>
      <c r="AM428" s="55"/>
      <c r="AN428" s="55"/>
      <c r="AO428" s="55"/>
      <c r="AP428" s="55"/>
      <c r="AQ428" s="55"/>
      <c r="AR428" s="165"/>
      <c r="AS428" s="55"/>
      <c r="AT428" s="55"/>
      <c r="AU428" s="55"/>
      <c r="AV428" s="55"/>
      <c r="AW428" s="55"/>
      <c r="AX428" s="55"/>
      <c r="AY428" s="55"/>
      <c r="AZ428" s="55"/>
      <c r="BA428" s="165"/>
      <c r="BB428" s="55"/>
      <c r="BC428" s="55"/>
      <c r="BD428" s="55"/>
      <c r="BE428" s="165"/>
      <c r="BF428" s="55"/>
      <c r="BG428" s="10"/>
      <c r="BH428" s="55"/>
      <c r="BI428" s="55"/>
      <c r="BJ428" s="55"/>
      <c r="BK428" s="55"/>
      <c r="BS428" s="141"/>
      <c r="CM428" s="141"/>
      <c r="DC428" s="141"/>
    </row>
    <row r="429" spans="1:107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55"/>
      <c r="R429" s="171"/>
      <c r="S429" s="161"/>
      <c r="T429" s="55"/>
      <c r="U429" s="55"/>
      <c r="V429" s="55"/>
      <c r="W429" s="155"/>
      <c r="X429" s="171"/>
      <c r="Y429" s="165"/>
      <c r="Z429" s="10"/>
      <c r="AA429" s="55"/>
      <c r="AB429" s="55"/>
      <c r="AC429" s="55"/>
      <c r="AD429" s="55"/>
      <c r="AE429" s="55"/>
      <c r="AF429" s="167"/>
      <c r="AG429" s="55"/>
      <c r="AH429" s="55"/>
      <c r="AI429" s="165"/>
      <c r="AJ429" s="55"/>
      <c r="AK429" s="55"/>
      <c r="AL429" s="55"/>
      <c r="AM429" s="55"/>
      <c r="AN429" s="55"/>
      <c r="AO429" s="55"/>
      <c r="AP429" s="55"/>
      <c r="AQ429" s="55"/>
      <c r="AR429" s="165"/>
      <c r="AS429" s="55"/>
      <c r="AT429" s="55"/>
      <c r="AU429" s="55"/>
      <c r="AV429" s="55"/>
      <c r="AW429" s="55"/>
      <c r="AX429" s="55"/>
      <c r="AY429" s="55"/>
      <c r="AZ429" s="55"/>
      <c r="BA429" s="165"/>
      <c r="BB429" s="55"/>
      <c r="BC429" s="55"/>
      <c r="BD429" s="55"/>
      <c r="BE429" s="165"/>
      <c r="BF429" s="55"/>
      <c r="BG429" s="10"/>
      <c r="BH429" s="55"/>
      <c r="BI429" s="55"/>
      <c r="BJ429" s="55"/>
      <c r="BK429" s="55"/>
      <c r="BS429" s="141"/>
      <c r="CM429" s="141"/>
      <c r="DC429" s="141"/>
    </row>
    <row r="430" spans="1:107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55"/>
      <c r="R430" s="171"/>
      <c r="S430" s="161"/>
      <c r="T430" s="55"/>
      <c r="U430" s="55"/>
      <c r="V430" s="55"/>
      <c r="W430" s="155"/>
      <c r="X430" s="171"/>
      <c r="Y430" s="165"/>
      <c r="Z430" s="10"/>
      <c r="AA430" s="55"/>
      <c r="AB430" s="55"/>
      <c r="AC430" s="55"/>
      <c r="AD430" s="55"/>
      <c r="AE430" s="55"/>
      <c r="AF430" s="167"/>
      <c r="AG430" s="55"/>
      <c r="AH430" s="55"/>
      <c r="AI430" s="165"/>
      <c r="AJ430" s="55"/>
      <c r="AK430" s="55"/>
      <c r="AL430" s="55"/>
      <c r="AM430" s="55"/>
      <c r="AN430" s="55"/>
      <c r="AO430" s="55"/>
      <c r="AP430" s="55"/>
      <c r="AQ430" s="55"/>
      <c r="AR430" s="165"/>
      <c r="AS430" s="55"/>
      <c r="AT430" s="55"/>
      <c r="AU430" s="55"/>
      <c r="AV430" s="55"/>
      <c r="AW430" s="55"/>
      <c r="AX430" s="55"/>
      <c r="AY430" s="55"/>
      <c r="AZ430" s="55"/>
      <c r="BA430" s="165"/>
      <c r="BB430" s="55"/>
      <c r="BC430" s="55"/>
      <c r="BD430" s="55"/>
      <c r="BE430" s="165"/>
      <c r="BF430" s="55"/>
      <c r="BG430" s="10"/>
      <c r="BH430" s="55"/>
      <c r="BI430" s="55"/>
      <c r="BJ430" s="55"/>
      <c r="BK430" s="55"/>
      <c r="BS430" s="141"/>
      <c r="CM430" s="141"/>
      <c r="DC430" s="141"/>
    </row>
    <row r="431" spans="1:107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55"/>
      <c r="R431" s="171"/>
      <c r="S431" s="161"/>
      <c r="T431" s="55"/>
      <c r="U431" s="55"/>
      <c r="V431" s="55"/>
      <c r="W431" s="155"/>
      <c r="X431" s="171"/>
      <c r="Y431" s="165"/>
      <c r="Z431" s="10"/>
      <c r="AA431" s="55"/>
      <c r="AB431" s="55"/>
      <c r="AC431" s="55"/>
      <c r="AD431" s="55"/>
      <c r="AE431" s="55"/>
      <c r="AF431" s="167"/>
      <c r="AG431" s="55"/>
      <c r="AH431" s="55"/>
      <c r="AI431" s="165"/>
      <c r="AJ431" s="55"/>
      <c r="AK431" s="55"/>
      <c r="AL431" s="55"/>
      <c r="AM431" s="55"/>
      <c r="AN431" s="55"/>
      <c r="AO431" s="55"/>
      <c r="AP431" s="55"/>
      <c r="AQ431" s="55"/>
      <c r="AR431" s="165"/>
      <c r="AS431" s="55"/>
      <c r="AT431" s="55"/>
      <c r="AU431" s="55"/>
      <c r="AV431" s="55"/>
      <c r="AW431" s="55"/>
      <c r="AX431" s="55"/>
      <c r="AY431" s="55"/>
      <c r="AZ431" s="55"/>
      <c r="BA431" s="165"/>
      <c r="BB431" s="55"/>
      <c r="BC431" s="55"/>
      <c r="BD431" s="55"/>
      <c r="BE431" s="165"/>
      <c r="BF431" s="55"/>
      <c r="BG431" s="10"/>
      <c r="BH431" s="55"/>
      <c r="BI431" s="55"/>
      <c r="BJ431" s="55"/>
      <c r="BK431" s="55"/>
      <c r="BS431" s="141"/>
      <c r="CM431" s="141"/>
      <c r="DC431" s="141"/>
    </row>
    <row r="432" spans="1:107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55"/>
      <c r="R432" s="171"/>
      <c r="S432" s="161"/>
      <c r="T432" s="55"/>
      <c r="U432" s="55"/>
      <c r="V432" s="55"/>
      <c r="W432" s="155"/>
      <c r="X432" s="171"/>
      <c r="Y432" s="165"/>
      <c r="Z432" s="10"/>
      <c r="AA432" s="55"/>
      <c r="AB432" s="55"/>
      <c r="AC432" s="55"/>
      <c r="AD432" s="55"/>
      <c r="AE432" s="55"/>
      <c r="AF432" s="167"/>
      <c r="AG432" s="55"/>
      <c r="AH432" s="55"/>
      <c r="AI432" s="165"/>
      <c r="AJ432" s="55"/>
      <c r="AK432" s="55"/>
      <c r="AL432" s="55"/>
      <c r="AM432" s="55"/>
      <c r="AN432" s="55"/>
      <c r="AO432" s="55"/>
      <c r="AP432" s="55"/>
      <c r="AQ432" s="55"/>
      <c r="AR432" s="165"/>
      <c r="AS432" s="55"/>
      <c r="AT432" s="55"/>
      <c r="AU432" s="55"/>
      <c r="AV432" s="55"/>
      <c r="AW432" s="55"/>
      <c r="AX432" s="55"/>
      <c r="AY432" s="55"/>
      <c r="AZ432" s="55"/>
      <c r="BA432" s="165"/>
      <c r="BB432" s="55"/>
      <c r="BC432" s="55"/>
      <c r="BD432" s="55"/>
      <c r="BE432" s="165"/>
      <c r="BF432" s="55"/>
      <c r="BG432" s="10"/>
      <c r="BH432" s="55"/>
      <c r="BI432" s="55"/>
      <c r="BJ432" s="55"/>
      <c r="BK432" s="55"/>
      <c r="BS432" s="141"/>
      <c r="CM432" s="141"/>
      <c r="DC432" s="141"/>
    </row>
    <row r="433" spans="1:107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55"/>
      <c r="R433" s="171"/>
      <c r="S433" s="161"/>
      <c r="T433" s="55"/>
      <c r="U433" s="55"/>
      <c r="V433" s="55"/>
      <c r="W433" s="155"/>
      <c r="X433" s="171"/>
      <c r="Y433" s="165"/>
      <c r="Z433" s="10"/>
      <c r="AA433" s="55"/>
      <c r="AB433" s="55"/>
      <c r="AC433" s="55"/>
      <c r="AD433" s="55"/>
      <c r="AE433" s="55"/>
      <c r="AF433" s="167"/>
      <c r="AG433" s="55"/>
      <c r="AH433" s="55"/>
      <c r="AI433" s="165"/>
      <c r="AJ433" s="55"/>
      <c r="AK433" s="55"/>
      <c r="AL433" s="55"/>
      <c r="AM433" s="55"/>
      <c r="AN433" s="55"/>
      <c r="AO433" s="55"/>
      <c r="AP433" s="55"/>
      <c r="AQ433" s="55"/>
      <c r="AR433" s="165"/>
      <c r="AS433" s="55"/>
      <c r="AT433" s="55"/>
      <c r="AU433" s="55"/>
      <c r="AV433" s="55"/>
      <c r="AW433" s="55"/>
      <c r="AX433" s="55"/>
      <c r="AY433" s="55"/>
      <c r="AZ433" s="55"/>
      <c r="BA433" s="165"/>
      <c r="BB433" s="55"/>
      <c r="BC433" s="55"/>
      <c r="BD433" s="55"/>
      <c r="BE433" s="165"/>
      <c r="BF433" s="55"/>
      <c r="BG433" s="10"/>
      <c r="BH433" s="55"/>
      <c r="BI433" s="55"/>
      <c r="BJ433" s="55"/>
      <c r="BK433" s="55"/>
      <c r="BS433" s="141"/>
      <c r="CM433" s="141"/>
      <c r="DC433" s="141"/>
    </row>
    <row r="434" spans="1:107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55"/>
      <c r="R434" s="171"/>
      <c r="S434" s="161"/>
      <c r="T434" s="55"/>
      <c r="U434" s="55"/>
      <c r="V434" s="55"/>
      <c r="W434" s="155"/>
      <c r="X434" s="171"/>
      <c r="Y434" s="165"/>
      <c r="Z434" s="10"/>
      <c r="AA434" s="55"/>
      <c r="AB434" s="55"/>
      <c r="AC434" s="55"/>
      <c r="AD434" s="55"/>
      <c r="AE434" s="55"/>
      <c r="AF434" s="167"/>
      <c r="AG434" s="55"/>
      <c r="AH434" s="55"/>
      <c r="AI434" s="165"/>
      <c r="AJ434" s="55"/>
      <c r="AK434" s="55"/>
      <c r="AL434" s="55"/>
      <c r="AM434" s="55"/>
      <c r="AN434" s="55"/>
      <c r="AO434" s="55"/>
      <c r="AP434" s="55"/>
      <c r="AQ434" s="55"/>
      <c r="AR434" s="165"/>
      <c r="AS434" s="55"/>
      <c r="AT434" s="55"/>
      <c r="AU434" s="55"/>
      <c r="AV434" s="55"/>
      <c r="AW434" s="55"/>
      <c r="AX434" s="55"/>
      <c r="AY434" s="55"/>
      <c r="AZ434" s="55"/>
      <c r="BA434" s="165"/>
      <c r="BB434" s="55"/>
      <c r="BC434" s="55"/>
      <c r="BD434" s="55"/>
      <c r="BE434" s="165"/>
      <c r="BF434" s="55"/>
      <c r="BG434" s="10"/>
      <c r="BH434" s="55"/>
      <c r="BI434" s="55"/>
      <c r="BJ434" s="55"/>
      <c r="BK434" s="55"/>
      <c r="BS434" s="141"/>
      <c r="CM434" s="141"/>
      <c r="DC434" s="141"/>
    </row>
    <row r="435" spans="1:107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55"/>
      <c r="R435" s="171"/>
      <c r="S435" s="161"/>
      <c r="T435" s="55"/>
      <c r="U435" s="55"/>
      <c r="V435" s="55"/>
      <c r="W435" s="155"/>
      <c r="X435" s="171"/>
      <c r="Y435" s="165"/>
      <c r="Z435" s="10"/>
      <c r="AA435" s="55"/>
      <c r="AB435" s="55"/>
      <c r="AC435" s="55"/>
      <c r="AD435" s="55"/>
      <c r="AE435" s="55"/>
      <c r="AF435" s="167"/>
      <c r="AG435" s="55"/>
      <c r="AH435" s="55"/>
      <c r="AI435" s="165"/>
      <c r="AJ435" s="55"/>
      <c r="AK435" s="55"/>
      <c r="AL435" s="55"/>
      <c r="AM435" s="55"/>
      <c r="AN435" s="55"/>
      <c r="AO435" s="55"/>
      <c r="AP435" s="55"/>
      <c r="AQ435" s="55"/>
      <c r="AR435" s="165"/>
      <c r="AS435" s="55"/>
      <c r="AT435" s="55"/>
      <c r="AU435" s="55"/>
      <c r="AV435" s="55"/>
      <c r="AW435" s="55"/>
      <c r="AX435" s="55"/>
      <c r="AY435" s="55"/>
      <c r="AZ435" s="55"/>
      <c r="BA435" s="165"/>
      <c r="BB435" s="55"/>
      <c r="BC435" s="55"/>
      <c r="BD435" s="55"/>
      <c r="BE435" s="165"/>
      <c r="BF435" s="55"/>
      <c r="BG435" s="10"/>
      <c r="BH435" s="55"/>
      <c r="BI435" s="55"/>
      <c r="BJ435" s="55"/>
      <c r="BK435" s="55"/>
      <c r="BS435" s="141"/>
      <c r="CM435" s="141"/>
      <c r="DC435" s="141"/>
    </row>
    <row r="436" spans="1:107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55"/>
      <c r="R436" s="171"/>
      <c r="S436" s="161"/>
      <c r="T436" s="55"/>
      <c r="U436" s="55"/>
      <c r="V436" s="55"/>
      <c r="W436" s="155"/>
      <c r="X436" s="171"/>
      <c r="Y436" s="165"/>
      <c r="Z436" s="10"/>
      <c r="AA436" s="55"/>
      <c r="AB436" s="55"/>
      <c r="AC436" s="55"/>
      <c r="AD436" s="55"/>
      <c r="AE436" s="55"/>
      <c r="AF436" s="167"/>
      <c r="AG436" s="55"/>
      <c r="AH436" s="55"/>
      <c r="AI436" s="165"/>
      <c r="AJ436" s="55"/>
      <c r="AK436" s="55"/>
      <c r="AL436" s="55"/>
      <c r="AM436" s="55"/>
      <c r="AN436" s="55"/>
      <c r="AO436" s="55"/>
      <c r="AP436" s="55"/>
      <c r="AQ436" s="55"/>
      <c r="AR436" s="165"/>
      <c r="AS436" s="55"/>
      <c r="AT436" s="55"/>
      <c r="AU436" s="55"/>
      <c r="AV436" s="55"/>
      <c r="AW436" s="55"/>
      <c r="AX436" s="55"/>
      <c r="AY436" s="55"/>
      <c r="AZ436" s="55"/>
      <c r="BA436" s="165"/>
      <c r="BB436" s="55"/>
      <c r="BC436" s="55"/>
      <c r="BD436" s="55"/>
      <c r="BE436" s="165"/>
      <c r="BF436" s="55"/>
      <c r="BG436" s="10"/>
      <c r="BH436" s="55"/>
      <c r="BI436" s="55"/>
      <c r="BJ436" s="55"/>
      <c r="BK436" s="55"/>
      <c r="BS436" s="141"/>
      <c r="CM436" s="141"/>
      <c r="DC436" s="141"/>
    </row>
    <row r="437" spans="1:107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55"/>
      <c r="R437" s="171"/>
      <c r="S437" s="161"/>
      <c r="T437" s="55"/>
      <c r="U437" s="55"/>
      <c r="V437" s="55"/>
      <c r="W437" s="155"/>
      <c r="X437" s="171"/>
      <c r="Y437" s="165"/>
      <c r="Z437" s="10"/>
      <c r="AA437" s="55"/>
      <c r="AB437" s="55"/>
      <c r="AC437" s="55"/>
      <c r="AD437" s="55"/>
      <c r="AE437" s="55"/>
      <c r="AF437" s="167"/>
      <c r="AG437" s="55"/>
      <c r="AH437" s="55"/>
      <c r="AI437" s="165"/>
      <c r="AJ437" s="55"/>
      <c r="AK437" s="55"/>
      <c r="AL437" s="55"/>
      <c r="AM437" s="55"/>
      <c r="AN437" s="55"/>
      <c r="AO437" s="55"/>
      <c r="AP437" s="55"/>
      <c r="AQ437" s="55"/>
      <c r="AR437" s="165"/>
      <c r="AS437" s="55"/>
      <c r="AT437" s="55"/>
      <c r="AU437" s="55"/>
      <c r="AV437" s="55"/>
      <c r="AW437" s="55"/>
      <c r="AX437" s="55"/>
      <c r="AY437" s="55"/>
      <c r="AZ437" s="55"/>
      <c r="BA437" s="165"/>
      <c r="BB437" s="55"/>
      <c r="BC437" s="55"/>
      <c r="BD437" s="55"/>
      <c r="BE437" s="165"/>
      <c r="BF437" s="55"/>
      <c r="BG437" s="10"/>
      <c r="BH437" s="55"/>
      <c r="BI437" s="55"/>
      <c r="BJ437" s="55"/>
      <c r="BK437" s="55"/>
      <c r="BS437" s="141"/>
      <c r="CM437" s="141"/>
      <c r="DC437" s="141"/>
    </row>
    <row r="438" spans="1:107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55"/>
      <c r="R438" s="171"/>
      <c r="S438" s="161"/>
      <c r="T438" s="55"/>
      <c r="U438" s="55"/>
      <c r="V438" s="55"/>
      <c r="W438" s="155"/>
      <c r="X438" s="171"/>
      <c r="Y438" s="165"/>
      <c r="Z438" s="10"/>
      <c r="AA438" s="55"/>
      <c r="AB438" s="55"/>
      <c r="AC438" s="55"/>
      <c r="AD438" s="55"/>
      <c r="AE438" s="55"/>
      <c r="AF438" s="167"/>
      <c r="AG438" s="55"/>
      <c r="AH438" s="55"/>
      <c r="AI438" s="165"/>
      <c r="AJ438" s="55"/>
      <c r="AK438" s="55"/>
      <c r="AL438" s="55"/>
      <c r="AM438" s="55"/>
      <c r="AN438" s="55"/>
      <c r="AO438" s="55"/>
      <c r="AP438" s="55"/>
      <c r="AQ438" s="55"/>
      <c r="AR438" s="165"/>
      <c r="AS438" s="55"/>
      <c r="AT438" s="55"/>
      <c r="AU438" s="55"/>
      <c r="AV438" s="55"/>
      <c r="AW438" s="55"/>
      <c r="AX438" s="55"/>
      <c r="AY438" s="55"/>
      <c r="AZ438" s="55"/>
      <c r="BA438" s="165"/>
      <c r="BB438" s="55"/>
      <c r="BC438" s="55"/>
      <c r="BD438" s="55"/>
      <c r="BE438" s="165"/>
      <c r="BF438" s="55"/>
      <c r="BG438" s="10"/>
      <c r="BH438" s="55"/>
      <c r="BI438" s="55"/>
      <c r="BJ438" s="55"/>
      <c r="BK438" s="55"/>
      <c r="BS438" s="141"/>
      <c r="CM438" s="141"/>
      <c r="DC438" s="141"/>
    </row>
    <row r="439" spans="1:107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55"/>
      <c r="R439" s="171"/>
      <c r="S439" s="161"/>
      <c r="T439" s="55"/>
      <c r="U439" s="55"/>
      <c r="V439" s="55"/>
      <c r="W439" s="155"/>
      <c r="X439" s="171"/>
      <c r="Y439" s="165"/>
      <c r="Z439" s="10"/>
      <c r="AA439" s="55"/>
      <c r="AB439" s="55"/>
      <c r="AC439" s="55"/>
      <c r="AD439" s="55"/>
      <c r="AE439" s="55"/>
      <c r="AF439" s="167"/>
      <c r="AG439" s="55"/>
      <c r="AH439" s="55"/>
      <c r="AI439" s="165"/>
      <c r="AJ439" s="55"/>
      <c r="AK439" s="55"/>
      <c r="AL439" s="55"/>
      <c r="AM439" s="55"/>
      <c r="AN439" s="55"/>
      <c r="AO439" s="55"/>
      <c r="AP439" s="55"/>
      <c r="AQ439" s="55"/>
      <c r="AR439" s="165"/>
      <c r="AS439" s="55"/>
      <c r="AT439" s="55"/>
      <c r="AU439" s="55"/>
      <c r="AV439" s="55"/>
      <c r="AW439" s="55"/>
      <c r="AX439" s="55"/>
      <c r="AY439" s="55"/>
      <c r="AZ439" s="55"/>
      <c r="BA439" s="165"/>
      <c r="BB439" s="55"/>
      <c r="BC439" s="55"/>
      <c r="BD439" s="55"/>
      <c r="BE439" s="165"/>
      <c r="BF439" s="55"/>
      <c r="BG439" s="10"/>
      <c r="BH439" s="55"/>
      <c r="BI439" s="55"/>
      <c r="BJ439" s="55"/>
      <c r="BK439" s="55"/>
      <c r="BS439" s="141"/>
      <c r="CM439" s="141"/>
      <c r="DC439" s="141"/>
    </row>
    <row r="440" spans="1:107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55"/>
      <c r="R440" s="171"/>
      <c r="S440" s="161"/>
      <c r="T440" s="55"/>
      <c r="U440" s="55"/>
      <c r="V440" s="55"/>
      <c r="W440" s="155"/>
      <c r="X440" s="171"/>
      <c r="Y440" s="165"/>
      <c r="Z440" s="10"/>
      <c r="AA440" s="55"/>
      <c r="AB440" s="55"/>
      <c r="AC440" s="55"/>
      <c r="AD440" s="55"/>
      <c r="AE440" s="55"/>
      <c r="AF440" s="167"/>
      <c r="AG440" s="55"/>
      <c r="AH440" s="55"/>
      <c r="AI440" s="165"/>
      <c r="AJ440" s="55"/>
      <c r="AK440" s="55"/>
      <c r="AL440" s="55"/>
      <c r="AM440" s="55"/>
      <c r="AN440" s="55"/>
      <c r="AO440" s="55"/>
      <c r="AP440" s="55"/>
      <c r="AQ440" s="55"/>
      <c r="AR440" s="165"/>
      <c r="AS440" s="55"/>
      <c r="AT440" s="55"/>
      <c r="AU440" s="55"/>
      <c r="AV440" s="55"/>
      <c r="AW440" s="55"/>
      <c r="AX440" s="55"/>
      <c r="AY440" s="55"/>
      <c r="AZ440" s="55"/>
      <c r="BA440" s="165"/>
      <c r="BB440" s="55"/>
      <c r="BC440" s="55"/>
      <c r="BD440" s="55"/>
      <c r="BE440" s="165"/>
      <c r="BF440" s="55"/>
      <c r="BG440" s="10"/>
      <c r="BH440" s="55"/>
      <c r="BI440" s="55"/>
      <c r="BJ440" s="55"/>
      <c r="BK440" s="55"/>
      <c r="BS440" s="141"/>
      <c r="CM440" s="141"/>
      <c r="DC440" s="141"/>
    </row>
    <row r="441" spans="1:107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55"/>
      <c r="R441" s="171"/>
      <c r="S441" s="161"/>
      <c r="T441" s="55"/>
      <c r="U441" s="55"/>
      <c r="V441" s="55"/>
      <c r="W441" s="155"/>
      <c r="X441" s="171"/>
      <c r="Y441" s="165"/>
      <c r="Z441" s="10"/>
      <c r="AA441" s="55"/>
      <c r="AB441" s="55"/>
      <c r="AC441" s="55"/>
      <c r="AD441" s="55"/>
      <c r="AE441" s="55"/>
      <c r="AF441" s="167"/>
      <c r="AG441" s="55"/>
      <c r="AH441" s="55"/>
      <c r="AI441" s="165"/>
      <c r="AJ441" s="55"/>
      <c r="AK441" s="55"/>
      <c r="AL441" s="55"/>
      <c r="AM441" s="55"/>
      <c r="AN441" s="55"/>
      <c r="AO441" s="55"/>
      <c r="AP441" s="55"/>
      <c r="AQ441" s="55"/>
      <c r="AR441" s="165"/>
      <c r="AS441" s="55"/>
      <c r="AT441" s="55"/>
      <c r="AU441" s="55"/>
      <c r="AV441" s="55"/>
      <c r="AW441" s="55"/>
      <c r="AX441" s="55"/>
      <c r="AY441" s="55"/>
      <c r="AZ441" s="55"/>
      <c r="BA441" s="165"/>
      <c r="BB441" s="55"/>
      <c r="BC441" s="55"/>
      <c r="BD441" s="55"/>
      <c r="BE441" s="165"/>
      <c r="BF441" s="55"/>
      <c r="BG441" s="10"/>
      <c r="BH441" s="55"/>
      <c r="BI441" s="55"/>
      <c r="BJ441" s="55"/>
      <c r="BK441" s="55"/>
      <c r="BS441" s="141"/>
      <c r="CM441" s="141"/>
      <c r="DC441" s="141"/>
    </row>
    <row r="442" spans="1:107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55"/>
      <c r="R442" s="171"/>
      <c r="S442" s="161"/>
      <c r="T442" s="55"/>
      <c r="U442" s="55"/>
      <c r="V442" s="55"/>
      <c r="W442" s="155"/>
      <c r="X442" s="171"/>
      <c r="Y442" s="165"/>
      <c r="Z442" s="10"/>
      <c r="AA442" s="55"/>
      <c r="AB442" s="55"/>
      <c r="AC442" s="55"/>
      <c r="AD442" s="55"/>
      <c r="AE442" s="55"/>
      <c r="AF442" s="167"/>
      <c r="AG442" s="55"/>
      <c r="AH442" s="55"/>
      <c r="AI442" s="165"/>
      <c r="AJ442" s="55"/>
      <c r="AK442" s="55"/>
      <c r="AL442" s="55"/>
      <c r="AM442" s="55"/>
      <c r="AN442" s="55"/>
      <c r="AO442" s="55"/>
      <c r="AP442" s="55"/>
      <c r="AQ442" s="55"/>
      <c r="AR442" s="165"/>
      <c r="AS442" s="55"/>
      <c r="AT442" s="55"/>
      <c r="AU442" s="55"/>
      <c r="AV442" s="55"/>
      <c r="AW442" s="55"/>
      <c r="AX442" s="55"/>
      <c r="AY442" s="55"/>
      <c r="AZ442" s="55"/>
      <c r="BA442" s="165"/>
      <c r="BB442" s="55"/>
      <c r="BC442" s="55"/>
      <c r="BD442" s="55"/>
      <c r="BE442" s="165"/>
      <c r="BF442" s="55"/>
      <c r="BG442" s="10"/>
      <c r="BH442" s="55"/>
      <c r="BI442" s="55"/>
      <c r="BJ442" s="55"/>
      <c r="BK442" s="55"/>
      <c r="BS442" s="141"/>
      <c r="CM442" s="141"/>
      <c r="DC442" s="141"/>
    </row>
    <row r="443" spans="1:107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55"/>
      <c r="R443" s="171"/>
      <c r="S443" s="161"/>
      <c r="T443" s="55"/>
      <c r="U443" s="55"/>
      <c r="V443" s="55"/>
      <c r="W443" s="155"/>
      <c r="X443" s="171"/>
      <c r="Y443" s="165"/>
      <c r="Z443" s="10"/>
      <c r="AA443" s="55"/>
      <c r="AB443" s="55"/>
      <c r="AC443" s="55"/>
      <c r="AD443" s="55"/>
      <c r="AE443" s="55"/>
      <c r="AF443" s="167"/>
      <c r="AG443" s="55"/>
      <c r="AH443" s="55"/>
      <c r="AI443" s="165"/>
      <c r="AJ443" s="55"/>
      <c r="AK443" s="55"/>
      <c r="AL443" s="55"/>
      <c r="AM443" s="55"/>
      <c r="AN443" s="55"/>
      <c r="AO443" s="55"/>
      <c r="AP443" s="55"/>
      <c r="AQ443" s="55"/>
      <c r="AR443" s="165"/>
      <c r="AS443" s="55"/>
      <c r="AT443" s="55"/>
      <c r="AU443" s="55"/>
      <c r="AV443" s="55"/>
      <c r="AW443" s="55"/>
      <c r="AX443" s="55"/>
      <c r="AY443" s="55"/>
      <c r="AZ443" s="55"/>
      <c r="BA443" s="165"/>
      <c r="BB443" s="55"/>
      <c r="BC443" s="55"/>
      <c r="BD443" s="55"/>
      <c r="BE443" s="165"/>
      <c r="BF443" s="55"/>
      <c r="BG443" s="10"/>
      <c r="BH443" s="55"/>
      <c r="BI443" s="55"/>
      <c r="BJ443" s="55"/>
      <c r="BK443" s="55"/>
      <c r="BS443" s="141"/>
      <c r="CM443" s="141"/>
      <c r="DC443" s="141"/>
    </row>
    <row r="444" spans="1:107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55"/>
      <c r="R444" s="171"/>
      <c r="S444" s="161"/>
      <c r="T444" s="55"/>
      <c r="U444" s="55"/>
      <c r="V444" s="55"/>
      <c r="W444" s="155"/>
      <c r="X444" s="171"/>
      <c r="Y444" s="165"/>
      <c r="Z444" s="10"/>
      <c r="AA444" s="55"/>
      <c r="AB444" s="55"/>
      <c r="AC444" s="55"/>
      <c r="AD444" s="55"/>
      <c r="AE444" s="55"/>
      <c r="AF444" s="167"/>
      <c r="AG444" s="55"/>
      <c r="AH444" s="55"/>
      <c r="AI444" s="165"/>
      <c r="AJ444" s="55"/>
      <c r="AK444" s="55"/>
      <c r="AL444" s="55"/>
      <c r="AM444" s="55"/>
      <c r="AN444" s="55"/>
      <c r="AO444" s="55"/>
      <c r="AP444" s="55"/>
      <c r="AQ444" s="55"/>
      <c r="AR444" s="165"/>
      <c r="AS444" s="55"/>
      <c r="AT444" s="55"/>
      <c r="AU444" s="55"/>
      <c r="AV444" s="55"/>
      <c r="AW444" s="55"/>
      <c r="AX444" s="55"/>
      <c r="AY444" s="55"/>
      <c r="AZ444" s="55"/>
      <c r="BA444" s="165"/>
      <c r="BB444" s="55"/>
      <c r="BC444" s="55"/>
      <c r="BD444" s="55"/>
      <c r="BE444" s="165"/>
      <c r="BF444" s="55"/>
      <c r="BG444" s="10"/>
      <c r="BH444" s="55"/>
      <c r="BI444" s="55"/>
      <c r="BJ444" s="55"/>
      <c r="BK444" s="55"/>
      <c r="BS444" s="141"/>
      <c r="CM444" s="141"/>
      <c r="DC444" s="141"/>
    </row>
    <row r="445" spans="1:107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55"/>
      <c r="R445" s="171"/>
      <c r="S445" s="161"/>
      <c r="T445" s="55"/>
      <c r="U445" s="55"/>
      <c r="V445" s="55"/>
      <c r="W445" s="155"/>
      <c r="X445" s="171"/>
      <c r="Y445" s="165"/>
      <c r="Z445" s="10"/>
      <c r="AA445" s="55"/>
      <c r="AB445" s="55"/>
      <c r="AC445" s="55"/>
      <c r="AD445" s="55"/>
      <c r="AE445" s="55"/>
      <c r="AF445" s="167"/>
      <c r="AG445" s="55"/>
      <c r="AH445" s="55"/>
      <c r="AI445" s="165"/>
      <c r="AJ445" s="55"/>
      <c r="AK445" s="55"/>
      <c r="AL445" s="55"/>
      <c r="AM445" s="55"/>
      <c r="AN445" s="55"/>
      <c r="AO445" s="55"/>
      <c r="AP445" s="55"/>
      <c r="AQ445" s="55"/>
      <c r="AR445" s="165"/>
      <c r="AS445" s="55"/>
      <c r="AT445" s="55"/>
      <c r="AU445" s="55"/>
      <c r="AV445" s="55"/>
      <c r="AW445" s="55"/>
      <c r="AX445" s="55"/>
      <c r="AY445" s="55"/>
      <c r="AZ445" s="55"/>
      <c r="BA445" s="165"/>
      <c r="BB445" s="55"/>
      <c r="BC445" s="55"/>
      <c r="BD445" s="55"/>
      <c r="BE445" s="165"/>
      <c r="BF445" s="55"/>
      <c r="BG445" s="10"/>
      <c r="BH445" s="55"/>
      <c r="BI445" s="55"/>
      <c r="BJ445" s="55"/>
      <c r="BK445" s="55"/>
      <c r="BS445" s="141"/>
      <c r="CM445" s="141"/>
      <c r="DC445" s="141"/>
    </row>
    <row r="446" spans="1:107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55"/>
      <c r="R446" s="171"/>
      <c r="S446" s="161"/>
      <c r="T446" s="55"/>
      <c r="U446" s="55"/>
      <c r="V446" s="55"/>
      <c r="W446" s="155"/>
      <c r="X446" s="171"/>
      <c r="Y446" s="165"/>
      <c r="Z446" s="10"/>
      <c r="AA446" s="55"/>
      <c r="AB446" s="55"/>
      <c r="AC446" s="55"/>
      <c r="AD446" s="55"/>
      <c r="AE446" s="55"/>
      <c r="AF446" s="167"/>
      <c r="AG446" s="55"/>
      <c r="AH446" s="55"/>
      <c r="AI446" s="165"/>
      <c r="AJ446" s="55"/>
      <c r="AK446" s="55"/>
      <c r="AL446" s="55"/>
      <c r="AM446" s="55"/>
      <c r="AN446" s="55"/>
      <c r="AO446" s="55"/>
      <c r="AP446" s="55"/>
      <c r="AQ446" s="55"/>
      <c r="AR446" s="165"/>
      <c r="AS446" s="55"/>
      <c r="AT446" s="55"/>
      <c r="AU446" s="55"/>
      <c r="AV446" s="55"/>
      <c r="AW446" s="55"/>
      <c r="AX446" s="55"/>
      <c r="AY446" s="55"/>
      <c r="AZ446" s="55"/>
      <c r="BA446" s="165"/>
      <c r="BB446" s="55"/>
      <c r="BC446" s="55"/>
      <c r="BD446" s="55"/>
      <c r="BE446" s="165"/>
      <c r="BF446" s="55"/>
      <c r="BG446" s="10"/>
      <c r="BH446" s="55"/>
      <c r="BI446" s="55"/>
      <c r="BJ446" s="55"/>
      <c r="BK446" s="55"/>
      <c r="BS446" s="141"/>
      <c r="CM446" s="141"/>
      <c r="DC446" s="141"/>
    </row>
    <row r="447" spans="1:107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55"/>
      <c r="R447" s="171"/>
      <c r="S447" s="161"/>
      <c r="T447" s="55"/>
      <c r="U447" s="55"/>
      <c r="V447" s="55"/>
      <c r="W447" s="155"/>
      <c r="X447" s="171"/>
      <c r="Y447" s="165"/>
      <c r="Z447" s="10"/>
      <c r="AA447" s="55"/>
      <c r="AB447" s="55"/>
      <c r="AC447" s="55"/>
      <c r="AD447" s="55"/>
      <c r="AE447" s="55"/>
      <c r="AF447" s="167"/>
      <c r="AG447" s="55"/>
      <c r="AH447" s="55"/>
      <c r="AI447" s="165"/>
      <c r="AJ447" s="55"/>
      <c r="AK447" s="55"/>
      <c r="AL447" s="55"/>
      <c r="AM447" s="55"/>
      <c r="AN447" s="55"/>
      <c r="AO447" s="55"/>
      <c r="AP447" s="55"/>
      <c r="AQ447" s="55"/>
      <c r="AR447" s="165"/>
      <c r="AS447" s="55"/>
      <c r="AT447" s="55"/>
      <c r="AU447" s="55"/>
      <c r="AV447" s="55"/>
      <c r="AW447" s="55"/>
      <c r="AX447" s="55"/>
      <c r="AY447" s="55"/>
      <c r="AZ447" s="55"/>
      <c r="BA447" s="165"/>
      <c r="BB447" s="55"/>
      <c r="BC447" s="55"/>
      <c r="BD447" s="55"/>
      <c r="BE447" s="165"/>
      <c r="BF447" s="55"/>
      <c r="BG447" s="10"/>
      <c r="BH447" s="55"/>
      <c r="BI447" s="55"/>
      <c r="BJ447" s="55"/>
      <c r="BK447" s="55"/>
      <c r="BS447" s="141"/>
      <c r="CM447" s="141"/>
      <c r="DC447" s="141"/>
    </row>
    <row r="448" spans="1:107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55"/>
      <c r="R448" s="171"/>
      <c r="S448" s="161"/>
      <c r="T448" s="55"/>
      <c r="U448" s="55"/>
      <c r="V448" s="55"/>
      <c r="W448" s="155"/>
      <c r="X448" s="171"/>
      <c r="Y448" s="165"/>
      <c r="Z448" s="10"/>
      <c r="AA448" s="55"/>
      <c r="AB448" s="55"/>
      <c r="AC448" s="55"/>
      <c r="AD448" s="55"/>
      <c r="AE448" s="55"/>
      <c r="AF448" s="167"/>
      <c r="AG448" s="55"/>
      <c r="AH448" s="55"/>
      <c r="AI448" s="165"/>
      <c r="AJ448" s="55"/>
      <c r="AK448" s="55"/>
      <c r="AL448" s="55"/>
      <c r="AM448" s="55"/>
      <c r="AN448" s="55"/>
      <c r="AO448" s="55"/>
      <c r="AP448" s="55"/>
      <c r="AQ448" s="55"/>
      <c r="AR448" s="165"/>
      <c r="AS448" s="55"/>
      <c r="AT448" s="55"/>
      <c r="AU448" s="55"/>
      <c r="AV448" s="55"/>
      <c r="AW448" s="55"/>
      <c r="AX448" s="55"/>
      <c r="AY448" s="55"/>
      <c r="AZ448" s="55"/>
      <c r="BA448" s="165"/>
      <c r="BB448" s="55"/>
      <c r="BC448" s="55"/>
      <c r="BD448" s="55"/>
      <c r="BE448" s="165"/>
      <c r="BF448" s="55"/>
      <c r="BG448" s="10"/>
      <c r="BH448" s="55"/>
      <c r="BI448" s="55"/>
      <c r="BJ448" s="55"/>
      <c r="BK448" s="55"/>
      <c r="BS448" s="141"/>
      <c r="CM448" s="141"/>
      <c r="DC448" s="141"/>
    </row>
    <row r="449" spans="1:107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55"/>
      <c r="R449" s="171"/>
      <c r="S449" s="161"/>
      <c r="T449" s="55"/>
      <c r="U449" s="55"/>
      <c r="V449" s="55"/>
      <c r="W449" s="155"/>
      <c r="X449" s="171"/>
      <c r="Y449" s="165"/>
      <c r="Z449" s="10"/>
      <c r="AA449" s="55"/>
      <c r="AB449" s="55"/>
      <c r="AC449" s="55"/>
      <c r="AD449" s="55"/>
      <c r="AE449" s="55"/>
      <c r="AF449" s="167"/>
      <c r="AG449" s="55"/>
      <c r="AH449" s="55"/>
      <c r="AI449" s="165"/>
      <c r="AJ449" s="55"/>
      <c r="AK449" s="55"/>
      <c r="AL449" s="55"/>
      <c r="AM449" s="55"/>
      <c r="AN449" s="55"/>
      <c r="AO449" s="55"/>
      <c r="AP449" s="55"/>
      <c r="AQ449" s="55"/>
      <c r="AR449" s="165"/>
      <c r="AS449" s="55"/>
      <c r="AT449" s="55"/>
      <c r="AU449" s="55"/>
      <c r="AV449" s="55"/>
      <c r="AW449" s="55"/>
      <c r="AX449" s="55"/>
      <c r="AY449" s="55"/>
      <c r="AZ449" s="55"/>
      <c r="BA449" s="165"/>
      <c r="BB449" s="55"/>
      <c r="BC449" s="55"/>
      <c r="BD449" s="55"/>
      <c r="BE449" s="165"/>
      <c r="BF449" s="55"/>
      <c r="BG449" s="10"/>
      <c r="BH449" s="55"/>
      <c r="BI449" s="55"/>
      <c r="BJ449" s="55"/>
      <c r="BK449" s="55"/>
      <c r="BS449" s="141"/>
      <c r="CM449" s="141"/>
      <c r="DC449" s="141"/>
    </row>
    <row r="450" spans="1:107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55"/>
      <c r="R450" s="171"/>
      <c r="S450" s="161"/>
      <c r="T450" s="55"/>
      <c r="U450" s="55"/>
      <c r="V450" s="55"/>
      <c r="W450" s="155"/>
      <c r="X450" s="171"/>
      <c r="Y450" s="165"/>
      <c r="Z450" s="10"/>
      <c r="AA450" s="55"/>
      <c r="AB450" s="55"/>
      <c r="AC450" s="55"/>
      <c r="AD450" s="55"/>
      <c r="AE450" s="55"/>
      <c r="AF450" s="167"/>
      <c r="AG450" s="55"/>
      <c r="AH450" s="55"/>
      <c r="AI450" s="165"/>
      <c r="AJ450" s="55"/>
      <c r="AK450" s="55"/>
      <c r="AL450" s="55"/>
      <c r="AM450" s="55"/>
      <c r="AN450" s="55"/>
      <c r="AO450" s="55"/>
      <c r="AP450" s="55"/>
      <c r="AQ450" s="55"/>
      <c r="AR450" s="165"/>
      <c r="AS450" s="55"/>
      <c r="AT450" s="55"/>
      <c r="AU450" s="55"/>
      <c r="AV450" s="55"/>
      <c r="AW450" s="55"/>
      <c r="AX450" s="55"/>
      <c r="AY450" s="55"/>
      <c r="AZ450" s="55"/>
      <c r="BA450" s="165"/>
      <c r="BB450" s="55"/>
      <c r="BC450" s="55"/>
      <c r="BD450" s="55"/>
      <c r="BE450" s="165"/>
      <c r="BF450" s="55"/>
      <c r="BG450" s="10"/>
      <c r="BH450" s="55"/>
      <c r="BI450" s="55"/>
      <c r="BJ450" s="55"/>
      <c r="BK450" s="55"/>
      <c r="BS450" s="141"/>
      <c r="CM450" s="141"/>
      <c r="DC450" s="141"/>
    </row>
    <row r="451" spans="1:107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55"/>
      <c r="R451" s="171"/>
      <c r="S451" s="161"/>
      <c r="T451" s="55"/>
      <c r="U451" s="55"/>
      <c r="V451" s="55"/>
      <c r="W451" s="155"/>
      <c r="X451" s="171"/>
      <c r="Y451" s="165"/>
      <c r="Z451" s="10"/>
      <c r="AA451" s="55"/>
      <c r="AB451" s="55"/>
      <c r="AC451" s="55"/>
      <c r="AD451" s="55"/>
      <c r="AE451" s="55"/>
      <c r="AF451" s="167"/>
      <c r="AG451" s="55"/>
      <c r="AH451" s="55"/>
      <c r="AI451" s="165"/>
      <c r="AJ451" s="55"/>
      <c r="AK451" s="55"/>
      <c r="AL451" s="55"/>
      <c r="AM451" s="55"/>
      <c r="AN451" s="55"/>
      <c r="AO451" s="55"/>
      <c r="AP451" s="55"/>
      <c r="AQ451" s="55"/>
      <c r="AR451" s="165"/>
      <c r="AS451" s="55"/>
      <c r="AT451" s="55"/>
      <c r="AU451" s="55"/>
      <c r="AV451" s="55"/>
      <c r="AW451" s="55"/>
      <c r="AX451" s="55"/>
      <c r="AY451" s="55"/>
      <c r="AZ451" s="55"/>
      <c r="BA451" s="165"/>
      <c r="BB451" s="55"/>
      <c r="BC451" s="55"/>
      <c r="BD451" s="55"/>
      <c r="BE451" s="165"/>
      <c r="BF451" s="55"/>
      <c r="BG451" s="10"/>
      <c r="BH451" s="55"/>
      <c r="BI451" s="55"/>
      <c r="BJ451" s="55"/>
      <c r="BK451" s="55"/>
      <c r="BS451" s="141"/>
      <c r="CM451" s="141"/>
      <c r="DC451" s="141"/>
    </row>
    <row r="452" spans="1:107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55"/>
      <c r="R452" s="171"/>
      <c r="S452" s="161"/>
      <c r="T452" s="55"/>
      <c r="U452" s="55"/>
      <c r="V452" s="55"/>
      <c r="W452" s="155"/>
      <c r="X452" s="171"/>
      <c r="Y452" s="165"/>
      <c r="Z452" s="10"/>
      <c r="AA452" s="55"/>
      <c r="AB452" s="55"/>
      <c r="AC452" s="55"/>
      <c r="AD452" s="55"/>
      <c r="AE452" s="55"/>
      <c r="AF452" s="167"/>
      <c r="AG452" s="55"/>
      <c r="AH452" s="55"/>
      <c r="AI452" s="165"/>
      <c r="AJ452" s="55"/>
      <c r="AK452" s="55"/>
      <c r="AL452" s="55"/>
      <c r="AM452" s="55"/>
      <c r="AN452" s="55"/>
      <c r="AO452" s="55"/>
      <c r="AP452" s="55"/>
      <c r="AQ452" s="55"/>
      <c r="AR452" s="165"/>
      <c r="AS452" s="55"/>
      <c r="AT452" s="55"/>
      <c r="AU452" s="55"/>
      <c r="AV452" s="55"/>
      <c r="AW452" s="55"/>
      <c r="AX452" s="55"/>
      <c r="AY452" s="55"/>
      <c r="AZ452" s="55"/>
      <c r="BA452" s="165"/>
      <c r="BB452" s="55"/>
      <c r="BC452" s="55"/>
      <c r="BD452" s="55"/>
      <c r="BE452" s="165"/>
      <c r="BF452" s="55"/>
      <c r="BG452" s="10"/>
      <c r="BH452" s="55"/>
      <c r="BI452" s="55"/>
      <c r="BJ452" s="55"/>
      <c r="BK452" s="55"/>
      <c r="BS452" s="141"/>
      <c r="CM452" s="141"/>
      <c r="DC452" s="141"/>
    </row>
    <row r="453" spans="1:107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55"/>
      <c r="R453" s="171"/>
      <c r="S453" s="161"/>
      <c r="T453" s="55"/>
      <c r="U453" s="55"/>
      <c r="V453" s="55"/>
      <c r="W453" s="155"/>
      <c r="X453" s="171"/>
      <c r="Y453" s="165"/>
      <c r="Z453" s="10"/>
      <c r="AA453" s="55"/>
      <c r="AB453" s="55"/>
      <c r="AC453" s="55"/>
      <c r="AD453" s="55"/>
      <c r="AE453" s="55"/>
      <c r="AF453" s="167"/>
      <c r="AG453" s="55"/>
      <c r="AH453" s="55"/>
      <c r="AI453" s="165"/>
      <c r="AJ453" s="55"/>
      <c r="AK453" s="55"/>
      <c r="AL453" s="55"/>
      <c r="AM453" s="55"/>
      <c r="AN453" s="55"/>
      <c r="AO453" s="55"/>
      <c r="AP453" s="55"/>
      <c r="AQ453" s="55"/>
      <c r="AR453" s="165"/>
      <c r="AS453" s="55"/>
      <c r="AT453" s="55"/>
      <c r="AU453" s="55"/>
      <c r="AV453" s="55"/>
      <c r="AW453" s="55"/>
      <c r="AX453" s="55"/>
      <c r="AY453" s="55"/>
      <c r="AZ453" s="55"/>
      <c r="BA453" s="165"/>
      <c r="BB453" s="55"/>
      <c r="BC453" s="55"/>
      <c r="BD453" s="55"/>
      <c r="BE453" s="165"/>
      <c r="BF453" s="55"/>
      <c r="BG453" s="10"/>
      <c r="BH453" s="55"/>
      <c r="BI453" s="55"/>
      <c r="BJ453" s="55"/>
      <c r="BK453" s="55"/>
      <c r="BS453" s="141"/>
      <c r="CM453" s="141"/>
      <c r="DC453" s="141"/>
    </row>
    <row r="454" spans="1:107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55"/>
      <c r="R454" s="171"/>
      <c r="S454" s="161"/>
      <c r="T454" s="55"/>
      <c r="U454" s="55"/>
      <c r="V454" s="55"/>
      <c r="W454" s="155"/>
      <c r="X454" s="171"/>
      <c r="Y454" s="165"/>
      <c r="Z454" s="10"/>
      <c r="AA454" s="55"/>
      <c r="AB454" s="55"/>
      <c r="AC454" s="55"/>
      <c r="AD454" s="55"/>
      <c r="AE454" s="55"/>
      <c r="AF454" s="167"/>
      <c r="AG454" s="55"/>
      <c r="AH454" s="55"/>
      <c r="AI454" s="165"/>
      <c r="AJ454" s="55"/>
      <c r="AK454" s="55"/>
      <c r="AL454" s="55"/>
      <c r="AM454" s="55"/>
      <c r="AN454" s="55"/>
      <c r="AO454" s="55"/>
      <c r="AP454" s="55"/>
      <c r="AQ454" s="55"/>
      <c r="AR454" s="165"/>
      <c r="AS454" s="55"/>
      <c r="AT454" s="55"/>
      <c r="AU454" s="55"/>
      <c r="AV454" s="55"/>
      <c r="AW454" s="55"/>
      <c r="AX454" s="55"/>
      <c r="AY454" s="55"/>
      <c r="AZ454" s="55"/>
      <c r="BA454" s="165"/>
      <c r="BB454" s="55"/>
      <c r="BC454" s="55"/>
      <c r="BD454" s="55"/>
      <c r="BE454" s="165"/>
      <c r="BF454" s="55"/>
      <c r="BG454" s="10"/>
      <c r="BH454" s="55"/>
      <c r="BI454" s="55"/>
      <c r="BJ454" s="55"/>
      <c r="BK454" s="55"/>
      <c r="BS454" s="141"/>
      <c r="CM454" s="141"/>
      <c r="DC454" s="141"/>
    </row>
    <row r="455" spans="1:107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55"/>
      <c r="R455" s="171"/>
      <c r="S455" s="161"/>
      <c r="T455" s="55"/>
      <c r="U455" s="55"/>
      <c r="V455" s="55"/>
      <c r="W455" s="155"/>
      <c r="X455" s="171"/>
      <c r="Y455" s="165"/>
      <c r="Z455" s="10"/>
      <c r="AA455" s="55"/>
      <c r="AB455" s="55"/>
      <c r="AC455" s="55"/>
      <c r="AD455" s="55"/>
      <c r="AE455" s="55"/>
      <c r="AF455" s="167"/>
      <c r="AG455" s="55"/>
      <c r="AH455" s="55"/>
      <c r="AI455" s="165"/>
      <c r="AJ455" s="55"/>
      <c r="AK455" s="55"/>
      <c r="AL455" s="55"/>
      <c r="AM455" s="55"/>
      <c r="AN455" s="55"/>
      <c r="AO455" s="55"/>
      <c r="AP455" s="55"/>
      <c r="AQ455" s="55"/>
      <c r="AR455" s="165"/>
      <c r="AS455" s="55"/>
      <c r="AT455" s="55"/>
      <c r="AU455" s="55"/>
      <c r="AV455" s="55"/>
      <c r="AW455" s="55"/>
      <c r="AX455" s="55"/>
      <c r="AY455" s="55"/>
      <c r="AZ455" s="55"/>
      <c r="BA455" s="165"/>
      <c r="BB455" s="55"/>
      <c r="BC455" s="55"/>
      <c r="BD455" s="55"/>
      <c r="BE455" s="165"/>
      <c r="BF455" s="55"/>
      <c r="BG455" s="10"/>
      <c r="BH455" s="55"/>
      <c r="BI455" s="55"/>
      <c r="BJ455" s="55"/>
      <c r="BK455" s="55"/>
      <c r="BS455" s="141"/>
      <c r="CM455" s="141"/>
      <c r="DC455" s="141"/>
    </row>
    <row r="456" spans="1:107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55"/>
      <c r="R456" s="171"/>
      <c r="S456" s="161"/>
      <c r="T456" s="55"/>
      <c r="U456" s="55"/>
      <c r="V456" s="55"/>
      <c r="W456" s="155"/>
      <c r="X456" s="171"/>
      <c r="Y456" s="165"/>
      <c r="Z456" s="10"/>
      <c r="AA456" s="55"/>
      <c r="AB456" s="55"/>
      <c r="AC456" s="55"/>
      <c r="AD456" s="55"/>
      <c r="AE456" s="55"/>
      <c r="AF456" s="167"/>
      <c r="AG456" s="55"/>
      <c r="AH456" s="55"/>
      <c r="AI456" s="165"/>
      <c r="AJ456" s="55"/>
      <c r="AK456" s="55"/>
      <c r="AL456" s="55"/>
      <c r="AM456" s="55"/>
      <c r="AN456" s="55"/>
      <c r="AO456" s="55"/>
      <c r="AP456" s="55"/>
      <c r="AQ456" s="55"/>
      <c r="AR456" s="165"/>
      <c r="AS456" s="55"/>
      <c r="AT456" s="55"/>
      <c r="AU456" s="55"/>
      <c r="AV456" s="55"/>
      <c r="AW456" s="55"/>
      <c r="AX456" s="55"/>
      <c r="AY456" s="55"/>
      <c r="AZ456" s="55"/>
      <c r="BA456" s="165"/>
      <c r="BB456" s="55"/>
      <c r="BC456" s="55"/>
      <c r="BD456" s="55"/>
      <c r="BE456" s="165"/>
      <c r="BF456" s="55"/>
      <c r="BG456" s="10"/>
      <c r="BH456" s="55"/>
      <c r="BI456" s="55"/>
      <c r="BJ456" s="55"/>
      <c r="BK456" s="55"/>
      <c r="BS456" s="141"/>
      <c r="CM456" s="141"/>
      <c r="DC456" s="141"/>
    </row>
    <row r="457" spans="1:107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55"/>
      <c r="R457" s="171"/>
      <c r="S457" s="161"/>
      <c r="T457" s="55"/>
      <c r="U457" s="55"/>
      <c r="V457" s="55"/>
      <c r="W457" s="155"/>
      <c r="X457" s="171"/>
      <c r="Y457" s="165"/>
      <c r="Z457" s="10"/>
      <c r="AA457" s="55"/>
      <c r="AB457" s="55"/>
      <c r="AC457" s="55"/>
      <c r="AD457" s="55"/>
      <c r="AE457" s="55"/>
      <c r="AF457" s="167"/>
      <c r="AG457" s="55"/>
      <c r="AH457" s="55"/>
      <c r="AI457" s="165"/>
      <c r="AJ457" s="55"/>
      <c r="AK457" s="55"/>
      <c r="AL457" s="55"/>
      <c r="AM457" s="55"/>
      <c r="AN457" s="55"/>
      <c r="AO457" s="55"/>
      <c r="AP457" s="55"/>
      <c r="AQ457" s="55"/>
      <c r="AR457" s="165"/>
      <c r="AS457" s="55"/>
      <c r="AT457" s="55"/>
      <c r="AU457" s="55"/>
      <c r="AV457" s="55"/>
      <c r="AW457" s="55"/>
      <c r="AX457" s="55"/>
      <c r="AY457" s="55"/>
      <c r="AZ457" s="55"/>
      <c r="BA457" s="165"/>
      <c r="BB457" s="55"/>
      <c r="BC457" s="55"/>
      <c r="BD457" s="55"/>
      <c r="BE457" s="165"/>
      <c r="BF457" s="55"/>
      <c r="BG457" s="10"/>
      <c r="BH457" s="55"/>
      <c r="BI457" s="55"/>
      <c r="BJ457" s="55"/>
      <c r="BK457" s="55"/>
      <c r="BS457" s="141"/>
      <c r="CM457" s="141"/>
      <c r="DC457" s="141"/>
    </row>
    <row r="458" spans="1:107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55"/>
      <c r="R458" s="171"/>
      <c r="S458" s="161"/>
      <c r="T458" s="55"/>
      <c r="U458" s="55"/>
      <c r="V458" s="55"/>
      <c r="W458" s="155"/>
      <c r="X458" s="171"/>
      <c r="Y458" s="165"/>
      <c r="Z458" s="10"/>
      <c r="AA458" s="55"/>
      <c r="AB458" s="55"/>
      <c r="AC458" s="55"/>
      <c r="AD458" s="55"/>
      <c r="AE458" s="55"/>
      <c r="AF458" s="167"/>
      <c r="AG458" s="55"/>
      <c r="AH458" s="55"/>
      <c r="AI458" s="165"/>
      <c r="AJ458" s="55"/>
      <c r="AK458" s="55"/>
      <c r="AL458" s="55"/>
      <c r="AM458" s="55"/>
      <c r="AN458" s="55"/>
      <c r="AO458" s="55"/>
      <c r="AP458" s="55"/>
      <c r="AQ458" s="55"/>
      <c r="AR458" s="165"/>
      <c r="AS458" s="55"/>
      <c r="AT458" s="55"/>
      <c r="AU458" s="55"/>
      <c r="AV458" s="55"/>
      <c r="AW458" s="55"/>
      <c r="AX458" s="55"/>
      <c r="AY458" s="55"/>
      <c r="AZ458" s="55"/>
      <c r="BA458" s="165"/>
      <c r="BB458" s="55"/>
      <c r="BC458" s="55"/>
      <c r="BD458" s="55"/>
      <c r="BE458" s="165"/>
      <c r="BF458" s="55"/>
      <c r="BG458" s="10"/>
      <c r="BH458" s="55"/>
      <c r="BI458" s="55"/>
      <c r="BJ458" s="55"/>
      <c r="BK458" s="55"/>
      <c r="BS458" s="141"/>
      <c r="CM458" s="141"/>
      <c r="DC458" s="141"/>
    </row>
    <row r="459" spans="1:107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55"/>
      <c r="R459" s="171"/>
      <c r="S459" s="161"/>
      <c r="T459" s="55"/>
      <c r="U459" s="55"/>
      <c r="V459" s="55"/>
      <c r="W459" s="155"/>
      <c r="X459" s="171"/>
      <c r="Y459" s="165"/>
      <c r="Z459" s="10"/>
      <c r="AA459" s="55"/>
      <c r="AB459" s="55"/>
      <c r="AC459" s="55"/>
      <c r="AD459" s="55"/>
      <c r="AE459" s="55"/>
      <c r="AF459" s="167"/>
      <c r="AG459" s="55"/>
      <c r="AH459" s="55"/>
      <c r="AI459" s="165"/>
      <c r="AJ459" s="55"/>
      <c r="AK459" s="55"/>
      <c r="AL459" s="55"/>
      <c r="AM459" s="55"/>
      <c r="AN459" s="55"/>
      <c r="AO459" s="55"/>
      <c r="AP459" s="55"/>
      <c r="AQ459" s="55"/>
      <c r="AR459" s="165"/>
      <c r="AS459" s="55"/>
      <c r="AT459" s="55"/>
      <c r="AU459" s="55"/>
      <c r="AV459" s="55"/>
      <c r="AW459" s="55"/>
      <c r="AX459" s="55"/>
      <c r="AY459" s="55"/>
      <c r="AZ459" s="55"/>
      <c r="BA459" s="165"/>
      <c r="BB459" s="55"/>
      <c r="BC459" s="55"/>
      <c r="BD459" s="55"/>
      <c r="BE459" s="165"/>
      <c r="BF459" s="55"/>
      <c r="BG459" s="10"/>
      <c r="BH459" s="55"/>
      <c r="BI459" s="55"/>
      <c r="BJ459" s="55"/>
      <c r="BK459" s="55"/>
      <c r="BS459" s="141"/>
      <c r="CM459" s="141"/>
      <c r="DC459" s="141"/>
    </row>
    <row r="460" spans="1:107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55"/>
      <c r="R460" s="171"/>
      <c r="S460" s="161"/>
      <c r="T460" s="55"/>
      <c r="U460" s="55"/>
      <c r="V460" s="55"/>
      <c r="W460" s="155"/>
      <c r="X460" s="171"/>
      <c r="Y460" s="165"/>
      <c r="Z460" s="10"/>
      <c r="AA460" s="55"/>
      <c r="AB460" s="55"/>
      <c r="AC460" s="55"/>
      <c r="AD460" s="55"/>
      <c r="AE460" s="55"/>
      <c r="AF460" s="167"/>
      <c r="AG460" s="55"/>
      <c r="AH460" s="55"/>
      <c r="AI460" s="165"/>
      <c r="AJ460" s="55"/>
      <c r="AK460" s="55"/>
      <c r="AL460" s="55"/>
      <c r="AM460" s="55"/>
      <c r="AN460" s="55"/>
      <c r="AO460" s="55"/>
      <c r="AP460" s="55"/>
      <c r="AQ460" s="55"/>
      <c r="AR460" s="165"/>
      <c r="AS460" s="55"/>
      <c r="AT460" s="55"/>
      <c r="AU460" s="55"/>
      <c r="AV460" s="55"/>
      <c r="AW460" s="55"/>
      <c r="AX460" s="55"/>
      <c r="AY460" s="55"/>
      <c r="AZ460" s="55"/>
      <c r="BA460" s="165"/>
      <c r="BB460" s="55"/>
      <c r="BC460" s="55"/>
      <c r="BD460" s="55"/>
      <c r="BE460" s="165"/>
      <c r="BF460" s="55"/>
      <c r="BG460" s="10"/>
      <c r="BH460" s="55"/>
      <c r="BI460" s="55"/>
      <c r="BJ460" s="55"/>
      <c r="BK460" s="55"/>
      <c r="BS460" s="141"/>
      <c r="CM460" s="141"/>
      <c r="DC460" s="141"/>
    </row>
    <row r="461" spans="1:107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55"/>
      <c r="R461" s="171"/>
      <c r="S461" s="161"/>
      <c r="T461" s="55"/>
      <c r="U461" s="55"/>
      <c r="V461" s="55"/>
      <c r="W461" s="155"/>
      <c r="X461" s="171"/>
      <c r="Y461" s="165"/>
      <c r="Z461" s="10"/>
      <c r="AA461" s="55"/>
      <c r="AB461" s="55"/>
      <c r="AC461" s="55"/>
      <c r="AD461" s="55"/>
      <c r="AE461" s="55"/>
      <c r="AF461" s="167"/>
      <c r="AG461" s="55"/>
      <c r="AH461" s="55"/>
      <c r="AI461" s="165"/>
      <c r="AJ461" s="55"/>
      <c r="AK461" s="55"/>
      <c r="AL461" s="55"/>
      <c r="AM461" s="55"/>
      <c r="AN461" s="55"/>
      <c r="AO461" s="55"/>
      <c r="AP461" s="55"/>
      <c r="AQ461" s="55"/>
      <c r="AR461" s="165"/>
      <c r="AS461" s="55"/>
      <c r="AT461" s="55"/>
      <c r="AU461" s="55"/>
      <c r="AV461" s="55"/>
      <c r="AW461" s="55"/>
      <c r="AX461" s="55"/>
      <c r="AY461" s="55"/>
      <c r="AZ461" s="55"/>
      <c r="BA461" s="165"/>
      <c r="BB461" s="55"/>
      <c r="BC461" s="55"/>
      <c r="BD461" s="55"/>
      <c r="BE461" s="165"/>
      <c r="BF461" s="55"/>
      <c r="BG461" s="10"/>
      <c r="BH461" s="55"/>
      <c r="BI461" s="55"/>
      <c r="BJ461" s="55"/>
      <c r="BK461" s="55"/>
      <c r="BS461" s="141"/>
      <c r="CM461" s="141"/>
      <c r="DC461" s="141"/>
    </row>
    <row r="462" spans="1:107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55"/>
      <c r="R462" s="171"/>
      <c r="S462" s="161"/>
      <c r="T462" s="55"/>
      <c r="U462" s="55"/>
      <c r="V462" s="55"/>
      <c r="W462" s="155"/>
      <c r="X462" s="171"/>
      <c r="Y462" s="165"/>
      <c r="Z462" s="10"/>
      <c r="AA462" s="55"/>
      <c r="AB462" s="55"/>
      <c r="AC462" s="55"/>
      <c r="AD462" s="55"/>
      <c r="AE462" s="55"/>
      <c r="AF462" s="167"/>
      <c r="AG462" s="55"/>
      <c r="AH462" s="55"/>
      <c r="AI462" s="165"/>
      <c r="AJ462" s="55"/>
      <c r="AK462" s="55"/>
      <c r="AL462" s="55"/>
      <c r="AM462" s="55"/>
      <c r="AN462" s="55"/>
      <c r="AO462" s="55"/>
      <c r="AP462" s="55"/>
      <c r="AQ462" s="55"/>
      <c r="AR462" s="165"/>
      <c r="AS462" s="55"/>
      <c r="AT462" s="55"/>
      <c r="AU462" s="55"/>
      <c r="AV462" s="55"/>
      <c r="AW462" s="55"/>
      <c r="AX462" s="55"/>
      <c r="AY462" s="55"/>
      <c r="AZ462" s="55"/>
      <c r="BA462" s="165"/>
      <c r="BB462" s="55"/>
      <c r="BC462" s="55"/>
      <c r="BD462" s="55"/>
      <c r="BE462" s="165"/>
      <c r="BF462" s="55"/>
      <c r="BG462" s="10"/>
      <c r="BH462" s="55"/>
      <c r="BI462" s="55"/>
      <c r="BJ462" s="55"/>
      <c r="BK462" s="55"/>
      <c r="BS462" s="141"/>
      <c r="CM462" s="141"/>
      <c r="DC462" s="141"/>
    </row>
    <row r="463" spans="1:107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55"/>
      <c r="R463" s="171"/>
      <c r="S463" s="161"/>
      <c r="T463" s="55"/>
      <c r="U463" s="55"/>
      <c r="V463" s="55"/>
      <c r="W463" s="155"/>
      <c r="X463" s="171"/>
      <c r="Y463" s="165"/>
      <c r="Z463" s="10"/>
      <c r="AA463" s="55"/>
      <c r="AB463" s="55"/>
      <c r="AC463" s="55"/>
      <c r="AD463" s="55"/>
      <c r="AE463" s="55"/>
      <c r="AF463" s="167"/>
      <c r="AG463" s="55"/>
      <c r="AH463" s="55"/>
      <c r="AI463" s="165"/>
      <c r="AJ463" s="55"/>
      <c r="AK463" s="55"/>
      <c r="AL463" s="55"/>
      <c r="AM463" s="55"/>
      <c r="AN463" s="55"/>
      <c r="AO463" s="55"/>
      <c r="AP463" s="55"/>
      <c r="AQ463" s="55"/>
      <c r="AR463" s="165"/>
      <c r="AS463" s="55"/>
      <c r="AT463" s="55"/>
      <c r="AU463" s="55"/>
      <c r="AV463" s="55"/>
      <c r="AW463" s="55"/>
      <c r="AX463" s="55"/>
      <c r="AY463" s="55"/>
      <c r="AZ463" s="55"/>
      <c r="BA463" s="165"/>
      <c r="BB463" s="55"/>
      <c r="BC463" s="55"/>
      <c r="BD463" s="55"/>
      <c r="BE463" s="165"/>
      <c r="BF463" s="55"/>
      <c r="BG463" s="10"/>
      <c r="BH463" s="55"/>
      <c r="BI463" s="55"/>
      <c r="BJ463" s="55"/>
      <c r="BK463" s="55"/>
      <c r="BS463" s="141"/>
      <c r="CM463" s="141"/>
      <c r="DC463" s="141"/>
    </row>
    <row r="464" spans="1:107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55"/>
      <c r="R464" s="171"/>
      <c r="S464" s="161"/>
      <c r="T464" s="55"/>
      <c r="U464" s="55"/>
      <c r="V464" s="55"/>
      <c r="W464" s="155"/>
      <c r="X464" s="171"/>
      <c r="Y464" s="165"/>
      <c r="Z464" s="10"/>
      <c r="AA464" s="55"/>
      <c r="AB464" s="55"/>
      <c r="AC464" s="55"/>
      <c r="AD464" s="55"/>
      <c r="AE464" s="55"/>
      <c r="AF464" s="167"/>
      <c r="AG464" s="55"/>
      <c r="AH464" s="55"/>
      <c r="AI464" s="165"/>
      <c r="AJ464" s="55"/>
      <c r="AK464" s="55"/>
      <c r="AL464" s="55"/>
      <c r="AM464" s="55"/>
      <c r="AN464" s="55"/>
      <c r="AO464" s="55"/>
      <c r="AP464" s="55"/>
      <c r="AQ464" s="55"/>
      <c r="AR464" s="165"/>
      <c r="AS464" s="55"/>
      <c r="AT464" s="55"/>
      <c r="AU464" s="55"/>
      <c r="AV464" s="55"/>
      <c r="AW464" s="55"/>
      <c r="AX464" s="55"/>
      <c r="AY464" s="55"/>
      <c r="AZ464" s="55"/>
      <c r="BA464" s="165"/>
      <c r="BB464" s="55"/>
      <c r="BC464" s="55"/>
      <c r="BD464" s="55"/>
      <c r="BE464" s="165"/>
      <c r="BF464" s="55"/>
      <c r="BG464" s="10"/>
      <c r="BH464" s="55"/>
      <c r="BI464" s="55"/>
      <c r="BJ464" s="55"/>
      <c r="BK464" s="55"/>
      <c r="BS464" s="141"/>
      <c r="CM464" s="141"/>
      <c r="DC464" s="141"/>
    </row>
    <row r="465" spans="1:107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55"/>
      <c r="R465" s="171"/>
      <c r="S465" s="161"/>
      <c r="T465" s="55"/>
      <c r="U465" s="55"/>
      <c r="V465" s="55"/>
      <c r="W465" s="155"/>
      <c r="X465" s="171"/>
      <c r="Y465" s="165"/>
      <c r="Z465" s="10"/>
      <c r="AA465" s="55"/>
      <c r="AB465" s="55"/>
      <c r="AC465" s="55"/>
      <c r="AD465" s="55"/>
      <c r="AE465" s="55"/>
      <c r="AF465" s="167"/>
      <c r="AG465" s="55"/>
      <c r="AH465" s="55"/>
      <c r="AI465" s="165"/>
      <c r="AJ465" s="55"/>
      <c r="AK465" s="55"/>
      <c r="AL465" s="55"/>
      <c r="AM465" s="55"/>
      <c r="AN465" s="55"/>
      <c r="AO465" s="55"/>
      <c r="AP465" s="55"/>
      <c r="AQ465" s="55"/>
      <c r="AR465" s="165"/>
      <c r="AS465" s="55"/>
      <c r="AT465" s="55"/>
      <c r="AU465" s="55"/>
      <c r="AV465" s="55"/>
      <c r="AW465" s="55"/>
      <c r="AX465" s="55"/>
      <c r="AY465" s="55"/>
      <c r="AZ465" s="55"/>
      <c r="BA465" s="165"/>
      <c r="BB465" s="55"/>
      <c r="BC465" s="55"/>
      <c r="BD465" s="55"/>
      <c r="BE465" s="165"/>
      <c r="BF465" s="55"/>
      <c r="BG465" s="10"/>
      <c r="BH465" s="55"/>
      <c r="BI465" s="55"/>
      <c r="BJ465" s="55"/>
      <c r="BK465" s="55"/>
      <c r="BS465" s="141"/>
      <c r="CM465" s="141"/>
      <c r="DC465" s="141"/>
    </row>
    <row r="466" spans="1:107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55"/>
      <c r="R466" s="171"/>
      <c r="S466" s="161"/>
      <c r="T466" s="55"/>
      <c r="U466" s="55"/>
      <c r="V466" s="55"/>
      <c r="W466" s="155"/>
      <c r="X466" s="171"/>
      <c r="Y466" s="165"/>
      <c r="Z466" s="10"/>
      <c r="AA466" s="55"/>
      <c r="AB466" s="55"/>
      <c r="AC466" s="55"/>
      <c r="AD466" s="55"/>
      <c r="AE466" s="55"/>
      <c r="AF466" s="167"/>
      <c r="AG466" s="55"/>
      <c r="AH466" s="55"/>
      <c r="AI466" s="165"/>
      <c r="AJ466" s="55"/>
      <c r="AK466" s="55"/>
      <c r="AL466" s="55"/>
      <c r="AM466" s="55"/>
      <c r="AN466" s="55"/>
      <c r="AO466" s="55"/>
      <c r="AP466" s="55"/>
      <c r="AQ466" s="55"/>
      <c r="AR466" s="165"/>
      <c r="AS466" s="55"/>
      <c r="AT466" s="55"/>
      <c r="AU466" s="55"/>
      <c r="AV466" s="55"/>
      <c r="AW466" s="55"/>
      <c r="AX466" s="55"/>
      <c r="AY466" s="55"/>
      <c r="AZ466" s="55"/>
      <c r="BA466" s="165"/>
      <c r="BB466" s="55"/>
      <c r="BC466" s="55"/>
      <c r="BD466" s="55"/>
      <c r="BE466" s="165"/>
      <c r="BF466" s="55"/>
      <c r="BG466" s="10"/>
      <c r="BH466" s="55"/>
      <c r="BI466" s="55"/>
      <c r="BJ466" s="55"/>
      <c r="BK466" s="55"/>
      <c r="BS466" s="141"/>
      <c r="CM466" s="141"/>
      <c r="DC466" s="141"/>
    </row>
    <row r="467" spans="1:107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55"/>
      <c r="R467" s="171"/>
      <c r="S467" s="161"/>
      <c r="T467" s="55"/>
      <c r="U467" s="55"/>
      <c r="V467" s="55"/>
      <c r="W467" s="155"/>
      <c r="X467" s="171"/>
      <c r="Y467" s="165"/>
      <c r="Z467" s="10"/>
      <c r="AA467" s="55"/>
      <c r="AB467" s="55"/>
      <c r="AC467" s="55"/>
      <c r="AD467" s="55"/>
      <c r="AE467" s="55"/>
      <c r="AF467" s="167"/>
      <c r="AG467" s="55"/>
      <c r="AH467" s="55"/>
      <c r="AI467" s="165"/>
      <c r="AJ467" s="55"/>
      <c r="AK467" s="55"/>
      <c r="AL467" s="55"/>
      <c r="AM467" s="55"/>
      <c r="AN467" s="55"/>
      <c r="AO467" s="55"/>
      <c r="AP467" s="55"/>
      <c r="AQ467" s="55"/>
      <c r="AR467" s="165"/>
      <c r="AS467" s="55"/>
      <c r="AT467" s="55"/>
      <c r="AU467" s="55"/>
      <c r="AV467" s="55"/>
      <c r="AW467" s="55"/>
      <c r="AX467" s="55"/>
      <c r="AY467" s="55"/>
      <c r="AZ467" s="55"/>
      <c r="BA467" s="165"/>
      <c r="BB467" s="55"/>
      <c r="BC467" s="55"/>
      <c r="BD467" s="55"/>
      <c r="BE467" s="165"/>
      <c r="BF467" s="55"/>
      <c r="BG467" s="10"/>
      <c r="BH467" s="55"/>
      <c r="BI467" s="55"/>
      <c r="BJ467" s="55"/>
      <c r="BK467" s="55"/>
      <c r="BS467" s="141"/>
      <c r="CM467" s="141"/>
      <c r="DC467" s="141"/>
    </row>
    <row r="468" spans="1:107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55"/>
      <c r="R468" s="171"/>
      <c r="S468" s="161"/>
      <c r="T468" s="55"/>
      <c r="U468" s="55"/>
      <c r="V468" s="55"/>
      <c r="W468" s="155"/>
      <c r="X468" s="171"/>
      <c r="Y468" s="165"/>
      <c r="Z468" s="10"/>
      <c r="AA468" s="55"/>
      <c r="AB468" s="55"/>
      <c r="AC468" s="55"/>
      <c r="AD468" s="55"/>
      <c r="AE468" s="55"/>
      <c r="AF468" s="167"/>
      <c r="AG468" s="55"/>
      <c r="AH468" s="55"/>
      <c r="AI468" s="165"/>
      <c r="AJ468" s="55"/>
      <c r="AK468" s="55"/>
      <c r="AL468" s="55"/>
      <c r="AM468" s="55"/>
      <c r="AN468" s="55"/>
      <c r="AO468" s="55"/>
      <c r="AP468" s="55"/>
      <c r="AQ468" s="55"/>
      <c r="AR468" s="165"/>
      <c r="AS468" s="55"/>
      <c r="AT468" s="55"/>
      <c r="AU468" s="55"/>
      <c r="AV468" s="55"/>
      <c r="AW468" s="55"/>
      <c r="AX468" s="55"/>
      <c r="AY468" s="55"/>
      <c r="AZ468" s="55"/>
      <c r="BA468" s="165"/>
      <c r="BB468" s="55"/>
      <c r="BC468" s="55"/>
      <c r="BD468" s="55"/>
      <c r="BE468" s="165"/>
      <c r="BF468" s="55"/>
      <c r="BG468" s="10"/>
      <c r="BH468" s="55"/>
      <c r="BI468" s="55"/>
      <c r="BJ468" s="55"/>
      <c r="BK468" s="55"/>
      <c r="BS468" s="141"/>
      <c r="CM468" s="141"/>
      <c r="DC468" s="141"/>
    </row>
    <row r="469" spans="1:107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55"/>
      <c r="R469" s="171"/>
      <c r="S469" s="161"/>
      <c r="T469" s="55"/>
      <c r="U469" s="55"/>
      <c r="V469" s="55"/>
      <c r="W469" s="155"/>
      <c r="X469" s="171"/>
      <c r="Y469" s="165"/>
      <c r="Z469" s="10"/>
      <c r="AA469" s="55"/>
      <c r="AB469" s="55"/>
      <c r="AC469" s="55"/>
      <c r="AD469" s="55"/>
      <c r="AE469" s="55"/>
      <c r="AF469" s="167"/>
      <c r="AG469" s="55"/>
      <c r="AH469" s="55"/>
      <c r="AI469" s="165"/>
      <c r="AJ469" s="55"/>
      <c r="AK469" s="55"/>
      <c r="AL469" s="55"/>
      <c r="AM469" s="55"/>
      <c r="AN469" s="55"/>
      <c r="AO469" s="55"/>
      <c r="AP469" s="55"/>
      <c r="AQ469" s="55"/>
      <c r="AR469" s="165"/>
      <c r="AS469" s="55"/>
      <c r="AT469" s="55"/>
      <c r="AU469" s="55"/>
      <c r="AV469" s="55"/>
      <c r="AW469" s="55"/>
      <c r="AX469" s="55"/>
      <c r="AY469" s="55"/>
      <c r="AZ469" s="55"/>
      <c r="BA469" s="165"/>
      <c r="BB469" s="55"/>
      <c r="BC469" s="55"/>
      <c r="BD469" s="55"/>
      <c r="BE469" s="165"/>
      <c r="BF469" s="55"/>
      <c r="BG469" s="10"/>
      <c r="BH469" s="55"/>
      <c r="BI469" s="55"/>
      <c r="BJ469" s="55"/>
      <c r="BK469" s="55"/>
      <c r="BS469" s="141"/>
      <c r="CM469" s="141"/>
      <c r="DC469" s="141"/>
    </row>
    <row r="470" spans="1:107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55"/>
      <c r="R470" s="171"/>
      <c r="S470" s="161"/>
      <c r="T470" s="55"/>
      <c r="U470" s="55"/>
      <c r="V470" s="55"/>
      <c r="W470" s="155"/>
      <c r="X470" s="171"/>
      <c r="Y470" s="165"/>
      <c r="Z470" s="10"/>
      <c r="AA470" s="55"/>
      <c r="AB470" s="55"/>
      <c r="AC470" s="55"/>
      <c r="AD470" s="55"/>
      <c r="AE470" s="55"/>
      <c r="AF470" s="167"/>
      <c r="AG470" s="55"/>
      <c r="AH470" s="55"/>
      <c r="AI470" s="165"/>
      <c r="AJ470" s="55"/>
      <c r="AK470" s="55"/>
      <c r="AL470" s="55"/>
      <c r="AM470" s="55"/>
      <c r="AN470" s="55"/>
      <c r="AO470" s="55"/>
      <c r="AP470" s="55"/>
      <c r="AQ470" s="55"/>
      <c r="AR470" s="165"/>
      <c r="AS470" s="55"/>
      <c r="AT470" s="55"/>
      <c r="AU470" s="55"/>
      <c r="AV470" s="55"/>
      <c r="AW470" s="55"/>
      <c r="AX470" s="55"/>
      <c r="AY470" s="55"/>
      <c r="AZ470" s="55"/>
      <c r="BA470" s="165"/>
      <c r="BB470" s="55"/>
      <c r="BC470" s="55"/>
      <c r="BD470" s="55"/>
      <c r="BE470" s="165"/>
      <c r="BF470" s="55"/>
      <c r="BG470" s="10"/>
      <c r="BH470" s="55"/>
      <c r="BI470" s="55"/>
      <c r="BJ470" s="55"/>
      <c r="BK470" s="55"/>
      <c r="BS470" s="141"/>
      <c r="CM470" s="141"/>
      <c r="DC470" s="141"/>
    </row>
    <row r="471" spans="1:107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55"/>
      <c r="R471" s="171"/>
      <c r="S471" s="161"/>
      <c r="T471" s="55"/>
      <c r="U471" s="55"/>
      <c r="V471" s="55"/>
      <c r="W471" s="155"/>
      <c r="X471" s="171"/>
      <c r="Y471" s="165"/>
      <c r="Z471" s="10"/>
      <c r="AA471" s="55"/>
      <c r="AB471" s="55"/>
      <c r="AC471" s="55"/>
      <c r="AD471" s="55"/>
      <c r="AE471" s="55"/>
      <c r="AF471" s="167"/>
      <c r="AG471" s="55"/>
      <c r="AH471" s="55"/>
      <c r="AI471" s="165"/>
      <c r="AJ471" s="55"/>
      <c r="AK471" s="55"/>
      <c r="AL471" s="55"/>
      <c r="AM471" s="55"/>
      <c r="AN471" s="55"/>
      <c r="AO471" s="55"/>
      <c r="AP471" s="55"/>
      <c r="AQ471" s="55"/>
      <c r="AR471" s="165"/>
      <c r="AS471" s="55"/>
      <c r="AT471" s="55"/>
      <c r="AU471" s="55"/>
      <c r="AV471" s="55"/>
      <c r="AW471" s="55"/>
      <c r="AX471" s="55"/>
      <c r="AY471" s="55"/>
      <c r="AZ471" s="55"/>
      <c r="BA471" s="165"/>
      <c r="BB471" s="55"/>
      <c r="BC471" s="55"/>
      <c r="BD471" s="55"/>
      <c r="BE471" s="165"/>
      <c r="BF471" s="55"/>
      <c r="BG471" s="10"/>
      <c r="BH471" s="55"/>
      <c r="BI471" s="55"/>
      <c r="BJ471" s="55"/>
      <c r="BK471" s="55"/>
      <c r="BS471" s="141"/>
      <c r="CM471" s="141"/>
      <c r="DC471" s="141"/>
    </row>
    <row r="472" spans="1:107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55"/>
      <c r="R472" s="171"/>
      <c r="S472" s="161"/>
      <c r="T472" s="55"/>
      <c r="U472" s="55"/>
      <c r="V472" s="55"/>
      <c r="W472" s="155"/>
      <c r="X472" s="171"/>
      <c r="Y472" s="165"/>
      <c r="Z472" s="10"/>
      <c r="AA472" s="55"/>
      <c r="AB472" s="55"/>
      <c r="AC472" s="55"/>
      <c r="AD472" s="55"/>
      <c r="AE472" s="55"/>
      <c r="AF472" s="167"/>
      <c r="AG472" s="55"/>
      <c r="AH472" s="55"/>
      <c r="AI472" s="165"/>
      <c r="AJ472" s="55"/>
      <c r="AK472" s="55"/>
      <c r="AL472" s="55"/>
      <c r="AM472" s="55"/>
      <c r="AN472" s="55"/>
      <c r="AO472" s="55"/>
      <c r="AP472" s="55"/>
      <c r="AQ472" s="55"/>
      <c r="AR472" s="165"/>
      <c r="AS472" s="55"/>
      <c r="AT472" s="55"/>
      <c r="AU472" s="55"/>
      <c r="AV472" s="55"/>
      <c r="AW472" s="55"/>
      <c r="AX472" s="55"/>
      <c r="AY472" s="55"/>
      <c r="AZ472" s="55"/>
      <c r="BA472" s="165"/>
      <c r="BB472" s="55"/>
      <c r="BC472" s="55"/>
      <c r="BD472" s="55"/>
      <c r="BE472" s="165"/>
      <c r="BF472" s="55"/>
      <c r="BG472" s="10"/>
      <c r="BH472" s="55"/>
      <c r="BI472" s="55"/>
      <c r="BJ472" s="55"/>
      <c r="BK472" s="55"/>
      <c r="BS472" s="141"/>
      <c r="CM472" s="141"/>
      <c r="DC472" s="141"/>
    </row>
    <row r="473" spans="1:107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55"/>
      <c r="R473" s="171"/>
      <c r="S473" s="161"/>
      <c r="T473" s="55"/>
      <c r="U473" s="55"/>
      <c r="V473" s="55"/>
      <c r="W473" s="155"/>
      <c r="X473" s="171"/>
      <c r="Y473" s="165"/>
      <c r="Z473" s="10"/>
      <c r="AA473" s="55"/>
      <c r="AB473" s="55"/>
      <c r="AC473" s="55"/>
      <c r="AD473" s="55"/>
      <c r="AE473" s="55"/>
      <c r="AF473" s="167"/>
      <c r="AG473" s="55"/>
      <c r="AH473" s="55"/>
      <c r="AI473" s="165"/>
      <c r="AJ473" s="55"/>
      <c r="AK473" s="55"/>
      <c r="AL473" s="55"/>
      <c r="AM473" s="55"/>
      <c r="AN473" s="55"/>
      <c r="AO473" s="55"/>
      <c r="AP473" s="55"/>
      <c r="AQ473" s="55"/>
      <c r="AR473" s="165"/>
      <c r="AS473" s="55"/>
      <c r="AT473" s="55"/>
      <c r="AU473" s="55"/>
      <c r="AV473" s="55"/>
      <c r="AW473" s="55"/>
      <c r="AX473" s="55"/>
      <c r="AY473" s="55"/>
      <c r="AZ473" s="55"/>
      <c r="BA473" s="165"/>
      <c r="BB473" s="55"/>
      <c r="BC473" s="55"/>
      <c r="BD473" s="55"/>
      <c r="BE473" s="165"/>
      <c r="BF473" s="55"/>
      <c r="BG473" s="10"/>
      <c r="BH473" s="55"/>
      <c r="BI473" s="55"/>
      <c r="BJ473" s="55"/>
      <c r="BK473" s="55"/>
      <c r="BS473" s="141"/>
      <c r="CM473" s="141"/>
      <c r="DC473" s="141"/>
    </row>
    <row r="474" spans="1:107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55"/>
      <c r="R474" s="171"/>
      <c r="S474" s="161"/>
      <c r="T474" s="55"/>
      <c r="U474" s="55"/>
      <c r="V474" s="55"/>
      <c r="W474" s="155"/>
      <c r="X474" s="171"/>
      <c r="Y474" s="165"/>
      <c r="Z474" s="10"/>
      <c r="AA474" s="55"/>
      <c r="AB474" s="55"/>
      <c r="AC474" s="55"/>
      <c r="AD474" s="55"/>
      <c r="AE474" s="55"/>
      <c r="AF474" s="167"/>
      <c r="AG474" s="55"/>
      <c r="AH474" s="55"/>
      <c r="AI474" s="165"/>
      <c r="AJ474" s="55"/>
      <c r="AK474" s="55"/>
      <c r="AL474" s="55"/>
      <c r="AM474" s="55"/>
      <c r="AN474" s="55"/>
      <c r="AO474" s="55"/>
      <c r="AP474" s="55"/>
      <c r="AQ474" s="55"/>
      <c r="AR474" s="165"/>
      <c r="AS474" s="55"/>
      <c r="AT474" s="55"/>
      <c r="AU474" s="55"/>
      <c r="AV474" s="55"/>
      <c r="AW474" s="55"/>
      <c r="AX474" s="55"/>
      <c r="AY474" s="55"/>
      <c r="AZ474" s="55"/>
      <c r="BA474" s="165"/>
      <c r="BB474" s="55"/>
      <c r="BC474" s="55"/>
      <c r="BD474" s="55"/>
      <c r="BE474" s="165"/>
      <c r="BF474" s="55"/>
      <c r="BG474" s="10"/>
      <c r="BH474" s="55"/>
      <c r="BI474" s="55"/>
      <c r="BJ474" s="55"/>
      <c r="BK474" s="55"/>
      <c r="BS474" s="141"/>
      <c r="CM474" s="141"/>
      <c r="DC474" s="141"/>
    </row>
    <row r="475" spans="1:107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55"/>
      <c r="R475" s="171"/>
      <c r="S475" s="161"/>
      <c r="T475" s="55"/>
      <c r="U475" s="55"/>
      <c r="V475" s="55"/>
      <c r="W475" s="155"/>
      <c r="X475" s="171"/>
      <c r="Y475" s="165"/>
      <c r="Z475" s="10"/>
      <c r="AA475" s="55"/>
      <c r="AB475" s="55"/>
      <c r="AC475" s="55"/>
      <c r="AD475" s="55"/>
      <c r="AE475" s="55"/>
      <c r="AF475" s="167"/>
      <c r="AG475" s="55"/>
      <c r="AH475" s="55"/>
      <c r="AI475" s="165"/>
      <c r="AJ475" s="55"/>
      <c r="AK475" s="55"/>
      <c r="AL475" s="55"/>
      <c r="AM475" s="55"/>
      <c r="AN475" s="55"/>
      <c r="AO475" s="55"/>
      <c r="AP475" s="55"/>
      <c r="AQ475" s="55"/>
      <c r="AR475" s="165"/>
      <c r="AS475" s="55"/>
      <c r="AT475" s="55"/>
      <c r="AU475" s="55"/>
      <c r="AV475" s="55"/>
      <c r="AW475" s="55"/>
      <c r="AX475" s="55"/>
      <c r="AY475" s="55"/>
      <c r="AZ475" s="55"/>
      <c r="BA475" s="165"/>
      <c r="BB475" s="55"/>
      <c r="BC475" s="55"/>
      <c r="BD475" s="55"/>
      <c r="BE475" s="165"/>
      <c r="BF475" s="55"/>
      <c r="BG475" s="10"/>
      <c r="BH475" s="55"/>
      <c r="BI475" s="55"/>
      <c r="BJ475" s="55"/>
      <c r="BK475" s="55"/>
      <c r="BS475" s="141"/>
      <c r="CM475" s="141"/>
      <c r="DC475" s="141"/>
    </row>
    <row r="476" spans="1:107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55"/>
      <c r="R476" s="171"/>
      <c r="S476" s="161"/>
      <c r="T476" s="55"/>
      <c r="U476" s="55"/>
      <c r="V476" s="55"/>
      <c r="W476" s="155"/>
      <c r="X476" s="171"/>
      <c r="Y476" s="165"/>
      <c r="Z476" s="10"/>
      <c r="AA476" s="55"/>
      <c r="AB476" s="55"/>
      <c r="AC476" s="55"/>
      <c r="AD476" s="55"/>
      <c r="AE476" s="55"/>
      <c r="AF476" s="167"/>
      <c r="AG476" s="55"/>
      <c r="AH476" s="55"/>
      <c r="AI476" s="165"/>
      <c r="AJ476" s="55"/>
      <c r="AK476" s="55"/>
      <c r="AL476" s="55"/>
      <c r="AM476" s="55"/>
      <c r="AN476" s="55"/>
      <c r="AO476" s="55"/>
      <c r="AP476" s="55"/>
      <c r="AQ476" s="55"/>
      <c r="AR476" s="165"/>
      <c r="AS476" s="55"/>
      <c r="AT476" s="55"/>
      <c r="AU476" s="55"/>
      <c r="AV476" s="55"/>
      <c r="AW476" s="55"/>
      <c r="AX476" s="55"/>
      <c r="AY476" s="55"/>
      <c r="AZ476" s="55"/>
      <c r="BA476" s="165"/>
      <c r="BB476" s="55"/>
      <c r="BC476" s="55"/>
      <c r="BD476" s="55"/>
      <c r="BE476" s="165"/>
      <c r="BF476" s="55"/>
      <c r="BG476" s="10"/>
      <c r="BH476" s="55"/>
      <c r="BI476" s="55"/>
      <c r="BJ476" s="55"/>
      <c r="BK476" s="55"/>
      <c r="BS476" s="141"/>
      <c r="CM476" s="141"/>
      <c r="DC476" s="141"/>
    </row>
    <row r="477" spans="1:107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55"/>
      <c r="R477" s="171"/>
      <c r="S477" s="161"/>
      <c r="T477" s="55"/>
      <c r="U477" s="55"/>
      <c r="V477" s="55"/>
      <c r="W477" s="155"/>
      <c r="X477" s="171"/>
      <c r="Y477" s="165"/>
      <c r="Z477" s="10"/>
      <c r="AA477" s="55"/>
      <c r="AB477" s="55"/>
      <c r="AC477" s="55"/>
      <c r="AD477" s="55"/>
      <c r="AE477" s="55"/>
      <c r="AF477" s="167"/>
      <c r="AG477" s="55"/>
      <c r="AH477" s="55"/>
      <c r="AI477" s="165"/>
      <c r="AJ477" s="55"/>
      <c r="AK477" s="55"/>
      <c r="AL477" s="55"/>
      <c r="AM477" s="55"/>
      <c r="AN477" s="55"/>
      <c r="AO477" s="55"/>
      <c r="AP477" s="55"/>
      <c r="AQ477" s="55"/>
      <c r="AR477" s="165"/>
      <c r="AS477" s="55"/>
      <c r="AT477" s="55"/>
      <c r="AU477" s="55"/>
      <c r="AV477" s="55"/>
      <c r="AW477" s="55"/>
      <c r="AX477" s="55"/>
      <c r="AY477" s="55"/>
      <c r="AZ477" s="55"/>
      <c r="BA477" s="165"/>
      <c r="BB477" s="55"/>
      <c r="BC477" s="55"/>
      <c r="BD477" s="55"/>
      <c r="BE477" s="165"/>
      <c r="BF477" s="55"/>
      <c r="BG477" s="10"/>
      <c r="BH477" s="55"/>
      <c r="BI477" s="55"/>
      <c r="BJ477" s="55"/>
      <c r="BK477" s="55"/>
      <c r="BS477" s="141"/>
      <c r="CM477" s="141"/>
      <c r="DC477" s="141"/>
    </row>
    <row r="478" spans="1:107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55"/>
      <c r="R478" s="171"/>
      <c r="S478" s="161"/>
      <c r="T478" s="55"/>
      <c r="U478" s="55"/>
      <c r="V478" s="55"/>
      <c r="W478" s="155"/>
      <c r="X478" s="171"/>
      <c r="Y478" s="165"/>
      <c r="Z478" s="10"/>
      <c r="AA478" s="55"/>
      <c r="AB478" s="55"/>
      <c r="AC478" s="55"/>
      <c r="AD478" s="55"/>
      <c r="AE478" s="55"/>
      <c r="AF478" s="167"/>
      <c r="AG478" s="55"/>
      <c r="AH478" s="55"/>
      <c r="AI478" s="165"/>
      <c r="AJ478" s="55"/>
      <c r="AK478" s="55"/>
      <c r="AL478" s="55"/>
      <c r="AM478" s="55"/>
      <c r="AN478" s="55"/>
      <c r="AO478" s="55"/>
      <c r="AP478" s="55"/>
      <c r="AQ478" s="55"/>
      <c r="AR478" s="165"/>
      <c r="AS478" s="55"/>
      <c r="AT478" s="55"/>
      <c r="AU478" s="55"/>
      <c r="AV478" s="55"/>
      <c r="AW478" s="55"/>
      <c r="AX478" s="55"/>
      <c r="AY478" s="55"/>
      <c r="AZ478" s="55"/>
      <c r="BA478" s="165"/>
      <c r="BB478" s="55"/>
      <c r="BC478" s="55"/>
      <c r="BD478" s="55"/>
      <c r="BE478" s="165"/>
      <c r="BF478" s="55"/>
      <c r="BG478" s="10"/>
      <c r="BH478" s="55"/>
      <c r="BI478" s="55"/>
      <c r="BJ478" s="55"/>
      <c r="BK478" s="55"/>
      <c r="BS478" s="141"/>
      <c r="CM478" s="141"/>
      <c r="DC478" s="141"/>
    </row>
    <row r="479" spans="1:107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55"/>
      <c r="R479" s="171"/>
      <c r="S479" s="161"/>
      <c r="T479" s="55"/>
      <c r="U479" s="55"/>
      <c r="V479" s="55"/>
      <c r="W479" s="155"/>
      <c r="X479" s="171"/>
      <c r="Y479" s="165"/>
      <c r="Z479" s="10"/>
      <c r="AA479" s="55"/>
      <c r="AB479" s="55"/>
      <c r="AC479" s="55"/>
      <c r="AD479" s="55"/>
      <c r="AE479" s="55"/>
      <c r="AF479" s="167"/>
      <c r="AG479" s="55"/>
      <c r="AH479" s="55"/>
      <c r="AI479" s="165"/>
      <c r="AJ479" s="55"/>
      <c r="AK479" s="55"/>
      <c r="AL479" s="55"/>
      <c r="AM479" s="55"/>
      <c r="AN479" s="55"/>
      <c r="AO479" s="55"/>
      <c r="AP479" s="55"/>
      <c r="AQ479" s="55"/>
      <c r="AR479" s="165"/>
      <c r="AS479" s="55"/>
      <c r="AT479" s="55"/>
      <c r="AU479" s="55"/>
      <c r="AV479" s="55"/>
      <c r="AW479" s="55"/>
      <c r="AX479" s="55"/>
      <c r="AY479" s="55"/>
      <c r="AZ479" s="55"/>
      <c r="BA479" s="165"/>
      <c r="BB479" s="55"/>
      <c r="BC479" s="55"/>
      <c r="BD479" s="55"/>
      <c r="BE479" s="165"/>
      <c r="BF479" s="55"/>
      <c r="BG479" s="10"/>
      <c r="BH479" s="55"/>
      <c r="BI479" s="55"/>
      <c r="BJ479" s="55"/>
      <c r="BK479" s="55"/>
      <c r="BS479" s="141"/>
      <c r="CM479" s="141"/>
      <c r="DC479" s="141"/>
    </row>
    <row r="480" spans="1:107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55"/>
      <c r="R480" s="171"/>
      <c r="S480" s="161"/>
      <c r="T480" s="55"/>
      <c r="U480" s="55"/>
      <c r="V480" s="55"/>
      <c r="W480" s="155"/>
      <c r="X480" s="171"/>
      <c r="Y480" s="165"/>
      <c r="Z480" s="10"/>
      <c r="AA480" s="55"/>
      <c r="AB480" s="55"/>
      <c r="AC480" s="55"/>
      <c r="AD480" s="55"/>
      <c r="AE480" s="55"/>
      <c r="AF480" s="167"/>
      <c r="AG480" s="55"/>
      <c r="AH480" s="55"/>
      <c r="AI480" s="165"/>
      <c r="AJ480" s="55"/>
      <c r="AK480" s="55"/>
      <c r="AL480" s="55"/>
      <c r="AM480" s="55"/>
      <c r="AN480" s="55"/>
      <c r="AO480" s="55"/>
      <c r="AP480" s="55"/>
      <c r="AQ480" s="55"/>
      <c r="AR480" s="165"/>
      <c r="AS480" s="55"/>
      <c r="AT480" s="55"/>
      <c r="AU480" s="55"/>
      <c r="AV480" s="55"/>
      <c r="AW480" s="55"/>
      <c r="AX480" s="55"/>
      <c r="AY480" s="55"/>
      <c r="AZ480" s="55"/>
      <c r="BA480" s="165"/>
      <c r="BB480" s="55"/>
      <c r="BC480" s="55"/>
      <c r="BD480" s="55"/>
      <c r="BE480" s="165"/>
      <c r="BF480" s="55"/>
      <c r="BG480" s="10"/>
      <c r="BH480" s="55"/>
      <c r="BI480" s="55"/>
      <c r="BJ480" s="55"/>
      <c r="BK480" s="55"/>
      <c r="BS480" s="141"/>
      <c r="CM480" s="141"/>
      <c r="DC480" s="141"/>
    </row>
    <row r="481" spans="1:107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55"/>
      <c r="R481" s="171"/>
      <c r="S481" s="161"/>
      <c r="T481" s="55"/>
      <c r="U481" s="55"/>
      <c r="V481" s="55"/>
      <c r="W481" s="155"/>
      <c r="X481" s="171"/>
      <c r="Y481" s="165"/>
      <c r="Z481" s="10"/>
      <c r="AA481" s="55"/>
      <c r="AB481" s="55"/>
      <c r="AC481" s="55"/>
      <c r="AD481" s="55"/>
      <c r="AE481" s="55"/>
      <c r="AF481" s="167"/>
      <c r="AG481" s="55"/>
      <c r="AH481" s="55"/>
      <c r="AI481" s="165"/>
      <c r="AJ481" s="55"/>
      <c r="AK481" s="55"/>
      <c r="AL481" s="55"/>
      <c r="AM481" s="55"/>
      <c r="AN481" s="55"/>
      <c r="AO481" s="55"/>
      <c r="AP481" s="55"/>
      <c r="AQ481" s="55"/>
      <c r="AR481" s="165"/>
      <c r="AS481" s="55"/>
      <c r="AT481" s="55"/>
      <c r="AU481" s="55"/>
      <c r="AV481" s="55"/>
      <c r="AW481" s="55"/>
      <c r="AX481" s="55"/>
      <c r="AY481" s="55"/>
      <c r="AZ481" s="55"/>
      <c r="BA481" s="165"/>
      <c r="BB481" s="55"/>
      <c r="BC481" s="55"/>
      <c r="BD481" s="55"/>
      <c r="BE481" s="165"/>
      <c r="BF481" s="55"/>
      <c r="BG481" s="10"/>
      <c r="BH481" s="55"/>
      <c r="BI481" s="55"/>
      <c r="BJ481" s="55"/>
      <c r="BK481" s="55"/>
      <c r="BS481" s="141"/>
      <c r="CM481" s="141"/>
      <c r="DC481" s="141"/>
    </row>
    <row r="482" spans="1:107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55"/>
      <c r="R482" s="171"/>
      <c r="S482" s="161"/>
      <c r="T482" s="55"/>
      <c r="U482" s="55"/>
      <c r="V482" s="55"/>
      <c r="W482" s="155"/>
      <c r="X482" s="171"/>
      <c r="Y482" s="165"/>
      <c r="Z482" s="10"/>
      <c r="AA482" s="55"/>
      <c r="AB482" s="55"/>
      <c r="AC482" s="55"/>
      <c r="AD482" s="55"/>
      <c r="AE482" s="55"/>
      <c r="AF482" s="167"/>
      <c r="AG482" s="55"/>
      <c r="AH482" s="55"/>
      <c r="AI482" s="165"/>
      <c r="AJ482" s="55"/>
      <c r="AK482" s="55"/>
      <c r="AL482" s="55"/>
      <c r="AM482" s="55"/>
      <c r="AN482" s="55"/>
      <c r="AO482" s="55"/>
      <c r="AP482" s="55"/>
      <c r="AQ482" s="55"/>
      <c r="AR482" s="165"/>
      <c r="AS482" s="55"/>
      <c r="AT482" s="55"/>
      <c r="AU482" s="55"/>
      <c r="AV482" s="55"/>
      <c r="AW482" s="55"/>
      <c r="AX482" s="55"/>
      <c r="AY482" s="55"/>
      <c r="AZ482" s="55"/>
      <c r="BA482" s="165"/>
      <c r="BB482" s="55"/>
      <c r="BC482" s="55"/>
      <c r="BD482" s="55"/>
      <c r="BE482" s="165"/>
      <c r="BF482" s="55"/>
      <c r="BG482" s="10"/>
      <c r="BH482" s="55"/>
      <c r="BI482" s="55"/>
      <c r="BJ482" s="55"/>
      <c r="BK482" s="55"/>
      <c r="BS482" s="141"/>
      <c r="CM482" s="141"/>
      <c r="DC482" s="141"/>
    </row>
    <row r="483" spans="1:107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55"/>
      <c r="R483" s="171"/>
      <c r="S483" s="161"/>
      <c r="T483" s="55"/>
      <c r="U483" s="55"/>
      <c r="V483" s="55"/>
      <c r="W483" s="155"/>
      <c r="X483" s="171"/>
      <c r="Y483" s="165"/>
      <c r="Z483" s="10"/>
      <c r="AA483" s="55"/>
      <c r="AB483" s="55"/>
      <c r="AC483" s="55"/>
      <c r="AD483" s="55"/>
      <c r="AE483" s="55"/>
      <c r="AF483" s="167"/>
      <c r="AG483" s="55"/>
      <c r="AH483" s="55"/>
      <c r="AI483" s="165"/>
      <c r="AJ483" s="55"/>
      <c r="AK483" s="55"/>
      <c r="AL483" s="55"/>
      <c r="AM483" s="55"/>
      <c r="AN483" s="55"/>
      <c r="AO483" s="55"/>
      <c r="AP483" s="55"/>
      <c r="AQ483" s="55"/>
      <c r="AR483" s="165"/>
      <c r="AS483" s="55"/>
      <c r="AT483" s="55"/>
      <c r="AU483" s="55"/>
      <c r="AV483" s="55"/>
      <c r="AW483" s="55"/>
      <c r="AX483" s="55"/>
      <c r="AY483" s="55"/>
      <c r="AZ483" s="55"/>
      <c r="BA483" s="165"/>
      <c r="BB483" s="55"/>
      <c r="BC483" s="55"/>
      <c r="BD483" s="55"/>
      <c r="BE483" s="165"/>
      <c r="BF483" s="55"/>
      <c r="BG483" s="10"/>
      <c r="BH483" s="55"/>
      <c r="BI483" s="55"/>
      <c r="BJ483" s="55"/>
      <c r="BK483" s="55"/>
      <c r="BS483" s="141"/>
      <c r="CM483" s="141"/>
      <c r="DC483" s="141"/>
    </row>
    <row r="484" spans="1:107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55"/>
      <c r="R484" s="171"/>
      <c r="S484" s="161"/>
      <c r="T484" s="55"/>
      <c r="U484" s="55"/>
      <c r="V484" s="55"/>
      <c r="W484" s="155"/>
      <c r="X484" s="171"/>
      <c r="Y484" s="165"/>
      <c r="Z484" s="10"/>
      <c r="AA484" s="55"/>
      <c r="AB484" s="55"/>
      <c r="AC484" s="55"/>
      <c r="AD484" s="55"/>
      <c r="AE484" s="55"/>
      <c r="AF484" s="167"/>
      <c r="AG484" s="55"/>
      <c r="AH484" s="55"/>
      <c r="AI484" s="165"/>
      <c r="AJ484" s="55"/>
      <c r="AK484" s="55"/>
      <c r="AL484" s="55"/>
      <c r="AM484" s="55"/>
      <c r="AN484" s="55"/>
      <c r="AO484" s="55"/>
      <c r="AP484" s="55"/>
      <c r="AQ484" s="55"/>
      <c r="AR484" s="165"/>
      <c r="AS484" s="55"/>
      <c r="AT484" s="55"/>
      <c r="AU484" s="55"/>
      <c r="AV484" s="55"/>
      <c r="AW484" s="55"/>
      <c r="AX484" s="55"/>
      <c r="AY484" s="55"/>
      <c r="AZ484" s="55"/>
      <c r="BA484" s="165"/>
      <c r="BB484" s="55"/>
      <c r="BC484" s="55"/>
      <c r="BD484" s="55"/>
      <c r="BE484" s="165"/>
      <c r="BF484" s="55"/>
      <c r="BG484" s="10"/>
      <c r="BH484" s="55"/>
      <c r="BI484" s="55"/>
      <c r="BJ484" s="55"/>
      <c r="BK484" s="55"/>
      <c r="BS484" s="141"/>
      <c r="CM484" s="141"/>
      <c r="DC484" s="141"/>
    </row>
    <row r="485" spans="1:107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55"/>
      <c r="R485" s="171"/>
      <c r="S485" s="161"/>
      <c r="T485" s="55"/>
      <c r="U485" s="55"/>
      <c r="V485" s="55"/>
      <c r="W485" s="155"/>
      <c r="X485" s="171"/>
      <c r="Y485" s="165"/>
      <c r="Z485" s="10"/>
      <c r="AA485" s="55"/>
      <c r="AB485" s="55"/>
      <c r="AC485" s="55"/>
      <c r="AD485" s="55"/>
      <c r="AE485" s="55"/>
      <c r="AF485" s="167"/>
      <c r="AG485" s="55"/>
      <c r="AH485" s="55"/>
      <c r="AI485" s="165"/>
      <c r="AJ485" s="55"/>
      <c r="AK485" s="55"/>
      <c r="AL485" s="55"/>
      <c r="AM485" s="55"/>
      <c r="AN485" s="55"/>
      <c r="AO485" s="55"/>
      <c r="AP485" s="55"/>
      <c r="AQ485" s="55"/>
      <c r="AR485" s="165"/>
      <c r="AS485" s="55"/>
      <c r="AT485" s="55"/>
      <c r="AU485" s="55"/>
      <c r="AV485" s="55"/>
      <c r="AW485" s="55"/>
      <c r="AX485" s="55"/>
      <c r="AY485" s="55"/>
      <c r="AZ485" s="55"/>
      <c r="BA485" s="165"/>
      <c r="BB485" s="55"/>
      <c r="BC485" s="55"/>
      <c r="BD485" s="55"/>
      <c r="BE485" s="165"/>
      <c r="BF485" s="55"/>
      <c r="BG485" s="10"/>
      <c r="BH485" s="55"/>
      <c r="BI485" s="55"/>
      <c r="BJ485" s="55"/>
      <c r="BK485" s="55"/>
      <c r="BS485" s="141"/>
      <c r="CM485" s="141"/>
      <c r="DC485" s="141"/>
    </row>
    <row r="486" spans="1:107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55"/>
      <c r="R486" s="171"/>
      <c r="S486" s="161"/>
      <c r="T486" s="55"/>
      <c r="U486" s="55"/>
      <c r="V486" s="55"/>
      <c r="W486" s="155"/>
      <c r="X486" s="171"/>
      <c r="Y486" s="165"/>
      <c r="Z486" s="10"/>
      <c r="AA486" s="55"/>
      <c r="AB486" s="55"/>
      <c r="AC486" s="55"/>
      <c r="AD486" s="55"/>
      <c r="AE486" s="55"/>
      <c r="AF486" s="167"/>
      <c r="AG486" s="55"/>
      <c r="AH486" s="55"/>
      <c r="AI486" s="165"/>
      <c r="AJ486" s="55"/>
      <c r="AK486" s="55"/>
      <c r="AL486" s="55"/>
      <c r="AM486" s="55"/>
      <c r="AN486" s="55"/>
      <c r="AO486" s="55"/>
      <c r="AP486" s="55"/>
      <c r="AQ486" s="55"/>
      <c r="AR486" s="165"/>
      <c r="AS486" s="55"/>
      <c r="AT486" s="55"/>
      <c r="AU486" s="55"/>
      <c r="AV486" s="55"/>
      <c r="AW486" s="55"/>
      <c r="AX486" s="55"/>
      <c r="AY486" s="55"/>
      <c r="AZ486" s="55"/>
      <c r="BA486" s="165"/>
      <c r="BB486" s="55"/>
      <c r="BC486" s="55"/>
      <c r="BD486" s="55"/>
      <c r="BE486" s="165"/>
      <c r="BF486" s="55"/>
      <c r="BG486" s="10"/>
      <c r="BH486" s="55"/>
      <c r="BI486" s="55"/>
      <c r="BJ486" s="55"/>
      <c r="BK486" s="55"/>
      <c r="BS486" s="141"/>
      <c r="CM486" s="141"/>
      <c r="DC486" s="141"/>
    </row>
    <row r="487" spans="1:107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55"/>
      <c r="R487" s="171"/>
      <c r="S487" s="161"/>
      <c r="T487" s="55"/>
      <c r="U487" s="55"/>
      <c r="V487" s="55"/>
      <c r="W487" s="155"/>
      <c r="X487" s="171"/>
      <c r="Y487" s="165"/>
      <c r="Z487" s="10"/>
      <c r="AA487" s="55"/>
      <c r="AB487" s="55"/>
      <c r="AC487" s="55"/>
      <c r="AD487" s="55"/>
      <c r="AE487" s="55"/>
      <c r="AF487" s="167"/>
      <c r="AG487" s="55"/>
      <c r="AH487" s="55"/>
      <c r="AI487" s="165"/>
      <c r="AJ487" s="55"/>
      <c r="AK487" s="55"/>
      <c r="AL487" s="55"/>
      <c r="AM487" s="55"/>
      <c r="AN487" s="55"/>
      <c r="AO487" s="55"/>
      <c r="AP487" s="55"/>
      <c r="AQ487" s="55"/>
      <c r="AR487" s="165"/>
      <c r="AS487" s="55"/>
      <c r="AT487" s="55"/>
      <c r="AU487" s="55"/>
      <c r="AV487" s="55"/>
      <c r="AW487" s="55"/>
      <c r="AX487" s="55"/>
      <c r="AY487" s="55"/>
      <c r="AZ487" s="55"/>
      <c r="BA487" s="165"/>
      <c r="BB487" s="55"/>
      <c r="BC487" s="55"/>
      <c r="BD487" s="55"/>
      <c r="BE487" s="165"/>
      <c r="BF487" s="55"/>
      <c r="BG487" s="10"/>
      <c r="BH487" s="55"/>
      <c r="BI487" s="55"/>
      <c r="BJ487" s="55"/>
      <c r="BK487" s="55"/>
      <c r="BS487" s="141"/>
      <c r="CM487" s="141"/>
      <c r="DC487" s="141"/>
    </row>
    <row r="488" spans="1:107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55"/>
      <c r="R488" s="171"/>
      <c r="S488" s="161"/>
      <c r="T488" s="55"/>
      <c r="U488" s="55"/>
      <c r="V488" s="55"/>
      <c r="W488" s="155"/>
      <c r="X488" s="171"/>
      <c r="Y488" s="165"/>
      <c r="Z488" s="10"/>
      <c r="AA488" s="55"/>
      <c r="AB488" s="55"/>
      <c r="AC488" s="55"/>
      <c r="AD488" s="55"/>
      <c r="AE488" s="55"/>
      <c r="AF488" s="167"/>
      <c r="AG488" s="55"/>
      <c r="AH488" s="55"/>
      <c r="AI488" s="165"/>
      <c r="AJ488" s="55"/>
      <c r="AK488" s="55"/>
      <c r="AL488" s="55"/>
      <c r="AM488" s="55"/>
      <c r="AN488" s="55"/>
      <c r="AO488" s="55"/>
      <c r="AP488" s="55"/>
      <c r="AQ488" s="55"/>
      <c r="AR488" s="165"/>
      <c r="AS488" s="55"/>
      <c r="AT488" s="55"/>
      <c r="AU488" s="55"/>
      <c r="AV488" s="55"/>
      <c r="AW488" s="55"/>
      <c r="AX488" s="55"/>
      <c r="AY488" s="55"/>
      <c r="AZ488" s="55"/>
      <c r="BA488" s="165"/>
      <c r="BB488" s="55"/>
      <c r="BC488" s="55"/>
      <c r="BD488" s="55"/>
      <c r="BE488" s="165"/>
      <c r="BF488" s="55"/>
      <c r="BG488" s="10"/>
      <c r="BH488" s="55"/>
      <c r="BI488" s="55"/>
      <c r="BJ488" s="55"/>
      <c r="BK488" s="55"/>
      <c r="BS488" s="141"/>
      <c r="CM488" s="141"/>
      <c r="DC488" s="141"/>
    </row>
    <row r="489" spans="1:107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55"/>
      <c r="R489" s="171"/>
      <c r="S489" s="161"/>
      <c r="T489" s="55"/>
      <c r="U489" s="55"/>
      <c r="V489" s="55"/>
      <c r="W489" s="155"/>
      <c r="X489" s="171"/>
      <c r="Y489" s="165"/>
      <c r="Z489" s="10"/>
      <c r="AA489" s="55"/>
      <c r="AB489" s="55"/>
      <c r="AC489" s="55"/>
      <c r="AD489" s="55"/>
      <c r="AE489" s="55"/>
      <c r="AF489" s="167"/>
      <c r="AG489" s="55"/>
      <c r="AH489" s="55"/>
      <c r="AI489" s="165"/>
      <c r="AJ489" s="55"/>
      <c r="AK489" s="55"/>
      <c r="AL489" s="55"/>
      <c r="AM489" s="55"/>
      <c r="AN489" s="55"/>
      <c r="AO489" s="55"/>
      <c r="AP489" s="55"/>
      <c r="AQ489" s="55"/>
      <c r="AR489" s="165"/>
      <c r="AS489" s="55"/>
      <c r="AT489" s="55"/>
      <c r="AU489" s="55"/>
      <c r="AV489" s="55"/>
      <c r="AW489" s="55"/>
      <c r="AX489" s="55"/>
      <c r="AY489" s="55"/>
      <c r="AZ489" s="55"/>
      <c r="BA489" s="165"/>
      <c r="BB489" s="55"/>
      <c r="BC489" s="55"/>
      <c r="BD489" s="55"/>
      <c r="BE489" s="165"/>
      <c r="BF489" s="55"/>
      <c r="BG489" s="10"/>
      <c r="BH489" s="55"/>
      <c r="BI489" s="55"/>
      <c r="BJ489" s="55"/>
      <c r="BK489" s="55"/>
      <c r="BS489" s="141"/>
      <c r="CM489" s="141"/>
      <c r="DC489" s="141"/>
    </row>
    <row r="490" spans="1:107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55"/>
      <c r="R490" s="171"/>
      <c r="S490" s="161"/>
      <c r="T490" s="55"/>
      <c r="U490" s="55"/>
      <c r="V490" s="55"/>
      <c r="W490" s="155"/>
      <c r="X490" s="171"/>
      <c r="Y490" s="165"/>
      <c r="Z490" s="10"/>
      <c r="AA490" s="55"/>
      <c r="AB490" s="55"/>
      <c r="AC490" s="55"/>
      <c r="AD490" s="55"/>
      <c r="AE490" s="55"/>
      <c r="AF490" s="167"/>
      <c r="AG490" s="55"/>
      <c r="AH490" s="55"/>
      <c r="AI490" s="165"/>
      <c r="AJ490" s="55"/>
      <c r="AK490" s="55"/>
      <c r="AL490" s="55"/>
      <c r="AM490" s="55"/>
      <c r="AN490" s="55"/>
      <c r="AO490" s="55"/>
      <c r="AP490" s="55"/>
      <c r="AQ490" s="55"/>
      <c r="AR490" s="165"/>
      <c r="AS490" s="55"/>
      <c r="AT490" s="55"/>
      <c r="AU490" s="55"/>
      <c r="AV490" s="55"/>
      <c r="AW490" s="55"/>
      <c r="AX490" s="55"/>
      <c r="AY490" s="55"/>
      <c r="AZ490" s="55"/>
      <c r="BA490" s="165"/>
      <c r="BB490" s="55"/>
      <c r="BC490" s="55"/>
      <c r="BD490" s="55"/>
      <c r="BE490" s="165"/>
      <c r="BF490" s="55"/>
      <c r="BG490" s="10"/>
      <c r="BH490" s="55"/>
      <c r="BI490" s="55"/>
      <c r="BJ490" s="55"/>
      <c r="BK490" s="55"/>
      <c r="BS490" s="141"/>
      <c r="CM490" s="141"/>
      <c r="DC490" s="141"/>
    </row>
    <row r="491" spans="1:107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55"/>
      <c r="R491" s="171"/>
      <c r="S491" s="161"/>
      <c r="T491" s="55"/>
      <c r="U491" s="55"/>
      <c r="V491" s="55"/>
      <c r="W491" s="155"/>
      <c r="X491" s="171"/>
      <c r="Y491" s="165"/>
      <c r="Z491" s="10"/>
      <c r="AA491" s="55"/>
      <c r="AB491" s="55"/>
      <c r="AC491" s="55"/>
      <c r="AD491" s="55"/>
      <c r="AE491" s="55"/>
      <c r="AF491" s="167"/>
      <c r="AG491" s="55"/>
      <c r="AH491" s="55"/>
      <c r="AI491" s="165"/>
      <c r="AJ491" s="55"/>
      <c r="AK491" s="55"/>
      <c r="AL491" s="55"/>
      <c r="AM491" s="55"/>
      <c r="AN491" s="55"/>
      <c r="AO491" s="55"/>
      <c r="AP491" s="55"/>
      <c r="AQ491" s="55"/>
      <c r="AR491" s="165"/>
      <c r="AS491" s="55"/>
      <c r="AT491" s="55"/>
      <c r="AU491" s="55"/>
      <c r="AV491" s="55"/>
      <c r="AW491" s="55"/>
      <c r="AX491" s="55"/>
      <c r="AY491" s="55"/>
      <c r="AZ491" s="55"/>
      <c r="BA491" s="165"/>
      <c r="BB491" s="55"/>
      <c r="BC491" s="55"/>
      <c r="BD491" s="55"/>
      <c r="BE491" s="165"/>
      <c r="BF491" s="55"/>
      <c r="BG491" s="10"/>
      <c r="BH491" s="55"/>
      <c r="BI491" s="55"/>
      <c r="BJ491" s="55"/>
      <c r="BK491" s="55"/>
      <c r="BS491" s="141"/>
      <c r="CM491" s="141"/>
      <c r="DC491" s="141"/>
    </row>
    <row r="492" spans="1:107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55"/>
      <c r="R492" s="171"/>
      <c r="S492" s="161"/>
      <c r="T492" s="55"/>
      <c r="U492" s="55"/>
      <c r="V492" s="55"/>
      <c r="W492" s="155"/>
      <c r="X492" s="171"/>
      <c r="Y492" s="165"/>
      <c r="Z492" s="10"/>
      <c r="AA492" s="55"/>
      <c r="AB492" s="55"/>
      <c r="AC492" s="55"/>
      <c r="AD492" s="55"/>
      <c r="AE492" s="55"/>
      <c r="AF492" s="167"/>
      <c r="AG492" s="55"/>
      <c r="AH492" s="55"/>
      <c r="AI492" s="165"/>
      <c r="AJ492" s="55"/>
      <c r="AK492" s="55"/>
      <c r="AL492" s="55"/>
      <c r="AM492" s="55"/>
      <c r="AN492" s="55"/>
      <c r="AO492" s="55"/>
      <c r="AP492" s="55"/>
      <c r="AQ492" s="55"/>
      <c r="AR492" s="165"/>
      <c r="AS492" s="55"/>
      <c r="AT492" s="55"/>
      <c r="AU492" s="55"/>
      <c r="AV492" s="55"/>
      <c r="AW492" s="55"/>
      <c r="AX492" s="55"/>
      <c r="AY492" s="55"/>
      <c r="AZ492" s="55"/>
      <c r="BA492" s="165"/>
      <c r="BB492" s="55"/>
      <c r="BC492" s="55"/>
      <c r="BD492" s="55"/>
      <c r="BE492" s="165"/>
      <c r="BF492" s="55"/>
      <c r="BG492" s="10"/>
      <c r="BH492" s="55"/>
      <c r="BI492" s="55"/>
      <c r="BJ492" s="55"/>
      <c r="BK492" s="55"/>
      <c r="BS492" s="141"/>
      <c r="CM492" s="141"/>
      <c r="DC492" s="141"/>
    </row>
    <row r="493" spans="1:107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55"/>
      <c r="R493" s="171"/>
      <c r="S493" s="161"/>
      <c r="T493" s="55"/>
      <c r="U493" s="55"/>
      <c r="V493" s="55"/>
      <c r="W493" s="155"/>
      <c r="X493" s="171"/>
      <c r="Y493" s="165"/>
      <c r="Z493" s="10"/>
      <c r="AA493" s="55"/>
      <c r="AB493" s="55"/>
      <c r="AC493" s="55"/>
      <c r="AD493" s="55"/>
      <c r="AE493" s="55"/>
      <c r="AF493" s="167"/>
      <c r="AG493" s="55"/>
      <c r="AH493" s="55"/>
      <c r="AI493" s="165"/>
      <c r="AJ493" s="55"/>
      <c r="AK493" s="55"/>
      <c r="AL493" s="55"/>
      <c r="AM493" s="55"/>
      <c r="AN493" s="55"/>
      <c r="AO493" s="55"/>
      <c r="AP493" s="55"/>
      <c r="AQ493" s="55"/>
      <c r="AR493" s="165"/>
      <c r="AS493" s="55"/>
      <c r="AT493" s="55"/>
      <c r="AU493" s="55"/>
      <c r="AV493" s="55"/>
      <c r="AW493" s="55"/>
      <c r="AX493" s="55"/>
      <c r="AY493" s="55"/>
      <c r="AZ493" s="55"/>
      <c r="BA493" s="165"/>
      <c r="BB493" s="55"/>
      <c r="BC493" s="55"/>
      <c r="BD493" s="55"/>
      <c r="BE493" s="165"/>
      <c r="BF493" s="55"/>
      <c r="BG493" s="10"/>
      <c r="BH493" s="55"/>
      <c r="BI493" s="55"/>
      <c r="BJ493" s="55"/>
      <c r="BK493" s="55"/>
      <c r="BS493" s="141"/>
      <c r="CM493" s="141"/>
      <c r="DC493" s="141"/>
    </row>
    <row r="494" spans="1:107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55"/>
      <c r="R494" s="171"/>
      <c r="S494" s="161"/>
      <c r="T494" s="55"/>
      <c r="U494" s="55"/>
      <c r="V494" s="55"/>
      <c r="W494" s="155"/>
      <c r="X494" s="171"/>
      <c r="Y494" s="165"/>
      <c r="Z494" s="10"/>
      <c r="AA494" s="55"/>
      <c r="AB494" s="55"/>
      <c r="AC494" s="55"/>
      <c r="AD494" s="55"/>
      <c r="AE494" s="55"/>
      <c r="AF494" s="167"/>
      <c r="AG494" s="55"/>
      <c r="AH494" s="55"/>
      <c r="AI494" s="165"/>
      <c r="AJ494" s="55"/>
      <c r="AK494" s="55"/>
      <c r="AL494" s="55"/>
      <c r="AM494" s="55"/>
      <c r="AN494" s="55"/>
      <c r="AO494" s="55"/>
      <c r="AP494" s="55"/>
      <c r="AQ494" s="55"/>
      <c r="AR494" s="165"/>
      <c r="AS494" s="55"/>
      <c r="AT494" s="55"/>
      <c r="AU494" s="55"/>
      <c r="AV494" s="55"/>
      <c r="AW494" s="55"/>
      <c r="AX494" s="55"/>
      <c r="AY494" s="55"/>
      <c r="AZ494" s="55"/>
      <c r="BA494" s="165"/>
      <c r="BB494" s="55"/>
      <c r="BC494" s="55"/>
      <c r="BD494" s="55"/>
      <c r="BE494" s="165"/>
      <c r="BF494" s="55"/>
      <c r="BG494" s="10"/>
      <c r="BH494" s="55"/>
      <c r="BI494" s="55"/>
      <c r="BJ494" s="55"/>
      <c r="BK494" s="55"/>
      <c r="BS494" s="141"/>
      <c r="CM494" s="141"/>
      <c r="DC494" s="141"/>
    </row>
    <row r="495" spans="1:107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55"/>
      <c r="R495" s="171"/>
      <c r="S495" s="161"/>
      <c r="T495" s="55"/>
      <c r="U495" s="55"/>
      <c r="V495" s="55"/>
      <c r="W495" s="155"/>
      <c r="X495" s="171"/>
      <c r="Y495" s="165"/>
      <c r="Z495" s="10"/>
      <c r="AA495" s="55"/>
      <c r="AB495" s="55"/>
      <c r="AC495" s="55"/>
      <c r="AD495" s="55"/>
      <c r="AE495" s="55"/>
      <c r="AF495" s="167"/>
      <c r="AG495" s="55"/>
      <c r="AH495" s="55"/>
      <c r="AI495" s="165"/>
      <c r="AJ495" s="55"/>
      <c r="AK495" s="55"/>
      <c r="AL495" s="55"/>
      <c r="AM495" s="55"/>
      <c r="AN495" s="55"/>
      <c r="AO495" s="55"/>
      <c r="AP495" s="55"/>
      <c r="AQ495" s="55"/>
      <c r="AR495" s="165"/>
      <c r="AS495" s="55"/>
      <c r="AT495" s="55"/>
      <c r="AU495" s="55"/>
      <c r="AV495" s="55"/>
      <c r="AW495" s="55"/>
      <c r="AX495" s="55"/>
      <c r="AY495" s="55"/>
      <c r="AZ495" s="55"/>
      <c r="BA495" s="165"/>
      <c r="BB495" s="55"/>
      <c r="BC495" s="55"/>
      <c r="BD495" s="55"/>
      <c r="BE495" s="165"/>
      <c r="BF495" s="55"/>
      <c r="BG495" s="10"/>
      <c r="BH495" s="55"/>
      <c r="BI495" s="55"/>
      <c r="BJ495" s="55"/>
      <c r="BK495" s="55"/>
      <c r="BS495" s="141"/>
      <c r="CM495" s="141"/>
      <c r="DC495" s="141"/>
    </row>
    <row r="496" spans="1:107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55"/>
      <c r="R496" s="171"/>
      <c r="S496" s="161"/>
      <c r="T496" s="55"/>
      <c r="U496" s="55"/>
      <c r="V496" s="55"/>
      <c r="W496" s="155"/>
      <c r="X496" s="171"/>
      <c r="Y496" s="165"/>
      <c r="Z496" s="10"/>
      <c r="AA496" s="55"/>
      <c r="AB496" s="55"/>
      <c r="AC496" s="55"/>
      <c r="AD496" s="55"/>
      <c r="AE496" s="55"/>
      <c r="AF496" s="167"/>
      <c r="AG496" s="55"/>
      <c r="AH496" s="55"/>
      <c r="AI496" s="165"/>
      <c r="AJ496" s="55"/>
      <c r="AK496" s="55"/>
      <c r="AL496" s="55"/>
      <c r="AM496" s="55"/>
      <c r="AN496" s="55"/>
      <c r="AO496" s="55"/>
      <c r="AP496" s="55"/>
      <c r="AQ496" s="55"/>
      <c r="AR496" s="165"/>
      <c r="AS496" s="55"/>
      <c r="AT496" s="55"/>
      <c r="AU496" s="55"/>
      <c r="AV496" s="55"/>
      <c r="AW496" s="55"/>
      <c r="AX496" s="55"/>
      <c r="AY496" s="55"/>
      <c r="AZ496" s="55"/>
      <c r="BA496" s="165"/>
      <c r="BB496" s="55"/>
      <c r="BC496" s="55"/>
      <c r="BD496" s="55"/>
      <c r="BE496" s="165"/>
      <c r="BF496" s="55"/>
      <c r="BG496" s="10"/>
      <c r="BH496" s="55"/>
      <c r="BI496" s="55"/>
      <c r="BJ496" s="55"/>
      <c r="BK496" s="55"/>
      <c r="BS496" s="141"/>
      <c r="CM496" s="141"/>
      <c r="DC496" s="141"/>
    </row>
    <row r="497" spans="1:107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55"/>
      <c r="R497" s="171"/>
      <c r="S497" s="161"/>
      <c r="T497" s="55"/>
      <c r="U497" s="55"/>
      <c r="V497" s="55"/>
      <c r="W497" s="155"/>
      <c r="X497" s="171"/>
      <c r="Y497" s="165"/>
      <c r="Z497" s="10"/>
      <c r="AA497" s="55"/>
      <c r="AB497" s="55"/>
      <c r="AC497" s="55"/>
      <c r="AD497" s="55"/>
      <c r="AE497" s="55"/>
      <c r="AF497" s="167"/>
      <c r="AG497" s="55"/>
      <c r="AH497" s="55"/>
      <c r="AI497" s="165"/>
      <c r="AJ497" s="55"/>
      <c r="AK497" s="55"/>
      <c r="AL497" s="55"/>
      <c r="AM497" s="55"/>
      <c r="AN497" s="55"/>
      <c r="AO497" s="55"/>
      <c r="AP497" s="55"/>
      <c r="AQ497" s="55"/>
      <c r="AR497" s="165"/>
      <c r="AS497" s="55"/>
      <c r="AT497" s="55"/>
      <c r="AU497" s="55"/>
      <c r="AV497" s="55"/>
      <c r="AW497" s="55"/>
      <c r="AX497" s="55"/>
      <c r="AY497" s="55"/>
      <c r="AZ497" s="55"/>
      <c r="BA497" s="165"/>
      <c r="BB497" s="55"/>
      <c r="BC497" s="55"/>
      <c r="BD497" s="55"/>
      <c r="BE497" s="165"/>
      <c r="BF497" s="55"/>
      <c r="BG497" s="10"/>
      <c r="BH497" s="55"/>
      <c r="BI497" s="55"/>
      <c r="BJ497" s="55"/>
      <c r="BK497" s="55"/>
      <c r="BS497" s="141"/>
      <c r="CM497" s="141"/>
      <c r="DC497" s="141"/>
    </row>
    <row r="498" spans="1:107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55"/>
      <c r="R498" s="171"/>
      <c r="S498" s="161"/>
      <c r="T498" s="55"/>
      <c r="U498" s="55"/>
      <c r="V498" s="55"/>
      <c r="W498" s="155"/>
      <c r="X498" s="171"/>
      <c r="Y498" s="165"/>
      <c r="Z498" s="10"/>
      <c r="AA498" s="55"/>
      <c r="AB498" s="55"/>
      <c r="AC498" s="55"/>
      <c r="AD498" s="55"/>
      <c r="AE498" s="55"/>
      <c r="AF498" s="167"/>
      <c r="AG498" s="55"/>
      <c r="AH498" s="55"/>
      <c r="AI498" s="165"/>
      <c r="AJ498" s="55"/>
      <c r="AK498" s="55"/>
      <c r="AL498" s="55"/>
      <c r="AM498" s="55"/>
      <c r="AN498" s="55"/>
      <c r="AO498" s="55"/>
      <c r="AP498" s="55"/>
      <c r="AQ498" s="55"/>
      <c r="AR498" s="165"/>
      <c r="AS498" s="55"/>
      <c r="AT498" s="55"/>
      <c r="AU498" s="55"/>
      <c r="AV498" s="55"/>
      <c r="AW498" s="55"/>
      <c r="AX498" s="55"/>
      <c r="AY498" s="55"/>
      <c r="AZ498" s="55"/>
      <c r="BA498" s="165"/>
      <c r="BB498" s="55"/>
      <c r="BC498" s="55"/>
      <c r="BD498" s="55"/>
      <c r="BE498" s="165"/>
      <c r="BF498" s="55"/>
      <c r="BG498" s="10"/>
      <c r="BH498" s="55"/>
      <c r="BI498" s="55"/>
      <c r="BJ498" s="55"/>
      <c r="BK498" s="55"/>
      <c r="BS498" s="141"/>
      <c r="CM498" s="141"/>
      <c r="DC498" s="141"/>
    </row>
    <row r="499" spans="1:107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55"/>
      <c r="R499" s="171"/>
      <c r="S499" s="161"/>
      <c r="T499" s="55"/>
      <c r="U499" s="55"/>
      <c r="V499" s="55"/>
      <c r="W499" s="155"/>
      <c r="X499" s="171"/>
      <c r="Y499" s="165"/>
      <c r="Z499" s="10"/>
      <c r="AA499" s="55"/>
      <c r="AB499" s="55"/>
      <c r="AC499" s="55"/>
      <c r="AD499" s="55"/>
      <c r="AE499" s="55"/>
      <c r="AF499" s="167"/>
      <c r="AG499" s="55"/>
      <c r="AH499" s="55"/>
      <c r="AI499" s="165"/>
      <c r="AJ499" s="55"/>
      <c r="AK499" s="55"/>
      <c r="AL499" s="55"/>
      <c r="AM499" s="55"/>
      <c r="AN499" s="55"/>
      <c r="AO499" s="55"/>
      <c r="AP499" s="55"/>
      <c r="AQ499" s="55"/>
      <c r="AR499" s="165"/>
      <c r="AS499" s="55"/>
      <c r="AT499" s="55"/>
      <c r="AU499" s="55"/>
      <c r="AV499" s="55"/>
      <c r="AW499" s="55"/>
      <c r="AX499" s="55"/>
      <c r="AY499" s="55"/>
      <c r="AZ499" s="55"/>
      <c r="BA499" s="165"/>
      <c r="BB499" s="55"/>
      <c r="BC499" s="55"/>
      <c r="BD499" s="55"/>
      <c r="BE499" s="165"/>
      <c r="BF499" s="55"/>
      <c r="BG499" s="10"/>
      <c r="BH499" s="55"/>
      <c r="BI499" s="55"/>
      <c r="BJ499" s="55"/>
      <c r="BK499" s="55"/>
      <c r="BS499" s="141"/>
      <c r="CM499" s="141"/>
      <c r="DC499" s="141"/>
    </row>
    <row r="500" spans="1:107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55"/>
      <c r="R500" s="171"/>
      <c r="S500" s="161"/>
      <c r="T500" s="55"/>
      <c r="U500" s="55"/>
      <c r="V500" s="55"/>
      <c r="W500" s="155"/>
      <c r="X500" s="171"/>
      <c r="Y500" s="165"/>
      <c r="Z500" s="10"/>
      <c r="AA500" s="55"/>
      <c r="AB500" s="55"/>
      <c r="AC500" s="55"/>
      <c r="AD500" s="55"/>
      <c r="AE500" s="55"/>
      <c r="AF500" s="167"/>
      <c r="AG500" s="55"/>
      <c r="AH500" s="55"/>
      <c r="AI500" s="165"/>
      <c r="AJ500" s="55"/>
      <c r="AK500" s="55"/>
      <c r="AL500" s="55"/>
      <c r="AM500" s="55"/>
      <c r="AN500" s="55"/>
      <c r="AO500" s="55"/>
      <c r="AP500" s="55"/>
      <c r="AQ500" s="55"/>
      <c r="AR500" s="165"/>
      <c r="AS500" s="55"/>
      <c r="AT500" s="55"/>
      <c r="AU500" s="55"/>
      <c r="AV500" s="55"/>
      <c r="AW500" s="55"/>
      <c r="AX500" s="55"/>
      <c r="AY500" s="55"/>
      <c r="AZ500" s="55"/>
      <c r="BA500" s="165"/>
      <c r="BB500" s="55"/>
      <c r="BC500" s="55"/>
      <c r="BD500" s="55"/>
      <c r="BE500" s="165"/>
      <c r="BF500" s="55"/>
      <c r="BG500" s="10"/>
      <c r="BH500" s="55"/>
      <c r="BI500" s="55"/>
      <c r="BJ500" s="55"/>
      <c r="BK500" s="55"/>
      <c r="BS500" s="141"/>
      <c r="CM500" s="141"/>
      <c r="DC500" s="141"/>
    </row>
    <row r="501" spans="1:107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55"/>
      <c r="R501" s="171"/>
      <c r="S501" s="161"/>
      <c r="T501" s="55"/>
      <c r="U501" s="55"/>
      <c r="V501" s="55"/>
      <c r="W501" s="155"/>
      <c r="X501" s="171"/>
      <c r="Y501" s="165"/>
      <c r="Z501" s="10"/>
      <c r="AA501" s="55"/>
      <c r="AB501" s="55"/>
      <c r="AC501" s="55"/>
      <c r="AD501" s="55"/>
      <c r="AE501" s="55"/>
      <c r="AF501" s="167"/>
      <c r="AG501" s="55"/>
      <c r="AH501" s="55"/>
      <c r="AI501" s="165"/>
      <c r="AJ501" s="55"/>
      <c r="AK501" s="55"/>
      <c r="AL501" s="55"/>
      <c r="AM501" s="55"/>
      <c r="AN501" s="55"/>
      <c r="AO501" s="55"/>
      <c r="AP501" s="55"/>
      <c r="AQ501" s="55"/>
      <c r="AR501" s="165"/>
      <c r="AS501" s="55"/>
      <c r="AT501" s="55"/>
      <c r="AU501" s="55"/>
      <c r="AV501" s="55"/>
      <c r="AW501" s="55"/>
      <c r="AX501" s="55"/>
      <c r="AY501" s="55"/>
      <c r="AZ501" s="55"/>
      <c r="BA501" s="165"/>
      <c r="BB501" s="55"/>
      <c r="BC501" s="55"/>
      <c r="BD501" s="55"/>
      <c r="BE501" s="165"/>
      <c r="BF501" s="55"/>
      <c r="BG501" s="10"/>
      <c r="BH501" s="55"/>
      <c r="BI501" s="55"/>
      <c r="BJ501" s="55"/>
      <c r="BK501" s="55"/>
      <c r="BS501" s="141"/>
      <c r="CM501" s="141"/>
      <c r="DC501" s="141"/>
    </row>
    <row r="502" spans="1:107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55"/>
      <c r="R502" s="171"/>
      <c r="S502" s="161"/>
      <c r="T502" s="55"/>
      <c r="U502" s="55"/>
      <c r="V502" s="55"/>
      <c r="W502" s="155"/>
      <c r="X502" s="171"/>
      <c r="Y502" s="165"/>
      <c r="Z502" s="10"/>
      <c r="AA502" s="55"/>
      <c r="AB502" s="55"/>
      <c r="AC502" s="55"/>
      <c r="AD502" s="55"/>
      <c r="AE502" s="55"/>
      <c r="AF502" s="167"/>
      <c r="AG502" s="55"/>
      <c r="AH502" s="55"/>
      <c r="AI502" s="165"/>
      <c r="AJ502" s="55"/>
      <c r="AK502" s="55"/>
      <c r="AL502" s="55"/>
      <c r="AM502" s="55"/>
      <c r="AN502" s="55"/>
      <c r="AO502" s="55"/>
      <c r="AP502" s="55"/>
      <c r="AQ502" s="55"/>
      <c r="AR502" s="165"/>
      <c r="AS502" s="55"/>
      <c r="AT502" s="55"/>
      <c r="AU502" s="55"/>
      <c r="AV502" s="55"/>
      <c r="AW502" s="55"/>
      <c r="AX502" s="55"/>
      <c r="AY502" s="55"/>
      <c r="AZ502" s="55"/>
      <c r="BA502" s="165"/>
      <c r="BB502" s="55"/>
      <c r="BC502" s="55"/>
      <c r="BD502" s="55"/>
      <c r="BE502" s="165"/>
      <c r="BF502" s="55"/>
      <c r="BG502" s="10"/>
      <c r="BH502" s="55"/>
      <c r="BI502" s="55"/>
      <c r="BJ502" s="55"/>
      <c r="BK502" s="55"/>
      <c r="BS502" s="141"/>
      <c r="CM502" s="141"/>
      <c r="DC502" s="141"/>
    </row>
    <row r="503" spans="1:107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55"/>
      <c r="R503" s="171"/>
      <c r="S503" s="161"/>
      <c r="T503" s="55"/>
      <c r="U503" s="55"/>
      <c r="V503" s="55"/>
      <c r="W503" s="155"/>
      <c r="X503" s="171"/>
      <c r="Y503" s="165"/>
      <c r="Z503" s="10"/>
      <c r="AA503" s="55"/>
      <c r="AB503" s="55"/>
      <c r="AC503" s="55"/>
      <c r="AD503" s="55"/>
      <c r="AE503" s="55"/>
      <c r="AF503" s="167"/>
      <c r="AG503" s="55"/>
      <c r="AH503" s="55"/>
      <c r="AI503" s="165"/>
      <c r="AJ503" s="55"/>
      <c r="AK503" s="55"/>
      <c r="AL503" s="55"/>
      <c r="AM503" s="55"/>
      <c r="AN503" s="55"/>
      <c r="AO503" s="55"/>
      <c r="AP503" s="55"/>
      <c r="AQ503" s="55"/>
      <c r="AR503" s="165"/>
      <c r="AS503" s="55"/>
      <c r="AT503" s="55"/>
      <c r="AU503" s="55"/>
      <c r="AV503" s="55"/>
      <c r="AW503" s="55"/>
      <c r="AX503" s="55"/>
      <c r="AY503" s="55"/>
      <c r="AZ503" s="55"/>
      <c r="BA503" s="165"/>
      <c r="BB503" s="55"/>
      <c r="BC503" s="55"/>
      <c r="BD503" s="55"/>
      <c r="BE503" s="165"/>
      <c r="BF503" s="55"/>
      <c r="BG503" s="10"/>
      <c r="BH503" s="55"/>
      <c r="BI503" s="55"/>
      <c r="BJ503" s="55"/>
      <c r="BK503" s="55"/>
      <c r="BS503" s="141"/>
      <c r="CM503" s="141"/>
      <c r="DC503" s="141"/>
    </row>
    <row r="504" spans="1:107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55"/>
      <c r="R504" s="171"/>
      <c r="S504" s="161"/>
      <c r="T504" s="55"/>
      <c r="U504" s="55"/>
      <c r="V504" s="55"/>
      <c r="W504" s="155"/>
      <c r="X504" s="171"/>
      <c r="Y504" s="165"/>
      <c r="Z504" s="10"/>
      <c r="AA504" s="55"/>
      <c r="AB504" s="55"/>
      <c r="AC504" s="55"/>
      <c r="AD504" s="55"/>
      <c r="AE504" s="55"/>
      <c r="AF504" s="167"/>
      <c r="AG504" s="55"/>
      <c r="AH504" s="55"/>
      <c r="AI504" s="165"/>
      <c r="AJ504" s="55"/>
      <c r="AK504" s="55"/>
      <c r="AL504" s="55"/>
      <c r="AM504" s="55"/>
      <c r="AN504" s="55"/>
      <c r="AO504" s="55"/>
      <c r="AP504" s="55"/>
      <c r="AQ504" s="55"/>
      <c r="AR504" s="165"/>
      <c r="AS504" s="55"/>
      <c r="AT504" s="55"/>
      <c r="AU504" s="55"/>
      <c r="AV504" s="55"/>
      <c r="AW504" s="55"/>
      <c r="AX504" s="55"/>
      <c r="AY504" s="55"/>
      <c r="AZ504" s="55"/>
      <c r="BA504" s="165"/>
      <c r="BB504" s="55"/>
      <c r="BC504" s="55"/>
      <c r="BD504" s="55"/>
      <c r="BE504" s="165"/>
      <c r="BF504" s="55"/>
      <c r="BG504" s="10"/>
      <c r="BH504" s="55"/>
      <c r="BI504" s="55"/>
      <c r="BJ504" s="55"/>
      <c r="BK504" s="55"/>
      <c r="BS504" s="141"/>
      <c r="CM504" s="141"/>
      <c r="DC504" s="141"/>
    </row>
    <row r="505" spans="1:107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55"/>
      <c r="R505" s="171"/>
      <c r="S505" s="161"/>
      <c r="T505" s="55"/>
      <c r="U505" s="55"/>
      <c r="V505" s="55"/>
      <c r="W505" s="155"/>
      <c r="X505" s="171"/>
      <c r="Y505" s="165"/>
      <c r="Z505" s="10"/>
      <c r="AA505" s="55"/>
      <c r="AB505" s="55"/>
      <c r="AC505" s="55"/>
      <c r="AD505" s="55"/>
      <c r="AE505" s="55"/>
      <c r="AF505" s="167"/>
      <c r="AG505" s="55"/>
      <c r="AH505" s="55"/>
      <c r="AI505" s="165"/>
      <c r="AJ505" s="55"/>
      <c r="AK505" s="55"/>
      <c r="AL505" s="55"/>
      <c r="AM505" s="55"/>
      <c r="AN505" s="55"/>
      <c r="AO505" s="55"/>
      <c r="AP505" s="55"/>
      <c r="AQ505" s="55"/>
      <c r="AR505" s="165"/>
      <c r="AS505" s="55"/>
      <c r="AT505" s="55"/>
      <c r="AU505" s="55"/>
      <c r="AV505" s="55"/>
      <c r="AW505" s="55"/>
      <c r="AX505" s="55"/>
      <c r="AY505" s="55"/>
      <c r="AZ505" s="55"/>
      <c r="BA505" s="165"/>
      <c r="BB505" s="55"/>
      <c r="BC505" s="55"/>
      <c r="BD505" s="55"/>
      <c r="BE505" s="165"/>
      <c r="BF505" s="55"/>
      <c r="BG505" s="10"/>
      <c r="BH505" s="55"/>
      <c r="BI505" s="55"/>
      <c r="BJ505" s="55"/>
      <c r="BK505" s="55"/>
      <c r="BS505" s="141"/>
      <c r="CM505" s="141"/>
      <c r="DC505" s="141"/>
    </row>
    <row r="506" spans="1:107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55"/>
      <c r="R506" s="171"/>
      <c r="S506" s="161"/>
      <c r="T506" s="55"/>
      <c r="U506" s="55"/>
      <c r="V506" s="55"/>
      <c r="W506" s="155"/>
      <c r="X506" s="171"/>
      <c r="Y506" s="165"/>
      <c r="Z506" s="10"/>
      <c r="AA506" s="55"/>
      <c r="AB506" s="55"/>
      <c r="AC506" s="55"/>
      <c r="AD506" s="55"/>
      <c r="AE506" s="55"/>
      <c r="AF506" s="167"/>
      <c r="AG506" s="55"/>
      <c r="AH506" s="55"/>
      <c r="AI506" s="165"/>
      <c r="AJ506" s="55"/>
      <c r="AK506" s="55"/>
      <c r="AL506" s="55"/>
      <c r="AM506" s="55"/>
      <c r="AN506" s="55"/>
      <c r="AO506" s="55"/>
      <c r="AP506" s="55"/>
      <c r="AQ506" s="55"/>
      <c r="AR506" s="165"/>
      <c r="AS506" s="55"/>
      <c r="AT506" s="55"/>
      <c r="AU506" s="55"/>
      <c r="AV506" s="55"/>
      <c r="AW506" s="55"/>
      <c r="AX506" s="55"/>
      <c r="AY506" s="55"/>
      <c r="AZ506" s="55"/>
      <c r="BA506" s="165"/>
      <c r="BB506" s="55"/>
      <c r="BC506" s="55"/>
      <c r="BD506" s="55"/>
      <c r="BE506" s="165"/>
      <c r="BF506" s="55"/>
      <c r="BG506" s="10"/>
      <c r="BH506" s="55"/>
      <c r="BI506" s="55"/>
      <c r="BJ506" s="55"/>
      <c r="BK506" s="55"/>
      <c r="BS506" s="141"/>
      <c r="CM506" s="141"/>
      <c r="DC506" s="141"/>
    </row>
    <row r="507" spans="1:107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55"/>
      <c r="R507" s="171"/>
      <c r="S507" s="161"/>
      <c r="T507" s="55"/>
      <c r="U507" s="55"/>
      <c r="V507" s="55"/>
      <c r="W507" s="155"/>
      <c r="X507" s="171"/>
      <c r="Y507" s="165"/>
      <c r="Z507" s="10"/>
      <c r="AA507" s="55"/>
      <c r="AB507" s="55"/>
      <c r="AC507" s="55"/>
      <c r="AD507" s="55"/>
      <c r="AE507" s="55"/>
      <c r="AF507" s="167"/>
      <c r="AG507" s="55"/>
      <c r="AH507" s="55"/>
      <c r="AI507" s="165"/>
      <c r="AJ507" s="55"/>
      <c r="AK507" s="55"/>
      <c r="AL507" s="55"/>
      <c r="AM507" s="55"/>
      <c r="AN507" s="55"/>
      <c r="AO507" s="55"/>
      <c r="AP507" s="55"/>
      <c r="AQ507" s="55"/>
      <c r="AR507" s="165"/>
      <c r="AS507" s="55"/>
      <c r="AT507" s="55"/>
      <c r="AU507" s="55"/>
      <c r="AV507" s="55"/>
      <c r="AW507" s="55"/>
      <c r="AX507" s="55"/>
      <c r="AY507" s="55"/>
      <c r="AZ507" s="55"/>
      <c r="BA507" s="165"/>
      <c r="BB507" s="55"/>
      <c r="BC507" s="55"/>
      <c r="BD507" s="55"/>
      <c r="BE507" s="165"/>
      <c r="BF507" s="55"/>
      <c r="BG507" s="10"/>
      <c r="BH507" s="55"/>
      <c r="BI507" s="55"/>
      <c r="BJ507" s="55"/>
      <c r="BK507" s="55"/>
      <c r="BS507" s="141"/>
      <c r="CM507" s="141"/>
      <c r="DC507" s="141"/>
    </row>
    <row r="508" spans="1:107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55"/>
      <c r="R508" s="171"/>
      <c r="S508" s="161"/>
      <c r="T508" s="55"/>
      <c r="U508" s="55"/>
      <c r="V508" s="55"/>
      <c r="W508" s="155"/>
      <c r="X508" s="171"/>
      <c r="Y508" s="165"/>
      <c r="Z508" s="10"/>
      <c r="AA508" s="55"/>
      <c r="AB508" s="55"/>
      <c r="AC508" s="55"/>
      <c r="AD508" s="55"/>
      <c r="AE508" s="55"/>
      <c r="AF508" s="167"/>
      <c r="AG508" s="55"/>
      <c r="AH508" s="55"/>
      <c r="AI508" s="165"/>
      <c r="AJ508" s="55"/>
      <c r="AK508" s="55"/>
      <c r="AL508" s="55"/>
      <c r="AM508" s="55"/>
      <c r="AN508" s="55"/>
      <c r="AO508" s="55"/>
      <c r="AP508" s="55"/>
      <c r="AQ508" s="55"/>
      <c r="AR508" s="165"/>
      <c r="AS508" s="55"/>
      <c r="AT508" s="55"/>
      <c r="AU508" s="55"/>
      <c r="AV508" s="55"/>
      <c r="AW508" s="55"/>
      <c r="AX508" s="55"/>
      <c r="AY508" s="55"/>
      <c r="AZ508" s="55"/>
      <c r="BA508" s="165"/>
      <c r="BB508" s="55"/>
      <c r="BC508" s="55"/>
      <c r="BD508" s="55"/>
      <c r="BE508" s="165"/>
      <c r="BF508" s="55"/>
      <c r="BG508" s="10"/>
      <c r="BH508" s="55"/>
      <c r="BI508" s="55"/>
      <c r="BJ508" s="55"/>
      <c r="BK508" s="55"/>
      <c r="BS508" s="141"/>
      <c r="CM508" s="141"/>
      <c r="DC508" s="141"/>
    </row>
    <row r="509" spans="1:107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55"/>
      <c r="R509" s="171"/>
      <c r="S509" s="161"/>
      <c r="T509" s="55"/>
      <c r="U509" s="55"/>
      <c r="V509" s="55"/>
      <c r="W509" s="155"/>
      <c r="X509" s="171"/>
      <c r="Y509" s="165"/>
      <c r="Z509" s="10"/>
      <c r="AA509" s="55"/>
      <c r="AB509" s="55"/>
      <c r="AC509" s="55"/>
      <c r="AD509" s="55"/>
      <c r="AE509" s="55"/>
      <c r="AF509" s="167"/>
      <c r="AG509" s="55"/>
      <c r="AH509" s="55"/>
      <c r="AI509" s="165"/>
      <c r="AJ509" s="55"/>
      <c r="AK509" s="55"/>
      <c r="AL509" s="55"/>
      <c r="AM509" s="55"/>
      <c r="AN509" s="55"/>
      <c r="AO509" s="55"/>
      <c r="AP509" s="55"/>
      <c r="AQ509" s="55"/>
      <c r="AR509" s="165"/>
      <c r="AS509" s="55"/>
      <c r="AT509" s="55"/>
      <c r="AU509" s="55"/>
      <c r="AV509" s="55"/>
      <c r="AW509" s="55"/>
      <c r="AX509" s="55"/>
      <c r="AY509" s="55"/>
      <c r="AZ509" s="55"/>
      <c r="BA509" s="165"/>
      <c r="BB509" s="55"/>
      <c r="BC509" s="55"/>
      <c r="BD509" s="55"/>
      <c r="BE509" s="165"/>
      <c r="BF509" s="55"/>
      <c r="BG509" s="10"/>
      <c r="BH509" s="55"/>
      <c r="BI509" s="55"/>
      <c r="BJ509" s="55"/>
      <c r="BK509" s="55"/>
      <c r="BS509" s="141"/>
      <c r="CM509" s="141"/>
      <c r="DC509" s="141"/>
    </row>
    <row r="510" spans="1:107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55"/>
      <c r="R510" s="171"/>
      <c r="S510" s="161"/>
      <c r="T510" s="55"/>
      <c r="U510" s="55"/>
      <c r="V510" s="55"/>
      <c r="W510" s="155"/>
      <c r="X510" s="171"/>
      <c r="Y510" s="165"/>
      <c r="Z510" s="10"/>
      <c r="AA510" s="55"/>
      <c r="AB510" s="55"/>
      <c r="AC510" s="55"/>
      <c r="AD510" s="55"/>
      <c r="AE510" s="55"/>
      <c r="AF510" s="167"/>
      <c r="AG510" s="55"/>
      <c r="AH510" s="55"/>
      <c r="AI510" s="165"/>
      <c r="AJ510" s="55"/>
      <c r="AK510" s="55"/>
      <c r="AL510" s="55"/>
      <c r="AM510" s="55"/>
      <c r="AN510" s="55"/>
      <c r="AO510" s="55"/>
      <c r="AP510" s="55"/>
      <c r="AQ510" s="55"/>
      <c r="AR510" s="165"/>
      <c r="AS510" s="55"/>
      <c r="AT510" s="55"/>
      <c r="AU510" s="55"/>
      <c r="AV510" s="55"/>
      <c r="AW510" s="55"/>
      <c r="AX510" s="55"/>
      <c r="AY510" s="55"/>
      <c r="AZ510" s="55"/>
      <c r="BA510" s="165"/>
      <c r="BB510" s="55"/>
      <c r="BC510" s="55"/>
      <c r="BD510" s="55"/>
      <c r="BE510" s="165"/>
      <c r="BF510" s="55"/>
      <c r="BG510" s="10"/>
      <c r="BH510" s="55"/>
      <c r="BI510" s="55"/>
      <c r="BJ510" s="55"/>
      <c r="BK510" s="55"/>
      <c r="BS510" s="141"/>
      <c r="CM510" s="141"/>
      <c r="DC510" s="141"/>
    </row>
    <row r="511" spans="1:107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55"/>
      <c r="R511" s="171"/>
      <c r="S511" s="161"/>
      <c r="T511" s="55"/>
      <c r="U511" s="55"/>
      <c r="V511" s="55"/>
      <c r="W511" s="155"/>
      <c r="X511" s="171"/>
      <c r="Y511" s="165"/>
      <c r="Z511" s="10"/>
      <c r="AA511" s="55"/>
      <c r="AB511" s="55"/>
      <c r="AC511" s="55"/>
      <c r="AD511" s="55"/>
      <c r="AE511" s="55"/>
      <c r="AF511" s="167"/>
      <c r="AG511" s="55"/>
      <c r="AH511" s="55"/>
      <c r="AI511" s="165"/>
      <c r="AJ511" s="55"/>
      <c r="AK511" s="55"/>
      <c r="AL511" s="55"/>
      <c r="AM511" s="55"/>
      <c r="AN511" s="55"/>
      <c r="AO511" s="55"/>
      <c r="AP511" s="55"/>
      <c r="AQ511" s="55"/>
      <c r="AR511" s="165"/>
      <c r="AS511" s="55"/>
      <c r="AT511" s="55"/>
      <c r="AU511" s="55"/>
      <c r="AV511" s="55"/>
      <c r="AW511" s="55"/>
      <c r="AX511" s="55"/>
      <c r="AY511" s="55"/>
      <c r="AZ511" s="55"/>
      <c r="BA511" s="165"/>
      <c r="BB511" s="55"/>
      <c r="BC511" s="55"/>
      <c r="BD511" s="55"/>
      <c r="BE511" s="165"/>
      <c r="BF511" s="55"/>
      <c r="BG511" s="10"/>
      <c r="BH511" s="55"/>
      <c r="BI511" s="55"/>
      <c r="BJ511" s="55"/>
      <c r="BK511" s="55"/>
      <c r="BS511" s="141"/>
      <c r="CM511" s="141"/>
      <c r="DC511" s="141"/>
    </row>
    <row r="512" spans="1:107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55"/>
      <c r="R512" s="171"/>
      <c r="S512" s="161"/>
      <c r="T512" s="55"/>
      <c r="U512" s="55"/>
      <c r="V512" s="55"/>
      <c r="W512" s="155"/>
      <c r="X512" s="171"/>
      <c r="Y512" s="165"/>
      <c r="Z512" s="10"/>
      <c r="AA512" s="55"/>
      <c r="AB512" s="55"/>
      <c r="AC512" s="55"/>
      <c r="AD512" s="55"/>
      <c r="AE512" s="55"/>
      <c r="AF512" s="167"/>
      <c r="AG512" s="55"/>
      <c r="AH512" s="55"/>
      <c r="AI512" s="165"/>
      <c r="AJ512" s="55"/>
      <c r="AK512" s="55"/>
      <c r="AL512" s="55"/>
      <c r="AM512" s="55"/>
      <c r="AN512" s="55"/>
      <c r="AO512" s="55"/>
      <c r="AP512" s="55"/>
      <c r="AQ512" s="55"/>
      <c r="AR512" s="165"/>
      <c r="AS512" s="55"/>
      <c r="AT512" s="55"/>
      <c r="AU512" s="55"/>
      <c r="AV512" s="55"/>
      <c r="AW512" s="55"/>
      <c r="AX512" s="55"/>
      <c r="AY512" s="55"/>
      <c r="AZ512" s="55"/>
      <c r="BA512" s="165"/>
      <c r="BB512" s="55"/>
      <c r="BC512" s="55"/>
      <c r="BD512" s="55"/>
      <c r="BE512" s="165"/>
      <c r="BF512" s="55"/>
      <c r="BG512" s="10"/>
      <c r="BH512" s="55"/>
      <c r="BI512" s="55"/>
      <c r="BJ512" s="55"/>
      <c r="BK512" s="55"/>
      <c r="BS512" s="141"/>
      <c r="CM512" s="141"/>
      <c r="DC512" s="141"/>
    </row>
    <row r="513" spans="1:107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55"/>
      <c r="R513" s="171"/>
      <c r="S513" s="161"/>
      <c r="T513" s="55"/>
      <c r="U513" s="55"/>
      <c r="V513" s="55"/>
      <c r="W513" s="155"/>
      <c r="X513" s="171"/>
      <c r="Y513" s="165"/>
      <c r="Z513" s="10"/>
      <c r="AA513" s="55"/>
      <c r="AB513" s="55"/>
      <c r="AC513" s="55"/>
      <c r="AD513" s="55"/>
      <c r="AE513" s="55"/>
      <c r="AF513" s="167"/>
      <c r="AG513" s="55"/>
      <c r="AH513" s="55"/>
      <c r="AI513" s="165"/>
      <c r="AJ513" s="55"/>
      <c r="AK513" s="55"/>
      <c r="AL513" s="55"/>
      <c r="AM513" s="55"/>
      <c r="AN513" s="55"/>
      <c r="AO513" s="55"/>
      <c r="AP513" s="55"/>
      <c r="AQ513" s="55"/>
      <c r="AR513" s="165"/>
      <c r="AS513" s="55"/>
      <c r="AT513" s="55"/>
      <c r="AU513" s="55"/>
      <c r="AV513" s="55"/>
      <c r="AW513" s="55"/>
      <c r="AX513" s="55"/>
      <c r="AY513" s="55"/>
      <c r="AZ513" s="55"/>
      <c r="BA513" s="165"/>
      <c r="BB513" s="55"/>
      <c r="BC513" s="55"/>
      <c r="BD513" s="55"/>
      <c r="BE513" s="165"/>
      <c r="BF513" s="55"/>
      <c r="BG513" s="10"/>
      <c r="BH513" s="55"/>
      <c r="BI513" s="55"/>
      <c r="BJ513" s="55"/>
      <c r="BK513" s="55"/>
      <c r="BS513" s="141"/>
      <c r="CM513" s="141"/>
      <c r="DC513" s="141"/>
    </row>
    <row r="514" spans="1:107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55"/>
      <c r="R514" s="171"/>
      <c r="S514" s="161"/>
      <c r="T514" s="55"/>
      <c r="U514" s="55"/>
      <c r="V514" s="55"/>
      <c r="W514" s="155"/>
      <c r="X514" s="171"/>
      <c r="Y514" s="165"/>
      <c r="Z514" s="10"/>
      <c r="AA514" s="55"/>
      <c r="AB514" s="55"/>
      <c r="AC514" s="55"/>
      <c r="AD514" s="55"/>
      <c r="AE514" s="55"/>
      <c r="AF514" s="167"/>
      <c r="AG514" s="55"/>
      <c r="AH514" s="55"/>
      <c r="AI514" s="165"/>
      <c r="AJ514" s="55"/>
      <c r="AK514" s="55"/>
      <c r="AL514" s="55"/>
      <c r="AM514" s="55"/>
      <c r="AN514" s="55"/>
      <c r="AO514" s="55"/>
      <c r="AP514" s="55"/>
      <c r="AQ514" s="55"/>
      <c r="AR514" s="165"/>
      <c r="AS514" s="55"/>
      <c r="AT514" s="55"/>
      <c r="AU514" s="55"/>
      <c r="AV514" s="55"/>
      <c r="AW514" s="55"/>
      <c r="AX514" s="55"/>
      <c r="AY514" s="55"/>
      <c r="AZ514" s="55"/>
      <c r="BA514" s="165"/>
      <c r="BB514" s="55"/>
      <c r="BC514" s="55"/>
      <c r="BD514" s="55"/>
      <c r="BE514" s="165"/>
      <c r="BF514" s="55"/>
      <c r="BG514" s="10"/>
      <c r="BH514" s="55"/>
      <c r="BI514" s="55"/>
      <c r="BJ514" s="55"/>
      <c r="BK514" s="55"/>
      <c r="BS514" s="141"/>
      <c r="CM514" s="141"/>
      <c r="DC514" s="141"/>
    </row>
    <row r="515" spans="1:107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55"/>
      <c r="R515" s="171"/>
      <c r="S515" s="161"/>
      <c r="T515" s="55"/>
      <c r="U515" s="55"/>
      <c r="V515" s="55"/>
      <c r="W515" s="155"/>
      <c r="X515" s="171"/>
      <c r="Y515" s="165"/>
      <c r="Z515" s="10"/>
      <c r="AA515" s="55"/>
      <c r="AB515" s="55"/>
      <c r="AC515" s="55"/>
      <c r="AD515" s="55"/>
      <c r="AE515" s="55"/>
      <c r="AF515" s="167"/>
      <c r="AG515" s="55"/>
      <c r="AH515" s="55"/>
      <c r="AI515" s="165"/>
      <c r="AJ515" s="55"/>
      <c r="AK515" s="55"/>
      <c r="AL515" s="55"/>
      <c r="AM515" s="55"/>
      <c r="AN515" s="55"/>
      <c r="AO515" s="55"/>
      <c r="AP515" s="55"/>
      <c r="AQ515" s="55"/>
      <c r="AR515" s="165"/>
      <c r="AS515" s="55"/>
      <c r="AT515" s="55"/>
      <c r="AU515" s="55"/>
      <c r="AV515" s="55"/>
      <c r="AW515" s="55"/>
      <c r="AX515" s="55"/>
      <c r="AY515" s="55"/>
      <c r="AZ515" s="55"/>
      <c r="BA515" s="165"/>
      <c r="BB515" s="55"/>
      <c r="BC515" s="55"/>
      <c r="BD515" s="55"/>
      <c r="BE515" s="165"/>
      <c r="BF515" s="55"/>
      <c r="BG515" s="10"/>
      <c r="BH515" s="55"/>
      <c r="BI515" s="55"/>
      <c r="BJ515" s="55"/>
      <c r="BK515" s="55"/>
      <c r="BS515" s="141"/>
      <c r="CM515" s="141"/>
      <c r="DC515" s="141"/>
    </row>
    <row r="516" spans="1:107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55"/>
      <c r="R516" s="171"/>
      <c r="S516" s="161"/>
      <c r="T516" s="55"/>
      <c r="U516" s="55"/>
      <c r="V516" s="55"/>
      <c r="W516" s="155"/>
      <c r="X516" s="171"/>
      <c r="Y516" s="165"/>
      <c r="Z516" s="10"/>
      <c r="AA516" s="55"/>
      <c r="AB516" s="55"/>
      <c r="AC516" s="55"/>
      <c r="AD516" s="55"/>
      <c r="AE516" s="55"/>
      <c r="AF516" s="167"/>
      <c r="AG516" s="55"/>
      <c r="AH516" s="55"/>
      <c r="AI516" s="165"/>
      <c r="AJ516" s="55"/>
      <c r="AK516" s="55"/>
      <c r="AL516" s="55"/>
      <c r="AM516" s="55"/>
      <c r="AN516" s="55"/>
      <c r="AO516" s="55"/>
      <c r="AP516" s="55"/>
      <c r="AQ516" s="55"/>
      <c r="AR516" s="165"/>
      <c r="AS516" s="55"/>
      <c r="AT516" s="55"/>
      <c r="AU516" s="55"/>
      <c r="AV516" s="55"/>
      <c r="AW516" s="55"/>
      <c r="AX516" s="55"/>
      <c r="AY516" s="55"/>
      <c r="AZ516" s="55"/>
      <c r="BA516" s="165"/>
      <c r="BB516" s="55"/>
      <c r="BC516" s="55"/>
      <c r="BD516" s="55"/>
      <c r="BE516" s="165"/>
      <c r="BF516" s="55"/>
      <c r="BG516" s="10"/>
      <c r="BH516" s="55"/>
      <c r="BI516" s="55"/>
      <c r="BJ516" s="55"/>
      <c r="BK516" s="55"/>
      <c r="BS516" s="141"/>
      <c r="CM516" s="141"/>
      <c r="DC516" s="141"/>
    </row>
    <row r="517" spans="1:107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55"/>
      <c r="R517" s="171"/>
      <c r="S517" s="161"/>
      <c r="T517" s="55"/>
      <c r="U517" s="55"/>
      <c r="V517" s="55"/>
      <c r="W517" s="155"/>
      <c r="X517" s="171"/>
      <c r="Y517" s="165"/>
      <c r="Z517" s="10"/>
      <c r="AA517" s="55"/>
      <c r="AB517" s="55"/>
      <c r="AC517" s="55"/>
      <c r="AD517" s="55"/>
      <c r="AE517" s="55"/>
      <c r="AF517" s="167"/>
      <c r="AG517" s="55"/>
      <c r="AH517" s="55"/>
      <c r="AI517" s="165"/>
      <c r="AJ517" s="55"/>
      <c r="AK517" s="55"/>
      <c r="AL517" s="55"/>
      <c r="AM517" s="55"/>
      <c r="AN517" s="55"/>
      <c r="AO517" s="55"/>
      <c r="AP517" s="55"/>
      <c r="AQ517" s="55"/>
      <c r="AR517" s="165"/>
      <c r="AS517" s="55"/>
      <c r="AT517" s="55"/>
      <c r="AU517" s="55"/>
      <c r="AV517" s="55"/>
      <c r="AW517" s="55"/>
      <c r="AX517" s="55"/>
      <c r="AY517" s="55"/>
      <c r="AZ517" s="55"/>
      <c r="BA517" s="165"/>
      <c r="BB517" s="55"/>
      <c r="BC517" s="55"/>
      <c r="BD517" s="55"/>
      <c r="BE517" s="165"/>
      <c r="BF517" s="55"/>
      <c r="BG517" s="10"/>
      <c r="BH517" s="55"/>
      <c r="BI517" s="55"/>
      <c r="BJ517" s="55"/>
      <c r="BK517" s="55"/>
      <c r="BS517" s="141"/>
      <c r="CM517" s="141"/>
      <c r="DC517" s="141"/>
    </row>
    <row r="518" spans="1:107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55"/>
      <c r="R518" s="171"/>
      <c r="S518" s="161"/>
      <c r="T518" s="55"/>
      <c r="U518" s="55"/>
      <c r="V518" s="55"/>
      <c r="W518" s="155"/>
      <c r="X518" s="171"/>
      <c r="Y518" s="165"/>
      <c r="Z518" s="10"/>
      <c r="AA518" s="55"/>
      <c r="AB518" s="55"/>
      <c r="AC518" s="55"/>
      <c r="AD518" s="55"/>
      <c r="AE518" s="55"/>
      <c r="AF518" s="167"/>
      <c r="AG518" s="55"/>
      <c r="AH518" s="55"/>
      <c r="AI518" s="165"/>
      <c r="AJ518" s="55"/>
      <c r="AK518" s="55"/>
      <c r="AL518" s="55"/>
      <c r="AM518" s="55"/>
      <c r="AN518" s="55"/>
      <c r="AO518" s="55"/>
      <c r="AP518" s="55"/>
      <c r="AQ518" s="55"/>
      <c r="AR518" s="165"/>
      <c r="AS518" s="55"/>
      <c r="AT518" s="55"/>
      <c r="AU518" s="55"/>
      <c r="AV518" s="55"/>
      <c r="AW518" s="55"/>
      <c r="AX518" s="55"/>
      <c r="AY518" s="55"/>
      <c r="AZ518" s="55"/>
      <c r="BA518" s="165"/>
      <c r="BB518" s="55"/>
      <c r="BC518" s="55"/>
      <c r="BD518" s="55"/>
      <c r="BE518" s="165"/>
      <c r="BF518" s="55"/>
      <c r="BG518" s="10"/>
      <c r="BH518" s="55"/>
      <c r="BI518" s="55"/>
      <c r="BJ518" s="55"/>
      <c r="BK518" s="55"/>
      <c r="BS518" s="141"/>
      <c r="CM518" s="141"/>
      <c r="DC518" s="141"/>
    </row>
    <row r="519" spans="1:107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55"/>
      <c r="R519" s="171"/>
      <c r="S519" s="161"/>
      <c r="T519" s="55"/>
      <c r="U519" s="55"/>
      <c r="V519" s="55"/>
      <c r="W519" s="155"/>
      <c r="X519" s="171"/>
      <c r="Y519" s="165"/>
      <c r="Z519" s="10"/>
      <c r="AA519" s="55"/>
      <c r="AB519" s="55"/>
      <c r="AC519" s="55"/>
      <c r="AD519" s="55"/>
      <c r="AE519" s="55"/>
      <c r="AF519" s="167"/>
      <c r="AG519" s="55"/>
      <c r="AH519" s="55"/>
      <c r="AI519" s="165"/>
      <c r="AJ519" s="55"/>
      <c r="AK519" s="55"/>
      <c r="AL519" s="55"/>
      <c r="AM519" s="55"/>
      <c r="AN519" s="55"/>
      <c r="AO519" s="55"/>
      <c r="AP519" s="55"/>
      <c r="AQ519" s="55"/>
      <c r="AR519" s="165"/>
      <c r="AS519" s="55"/>
      <c r="AT519" s="55"/>
      <c r="AU519" s="55"/>
      <c r="AV519" s="55"/>
      <c r="AW519" s="55"/>
      <c r="AX519" s="55"/>
      <c r="AY519" s="55"/>
      <c r="AZ519" s="55"/>
      <c r="BA519" s="165"/>
      <c r="BB519" s="55"/>
      <c r="BC519" s="55"/>
      <c r="BD519" s="55"/>
      <c r="BE519" s="165"/>
      <c r="BF519" s="55"/>
      <c r="BG519" s="10"/>
      <c r="BH519" s="55"/>
      <c r="BI519" s="55"/>
      <c r="BJ519" s="55"/>
      <c r="BK519" s="55"/>
      <c r="BS519" s="141"/>
      <c r="CM519" s="141"/>
      <c r="DC519" s="141"/>
    </row>
    <row r="520" spans="1:107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55"/>
      <c r="R520" s="171"/>
      <c r="S520" s="161"/>
      <c r="T520" s="55"/>
      <c r="U520" s="55"/>
      <c r="V520" s="55"/>
      <c r="W520" s="155"/>
      <c r="X520" s="171"/>
      <c r="Y520" s="165"/>
      <c r="Z520" s="10"/>
      <c r="AA520" s="55"/>
      <c r="AB520" s="55"/>
      <c r="AC520" s="55"/>
      <c r="AD520" s="55"/>
      <c r="AE520" s="55"/>
      <c r="AF520" s="167"/>
      <c r="AG520" s="55"/>
      <c r="AH520" s="55"/>
      <c r="AI520" s="165"/>
      <c r="AJ520" s="55"/>
      <c r="AK520" s="55"/>
      <c r="AL520" s="55"/>
      <c r="AM520" s="55"/>
      <c r="AN520" s="55"/>
      <c r="AO520" s="55"/>
      <c r="AP520" s="55"/>
      <c r="AQ520" s="55"/>
      <c r="AR520" s="165"/>
      <c r="AS520" s="55"/>
      <c r="AT520" s="55"/>
      <c r="AU520" s="55"/>
      <c r="AV520" s="55"/>
      <c r="AW520" s="55"/>
      <c r="AX520" s="55"/>
      <c r="AY520" s="55"/>
      <c r="AZ520" s="55"/>
      <c r="BA520" s="165"/>
      <c r="BB520" s="55"/>
      <c r="BC520" s="55"/>
      <c r="BD520" s="55"/>
      <c r="BE520" s="165"/>
      <c r="BF520" s="55"/>
      <c r="BG520" s="10"/>
      <c r="BH520" s="55"/>
      <c r="BI520" s="55"/>
      <c r="BJ520" s="55"/>
      <c r="BK520" s="55"/>
      <c r="BS520" s="141"/>
      <c r="CM520" s="141"/>
      <c r="DC520" s="141"/>
    </row>
    <row r="521" spans="1:107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55"/>
      <c r="R521" s="171"/>
      <c r="S521" s="161"/>
      <c r="T521" s="55"/>
      <c r="U521" s="55"/>
      <c r="V521" s="55"/>
      <c r="W521" s="155"/>
      <c r="X521" s="171"/>
      <c r="Y521" s="165"/>
      <c r="Z521" s="10"/>
      <c r="AA521" s="55"/>
      <c r="AB521" s="55"/>
      <c r="AC521" s="55"/>
      <c r="AD521" s="55"/>
      <c r="AE521" s="55"/>
      <c r="AF521" s="167"/>
      <c r="AG521" s="55"/>
      <c r="AH521" s="55"/>
      <c r="AI521" s="165"/>
      <c r="AJ521" s="55"/>
      <c r="AK521" s="55"/>
      <c r="AL521" s="55"/>
      <c r="AM521" s="55"/>
      <c r="AN521" s="55"/>
      <c r="AO521" s="55"/>
      <c r="AP521" s="55"/>
      <c r="AQ521" s="55"/>
      <c r="AR521" s="165"/>
      <c r="AS521" s="55"/>
      <c r="AT521" s="55"/>
      <c r="AU521" s="55"/>
      <c r="AV521" s="55"/>
      <c r="AW521" s="55"/>
      <c r="AX521" s="55"/>
      <c r="AY521" s="55"/>
      <c r="AZ521" s="55"/>
      <c r="BA521" s="165"/>
      <c r="BB521" s="55"/>
      <c r="BC521" s="55"/>
      <c r="BD521" s="55"/>
      <c r="BE521" s="165"/>
      <c r="BF521" s="55"/>
      <c r="BG521" s="10"/>
      <c r="BH521" s="55"/>
      <c r="BI521" s="55"/>
      <c r="BJ521" s="55"/>
      <c r="BK521" s="55"/>
      <c r="BS521" s="141"/>
      <c r="CM521" s="141"/>
      <c r="DC521" s="141"/>
    </row>
    <row r="522" spans="1:107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55"/>
      <c r="R522" s="171"/>
      <c r="S522" s="161"/>
      <c r="T522" s="55"/>
      <c r="U522" s="55"/>
      <c r="V522" s="55"/>
      <c r="W522" s="155"/>
      <c r="X522" s="171"/>
      <c r="Y522" s="165"/>
      <c r="Z522" s="10"/>
      <c r="AA522" s="55"/>
      <c r="AB522" s="55"/>
      <c r="AC522" s="55"/>
      <c r="AD522" s="55"/>
      <c r="AE522" s="55"/>
      <c r="AF522" s="167"/>
      <c r="AG522" s="55"/>
      <c r="AH522" s="55"/>
      <c r="AI522" s="165"/>
      <c r="AJ522" s="55"/>
      <c r="AK522" s="55"/>
      <c r="AL522" s="55"/>
      <c r="AM522" s="55"/>
      <c r="AN522" s="55"/>
      <c r="AO522" s="55"/>
      <c r="AP522" s="55"/>
      <c r="AQ522" s="55"/>
      <c r="AR522" s="165"/>
      <c r="AS522" s="55"/>
      <c r="AT522" s="55"/>
      <c r="AU522" s="55"/>
      <c r="AV522" s="55"/>
      <c r="AW522" s="55"/>
      <c r="AX522" s="55"/>
      <c r="AY522" s="55"/>
      <c r="AZ522" s="55"/>
      <c r="BA522" s="165"/>
      <c r="BB522" s="55"/>
      <c r="BC522" s="55"/>
      <c r="BD522" s="55"/>
      <c r="BE522" s="165"/>
      <c r="BF522" s="55"/>
      <c r="BG522" s="10"/>
      <c r="BH522" s="55"/>
      <c r="BI522" s="55"/>
      <c r="BJ522" s="55"/>
      <c r="BK522" s="55"/>
      <c r="BS522" s="141"/>
      <c r="CM522" s="141"/>
      <c r="DC522" s="141"/>
    </row>
    <row r="523" spans="1:107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55"/>
      <c r="R523" s="171"/>
      <c r="S523" s="161"/>
      <c r="T523" s="55"/>
      <c r="U523" s="55"/>
      <c r="V523" s="55"/>
      <c r="W523" s="155"/>
      <c r="X523" s="171"/>
      <c r="Y523" s="165"/>
      <c r="Z523" s="10"/>
      <c r="AA523" s="55"/>
      <c r="AB523" s="55"/>
      <c r="AC523" s="55"/>
      <c r="AD523" s="55"/>
      <c r="AE523" s="55"/>
      <c r="AF523" s="167"/>
      <c r="AG523" s="55"/>
      <c r="AH523" s="55"/>
      <c r="AI523" s="165"/>
      <c r="AJ523" s="55"/>
      <c r="AK523" s="55"/>
      <c r="AL523" s="55"/>
      <c r="AM523" s="55"/>
      <c r="AN523" s="55"/>
      <c r="AO523" s="55"/>
      <c r="AP523" s="55"/>
      <c r="AQ523" s="55"/>
      <c r="AR523" s="165"/>
      <c r="AS523" s="55"/>
      <c r="AT523" s="55"/>
      <c r="AU523" s="55"/>
      <c r="AV523" s="55"/>
      <c r="AW523" s="55"/>
      <c r="AX523" s="55"/>
      <c r="AY523" s="55"/>
      <c r="AZ523" s="55"/>
      <c r="BA523" s="165"/>
      <c r="BB523" s="55"/>
      <c r="BC523" s="55"/>
      <c r="BD523" s="55"/>
      <c r="BE523" s="165"/>
      <c r="BF523" s="55"/>
      <c r="BG523" s="10"/>
      <c r="BH523" s="55"/>
      <c r="BI523" s="55"/>
      <c r="BJ523" s="55"/>
      <c r="BK523" s="55"/>
      <c r="BS523" s="141"/>
      <c r="CM523" s="141"/>
      <c r="DC523" s="141"/>
    </row>
    <row r="524" spans="1:107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55"/>
      <c r="R524" s="171"/>
      <c r="S524" s="161"/>
      <c r="T524" s="55"/>
      <c r="U524" s="55"/>
      <c r="V524" s="55"/>
      <c r="W524" s="155"/>
      <c r="X524" s="171"/>
      <c r="Y524" s="165"/>
      <c r="Z524" s="10"/>
      <c r="AA524" s="55"/>
      <c r="AB524" s="55"/>
      <c r="AC524" s="55"/>
      <c r="AD524" s="55"/>
      <c r="AE524" s="55"/>
      <c r="AF524" s="167"/>
      <c r="AG524" s="55"/>
      <c r="AH524" s="55"/>
      <c r="AI524" s="165"/>
      <c r="AJ524" s="55"/>
      <c r="AK524" s="55"/>
      <c r="AL524" s="55"/>
      <c r="AM524" s="55"/>
      <c r="AN524" s="55"/>
      <c r="AO524" s="55"/>
      <c r="AP524" s="55"/>
      <c r="AQ524" s="55"/>
      <c r="AR524" s="165"/>
      <c r="AS524" s="55"/>
      <c r="AT524" s="55"/>
      <c r="AU524" s="55"/>
      <c r="AV524" s="55"/>
      <c r="AW524" s="55"/>
      <c r="AX524" s="55"/>
      <c r="AY524" s="55"/>
      <c r="AZ524" s="55"/>
      <c r="BA524" s="165"/>
      <c r="BB524" s="55"/>
      <c r="BC524" s="55"/>
      <c r="BD524" s="55"/>
      <c r="BE524" s="165"/>
      <c r="BF524" s="55"/>
      <c r="BG524" s="10"/>
      <c r="BH524" s="55"/>
      <c r="BI524" s="55"/>
      <c r="BJ524" s="55"/>
      <c r="BK524" s="55"/>
      <c r="BS524" s="141"/>
      <c r="CM524" s="141"/>
      <c r="DC524" s="141"/>
    </row>
    <row r="525" spans="1:107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55"/>
      <c r="R525" s="171"/>
      <c r="S525" s="161"/>
      <c r="T525" s="55"/>
      <c r="U525" s="55"/>
      <c r="V525" s="55"/>
      <c r="W525" s="155"/>
      <c r="X525" s="171"/>
      <c r="Y525" s="165"/>
      <c r="Z525" s="10"/>
      <c r="AA525" s="55"/>
      <c r="AB525" s="55"/>
      <c r="AC525" s="55"/>
      <c r="AD525" s="55"/>
      <c r="AE525" s="55"/>
      <c r="AF525" s="167"/>
      <c r="AG525" s="55"/>
      <c r="AH525" s="55"/>
      <c r="AI525" s="165"/>
      <c r="AJ525" s="55"/>
      <c r="AK525" s="55"/>
      <c r="AL525" s="55"/>
      <c r="AM525" s="55"/>
      <c r="AN525" s="55"/>
      <c r="AO525" s="55"/>
      <c r="AP525" s="55"/>
      <c r="AQ525" s="55"/>
      <c r="AR525" s="165"/>
      <c r="AS525" s="55"/>
      <c r="AT525" s="55"/>
      <c r="AU525" s="55"/>
      <c r="AV525" s="55"/>
      <c r="AW525" s="55"/>
      <c r="AX525" s="55"/>
      <c r="AY525" s="55"/>
      <c r="AZ525" s="55"/>
      <c r="BA525" s="165"/>
      <c r="BB525" s="55"/>
      <c r="BC525" s="55"/>
      <c r="BD525" s="55"/>
      <c r="BE525" s="165"/>
      <c r="BF525" s="55"/>
      <c r="BG525" s="10"/>
      <c r="BH525" s="55"/>
      <c r="BI525" s="55"/>
      <c r="BJ525" s="55"/>
      <c r="BK525" s="55"/>
      <c r="BS525" s="141"/>
      <c r="CM525" s="141"/>
      <c r="DC525" s="141"/>
    </row>
    <row r="526" spans="1:107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55"/>
      <c r="R526" s="171"/>
      <c r="S526" s="161"/>
      <c r="T526" s="55"/>
      <c r="U526" s="55"/>
      <c r="V526" s="55"/>
      <c r="W526" s="155"/>
      <c r="X526" s="171"/>
      <c r="Y526" s="165"/>
      <c r="Z526" s="10"/>
      <c r="AA526" s="55"/>
      <c r="AB526" s="55"/>
      <c r="AC526" s="55"/>
      <c r="AD526" s="55"/>
      <c r="AE526" s="55"/>
      <c r="AF526" s="167"/>
      <c r="AG526" s="55"/>
      <c r="AH526" s="55"/>
      <c r="AI526" s="165"/>
      <c r="AJ526" s="55"/>
      <c r="AK526" s="55"/>
      <c r="AL526" s="55"/>
      <c r="AM526" s="55"/>
      <c r="AN526" s="55"/>
      <c r="AO526" s="55"/>
      <c r="AP526" s="55"/>
      <c r="AQ526" s="55"/>
      <c r="AR526" s="165"/>
      <c r="AS526" s="55"/>
      <c r="AT526" s="55"/>
      <c r="AU526" s="55"/>
      <c r="AV526" s="55"/>
      <c r="AW526" s="55"/>
      <c r="AX526" s="55"/>
      <c r="AY526" s="55"/>
      <c r="AZ526" s="55"/>
      <c r="BA526" s="165"/>
      <c r="BB526" s="55"/>
      <c r="BC526" s="55"/>
      <c r="BD526" s="55"/>
      <c r="BE526" s="165"/>
      <c r="BF526" s="55"/>
      <c r="BG526" s="10"/>
      <c r="BH526" s="55"/>
      <c r="BI526" s="55"/>
      <c r="BJ526" s="55"/>
      <c r="BK526" s="55"/>
      <c r="BS526" s="141"/>
      <c r="CM526" s="141"/>
      <c r="DC526" s="141"/>
    </row>
    <row r="527" spans="1:107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55"/>
      <c r="R527" s="171"/>
      <c r="S527" s="161"/>
      <c r="T527" s="55"/>
      <c r="U527" s="55"/>
      <c r="V527" s="55"/>
      <c r="W527" s="155"/>
      <c r="X527" s="171"/>
      <c r="Y527" s="165"/>
      <c r="Z527" s="10"/>
      <c r="AA527" s="55"/>
      <c r="AB527" s="55"/>
      <c r="AC527" s="55"/>
      <c r="AD527" s="55"/>
      <c r="AE527" s="55"/>
      <c r="AF527" s="167"/>
      <c r="AG527" s="55"/>
      <c r="AH527" s="55"/>
      <c r="AI527" s="165"/>
      <c r="AJ527" s="55"/>
      <c r="AK527" s="55"/>
      <c r="AL527" s="55"/>
      <c r="AM527" s="55"/>
      <c r="AN527" s="55"/>
      <c r="AO527" s="55"/>
      <c r="AP527" s="55"/>
      <c r="AQ527" s="55"/>
      <c r="AR527" s="165"/>
      <c r="AS527" s="55"/>
      <c r="AT527" s="55"/>
      <c r="AU527" s="55"/>
      <c r="AV527" s="55"/>
      <c r="AW527" s="55"/>
      <c r="AX527" s="55"/>
      <c r="AY527" s="55"/>
      <c r="AZ527" s="55"/>
      <c r="BA527" s="165"/>
      <c r="BB527" s="55"/>
      <c r="BC527" s="55"/>
      <c r="BD527" s="55"/>
      <c r="BE527" s="165"/>
      <c r="BF527" s="55"/>
      <c r="BG527" s="10"/>
      <c r="BH527" s="55"/>
      <c r="BI527" s="55"/>
      <c r="BJ527" s="55"/>
      <c r="BK527" s="55"/>
      <c r="BS527" s="141"/>
      <c r="CM527" s="141"/>
      <c r="DC527" s="141"/>
    </row>
    <row r="528" spans="1:107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55"/>
      <c r="R528" s="171"/>
      <c r="S528" s="161"/>
      <c r="T528" s="55"/>
      <c r="U528" s="55"/>
      <c r="V528" s="55"/>
      <c r="W528" s="155"/>
      <c r="X528" s="171"/>
      <c r="Y528" s="165"/>
      <c r="Z528" s="10"/>
      <c r="AA528" s="55"/>
      <c r="AB528" s="55"/>
      <c r="AC528" s="55"/>
      <c r="AD528" s="55"/>
      <c r="AE528" s="55"/>
      <c r="AF528" s="167"/>
      <c r="AG528" s="55"/>
      <c r="AH528" s="55"/>
      <c r="AI528" s="165"/>
      <c r="AJ528" s="55"/>
      <c r="AK528" s="55"/>
      <c r="AL528" s="55"/>
      <c r="AM528" s="55"/>
      <c r="AN528" s="55"/>
      <c r="AO528" s="55"/>
      <c r="AP528" s="55"/>
      <c r="AQ528" s="55"/>
      <c r="AR528" s="165"/>
      <c r="AS528" s="55"/>
      <c r="AT528" s="55"/>
      <c r="AU528" s="55"/>
      <c r="AV528" s="55"/>
      <c r="AW528" s="55"/>
      <c r="AX528" s="55"/>
      <c r="AY528" s="55"/>
      <c r="AZ528" s="55"/>
      <c r="BA528" s="165"/>
      <c r="BB528" s="55"/>
      <c r="BC528" s="55"/>
      <c r="BD528" s="55"/>
      <c r="BE528" s="165"/>
      <c r="BF528" s="55"/>
      <c r="BG528" s="10"/>
      <c r="BH528" s="55"/>
      <c r="BI528" s="55"/>
      <c r="BJ528" s="55"/>
      <c r="BK528" s="55"/>
      <c r="BS528" s="141"/>
      <c r="CM528" s="141"/>
      <c r="DC528" s="141"/>
    </row>
    <row r="529" spans="1:107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55"/>
      <c r="R529" s="171"/>
      <c r="S529" s="161"/>
      <c r="T529" s="55"/>
      <c r="U529" s="55"/>
      <c r="V529" s="55"/>
      <c r="W529" s="155"/>
      <c r="X529" s="171"/>
      <c r="Y529" s="165"/>
      <c r="Z529" s="10"/>
      <c r="AA529" s="55"/>
      <c r="AB529" s="55"/>
      <c r="AC529" s="55"/>
      <c r="AD529" s="55"/>
      <c r="AE529" s="55"/>
      <c r="AF529" s="167"/>
      <c r="AG529" s="55"/>
      <c r="AH529" s="55"/>
      <c r="AI529" s="165"/>
      <c r="AJ529" s="55"/>
      <c r="AK529" s="55"/>
      <c r="AL529" s="55"/>
      <c r="AM529" s="55"/>
      <c r="AN529" s="55"/>
      <c r="AO529" s="55"/>
      <c r="AP529" s="55"/>
      <c r="AQ529" s="55"/>
      <c r="AR529" s="165"/>
      <c r="AS529" s="55"/>
      <c r="AT529" s="55"/>
      <c r="AU529" s="55"/>
      <c r="AV529" s="55"/>
      <c r="AW529" s="55"/>
      <c r="AX529" s="55"/>
      <c r="AY529" s="55"/>
      <c r="AZ529" s="55"/>
      <c r="BA529" s="165"/>
      <c r="BB529" s="55"/>
      <c r="BC529" s="55"/>
      <c r="BD529" s="55"/>
      <c r="BE529" s="165"/>
      <c r="BF529" s="55"/>
      <c r="BG529" s="10"/>
      <c r="BH529" s="55"/>
      <c r="BI529" s="55"/>
      <c r="BJ529" s="55"/>
      <c r="BK529" s="55"/>
      <c r="BS529" s="141"/>
      <c r="CM529" s="141"/>
      <c r="DC529" s="141"/>
    </row>
    <row r="530" spans="1:107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55"/>
      <c r="R530" s="171"/>
      <c r="S530" s="161"/>
      <c r="T530" s="55"/>
      <c r="U530" s="55"/>
      <c r="V530" s="55"/>
      <c r="W530" s="155"/>
      <c r="X530" s="171"/>
      <c r="Y530" s="165"/>
      <c r="Z530" s="10"/>
      <c r="AA530" s="55"/>
      <c r="AB530" s="55"/>
      <c r="AC530" s="55"/>
      <c r="AD530" s="55"/>
      <c r="AE530" s="55"/>
      <c r="AF530" s="167"/>
      <c r="AG530" s="55"/>
      <c r="AH530" s="55"/>
      <c r="AI530" s="165"/>
      <c r="AJ530" s="55"/>
      <c r="AK530" s="55"/>
      <c r="AL530" s="55"/>
      <c r="AM530" s="55"/>
      <c r="AN530" s="55"/>
      <c r="AO530" s="55"/>
      <c r="AP530" s="55"/>
      <c r="AQ530" s="55"/>
      <c r="AR530" s="165"/>
      <c r="AS530" s="55"/>
      <c r="AT530" s="55"/>
      <c r="AU530" s="55"/>
      <c r="AV530" s="55"/>
      <c r="AW530" s="55"/>
      <c r="AX530" s="55"/>
      <c r="AY530" s="55"/>
      <c r="AZ530" s="55"/>
      <c r="BA530" s="165"/>
      <c r="BB530" s="55"/>
      <c r="BC530" s="55"/>
      <c r="BD530" s="55"/>
      <c r="BE530" s="165"/>
      <c r="BF530" s="55"/>
      <c r="BG530" s="10"/>
      <c r="BH530" s="55"/>
      <c r="BI530" s="55"/>
      <c r="BJ530" s="55"/>
      <c r="BK530" s="55"/>
      <c r="BS530" s="141"/>
      <c r="CM530" s="141"/>
      <c r="DC530" s="141"/>
    </row>
    <row r="531" spans="1:107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55"/>
      <c r="R531" s="171"/>
      <c r="S531" s="161"/>
      <c r="T531" s="55"/>
      <c r="U531" s="55"/>
      <c r="V531" s="55"/>
      <c r="W531" s="155"/>
      <c r="X531" s="171"/>
      <c r="Y531" s="165"/>
      <c r="Z531" s="10"/>
      <c r="AA531" s="55"/>
      <c r="AB531" s="55"/>
      <c r="AC531" s="55"/>
      <c r="AD531" s="55"/>
      <c r="AE531" s="55"/>
      <c r="AF531" s="167"/>
      <c r="AG531" s="55"/>
      <c r="AH531" s="55"/>
      <c r="AI531" s="165"/>
      <c r="AJ531" s="55"/>
      <c r="AK531" s="55"/>
      <c r="AL531" s="55"/>
      <c r="AM531" s="55"/>
      <c r="AN531" s="55"/>
      <c r="AO531" s="55"/>
      <c r="AP531" s="55"/>
      <c r="AQ531" s="55"/>
      <c r="AR531" s="165"/>
      <c r="AS531" s="55"/>
      <c r="AT531" s="55"/>
      <c r="AU531" s="55"/>
      <c r="AV531" s="55"/>
      <c r="AW531" s="55"/>
      <c r="AX531" s="55"/>
      <c r="AY531" s="55"/>
      <c r="AZ531" s="55"/>
      <c r="BA531" s="165"/>
      <c r="BB531" s="55"/>
      <c r="BC531" s="55"/>
      <c r="BD531" s="55"/>
      <c r="BE531" s="165"/>
      <c r="BF531" s="55"/>
      <c r="BG531" s="10"/>
      <c r="BH531" s="55"/>
      <c r="BI531" s="55"/>
      <c r="BJ531" s="55"/>
      <c r="BK531" s="55"/>
      <c r="BS531" s="141"/>
      <c r="CM531" s="141"/>
      <c r="DC531" s="141"/>
    </row>
    <row r="532" spans="1:107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55"/>
      <c r="R532" s="171"/>
      <c r="S532" s="161"/>
      <c r="T532" s="55"/>
      <c r="U532" s="55"/>
      <c r="V532" s="55"/>
      <c r="W532" s="155"/>
      <c r="X532" s="171"/>
      <c r="Y532" s="165"/>
      <c r="Z532" s="10"/>
      <c r="AA532" s="55"/>
      <c r="AB532" s="55"/>
      <c r="AC532" s="55"/>
      <c r="AD532" s="55"/>
      <c r="AE532" s="55"/>
      <c r="AF532" s="167"/>
      <c r="AG532" s="55"/>
      <c r="AH532" s="55"/>
      <c r="AI532" s="165"/>
      <c r="AJ532" s="55"/>
      <c r="AK532" s="55"/>
      <c r="AL532" s="55"/>
      <c r="AM532" s="55"/>
      <c r="AN532" s="55"/>
      <c r="AO532" s="55"/>
      <c r="AP532" s="55"/>
      <c r="AQ532" s="55"/>
      <c r="AR532" s="165"/>
      <c r="AS532" s="55"/>
      <c r="AT532" s="55"/>
      <c r="AU532" s="55"/>
      <c r="AV532" s="55"/>
      <c r="AW532" s="55"/>
      <c r="AX532" s="55"/>
      <c r="AY532" s="55"/>
      <c r="AZ532" s="55"/>
      <c r="BA532" s="165"/>
      <c r="BB532" s="55"/>
      <c r="BC532" s="55"/>
      <c r="BD532" s="55"/>
      <c r="BE532" s="165"/>
      <c r="BF532" s="55"/>
      <c r="BG532" s="10"/>
      <c r="BH532" s="55"/>
      <c r="BI532" s="55"/>
      <c r="BJ532" s="55"/>
      <c r="BK532" s="55"/>
      <c r="BS532" s="141"/>
      <c r="CM532" s="141"/>
      <c r="DC532" s="141"/>
    </row>
    <row r="533" spans="1:107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55"/>
      <c r="R533" s="171"/>
      <c r="S533" s="161"/>
      <c r="T533" s="55"/>
      <c r="U533" s="55"/>
      <c r="V533" s="55"/>
      <c r="W533" s="155"/>
      <c r="X533" s="171"/>
      <c r="Y533" s="165"/>
      <c r="Z533" s="10"/>
      <c r="AA533" s="55"/>
      <c r="AB533" s="55"/>
      <c r="AC533" s="55"/>
      <c r="AD533" s="55"/>
      <c r="AE533" s="55"/>
      <c r="AF533" s="167"/>
      <c r="AG533" s="55"/>
      <c r="AH533" s="55"/>
      <c r="AI533" s="165"/>
      <c r="AJ533" s="55"/>
      <c r="AK533" s="55"/>
      <c r="AL533" s="55"/>
      <c r="AM533" s="55"/>
      <c r="AN533" s="55"/>
      <c r="AO533" s="55"/>
      <c r="AP533" s="55"/>
      <c r="AQ533" s="55"/>
      <c r="AR533" s="165"/>
      <c r="AS533" s="55"/>
      <c r="AT533" s="55"/>
      <c r="AU533" s="55"/>
      <c r="AV533" s="55"/>
      <c r="AW533" s="55"/>
      <c r="AX533" s="55"/>
      <c r="AY533" s="55"/>
      <c r="AZ533" s="55"/>
      <c r="BA533" s="165"/>
      <c r="BB533" s="55"/>
      <c r="BC533" s="55"/>
      <c r="BD533" s="55"/>
      <c r="BE533" s="165"/>
      <c r="BF533" s="55"/>
      <c r="BG533" s="10"/>
      <c r="BH533" s="55"/>
      <c r="BI533" s="55"/>
      <c r="BJ533" s="55"/>
      <c r="BK533" s="55"/>
      <c r="BS533" s="141"/>
      <c r="CM533" s="141"/>
      <c r="DC533" s="141"/>
    </row>
    <row r="534" spans="1:107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55"/>
      <c r="R534" s="171"/>
      <c r="S534" s="161"/>
      <c r="T534" s="55"/>
      <c r="U534" s="55"/>
      <c r="V534" s="55"/>
      <c r="W534" s="155"/>
      <c r="X534" s="171"/>
      <c r="Y534" s="165"/>
      <c r="Z534" s="10"/>
      <c r="AA534" s="55"/>
      <c r="AB534" s="55"/>
      <c r="AC534" s="55"/>
      <c r="AD534" s="55"/>
      <c r="AE534" s="55"/>
      <c r="AF534" s="167"/>
      <c r="AG534" s="55"/>
      <c r="AH534" s="55"/>
      <c r="AI534" s="165"/>
      <c r="AJ534" s="55"/>
      <c r="AK534" s="55"/>
      <c r="AL534" s="55"/>
      <c r="AM534" s="55"/>
      <c r="AN534" s="55"/>
      <c r="AO534" s="55"/>
      <c r="AP534" s="55"/>
      <c r="AQ534" s="55"/>
      <c r="AR534" s="165"/>
      <c r="AS534" s="55"/>
      <c r="AT534" s="55"/>
      <c r="AU534" s="55"/>
      <c r="AV534" s="55"/>
      <c r="AW534" s="55"/>
      <c r="AX534" s="55"/>
      <c r="AY534" s="55"/>
      <c r="AZ534" s="55"/>
      <c r="BA534" s="165"/>
      <c r="BB534" s="55"/>
      <c r="BC534" s="55"/>
      <c r="BD534" s="55"/>
      <c r="BE534" s="165"/>
      <c r="BF534" s="55"/>
      <c r="BG534" s="10"/>
      <c r="BH534" s="55"/>
      <c r="BI534" s="55"/>
      <c r="BJ534" s="55"/>
      <c r="BK534" s="55"/>
      <c r="BS534" s="141"/>
      <c r="CM534" s="141"/>
      <c r="DC534" s="141"/>
    </row>
    <row r="535" spans="1:107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55"/>
      <c r="R535" s="171"/>
      <c r="S535" s="161"/>
      <c r="T535" s="55"/>
      <c r="U535" s="55"/>
      <c r="V535" s="55"/>
      <c r="W535" s="155"/>
      <c r="X535" s="171"/>
      <c r="Y535" s="165"/>
      <c r="Z535" s="10"/>
      <c r="AA535" s="55"/>
      <c r="AB535" s="55"/>
      <c r="AC535" s="55"/>
      <c r="AD535" s="55"/>
      <c r="AE535" s="55"/>
      <c r="AF535" s="167"/>
      <c r="AG535" s="55"/>
      <c r="AH535" s="55"/>
      <c r="AI535" s="165"/>
      <c r="AJ535" s="55"/>
      <c r="AK535" s="55"/>
      <c r="AL535" s="55"/>
      <c r="AM535" s="55"/>
      <c r="AN535" s="55"/>
      <c r="AO535" s="55"/>
      <c r="AP535" s="55"/>
      <c r="AQ535" s="55"/>
      <c r="AR535" s="165"/>
      <c r="AS535" s="55"/>
      <c r="AT535" s="55"/>
      <c r="AU535" s="55"/>
      <c r="AV535" s="55"/>
      <c r="AW535" s="55"/>
      <c r="AX535" s="55"/>
      <c r="AY535" s="55"/>
      <c r="AZ535" s="55"/>
      <c r="BA535" s="165"/>
      <c r="BB535" s="55"/>
      <c r="BC535" s="55"/>
      <c r="BD535" s="55"/>
      <c r="BE535" s="165"/>
      <c r="BF535" s="55"/>
      <c r="BG535" s="10"/>
      <c r="BH535" s="55"/>
      <c r="BI535" s="55"/>
      <c r="BJ535" s="55"/>
      <c r="BK535" s="55"/>
      <c r="BS535" s="141"/>
      <c r="CM535" s="141"/>
      <c r="DC535" s="141"/>
    </row>
    <row r="536" spans="1:107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55"/>
      <c r="R536" s="171"/>
      <c r="S536" s="161"/>
      <c r="T536" s="55"/>
      <c r="U536" s="55"/>
      <c r="V536" s="55"/>
      <c r="W536" s="155"/>
      <c r="X536" s="171"/>
      <c r="Y536" s="165"/>
      <c r="Z536" s="10"/>
      <c r="AA536" s="55"/>
      <c r="AB536" s="55"/>
      <c r="AC536" s="55"/>
      <c r="AD536" s="55"/>
      <c r="AE536" s="55"/>
      <c r="AF536" s="167"/>
      <c r="AG536" s="55"/>
      <c r="AH536" s="55"/>
      <c r="AI536" s="165"/>
      <c r="AJ536" s="55"/>
      <c r="AK536" s="55"/>
      <c r="AL536" s="55"/>
      <c r="AM536" s="55"/>
      <c r="AN536" s="55"/>
      <c r="AO536" s="55"/>
      <c r="AP536" s="55"/>
      <c r="AQ536" s="55"/>
      <c r="AR536" s="165"/>
      <c r="AS536" s="55"/>
      <c r="AT536" s="55"/>
      <c r="AU536" s="55"/>
      <c r="AV536" s="55"/>
      <c r="AW536" s="55"/>
      <c r="AX536" s="55"/>
      <c r="AY536" s="55"/>
      <c r="AZ536" s="55"/>
      <c r="BA536" s="165"/>
      <c r="BB536" s="55"/>
      <c r="BC536" s="55"/>
      <c r="BD536" s="55"/>
      <c r="BE536" s="165"/>
      <c r="BF536" s="55"/>
      <c r="BG536" s="10"/>
      <c r="BH536" s="55"/>
      <c r="BI536" s="55"/>
      <c r="BJ536" s="55"/>
      <c r="BK536" s="55"/>
      <c r="BS536" s="141"/>
      <c r="CM536" s="141"/>
      <c r="DC536" s="141"/>
    </row>
    <row r="537" spans="1:107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55"/>
      <c r="R537" s="171"/>
      <c r="S537" s="161"/>
      <c r="T537" s="55"/>
      <c r="U537" s="55"/>
      <c r="V537" s="55"/>
      <c r="W537" s="155"/>
      <c r="X537" s="171"/>
      <c r="Y537" s="165"/>
      <c r="Z537" s="10"/>
      <c r="AA537" s="55"/>
      <c r="AB537" s="55"/>
      <c r="AC537" s="55"/>
      <c r="AD537" s="55"/>
      <c r="AE537" s="55"/>
      <c r="AF537" s="167"/>
      <c r="AG537" s="55"/>
      <c r="AH537" s="55"/>
      <c r="AI537" s="165"/>
      <c r="AJ537" s="55"/>
      <c r="AK537" s="55"/>
      <c r="AL537" s="55"/>
      <c r="AM537" s="55"/>
      <c r="AN537" s="55"/>
      <c r="AO537" s="55"/>
      <c r="AP537" s="55"/>
      <c r="AQ537" s="55"/>
      <c r="AR537" s="165"/>
      <c r="AS537" s="55"/>
      <c r="AT537" s="55"/>
      <c r="AU537" s="55"/>
      <c r="AV537" s="55"/>
      <c r="AW537" s="55"/>
      <c r="AX537" s="55"/>
      <c r="AY537" s="55"/>
      <c r="AZ537" s="55"/>
      <c r="BA537" s="165"/>
      <c r="BB537" s="55"/>
      <c r="BC537" s="55"/>
      <c r="BD537" s="55"/>
      <c r="BE537" s="165"/>
      <c r="BF537" s="55"/>
      <c r="BG537" s="10"/>
      <c r="BH537" s="55"/>
      <c r="BI537" s="55"/>
      <c r="BJ537" s="55"/>
      <c r="BK537" s="55"/>
      <c r="BS537" s="141"/>
      <c r="CM537" s="141"/>
      <c r="DC537" s="141"/>
    </row>
    <row r="538" spans="1:107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55"/>
      <c r="R538" s="171"/>
      <c r="S538" s="161"/>
      <c r="T538" s="55"/>
      <c r="U538" s="55"/>
      <c r="V538" s="55"/>
      <c r="W538" s="155"/>
      <c r="X538" s="171"/>
      <c r="Y538" s="165"/>
      <c r="Z538" s="10"/>
      <c r="AA538" s="55"/>
      <c r="AB538" s="55"/>
      <c r="AC538" s="55"/>
      <c r="AD538" s="55"/>
      <c r="AE538" s="55"/>
      <c r="AF538" s="167"/>
      <c r="AG538" s="55"/>
      <c r="AH538" s="55"/>
      <c r="AI538" s="165"/>
      <c r="AJ538" s="55"/>
      <c r="AK538" s="55"/>
      <c r="AL538" s="55"/>
      <c r="AM538" s="55"/>
      <c r="AN538" s="55"/>
      <c r="AO538" s="55"/>
      <c r="AP538" s="55"/>
      <c r="AQ538" s="55"/>
      <c r="AR538" s="165"/>
      <c r="AS538" s="55"/>
      <c r="AT538" s="55"/>
      <c r="AU538" s="55"/>
      <c r="AV538" s="55"/>
      <c r="AW538" s="55"/>
      <c r="AX538" s="55"/>
      <c r="AY538" s="55"/>
      <c r="AZ538" s="55"/>
      <c r="BA538" s="165"/>
      <c r="BB538" s="55"/>
      <c r="BC538" s="55"/>
      <c r="BD538" s="55"/>
      <c r="BE538" s="165"/>
      <c r="BF538" s="55"/>
      <c r="BG538" s="10"/>
      <c r="BH538" s="55"/>
      <c r="BI538" s="55"/>
      <c r="BJ538" s="55"/>
      <c r="BK538" s="55"/>
      <c r="BS538" s="141"/>
      <c r="CM538" s="141"/>
      <c r="DC538" s="141"/>
    </row>
    <row r="539" spans="1:107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55"/>
      <c r="R539" s="171"/>
      <c r="S539" s="161"/>
      <c r="T539" s="55"/>
      <c r="U539" s="55"/>
      <c r="V539" s="55"/>
      <c r="W539" s="155"/>
      <c r="X539" s="171"/>
      <c r="Y539" s="165"/>
      <c r="Z539" s="10"/>
      <c r="AA539" s="55"/>
      <c r="AB539" s="55"/>
      <c r="AC539" s="55"/>
      <c r="AD539" s="55"/>
      <c r="AE539" s="55"/>
      <c r="AF539" s="167"/>
      <c r="AG539" s="55"/>
      <c r="AH539" s="55"/>
      <c r="AI539" s="165"/>
      <c r="AJ539" s="55"/>
      <c r="AK539" s="55"/>
      <c r="AL539" s="55"/>
      <c r="AM539" s="55"/>
      <c r="AN539" s="55"/>
      <c r="AO539" s="55"/>
      <c r="AP539" s="55"/>
      <c r="AQ539" s="55"/>
      <c r="AR539" s="165"/>
      <c r="AS539" s="55"/>
      <c r="AT539" s="55"/>
      <c r="AU539" s="55"/>
      <c r="AV539" s="55"/>
      <c r="AW539" s="55"/>
      <c r="AX539" s="55"/>
      <c r="AY539" s="55"/>
      <c r="AZ539" s="55"/>
      <c r="BA539" s="165"/>
      <c r="BB539" s="55"/>
      <c r="BC539" s="55"/>
      <c r="BD539" s="55"/>
      <c r="BE539" s="165"/>
      <c r="BF539" s="55"/>
      <c r="BG539" s="10"/>
      <c r="BH539" s="55"/>
      <c r="BI539" s="55"/>
      <c r="BJ539" s="55"/>
      <c r="BK539" s="55"/>
      <c r="BS539" s="141"/>
      <c r="CM539" s="141"/>
      <c r="DC539" s="141"/>
    </row>
    <row r="540" spans="1:107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55"/>
      <c r="R540" s="171"/>
      <c r="S540" s="161"/>
      <c r="T540" s="55"/>
      <c r="U540" s="55"/>
      <c r="V540" s="55"/>
      <c r="W540" s="155"/>
      <c r="X540" s="171"/>
      <c r="Y540" s="165"/>
      <c r="Z540" s="10"/>
      <c r="AA540" s="55"/>
      <c r="AB540" s="55"/>
      <c r="AC540" s="55"/>
      <c r="AD540" s="55"/>
      <c r="AE540" s="55"/>
      <c r="AF540" s="167"/>
      <c r="AG540" s="55"/>
      <c r="AH540" s="55"/>
      <c r="AI540" s="165"/>
      <c r="AJ540" s="55"/>
      <c r="AK540" s="55"/>
      <c r="AL540" s="55"/>
      <c r="AM540" s="55"/>
      <c r="AN540" s="55"/>
      <c r="AO540" s="55"/>
      <c r="AP540" s="55"/>
      <c r="AQ540" s="55"/>
      <c r="AR540" s="165"/>
      <c r="AS540" s="55"/>
      <c r="AT540" s="55"/>
      <c r="AU540" s="55"/>
      <c r="AV540" s="55"/>
      <c r="AW540" s="55"/>
      <c r="AX540" s="55"/>
      <c r="AY540" s="55"/>
      <c r="AZ540" s="55"/>
      <c r="BA540" s="165"/>
      <c r="BB540" s="55"/>
      <c r="BC540" s="55"/>
      <c r="BD540" s="55"/>
      <c r="BE540" s="165"/>
      <c r="BF540" s="55"/>
      <c r="BG540" s="10"/>
      <c r="BH540" s="55"/>
      <c r="BI540" s="55"/>
      <c r="BJ540" s="55"/>
      <c r="BK540" s="55"/>
      <c r="BS540" s="141"/>
      <c r="CM540" s="141"/>
      <c r="DC540" s="141"/>
    </row>
    <row r="541" spans="1:107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55"/>
      <c r="R541" s="171"/>
      <c r="S541" s="161"/>
      <c r="T541" s="55"/>
      <c r="U541" s="55"/>
      <c r="V541" s="55"/>
      <c r="W541" s="155"/>
      <c r="X541" s="171"/>
      <c r="Y541" s="165"/>
      <c r="Z541" s="10"/>
      <c r="AA541" s="55"/>
      <c r="AB541" s="55"/>
      <c r="AC541" s="55"/>
      <c r="AD541" s="55"/>
      <c r="AE541" s="55"/>
      <c r="AF541" s="167"/>
      <c r="AG541" s="55"/>
      <c r="AH541" s="55"/>
      <c r="AI541" s="165"/>
      <c r="AJ541" s="55"/>
      <c r="AK541" s="55"/>
      <c r="AL541" s="55"/>
      <c r="AM541" s="55"/>
      <c r="AN541" s="55"/>
      <c r="AO541" s="55"/>
      <c r="AP541" s="55"/>
      <c r="AQ541" s="55"/>
      <c r="AR541" s="165"/>
      <c r="AS541" s="55"/>
      <c r="AT541" s="55"/>
      <c r="AU541" s="55"/>
      <c r="AV541" s="55"/>
      <c r="AW541" s="55"/>
      <c r="AX541" s="55"/>
      <c r="AY541" s="55"/>
      <c r="AZ541" s="55"/>
      <c r="BA541" s="165"/>
      <c r="BB541" s="55"/>
      <c r="BC541" s="55"/>
      <c r="BD541" s="55"/>
      <c r="BE541" s="165"/>
      <c r="BF541" s="55"/>
      <c r="BG541" s="10"/>
      <c r="BH541" s="55"/>
      <c r="BI541" s="55"/>
      <c r="BJ541" s="55"/>
      <c r="BK541" s="55"/>
      <c r="BS541" s="141"/>
      <c r="CM541" s="141"/>
      <c r="DC541" s="141"/>
    </row>
    <row r="542" spans="1:107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55"/>
      <c r="R542" s="171"/>
      <c r="S542" s="161"/>
      <c r="T542" s="55"/>
      <c r="U542" s="55"/>
      <c r="V542" s="55"/>
      <c r="W542" s="155"/>
      <c r="X542" s="171"/>
      <c r="Y542" s="165"/>
      <c r="Z542" s="10"/>
      <c r="AA542" s="55"/>
      <c r="AB542" s="55"/>
      <c r="AC542" s="55"/>
      <c r="AD542" s="55"/>
      <c r="AE542" s="55"/>
      <c r="AF542" s="167"/>
      <c r="AG542" s="55"/>
      <c r="AH542" s="55"/>
      <c r="AI542" s="165"/>
      <c r="AJ542" s="55"/>
      <c r="AK542" s="55"/>
      <c r="AL542" s="55"/>
      <c r="AM542" s="55"/>
      <c r="AN542" s="55"/>
      <c r="AO542" s="55"/>
      <c r="AP542" s="55"/>
      <c r="AQ542" s="55"/>
      <c r="AR542" s="165"/>
      <c r="AS542" s="55"/>
      <c r="AT542" s="55"/>
      <c r="AU542" s="55"/>
      <c r="AV542" s="55"/>
      <c r="AW542" s="55"/>
      <c r="AX542" s="55"/>
      <c r="AY542" s="55"/>
      <c r="AZ542" s="55"/>
      <c r="BA542" s="165"/>
      <c r="BB542" s="55"/>
      <c r="BC542" s="55"/>
      <c r="BD542" s="55"/>
      <c r="BE542" s="165"/>
      <c r="BF542" s="55"/>
      <c r="BG542" s="10"/>
      <c r="BH542" s="55"/>
      <c r="BI542" s="55"/>
      <c r="BJ542" s="55"/>
      <c r="BK542" s="55"/>
      <c r="BS542" s="141"/>
      <c r="CM542" s="141"/>
      <c r="DC542" s="141"/>
    </row>
    <row r="543" spans="1:107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55"/>
      <c r="R543" s="171"/>
      <c r="S543" s="161"/>
      <c r="T543" s="55"/>
      <c r="U543" s="55"/>
      <c r="V543" s="55"/>
      <c r="W543" s="155"/>
      <c r="X543" s="171"/>
      <c r="Y543" s="165"/>
      <c r="Z543" s="10"/>
      <c r="AA543" s="55"/>
      <c r="AB543" s="55"/>
      <c r="AC543" s="55"/>
      <c r="AD543" s="55"/>
      <c r="AE543" s="55"/>
      <c r="AF543" s="167"/>
      <c r="AG543" s="55"/>
      <c r="AH543" s="55"/>
      <c r="AI543" s="165"/>
      <c r="AJ543" s="55"/>
      <c r="AK543" s="55"/>
      <c r="AL543" s="55"/>
      <c r="AM543" s="55"/>
      <c r="AN543" s="55"/>
      <c r="AO543" s="55"/>
      <c r="AP543" s="55"/>
      <c r="AQ543" s="55"/>
      <c r="AR543" s="165"/>
      <c r="AS543" s="55"/>
      <c r="AT543" s="55"/>
      <c r="AU543" s="55"/>
      <c r="AV543" s="55"/>
      <c r="AW543" s="55"/>
      <c r="AX543" s="55"/>
      <c r="AY543" s="55"/>
      <c r="AZ543" s="55"/>
      <c r="BA543" s="165"/>
      <c r="BB543" s="55"/>
      <c r="BC543" s="55"/>
      <c r="BD543" s="55"/>
      <c r="BE543" s="165"/>
      <c r="BF543" s="55"/>
      <c r="BG543" s="10"/>
      <c r="BH543" s="55"/>
      <c r="BI543" s="55"/>
      <c r="BJ543" s="55"/>
      <c r="BK543" s="55"/>
      <c r="BS543" s="141"/>
      <c r="CM543" s="141"/>
      <c r="DC543" s="141"/>
    </row>
    <row r="544" spans="1:107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55"/>
      <c r="R544" s="171"/>
      <c r="S544" s="161"/>
      <c r="T544" s="55"/>
      <c r="U544" s="55"/>
      <c r="V544" s="55"/>
      <c r="W544" s="155"/>
      <c r="X544" s="171"/>
      <c r="Y544" s="165"/>
      <c r="Z544" s="10"/>
      <c r="AA544" s="55"/>
      <c r="AB544" s="55"/>
      <c r="AC544" s="55"/>
      <c r="AD544" s="55"/>
      <c r="AE544" s="55"/>
      <c r="AF544" s="167"/>
      <c r="AG544" s="55"/>
      <c r="AH544" s="55"/>
      <c r="AI544" s="165"/>
      <c r="AJ544" s="55"/>
      <c r="AK544" s="55"/>
      <c r="AL544" s="55"/>
      <c r="AM544" s="55"/>
      <c r="AN544" s="55"/>
      <c r="AO544" s="55"/>
      <c r="AP544" s="55"/>
      <c r="AQ544" s="55"/>
      <c r="AR544" s="165"/>
      <c r="AS544" s="55"/>
      <c r="AT544" s="55"/>
      <c r="AU544" s="55"/>
      <c r="AV544" s="55"/>
      <c r="AW544" s="55"/>
      <c r="AX544" s="55"/>
      <c r="AY544" s="55"/>
      <c r="AZ544" s="55"/>
      <c r="BA544" s="165"/>
      <c r="BB544" s="55"/>
      <c r="BC544" s="55"/>
      <c r="BD544" s="55"/>
      <c r="BE544" s="165"/>
      <c r="BF544" s="55"/>
      <c r="BG544" s="10"/>
      <c r="BH544" s="55"/>
      <c r="BI544" s="55"/>
      <c r="BJ544" s="55"/>
      <c r="BK544" s="55"/>
      <c r="BS544" s="141"/>
      <c r="CM544" s="141"/>
      <c r="DC544" s="141"/>
    </row>
    <row r="545" spans="1:107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55"/>
      <c r="R545" s="171"/>
      <c r="S545" s="161"/>
      <c r="T545" s="55"/>
      <c r="U545" s="55"/>
      <c r="V545" s="55"/>
      <c r="W545" s="155"/>
      <c r="X545" s="171"/>
      <c r="Y545" s="165"/>
      <c r="Z545" s="10"/>
      <c r="AA545" s="55"/>
      <c r="AB545" s="55"/>
      <c r="AC545" s="55"/>
      <c r="AD545" s="55"/>
      <c r="AE545" s="55"/>
      <c r="AF545" s="167"/>
      <c r="AG545" s="55"/>
      <c r="AH545" s="55"/>
      <c r="AI545" s="165"/>
      <c r="AJ545" s="55"/>
      <c r="AK545" s="55"/>
      <c r="AL545" s="55"/>
      <c r="AM545" s="55"/>
      <c r="AN545" s="55"/>
      <c r="AO545" s="55"/>
      <c r="AP545" s="55"/>
      <c r="AQ545" s="55"/>
      <c r="AR545" s="165"/>
      <c r="AS545" s="55"/>
      <c r="AT545" s="55"/>
      <c r="AU545" s="55"/>
      <c r="AV545" s="55"/>
      <c r="AW545" s="55"/>
      <c r="AX545" s="55"/>
      <c r="AY545" s="55"/>
      <c r="AZ545" s="55"/>
      <c r="BA545" s="165"/>
      <c r="BB545" s="55"/>
      <c r="BC545" s="55"/>
      <c r="BD545" s="55"/>
      <c r="BE545" s="165"/>
      <c r="BF545" s="55"/>
      <c r="BG545" s="10"/>
      <c r="BH545" s="55"/>
      <c r="BI545" s="55"/>
      <c r="BJ545" s="55"/>
      <c r="BK545" s="55"/>
      <c r="BS545" s="141"/>
      <c r="CM545" s="141"/>
      <c r="DC545" s="141"/>
    </row>
    <row r="546" spans="1:107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55"/>
      <c r="R546" s="171"/>
      <c r="S546" s="161"/>
      <c r="T546" s="55"/>
      <c r="U546" s="55"/>
      <c r="V546" s="55"/>
      <c r="W546" s="155"/>
      <c r="X546" s="171"/>
      <c r="Y546" s="165"/>
      <c r="Z546" s="10"/>
      <c r="AA546" s="55"/>
      <c r="AB546" s="55"/>
      <c r="AC546" s="55"/>
      <c r="AD546" s="55"/>
      <c r="AE546" s="55"/>
      <c r="AF546" s="167"/>
      <c r="AG546" s="55"/>
      <c r="AH546" s="55"/>
      <c r="AI546" s="165"/>
      <c r="AJ546" s="55"/>
      <c r="AK546" s="55"/>
      <c r="AL546" s="55"/>
      <c r="AM546" s="55"/>
      <c r="AN546" s="55"/>
      <c r="AO546" s="55"/>
      <c r="AP546" s="55"/>
      <c r="AQ546" s="55"/>
      <c r="AR546" s="165"/>
      <c r="AS546" s="55"/>
      <c r="AT546" s="55"/>
      <c r="AU546" s="55"/>
      <c r="AV546" s="55"/>
      <c r="AW546" s="55"/>
      <c r="AX546" s="55"/>
      <c r="AY546" s="55"/>
      <c r="AZ546" s="55"/>
      <c r="BA546" s="165"/>
      <c r="BB546" s="55"/>
      <c r="BC546" s="55"/>
      <c r="BD546" s="55"/>
      <c r="BE546" s="165"/>
      <c r="BF546" s="55"/>
      <c r="BG546" s="10"/>
      <c r="BH546" s="55"/>
      <c r="BI546" s="55"/>
      <c r="BJ546" s="55"/>
      <c r="BK546" s="55"/>
      <c r="BS546" s="141"/>
      <c r="CM546" s="141"/>
      <c r="DC546" s="141"/>
    </row>
    <row r="547" spans="1:107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55"/>
      <c r="R547" s="171"/>
      <c r="S547" s="161"/>
      <c r="T547" s="55"/>
      <c r="U547" s="55"/>
      <c r="V547" s="55"/>
      <c r="W547" s="155"/>
      <c r="X547" s="171"/>
      <c r="Y547" s="165"/>
      <c r="Z547" s="10"/>
      <c r="AA547" s="55"/>
      <c r="AB547" s="55"/>
      <c r="AC547" s="55"/>
      <c r="AD547" s="55"/>
      <c r="AE547" s="55"/>
      <c r="AF547" s="167"/>
      <c r="AG547" s="55"/>
      <c r="AH547" s="55"/>
      <c r="AI547" s="165"/>
      <c r="AJ547" s="55"/>
      <c r="AK547" s="55"/>
      <c r="AL547" s="55"/>
      <c r="AM547" s="55"/>
      <c r="AN547" s="55"/>
      <c r="AO547" s="55"/>
      <c r="AP547" s="55"/>
      <c r="AQ547" s="55"/>
      <c r="AR547" s="165"/>
      <c r="AS547" s="55"/>
      <c r="AT547" s="55"/>
      <c r="AU547" s="55"/>
      <c r="AV547" s="55"/>
      <c r="AW547" s="55"/>
      <c r="AX547" s="55"/>
      <c r="AY547" s="55"/>
      <c r="AZ547" s="55"/>
      <c r="BA547" s="165"/>
      <c r="BB547" s="55"/>
      <c r="BC547" s="55"/>
      <c r="BD547" s="55"/>
      <c r="BE547" s="165"/>
      <c r="BF547" s="55"/>
      <c r="BG547" s="10"/>
      <c r="BH547" s="55"/>
      <c r="BI547" s="55"/>
      <c r="BJ547" s="55"/>
      <c r="BK547" s="55"/>
      <c r="BS547" s="141"/>
      <c r="CM547" s="141"/>
      <c r="DC547" s="141"/>
    </row>
    <row r="548" spans="1:107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55"/>
      <c r="R548" s="171"/>
      <c r="S548" s="161"/>
      <c r="T548" s="55"/>
      <c r="U548" s="55"/>
      <c r="V548" s="55"/>
      <c r="W548" s="155"/>
      <c r="X548" s="171"/>
      <c r="Y548" s="165"/>
      <c r="Z548" s="10"/>
      <c r="AA548" s="55"/>
      <c r="AB548" s="55"/>
      <c r="AC548" s="55"/>
      <c r="AD548" s="55"/>
      <c r="AE548" s="55"/>
      <c r="AF548" s="167"/>
      <c r="AG548" s="55"/>
      <c r="AH548" s="55"/>
      <c r="AI548" s="165"/>
      <c r="AJ548" s="55"/>
      <c r="AK548" s="55"/>
      <c r="AL548" s="55"/>
      <c r="AM548" s="55"/>
      <c r="AN548" s="55"/>
      <c r="AO548" s="55"/>
      <c r="AP548" s="55"/>
      <c r="AQ548" s="55"/>
      <c r="AR548" s="165"/>
      <c r="AS548" s="55"/>
      <c r="AT548" s="55"/>
      <c r="AU548" s="55"/>
      <c r="AV548" s="55"/>
      <c r="AW548" s="55"/>
      <c r="AX548" s="55"/>
      <c r="AY548" s="55"/>
      <c r="AZ548" s="55"/>
      <c r="BA548" s="165"/>
      <c r="BB548" s="55"/>
      <c r="BC548" s="55"/>
      <c r="BD548" s="55"/>
      <c r="BE548" s="165"/>
      <c r="BF548" s="55"/>
      <c r="BG548" s="10"/>
      <c r="BH548" s="55"/>
      <c r="BI548" s="55"/>
      <c r="BJ548" s="55"/>
      <c r="BK548" s="55"/>
      <c r="BS548" s="141"/>
      <c r="CM548" s="141"/>
      <c r="DC548" s="141"/>
    </row>
    <row r="549" spans="1:107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55"/>
      <c r="R549" s="171"/>
      <c r="S549" s="161"/>
      <c r="T549" s="55"/>
      <c r="U549" s="55"/>
      <c r="V549" s="55"/>
      <c r="W549" s="155"/>
      <c r="X549" s="171"/>
      <c r="Y549" s="165"/>
      <c r="Z549" s="10"/>
      <c r="AA549" s="55"/>
      <c r="AB549" s="55"/>
      <c r="AC549" s="55"/>
      <c r="AD549" s="55"/>
      <c r="AE549" s="55"/>
      <c r="AF549" s="167"/>
      <c r="AG549" s="55"/>
      <c r="AH549" s="55"/>
      <c r="AI549" s="165"/>
      <c r="AJ549" s="55"/>
      <c r="AK549" s="55"/>
      <c r="AL549" s="55"/>
      <c r="AM549" s="55"/>
      <c r="AN549" s="55"/>
      <c r="AO549" s="55"/>
      <c r="AP549" s="55"/>
      <c r="AQ549" s="55"/>
      <c r="AR549" s="165"/>
      <c r="AS549" s="55"/>
      <c r="AT549" s="55"/>
      <c r="AU549" s="55"/>
      <c r="AV549" s="55"/>
      <c r="AW549" s="55"/>
      <c r="AX549" s="55"/>
      <c r="AY549" s="55"/>
      <c r="AZ549" s="55"/>
      <c r="BA549" s="165"/>
      <c r="BB549" s="55"/>
      <c r="BC549" s="55"/>
      <c r="BD549" s="55"/>
      <c r="BE549" s="165"/>
      <c r="BF549" s="55"/>
      <c r="BG549" s="10"/>
      <c r="BH549" s="55"/>
      <c r="BI549" s="55"/>
      <c r="BJ549" s="55"/>
      <c r="BK549" s="55"/>
      <c r="BS549" s="141"/>
      <c r="CM549" s="141"/>
      <c r="DC549" s="141"/>
    </row>
    <row r="550" spans="1:107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55"/>
      <c r="R550" s="171"/>
      <c r="S550" s="161"/>
      <c r="T550" s="55"/>
      <c r="U550" s="55"/>
      <c r="V550" s="55"/>
      <c r="W550" s="155"/>
      <c r="X550" s="171"/>
      <c r="Y550" s="165"/>
      <c r="Z550" s="10"/>
      <c r="AA550" s="55"/>
      <c r="AB550" s="55"/>
      <c r="AC550" s="55"/>
      <c r="AD550" s="55"/>
      <c r="AE550" s="55"/>
      <c r="AF550" s="167"/>
      <c r="AG550" s="55"/>
      <c r="AH550" s="55"/>
      <c r="AI550" s="165"/>
      <c r="AJ550" s="55"/>
      <c r="AK550" s="55"/>
      <c r="AL550" s="55"/>
      <c r="AM550" s="55"/>
      <c r="AN550" s="55"/>
      <c r="AO550" s="55"/>
      <c r="AP550" s="55"/>
      <c r="AQ550" s="55"/>
      <c r="AR550" s="165"/>
      <c r="AS550" s="55"/>
      <c r="AT550" s="55"/>
      <c r="AU550" s="55"/>
      <c r="AV550" s="55"/>
      <c r="AW550" s="55"/>
      <c r="AX550" s="55"/>
      <c r="AY550" s="55"/>
      <c r="AZ550" s="55"/>
      <c r="BA550" s="165"/>
      <c r="BB550" s="55"/>
      <c r="BC550" s="55"/>
      <c r="BD550" s="55"/>
      <c r="BE550" s="165"/>
      <c r="BF550" s="55"/>
      <c r="BG550" s="10"/>
      <c r="BH550" s="55"/>
      <c r="BI550" s="55"/>
      <c r="BJ550" s="55"/>
      <c r="BK550" s="55"/>
      <c r="BS550" s="141"/>
      <c r="CM550" s="141"/>
      <c r="DC550" s="141"/>
    </row>
    <row r="551" spans="1:107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55"/>
      <c r="R551" s="171"/>
      <c r="S551" s="161"/>
      <c r="T551" s="55"/>
      <c r="U551" s="55"/>
      <c r="V551" s="55"/>
      <c r="W551" s="155"/>
      <c r="X551" s="171"/>
      <c r="Y551" s="165"/>
      <c r="Z551" s="10"/>
      <c r="AA551" s="55"/>
      <c r="AB551" s="55"/>
      <c r="AC551" s="55"/>
      <c r="AD551" s="55"/>
      <c r="AE551" s="55"/>
      <c r="AF551" s="167"/>
      <c r="AG551" s="55"/>
      <c r="AH551" s="55"/>
      <c r="AI551" s="165"/>
      <c r="AJ551" s="55"/>
      <c r="AK551" s="55"/>
      <c r="AL551" s="55"/>
      <c r="AM551" s="55"/>
      <c r="AN551" s="55"/>
      <c r="AO551" s="55"/>
      <c r="AP551" s="55"/>
      <c r="AQ551" s="55"/>
      <c r="AR551" s="165"/>
      <c r="AS551" s="55"/>
      <c r="AT551" s="55"/>
      <c r="AU551" s="55"/>
      <c r="AV551" s="55"/>
      <c r="AW551" s="55"/>
      <c r="AX551" s="55"/>
      <c r="AY551" s="55"/>
      <c r="AZ551" s="55"/>
      <c r="BA551" s="165"/>
      <c r="BB551" s="55"/>
      <c r="BC551" s="55"/>
      <c r="BD551" s="55"/>
      <c r="BE551" s="165"/>
      <c r="BF551" s="55"/>
      <c r="BG551" s="10"/>
      <c r="BH551" s="55"/>
      <c r="BI551" s="55"/>
      <c r="BJ551" s="55"/>
      <c r="BK551" s="55"/>
      <c r="BS551" s="141"/>
      <c r="CM551" s="141"/>
      <c r="DC551" s="141"/>
    </row>
    <row r="552" spans="1:107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55"/>
      <c r="R552" s="171"/>
      <c r="S552" s="161"/>
      <c r="T552" s="55"/>
      <c r="U552" s="55"/>
      <c r="V552" s="55"/>
      <c r="W552" s="155"/>
      <c r="X552" s="171"/>
      <c r="Y552" s="165"/>
      <c r="Z552" s="10"/>
      <c r="AA552" s="55"/>
      <c r="AB552" s="55"/>
      <c r="AC552" s="55"/>
      <c r="AD552" s="55"/>
      <c r="AE552" s="55"/>
      <c r="AF552" s="167"/>
      <c r="AG552" s="55"/>
      <c r="AH552" s="55"/>
      <c r="AI552" s="165"/>
      <c r="AJ552" s="55"/>
      <c r="AK552" s="55"/>
      <c r="AL552" s="55"/>
      <c r="AM552" s="55"/>
      <c r="AN552" s="55"/>
      <c r="AO552" s="55"/>
      <c r="AP552" s="55"/>
      <c r="AQ552" s="55"/>
      <c r="AR552" s="165"/>
      <c r="AS552" s="55"/>
      <c r="AT552" s="55"/>
      <c r="AU552" s="55"/>
      <c r="AV552" s="55"/>
      <c r="AW552" s="55"/>
      <c r="AX552" s="55"/>
      <c r="AY552" s="55"/>
      <c r="AZ552" s="55"/>
      <c r="BA552" s="165"/>
      <c r="BB552" s="55"/>
      <c r="BC552" s="55"/>
      <c r="BD552" s="55"/>
      <c r="BE552" s="165"/>
      <c r="BF552" s="55"/>
      <c r="BG552" s="10"/>
      <c r="BH552" s="55"/>
      <c r="BI552" s="55"/>
      <c r="BJ552" s="55"/>
      <c r="BK552" s="55"/>
      <c r="BS552" s="141"/>
      <c r="CM552" s="141"/>
      <c r="DC552" s="141"/>
    </row>
    <row r="553" spans="1:107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55"/>
      <c r="R553" s="171"/>
      <c r="S553" s="161"/>
      <c r="T553" s="55"/>
      <c r="U553" s="55"/>
      <c r="V553" s="55"/>
      <c r="W553" s="155"/>
      <c r="X553" s="171"/>
      <c r="Y553" s="165"/>
      <c r="Z553" s="10"/>
      <c r="AA553" s="55"/>
      <c r="AB553" s="55"/>
      <c r="AC553" s="55"/>
      <c r="AD553" s="55"/>
      <c r="AE553" s="55"/>
      <c r="AF553" s="167"/>
      <c r="AG553" s="55"/>
      <c r="AH553" s="55"/>
      <c r="AI553" s="165"/>
      <c r="AJ553" s="55"/>
      <c r="AK553" s="55"/>
      <c r="AL553" s="55"/>
      <c r="AM553" s="55"/>
      <c r="AN553" s="55"/>
      <c r="AO553" s="55"/>
      <c r="AP553" s="55"/>
      <c r="AQ553" s="55"/>
      <c r="AR553" s="165"/>
      <c r="AS553" s="55"/>
      <c r="AT553" s="55"/>
      <c r="AU553" s="55"/>
      <c r="AV553" s="55"/>
      <c r="AW553" s="55"/>
      <c r="AX553" s="55"/>
      <c r="AY553" s="55"/>
      <c r="AZ553" s="55"/>
      <c r="BA553" s="165"/>
      <c r="BB553" s="55"/>
      <c r="BC553" s="55"/>
      <c r="BD553" s="55"/>
      <c r="BE553" s="165"/>
      <c r="BF553" s="55"/>
      <c r="BG553" s="10"/>
      <c r="BH553" s="55"/>
      <c r="BI553" s="55"/>
      <c r="BJ553" s="55"/>
      <c r="BK553" s="55"/>
      <c r="BS553" s="141"/>
      <c r="CM553" s="141"/>
      <c r="DC553" s="141"/>
    </row>
    <row r="554" spans="1:107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55"/>
      <c r="R554" s="171"/>
      <c r="S554" s="161"/>
      <c r="T554" s="55"/>
      <c r="U554" s="55"/>
      <c r="V554" s="55"/>
      <c r="W554" s="155"/>
      <c r="X554" s="171"/>
      <c r="Y554" s="165"/>
      <c r="Z554" s="10"/>
      <c r="AA554" s="55"/>
      <c r="AB554" s="55"/>
      <c r="AC554" s="55"/>
      <c r="AD554" s="55"/>
      <c r="AE554" s="55"/>
      <c r="AF554" s="167"/>
      <c r="AG554" s="55"/>
      <c r="AH554" s="55"/>
      <c r="AI554" s="165"/>
      <c r="AJ554" s="55"/>
      <c r="AK554" s="55"/>
      <c r="AL554" s="55"/>
      <c r="AM554" s="55"/>
      <c r="AN554" s="55"/>
      <c r="AO554" s="55"/>
      <c r="AP554" s="55"/>
      <c r="AQ554" s="55"/>
      <c r="AR554" s="165"/>
      <c r="AS554" s="55"/>
      <c r="AT554" s="55"/>
      <c r="AU554" s="55"/>
      <c r="AV554" s="55"/>
      <c r="AW554" s="55"/>
      <c r="AX554" s="55"/>
      <c r="AY554" s="55"/>
      <c r="AZ554" s="55"/>
      <c r="BA554" s="165"/>
      <c r="BB554" s="55"/>
      <c r="BC554" s="55"/>
      <c r="BD554" s="55"/>
      <c r="BE554" s="165"/>
      <c r="BF554" s="55"/>
      <c r="BG554" s="10"/>
      <c r="BH554" s="55"/>
      <c r="BI554" s="55"/>
      <c r="BJ554" s="55"/>
      <c r="BK554" s="55"/>
      <c r="BS554" s="141"/>
      <c r="CM554" s="141"/>
      <c r="DC554" s="141"/>
    </row>
    <row r="555" spans="1:107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55"/>
      <c r="R555" s="171"/>
      <c r="S555" s="161"/>
      <c r="T555" s="55"/>
      <c r="U555" s="55"/>
      <c r="V555" s="55"/>
      <c r="W555" s="155"/>
      <c r="X555" s="171"/>
      <c r="Y555" s="165"/>
      <c r="Z555" s="10"/>
      <c r="AA555" s="55"/>
      <c r="AB555" s="55"/>
      <c r="AC555" s="55"/>
      <c r="AD555" s="55"/>
      <c r="AE555" s="55"/>
      <c r="AF555" s="167"/>
      <c r="AG555" s="55"/>
      <c r="AH555" s="55"/>
      <c r="AI555" s="165"/>
      <c r="AJ555" s="55"/>
      <c r="AK555" s="55"/>
      <c r="AL555" s="55"/>
      <c r="AM555" s="55"/>
      <c r="AN555" s="55"/>
      <c r="AO555" s="55"/>
      <c r="AP555" s="55"/>
      <c r="AQ555" s="55"/>
      <c r="AR555" s="165"/>
      <c r="AS555" s="55"/>
      <c r="AT555" s="55"/>
      <c r="AU555" s="55"/>
      <c r="AV555" s="55"/>
      <c r="AW555" s="55"/>
      <c r="AX555" s="55"/>
      <c r="AY555" s="55"/>
      <c r="AZ555" s="55"/>
      <c r="BA555" s="165"/>
      <c r="BB555" s="55"/>
      <c r="BC555" s="55"/>
      <c r="BD555" s="55"/>
      <c r="BE555" s="165"/>
      <c r="BF555" s="55"/>
      <c r="BG555" s="10"/>
      <c r="BH555" s="55"/>
      <c r="BI555" s="55"/>
      <c r="BJ555" s="55"/>
      <c r="BK555" s="55"/>
      <c r="BS555" s="141"/>
      <c r="CM555" s="141"/>
      <c r="DC555" s="141"/>
    </row>
    <row r="556" spans="1:107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55"/>
      <c r="R556" s="171"/>
      <c r="S556" s="161"/>
      <c r="T556" s="55"/>
      <c r="U556" s="55"/>
      <c r="V556" s="55"/>
      <c r="W556" s="155"/>
      <c r="X556" s="171"/>
      <c r="Y556" s="165"/>
      <c r="Z556" s="10"/>
      <c r="AA556" s="55"/>
      <c r="AB556" s="55"/>
      <c r="AC556" s="55"/>
      <c r="AD556" s="55"/>
      <c r="AE556" s="55"/>
      <c r="AF556" s="167"/>
      <c r="AG556" s="55"/>
      <c r="AH556" s="55"/>
      <c r="AI556" s="165"/>
      <c r="AJ556" s="55"/>
      <c r="AK556" s="55"/>
      <c r="AL556" s="55"/>
      <c r="AM556" s="55"/>
      <c r="AN556" s="55"/>
      <c r="AO556" s="55"/>
      <c r="AP556" s="55"/>
      <c r="AQ556" s="55"/>
      <c r="AR556" s="165"/>
      <c r="AS556" s="55"/>
      <c r="AT556" s="55"/>
      <c r="AU556" s="55"/>
      <c r="AV556" s="55"/>
      <c r="AW556" s="55"/>
      <c r="AX556" s="55"/>
      <c r="AY556" s="55"/>
      <c r="AZ556" s="55"/>
      <c r="BA556" s="165"/>
      <c r="BB556" s="55"/>
      <c r="BC556" s="55"/>
      <c r="BD556" s="55"/>
      <c r="BE556" s="165"/>
      <c r="BF556" s="55"/>
      <c r="BG556" s="10"/>
      <c r="BH556" s="55"/>
      <c r="BI556" s="55"/>
      <c r="BJ556" s="55"/>
      <c r="BK556" s="55"/>
      <c r="BS556" s="141"/>
      <c r="CM556" s="141"/>
      <c r="DC556" s="141"/>
    </row>
    <row r="557" spans="1:107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55"/>
      <c r="R557" s="171"/>
      <c r="S557" s="161"/>
      <c r="T557" s="55"/>
      <c r="U557" s="55"/>
      <c r="V557" s="55"/>
      <c r="W557" s="155"/>
      <c r="X557" s="171"/>
      <c r="Y557" s="165"/>
      <c r="Z557" s="10"/>
      <c r="AA557" s="55"/>
      <c r="AB557" s="55"/>
      <c r="AC557" s="55"/>
      <c r="AD557" s="55"/>
      <c r="AE557" s="55"/>
      <c r="AF557" s="167"/>
      <c r="AG557" s="55"/>
      <c r="AH557" s="55"/>
      <c r="AI557" s="165"/>
      <c r="AJ557" s="55"/>
      <c r="AK557" s="55"/>
      <c r="AL557" s="55"/>
      <c r="AM557" s="55"/>
      <c r="AN557" s="55"/>
      <c r="AO557" s="55"/>
      <c r="AP557" s="55"/>
      <c r="AQ557" s="55"/>
      <c r="AR557" s="165"/>
      <c r="AS557" s="55"/>
      <c r="AT557" s="55"/>
      <c r="AU557" s="55"/>
      <c r="AV557" s="55"/>
      <c r="AW557" s="55"/>
      <c r="AX557" s="55"/>
      <c r="AY557" s="55"/>
      <c r="AZ557" s="55"/>
      <c r="BA557" s="165"/>
      <c r="BB557" s="55"/>
      <c r="BC557" s="55"/>
      <c r="BD557" s="55"/>
      <c r="BE557" s="165"/>
      <c r="BF557" s="55"/>
      <c r="BG557" s="10"/>
      <c r="BH557" s="55"/>
      <c r="BI557" s="55"/>
      <c r="BJ557" s="55"/>
      <c r="BK557" s="55"/>
      <c r="BS557" s="141"/>
      <c r="CM557" s="141"/>
      <c r="DC557" s="141"/>
    </row>
    <row r="558" spans="1:107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55"/>
      <c r="R558" s="171"/>
      <c r="S558" s="161"/>
      <c r="T558" s="55"/>
      <c r="U558" s="55"/>
      <c r="V558" s="55"/>
      <c r="W558" s="155"/>
      <c r="X558" s="171"/>
      <c r="Y558" s="165"/>
      <c r="Z558" s="10"/>
      <c r="AA558" s="55"/>
      <c r="AB558" s="55"/>
      <c r="AC558" s="55"/>
      <c r="AD558" s="55"/>
      <c r="AE558" s="55"/>
      <c r="AF558" s="167"/>
      <c r="AG558" s="55"/>
      <c r="AH558" s="55"/>
      <c r="AI558" s="165"/>
      <c r="AJ558" s="55"/>
      <c r="AK558" s="55"/>
      <c r="AL558" s="55"/>
      <c r="AM558" s="55"/>
      <c r="AN558" s="55"/>
      <c r="AO558" s="55"/>
      <c r="AP558" s="55"/>
      <c r="AQ558" s="55"/>
      <c r="AR558" s="165"/>
      <c r="AS558" s="55"/>
      <c r="AT558" s="55"/>
      <c r="AU558" s="55"/>
      <c r="AV558" s="55"/>
      <c r="AW558" s="55"/>
      <c r="AX558" s="55"/>
      <c r="AY558" s="55"/>
      <c r="AZ558" s="55"/>
      <c r="BA558" s="165"/>
      <c r="BB558" s="55"/>
      <c r="BC558" s="55"/>
      <c r="BD558" s="55"/>
      <c r="BE558" s="165"/>
      <c r="BF558" s="55"/>
      <c r="BG558" s="10"/>
      <c r="BH558" s="55"/>
      <c r="BI558" s="55"/>
      <c r="BJ558" s="55"/>
      <c r="BK558" s="55"/>
      <c r="BS558" s="141"/>
      <c r="CM558" s="141"/>
      <c r="DC558" s="141"/>
    </row>
    <row r="559" spans="1:107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55"/>
      <c r="R559" s="171"/>
      <c r="S559" s="161"/>
      <c r="T559" s="55"/>
      <c r="U559" s="55"/>
      <c r="V559" s="55"/>
      <c r="W559" s="155"/>
      <c r="X559" s="171"/>
      <c r="Y559" s="165"/>
      <c r="Z559" s="10"/>
      <c r="AA559" s="55"/>
      <c r="AB559" s="55"/>
      <c r="AC559" s="55"/>
      <c r="AD559" s="55"/>
      <c r="AE559" s="55"/>
      <c r="AF559" s="167"/>
      <c r="AG559" s="55"/>
      <c r="AH559" s="55"/>
      <c r="AI559" s="165"/>
      <c r="AJ559" s="55"/>
      <c r="AK559" s="55"/>
      <c r="AL559" s="55"/>
      <c r="AM559" s="55"/>
      <c r="AN559" s="55"/>
      <c r="AO559" s="55"/>
      <c r="AP559" s="55"/>
      <c r="AQ559" s="55"/>
      <c r="AR559" s="165"/>
      <c r="AS559" s="55"/>
      <c r="AT559" s="55"/>
      <c r="AU559" s="55"/>
      <c r="AV559" s="55"/>
      <c r="AW559" s="55"/>
      <c r="AX559" s="55"/>
      <c r="AY559" s="55"/>
      <c r="AZ559" s="55"/>
      <c r="BA559" s="165"/>
      <c r="BB559" s="55"/>
      <c r="BC559" s="55"/>
      <c r="BD559" s="55"/>
      <c r="BE559" s="165"/>
      <c r="BF559" s="55"/>
      <c r="BG559" s="10"/>
      <c r="BH559" s="55"/>
      <c r="BI559" s="55"/>
      <c r="BJ559" s="55"/>
      <c r="BK559" s="55"/>
      <c r="BS559" s="141"/>
      <c r="CM559" s="141"/>
      <c r="DC559" s="141"/>
    </row>
    <row r="560" spans="1:107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55"/>
      <c r="R560" s="171"/>
      <c r="S560" s="161"/>
      <c r="T560" s="55"/>
      <c r="U560" s="55"/>
      <c r="V560" s="55"/>
      <c r="W560" s="155"/>
      <c r="X560" s="171"/>
      <c r="Y560" s="165"/>
      <c r="Z560" s="10"/>
      <c r="AA560" s="55"/>
      <c r="AB560" s="55"/>
      <c r="AC560" s="55"/>
      <c r="AD560" s="55"/>
      <c r="AE560" s="55"/>
      <c r="AF560" s="167"/>
      <c r="AG560" s="55"/>
      <c r="AH560" s="55"/>
      <c r="AI560" s="165"/>
      <c r="AJ560" s="55"/>
      <c r="AK560" s="55"/>
      <c r="AL560" s="55"/>
      <c r="AM560" s="55"/>
      <c r="AN560" s="55"/>
      <c r="AO560" s="55"/>
      <c r="AP560" s="55"/>
      <c r="AQ560" s="55"/>
      <c r="AR560" s="165"/>
      <c r="AS560" s="55"/>
      <c r="AT560" s="55"/>
      <c r="AU560" s="55"/>
      <c r="AV560" s="55"/>
      <c r="AW560" s="55"/>
      <c r="AX560" s="55"/>
      <c r="AY560" s="55"/>
      <c r="AZ560" s="55"/>
      <c r="BA560" s="165"/>
      <c r="BB560" s="55"/>
      <c r="BC560" s="55"/>
      <c r="BD560" s="55"/>
      <c r="BE560" s="165"/>
      <c r="BF560" s="55"/>
      <c r="BG560" s="10"/>
      <c r="BH560" s="55"/>
      <c r="BI560" s="55"/>
      <c r="BJ560" s="55"/>
      <c r="BK560" s="55"/>
      <c r="BS560" s="141"/>
      <c r="CM560" s="141"/>
      <c r="DC560" s="141"/>
    </row>
    <row r="561" spans="1:107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55"/>
      <c r="R561" s="171"/>
      <c r="S561" s="161"/>
      <c r="T561" s="55"/>
      <c r="U561" s="55"/>
      <c r="V561" s="55"/>
      <c r="W561" s="155"/>
      <c r="X561" s="171"/>
      <c r="Y561" s="165"/>
      <c r="Z561" s="10"/>
      <c r="AA561" s="55"/>
      <c r="AB561" s="55"/>
      <c r="AC561" s="55"/>
      <c r="AD561" s="55"/>
      <c r="AE561" s="55"/>
      <c r="AF561" s="167"/>
      <c r="AG561" s="55"/>
      <c r="AH561" s="55"/>
      <c r="AI561" s="165"/>
      <c r="AJ561" s="55"/>
      <c r="AK561" s="55"/>
      <c r="AL561" s="55"/>
      <c r="AM561" s="55"/>
      <c r="AN561" s="55"/>
      <c r="AO561" s="55"/>
      <c r="AP561" s="55"/>
      <c r="AQ561" s="55"/>
      <c r="AR561" s="165"/>
      <c r="AS561" s="55"/>
      <c r="AT561" s="55"/>
      <c r="AU561" s="55"/>
      <c r="AV561" s="55"/>
      <c r="AW561" s="55"/>
      <c r="AX561" s="55"/>
      <c r="AY561" s="55"/>
      <c r="AZ561" s="55"/>
      <c r="BA561" s="165"/>
      <c r="BB561" s="55"/>
      <c r="BC561" s="55"/>
      <c r="BD561" s="55"/>
      <c r="BE561" s="165"/>
      <c r="BF561" s="55"/>
      <c r="BG561" s="10"/>
      <c r="BH561" s="55"/>
      <c r="BI561" s="55"/>
      <c r="BJ561" s="55"/>
      <c r="BK561" s="55"/>
      <c r="BS561" s="141"/>
      <c r="CM561" s="141"/>
      <c r="DC561" s="141"/>
    </row>
    <row r="562" spans="1:107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55"/>
      <c r="R562" s="171"/>
      <c r="S562" s="161"/>
      <c r="T562" s="55"/>
      <c r="U562" s="55"/>
      <c r="V562" s="55"/>
      <c r="W562" s="155"/>
      <c r="X562" s="171"/>
      <c r="Y562" s="165"/>
      <c r="Z562" s="10"/>
      <c r="AA562" s="55"/>
      <c r="AB562" s="55"/>
      <c r="AC562" s="55"/>
      <c r="AD562" s="55"/>
      <c r="AE562" s="55"/>
      <c r="AF562" s="167"/>
      <c r="AG562" s="55"/>
      <c r="AH562" s="55"/>
      <c r="AI562" s="165"/>
      <c r="AJ562" s="55"/>
      <c r="AK562" s="55"/>
      <c r="AL562" s="55"/>
      <c r="AM562" s="55"/>
      <c r="AN562" s="55"/>
      <c r="AO562" s="55"/>
      <c r="AP562" s="55"/>
      <c r="AQ562" s="55"/>
      <c r="AR562" s="165"/>
      <c r="AS562" s="55"/>
      <c r="AT562" s="55"/>
      <c r="AU562" s="55"/>
      <c r="AV562" s="55"/>
      <c r="AW562" s="55"/>
      <c r="AX562" s="55"/>
      <c r="AY562" s="55"/>
      <c r="AZ562" s="55"/>
      <c r="BA562" s="165"/>
      <c r="BB562" s="55"/>
      <c r="BC562" s="55"/>
      <c r="BD562" s="55"/>
      <c r="BE562" s="165"/>
      <c r="BF562" s="55"/>
      <c r="BG562" s="10"/>
      <c r="BH562" s="55"/>
      <c r="BI562" s="55"/>
      <c r="BJ562" s="55"/>
      <c r="BK562" s="55"/>
      <c r="BS562" s="141"/>
      <c r="CM562" s="141"/>
      <c r="DC562" s="141"/>
    </row>
    <row r="563" spans="1:107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55"/>
      <c r="R563" s="171"/>
      <c r="S563" s="161"/>
      <c r="T563" s="55"/>
      <c r="U563" s="55"/>
      <c r="V563" s="55"/>
      <c r="W563" s="155"/>
      <c r="X563" s="171"/>
      <c r="Y563" s="165"/>
      <c r="Z563" s="10"/>
      <c r="AA563" s="55"/>
      <c r="AB563" s="55"/>
      <c r="AC563" s="55"/>
      <c r="AD563" s="55"/>
      <c r="AE563" s="55"/>
      <c r="AF563" s="167"/>
      <c r="AG563" s="55"/>
      <c r="AH563" s="55"/>
      <c r="AI563" s="165"/>
      <c r="AJ563" s="55"/>
      <c r="AK563" s="55"/>
      <c r="AL563" s="55"/>
      <c r="AM563" s="55"/>
      <c r="AN563" s="55"/>
      <c r="AO563" s="55"/>
      <c r="AP563" s="55"/>
      <c r="AQ563" s="55"/>
      <c r="AR563" s="165"/>
      <c r="AS563" s="55"/>
      <c r="AT563" s="55"/>
      <c r="AU563" s="55"/>
      <c r="AV563" s="55"/>
      <c r="AW563" s="55"/>
      <c r="AX563" s="55"/>
      <c r="AY563" s="55"/>
      <c r="AZ563" s="55"/>
      <c r="BA563" s="165"/>
      <c r="BB563" s="55"/>
      <c r="BC563" s="55"/>
      <c r="BD563" s="55"/>
      <c r="BE563" s="165"/>
      <c r="BF563" s="55"/>
      <c r="BG563" s="10"/>
      <c r="BH563" s="55"/>
      <c r="BI563" s="55"/>
      <c r="BJ563" s="55"/>
      <c r="BK563" s="55"/>
      <c r="BS563" s="141"/>
      <c r="CM563" s="141"/>
      <c r="DC563" s="141"/>
    </row>
    <row r="564" spans="1:107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55"/>
      <c r="R564" s="171"/>
      <c r="S564" s="161"/>
      <c r="T564" s="55"/>
      <c r="U564" s="55"/>
      <c r="V564" s="55"/>
      <c r="W564" s="155"/>
      <c r="X564" s="171"/>
      <c r="Y564" s="165"/>
      <c r="Z564" s="10"/>
      <c r="AA564" s="55"/>
      <c r="AB564" s="55"/>
      <c r="AC564" s="55"/>
      <c r="AD564" s="55"/>
      <c r="AE564" s="55"/>
      <c r="AF564" s="167"/>
      <c r="AG564" s="55"/>
      <c r="AH564" s="55"/>
      <c r="AI564" s="165"/>
      <c r="AJ564" s="55"/>
      <c r="AK564" s="55"/>
      <c r="AL564" s="55"/>
      <c r="AM564" s="55"/>
      <c r="AN564" s="55"/>
      <c r="AO564" s="55"/>
      <c r="AP564" s="55"/>
      <c r="AQ564" s="55"/>
      <c r="AR564" s="165"/>
      <c r="AS564" s="55"/>
      <c r="AT564" s="55"/>
      <c r="AU564" s="55"/>
      <c r="AV564" s="55"/>
      <c r="AW564" s="55"/>
      <c r="AX564" s="55"/>
      <c r="AY564" s="55"/>
      <c r="AZ564" s="55"/>
      <c r="BA564" s="165"/>
      <c r="BB564" s="55"/>
      <c r="BC564" s="55"/>
      <c r="BD564" s="55"/>
      <c r="BE564" s="165"/>
      <c r="BF564" s="55"/>
      <c r="BG564" s="10"/>
      <c r="BH564" s="55"/>
      <c r="BI564" s="55"/>
      <c r="BJ564" s="55"/>
      <c r="BK564" s="55"/>
      <c r="BS564" s="141"/>
      <c r="CM564" s="141"/>
      <c r="DC564" s="141"/>
    </row>
    <row r="565" spans="1:107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55"/>
      <c r="R565" s="171"/>
      <c r="S565" s="161"/>
      <c r="T565" s="55"/>
      <c r="U565" s="55"/>
      <c r="V565" s="55"/>
      <c r="W565" s="155"/>
      <c r="X565" s="171"/>
      <c r="Y565" s="165"/>
      <c r="Z565" s="10"/>
      <c r="AA565" s="55"/>
      <c r="AB565" s="55"/>
      <c r="AC565" s="55"/>
      <c r="AD565" s="55"/>
      <c r="AE565" s="55"/>
      <c r="AF565" s="167"/>
      <c r="AG565" s="55"/>
      <c r="AH565" s="55"/>
      <c r="AI565" s="165"/>
      <c r="AJ565" s="55"/>
      <c r="AK565" s="55"/>
      <c r="AL565" s="55"/>
      <c r="AM565" s="55"/>
      <c r="AN565" s="55"/>
      <c r="AO565" s="55"/>
      <c r="AP565" s="55"/>
      <c r="AQ565" s="55"/>
      <c r="AR565" s="165"/>
      <c r="AS565" s="55"/>
      <c r="AT565" s="55"/>
      <c r="AU565" s="55"/>
      <c r="AV565" s="55"/>
      <c r="AW565" s="55"/>
      <c r="AX565" s="55"/>
      <c r="AY565" s="55"/>
      <c r="AZ565" s="55"/>
      <c r="BA565" s="165"/>
      <c r="BB565" s="55"/>
      <c r="BC565" s="55"/>
      <c r="BD565" s="55"/>
      <c r="BE565" s="165"/>
      <c r="BF565" s="55"/>
      <c r="BG565" s="10"/>
      <c r="BH565" s="55"/>
      <c r="BI565" s="55"/>
      <c r="BJ565" s="55"/>
      <c r="BK565" s="55"/>
      <c r="BS565" s="141"/>
      <c r="CM565" s="141"/>
      <c r="DC565" s="141"/>
    </row>
    <row r="566" spans="1:107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55"/>
      <c r="R566" s="171"/>
      <c r="S566" s="161"/>
      <c r="T566" s="55"/>
      <c r="U566" s="55"/>
      <c r="V566" s="55"/>
      <c r="W566" s="155"/>
      <c r="X566" s="171"/>
      <c r="Y566" s="165"/>
      <c r="Z566" s="10"/>
      <c r="AA566" s="55"/>
      <c r="AB566" s="55"/>
      <c r="AC566" s="55"/>
      <c r="AD566" s="55"/>
      <c r="AE566" s="55"/>
      <c r="AF566" s="167"/>
      <c r="AG566" s="55"/>
      <c r="AH566" s="55"/>
      <c r="AI566" s="165"/>
      <c r="AJ566" s="55"/>
      <c r="AK566" s="55"/>
      <c r="AL566" s="55"/>
      <c r="AM566" s="55"/>
      <c r="AN566" s="55"/>
      <c r="AO566" s="55"/>
      <c r="AP566" s="55"/>
      <c r="AQ566" s="55"/>
      <c r="AR566" s="165"/>
      <c r="AS566" s="55"/>
      <c r="AT566" s="55"/>
      <c r="AU566" s="55"/>
      <c r="AV566" s="55"/>
      <c r="AW566" s="55"/>
      <c r="AX566" s="55"/>
      <c r="AY566" s="55"/>
      <c r="AZ566" s="55"/>
      <c r="BA566" s="165"/>
      <c r="BB566" s="55"/>
      <c r="BC566" s="55"/>
      <c r="BD566" s="55"/>
      <c r="BE566" s="165"/>
      <c r="BF566" s="55"/>
      <c r="BG566" s="10"/>
      <c r="BH566" s="55"/>
      <c r="BI566" s="55"/>
      <c r="BJ566" s="55"/>
      <c r="BK566" s="55"/>
      <c r="BS566" s="141"/>
      <c r="CM566" s="141"/>
      <c r="DC566" s="141"/>
    </row>
    <row r="567" spans="1:107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55"/>
      <c r="R567" s="171"/>
      <c r="S567" s="161"/>
      <c r="T567" s="55"/>
      <c r="U567" s="55"/>
      <c r="V567" s="55"/>
      <c r="W567" s="155"/>
      <c r="X567" s="171"/>
      <c r="Y567" s="165"/>
      <c r="Z567" s="10"/>
      <c r="AA567" s="55"/>
      <c r="AB567" s="55"/>
      <c r="AC567" s="55"/>
      <c r="AD567" s="55"/>
      <c r="AE567" s="55"/>
      <c r="AF567" s="167"/>
      <c r="AG567" s="55"/>
      <c r="AH567" s="55"/>
      <c r="AI567" s="165"/>
      <c r="AJ567" s="55"/>
      <c r="AK567" s="55"/>
      <c r="AL567" s="55"/>
      <c r="AM567" s="55"/>
      <c r="AN567" s="55"/>
      <c r="AO567" s="55"/>
      <c r="AP567" s="55"/>
      <c r="AQ567" s="55"/>
      <c r="AR567" s="165"/>
      <c r="AS567" s="55"/>
      <c r="AT567" s="55"/>
      <c r="AU567" s="55"/>
      <c r="AV567" s="55"/>
      <c r="AW567" s="55"/>
      <c r="AX567" s="55"/>
      <c r="AY567" s="55"/>
      <c r="AZ567" s="55"/>
      <c r="BA567" s="165"/>
      <c r="BB567" s="55"/>
      <c r="BC567" s="55"/>
      <c r="BD567" s="55"/>
      <c r="BE567" s="165"/>
      <c r="BF567" s="55"/>
      <c r="BG567" s="10"/>
      <c r="BH567" s="55"/>
      <c r="BI567" s="55"/>
      <c r="BJ567" s="55"/>
      <c r="BK567" s="55"/>
      <c r="BS567" s="141"/>
      <c r="CM567" s="141"/>
      <c r="DC567" s="141"/>
    </row>
    <row r="568" spans="1:107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55"/>
      <c r="R568" s="171"/>
      <c r="S568" s="161"/>
      <c r="T568" s="55"/>
      <c r="U568" s="55"/>
      <c r="V568" s="55"/>
      <c r="W568" s="155"/>
      <c r="X568" s="171"/>
      <c r="Y568" s="165"/>
      <c r="Z568" s="10"/>
      <c r="AA568" s="55"/>
      <c r="AB568" s="55"/>
      <c r="AC568" s="55"/>
      <c r="AD568" s="55"/>
      <c r="AE568" s="55"/>
      <c r="AF568" s="167"/>
      <c r="AG568" s="55"/>
      <c r="AH568" s="55"/>
      <c r="AI568" s="165"/>
      <c r="AJ568" s="55"/>
      <c r="AK568" s="55"/>
      <c r="AL568" s="55"/>
      <c r="AM568" s="55"/>
      <c r="AN568" s="55"/>
      <c r="AO568" s="55"/>
      <c r="AP568" s="55"/>
      <c r="AQ568" s="55"/>
      <c r="AR568" s="165"/>
      <c r="AS568" s="55"/>
      <c r="AT568" s="55"/>
      <c r="AU568" s="55"/>
      <c r="AV568" s="55"/>
      <c r="AW568" s="55"/>
      <c r="AX568" s="55"/>
      <c r="AY568" s="55"/>
      <c r="AZ568" s="55"/>
      <c r="BA568" s="165"/>
      <c r="BB568" s="55"/>
      <c r="BC568" s="55"/>
      <c r="BD568" s="55"/>
      <c r="BE568" s="165"/>
      <c r="BF568" s="55"/>
      <c r="BG568" s="10"/>
      <c r="BH568" s="55"/>
      <c r="BI568" s="55"/>
      <c r="BJ568" s="55"/>
      <c r="BK568" s="55"/>
      <c r="BS568" s="141"/>
      <c r="CM568" s="141"/>
      <c r="DC568" s="141"/>
    </row>
    <row r="569" spans="1:107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55"/>
      <c r="R569" s="171"/>
      <c r="S569" s="161"/>
      <c r="T569" s="55"/>
      <c r="U569" s="55"/>
      <c r="V569" s="55"/>
      <c r="W569" s="155"/>
      <c r="X569" s="171"/>
      <c r="Y569" s="165"/>
      <c r="Z569" s="10"/>
      <c r="AA569" s="55"/>
      <c r="AB569" s="55"/>
      <c r="AC569" s="55"/>
      <c r="AD569" s="55"/>
      <c r="AE569" s="55"/>
      <c r="AF569" s="167"/>
      <c r="AG569" s="55"/>
      <c r="AH569" s="55"/>
      <c r="AI569" s="165"/>
      <c r="AJ569" s="55"/>
      <c r="AK569" s="55"/>
      <c r="AL569" s="55"/>
      <c r="AM569" s="55"/>
      <c r="AN569" s="55"/>
      <c r="AO569" s="55"/>
      <c r="AP569" s="55"/>
      <c r="AQ569" s="55"/>
      <c r="AR569" s="165"/>
      <c r="AS569" s="55"/>
      <c r="AT569" s="55"/>
      <c r="AU569" s="55"/>
      <c r="AV569" s="55"/>
      <c r="AW569" s="55"/>
      <c r="AX569" s="55"/>
      <c r="AY569" s="55"/>
      <c r="AZ569" s="55"/>
      <c r="BA569" s="165"/>
      <c r="BB569" s="55"/>
      <c r="BC569" s="55"/>
      <c r="BD569" s="55"/>
      <c r="BE569" s="165"/>
      <c r="BF569" s="55"/>
      <c r="BG569" s="10"/>
      <c r="BH569" s="55"/>
      <c r="BI569" s="55"/>
      <c r="BJ569" s="55"/>
      <c r="BK569" s="55"/>
      <c r="BS569" s="141"/>
      <c r="CM569" s="141"/>
      <c r="DC569" s="141"/>
    </row>
    <row r="570" spans="1:107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55"/>
      <c r="R570" s="171"/>
      <c r="S570" s="161"/>
      <c r="T570" s="55"/>
      <c r="U570" s="55"/>
      <c r="V570" s="55"/>
      <c r="W570" s="155"/>
      <c r="X570" s="171"/>
      <c r="Y570" s="165"/>
      <c r="Z570" s="10"/>
      <c r="AA570" s="55"/>
      <c r="AB570" s="55"/>
      <c r="AC570" s="55"/>
      <c r="AD570" s="55"/>
      <c r="AE570" s="55"/>
      <c r="AF570" s="167"/>
      <c r="AG570" s="55"/>
      <c r="AH570" s="55"/>
      <c r="AI570" s="165"/>
      <c r="AJ570" s="55"/>
      <c r="AK570" s="55"/>
      <c r="AL570" s="55"/>
      <c r="AM570" s="55"/>
      <c r="AN570" s="55"/>
      <c r="AO570" s="55"/>
      <c r="AP570" s="55"/>
      <c r="AQ570" s="55"/>
      <c r="AR570" s="165"/>
      <c r="AS570" s="55"/>
      <c r="AT570" s="55"/>
      <c r="AU570" s="55"/>
      <c r="AV570" s="55"/>
      <c r="AW570" s="55"/>
      <c r="AX570" s="55"/>
      <c r="AY570" s="55"/>
      <c r="AZ570" s="55"/>
      <c r="BA570" s="165"/>
      <c r="BB570" s="55"/>
      <c r="BC570" s="55"/>
      <c r="BD570" s="55"/>
      <c r="BE570" s="165"/>
      <c r="BF570" s="55"/>
      <c r="BG570" s="10"/>
      <c r="BH570" s="55"/>
      <c r="BI570" s="55"/>
      <c r="BJ570" s="55"/>
      <c r="BK570" s="55"/>
      <c r="BS570" s="141"/>
      <c r="CM570" s="141"/>
      <c r="DC570" s="141"/>
    </row>
    <row r="571" spans="1:107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55"/>
      <c r="R571" s="171"/>
      <c r="S571" s="161"/>
      <c r="T571" s="55"/>
      <c r="U571" s="55"/>
      <c r="V571" s="55"/>
      <c r="W571" s="155"/>
      <c r="X571" s="171"/>
      <c r="Y571" s="165"/>
      <c r="Z571" s="10"/>
      <c r="AA571" s="55"/>
      <c r="AB571" s="55"/>
      <c r="AC571" s="55"/>
      <c r="AD571" s="55"/>
      <c r="AE571" s="55"/>
      <c r="AF571" s="167"/>
      <c r="AG571" s="55"/>
      <c r="AH571" s="55"/>
      <c r="AI571" s="165"/>
      <c r="AJ571" s="55"/>
      <c r="AK571" s="55"/>
      <c r="AL571" s="55"/>
      <c r="AM571" s="55"/>
      <c r="AN571" s="55"/>
      <c r="AO571" s="55"/>
      <c r="AP571" s="55"/>
      <c r="AQ571" s="55"/>
      <c r="AR571" s="165"/>
      <c r="AS571" s="55"/>
      <c r="AT571" s="55"/>
      <c r="AU571" s="55"/>
      <c r="AV571" s="55"/>
      <c r="AW571" s="55"/>
      <c r="AX571" s="55"/>
      <c r="AY571" s="55"/>
      <c r="AZ571" s="55"/>
      <c r="BA571" s="165"/>
      <c r="BB571" s="55"/>
      <c r="BC571" s="55"/>
      <c r="BD571" s="55"/>
      <c r="BE571" s="165"/>
      <c r="BF571" s="55"/>
      <c r="BG571" s="10"/>
      <c r="BH571" s="55"/>
      <c r="BI571" s="55"/>
      <c r="BJ571" s="55"/>
      <c r="BK571" s="55"/>
      <c r="BS571" s="141"/>
      <c r="CM571" s="141"/>
      <c r="DC571" s="141"/>
    </row>
    <row r="572" spans="1:107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55"/>
      <c r="R572" s="171"/>
      <c r="S572" s="161"/>
      <c r="T572" s="55"/>
      <c r="U572" s="55"/>
      <c r="V572" s="55"/>
      <c r="W572" s="155"/>
      <c r="X572" s="171"/>
      <c r="Y572" s="165"/>
      <c r="Z572" s="10"/>
      <c r="AA572" s="55"/>
      <c r="AB572" s="55"/>
      <c r="AC572" s="55"/>
      <c r="AD572" s="55"/>
      <c r="AE572" s="55"/>
      <c r="AF572" s="167"/>
      <c r="AG572" s="55"/>
      <c r="AH572" s="55"/>
      <c r="AI572" s="165"/>
      <c r="AJ572" s="55"/>
      <c r="AK572" s="55"/>
      <c r="AL572" s="55"/>
      <c r="AM572" s="55"/>
      <c r="AN572" s="55"/>
      <c r="AO572" s="55"/>
      <c r="AP572" s="55"/>
      <c r="AQ572" s="55"/>
      <c r="AR572" s="165"/>
      <c r="AS572" s="55"/>
      <c r="AT572" s="55"/>
      <c r="AU572" s="55"/>
      <c r="AV572" s="55"/>
      <c r="AW572" s="55"/>
      <c r="AX572" s="55"/>
      <c r="AY572" s="55"/>
      <c r="AZ572" s="55"/>
      <c r="BA572" s="165"/>
      <c r="BB572" s="55"/>
      <c r="BC572" s="55"/>
      <c r="BD572" s="55"/>
      <c r="BE572" s="165"/>
      <c r="BF572" s="55"/>
      <c r="BG572" s="10"/>
      <c r="BH572" s="55"/>
      <c r="BI572" s="55"/>
      <c r="BJ572" s="55"/>
      <c r="BK572" s="55"/>
      <c r="BS572" s="141"/>
      <c r="CM572" s="141"/>
      <c r="DC572" s="141"/>
    </row>
    <row r="573" spans="1:107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55"/>
      <c r="R573" s="171"/>
      <c r="S573" s="161"/>
      <c r="T573" s="55"/>
      <c r="U573" s="55"/>
      <c r="V573" s="55"/>
      <c r="W573" s="155"/>
      <c r="X573" s="171"/>
      <c r="Y573" s="165"/>
      <c r="Z573" s="10"/>
      <c r="AA573" s="55"/>
      <c r="AB573" s="55"/>
      <c r="AC573" s="55"/>
      <c r="AD573" s="55"/>
      <c r="AE573" s="55"/>
      <c r="AF573" s="167"/>
      <c r="AG573" s="55"/>
      <c r="AH573" s="55"/>
      <c r="AI573" s="165"/>
      <c r="AJ573" s="55"/>
      <c r="AK573" s="55"/>
      <c r="AL573" s="55"/>
      <c r="AM573" s="55"/>
      <c r="AN573" s="55"/>
      <c r="AO573" s="55"/>
      <c r="AP573" s="55"/>
      <c r="AQ573" s="55"/>
      <c r="AR573" s="165"/>
      <c r="AS573" s="55"/>
      <c r="AT573" s="55"/>
      <c r="AU573" s="55"/>
      <c r="AV573" s="55"/>
      <c r="AW573" s="55"/>
      <c r="AX573" s="55"/>
      <c r="AY573" s="55"/>
      <c r="AZ573" s="55"/>
      <c r="BA573" s="165"/>
      <c r="BB573" s="55"/>
      <c r="BC573" s="55"/>
      <c r="BD573" s="55"/>
      <c r="BE573" s="165"/>
      <c r="BF573" s="55"/>
      <c r="BG573" s="10"/>
      <c r="BH573" s="55"/>
      <c r="BI573" s="55"/>
      <c r="BJ573" s="55"/>
      <c r="BK573" s="55"/>
      <c r="BS573" s="141"/>
      <c r="CM573" s="141"/>
      <c r="DC573" s="141"/>
    </row>
    <row r="574" spans="1:107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55"/>
      <c r="R574" s="171"/>
      <c r="S574" s="161"/>
      <c r="T574" s="55"/>
      <c r="U574" s="55"/>
      <c r="V574" s="55"/>
      <c r="W574" s="155"/>
      <c r="X574" s="171"/>
      <c r="Y574" s="165"/>
      <c r="Z574" s="10"/>
      <c r="AA574" s="55"/>
      <c r="AB574" s="55"/>
      <c r="AC574" s="55"/>
      <c r="AD574" s="55"/>
      <c r="AE574" s="55"/>
      <c r="AF574" s="167"/>
      <c r="AG574" s="55"/>
      <c r="AH574" s="55"/>
      <c r="AI574" s="165"/>
      <c r="AJ574" s="55"/>
      <c r="AK574" s="55"/>
      <c r="AL574" s="55"/>
      <c r="AM574" s="55"/>
      <c r="AN574" s="55"/>
      <c r="AO574" s="55"/>
      <c r="AP574" s="55"/>
      <c r="AQ574" s="55"/>
      <c r="AR574" s="165"/>
      <c r="AS574" s="55"/>
      <c r="AT574" s="55"/>
      <c r="AU574" s="55"/>
      <c r="AV574" s="55"/>
      <c r="AW574" s="55"/>
      <c r="AX574" s="55"/>
      <c r="AY574" s="55"/>
      <c r="AZ574" s="55"/>
      <c r="BA574" s="165"/>
      <c r="BB574" s="55"/>
      <c r="BC574" s="55"/>
      <c r="BD574" s="55"/>
      <c r="BE574" s="165"/>
      <c r="BF574" s="55"/>
      <c r="BG574" s="10"/>
      <c r="BH574" s="55"/>
      <c r="BI574" s="55"/>
      <c r="BJ574" s="55"/>
      <c r="BK574" s="55"/>
      <c r="BS574" s="141"/>
      <c r="CM574" s="141"/>
      <c r="DC574" s="141"/>
    </row>
    <row r="575" spans="1:107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55"/>
      <c r="R575" s="171"/>
      <c r="S575" s="161"/>
      <c r="T575" s="55"/>
      <c r="U575" s="55"/>
      <c r="V575" s="55"/>
      <c r="W575" s="155"/>
      <c r="X575" s="171"/>
      <c r="Y575" s="165"/>
      <c r="Z575" s="10"/>
      <c r="AA575" s="55"/>
      <c r="AB575" s="55"/>
      <c r="AC575" s="55"/>
      <c r="AD575" s="55"/>
      <c r="AE575" s="55"/>
      <c r="AF575" s="167"/>
      <c r="AG575" s="55"/>
      <c r="AH575" s="55"/>
      <c r="AI575" s="165"/>
      <c r="AJ575" s="55"/>
      <c r="AK575" s="55"/>
      <c r="AL575" s="55"/>
      <c r="AM575" s="55"/>
      <c r="AN575" s="55"/>
      <c r="AO575" s="55"/>
      <c r="AP575" s="55"/>
      <c r="AQ575" s="55"/>
      <c r="AR575" s="165"/>
      <c r="AS575" s="55"/>
      <c r="AT575" s="55"/>
      <c r="AU575" s="55"/>
      <c r="AV575" s="55"/>
      <c r="AW575" s="55"/>
      <c r="AX575" s="55"/>
      <c r="AY575" s="55"/>
      <c r="AZ575" s="55"/>
      <c r="BA575" s="165"/>
      <c r="BB575" s="55"/>
      <c r="BC575" s="55"/>
      <c r="BD575" s="55"/>
      <c r="BE575" s="165"/>
      <c r="BF575" s="55"/>
      <c r="BG575" s="10"/>
      <c r="BH575" s="55"/>
      <c r="BI575" s="55"/>
      <c r="BJ575" s="55"/>
      <c r="BK575" s="55"/>
      <c r="BS575" s="141"/>
      <c r="CM575" s="141"/>
      <c r="DC575" s="141"/>
    </row>
    <row r="576" spans="1:107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55"/>
      <c r="R576" s="171"/>
      <c r="S576" s="161"/>
      <c r="T576" s="55"/>
      <c r="U576" s="55"/>
      <c r="V576" s="55"/>
      <c r="W576" s="155"/>
      <c r="X576" s="171"/>
      <c r="Y576" s="165"/>
      <c r="Z576" s="10"/>
      <c r="AA576" s="55"/>
      <c r="AB576" s="55"/>
      <c r="AC576" s="55"/>
      <c r="AD576" s="55"/>
      <c r="AE576" s="55"/>
      <c r="AF576" s="167"/>
      <c r="AG576" s="55"/>
      <c r="AH576" s="55"/>
      <c r="AI576" s="165"/>
      <c r="AJ576" s="55"/>
      <c r="AK576" s="55"/>
      <c r="AL576" s="55"/>
      <c r="AM576" s="55"/>
      <c r="AN576" s="55"/>
      <c r="AO576" s="55"/>
      <c r="AP576" s="55"/>
      <c r="AQ576" s="55"/>
      <c r="AR576" s="165"/>
      <c r="AS576" s="55"/>
      <c r="AT576" s="55"/>
      <c r="AU576" s="55"/>
      <c r="AV576" s="55"/>
      <c r="AW576" s="55"/>
      <c r="AX576" s="55"/>
      <c r="AY576" s="55"/>
      <c r="AZ576" s="55"/>
      <c r="BA576" s="165"/>
      <c r="BB576" s="55"/>
      <c r="BC576" s="55"/>
      <c r="BD576" s="55"/>
      <c r="BE576" s="165"/>
      <c r="BF576" s="55"/>
      <c r="BG576" s="10"/>
      <c r="BH576" s="55"/>
      <c r="BI576" s="55"/>
      <c r="BJ576" s="55"/>
      <c r="BK576" s="55"/>
      <c r="BS576" s="141"/>
      <c r="CM576" s="141"/>
      <c r="DC576" s="141"/>
    </row>
    <row r="577" spans="1:107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55"/>
      <c r="R577" s="171"/>
      <c r="S577" s="161"/>
      <c r="T577" s="55"/>
      <c r="U577" s="55"/>
      <c r="V577" s="55"/>
      <c r="W577" s="155"/>
      <c r="X577" s="171"/>
      <c r="Y577" s="165"/>
      <c r="Z577" s="10"/>
      <c r="AA577" s="55"/>
      <c r="AB577" s="55"/>
      <c r="AC577" s="55"/>
      <c r="AD577" s="55"/>
      <c r="AE577" s="55"/>
      <c r="AF577" s="167"/>
      <c r="AG577" s="55"/>
      <c r="AH577" s="55"/>
      <c r="AI577" s="165"/>
      <c r="AJ577" s="55"/>
      <c r="AK577" s="55"/>
      <c r="AL577" s="55"/>
      <c r="AM577" s="55"/>
      <c r="AN577" s="55"/>
      <c r="AO577" s="55"/>
      <c r="AP577" s="55"/>
      <c r="AQ577" s="55"/>
      <c r="AR577" s="165"/>
      <c r="AS577" s="55"/>
      <c r="AT577" s="55"/>
      <c r="AU577" s="55"/>
      <c r="AV577" s="55"/>
      <c r="AW577" s="55"/>
      <c r="AX577" s="55"/>
      <c r="AY577" s="55"/>
      <c r="AZ577" s="55"/>
      <c r="BA577" s="165"/>
      <c r="BB577" s="55"/>
      <c r="BC577" s="55"/>
      <c r="BD577" s="55"/>
      <c r="BE577" s="165"/>
      <c r="BF577" s="55"/>
      <c r="BG577" s="10"/>
      <c r="BH577" s="55"/>
      <c r="BI577" s="55"/>
      <c r="BJ577" s="55"/>
      <c r="BK577" s="55"/>
      <c r="BS577" s="141"/>
      <c r="CM577" s="141"/>
      <c r="DC577" s="141"/>
    </row>
    <row r="578" spans="1:107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55"/>
      <c r="R578" s="171"/>
      <c r="S578" s="161"/>
      <c r="T578" s="55"/>
      <c r="U578" s="55"/>
      <c r="V578" s="55"/>
      <c r="W578" s="155"/>
      <c r="X578" s="171"/>
      <c r="Y578" s="165"/>
      <c r="Z578" s="10"/>
      <c r="AA578" s="55"/>
      <c r="AB578" s="55"/>
      <c r="AC578" s="55"/>
      <c r="AD578" s="55"/>
      <c r="AE578" s="55"/>
      <c r="AF578" s="167"/>
      <c r="AG578" s="55"/>
      <c r="AH578" s="55"/>
      <c r="AI578" s="165"/>
      <c r="AJ578" s="55"/>
      <c r="AK578" s="55"/>
      <c r="AL578" s="55"/>
      <c r="AM578" s="55"/>
      <c r="AN578" s="55"/>
      <c r="AO578" s="55"/>
      <c r="AP578" s="55"/>
      <c r="AQ578" s="55"/>
      <c r="AR578" s="165"/>
      <c r="AS578" s="55"/>
      <c r="AT578" s="55"/>
      <c r="AU578" s="55"/>
      <c r="AV578" s="55"/>
      <c r="AW578" s="55"/>
      <c r="AX578" s="55"/>
      <c r="AY578" s="55"/>
      <c r="AZ578" s="55"/>
      <c r="BA578" s="165"/>
      <c r="BB578" s="55"/>
      <c r="BC578" s="55"/>
      <c r="BD578" s="55"/>
      <c r="BE578" s="165"/>
      <c r="BF578" s="55"/>
      <c r="BG578" s="10"/>
      <c r="BH578" s="55"/>
      <c r="BI578" s="55"/>
      <c r="BJ578" s="55"/>
      <c r="BK578" s="55"/>
      <c r="BS578" s="141"/>
      <c r="CM578" s="141"/>
      <c r="DC578" s="141"/>
    </row>
    <row r="579" spans="1:107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55"/>
      <c r="R579" s="171"/>
      <c r="S579" s="161"/>
      <c r="T579" s="55"/>
      <c r="U579" s="55"/>
      <c r="V579" s="55"/>
      <c r="W579" s="155"/>
      <c r="X579" s="171"/>
      <c r="Y579" s="165"/>
      <c r="Z579" s="10"/>
      <c r="AA579" s="55"/>
      <c r="AB579" s="55"/>
      <c r="AC579" s="55"/>
      <c r="AD579" s="55"/>
      <c r="AE579" s="55"/>
      <c r="AF579" s="167"/>
      <c r="AG579" s="55"/>
      <c r="AH579" s="55"/>
      <c r="AI579" s="165"/>
      <c r="AJ579" s="55"/>
      <c r="AK579" s="55"/>
      <c r="AL579" s="55"/>
      <c r="AM579" s="55"/>
      <c r="AN579" s="55"/>
      <c r="AO579" s="55"/>
      <c r="AP579" s="55"/>
      <c r="AQ579" s="55"/>
      <c r="AR579" s="165"/>
      <c r="AS579" s="55"/>
      <c r="AT579" s="55"/>
      <c r="AU579" s="55"/>
      <c r="AV579" s="55"/>
      <c r="AW579" s="55"/>
      <c r="AX579" s="55"/>
      <c r="AY579" s="55"/>
      <c r="AZ579" s="55"/>
      <c r="BA579" s="165"/>
      <c r="BB579" s="55"/>
      <c r="BC579" s="55"/>
      <c r="BD579" s="55"/>
      <c r="BE579" s="165"/>
      <c r="BF579" s="55"/>
      <c r="BG579" s="10"/>
      <c r="BH579" s="55"/>
      <c r="BI579" s="55"/>
      <c r="BJ579" s="55"/>
      <c r="BK579" s="55"/>
      <c r="BS579" s="141"/>
      <c r="CM579" s="141"/>
      <c r="DC579" s="141"/>
    </row>
    <row r="580" spans="1:107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55"/>
      <c r="R580" s="171"/>
      <c r="S580" s="161"/>
      <c r="T580" s="55"/>
      <c r="U580" s="55"/>
      <c r="V580" s="55"/>
      <c r="W580" s="155"/>
      <c r="X580" s="171"/>
      <c r="Y580" s="165"/>
      <c r="Z580" s="10"/>
      <c r="AA580" s="55"/>
      <c r="AB580" s="55"/>
      <c r="AC580" s="55"/>
      <c r="AD580" s="55"/>
      <c r="AE580" s="55"/>
      <c r="AF580" s="167"/>
      <c r="AG580" s="55"/>
      <c r="AH580" s="55"/>
      <c r="AI580" s="165"/>
      <c r="AJ580" s="55"/>
      <c r="AK580" s="55"/>
      <c r="AL580" s="55"/>
      <c r="AM580" s="55"/>
      <c r="AN580" s="55"/>
      <c r="AO580" s="55"/>
      <c r="AP580" s="55"/>
      <c r="AQ580" s="55"/>
      <c r="AR580" s="165"/>
      <c r="AS580" s="55"/>
      <c r="AT580" s="55"/>
      <c r="AU580" s="55"/>
      <c r="AV580" s="55"/>
      <c r="AW580" s="55"/>
      <c r="AX580" s="55"/>
      <c r="AY580" s="55"/>
      <c r="AZ580" s="55"/>
      <c r="BA580" s="165"/>
      <c r="BB580" s="55"/>
      <c r="BC580" s="55"/>
      <c r="BD580" s="55"/>
      <c r="BE580" s="165"/>
      <c r="BF580" s="55"/>
      <c r="BG580" s="10"/>
      <c r="BH580" s="55"/>
      <c r="BI580" s="55"/>
      <c r="BJ580" s="55"/>
      <c r="BK580" s="55"/>
      <c r="BS580" s="141"/>
      <c r="CM580" s="141"/>
      <c r="DC580" s="141"/>
    </row>
    <row r="581" spans="1:107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55"/>
      <c r="R581" s="171"/>
      <c r="S581" s="161"/>
      <c r="T581" s="55"/>
      <c r="U581" s="55"/>
      <c r="V581" s="55"/>
      <c r="W581" s="155"/>
      <c r="X581" s="171"/>
      <c r="Y581" s="165"/>
      <c r="Z581" s="10"/>
      <c r="AA581" s="55"/>
      <c r="AB581" s="55"/>
      <c r="AC581" s="55"/>
      <c r="AD581" s="55"/>
      <c r="AE581" s="55"/>
      <c r="AF581" s="167"/>
      <c r="AG581" s="55"/>
      <c r="AH581" s="55"/>
      <c r="AI581" s="165"/>
      <c r="AJ581" s="55"/>
      <c r="AK581" s="55"/>
      <c r="AL581" s="55"/>
      <c r="AM581" s="55"/>
      <c r="AN581" s="55"/>
      <c r="AO581" s="55"/>
      <c r="AP581" s="55"/>
      <c r="AQ581" s="55"/>
      <c r="AR581" s="165"/>
      <c r="AS581" s="55"/>
      <c r="AT581" s="55"/>
      <c r="AU581" s="55"/>
      <c r="AV581" s="55"/>
      <c r="AW581" s="55"/>
      <c r="AX581" s="55"/>
      <c r="AY581" s="55"/>
      <c r="AZ581" s="55"/>
      <c r="BA581" s="165"/>
      <c r="BB581" s="55"/>
      <c r="BC581" s="55"/>
      <c r="BD581" s="55"/>
      <c r="BE581" s="165"/>
      <c r="BF581" s="55"/>
      <c r="BG581" s="10"/>
      <c r="BH581" s="55"/>
      <c r="BI581" s="55"/>
      <c r="BJ581" s="55"/>
      <c r="BK581" s="55"/>
      <c r="BS581" s="141"/>
      <c r="CM581" s="141"/>
      <c r="DC581" s="141"/>
    </row>
    <row r="582" spans="1:107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55"/>
      <c r="R582" s="171"/>
      <c r="S582" s="161"/>
      <c r="T582" s="55"/>
      <c r="U582" s="55"/>
      <c r="V582" s="55"/>
      <c r="W582" s="155"/>
      <c r="X582" s="171"/>
      <c r="Y582" s="165"/>
      <c r="Z582" s="10"/>
      <c r="AA582" s="55"/>
      <c r="AB582" s="55"/>
      <c r="AC582" s="55"/>
      <c r="AD582" s="55"/>
      <c r="AE582" s="55"/>
      <c r="AF582" s="167"/>
      <c r="AG582" s="55"/>
      <c r="AH582" s="55"/>
      <c r="AI582" s="165"/>
      <c r="AJ582" s="55"/>
      <c r="AK582" s="55"/>
      <c r="AL582" s="55"/>
      <c r="AM582" s="55"/>
      <c r="AN582" s="55"/>
      <c r="AO582" s="55"/>
      <c r="AP582" s="55"/>
      <c r="AQ582" s="55"/>
      <c r="AR582" s="165"/>
      <c r="AS582" s="55"/>
      <c r="AT582" s="55"/>
      <c r="AU582" s="55"/>
      <c r="AV582" s="55"/>
      <c r="AW582" s="55"/>
      <c r="AX582" s="55"/>
      <c r="AY582" s="55"/>
      <c r="AZ582" s="55"/>
      <c r="BA582" s="165"/>
      <c r="BB582" s="55"/>
      <c r="BC582" s="55"/>
      <c r="BD582" s="55"/>
      <c r="BE582" s="165"/>
      <c r="BF582" s="55"/>
      <c r="BG582" s="10"/>
      <c r="BH582" s="55"/>
      <c r="BI582" s="55"/>
      <c r="BJ582" s="55"/>
      <c r="BK582" s="55"/>
      <c r="BS582" s="141"/>
      <c r="CM582" s="141"/>
      <c r="DC582" s="141"/>
    </row>
    <row r="583" spans="1:107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55"/>
      <c r="R583" s="171"/>
      <c r="S583" s="161"/>
      <c r="T583" s="55"/>
      <c r="U583" s="55"/>
      <c r="V583" s="55"/>
      <c r="W583" s="155"/>
      <c r="X583" s="171"/>
      <c r="Y583" s="165"/>
      <c r="Z583" s="10"/>
      <c r="AA583" s="55"/>
      <c r="AB583" s="55"/>
      <c r="AC583" s="55"/>
      <c r="AD583" s="55"/>
      <c r="AE583" s="55"/>
      <c r="AF583" s="167"/>
      <c r="AG583" s="55"/>
      <c r="AH583" s="55"/>
      <c r="AI583" s="165"/>
      <c r="AJ583" s="55"/>
      <c r="AK583" s="55"/>
      <c r="AL583" s="55"/>
      <c r="AM583" s="55"/>
      <c r="AN583" s="55"/>
      <c r="AO583" s="55"/>
      <c r="AP583" s="55"/>
      <c r="AQ583" s="55"/>
      <c r="AR583" s="165"/>
      <c r="AS583" s="55"/>
      <c r="AT583" s="55"/>
      <c r="AU583" s="55"/>
      <c r="AV583" s="55"/>
      <c r="AW583" s="55"/>
      <c r="AX583" s="55"/>
      <c r="AY583" s="55"/>
      <c r="AZ583" s="55"/>
      <c r="BA583" s="165"/>
      <c r="BB583" s="55"/>
      <c r="BC583" s="55"/>
      <c r="BD583" s="55"/>
      <c r="BE583" s="165"/>
      <c r="BF583" s="55"/>
      <c r="BG583" s="10"/>
      <c r="BH583" s="55"/>
      <c r="BI583" s="55"/>
      <c r="BJ583" s="55"/>
      <c r="BK583" s="55"/>
      <c r="BS583" s="141"/>
      <c r="CM583" s="141"/>
      <c r="DC583" s="141"/>
    </row>
    <row r="584" spans="1:107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55"/>
      <c r="R584" s="171"/>
      <c r="S584" s="161"/>
      <c r="T584" s="55"/>
      <c r="U584" s="55"/>
      <c r="V584" s="55"/>
      <c r="W584" s="155"/>
      <c r="X584" s="171"/>
      <c r="Y584" s="165"/>
      <c r="Z584" s="10"/>
      <c r="AA584" s="55"/>
      <c r="AB584" s="55"/>
      <c r="AC584" s="55"/>
      <c r="AD584" s="55"/>
      <c r="AE584" s="55"/>
      <c r="AF584" s="167"/>
      <c r="AG584" s="55"/>
      <c r="AH584" s="55"/>
      <c r="AI584" s="165"/>
      <c r="AJ584" s="55"/>
      <c r="AK584" s="55"/>
      <c r="AL584" s="55"/>
      <c r="AM584" s="55"/>
      <c r="AN584" s="55"/>
      <c r="AO584" s="55"/>
      <c r="AP584" s="55"/>
      <c r="AQ584" s="55"/>
      <c r="AR584" s="165"/>
      <c r="AS584" s="55"/>
      <c r="AT584" s="55"/>
      <c r="AU584" s="55"/>
      <c r="AV584" s="55"/>
      <c r="AW584" s="55"/>
      <c r="AX584" s="55"/>
      <c r="AY584" s="55"/>
      <c r="AZ584" s="55"/>
      <c r="BA584" s="165"/>
      <c r="BB584" s="55"/>
      <c r="BC584" s="55"/>
      <c r="BD584" s="55"/>
      <c r="BE584" s="165"/>
      <c r="BF584" s="55"/>
      <c r="BG584" s="10"/>
      <c r="BH584" s="55"/>
      <c r="BI584" s="55"/>
      <c r="BJ584" s="55"/>
      <c r="BK584" s="55"/>
      <c r="BS584" s="141"/>
      <c r="CM584" s="141"/>
      <c r="DC584" s="141"/>
    </row>
    <row r="585" spans="1:107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55"/>
      <c r="R585" s="171"/>
      <c r="S585" s="161"/>
      <c r="T585" s="55"/>
      <c r="U585" s="55"/>
      <c r="V585" s="55"/>
      <c r="W585" s="155"/>
      <c r="X585" s="171"/>
      <c r="Y585" s="165"/>
      <c r="Z585" s="10"/>
      <c r="AA585" s="55"/>
      <c r="AB585" s="55"/>
      <c r="AC585" s="55"/>
      <c r="AD585" s="55"/>
      <c r="AE585" s="55"/>
      <c r="AF585" s="167"/>
      <c r="AG585" s="55"/>
      <c r="AH585" s="55"/>
      <c r="AI585" s="165"/>
      <c r="AJ585" s="55"/>
      <c r="AK585" s="55"/>
      <c r="AL585" s="55"/>
      <c r="AM585" s="55"/>
      <c r="AN585" s="55"/>
      <c r="AO585" s="55"/>
      <c r="AP585" s="55"/>
      <c r="AQ585" s="55"/>
      <c r="AR585" s="165"/>
      <c r="AS585" s="55"/>
      <c r="AT585" s="55"/>
      <c r="AU585" s="55"/>
      <c r="AV585" s="55"/>
      <c r="AW585" s="55"/>
      <c r="AX585" s="55"/>
      <c r="AY585" s="55"/>
      <c r="AZ585" s="55"/>
      <c r="BA585" s="165"/>
      <c r="BB585" s="55"/>
      <c r="BC585" s="55"/>
      <c r="BD585" s="55"/>
      <c r="BE585" s="165"/>
      <c r="BF585" s="55"/>
      <c r="BG585" s="10"/>
      <c r="BH585" s="55"/>
      <c r="BI585" s="55"/>
      <c r="BJ585" s="55"/>
      <c r="BK585" s="55"/>
      <c r="BS585" s="141"/>
      <c r="CM585" s="141"/>
      <c r="DC585" s="141"/>
    </row>
    <row r="586" spans="1:107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55"/>
      <c r="R586" s="171"/>
      <c r="S586" s="161"/>
      <c r="T586" s="55"/>
      <c r="U586" s="55"/>
      <c r="V586" s="55"/>
      <c r="W586" s="155"/>
      <c r="X586" s="171"/>
      <c r="Y586" s="165"/>
      <c r="Z586" s="10"/>
      <c r="AA586" s="55"/>
      <c r="AB586" s="55"/>
      <c r="AC586" s="55"/>
      <c r="AD586" s="55"/>
      <c r="AE586" s="55"/>
      <c r="AF586" s="167"/>
      <c r="AG586" s="55"/>
      <c r="AH586" s="55"/>
      <c r="AI586" s="165"/>
      <c r="AJ586" s="55"/>
      <c r="AK586" s="55"/>
      <c r="AL586" s="55"/>
      <c r="AM586" s="55"/>
      <c r="AN586" s="55"/>
      <c r="AO586" s="55"/>
      <c r="AP586" s="55"/>
      <c r="AQ586" s="55"/>
      <c r="AR586" s="165"/>
      <c r="AS586" s="55"/>
      <c r="AT586" s="55"/>
      <c r="AU586" s="55"/>
      <c r="AV586" s="55"/>
      <c r="AW586" s="55"/>
      <c r="AX586" s="55"/>
      <c r="AY586" s="55"/>
      <c r="AZ586" s="55"/>
      <c r="BA586" s="165"/>
      <c r="BB586" s="55"/>
      <c r="BC586" s="55"/>
      <c r="BD586" s="55"/>
      <c r="BE586" s="165"/>
      <c r="BF586" s="55"/>
      <c r="BG586" s="10"/>
      <c r="BH586" s="55"/>
      <c r="BI586" s="55"/>
      <c r="BJ586" s="55"/>
      <c r="BK586" s="55"/>
      <c r="BS586" s="141"/>
      <c r="CM586" s="141"/>
      <c r="DC586" s="141"/>
    </row>
    <row r="587" spans="1:107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55"/>
      <c r="R587" s="171"/>
      <c r="S587" s="161"/>
      <c r="T587" s="55"/>
      <c r="U587" s="55"/>
      <c r="V587" s="55"/>
      <c r="W587" s="155"/>
      <c r="X587" s="171"/>
      <c r="Y587" s="165"/>
      <c r="Z587" s="10"/>
      <c r="AA587" s="55"/>
      <c r="AB587" s="55"/>
      <c r="AC587" s="55"/>
      <c r="AD587" s="55"/>
      <c r="AE587" s="55"/>
      <c r="AF587" s="167"/>
      <c r="AG587" s="55"/>
      <c r="AH587" s="55"/>
      <c r="AI587" s="165"/>
      <c r="AJ587" s="55"/>
      <c r="AK587" s="55"/>
      <c r="AL587" s="55"/>
      <c r="AM587" s="55"/>
      <c r="AN587" s="55"/>
      <c r="AO587" s="55"/>
      <c r="AP587" s="55"/>
      <c r="AQ587" s="55"/>
      <c r="AR587" s="165"/>
      <c r="AS587" s="55"/>
      <c r="AT587" s="55"/>
      <c r="AU587" s="55"/>
      <c r="AV587" s="55"/>
      <c r="AW587" s="55"/>
      <c r="AX587" s="55"/>
      <c r="AY587" s="55"/>
      <c r="AZ587" s="55"/>
      <c r="BA587" s="165"/>
      <c r="BB587" s="55"/>
      <c r="BC587" s="55"/>
      <c r="BD587" s="55"/>
      <c r="BE587" s="165"/>
      <c r="BF587" s="55"/>
      <c r="BG587" s="10"/>
      <c r="BH587" s="55"/>
      <c r="BI587" s="55"/>
      <c r="BJ587" s="55"/>
      <c r="BK587" s="55"/>
      <c r="BS587" s="141"/>
      <c r="CM587" s="141"/>
      <c r="DC587" s="141"/>
    </row>
    <row r="588" spans="1:107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55"/>
      <c r="R588" s="171"/>
      <c r="S588" s="161"/>
      <c r="T588" s="55"/>
      <c r="U588" s="55"/>
      <c r="V588" s="55"/>
      <c r="W588" s="155"/>
      <c r="X588" s="171"/>
      <c r="Y588" s="165"/>
      <c r="Z588" s="10"/>
      <c r="AA588" s="55"/>
      <c r="AB588" s="55"/>
      <c r="AC588" s="55"/>
      <c r="AD588" s="55"/>
      <c r="AE588" s="55"/>
      <c r="AF588" s="167"/>
      <c r="AG588" s="55"/>
      <c r="AH588" s="55"/>
      <c r="AI588" s="165"/>
      <c r="AJ588" s="55"/>
      <c r="AK588" s="55"/>
      <c r="AL588" s="55"/>
      <c r="AM588" s="55"/>
      <c r="AN588" s="55"/>
      <c r="AO588" s="55"/>
      <c r="AP588" s="55"/>
      <c r="AQ588" s="55"/>
      <c r="AR588" s="165"/>
      <c r="AS588" s="55"/>
      <c r="AT588" s="55"/>
      <c r="AU588" s="55"/>
      <c r="AV588" s="55"/>
      <c r="AW588" s="55"/>
      <c r="AX588" s="55"/>
      <c r="AY588" s="55"/>
      <c r="AZ588" s="55"/>
      <c r="BA588" s="165"/>
      <c r="BB588" s="55"/>
      <c r="BC588" s="55"/>
      <c r="BD588" s="55"/>
      <c r="BE588" s="165"/>
      <c r="BF588" s="55"/>
      <c r="BG588" s="10"/>
      <c r="BH588" s="55"/>
      <c r="BI588" s="55"/>
      <c r="BJ588" s="55"/>
      <c r="BK588" s="55"/>
      <c r="BS588" s="141"/>
      <c r="CM588" s="141"/>
      <c r="DC588" s="141"/>
    </row>
    <row r="589" spans="1:107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55"/>
      <c r="R589" s="171"/>
      <c r="S589" s="161"/>
      <c r="T589" s="55"/>
      <c r="U589" s="55"/>
      <c r="V589" s="55"/>
      <c r="W589" s="155"/>
      <c r="X589" s="171"/>
      <c r="Y589" s="165"/>
      <c r="Z589" s="10"/>
      <c r="AA589" s="55"/>
      <c r="AB589" s="55"/>
      <c r="AC589" s="55"/>
      <c r="AD589" s="55"/>
      <c r="AE589" s="55"/>
      <c r="AF589" s="167"/>
      <c r="AG589" s="55"/>
      <c r="AH589" s="55"/>
      <c r="AI589" s="165"/>
      <c r="AJ589" s="55"/>
      <c r="AK589" s="55"/>
      <c r="AL589" s="55"/>
      <c r="AM589" s="55"/>
      <c r="AN589" s="55"/>
      <c r="AO589" s="55"/>
      <c r="AP589" s="55"/>
      <c r="AQ589" s="55"/>
      <c r="AR589" s="165"/>
      <c r="AS589" s="55"/>
      <c r="AT589" s="55"/>
      <c r="AU589" s="55"/>
      <c r="AV589" s="55"/>
      <c r="AW589" s="55"/>
      <c r="AX589" s="55"/>
      <c r="AY589" s="55"/>
      <c r="AZ589" s="55"/>
      <c r="BA589" s="165"/>
      <c r="BB589" s="55"/>
      <c r="BC589" s="55"/>
      <c r="BD589" s="55"/>
      <c r="BE589" s="165"/>
      <c r="BF589" s="55"/>
      <c r="BG589" s="10"/>
      <c r="BH589" s="55"/>
      <c r="BI589" s="55"/>
      <c r="BJ589" s="55"/>
      <c r="BK589" s="55"/>
      <c r="BS589" s="141"/>
      <c r="CM589" s="141"/>
      <c r="DC589" s="141"/>
    </row>
    <row r="590" spans="1:107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55"/>
      <c r="R590" s="171"/>
      <c r="S590" s="161"/>
      <c r="T590" s="55"/>
      <c r="U590" s="55"/>
      <c r="V590" s="55"/>
      <c r="W590" s="155"/>
      <c r="X590" s="171"/>
      <c r="Y590" s="165"/>
      <c r="Z590" s="10"/>
      <c r="AA590" s="55"/>
      <c r="AB590" s="55"/>
      <c r="AC590" s="55"/>
      <c r="AD590" s="55"/>
      <c r="AE590" s="55"/>
      <c r="AF590" s="167"/>
      <c r="AG590" s="55"/>
      <c r="AH590" s="55"/>
      <c r="AI590" s="165"/>
      <c r="AJ590" s="55"/>
      <c r="AK590" s="55"/>
      <c r="AL590" s="55"/>
      <c r="AM590" s="55"/>
      <c r="AN590" s="55"/>
      <c r="AO590" s="55"/>
      <c r="AP590" s="55"/>
      <c r="AQ590" s="55"/>
      <c r="AR590" s="165"/>
      <c r="AS590" s="55"/>
      <c r="AT590" s="55"/>
      <c r="AU590" s="55"/>
      <c r="AV590" s="55"/>
      <c r="AW590" s="55"/>
      <c r="AX590" s="55"/>
      <c r="AY590" s="55"/>
      <c r="AZ590" s="55"/>
      <c r="BA590" s="165"/>
      <c r="BB590" s="55"/>
      <c r="BC590" s="55"/>
      <c r="BD590" s="55"/>
      <c r="BE590" s="165"/>
      <c r="BF590" s="55"/>
      <c r="BG590" s="10"/>
      <c r="BH590" s="55"/>
      <c r="BI590" s="55"/>
      <c r="BJ590" s="55"/>
      <c r="BK590" s="55"/>
      <c r="BS590" s="141"/>
      <c r="CM590" s="141"/>
      <c r="DC590" s="141"/>
    </row>
    <row r="591" spans="1:107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55"/>
      <c r="R591" s="171"/>
      <c r="S591" s="161"/>
      <c r="T591" s="55"/>
      <c r="U591" s="55"/>
      <c r="V591" s="55"/>
      <c r="W591" s="155"/>
      <c r="X591" s="171"/>
      <c r="Y591" s="165"/>
      <c r="Z591" s="10"/>
      <c r="AA591" s="55"/>
      <c r="AB591" s="55"/>
      <c r="AC591" s="55"/>
      <c r="AD591" s="55"/>
      <c r="AE591" s="55"/>
      <c r="AF591" s="167"/>
      <c r="AG591" s="55"/>
      <c r="AH591" s="55"/>
      <c r="AI591" s="165"/>
      <c r="AJ591" s="55"/>
      <c r="AK591" s="55"/>
      <c r="AL591" s="55"/>
      <c r="AM591" s="55"/>
      <c r="AN591" s="55"/>
      <c r="AO591" s="55"/>
      <c r="AP591" s="55"/>
      <c r="AQ591" s="55"/>
      <c r="AR591" s="165"/>
      <c r="AS591" s="55"/>
      <c r="AT591" s="55"/>
      <c r="AU591" s="55"/>
      <c r="AV591" s="55"/>
      <c r="AW591" s="55"/>
      <c r="AX591" s="55"/>
      <c r="AY591" s="55"/>
      <c r="AZ591" s="55"/>
      <c r="BA591" s="165"/>
      <c r="BB591" s="55"/>
      <c r="BC591" s="55"/>
      <c r="BD591" s="55"/>
      <c r="BE591" s="165"/>
      <c r="BF591" s="55"/>
      <c r="BG591" s="10"/>
      <c r="BH591" s="55"/>
      <c r="BI591" s="55"/>
      <c r="BJ591" s="55"/>
      <c r="BK591" s="55"/>
      <c r="BS591" s="141"/>
      <c r="CM591" s="141"/>
      <c r="DC591" s="141"/>
    </row>
    <row r="592" spans="1:107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55"/>
      <c r="R592" s="171"/>
      <c r="S592" s="161"/>
      <c r="T592" s="55"/>
      <c r="U592" s="55"/>
      <c r="V592" s="55"/>
      <c r="W592" s="155"/>
      <c r="X592" s="171"/>
      <c r="Y592" s="165"/>
      <c r="Z592" s="10"/>
      <c r="AA592" s="55"/>
      <c r="AB592" s="55"/>
      <c r="AC592" s="55"/>
      <c r="AD592" s="55"/>
      <c r="AE592" s="55"/>
      <c r="AF592" s="167"/>
      <c r="AG592" s="55"/>
      <c r="AH592" s="55"/>
      <c r="AI592" s="165"/>
      <c r="AJ592" s="55"/>
      <c r="AK592" s="55"/>
      <c r="AL592" s="55"/>
      <c r="AM592" s="55"/>
      <c r="AN592" s="55"/>
      <c r="AO592" s="55"/>
      <c r="AP592" s="55"/>
      <c r="AQ592" s="55"/>
      <c r="AR592" s="165"/>
      <c r="AS592" s="55"/>
      <c r="AT592" s="55"/>
      <c r="AU592" s="55"/>
      <c r="AV592" s="55"/>
      <c r="AW592" s="55"/>
      <c r="AX592" s="55"/>
      <c r="AY592" s="55"/>
      <c r="AZ592" s="55"/>
      <c r="BA592" s="165"/>
      <c r="BB592" s="55"/>
      <c r="BC592" s="55"/>
      <c r="BD592" s="55"/>
      <c r="BE592" s="165"/>
      <c r="BF592" s="55"/>
      <c r="BG592" s="10"/>
      <c r="BH592" s="55"/>
      <c r="BI592" s="55"/>
      <c r="BJ592" s="55"/>
      <c r="BK592" s="55"/>
      <c r="BS592" s="141"/>
      <c r="CM592" s="141"/>
      <c r="DC592" s="141"/>
    </row>
    <row r="593" spans="1:107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55"/>
      <c r="R593" s="171"/>
      <c r="S593" s="161"/>
      <c r="T593" s="55"/>
      <c r="U593" s="55"/>
      <c r="V593" s="55"/>
      <c r="W593" s="155"/>
      <c r="X593" s="171"/>
      <c r="Y593" s="165"/>
      <c r="Z593" s="10"/>
      <c r="AA593" s="55"/>
      <c r="AB593" s="55"/>
      <c r="AC593" s="55"/>
      <c r="AD593" s="55"/>
      <c r="AE593" s="55"/>
      <c r="AF593" s="167"/>
      <c r="AG593" s="55"/>
      <c r="AH593" s="55"/>
      <c r="AI593" s="165"/>
      <c r="AJ593" s="55"/>
      <c r="AK593" s="55"/>
      <c r="AL593" s="55"/>
      <c r="AM593" s="55"/>
      <c r="AN593" s="55"/>
      <c r="AO593" s="55"/>
      <c r="AP593" s="55"/>
      <c r="AQ593" s="55"/>
      <c r="AR593" s="165"/>
      <c r="AS593" s="55"/>
      <c r="AT593" s="55"/>
      <c r="AU593" s="55"/>
      <c r="AV593" s="55"/>
      <c r="AW593" s="55"/>
      <c r="AX593" s="55"/>
      <c r="AY593" s="55"/>
      <c r="AZ593" s="55"/>
      <c r="BA593" s="165"/>
      <c r="BB593" s="55"/>
      <c r="BC593" s="55"/>
      <c r="BD593" s="55"/>
      <c r="BE593" s="165"/>
      <c r="BF593" s="55"/>
      <c r="BG593" s="10"/>
      <c r="BH593" s="55"/>
      <c r="BI593" s="55"/>
      <c r="BJ593" s="55"/>
      <c r="BK593" s="55"/>
      <c r="BS593" s="141"/>
      <c r="CM593" s="141"/>
      <c r="DC593" s="141"/>
    </row>
    <row r="594" spans="1:107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55"/>
      <c r="R594" s="171"/>
      <c r="S594" s="161"/>
      <c r="T594" s="55"/>
      <c r="U594" s="55"/>
      <c r="V594" s="55"/>
      <c r="W594" s="155"/>
      <c r="X594" s="171"/>
      <c r="Y594" s="165"/>
      <c r="Z594" s="10"/>
      <c r="AA594" s="55"/>
      <c r="AB594" s="55"/>
      <c r="AC594" s="55"/>
      <c r="AD594" s="55"/>
      <c r="AE594" s="55"/>
      <c r="AF594" s="167"/>
      <c r="AG594" s="55"/>
      <c r="AH594" s="55"/>
      <c r="AI594" s="165"/>
      <c r="AJ594" s="55"/>
      <c r="AK594" s="55"/>
      <c r="AL594" s="55"/>
      <c r="AM594" s="55"/>
      <c r="AN594" s="55"/>
      <c r="AO594" s="55"/>
      <c r="AP594" s="55"/>
      <c r="AQ594" s="55"/>
      <c r="AR594" s="165"/>
      <c r="AS594" s="55"/>
      <c r="AT594" s="55"/>
      <c r="AU594" s="55"/>
      <c r="AV594" s="55"/>
      <c r="AW594" s="55"/>
      <c r="AX594" s="55"/>
      <c r="AY594" s="55"/>
      <c r="AZ594" s="55"/>
      <c r="BA594" s="165"/>
      <c r="BB594" s="55"/>
      <c r="BC594" s="55"/>
      <c r="BD594" s="55"/>
      <c r="BE594" s="165"/>
      <c r="BF594" s="55"/>
      <c r="BG594" s="10"/>
      <c r="BH594" s="55"/>
      <c r="BI594" s="55"/>
      <c r="BJ594" s="55"/>
      <c r="BK594" s="55"/>
      <c r="BS594" s="141"/>
      <c r="CM594" s="141"/>
      <c r="DC594" s="141"/>
    </row>
    <row r="595" spans="1:107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55"/>
      <c r="R595" s="171"/>
      <c r="S595" s="161"/>
      <c r="T595" s="55"/>
      <c r="U595" s="55"/>
      <c r="V595" s="55"/>
      <c r="W595" s="155"/>
      <c r="X595" s="171"/>
      <c r="Y595" s="165"/>
      <c r="Z595" s="10"/>
      <c r="AA595" s="55"/>
      <c r="AB595" s="55"/>
      <c r="AC595" s="55"/>
      <c r="AD595" s="55"/>
      <c r="AE595" s="55"/>
      <c r="AF595" s="167"/>
      <c r="AG595" s="55"/>
      <c r="AH595" s="55"/>
      <c r="AI595" s="165"/>
      <c r="AJ595" s="55"/>
      <c r="AK595" s="55"/>
      <c r="AL595" s="55"/>
      <c r="AM595" s="55"/>
      <c r="AN595" s="55"/>
      <c r="AO595" s="55"/>
      <c r="AP595" s="55"/>
      <c r="AQ595" s="55"/>
      <c r="AR595" s="165"/>
      <c r="AS595" s="55"/>
      <c r="AT595" s="55"/>
      <c r="AU595" s="55"/>
      <c r="AV595" s="55"/>
      <c r="AW595" s="55"/>
      <c r="AX595" s="55"/>
      <c r="AY595" s="55"/>
      <c r="AZ595" s="55"/>
      <c r="BA595" s="165"/>
      <c r="BB595" s="55"/>
      <c r="BC595" s="55"/>
      <c r="BD595" s="55"/>
      <c r="BE595" s="165"/>
      <c r="BF595" s="55"/>
      <c r="BG595" s="10"/>
      <c r="BH595" s="55"/>
      <c r="BI595" s="55"/>
      <c r="BJ595" s="55"/>
      <c r="BK595" s="55"/>
      <c r="BS595" s="141"/>
      <c r="CM595" s="141"/>
      <c r="DC595" s="141"/>
    </row>
    <row r="596" spans="1:107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55"/>
      <c r="R596" s="171"/>
      <c r="S596" s="161"/>
      <c r="T596" s="55"/>
      <c r="U596" s="55"/>
      <c r="V596" s="55"/>
      <c r="W596" s="155"/>
      <c r="X596" s="171"/>
      <c r="Y596" s="165"/>
      <c r="Z596" s="10"/>
      <c r="AA596" s="55"/>
      <c r="AB596" s="55"/>
      <c r="AC596" s="55"/>
      <c r="AD596" s="55"/>
      <c r="AE596" s="55"/>
      <c r="AF596" s="167"/>
      <c r="AG596" s="55"/>
      <c r="AH596" s="55"/>
      <c r="AI596" s="165"/>
      <c r="AJ596" s="55"/>
      <c r="AK596" s="55"/>
      <c r="AL596" s="55"/>
      <c r="AM596" s="55"/>
      <c r="AN596" s="55"/>
      <c r="AO596" s="55"/>
      <c r="AP596" s="55"/>
      <c r="AQ596" s="55"/>
      <c r="AR596" s="165"/>
      <c r="AS596" s="55"/>
      <c r="AT596" s="55"/>
      <c r="AU596" s="55"/>
      <c r="AV596" s="55"/>
      <c r="AW596" s="55"/>
      <c r="AX596" s="55"/>
      <c r="AY596" s="55"/>
      <c r="AZ596" s="55"/>
      <c r="BA596" s="165"/>
      <c r="BB596" s="55"/>
      <c r="BC596" s="55"/>
      <c r="BD596" s="55"/>
      <c r="BE596" s="165"/>
      <c r="BF596" s="55"/>
      <c r="BG596" s="10"/>
      <c r="BH596" s="55"/>
      <c r="BI596" s="55"/>
      <c r="BJ596" s="55"/>
      <c r="BK596" s="55"/>
      <c r="BS596" s="141"/>
      <c r="CM596" s="141"/>
      <c r="DC596" s="141"/>
    </row>
    <row r="597" spans="1:107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55"/>
      <c r="R597" s="171"/>
      <c r="S597" s="161"/>
      <c r="T597" s="55"/>
      <c r="U597" s="55"/>
      <c r="V597" s="55"/>
      <c r="W597" s="155"/>
      <c r="X597" s="171"/>
      <c r="Y597" s="165"/>
      <c r="Z597" s="10"/>
      <c r="AA597" s="55"/>
      <c r="AB597" s="55"/>
      <c r="AC597" s="55"/>
      <c r="AD597" s="55"/>
      <c r="AE597" s="55"/>
      <c r="AF597" s="167"/>
      <c r="AG597" s="55"/>
      <c r="AH597" s="55"/>
      <c r="AI597" s="165"/>
      <c r="AJ597" s="55"/>
      <c r="AK597" s="55"/>
      <c r="AL597" s="55"/>
      <c r="AM597" s="55"/>
      <c r="AN597" s="55"/>
      <c r="AO597" s="55"/>
      <c r="AP597" s="55"/>
      <c r="AQ597" s="55"/>
      <c r="AR597" s="165"/>
      <c r="AS597" s="55"/>
      <c r="AT597" s="55"/>
      <c r="AU597" s="55"/>
      <c r="AV597" s="55"/>
      <c r="AW597" s="55"/>
      <c r="AX597" s="55"/>
      <c r="AY597" s="55"/>
      <c r="AZ597" s="55"/>
      <c r="BA597" s="165"/>
      <c r="BB597" s="55"/>
      <c r="BC597" s="55"/>
      <c r="BD597" s="55"/>
      <c r="BE597" s="165"/>
      <c r="BF597" s="55"/>
      <c r="BG597" s="10"/>
      <c r="BH597" s="55"/>
      <c r="BI597" s="55"/>
      <c r="BJ597" s="55"/>
      <c r="BK597" s="55"/>
      <c r="BS597" s="141"/>
      <c r="CM597" s="141"/>
      <c r="DC597" s="141"/>
    </row>
    <row r="598" spans="1:107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55"/>
      <c r="R598" s="171"/>
      <c r="S598" s="161"/>
      <c r="T598" s="55"/>
      <c r="U598" s="55"/>
      <c r="V598" s="55"/>
      <c r="W598" s="155"/>
      <c r="X598" s="171"/>
      <c r="Y598" s="165"/>
      <c r="Z598" s="10"/>
      <c r="AA598" s="55"/>
      <c r="AB598" s="55"/>
      <c r="AC598" s="55"/>
      <c r="AD598" s="55"/>
      <c r="AE598" s="55"/>
      <c r="AF598" s="167"/>
      <c r="AG598" s="55"/>
      <c r="AH598" s="55"/>
      <c r="AI598" s="165"/>
      <c r="AJ598" s="55"/>
      <c r="AK598" s="55"/>
      <c r="AL598" s="55"/>
      <c r="AM598" s="55"/>
      <c r="AN598" s="55"/>
      <c r="AO598" s="55"/>
      <c r="AP598" s="55"/>
      <c r="AQ598" s="55"/>
      <c r="AR598" s="165"/>
      <c r="AS598" s="55"/>
      <c r="AT598" s="55"/>
      <c r="AU598" s="55"/>
      <c r="AV598" s="55"/>
      <c r="AW598" s="55"/>
      <c r="AX598" s="55"/>
      <c r="AY598" s="55"/>
      <c r="AZ598" s="55"/>
      <c r="BA598" s="165"/>
      <c r="BB598" s="55"/>
      <c r="BC598" s="55"/>
      <c r="BD598" s="55"/>
      <c r="BE598" s="165"/>
      <c r="BF598" s="55"/>
      <c r="BG598" s="10"/>
      <c r="BH598" s="55"/>
      <c r="BI598" s="55"/>
      <c r="BJ598" s="55"/>
      <c r="BK598" s="55"/>
      <c r="BS598" s="141"/>
      <c r="CM598" s="141"/>
      <c r="DC598" s="141"/>
    </row>
    <row r="599" spans="1:107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55"/>
      <c r="R599" s="171"/>
      <c r="S599" s="161"/>
      <c r="T599" s="55"/>
      <c r="U599" s="55"/>
      <c r="V599" s="55"/>
      <c r="W599" s="155"/>
      <c r="X599" s="171"/>
      <c r="Y599" s="165"/>
      <c r="Z599" s="10"/>
      <c r="AA599" s="55"/>
      <c r="AB599" s="55"/>
      <c r="AC599" s="55"/>
      <c r="AD599" s="55"/>
      <c r="AE599" s="55"/>
      <c r="AF599" s="167"/>
      <c r="AG599" s="55"/>
      <c r="AH599" s="55"/>
      <c r="AI599" s="165"/>
      <c r="AJ599" s="55"/>
      <c r="AK599" s="55"/>
      <c r="AL599" s="55"/>
      <c r="AM599" s="55"/>
      <c r="AN599" s="55"/>
      <c r="AO599" s="55"/>
      <c r="AP599" s="55"/>
      <c r="AQ599" s="55"/>
      <c r="AR599" s="165"/>
      <c r="AS599" s="55"/>
      <c r="AT599" s="55"/>
      <c r="AU599" s="55"/>
      <c r="AV599" s="55"/>
      <c r="AW599" s="55"/>
      <c r="AX599" s="55"/>
      <c r="AY599" s="55"/>
      <c r="AZ599" s="55"/>
      <c r="BA599" s="165"/>
      <c r="BB599" s="55"/>
      <c r="BC599" s="55"/>
      <c r="BD599" s="55"/>
      <c r="BE599" s="165"/>
      <c r="BF599" s="55"/>
      <c r="BG599" s="10"/>
      <c r="BH599" s="55"/>
      <c r="BI599" s="55"/>
      <c r="BJ599" s="55"/>
      <c r="BK599" s="55"/>
      <c r="BS599" s="141"/>
      <c r="CM599" s="141"/>
      <c r="DC599" s="141"/>
    </row>
    <row r="600" spans="1:107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55"/>
      <c r="R600" s="171"/>
      <c r="S600" s="161"/>
      <c r="T600" s="55"/>
      <c r="U600" s="55"/>
      <c r="V600" s="55"/>
      <c r="W600" s="155"/>
      <c r="X600" s="171"/>
      <c r="Y600" s="165"/>
      <c r="Z600" s="10"/>
      <c r="AA600" s="55"/>
      <c r="AB600" s="55"/>
      <c r="AC600" s="55"/>
      <c r="AD600" s="55"/>
      <c r="AE600" s="55"/>
      <c r="AF600" s="167"/>
      <c r="AG600" s="55"/>
      <c r="AH600" s="55"/>
      <c r="AI600" s="165"/>
      <c r="AJ600" s="55"/>
      <c r="AK600" s="55"/>
      <c r="AL600" s="55"/>
      <c r="AM600" s="55"/>
      <c r="AN600" s="55"/>
      <c r="AO600" s="55"/>
      <c r="AP600" s="55"/>
      <c r="AQ600" s="55"/>
      <c r="AR600" s="165"/>
      <c r="AS600" s="55"/>
      <c r="AT600" s="55"/>
      <c r="AU600" s="55"/>
      <c r="AV600" s="55"/>
      <c r="AW600" s="55"/>
      <c r="AX600" s="55"/>
      <c r="AY600" s="55"/>
      <c r="AZ600" s="55"/>
      <c r="BA600" s="165"/>
      <c r="BB600" s="55"/>
      <c r="BC600" s="55"/>
      <c r="BD600" s="55"/>
      <c r="BE600" s="165"/>
      <c r="BF600" s="55"/>
      <c r="BG600" s="10"/>
      <c r="BH600" s="55"/>
      <c r="BI600" s="55"/>
      <c r="BJ600" s="55"/>
      <c r="BK600" s="55"/>
      <c r="BS600" s="141"/>
      <c r="CM600" s="141"/>
      <c r="DC600" s="141"/>
    </row>
    <row r="601" spans="1:107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55"/>
      <c r="R601" s="171"/>
      <c r="S601" s="161"/>
      <c r="T601" s="55"/>
      <c r="U601" s="55"/>
      <c r="V601" s="55"/>
      <c r="W601" s="155"/>
      <c r="X601" s="171"/>
      <c r="Y601" s="165"/>
      <c r="Z601" s="10"/>
      <c r="AA601" s="55"/>
      <c r="AB601" s="55"/>
      <c r="AC601" s="55"/>
      <c r="AD601" s="55"/>
      <c r="AE601" s="55"/>
      <c r="AF601" s="167"/>
      <c r="AG601" s="55"/>
      <c r="AH601" s="55"/>
      <c r="AI601" s="165"/>
      <c r="AJ601" s="55"/>
      <c r="AK601" s="55"/>
      <c r="AL601" s="55"/>
      <c r="AM601" s="55"/>
      <c r="AN601" s="55"/>
      <c r="AO601" s="55"/>
      <c r="AP601" s="55"/>
      <c r="AQ601" s="55"/>
      <c r="AR601" s="165"/>
      <c r="AS601" s="55"/>
      <c r="AT601" s="55"/>
      <c r="AU601" s="55"/>
      <c r="AV601" s="55"/>
      <c r="AW601" s="55"/>
      <c r="AX601" s="55"/>
      <c r="AY601" s="55"/>
      <c r="AZ601" s="55"/>
      <c r="BA601" s="165"/>
      <c r="BB601" s="55"/>
      <c r="BC601" s="55"/>
      <c r="BD601" s="55"/>
      <c r="BE601" s="165"/>
      <c r="BF601" s="55"/>
      <c r="BG601" s="10"/>
      <c r="BH601" s="55"/>
      <c r="BI601" s="55"/>
      <c r="BJ601" s="55"/>
      <c r="BK601" s="55"/>
      <c r="BS601" s="141"/>
      <c r="CM601" s="141"/>
      <c r="DC601" s="141"/>
    </row>
    <row r="602" spans="1:107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55"/>
      <c r="R602" s="171"/>
      <c r="S602" s="161"/>
      <c r="T602" s="55"/>
      <c r="U602" s="55"/>
      <c r="V602" s="55"/>
      <c r="W602" s="155"/>
      <c r="X602" s="171"/>
      <c r="Y602" s="165"/>
      <c r="Z602" s="10"/>
      <c r="AA602" s="55"/>
      <c r="AB602" s="55"/>
      <c r="AC602" s="55"/>
      <c r="AD602" s="55"/>
      <c r="AE602" s="55"/>
      <c r="AF602" s="167"/>
      <c r="AG602" s="55"/>
      <c r="AH602" s="55"/>
      <c r="AI602" s="165"/>
      <c r="AJ602" s="55"/>
      <c r="AK602" s="55"/>
      <c r="AL602" s="55"/>
      <c r="AM602" s="55"/>
      <c r="AN602" s="55"/>
      <c r="AO602" s="55"/>
      <c r="AP602" s="55"/>
      <c r="AQ602" s="55"/>
      <c r="AR602" s="165"/>
      <c r="AS602" s="55"/>
      <c r="AT602" s="55"/>
      <c r="AU602" s="55"/>
      <c r="AV602" s="55"/>
      <c r="AW602" s="55"/>
      <c r="AX602" s="55"/>
      <c r="AY602" s="55"/>
      <c r="AZ602" s="55"/>
      <c r="BA602" s="165"/>
      <c r="BB602" s="55"/>
      <c r="BC602" s="55"/>
      <c r="BD602" s="55"/>
      <c r="BE602" s="165"/>
      <c r="BF602" s="55"/>
      <c r="BG602" s="10"/>
      <c r="BH602" s="55"/>
      <c r="BI602" s="55"/>
      <c r="BJ602" s="55"/>
      <c r="BK602" s="55"/>
      <c r="BS602" s="141"/>
      <c r="CM602" s="141"/>
      <c r="DC602" s="141"/>
    </row>
    <row r="603" spans="1:107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55"/>
      <c r="R603" s="171"/>
      <c r="S603" s="161"/>
      <c r="T603" s="55"/>
      <c r="U603" s="55"/>
      <c r="V603" s="55"/>
      <c r="W603" s="155"/>
      <c r="X603" s="171"/>
      <c r="Y603" s="165"/>
      <c r="Z603" s="10"/>
      <c r="AA603" s="55"/>
      <c r="AB603" s="55"/>
      <c r="AC603" s="55"/>
      <c r="AD603" s="55"/>
      <c r="AE603" s="55"/>
      <c r="AF603" s="167"/>
      <c r="AG603" s="55"/>
      <c r="AH603" s="55"/>
      <c r="AI603" s="165"/>
      <c r="AJ603" s="55"/>
      <c r="AK603" s="55"/>
      <c r="AL603" s="55"/>
      <c r="AM603" s="55"/>
      <c r="AN603" s="55"/>
      <c r="AO603" s="55"/>
      <c r="AP603" s="55"/>
      <c r="AQ603" s="55"/>
      <c r="AR603" s="165"/>
      <c r="AS603" s="55"/>
      <c r="AT603" s="55"/>
      <c r="AU603" s="55"/>
      <c r="AV603" s="55"/>
      <c r="AW603" s="55"/>
      <c r="AX603" s="55"/>
      <c r="AY603" s="55"/>
      <c r="AZ603" s="55"/>
      <c r="BA603" s="165"/>
      <c r="BB603" s="55"/>
      <c r="BC603" s="55"/>
      <c r="BD603" s="55"/>
      <c r="BE603" s="165"/>
      <c r="BF603" s="55"/>
      <c r="BG603" s="10"/>
      <c r="BH603" s="55"/>
      <c r="BI603" s="55"/>
      <c r="BJ603" s="55"/>
      <c r="BK603" s="55"/>
      <c r="BS603" s="141"/>
      <c r="CM603" s="141"/>
      <c r="DC603" s="141"/>
    </row>
    <row r="604" spans="1:107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55"/>
      <c r="R604" s="171"/>
      <c r="S604" s="161"/>
      <c r="T604" s="55"/>
      <c r="U604" s="55"/>
      <c r="V604" s="55"/>
      <c r="W604" s="155"/>
      <c r="X604" s="171"/>
      <c r="Y604" s="165"/>
      <c r="Z604" s="10"/>
      <c r="AA604" s="55"/>
      <c r="AB604" s="55"/>
      <c r="AC604" s="55"/>
      <c r="AD604" s="55"/>
      <c r="AE604" s="55"/>
      <c r="AF604" s="167"/>
      <c r="AG604" s="55"/>
      <c r="AH604" s="55"/>
      <c r="AI604" s="165"/>
      <c r="AJ604" s="55"/>
      <c r="AK604" s="55"/>
      <c r="AL604" s="55"/>
      <c r="AM604" s="55"/>
      <c r="AN604" s="55"/>
      <c r="AO604" s="55"/>
      <c r="AP604" s="55"/>
      <c r="AQ604" s="55"/>
      <c r="AR604" s="165"/>
      <c r="AS604" s="55"/>
      <c r="AT604" s="55"/>
      <c r="AU604" s="55"/>
      <c r="AV604" s="55"/>
      <c r="AW604" s="55"/>
      <c r="AX604" s="55"/>
      <c r="AY604" s="55"/>
      <c r="AZ604" s="55"/>
      <c r="BA604" s="165"/>
      <c r="BB604" s="55"/>
      <c r="BC604" s="55"/>
      <c r="BD604" s="55"/>
      <c r="BE604" s="165"/>
      <c r="BF604" s="55"/>
      <c r="BG604" s="10"/>
      <c r="BH604" s="55"/>
      <c r="BI604" s="55"/>
      <c r="BJ604" s="55"/>
      <c r="BK604" s="55"/>
      <c r="BS604" s="141"/>
      <c r="CM604" s="141"/>
      <c r="DC604" s="141"/>
    </row>
    <row r="605" spans="1:107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55"/>
      <c r="R605" s="171"/>
      <c r="S605" s="161"/>
      <c r="T605" s="55"/>
      <c r="U605" s="55"/>
      <c r="V605" s="55"/>
      <c r="W605" s="155"/>
      <c r="X605" s="171"/>
      <c r="Y605" s="165"/>
      <c r="Z605" s="10"/>
      <c r="AA605" s="55"/>
      <c r="AB605" s="55"/>
      <c r="AC605" s="55"/>
      <c r="AD605" s="55"/>
      <c r="AE605" s="55"/>
      <c r="AF605" s="167"/>
      <c r="AG605" s="55"/>
      <c r="AH605" s="55"/>
      <c r="AI605" s="165"/>
      <c r="AJ605" s="55"/>
      <c r="AK605" s="55"/>
      <c r="AL605" s="55"/>
      <c r="AM605" s="55"/>
      <c r="AN605" s="55"/>
      <c r="AO605" s="55"/>
      <c r="AP605" s="55"/>
      <c r="AQ605" s="55"/>
      <c r="AR605" s="165"/>
      <c r="AS605" s="55"/>
      <c r="AT605" s="55"/>
      <c r="AU605" s="55"/>
      <c r="AV605" s="55"/>
      <c r="AW605" s="55"/>
      <c r="AX605" s="55"/>
      <c r="AY605" s="55"/>
      <c r="AZ605" s="55"/>
      <c r="BA605" s="165"/>
      <c r="BB605" s="55"/>
      <c r="BC605" s="55"/>
      <c r="BD605" s="55"/>
      <c r="BE605" s="165"/>
      <c r="BF605" s="55"/>
      <c r="BG605" s="10"/>
      <c r="BH605" s="55"/>
      <c r="BI605" s="55"/>
      <c r="BJ605" s="55"/>
      <c r="BK605" s="55"/>
      <c r="BS605" s="141"/>
      <c r="CM605" s="141"/>
      <c r="DC605" s="141"/>
    </row>
    <row r="606" spans="1:107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55"/>
      <c r="R606" s="171"/>
      <c r="S606" s="161"/>
      <c r="T606" s="55"/>
      <c r="U606" s="55"/>
      <c r="V606" s="55"/>
      <c r="W606" s="155"/>
      <c r="X606" s="171"/>
      <c r="Y606" s="165"/>
      <c r="Z606" s="10"/>
      <c r="AA606" s="55"/>
      <c r="AB606" s="55"/>
      <c r="AC606" s="55"/>
      <c r="AD606" s="55"/>
      <c r="AE606" s="55"/>
      <c r="AF606" s="167"/>
      <c r="AG606" s="55"/>
      <c r="AH606" s="55"/>
      <c r="AI606" s="165"/>
      <c r="AJ606" s="55"/>
      <c r="AK606" s="55"/>
      <c r="AL606" s="55"/>
      <c r="AM606" s="55"/>
      <c r="AN606" s="55"/>
      <c r="AO606" s="55"/>
      <c r="AP606" s="55"/>
      <c r="AQ606" s="55"/>
      <c r="AR606" s="165"/>
      <c r="AS606" s="55"/>
      <c r="AT606" s="55"/>
      <c r="AU606" s="55"/>
      <c r="AV606" s="55"/>
      <c r="AW606" s="55"/>
      <c r="AX606" s="55"/>
      <c r="AY606" s="55"/>
      <c r="AZ606" s="55"/>
      <c r="BA606" s="165"/>
      <c r="BB606" s="55"/>
      <c r="BC606" s="55"/>
      <c r="BD606" s="55"/>
      <c r="BE606" s="165"/>
      <c r="BF606" s="55"/>
      <c r="BG606" s="10"/>
      <c r="BH606" s="55"/>
      <c r="BI606" s="55"/>
      <c r="BJ606" s="55"/>
      <c r="BK606" s="55"/>
      <c r="BS606" s="141"/>
      <c r="CM606" s="141"/>
      <c r="DC606" s="141"/>
    </row>
    <row r="607" spans="1:107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55"/>
      <c r="R607" s="171"/>
      <c r="S607" s="161"/>
      <c r="T607" s="55"/>
      <c r="U607" s="55"/>
      <c r="V607" s="55"/>
      <c r="W607" s="155"/>
      <c r="X607" s="171"/>
      <c r="Y607" s="165"/>
      <c r="Z607" s="10"/>
      <c r="AA607" s="55"/>
      <c r="AB607" s="55"/>
      <c r="AC607" s="55"/>
      <c r="AD607" s="55"/>
      <c r="AE607" s="55"/>
      <c r="AF607" s="167"/>
      <c r="AG607" s="55"/>
      <c r="AH607" s="55"/>
      <c r="AI607" s="165"/>
      <c r="AJ607" s="55"/>
      <c r="AK607" s="55"/>
      <c r="AL607" s="55"/>
      <c r="AM607" s="55"/>
      <c r="AN607" s="55"/>
      <c r="AO607" s="55"/>
      <c r="AP607" s="55"/>
      <c r="AQ607" s="55"/>
      <c r="AR607" s="165"/>
      <c r="AS607" s="55"/>
      <c r="AT607" s="55"/>
      <c r="AU607" s="55"/>
      <c r="AV607" s="55"/>
      <c r="AW607" s="55"/>
      <c r="AX607" s="55"/>
      <c r="AY607" s="55"/>
      <c r="AZ607" s="55"/>
      <c r="BA607" s="165"/>
      <c r="BB607" s="55"/>
      <c r="BC607" s="55"/>
      <c r="BD607" s="55"/>
      <c r="BE607" s="165"/>
      <c r="BF607" s="55"/>
      <c r="BG607" s="10"/>
      <c r="BH607" s="55"/>
      <c r="BI607" s="55"/>
      <c r="BJ607" s="55"/>
      <c r="BK607" s="55"/>
      <c r="BS607" s="141"/>
      <c r="CM607" s="141"/>
      <c r="DC607" s="141"/>
    </row>
    <row r="608" spans="1:107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55"/>
      <c r="R608" s="171"/>
      <c r="S608" s="161"/>
      <c r="T608" s="55"/>
      <c r="U608" s="55"/>
      <c r="V608" s="55"/>
      <c r="W608" s="155"/>
      <c r="X608" s="171"/>
      <c r="Y608" s="165"/>
      <c r="Z608" s="10"/>
      <c r="AA608" s="55"/>
      <c r="AB608" s="55"/>
      <c r="AC608" s="55"/>
      <c r="AD608" s="55"/>
      <c r="AE608" s="55"/>
      <c r="AF608" s="167"/>
      <c r="AG608" s="55"/>
      <c r="AH608" s="55"/>
      <c r="AI608" s="165"/>
      <c r="AJ608" s="55"/>
      <c r="AK608" s="55"/>
      <c r="AL608" s="55"/>
      <c r="AM608" s="55"/>
      <c r="AN608" s="55"/>
      <c r="AO608" s="55"/>
      <c r="AP608" s="55"/>
      <c r="AQ608" s="55"/>
      <c r="AR608" s="165"/>
      <c r="AS608" s="55"/>
      <c r="AT608" s="55"/>
      <c r="AU608" s="55"/>
      <c r="AV608" s="55"/>
      <c r="AW608" s="55"/>
      <c r="AX608" s="55"/>
      <c r="AY608" s="55"/>
      <c r="AZ608" s="55"/>
      <c r="BA608" s="165"/>
      <c r="BB608" s="55"/>
      <c r="BC608" s="55"/>
      <c r="BD608" s="55"/>
      <c r="BE608" s="165"/>
      <c r="BF608" s="55"/>
      <c r="BG608" s="10"/>
      <c r="BH608" s="55"/>
      <c r="BI608" s="55"/>
      <c r="BJ608" s="55"/>
      <c r="BK608" s="55"/>
      <c r="BS608" s="141"/>
      <c r="CM608" s="141"/>
      <c r="DC608" s="141"/>
    </row>
    <row r="609" spans="1:107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55"/>
      <c r="R609" s="171"/>
      <c r="S609" s="161"/>
      <c r="T609" s="55"/>
      <c r="U609" s="55"/>
      <c r="V609" s="55"/>
      <c r="W609" s="155"/>
      <c r="X609" s="171"/>
      <c r="Y609" s="165"/>
      <c r="Z609" s="10"/>
      <c r="AA609" s="55"/>
      <c r="AB609" s="55"/>
      <c r="AC609" s="55"/>
      <c r="AD609" s="55"/>
      <c r="AE609" s="55"/>
      <c r="AF609" s="167"/>
      <c r="AG609" s="55"/>
      <c r="AH609" s="55"/>
      <c r="AI609" s="165"/>
      <c r="AJ609" s="55"/>
      <c r="AK609" s="55"/>
      <c r="AL609" s="55"/>
      <c r="AM609" s="55"/>
      <c r="AN609" s="55"/>
      <c r="AO609" s="55"/>
      <c r="AP609" s="55"/>
      <c r="AQ609" s="55"/>
      <c r="AR609" s="165"/>
      <c r="AS609" s="55"/>
      <c r="AT609" s="55"/>
      <c r="AU609" s="55"/>
      <c r="AV609" s="55"/>
      <c r="AW609" s="55"/>
      <c r="AX609" s="55"/>
      <c r="AY609" s="55"/>
      <c r="AZ609" s="55"/>
      <c r="BA609" s="165"/>
      <c r="BB609" s="55"/>
      <c r="BC609" s="55"/>
      <c r="BD609" s="55"/>
      <c r="BE609" s="165"/>
      <c r="BF609" s="55"/>
      <c r="BG609" s="10"/>
      <c r="BH609" s="55"/>
      <c r="BI609" s="55"/>
      <c r="BJ609" s="55"/>
      <c r="BK609" s="55"/>
      <c r="BS609" s="141"/>
      <c r="CM609" s="141"/>
      <c r="DC609" s="141"/>
    </row>
    <row r="610" spans="1:107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55"/>
      <c r="R610" s="171"/>
      <c r="S610" s="161"/>
      <c r="T610" s="55"/>
      <c r="U610" s="55"/>
      <c r="V610" s="55"/>
      <c r="W610" s="155"/>
      <c r="X610" s="171"/>
      <c r="Y610" s="165"/>
      <c r="Z610" s="10"/>
      <c r="AA610" s="55"/>
      <c r="AB610" s="55"/>
      <c r="AC610" s="55"/>
      <c r="AD610" s="55"/>
      <c r="AE610" s="55"/>
      <c r="AF610" s="167"/>
      <c r="AG610" s="55"/>
      <c r="AH610" s="55"/>
      <c r="AI610" s="165"/>
      <c r="AJ610" s="55"/>
      <c r="AK610" s="55"/>
      <c r="AL610" s="55"/>
      <c r="AM610" s="55"/>
      <c r="AN610" s="55"/>
      <c r="AO610" s="55"/>
      <c r="AP610" s="55"/>
      <c r="AQ610" s="55"/>
      <c r="AR610" s="165"/>
      <c r="AS610" s="55"/>
      <c r="AT610" s="55"/>
      <c r="AU610" s="55"/>
      <c r="AV610" s="55"/>
      <c r="AW610" s="55"/>
      <c r="AX610" s="55"/>
      <c r="AY610" s="55"/>
      <c r="AZ610" s="55"/>
      <c r="BA610" s="165"/>
      <c r="BB610" s="55"/>
      <c r="BC610" s="55"/>
      <c r="BD610" s="55"/>
      <c r="BE610" s="165"/>
      <c r="BF610" s="55"/>
      <c r="BG610" s="10"/>
      <c r="BH610" s="55"/>
      <c r="BI610" s="55"/>
      <c r="BJ610" s="55"/>
      <c r="BK610" s="55"/>
      <c r="BS610" s="141"/>
      <c r="CM610" s="141"/>
      <c r="DC610" s="141"/>
    </row>
    <row r="611" spans="1:107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55"/>
      <c r="R611" s="171"/>
      <c r="S611" s="161"/>
      <c r="T611" s="55"/>
      <c r="U611" s="55"/>
      <c r="V611" s="55"/>
      <c r="W611" s="155"/>
      <c r="X611" s="171"/>
      <c r="Y611" s="165"/>
      <c r="Z611" s="10"/>
      <c r="AA611" s="55"/>
      <c r="AB611" s="55"/>
      <c r="AC611" s="55"/>
      <c r="AD611" s="55"/>
      <c r="AE611" s="55"/>
      <c r="AF611" s="167"/>
      <c r="AG611" s="55"/>
      <c r="AH611" s="55"/>
      <c r="AI611" s="165"/>
      <c r="AJ611" s="55"/>
      <c r="AK611" s="55"/>
      <c r="AL611" s="55"/>
      <c r="AM611" s="55"/>
      <c r="AN611" s="55"/>
      <c r="AO611" s="55"/>
      <c r="AP611" s="55"/>
      <c r="AQ611" s="55"/>
      <c r="AR611" s="165"/>
      <c r="AS611" s="55"/>
      <c r="AT611" s="55"/>
      <c r="AU611" s="55"/>
      <c r="AV611" s="55"/>
      <c r="AW611" s="55"/>
      <c r="AX611" s="55"/>
      <c r="AY611" s="55"/>
      <c r="AZ611" s="55"/>
      <c r="BA611" s="165"/>
      <c r="BB611" s="55"/>
      <c r="BC611" s="55"/>
      <c r="BD611" s="55"/>
      <c r="BE611" s="165"/>
      <c r="BF611" s="55"/>
      <c r="BG611" s="10"/>
      <c r="BH611" s="55"/>
      <c r="BI611" s="55"/>
      <c r="BJ611" s="55"/>
      <c r="BK611" s="55"/>
      <c r="BS611" s="141"/>
      <c r="CM611" s="141"/>
      <c r="DC611" s="141"/>
    </row>
    <row r="612" spans="1:107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55"/>
      <c r="R612" s="171"/>
      <c r="S612" s="161"/>
      <c r="T612" s="55"/>
      <c r="U612" s="55"/>
      <c r="V612" s="55"/>
      <c r="W612" s="155"/>
      <c r="X612" s="171"/>
      <c r="Y612" s="165"/>
      <c r="Z612" s="10"/>
      <c r="AA612" s="55"/>
      <c r="AB612" s="55"/>
      <c r="AC612" s="55"/>
      <c r="AD612" s="55"/>
      <c r="AE612" s="55"/>
      <c r="AF612" s="167"/>
      <c r="AG612" s="55"/>
      <c r="AH612" s="55"/>
      <c r="AI612" s="165"/>
      <c r="AJ612" s="55"/>
      <c r="AK612" s="55"/>
      <c r="AL612" s="55"/>
      <c r="AM612" s="55"/>
      <c r="AN612" s="55"/>
      <c r="AO612" s="55"/>
      <c r="AP612" s="55"/>
      <c r="AQ612" s="55"/>
      <c r="AR612" s="165"/>
      <c r="AS612" s="55"/>
      <c r="AT612" s="55"/>
      <c r="AU612" s="55"/>
      <c r="AV612" s="55"/>
      <c r="AW612" s="55"/>
      <c r="AX612" s="55"/>
      <c r="AY612" s="55"/>
      <c r="AZ612" s="55"/>
      <c r="BA612" s="165"/>
      <c r="BB612" s="55"/>
      <c r="BC612" s="55"/>
      <c r="BD612" s="55"/>
      <c r="BE612" s="165"/>
      <c r="BF612" s="55"/>
      <c r="BG612" s="10"/>
      <c r="BH612" s="55"/>
      <c r="BI612" s="55"/>
      <c r="BJ612" s="55"/>
      <c r="BK612" s="55"/>
      <c r="BS612" s="141"/>
      <c r="CM612" s="141"/>
      <c r="DC612" s="141"/>
    </row>
    <row r="613" spans="1:107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55"/>
      <c r="R613" s="171"/>
      <c r="S613" s="161"/>
      <c r="T613" s="55"/>
      <c r="U613" s="55"/>
      <c r="V613" s="55"/>
      <c r="W613" s="155"/>
      <c r="X613" s="171"/>
      <c r="Y613" s="165"/>
      <c r="Z613" s="10"/>
      <c r="AA613" s="55"/>
      <c r="AB613" s="55"/>
      <c r="AC613" s="55"/>
      <c r="AD613" s="55"/>
      <c r="AE613" s="55"/>
      <c r="AF613" s="167"/>
      <c r="AG613" s="55"/>
      <c r="AH613" s="55"/>
      <c r="AI613" s="165"/>
      <c r="AJ613" s="55"/>
      <c r="AK613" s="55"/>
      <c r="AL613" s="55"/>
      <c r="AM613" s="55"/>
      <c r="AN613" s="55"/>
      <c r="AO613" s="55"/>
      <c r="AP613" s="55"/>
      <c r="AQ613" s="55"/>
      <c r="AR613" s="165"/>
      <c r="AS613" s="55"/>
      <c r="AT613" s="55"/>
      <c r="AU613" s="55"/>
      <c r="AV613" s="55"/>
      <c r="AW613" s="55"/>
      <c r="AX613" s="55"/>
      <c r="AY613" s="55"/>
      <c r="AZ613" s="55"/>
      <c r="BA613" s="165"/>
      <c r="BB613" s="55"/>
      <c r="BC613" s="55"/>
      <c r="BD613" s="55"/>
      <c r="BE613" s="165"/>
      <c r="BF613" s="55"/>
      <c r="BG613" s="10"/>
      <c r="BH613" s="55"/>
      <c r="BI613" s="55"/>
      <c r="BJ613" s="55"/>
      <c r="BK613" s="55"/>
      <c r="BS613" s="141"/>
      <c r="CM613" s="141"/>
      <c r="DC613" s="141"/>
    </row>
    <row r="614" spans="1:107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55"/>
      <c r="R614" s="171"/>
      <c r="S614" s="161"/>
      <c r="T614" s="55"/>
      <c r="U614" s="55"/>
      <c r="V614" s="55"/>
      <c r="W614" s="155"/>
      <c r="X614" s="171"/>
      <c r="Y614" s="165"/>
      <c r="Z614" s="10"/>
      <c r="AA614" s="55"/>
      <c r="AB614" s="55"/>
      <c r="AC614" s="55"/>
      <c r="AD614" s="55"/>
      <c r="AE614" s="55"/>
      <c r="AF614" s="167"/>
      <c r="AG614" s="55"/>
      <c r="AH614" s="55"/>
      <c r="AI614" s="165"/>
      <c r="AJ614" s="55"/>
      <c r="AK614" s="55"/>
      <c r="AL614" s="55"/>
      <c r="AM614" s="55"/>
      <c r="AN614" s="55"/>
      <c r="AO614" s="55"/>
      <c r="AP614" s="55"/>
      <c r="AQ614" s="55"/>
      <c r="AR614" s="165"/>
      <c r="AS614" s="55"/>
      <c r="AT614" s="55"/>
      <c r="AU614" s="55"/>
      <c r="AV614" s="55"/>
      <c r="AW614" s="55"/>
      <c r="AX614" s="55"/>
      <c r="AY614" s="55"/>
      <c r="AZ614" s="55"/>
      <c r="BA614" s="165"/>
      <c r="BB614" s="55"/>
      <c r="BC614" s="55"/>
      <c r="BD614" s="55"/>
      <c r="BE614" s="165"/>
      <c r="BF614" s="55"/>
      <c r="BG614" s="10"/>
      <c r="BH614" s="55"/>
      <c r="BI614" s="55"/>
      <c r="BJ614" s="55"/>
      <c r="BK614" s="55"/>
      <c r="BS614" s="141"/>
      <c r="CM614" s="141"/>
      <c r="DC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3" sqref="H23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555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561</v>
      </c>
      <c r="I3" s="55" t="s">
        <v>570</v>
      </c>
      <c r="J3" s="55" t="s">
        <v>571</v>
      </c>
      <c r="K3" s="55" t="s">
        <v>572</v>
      </c>
      <c r="L3" s="55" t="s">
        <v>577</v>
      </c>
      <c r="M3" s="55" t="s">
        <v>583</v>
      </c>
    </row>
    <row r="4" spans="1:24" s="99" customFormat="1" ht="64.5" customHeight="1" thickBot="1" x14ac:dyDescent="0.2">
      <c r="A4" s="94" t="s">
        <v>558</v>
      </c>
      <c r="B4" s="87" t="s">
        <v>656</v>
      </c>
      <c r="C4" s="103"/>
      <c r="D4" s="87"/>
      <c r="E4" s="87"/>
      <c r="F4" s="103"/>
      <c r="G4" s="90" t="s">
        <v>562</v>
      </c>
      <c r="H4" s="90" t="s">
        <v>566</v>
      </c>
      <c r="I4" s="89" t="s">
        <v>646</v>
      </c>
      <c r="J4" s="89" t="s">
        <v>647</v>
      </c>
      <c r="K4" s="89" t="s">
        <v>648</v>
      </c>
      <c r="L4" s="89" t="s">
        <v>575</v>
      </c>
      <c r="M4" s="89" t="s">
        <v>653</v>
      </c>
      <c r="N4" s="90"/>
      <c r="O4" s="100" t="s">
        <v>1339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563</v>
      </c>
      <c r="H5" s="11" t="s">
        <v>564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1238</v>
      </c>
      <c r="H6" s="11" t="s">
        <v>1237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567</v>
      </c>
      <c r="H7" s="11" t="s">
        <v>576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565</v>
      </c>
      <c r="H8" s="11" t="s">
        <v>569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568</v>
      </c>
      <c r="H9" s="11" t="s">
        <v>650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661</v>
      </c>
      <c r="H10" s="11" t="s">
        <v>628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644</v>
      </c>
      <c r="H11" s="10" t="s">
        <v>649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645</v>
      </c>
      <c r="H12" s="10" t="s">
        <v>649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652</v>
      </c>
      <c r="H13" s="10" t="s">
        <v>654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658</v>
      </c>
      <c r="H14" s="10" t="s">
        <v>659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663</v>
      </c>
      <c r="H15" s="10" t="s">
        <v>657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664</v>
      </c>
      <c r="H16" s="10" t="s">
        <v>662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665</v>
      </c>
      <c r="H17" s="10" t="s">
        <v>666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807</v>
      </c>
      <c r="H18" s="10" t="s">
        <v>808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1342</v>
      </c>
      <c r="H19" s="11" t="s">
        <v>1343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2018-09-19T12:40:47Z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