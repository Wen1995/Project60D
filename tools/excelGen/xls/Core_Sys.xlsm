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 l="1"/>
  <c r="AE50" i="9" s="1"/>
  <c r="AF214" i="9"/>
  <c r="AE214" i="9" s="1"/>
  <c r="AF408" i="9"/>
  <c r="AE408" i="9" s="1"/>
  <c r="AF95" i="9"/>
  <c r="AE95" i="9" s="1"/>
  <c r="AF298" i="9"/>
  <c r="AE298" i="9" s="1"/>
  <c r="AF14" i="9"/>
  <c r="AE14" i="9" s="1"/>
  <c r="AF6" i="9"/>
  <c r="AE6" i="9" s="1"/>
  <c r="AF397" i="9"/>
  <c r="AE397" i="9" s="1"/>
  <c r="AF391" i="9"/>
  <c r="AE391" i="9" s="1"/>
  <c r="AF212" i="9"/>
  <c r="AE212" i="9" s="1"/>
  <c r="AF22" i="9"/>
  <c r="AE22" i="9" s="1"/>
  <c r="AF54" i="9"/>
  <c r="AE54" i="9" s="1"/>
  <c r="AF80" i="9"/>
  <c r="AE80" i="9" s="1"/>
  <c r="AF503" i="9"/>
  <c r="AE503" i="9" s="1"/>
  <c r="AF140" i="9"/>
  <c r="AE140" i="9" s="1"/>
  <c r="AF480" i="9"/>
  <c r="AE480" i="9" s="1"/>
  <c r="AF262" i="9"/>
  <c r="AE262" i="9" s="1"/>
  <c r="AF300" i="9"/>
  <c r="AE300" i="9" s="1"/>
  <c r="AF290" i="9"/>
  <c r="AE290" i="9" s="1"/>
  <c r="AF45" i="9"/>
  <c r="AE45" i="9" s="1"/>
  <c r="AG45" i="9" s="1"/>
  <c r="AF203" i="9"/>
  <c r="AE203" i="9" s="1"/>
  <c r="AF401" i="9"/>
  <c r="AE401" i="9" s="1"/>
  <c r="AF292" i="9"/>
  <c r="AE292" i="9" s="1"/>
  <c r="AF455" i="9"/>
  <c r="AE455" i="9" s="1"/>
  <c r="AF35" i="9"/>
  <c r="AE35" i="9" s="1"/>
  <c r="AF37" i="9"/>
  <c r="AE37" i="9" s="1"/>
  <c r="AF462" i="9"/>
  <c r="AE462" i="9" s="1"/>
  <c r="AF208" i="9"/>
  <c r="AE208" i="9" s="1"/>
  <c r="AF194" i="9"/>
  <c r="AE194" i="9" s="1"/>
  <c r="AF390" i="9"/>
  <c r="AE390" i="9" s="1"/>
  <c r="AF32" i="9"/>
  <c r="AE32" i="9" s="1"/>
  <c r="AF152" i="9"/>
  <c r="AE152" i="9" s="1"/>
  <c r="AF481" i="9"/>
  <c r="AE481" i="9" s="1"/>
  <c r="AF473" i="9"/>
  <c r="AE473" i="9" s="1"/>
  <c r="AF487" i="9"/>
  <c r="AE487" i="9" s="1"/>
  <c r="AF272" i="9"/>
  <c r="AE272" i="9" s="1"/>
  <c r="AF467" i="9"/>
  <c r="AE467" i="9" s="1"/>
  <c r="AF143" i="9"/>
  <c r="AE143" i="9" s="1"/>
  <c r="AF413" i="9"/>
  <c r="AE413" i="9" s="1"/>
  <c r="AF112" i="9"/>
  <c r="AE112" i="9" s="1"/>
  <c r="AF107" i="9"/>
  <c r="AE107" i="9" s="1"/>
  <c r="AF196" i="9"/>
  <c r="AE196" i="9" s="1"/>
  <c r="AF224" i="9"/>
  <c r="AE224" i="9" s="1"/>
  <c r="AF476" i="9"/>
  <c r="AE476" i="9" s="1"/>
  <c r="AF324" i="9"/>
  <c r="AE324" i="9" s="1"/>
  <c r="AF338" i="9"/>
  <c r="AE338" i="9" s="1"/>
  <c r="AF229" i="9"/>
  <c r="AE229" i="9" s="1"/>
  <c r="AF67" i="9"/>
  <c r="AE67" i="9" s="1"/>
  <c r="AF129" i="9"/>
  <c r="AE129" i="9" s="1"/>
  <c r="AF370" i="9"/>
  <c r="AE370" i="9" s="1"/>
  <c r="AF239" i="9"/>
  <c r="AE239" i="9" s="1"/>
  <c r="AF294" i="9"/>
  <c r="AE294" i="9" s="1"/>
  <c r="AF474" i="9"/>
  <c r="AE474" i="9" s="1"/>
  <c r="AF28" i="9"/>
  <c r="AE28" i="9" s="1"/>
  <c r="AF114" i="9"/>
  <c r="AE114" i="9" s="1"/>
  <c r="AF285" i="9"/>
  <c r="AE285" i="9" s="1"/>
  <c r="AG285" i="9" s="1"/>
  <c r="AF244" i="9"/>
  <c r="AE244" i="9" s="1"/>
  <c r="AF36" i="9"/>
  <c r="AE36" i="9" s="1"/>
  <c r="AG37" i="9" s="1"/>
  <c r="AF149" i="9"/>
  <c r="AE149" i="9" s="1"/>
  <c r="AF264" i="9"/>
  <c r="AE264" i="9" s="1"/>
  <c r="AF236" i="9"/>
  <c r="AE236" i="9" s="1"/>
  <c r="AF388" i="9"/>
  <c r="AE388" i="9" s="1"/>
  <c r="AF120" i="9"/>
  <c r="AE120" i="9" s="1"/>
  <c r="AF394" i="9"/>
  <c r="AE394" i="9" s="1"/>
  <c r="AF403" i="9"/>
  <c r="AE403" i="9" s="1"/>
  <c r="AF231" i="9"/>
  <c r="AE231" i="9" s="1"/>
  <c r="AF204" i="9"/>
  <c r="AE204" i="9" s="1"/>
  <c r="AF382" i="9"/>
  <c r="AE382" i="9" s="1"/>
  <c r="AF20" i="9"/>
  <c r="AE20" i="9" s="1"/>
  <c r="AF12" i="9"/>
  <c r="AE12" i="9" s="1"/>
  <c r="AF209" i="9"/>
  <c r="AE209" i="9" s="1"/>
  <c r="AF310" i="9"/>
  <c r="AE310" i="9" s="1"/>
  <c r="AF344" i="9"/>
  <c r="AE344" i="9" s="1"/>
  <c r="AF158" i="9"/>
  <c r="AE158" i="9" s="1"/>
  <c r="AF25" i="9"/>
  <c r="AE25" i="9" s="1"/>
  <c r="AG25" i="9" s="1"/>
  <c r="AF99" i="9"/>
  <c r="AE99" i="9" s="1"/>
  <c r="AF187" i="9"/>
  <c r="AE187" i="9" s="1"/>
  <c r="AF206" i="9"/>
  <c r="AE206" i="9" s="1"/>
  <c r="AF211" i="9"/>
  <c r="AE211" i="9" s="1"/>
  <c r="AF289" i="9"/>
  <c r="AE289" i="9" s="1"/>
  <c r="AF299" i="9"/>
  <c r="AE299" i="9" s="1"/>
  <c r="AF44" i="9"/>
  <c r="AE44" i="9" s="1"/>
  <c r="AF183" i="9"/>
  <c r="AE183" i="9" s="1"/>
  <c r="AF346" i="9"/>
  <c r="AE346" i="9" s="1"/>
  <c r="AF184" i="9"/>
  <c r="AE184" i="9" s="1"/>
  <c r="AF340" i="9"/>
  <c r="AE340" i="9" s="1"/>
  <c r="AF73" i="9"/>
  <c r="AE73" i="9" s="1"/>
  <c r="AF130" i="9"/>
  <c r="AE130" i="9" s="1"/>
  <c r="AF463" i="9"/>
  <c r="AE463" i="9" s="1"/>
  <c r="AF493" i="9"/>
  <c r="AE493" i="9" s="1"/>
  <c r="AF311" i="9"/>
  <c r="AE311" i="9" s="1"/>
  <c r="AF226" i="9"/>
  <c r="AE226" i="9" s="1"/>
  <c r="AF199" i="9"/>
  <c r="AE199" i="9" s="1"/>
  <c r="AF430" i="9"/>
  <c r="AE430" i="9" s="1"/>
  <c r="AF446" i="9"/>
  <c r="AE446" i="9" s="1"/>
  <c r="AF124" i="9"/>
  <c r="AE124" i="9" s="1"/>
  <c r="AF227" i="9"/>
  <c r="AE227" i="9" s="1"/>
  <c r="AF375" i="9"/>
  <c r="AE375" i="9" s="1"/>
  <c r="AF269" i="9"/>
  <c r="AE269" i="9" s="1"/>
  <c r="AF318" i="9"/>
  <c r="AE318" i="9" s="1"/>
  <c r="AF235" i="9"/>
  <c r="AE235" i="9" s="1"/>
  <c r="AG236" i="9" s="1"/>
  <c r="AF341" i="9"/>
  <c r="AE341" i="9" s="1"/>
  <c r="AF207" i="9"/>
  <c r="AE207" i="9" s="1"/>
  <c r="AF186" i="9"/>
  <c r="AE186" i="9" s="1"/>
  <c r="AF170" i="9"/>
  <c r="AE170" i="9" s="1"/>
  <c r="AF56" i="9"/>
  <c r="AE56" i="9" s="1"/>
  <c r="AF29" i="9"/>
  <c r="AE29" i="9" s="1"/>
  <c r="AF376" i="9"/>
  <c r="AE376" i="9" s="1"/>
  <c r="AF144" i="9"/>
  <c r="AE144" i="9" s="1"/>
  <c r="AF134" i="9"/>
  <c r="AE134" i="9" s="1"/>
  <c r="AF280" i="9"/>
  <c r="AE280" i="9" s="1"/>
  <c r="AF398" i="9"/>
  <c r="AE398" i="9" s="1"/>
  <c r="AF381" i="9"/>
  <c r="AE381" i="9" s="1"/>
  <c r="AF61" i="9"/>
  <c r="AE61" i="9" s="1"/>
  <c r="AF491" i="9"/>
  <c r="AE491" i="9" s="1"/>
  <c r="AF421" i="9"/>
  <c r="AE421" i="9" s="1"/>
  <c r="AF76" i="9"/>
  <c r="AE76" i="9" s="1"/>
  <c r="AF469" i="9"/>
  <c r="AE469" i="9" s="1"/>
  <c r="AF190" i="9"/>
  <c r="AE190" i="9" s="1"/>
  <c r="AF343" i="9"/>
  <c r="AE343" i="9" s="1"/>
  <c r="AF79" i="9"/>
  <c r="AE79" i="9" s="1"/>
  <c r="AF48" i="9"/>
  <c r="AE48" i="9" s="1"/>
  <c r="AF146" i="9"/>
  <c r="AE146" i="9" s="1"/>
  <c r="AF429" i="9"/>
  <c r="AE429" i="9" s="1"/>
  <c r="AF103" i="9"/>
  <c r="AE103" i="9" s="1"/>
  <c r="AF257" i="9"/>
  <c r="AE257" i="9" s="1"/>
  <c r="AF142" i="9"/>
  <c r="AE142" i="9" s="1"/>
  <c r="AF277" i="9"/>
  <c r="AE277" i="9" s="1"/>
  <c r="AF200" i="9"/>
  <c r="AE200" i="9" s="1"/>
  <c r="AF504" i="9"/>
  <c r="AE504" i="9" s="1"/>
  <c r="AF400" i="9"/>
  <c r="AE400" i="9" s="1"/>
  <c r="AF379" i="9"/>
  <c r="AE379" i="9" s="1"/>
  <c r="AF111" i="9"/>
  <c r="AE111" i="9" s="1"/>
  <c r="AF286" i="9"/>
  <c r="AE286" i="9" s="1"/>
  <c r="AF335" i="9"/>
  <c r="AE335" i="9" s="1"/>
  <c r="AF383" i="9"/>
  <c r="AE383" i="9" s="1"/>
  <c r="AF278" i="9"/>
  <c r="AE278" i="9" s="1"/>
  <c r="AF434" i="9"/>
  <c r="AE434" i="9" s="1"/>
  <c r="AF327" i="9"/>
  <c r="AE327" i="9" s="1"/>
  <c r="AF154" i="9"/>
  <c r="AE154" i="9" s="1"/>
  <c r="AF472" i="9"/>
  <c r="AE472" i="9" s="1"/>
  <c r="AF217" i="9"/>
  <c r="AE217" i="9" s="1"/>
  <c r="AF221" i="9"/>
  <c r="AE221" i="9" s="1"/>
  <c r="AF439" i="9"/>
  <c r="AE439" i="9" s="1"/>
  <c r="AF72" i="9"/>
  <c r="AE72" i="9" s="1"/>
  <c r="AF168" i="9"/>
  <c r="AE168" i="9" s="1"/>
  <c r="AF228" i="9"/>
  <c r="AE228" i="9" s="1"/>
  <c r="AF267" i="9"/>
  <c r="AE267" i="9" s="1"/>
  <c r="AF198" i="9"/>
  <c r="AE198" i="9" s="1"/>
  <c r="AG199" i="9" s="1"/>
  <c r="AF471" i="9"/>
  <c r="AE471" i="9" s="1"/>
  <c r="AF161" i="9"/>
  <c r="AE161" i="9" s="1"/>
  <c r="AF27" i="9"/>
  <c r="AE27" i="9" s="1"/>
  <c r="AF128" i="9"/>
  <c r="AE128" i="9" s="1"/>
  <c r="AF150" i="9"/>
  <c r="AE150" i="9" s="1"/>
  <c r="AF354" i="9"/>
  <c r="AE354" i="9" s="1"/>
  <c r="AF118" i="9"/>
  <c r="AE118" i="9" s="1"/>
  <c r="AF98" i="9"/>
  <c r="AE98" i="9" s="1"/>
  <c r="AF119" i="9"/>
  <c r="AE119" i="9" s="1"/>
  <c r="AF162" i="9"/>
  <c r="AE162" i="9" s="1"/>
  <c r="AF433" i="9"/>
  <c r="AE433" i="9" s="1"/>
  <c r="AF358" i="9"/>
  <c r="AE358" i="9" s="1"/>
  <c r="AF329" i="9"/>
  <c r="AE329" i="9" s="1"/>
  <c r="AF110" i="9"/>
  <c r="AE110" i="9" s="1"/>
  <c r="AF213" i="9"/>
  <c r="AE213" i="9" s="1"/>
  <c r="AF449" i="9"/>
  <c r="AE449" i="9" s="1"/>
  <c r="AF287" i="9"/>
  <c r="AE287" i="9" s="1"/>
  <c r="AF188" i="9"/>
  <c r="AE188" i="9" s="1"/>
  <c r="AF215" i="9"/>
  <c r="AE215" i="9" s="1"/>
  <c r="AF84" i="9"/>
  <c r="AE84" i="9" s="1"/>
  <c r="AF319" i="9"/>
  <c r="AE319" i="9" s="1"/>
  <c r="AF499" i="9"/>
  <c r="AE499" i="9" s="1"/>
  <c r="AF151" i="9"/>
  <c r="AE151" i="9" s="1"/>
  <c r="AF396" i="9"/>
  <c r="AE396" i="9" s="1"/>
  <c r="AF490" i="9"/>
  <c r="AE490" i="9" s="1"/>
  <c r="AF243" i="9"/>
  <c r="AE243" i="9" s="1"/>
  <c r="AF232" i="9"/>
  <c r="AE232" i="9" s="1"/>
  <c r="AF432" i="9"/>
  <c r="AE432" i="9" s="1"/>
  <c r="AF116" i="9"/>
  <c r="AE116" i="9" s="1"/>
  <c r="AF322" i="9"/>
  <c r="AE322" i="9" s="1"/>
  <c r="AF49" i="9"/>
  <c r="AE49" i="9" s="1"/>
  <c r="AF87" i="9"/>
  <c r="AE87" i="9" s="1"/>
  <c r="AF218" i="9"/>
  <c r="AE218" i="9" s="1"/>
  <c r="AF304" i="9"/>
  <c r="AE304" i="9" s="1"/>
  <c r="AF470" i="9"/>
  <c r="AE470" i="9" s="1"/>
  <c r="AF453" i="9"/>
  <c r="AE453" i="9" s="1"/>
  <c r="AF281" i="9"/>
  <c r="AE281" i="9" s="1"/>
  <c r="AF166" i="9"/>
  <c r="AE166" i="9" s="1"/>
  <c r="AF96" i="9"/>
  <c r="AE96" i="9" s="1"/>
  <c r="AG96" i="9" s="1"/>
  <c r="AF222" i="9"/>
  <c r="AE222" i="9" s="1"/>
  <c r="AF53" i="9"/>
  <c r="AE53" i="9" s="1"/>
  <c r="AF179" i="9"/>
  <c r="AE179" i="9" s="1"/>
  <c r="AF171" i="9"/>
  <c r="AE171" i="9" s="1"/>
  <c r="AF249" i="9"/>
  <c r="AE249" i="9" s="1"/>
  <c r="AF263" i="9"/>
  <c r="AE263" i="9" s="1"/>
  <c r="AF328" i="9"/>
  <c r="AE328" i="9" s="1"/>
  <c r="AF108" i="9"/>
  <c r="AE108" i="9" s="1"/>
  <c r="AF155" i="9"/>
  <c r="AE155" i="9" s="1"/>
  <c r="AF419" i="9"/>
  <c r="AE419" i="9" s="1"/>
  <c r="AF167" i="9"/>
  <c r="AE167" i="9" s="1"/>
  <c r="AF63" i="9"/>
  <c r="AE63" i="9" s="1"/>
  <c r="AF74" i="9"/>
  <c r="AE74" i="9" s="1"/>
  <c r="AF57" i="9"/>
  <c r="AE57" i="9" s="1"/>
  <c r="AF64" i="9"/>
  <c r="AE64" i="9" s="1"/>
  <c r="AF438" i="9"/>
  <c r="AE438" i="9" s="1"/>
  <c r="AF100" i="9"/>
  <c r="AE100" i="9" s="1"/>
  <c r="AF234" i="9"/>
  <c r="AE234" i="9" s="1"/>
  <c r="AF283" i="9"/>
  <c r="AE283" i="9" s="1"/>
  <c r="AF442" i="9"/>
  <c r="AE442" i="9" s="1"/>
  <c r="AF387" i="9"/>
  <c r="AE387" i="9" s="1"/>
  <c r="AF372" i="9"/>
  <c r="AE372" i="9" s="1"/>
  <c r="AF66" i="9"/>
  <c r="AE66" i="9" s="1"/>
  <c r="AF500" i="9"/>
  <c r="AE500" i="9" s="1"/>
  <c r="AF484" i="9"/>
  <c r="AE484" i="9" s="1"/>
  <c r="AF316" i="9"/>
  <c r="AE316" i="9" s="1"/>
  <c r="AF415" i="9"/>
  <c r="AE415" i="9" s="1"/>
  <c r="AF297" i="9"/>
  <c r="AE297" i="9" s="1"/>
  <c r="AF220" i="9"/>
  <c r="AE220" i="9" s="1"/>
  <c r="AF336" i="9"/>
  <c r="AE336" i="9" s="1"/>
  <c r="AF258" i="9"/>
  <c r="AE258" i="9" s="1"/>
  <c r="AF366" i="9"/>
  <c r="AE366" i="9" s="1"/>
  <c r="AF26" i="9"/>
  <c r="AE26" i="9" s="1"/>
  <c r="AF52" i="9"/>
  <c r="AE52" i="9" s="1"/>
  <c r="AF90" i="9"/>
  <c r="AE90" i="9" s="1"/>
  <c r="AF365" i="9"/>
  <c r="AE365" i="9" s="1"/>
  <c r="AG365" i="9" s="1"/>
  <c r="AF133" i="9"/>
  <c r="AE133" i="9" s="1"/>
  <c r="AF153" i="9"/>
  <c r="AE153" i="9" s="1"/>
  <c r="AF356" i="9"/>
  <c r="AE356" i="9" s="1"/>
  <c r="AF399" i="9"/>
  <c r="AE399" i="9" s="1"/>
  <c r="AF395" i="9"/>
  <c r="AE395" i="9" s="1"/>
  <c r="AF94" i="9"/>
  <c r="AE94" i="9" s="1"/>
  <c r="AF412" i="9"/>
  <c r="AE412" i="9" s="1"/>
  <c r="AG413" i="9" s="1"/>
  <c r="AF458" i="9"/>
  <c r="AE458" i="9" s="1"/>
  <c r="AF268" i="9"/>
  <c r="AE268" i="9" s="1"/>
  <c r="AF284" i="9"/>
  <c r="AE284" i="9" s="1"/>
  <c r="AF479" i="9"/>
  <c r="AE479" i="9" s="1"/>
  <c r="AF251" i="9"/>
  <c r="AE251" i="9" s="1"/>
  <c r="AF265" i="9"/>
  <c r="AE265" i="9" s="1"/>
  <c r="AG265" i="9" s="1"/>
  <c r="AF282" i="9"/>
  <c r="AE282" i="9" s="1"/>
  <c r="AF333" i="9"/>
  <c r="AE333" i="9" s="1"/>
  <c r="AF330" i="9"/>
  <c r="AE330" i="9" s="1"/>
  <c r="AF135" i="9"/>
  <c r="AE135" i="9" s="1"/>
  <c r="AF350" i="9"/>
  <c r="AE350" i="9" s="1"/>
  <c r="AF91" i="9"/>
  <c r="AE91" i="9" s="1"/>
  <c r="AF160" i="9"/>
  <c r="AE160" i="9" s="1"/>
  <c r="AF293" i="9"/>
  <c r="AE293" i="9" s="1"/>
  <c r="AF180" i="9"/>
  <c r="AE180" i="9" s="1"/>
  <c r="AF46" i="9"/>
  <c r="AE46" i="9" s="1"/>
  <c r="AF216" i="9"/>
  <c r="AE216" i="9" s="1"/>
  <c r="AF9" i="9"/>
  <c r="AE9" i="9" s="1"/>
  <c r="AF125" i="9"/>
  <c r="AE125" i="9" s="1"/>
  <c r="AF402" i="9"/>
  <c r="AE402" i="9" s="1"/>
  <c r="AF389" i="9"/>
  <c r="AE389" i="9" s="1"/>
  <c r="AF123" i="9"/>
  <c r="AE123" i="9" s="1"/>
  <c r="AF270" i="9"/>
  <c r="AE270" i="9" s="1"/>
  <c r="AF246" i="9"/>
  <c r="AE246" i="9" s="1"/>
  <c r="AF241" i="9"/>
  <c r="AE241" i="9" s="1"/>
  <c r="AF468" i="9"/>
  <c r="AE468" i="9" s="1"/>
  <c r="AF85" i="9"/>
  <c r="AE85" i="9" s="1"/>
  <c r="AG85" i="9" s="1"/>
  <c r="AF113" i="9"/>
  <c r="AE113" i="9" s="1"/>
  <c r="AF485" i="9"/>
  <c r="AE485" i="9" s="1"/>
  <c r="AG485" i="9" s="1"/>
  <c r="AF205" i="9"/>
  <c r="AE205" i="9" s="1"/>
  <c r="AG205" i="9" s="1"/>
  <c r="AF145" i="9"/>
  <c r="AE145" i="9" s="1"/>
  <c r="AG145" i="9" s="1"/>
  <c r="AF496" i="9"/>
  <c r="AE496" i="9" s="1"/>
  <c r="AF436" i="9"/>
  <c r="AE436" i="9" s="1"/>
  <c r="AF312" i="9"/>
  <c r="AE312" i="9" s="1"/>
  <c r="AF452" i="9"/>
  <c r="AE452" i="9" s="1"/>
  <c r="AF359" i="9"/>
  <c r="AE359" i="9" s="1"/>
  <c r="AF342" i="9"/>
  <c r="AE342" i="9" s="1"/>
  <c r="AF164" i="9"/>
  <c r="AE164" i="9" s="1"/>
  <c r="AF38" i="9"/>
  <c r="AE38" i="9" s="1"/>
  <c r="AF457" i="9"/>
  <c r="AE457" i="9" s="1"/>
  <c r="AF323" i="9"/>
  <c r="AE323" i="9" s="1"/>
  <c r="AF169" i="9"/>
  <c r="AE169" i="9" s="1"/>
  <c r="AF71" i="9"/>
  <c r="AE71" i="9" s="1"/>
  <c r="AF441" i="9"/>
  <c r="AE441" i="9" s="1"/>
  <c r="AF313" i="9"/>
  <c r="AE313" i="9" s="1"/>
  <c r="AF109" i="9"/>
  <c r="AE109" i="9" s="1"/>
  <c r="AF93" i="9"/>
  <c r="AE93" i="9" s="1"/>
  <c r="AG94" i="9" s="1"/>
  <c r="AF197" i="9"/>
  <c r="AE197" i="9" s="1"/>
  <c r="AF10" i="9"/>
  <c r="AE10" i="9" s="1"/>
  <c r="AF291" i="9"/>
  <c r="AE291" i="9" s="1"/>
  <c r="AF447" i="9"/>
  <c r="AE447" i="9" s="1"/>
  <c r="AF364" i="9"/>
  <c r="AE364" i="9" s="1"/>
  <c r="AF97" i="9"/>
  <c r="AE97" i="9" s="1"/>
  <c r="AF307" i="9"/>
  <c r="AE307" i="9" s="1"/>
  <c r="AF275" i="9"/>
  <c r="AE275" i="9" s="1"/>
  <c r="AF279" i="9"/>
  <c r="AE279" i="9" s="1"/>
  <c r="AF13" i="9"/>
  <c r="AE13" i="9" s="1"/>
  <c r="AF5" i="9"/>
  <c r="AE5" i="9" s="1"/>
  <c r="AG5" i="9" s="1"/>
  <c r="AF182" i="9"/>
  <c r="AE182" i="9" s="1"/>
  <c r="AF127" i="9"/>
  <c r="AE127" i="9" s="1"/>
  <c r="AF23" i="9"/>
  <c r="AE23" i="9" s="1"/>
  <c r="AF132" i="9"/>
  <c r="AE132" i="9" s="1"/>
  <c r="AF357" i="9"/>
  <c r="AE357" i="9" s="1"/>
  <c r="AF355" i="9"/>
  <c r="AE355" i="9" s="1"/>
  <c r="AF351" i="9"/>
  <c r="AE351" i="9" s="1"/>
  <c r="AF105" i="9"/>
  <c r="AE105" i="9" s="1"/>
  <c r="AG105" i="9" s="1"/>
  <c r="AF464" i="9"/>
  <c r="AE464" i="9" s="1"/>
  <c r="AF315" i="9"/>
  <c r="AE315" i="9" s="1"/>
  <c r="AF477" i="9"/>
  <c r="AE477" i="9" s="1"/>
  <c r="AF255" i="9"/>
  <c r="AE255" i="9" s="1"/>
  <c r="AF139" i="9"/>
  <c r="AE139" i="9" s="1"/>
  <c r="AF349" i="9"/>
  <c r="AE349" i="9" s="1"/>
  <c r="AF102" i="9"/>
  <c r="AE102" i="9" s="1"/>
  <c r="AF147" i="9"/>
  <c r="AE147" i="9" s="1"/>
  <c r="AF178" i="9"/>
  <c r="AE178" i="9" s="1"/>
  <c r="AF444" i="9"/>
  <c r="AE444" i="9" s="1"/>
  <c r="AF248" i="9"/>
  <c r="AE248" i="9" s="1"/>
  <c r="AF443" i="9"/>
  <c r="AE443" i="9" s="1"/>
  <c r="AF368" i="9"/>
  <c r="AE368" i="9" s="1"/>
  <c r="AF317" i="9"/>
  <c r="AE317" i="9" s="1"/>
  <c r="AF131" i="9"/>
  <c r="AE131" i="9" s="1"/>
  <c r="AF30" i="9"/>
  <c r="AE30" i="9" s="1"/>
  <c r="AF406" i="9"/>
  <c r="AE406" i="9" s="1"/>
  <c r="AF314" i="9"/>
  <c r="AE314" i="9" s="1"/>
  <c r="AG315" i="9" s="1"/>
  <c r="AF177" i="9"/>
  <c r="AE177" i="9" s="1"/>
  <c r="AF88" i="9"/>
  <c r="AE88" i="9" s="1"/>
  <c r="AG88" i="9" s="1"/>
  <c r="AF39" i="9"/>
  <c r="AE39" i="9" s="1"/>
  <c r="AF489" i="9"/>
  <c r="AE489" i="9" s="1"/>
  <c r="AF409" i="9"/>
  <c r="AE409" i="9" s="1"/>
  <c r="AF353" i="9"/>
  <c r="AE353" i="9" s="1"/>
  <c r="AF165" i="9"/>
  <c r="AE165" i="9" s="1"/>
  <c r="AF195" i="9"/>
  <c r="AE195" i="9" s="1"/>
  <c r="AF185" i="9"/>
  <c r="AE185" i="9" s="1"/>
  <c r="AG185" i="9" s="1"/>
  <c r="AF339" i="9"/>
  <c r="AE339" i="9" s="1"/>
  <c r="AF417" i="9"/>
  <c r="AE417" i="9" s="1"/>
  <c r="AF117" i="9"/>
  <c r="AE117" i="9" s="1"/>
  <c r="AF254" i="9"/>
  <c r="AE254" i="9" s="1"/>
  <c r="AF136" i="9"/>
  <c r="AE136" i="9" s="1"/>
  <c r="AF176" i="9"/>
  <c r="AE176" i="9" s="1"/>
  <c r="AF219" i="9"/>
  <c r="AE219" i="9" s="1"/>
  <c r="AF301" i="9"/>
  <c r="AE301" i="9" s="1"/>
  <c r="AF303" i="9"/>
  <c r="AE303" i="9" s="1"/>
  <c r="AF371" i="9"/>
  <c r="AE371" i="9" s="1"/>
  <c r="AF422" i="9"/>
  <c r="AE422" i="9" s="1"/>
  <c r="AF498" i="9"/>
  <c r="AE498" i="9" s="1"/>
  <c r="AF242" i="9"/>
  <c r="AE242" i="9" s="1"/>
  <c r="AF138" i="9"/>
  <c r="AE138" i="9" s="1"/>
  <c r="AF426" i="9"/>
  <c r="AE426" i="9" s="1"/>
  <c r="AF450" i="9"/>
  <c r="AE450" i="9" s="1"/>
  <c r="AF65" i="9"/>
  <c r="AE65" i="9" s="1"/>
  <c r="AF15" i="9"/>
  <c r="AE15" i="9" s="1"/>
  <c r="AF7" i="9"/>
  <c r="AE7" i="9" s="1"/>
  <c r="AF393" i="9"/>
  <c r="AE393" i="9" s="1"/>
  <c r="AF360" i="9"/>
  <c r="AE360" i="9" s="1"/>
  <c r="AF104" i="9"/>
  <c r="AE104" i="9" s="1"/>
  <c r="AF260" i="9"/>
  <c r="AE260" i="9" s="1"/>
  <c r="AF276" i="9"/>
  <c r="AE276" i="9" s="1"/>
  <c r="AF502" i="9"/>
  <c r="AE502" i="9" s="1"/>
  <c r="AF332" i="9"/>
  <c r="AE332" i="9" s="1"/>
  <c r="AF411" i="9"/>
  <c r="AE411" i="9" s="1"/>
  <c r="AF101" i="9"/>
  <c r="AE101" i="9" s="1"/>
  <c r="AG102" i="9" s="1"/>
  <c r="AF202" i="9"/>
  <c r="AE202" i="9" s="1"/>
  <c r="AF34" i="9"/>
  <c r="AE34" i="9" s="1"/>
  <c r="AF486" i="9"/>
  <c r="AE486" i="9" s="1"/>
  <c r="AF427" i="9"/>
  <c r="AE427" i="9" s="1"/>
  <c r="AF483" i="9"/>
  <c r="AE483" i="9" s="1"/>
  <c r="AG484" i="9" s="1"/>
  <c r="AF373" i="9"/>
  <c r="AE373" i="9" s="1"/>
  <c r="AF331" i="9"/>
  <c r="AE331" i="9" s="1"/>
  <c r="AF121" i="9"/>
  <c r="AE121" i="9" s="1"/>
  <c r="AF369" i="9"/>
  <c r="AE369" i="9" s="1"/>
  <c r="AF345" i="9"/>
  <c r="AE345" i="9" s="1"/>
  <c r="AF295" i="9"/>
  <c r="AE295" i="9" s="1"/>
  <c r="AF454" i="9"/>
  <c r="AE454" i="9" s="1"/>
  <c r="AF302" i="9"/>
  <c r="AE302" i="9" s="1"/>
  <c r="AF392" i="9"/>
  <c r="AE392" i="9" s="1"/>
  <c r="AF347" i="9"/>
  <c r="AE347" i="9" s="1"/>
  <c r="AF352" i="9"/>
  <c r="AE352" i="9" s="1"/>
  <c r="AF115" i="9"/>
  <c r="AE115" i="9" s="1"/>
  <c r="AF445" i="9"/>
  <c r="AE445" i="9" s="1"/>
  <c r="AG445" i="9" s="1"/>
  <c r="AF210" i="9"/>
  <c r="AE210" i="9" s="1"/>
  <c r="AF495" i="9"/>
  <c r="AE495" i="9" s="1"/>
  <c r="AF163" i="9"/>
  <c r="AE163" i="9" s="1"/>
  <c r="AF70" i="9"/>
  <c r="AE70" i="9" s="1"/>
  <c r="AF296" i="9"/>
  <c r="AE296" i="9" s="1"/>
  <c r="AF288" i="9"/>
  <c r="AE288" i="9" s="1"/>
  <c r="AF60" i="9"/>
  <c r="AE60" i="9" s="1"/>
  <c r="AF423" i="9"/>
  <c r="AE423" i="9" s="1"/>
  <c r="AF482" i="9"/>
  <c r="AE482" i="9" s="1"/>
  <c r="AF33" i="9"/>
  <c r="AE33" i="9" s="1"/>
  <c r="AF42" i="9"/>
  <c r="AE42" i="9" s="1"/>
  <c r="AF384" i="9"/>
  <c r="AE384" i="9" s="1"/>
  <c r="AF78" i="9"/>
  <c r="AE78" i="9" s="1"/>
  <c r="AF175" i="9"/>
  <c r="AE175" i="9" s="1"/>
  <c r="AF456" i="9"/>
  <c r="AE456" i="9" s="1"/>
  <c r="AF478" i="9"/>
  <c r="AE478" i="9" s="1"/>
  <c r="AF193" i="9"/>
  <c r="AE193" i="9" s="1"/>
  <c r="AF459" i="9"/>
  <c r="AE459" i="9" s="1"/>
  <c r="AF363" i="9"/>
  <c r="AE363" i="9" s="1"/>
  <c r="AF404" i="9"/>
  <c r="AE404" i="9" s="1"/>
  <c r="AF223" i="9"/>
  <c r="AE223" i="9" s="1"/>
  <c r="AF47" i="9"/>
  <c r="AE47" i="9" s="1"/>
  <c r="AF58" i="9"/>
  <c r="AE58" i="9" s="1"/>
  <c r="AF374" i="9"/>
  <c r="AE374" i="9" s="1"/>
  <c r="AF51" i="9"/>
  <c r="AE51" i="9" s="1"/>
  <c r="AF174" i="9"/>
  <c r="AE174" i="9" s="1"/>
  <c r="AF8" i="9"/>
  <c r="AE8" i="9" s="1"/>
  <c r="AF59" i="9"/>
  <c r="AE59" i="9" s="1"/>
  <c r="AF274" i="9"/>
  <c r="AE274" i="9" s="1"/>
  <c r="AF271" i="9"/>
  <c r="AE271" i="9" s="1"/>
  <c r="AF191" i="9"/>
  <c r="AE191" i="9" s="1"/>
  <c r="AF420" i="9"/>
  <c r="AE420" i="9" s="1"/>
  <c r="AF41" i="9"/>
  <c r="AE41" i="9" s="1"/>
  <c r="AF81" i="9"/>
  <c r="AE81" i="9" s="1"/>
  <c r="AF410" i="9"/>
  <c r="AE410" i="9" s="1"/>
  <c r="AF172" i="9"/>
  <c r="AE172" i="9" s="1"/>
  <c r="AF378" i="9"/>
  <c r="AE378" i="9" s="1"/>
  <c r="AF11" i="9"/>
  <c r="AE11" i="9" s="1"/>
  <c r="AF385" i="9"/>
  <c r="AE385" i="9" s="1"/>
  <c r="AF431" i="9"/>
  <c r="AE431" i="9" s="1"/>
  <c r="AF261" i="9"/>
  <c r="AE261" i="9" s="1"/>
  <c r="AF238" i="9"/>
  <c r="AE238" i="9" s="1"/>
  <c r="AF259" i="9"/>
  <c r="AE259" i="9" s="1"/>
  <c r="AF305" i="9"/>
  <c r="AE305" i="9" s="1"/>
  <c r="AF440" i="9"/>
  <c r="AE440" i="9" s="1"/>
  <c r="AF137" i="9"/>
  <c r="AE137" i="9" s="1"/>
  <c r="AF92" i="9"/>
  <c r="AE92" i="9" s="1"/>
  <c r="AF77" i="9"/>
  <c r="AE77" i="9" s="1"/>
  <c r="AF31" i="9"/>
  <c r="AE31" i="9" s="1"/>
  <c r="AF428" i="9"/>
  <c r="AE428" i="9" s="1"/>
  <c r="AF157" i="9"/>
  <c r="AE157" i="9" s="1"/>
  <c r="AF488" i="9"/>
  <c r="AE488" i="9" s="1"/>
  <c r="AF501" i="9"/>
  <c r="AE501" i="9" s="1"/>
  <c r="AF326" i="9"/>
  <c r="AE326" i="9" s="1"/>
  <c r="AF448" i="9"/>
  <c r="AE448" i="9" s="1"/>
  <c r="AF148" i="9"/>
  <c r="AE148" i="9" s="1"/>
  <c r="AF173" i="9"/>
  <c r="AE173" i="9" s="1"/>
  <c r="AF362" i="9"/>
  <c r="AE362" i="9" s="1"/>
  <c r="AF86" i="9"/>
  <c r="AE86" i="9" s="1"/>
  <c r="AF309" i="9"/>
  <c r="AE309" i="9" s="1"/>
  <c r="AF306" i="9"/>
  <c r="AE306" i="9" s="1"/>
  <c r="AF181" i="9"/>
  <c r="AE181" i="9" s="1"/>
  <c r="AF156" i="9"/>
  <c r="AE156" i="9" s="1"/>
  <c r="AF245" i="9"/>
  <c r="AE245" i="9" s="1"/>
  <c r="AF159" i="9"/>
  <c r="AE159" i="9" s="1"/>
  <c r="AF256" i="9"/>
  <c r="AE256" i="9" s="1"/>
  <c r="AF334" i="9"/>
  <c r="AE334" i="9" s="1"/>
  <c r="AF253" i="9"/>
  <c r="AE253" i="9" s="1"/>
  <c r="AF461" i="9"/>
  <c r="AE461" i="9" s="1"/>
  <c r="AF240" i="9"/>
  <c r="AE240" i="9" s="1"/>
  <c r="AF18" i="9"/>
  <c r="AE18" i="9" s="1"/>
  <c r="AF361" i="9"/>
  <c r="AE361" i="9" s="1"/>
  <c r="AF252" i="9"/>
  <c r="AE252" i="9" s="1"/>
  <c r="AF308" i="9"/>
  <c r="AE308" i="9" s="1"/>
  <c r="AF237" i="9"/>
  <c r="AE237" i="9" s="1"/>
  <c r="AF494" i="9"/>
  <c r="AE494" i="9" s="1"/>
  <c r="AF233" i="9"/>
  <c r="AE233" i="9" s="1"/>
  <c r="AF325" i="9"/>
  <c r="AE325" i="9" s="1"/>
  <c r="AF497" i="9"/>
  <c r="AE497" i="9" s="1"/>
  <c r="AF414" i="9"/>
  <c r="AE414" i="9" s="1"/>
  <c r="AF451" i="9"/>
  <c r="AE451" i="9" s="1"/>
  <c r="AF475" i="9"/>
  <c r="AE475" i="9" s="1"/>
  <c r="AF122" i="9"/>
  <c r="AE122" i="9" s="1"/>
  <c r="AF337" i="9"/>
  <c r="AE337" i="9" s="1"/>
  <c r="AF68" i="9"/>
  <c r="AE68" i="9" s="1"/>
  <c r="AF126" i="9"/>
  <c r="AE126" i="9" s="1"/>
  <c r="AF418" i="9"/>
  <c r="AE418" i="9" s="1"/>
  <c r="AF230" i="9"/>
  <c r="AE230" i="9" s="1"/>
  <c r="AF460" i="9"/>
  <c r="AE460" i="9" s="1"/>
  <c r="AF425" i="9"/>
  <c r="AE425" i="9" s="1"/>
  <c r="AF377" i="9"/>
  <c r="AE377" i="9" s="1"/>
  <c r="AF416" i="9"/>
  <c r="AE416" i="9" s="1"/>
  <c r="AF201" i="9"/>
  <c r="AE201" i="9" s="1"/>
  <c r="AF43" i="9"/>
  <c r="AE43" i="9" s="1"/>
  <c r="AF55" i="9"/>
  <c r="AE55" i="9" s="1"/>
  <c r="AF348" i="9"/>
  <c r="AE348" i="9" s="1"/>
  <c r="AF424" i="9"/>
  <c r="AE424" i="9" s="1"/>
  <c r="AF405" i="9"/>
  <c r="AE405" i="9" s="1"/>
  <c r="AF466" i="9"/>
  <c r="AE466" i="9" s="1"/>
  <c r="AF465" i="9"/>
  <c r="AE465" i="9" s="1"/>
  <c r="AF189" i="9"/>
  <c r="AE189" i="9" s="1"/>
  <c r="AF69" i="9"/>
  <c r="AE69" i="9" s="1"/>
  <c r="AF62" i="9"/>
  <c r="AE62" i="9" s="1"/>
  <c r="AF225" i="9"/>
  <c r="AE225" i="9" s="1"/>
  <c r="AF492" i="9"/>
  <c r="AE492" i="9" s="1"/>
  <c r="AF435" i="9"/>
  <c r="AE435" i="9" s="1"/>
  <c r="AF83" i="9"/>
  <c r="AE83" i="9" s="1"/>
  <c r="AF266" i="9"/>
  <c r="AE266" i="9" s="1"/>
  <c r="AF247" i="9"/>
  <c r="AE247" i="9" s="1"/>
  <c r="AF380" i="9"/>
  <c r="AE380" i="9" s="1"/>
  <c r="AF21" i="9"/>
  <c r="AE21" i="9" s="1"/>
  <c r="AF273" i="9"/>
  <c r="AE273" i="9" s="1"/>
  <c r="AF141" i="9"/>
  <c r="AE141" i="9" s="1"/>
  <c r="AF89" i="9"/>
  <c r="AE89" i="9" s="1"/>
  <c r="AF407" i="9"/>
  <c r="AE407" i="9" s="1"/>
  <c r="AF106" i="9"/>
  <c r="AE106" i="9" s="1"/>
  <c r="AF40" i="9"/>
  <c r="AE40" i="9" s="1"/>
  <c r="AF75" i="9"/>
  <c r="AE75" i="9" s="1"/>
  <c r="AF386" i="9"/>
  <c r="AE386" i="9" s="1"/>
  <c r="AF24" i="9"/>
  <c r="AE24" i="9" s="1"/>
  <c r="AF16" i="9"/>
  <c r="AE16" i="9" s="1"/>
  <c r="AF320" i="9"/>
  <c r="AE320" i="9" s="1"/>
  <c r="AF192" i="9"/>
  <c r="AE192" i="9" s="1"/>
  <c r="AF367" i="9"/>
  <c r="AE367" i="9" s="1"/>
  <c r="AF321" i="9"/>
  <c r="AE321" i="9" s="1"/>
  <c r="AF17" i="9"/>
  <c r="AE17" i="9" s="1"/>
  <c r="AF250" i="9"/>
  <c r="AE250" i="9" s="1"/>
  <c r="AF82" i="9"/>
  <c r="AE82" i="9" s="1"/>
  <c r="AF437" i="9"/>
  <c r="AE437" i="9" s="1"/>
  <c r="AF19" i="9"/>
  <c r="AE19" i="9" s="1"/>
  <c r="AG398" i="9" l="1"/>
  <c r="AG53" i="9"/>
  <c r="AG351" i="9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 s="1"/>
  <c r="AG8" i="9" s="1"/>
  <c r="AG9" i="9" s="1"/>
  <c r="AG10" i="9" s="1"/>
  <c r="AG11" i="9" s="1"/>
  <c r="AG12" i="9" s="1"/>
  <c r="AG13" i="9" s="1"/>
  <c r="AG14" i="9" s="1"/>
  <c r="AG15" i="9" s="1"/>
  <c r="AG16" i="9" s="1"/>
  <c r="AG17" i="9" s="1"/>
  <c r="AG18" i="9" s="1"/>
  <c r="AG19" i="9" s="1"/>
  <c r="AG20" i="9" s="1"/>
  <c r="AG21" i="9" s="1"/>
  <c r="AG22" i="9" s="1"/>
  <c r="AG23" i="9" s="1"/>
  <c r="AG24" i="9" s="1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<sst xmlns="http://schemas.openxmlformats.org/spreadsheetml/2006/main" count="5515" uniqueCount="1463">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</sst>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zoomScaleNormal="100" workbookViewId="0">
      <pane xSplit="12" topLeftCell="M1" activePane="topRight" state="frozen"/>
      <selection pane="topRight" activeCell="N15" sqref="N1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1</v>
      </c>
      <c r="AJ5" s="17">
        <v>1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1</v>
      </c>
      <c r="AJ6" s="10">
        <v>1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3550000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3550000</v>
      </c>
      <c r="AG20" s="176">
        <f t="shared" ca="1" si="9"/>
        <v>5974431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6585000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6585000</v>
      </c>
      <c r="AG21" s="176">
        <f t="shared" ca="1" si="9"/>
        <v>12559431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10710000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10710000</v>
      </c>
      <c r="AG22" s="176">
        <f t="shared" ca="1" si="9"/>
        <v>23269431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16485000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16485000</v>
      </c>
      <c r="AG23" s="176">
        <f t="shared" ca="1" si="9"/>
        <v>39754431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26650000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26650000</v>
      </c>
      <c r="AG24" s="176">
        <f t="shared" ca="1" si="9"/>
        <v>66404431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1</v>
      </c>
      <c r="AJ25" s="17">
        <v>1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1</v>
      </c>
      <c r="AJ26" s="10">
        <v>1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3425000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3425000</v>
      </c>
      <c r="AG39" s="176">
        <f t="shared" ca="1" si="11"/>
        <v>4434000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6990000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6990000</v>
      </c>
      <c r="AG40" s="176">
        <f t="shared" ca="1" si="11"/>
        <v>10415000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12985000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12985000</v>
      </c>
      <c r="AG41" s="176">
        <f t="shared" ca="1" si="11"/>
        <v>19975000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21110000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21110000</v>
      </c>
      <c r="AG42" s="176">
        <f t="shared" ca="1" si="11"/>
        <v>34095000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32485000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32485000</v>
      </c>
      <c r="AG43" s="176">
        <f t="shared" ca="1" si="11"/>
        <v>53595000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52250000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52250000</v>
      </c>
      <c r="AG44" s="176">
        <f t="shared" ca="1" si="11"/>
        <v>84735000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1</v>
      </c>
      <c r="AJ45" s="17">
        <v>1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1</v>
      </c>
      <c r="AJ46" s="10">
        <v>1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1591000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1591000</v>
      </c>
      <c r="AG58" s="176">
        <f t="shared" ca="1" si="12"/>
        <v>2232000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3425000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3425000</v>
      </c>
      <c r="AG59" s="176">
        <f t="shared" ca="1" si="12"/>
        <v>5016000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6990000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6990000</v>
      </c>
      <c r="AG60" s="176">
        <f t="shared" ca="1" si="12"/>
        <v>10415000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12985000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12985000</v>
      </c>
      <c r="AG61" s="176">
        <f t="shared" ca="1" si="12"/>
        <v>19975000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21110000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21110000</v>
      </c>
      <c r="AG62" s="176">
        <f t="shared" ca="1" si="12"/>
        <v>34095000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32485000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32485000</v>
      </c>
      <c r="AG63" s="176">
        <f t="shared" ca="1" si="12"/>
        <v>53595000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52250000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52250000</v>
      </c>
      <c r="AG64" s="176">
        <f t="shared" ca="1" si="12"/>
        <v>84735000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1</v>
      </c>
      <c r="AJ65" s="17">
        <v>1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1</v>
      </c>
      <c r="AJ66" s="10">
        <v>1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3880000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3880000</v>
      </c>
      <c r="AG78" s="176">
        <f t="shared" ca="1" si="18"/>
        <v>5368000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8400000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8400000</v>
      </c>
      <c r="AG79" s="176">
        <f t="shared" ca="1" si="18"/>
        <v>12280000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17200000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17200000</v>
      </c>
      <c r="AG80" s="176">
        <f t="shared" ca="1" si="18"/>
        <v>25600000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32000000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32000000</v>
      </c>
      <c r="AG81" s="176">
        <f t="shared" ca="1" si="18"/>
        <v>49200000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52000000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52000000</v>
      </c>
      <c r="AG82" s="176">
        <f t="shared" ca="1" si="18"/>
        <v>84000000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80000000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80000000</v>
      </c>
      <c r="AG83" s="176">
        <f t="shared" ca="1" si="18"/>
        <v>132000000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128000000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128000000</v>
      </c>
      <c r="AG84" s="176">
        <f t="shared" ca="1" si="18"/>
        <v>208000000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1</v>
      </c>
      <c r="AJ85" s="17">
        <v>1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1</v>
      </c>
      <c r="AJ86" s="10">
        <v>1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230000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230000</v>
      </c>
      <c r="AG91" s="176">
        <f t="shared" ca="1" si="40"/>
        <v>297500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483000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483000</v>
      </c>
      <c r="AG92" s="176">
        <f t="shared" ca="1" si="40"/>
        <v>713000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897000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897000</v>
      </c>
      <c r="AG93" s="176">
        <f t="shared" ca="1" si="40"/>
        <v>1380000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1495000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1495000</v>
      </c>
      <c r="AG94" s="176">
        <f t="shared" ca="1" si="40"/>
        <v>2392000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2530000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2530000</v>
      </c>
      <c r="AG95" s="176">
        <f t="shared" ca="1" si="40"/>
        <v>4025000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4260000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4260000</v>
      </c>
      <c r="AG96" s="176">
        <f t="shared" ca="1" si="40"/>
        <v>6790000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7130000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7130000</v>
      </c>
      <c r="AG97" s="176">
        <f t="shared" ca="1" si="40"/>
        <v>11390000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11155000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11155000</v>
      </c>
      <c r="AG98" s="176">
        <f t="shared" ca="1" si="40"/>
        <v>18285000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26250000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26250000</v>
      </c>
      <c r="AG99" s="176">
        <f t="shared" ca="1" si="40"/>
        <v>37405000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53750000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53750000</v>
      </c>
      <c r="AG100" s="176">
        <f t="shared" ca="1" si="40"/>
        <v>80000000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100000000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100000000</v>
      </c>
      <c r="AG101" s="176">
        <f t="shared" ca="1" si="40"/>
        <v>153750000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162500000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162500000</v>
      </c>
      <c r="AG102" s="176">
        <f t="shared" ca="1" si="40"/>
        <v>262500000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250000000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250000000</v>
      </c>
      <c r="AG103" s="176">
        <f t="shared" ca="1" si="40"/>
        <v>412500000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400000000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400000000</v>
      </c>
      <c r="AG104" s="176">
        <f t="shared" ca="1" si="40"/>
        <v>650000000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1</v>
      </c>
      <c r="AJ105" s="17">
        <v>1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1</v>
      </c>
      <c r="AJ106" s="10">
        <v>1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1144000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1144000</v>
      </c>
      <c r="AG115" s="176">
        <f t="shared" ca="1" si="47"/>
        <v>1612000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1924000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1924000</v>
      </c>
      <c r="AG116" s="176">
        <f t="shared" ca="1" si="47"/>
        <v>3068000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3224000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3224000</v>
      </c>
      <c r="AG117" s="176">
        <f t="shared" ca="1" si="47"/>
        <v>5148000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5044000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5044000</v>
      </c>
      <c r="AG118" s="176">
        <f t="shared" ca="1" si="47"/>
        <v>8268000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12600000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12600000</v>
      </c>
      <c r="AG119" s="176">
        <f t="shared" ca="1" si="47"/>
        <v>17644000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25800000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25800000</v>
      </c>
      <c r="AG120" s="176">
        <f t="shared" ca="1" si="47"/>
        <v>38400000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48000000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48000000</v>
      </c>
      <c r="AG121" s="176">
        <f t="shared" ca="1" si="47"/>
        <v>73800000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78000000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78000000</v>
      </c>
      <c r="AG122" s="176">
        <f t="shared" ca="1" si="47"/>
        <v>126000000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120000000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120000000</v>
      </c>
      <c r="AG123" s="176">
        <f t="shared" ca="1" si="47"/>
        <v>198000000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192000000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192000000</v>
      </c>
      <c r="AG124" s="176">
        <f t="shared" ca="1" si="47"/>
        <v>312000000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1</v>
      </c>
      <c r="AJ125" s="17">
        <v>1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1</v>
      </c>
      <c r="AJ126" s="10">
        <v>1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1</v>
      </c>
      <c r="AJ145" s="17">
        <v>1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1</v>
      </c>
      <c r="AJ146" s="10">
        <v>1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3100000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3100000</v>
      </c>
      <c r="AG157" s="176">
        <f t="shared" ca="1" si="52"/>
        <v>4210000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4850000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4850000</v>
      </c>
      <c r="AG158" s="176">
        <f t="shared" ca="1" si="52"/>
        <v>7950000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10500000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10500000</v>
      </c>
      <c r="AG159" s="176">
        <f t="shared" ca="1" si="52"/>
        <v>15350000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21500000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21500000</v>
      </c>
      <c r="AG160" s="176">
        <f t="shared" ca="1" si="52"/>
        <v>32000000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40000000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40000000</v>
      </c>
      <c r="AG161" s="176">
        <f t="shared" ca="1" si="52"/>
        <v>61500000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65000000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65000000</v>
      </c>
      <c r="AG162" s="176">
        <f t="shared" ca="1" si="52"/>
        <v>105000000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100000000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100000000</v>
      </c>
      <c r="AG163" s="176">
        <f t="shared" ca="1" si="52"/>
        <v>165000000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160000000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160000000</v>
      </c>
      <c r="AG164" s="176">
        <f t="shared" ca="1" si="52"/>
        <v>260000000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1</v>
      </c>
      <c r="AJ165" s="17">
        <v>1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1</v>
      </c>
      <c r="AJ166" s="10">
        <v>1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40000000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40000000</v>
      </c>
      <c r="AG181" s="176">
        <f t="shared" ca="1" si="59"/>
        <v>52900000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65000000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65000000</v>
      </c>
      <c r="AG182" s="176">
        <f t="shared" ca="1" si="59"/>
        <v>105000000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100000000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100000000</v>
      </c>
      <c r="AG183" s="176">
        <f t="shared" ca="1" si="59"/>
        <v>165000000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160000000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160000000</v>
      </c>
      <c r="AG184" s="176">
        <f t="shared" ca="1" si="59"/>
        <v>260000000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1</v>
      </c>
      <c r="AJ185" s="17">
        <v>1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1</v>
      </c>
      <c r="AJ186" s="10">
        <v>1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2960000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2960000</v>
      </c>
      <c r="AG196" s="176">
        <f t="shared" ca="1" si="67"/>
        <v>3620000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4960000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4960000</v>
      </c>
      <c r="AG197" s="176">
        <f t="shared" ca="1" si="67"/>
        <v>7920000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7760000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7760000</v>
      </c>
      <c r="AG198" s="176">
        <f t="shared" ca="1" si="67"/>
        <v>12720000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16800000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16800000</v>
      </c>
      <c r="AG199" s="176">
        <f t="shared" ca="1" si="67"/>
        <v>24560000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34400000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34400000</v>
      </c>
      <c r="AG200" s="176">
        <f t="shared" ca="1" si="67"/>
        <v>51200000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64000000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64000000</v>
      </c>
      <c r="AG201" s="176">
        <f t="shared" ca="1" si="67"/>
        <v>98400000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104000000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104000000</v>
      </c>
      <c r="AG202" s="176">
        <f t="shared" ca="1" si="67"/>
        <v>168000000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150000000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150000000</v>
      </c>
      <c r="AG203" s="176">
        <f t="shared" ca="1" si="67"/>
        <v>254000000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240000000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240000000</v>
      </c>
      <c r="AG204" s="176">
        <f t="shared" ca="1" si="67"/>
        <v>390000000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1</v>
      </c>
      <c r="AJ205" s="17">
        <v>1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1</v>
      </c>
      <c r="AJ206" s="10">
        <v>1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2960000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2960000</v>
      </c>
      <c r="AG216" s="176">
        <f t="shared" ca="1" si="76"/>
        <v>3620000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4960000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4960000</v>
      </c>
      <c r="AG217" s="176">
        <f t="shared" ca="1" si="76"/>
        <v>7920000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7760000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7760000</v>
      </c>
      <c r="AG218" s="176">
        <f t="shared" ca="1" si="76"/>
        <v>12720000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16800000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16800000</v>
      </c>
      <c r="AG219" s="176">
        <f t="shared" ca="1" si="76"/>
        <v>24560000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34400000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34400000</v>
      </c>
      <c r="AG220" s="176">
        <f t="shared" ca="1" si="76"/>
        <v>51200000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64000000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64000000</v>
      </c>
      <c r="AG221" s="176">
        <f t="shared" ca="1" si="76"/>
        <v>98400000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104000000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104000000</v>
      </c>
      <c r="AG222" s="176">
        <f t="shared" ca="1" si="76"/>
        <v>168000000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150000000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150000000</v>
      </c>
      <c r="AG223" s="176">
        <f t="shared" ca="1" si="76"/>
        <v>254000000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240000000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240000000</v>
      </c>
      <c r="AG224" s="176">
        <f t="shared" ca="1" si="76"/>
        <v>390000000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1</v>
      </c>
      <c r="AJ225" s="17">
        <v>1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1</v>
      </c>
      <c r="AJ226" s="10">
        <v>1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1824000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1824000</v>
      </c>
      <c r="AG238" s="176">
        <f t="shared" ca="1" si="78"/>
        <v>2802000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3630000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3630000</v>
      </c>
      <c r="AG239" s="176">
        <f t="shared" ca="1" si="78"/>
        <v>5454000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10460000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10460000</v>
      </c>
      <c r="AG240" s="176">
        <f t="shared" ca="1" si="78"/>
        <v>14090000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18910000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18910000</v>
      </c>
      <c r="AG241" s="176">
        <f t="shared" ca="1" si="78"/>
        <v>29370000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32300000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32300000</v>
      </c>
      <c r="AG242" s="176">
        <f t="shared" ca="1" si="78"/>
        <v>51210000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52900000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52900000</v>
      </c>
      <c r="AG243" s="176">
        <f t="shared" ca="1" si="78"/>
        <v>85200000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88000000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88000000</v>
      </c>
      <c r="AG244" s="176">
        <f t="shared" ca="1" si="78"/>
        <v>140900000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13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15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1</v>
      </c>
      <c r="AJ245" s="17">
        <v>1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15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1</v>
      </c>
      <c r="AJ246" s="10">
        <v>1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15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15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15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15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15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16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16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16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16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16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16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6200000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6200000</v>
      </c>
      <c r="AG257" s="176">
        <f t="shared" ca="1" si="81"/>
        <v>8420000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17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9700000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9700000</v>
      </c>
      <c r="AG258" s="176">
        <f t="shared" ca="1" si="81"/>
        <v>15900000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17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21000000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21000000</v>
      </c>
      <c r="AG259" s="176">
        <f t="shared" ca="1" si="81"/>
        <v>30700000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17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43000000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43000000</v>
      </c>
      <c r="AG260" s="176">
        <f t="shared" ca="1" si="81"/>
        <v>64000000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18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80000000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80000000</v>
      </c>
      <c r="AG261" s="176">
        <f t="shared" ca="1" si="81"/>
        <v>123000000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130000000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130000000</v>
      </c>
      <c r="AG262" s="176">
        <f t="shared" ca="1" si="81"/>
        <v>210000000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200000000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200000000</v>
      </c>
      <c r="AG263" s="176">
        <f t="shared" ca="1" si="81"/>
        <v>330000000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320000000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320000000</v>
      </c>
      <c r="AG264" s="176">
        <f t="shared" ca="1" si="81"/>
        <v>520000000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1</v>
      </c>
      <c r="AJ265" s="17">
        <v>1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1</v>
      </c>
      <c r="AJ266" s="10">
        <v>1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104000000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104000000</v>
      </c>
      <c r="AG281" s="176">
        <f t="shared" ca="1" si="88"/>
        <v>142700000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195000000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195000000</v>
      </c>
      <c r="AG282" s="176">
        <f t="shared" ca="1" si="88"/>
        <v>299000000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300000000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300000000</v>
      </c>
      <c r="AG283" s="176">
        <f t="shared" ca="1" si="88"/>
        <v>495000000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480000000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480000000</v>
      </c>
      <c r="AG284" s="176">
        <f t="shared" ca="1" si="88"/>
        <v>780000000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1</v>
      </c>
      <c r="AJ285" s="17">
        <v>1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1</v>
      </c>
      <c r="AJ286" s="10">
        <v>1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80000000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80000000</v>
      </c>
      <c r="AG301" s="176">
        <f t="shared" ca="1" si="97"/>
        <v>105800000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130000000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130000000</v>
      </c>
      <c r="AG302" s="176">
        <f t="shared" ca="1" si="97"/>
        <v>210000000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200000000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200000000</v>
      </c>
      <c r="AG303" s="176">
        <f t="shared" ca="1" si="97"/>
        <v>330000000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320000000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320000000</v>
      </c>
      <c r="AG304" s="176">
        <f t="shared" ca="1" si="97"/>
        <v>520000000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14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16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1</v>
      </c>
      <c r="AJ305" s="17">
        <v>1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16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1</v>
      </c>
      <c r="AJ306" s="10">
        <v>1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16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16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16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16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16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16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16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16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16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16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16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17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17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17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18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12900000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12900000</v>
      </c>
      <c r="AG323" s="176">
        <f t="shared" ca="1" si="101"/>
        <v>16680000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24000000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24000000</v>
      </c>
      <c r="AG324" s="176">
        <f t="shared" ca="1" si="101"/>
        <v>36900000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1</v>
      </c>
      <c r="AJ325" s="17">
        <v>1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1</v>
      </c>
      <c r="AJ326" s="10">
        <v>1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172200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172200</v>
      </c>
      <c r="AG333" s="176">
        <f t="shared" ca="1" si="107"/>
        <v>232460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296000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296000</v>
      </c>
      <c r="AG334" s="176">
        <f t="shared" ca="1" si="107"/>
        <v>468200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515600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515600</v>
      </c>
      <c r="AG335" s="176">
        <f t="shared" ca="1" si="107"/>
        <v>811600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880400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880400</v>
      </c>
      <c r="AG336" s="176">
        <f t="shared" ca="1" si="107"/>
        <v>1396000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1474000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1474000</v>
      </c>
      <c r="AG337" s="176">
        <f t="shared" ca="1" si="107"/>
        <v>2354400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2336000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2336000</v>
      </c>
      <c r="AG338" s="176">
        <f t="shared" ca="1" si="107"/>
        <v>3810000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4866000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4866000</v>
      </c>
      <c r="AG339" s="176">
        <f t="shared" ca="1" si="107"/>
        <v>7202000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9716000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9716000</v>
      </c>
      <c r="AG340" s="176">
        <f t="shared" ca="1" si="107"/>
        <v>14582000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17746000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17746000</v>
      </c>
      <c r="AG341" s="176">
        <f t="shared" ca="1" si="107"/>
        <v>27462000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29780000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29780000</v>
      </c>
      <c r="AG342" s="176">
        <f t="shared" ca="1" si="107"/>
        <v>47526000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47740000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47740000</v>
      </c>
      <c r="AG343" s="176">
        <f t="shared" ca="1" si="107"/>
        <v>77520000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78400000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78400000</v>
      </c>
      <c r="AG344" s="176">
        <f t="shared" ca="1" si="107"/>
        <v>126140000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11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6000000</v>
      </c>
      <c r="AC345" s="56">
        <v>13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1</v>
      </c>
      <c r="AJ345" s="17">
        <v>1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6000000</v>
      </c>
      <c r="AC346" s="55">
        <v>13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1</v>
      </c>
      <c r="AJ346" s="10">
        <v>1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6000000</v>
      </c>
      <c r="AC347" s="55">
        <v>13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880400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880400</v>
      </c>
      <c r="AG356" s="176">
        <f t="shared" ca="1" si="109"/>
        <v>1220000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1474000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1474000</v>
      </c>
      <c r="AG357" s="176">
        <f t="shared" ca="1" si="109"/>
        <v>2354400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2336000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2336000</v>
      </c>
      <c r="AG358" s="176">
        <f t="shared" ca="1" si="109"/>
        <v>3810000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4866000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4866000</v>
      </c>
      <c r="AG359" s="176">
        <f t="shared" ca="1" si="109"/>
        <v>7202000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9716000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9716000</v>
      </c>
      <c r="AG360" s="176">
        <f t="shared" ca="1" si="109"/>
        <v>14582000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17746000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17746000</v>
      </c>
      <c r="AG361" s="176">
        <f t="shared" ca="1" si="109"/>
        <v>27462000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29780000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29780000</v>
      </c>
      <c r="AG362" s="176">
        <f t="shared" ca="1" si="109"/>
        <v>47526000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47740000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47740000</v>
      </c>
      <c r="AG363" s="176">
        <f t="shared" ca="1" si="109"/>
        <v>77520000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78400000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78400000</v>
      </c>
      <c r="AG364" s="176">
        <f t="shared" ca="1" si="109"/>
        <v>126140000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1</v>
      </c>
      <c r="AJ365" s="17">
        <v>1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1</v>
      </c>
      <c r="AJ366" s="10">
        <v>1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1764000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1764000</v>
      </c>
      <c r="AG379" s="176">
        <f t="shared" ca="1" si="112"/>
        <v>2346000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3612000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3612000</v>
      </c>
      <c r="AG380" s="176">
        <f t="shared" ca="1" si="112"/>
        <v>5376000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6720000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6720000</v>
      </c>
      <c r="AG381" s="176">
        <f t="shared" ca="1" si="112"/>
        <v>10332000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10920000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10920000</v>
      </c>
      <c r="AG382" s="176">
        <f t="shared" ca="1" si="112"/>
        <v>17640000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16800000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16800000</v>
      </c>
      <c r="AG383" s="176">
        <f t="shared" ca="1" si="112"/>
        <v>27720000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26880000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26880000</v>
      </c>
      <c r="AG384" s="176">
        <f t="shared" ca="1" si="112"/>
        <v>43680000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1</v>
      </c>
      <c r="AJ385" s="17">
        <v>1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1</v>
      </c>
      <c r="AJ386" s="10">
        <v>1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1</v>
      </c>
      <c r="AJ405" s="17">
        <v>1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1</v>
      </c>
      <c r="AJ406" s="10">
        <v>1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1824000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1824000</v>
      </c>
      <c r="AG418" s="176">
        <f t="shared" ca="1" si="119"/>
        <v>2802000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5310000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5310000</v>
      </c>
      <c r="AG419" s="176">
        <f t="shared" ca="1" si="119"/>
        <v>7134000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10460000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10460000</v>
      </c>
      <c r="AG420" s="176">
        <f t="shared" ca="1" si="119"/>
        <v>15770000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18910000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18910000</v>
      </c>
      <c r="AG421" s="176">
        <f t="shared" ca="1" si="119"/>
        <v>29370000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32300000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32300000</v>
      </c>
      <c r="AG422" s="176">
        <f t="shared" ca="1" si="119"/>
        <v>51210000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52900000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52900000</v>
      </c>
      <c r="AG423" s="176">
        <f t="shared" ca="1" si="119"/>
        <v>85200000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88000000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88000000</v>
      </c>
      <c r="AG424" s="176">
        <f t="shared" ca="1" si="119"/>
        <v>140900000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1</v>
      </c>
      <c r="AJ425" s="17">
        <v>1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1</v>
      </c>
      <c r="AJ426" s="10">
        <v>1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210000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210000</v>
      </c>
      <c r="AG432" s="176">
        <f t="shared" ca="1" si="123"/>
        <v>270000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390000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390000</v>
      </c>
      <c r="AG433" s="176">
        <f t="shared" ca="1" si="123"/>
        <v>600000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650000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650000</v>
      </c>
      <c r="AG434" s="176">
        <f t="shared" ca="1" si="123"/>
        <v>1040000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1100000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1100000</v>
      </c>
      <c r="AG435" s="176">
        <f t="shared" ca="1" si="123"/>
        <v>1750000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1850000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1850000</v>
      </c>
      <c r="AG436" s="176">
        <f t="shared" ca="1" si="123"/>
        <v>2950000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3105000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3105000</v>
      </c>
      <c r="AG437" s="176">
        <f t="shared" ca="1" si="123"/>
        <v>4955000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4850000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4850000</v>
      </c>
      <c r="AG438" s="176">
        <f t="shared" ca="1" si="123"/>
        <v>7955000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10500000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10500000</v>
      </c>
      <c r="AG439" s="176">
        <f t="shared" ca="1" si="123"/>
        <v>15350000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21500000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21500000</v>
      </c>
      <c r="AG440" s="176">
        <f t="shared" ca="1" si="123"/>
        <v>32000000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40000000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40000000</v>
      </c>
      <c r="AG441" s="176">
        <f t="shared" ca="1" si="123"/>
        <v>61500000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65000000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65000000</v>
      </c>
      <c r="AG442" s="176">
        <f t="shared" ca="1" si="123"/>
        <v>105000000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100000000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100000000</v>
      </c>
      <c r="AG443" s="176">
        <f t="shared" ca="1" si="123"/>
        <v>165000000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160000000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160000000</v>
      </c>
      <c r="AG444" s="176">
        <f t="shared" ca="1" si="123"/>
        <v>260000000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1</v>
      </c>
      <c r="AJ445" s="17">
        <v>1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1</v>
      </c>
      <c r="AJ446" s="10">
        <v>1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424860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424860</v>
      </c>
      <c r="AG452" s="176">
        <f t="shared" ca="1" si="128"/>
        <v>545940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796200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796200</v>
      </c>
      <c r="AG453" s="176">
        <f t="shared" ca="1" si="128"/>
        <v>1221060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1336000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1336000</v>
      </c>
      <c r="AG454" s="176">
        <f t="shared" ca="1" si="128"/>
        <v>2132200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2275600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2275600</v>
      </c>
      <c r="AG455" s="176">
        <f t="shared" ca="1" si="128"/>
        <v>3611600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4637000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6480000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6480000</v>
      </c>
      <c r="AG458" s="176">
        <f t="shared" ca="1" si="128"/>
        <v>10434000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13710000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13710000</v>
      </c>
      <c r="AG459" s="176">
        <f t="shared" ca="1" si="128"/>
        <v>20190000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44860000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44860000</v>
      </c>
      <c r="AG460" s="176">
        <f t="shared" ca="1" si="128"/>
        <v>58570000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82910000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82910000</v>
      </c>
      <c r="AG461" s="176">
        <f t="shared" ca="1" si="128"/>
        <v>127770000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136300000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136300000</v>
      </c>
      <c r="AG462" s="176">
        <f t="shared" ca="1" si="128"/>
        <v>219210000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212900000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212900000</v>
      </c>
      <c r="AG463" s="176">
        <f t="shared" ca="1" si="128"/>
        <v>349200000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344000000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344000000</v>
      </c>
      <c r="AG464" s="176">
        <f t="shared" ca="1" si="128"/>
        <v>556900000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6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1</v>
      </c>
      <c r="AJ465" s="17">
        <v>1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6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1</v>
      </c>
      <c r="AJ466" s="10">
        <v>1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7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7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7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7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17200000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17200000</v>
      </c>
      <c r="AG480" s="176">
        <f t="shared" ca="1" si="130"/>
        <v>22240000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32000000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32000000</v>
      </c>
      <c r="AG481" s="176">
        <f t="shared" ca="1" si="130"/>
        <v>49200000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52000000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52000000</v>
      </c>
      <c r="AG482" s="176">
        <f t="shared" ca="1" si="130"/>
        <v>84000000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80000000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80000000</v>
      </c>
      <c r="AG483" s="176">
        <f t="shared" ca="1" si="130"/>
        <v>132000000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128000000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128000000</v>
      </c>
      <c r="AG484" s="176">
        <f t="shared" ca="1" si="130"/>
        <v>208000000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1</v>
      </c>
      <c r="AJ485" s="17">
        <v>1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1</v>
      </c>
      <c r="AJ486" s="10">
        <v>1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1110000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1110000</v>
      </c>
      <c r="AG499" s="176">
        <f t="shared" ca="1" si="134"/>
        <v>1506000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1860000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1860000</v>
      </c>
      <c r="AG500" s="176">
        <f t="shared" ca="1" si="134"/>
        <v>2970000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2910000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2910000</v>
      </c>
      <c r="AG501" s="176">
        <f t="shared" ca="1" si="134"/>
        <v>4770000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6300000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6300000</v>
      </c>
      <c r="AG502" s="176">
        <f t="shared" ca="1" si="134"/>
        <v>9210000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12900000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12900000</v>
      </c>
      <c r="AG503" s="176">
        <f t="shared" ca="1" si="134"/>
        <v>19200000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24000000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24000000</v>
      </c>
      <c r="AG504" s="176">
        <f t="shared" ca="1" si="134"/>
        <v>36900000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41" activePane="bottomRight" state="frozen"/>
      <selection pane="topRight" activeCell="K1" sqref="K1"/>
      <selection pane="bottomLeft" activeCell="A5" sqref="A5"/>
      <selection pane="bottomRight" activeCell="P61" sqref="P6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1600</v>
      </c>
      <c r="S53" s="39">
        <v>1.6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15000</v>
      </c>
      <c r="S55" s="39">
        <v>15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10000</v>
      </c>
      <c r="S58" s="148">
        <v>10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5000</v>
      </c>
      <c r="S59" s="39">
        <v>5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A5" sqref="A5:A24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2</v>
      </c>
      <c r="M12" s="91">
        <v>2</v>
      </c>
      <c r="N12" s="91">
        <v>2</v>
      </c>
      <c r="O12" s="91">
        <v>2</v>
      </c>
      <c r="P12" s="91">
        <v>2</v>
      </c>
      <c r="Q12" s="91">
        <v>2</v>
      </c>
      <c r="R12" s="91">
        <v>2</v>
      </c>
      <c r="S12" s="91">
        <v>2</v>
      </c>
      <c r="T12" s="91">
        <v>2</v>
      </c>
      <c r="U12" s="91">
        <v>2</v>
      </c>
      <c r="V12" s="91">
        <v>2</v>
      </c>
      <c r="W12" s="91">
        <v>2</v>
      </c>
      <c r="X12" s="91">
        <v>2</v>
      </c>
      <c r="Y12" s="91">
        <v>2</v>
      </c>
      <c r="Z12" s="91">
        <v>2</v>
      </c>
      <c r="AA12" s="91">
        <v>2</v>
      </c>
      <c r="AB12" s="91">
        <v>2</v>
      </c>
      <c r="AC12" s="91">
        <v>2</v>
      </c>
      <c r="AD12" s="91">
        <v>2</v>
      </c>
      <c r="AE12" s="91">
        <v>2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2</v>
      </c>
      <c r="M13" s="91">
        <v>2</v>
      </c>
      <c r="N13" s="91">
        <v>2</v>
      </c>
      <c r="O13" s="91">
        <v>2</v>
      </c>
      <c r="P13" s="91">
        <v>2</v>
      </c>
      <c r="Q13" s="91">
        <v>2</v>
      </c>
      <c r="R13" s="91">
        <v>2</v>
      </c>
      <c r="S13" s="91">
        <v>2</v>
      </c>
      <c r="T13" s="91">
        <v>2</v>
      </c>
      <c r="U13" s="91">
        <v>2</v>
      </c>
      <c r="V13" s="91">
        <v>2</v>
      </c>
      <c r="W13" s="91">
        <v>2</v>
      </c>
      <c r="X13" s="91">
        <v>2</v>
      </c>
      <c r="Y13" s="91">
        <v>2</v>
      </c>
      <c r="Z13" s="91">
        <v>2</v>
      </c>
      <c r="AA13" s="91">
        <v>2</v>
      </c>
      <c r="AB13" s="91">
        <v>2</v>
      </c>
      <c r="AC13" s="91">
        <v>2</v>
      </c>
      <c r="AD13" s="91">
        <v>2</v>
      </c>
      <c r="AE13" s="91">
        <v>2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2</v>
      </c>
      <c r="M14" s="91">
        <v>2</v>
      </c>
      <c r="N14" s="91">
        <v>2</v>
      </c>
      <c r="O14" s="91">
        <v>2</v>
      </c>
      <c r="P14" s="91">
        <v>2</v>
      </c>
      <c r="Q14" s="91">
        <v>2</v>
      </c>
      <c r="R14" s="91">
        <v>2</v>
      </c>
      <c r="S14" s="91">
        <v>2</v>
      </c>
      <c r="T14" s="91">
        <v>2</v>
      </c>
      <c r="U14" s="91">
        <v>2</v>
      </c>
      <c r="V14" s="91">
        <v>2</v>
      </c>
      <c r="W14" s="91">
        <v>2</v>
      </c>
      <c r="X14" s="91">
        <v>2</v>
      </c>
      <c r="Y14" s="91">
        <v>2</v>
      </c>
      <c r="Z14" s="91">
        <v>2</v>
      </c>
      <c r="AA14" s="91">
        <v>2</v>
      </c>
      <c r="AB14" s="91">
        <v>2</v>
      </c>
      <c r="AC14" s="91">
        <v>2</v>
      </c>
      <c r="AD14" s="91">
        <v>2</v>
      </c>
      <c r="AE14" s="91">
        <v>2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3</v>
      </c>
      <c r="M15" s="91">
        <v>3</v>
      </c>
      <c r="N15" s="91">
        <v>3</v>
      </c>
      <c r="O15" s="91">
        <v>3</v>
      </c>
      <c r="P15" s="91">
        <v>3</v>
      </c>
      <c r="Q15" s="91">
        <v>3</v>
      </c>
      <c r="R15" s="91">
        <v>3</v>
      </c>
      <c r="S15" s="91">
        <v>3</v>
      </c>
      <c r="T15" s="91">
        <v>3</v>
      </c>
      <c r="U15" s="91">
        <v>3</v>
      </c>
      <c r="V15" s="91">
        <v>3</v>
      </c>
      <c r="W15" s="91">
        <v>3</v>
      </c>
      <c r="X15" s="91">
        <v>3</v>
      </c>
      <c r="Y15" s="91">
        <v>3</v>
      </c>
      <c r="Z15" s="91">
        <v>3</v>
      </c>
      <c r="AA15" s="91">
        <v>3</v>
      </c>
      <c r="AB15" s="91">
        <v>3</v>
      </c>
      <c r="AC15" s="91">
        <v>3</v>
      </c>
      <c r="AD15" s="91">
        <v>3</v>
      </c>
      <c r="AE15" s="91">
        <v>3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3</v>
      </c>
      <c r="M16" s="91">
        <v>3</v>
      </c>
      <c r="N16" s="91">
        <v>3</v>
      </c>
      <c r="O16" s="91">
        <v>3</v>
      </c>
      <c r="P16" s="91">
        <v>3</v>
      </c>
      <c r="Q16" s="91">
        <v>3</v>
      </c>
      <c r="R16" s="91">
        <v>3</v>
      </c>
      <c r="S16" s="91">
        <v>3</v>
      </c>
      <c r="T16" s="91">
        <v>3</v>
      </c>
      <c r="U16" s="91">
        <v>3</v>
      </c>
      <c r="V16" s="91">
        <v>3</v>
      </c>
      <c r="W16" s="91">
        <v>3</v>
      </c>
      <c r="X16" s="91">
        <v>3</v>
      </c>
      <c r="Y16" s="91">
        <v>3</v>
      </c>
      <c r="Z16" s="91">
        <v>3</v>
      </c>
      <c r="AA16" s="91">
        <v>3</v>
      </c>
      <c r="AB16" s="91">
        <v>3</v>
      </c>
      <c r="AC16" s="91">
        <v>3</v>
      </c>
      <c r="AD16" s="91">
        <v>3</v>
      </c>
      <c r="AE16" s="91">
        <v>3</v>
      </c>
      <c r="AF16" s="91">
        <v>2</v>
      </c>
      <c r="AG16" s="91">
        <v>2</v>
      </c>
      <c r="AH16" s="91">
        <v>2</v>
      </c>
      <c r="AI16" s="91">
        <v>2</v>
      </c>
      <c r="AJ16" s="91">
        <v>2</v>
      </c>
      <c r="AK16" s="91">
        <v>2</v>
      </c>
      <c r="AL16" s="91">
        <v>2</v>
      </c>
      <c r="AM16" s="91">
        <v>2</v>
      </c>
      <c r="AN16" s="91">
        <v>2</v>
      </c>
      <c r="AO16" s="91">
        <v>2</v>
      </c>
      <c r="AP16" s="91">
        <v>2</v>
      </c>
      <c r="AQ16" s="91">
        <v>2</v>
      </c>
      <c r="AR16" s="91">
        <v>2</v>
      </c>
      <c r="AS16" s="91">
        <v>2</v>
      </c>
      <c r="AT16" s="91">
        <v>2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4</v>
      </c>
      <c r="M17" s="91">
        <v>4</v>
      </c>
      <c r="N17" s="91">
        <v>4</v>
      </c>
      <c r="O17" s="91">
        <v>4</v>
      </c>
      <c r="P17" s="91">
        <v>4</v>
      </c>
      <c r="Q17" s="91">
        <v>4</v>
      </c>
      <c r="R17" s="91">
        <v>4</v>
      </c>
      <c r="S17" s="91">
        <v>4</v>
      </c>
      <c r="T17" s="91">
        <v>4</v>
      </c>
      <c r="U17" s="91">
        <v>4</v>
      </c>
      <c r="V17" s="91">
        <v>4</v>
      </c>
      <c r="W17" s="91">
        <v>4</v>
      </c>
      <c r="X17" s="91">
        <v>4</v>
      </c>
      <c r="Y17" s="91">
        <v>4</v>
      </c>
      <c r="Z17" s="91">
        <v>4</v>
      </c>
      <c r="AA17" s="91">
        <v>4</v>
      </c>
      <c r="AB17" s="91">
        <v>4</v>
      </c>
      <c r="AC17" s="91">
        <v>4</v>
      </c>
      <c r="AD17" s="91">
        <v>4</v>
      </c>
      <c r="AE17" s="91">
        <v>4</v>
      </c>
      <c r="AF17" s="91">
        <v>3</v>
      </c>
      <c r="AG17" s="91">
        <v>3</v>
      </c>
      <c r="AH17" s="91">
        <v>3</v>
      </c>
      <c r="AI17" s="91">
        <v>3</v>
      </c>
      <c r="AJ17" s="91">
        <v>3</v>
      </c>
      <c r="AK17" s="91">
        <v>3</v>
      </c>
      <c r="AL17" s="91">
        <v>3</v>
      </c>
      <c r="AM17" s="91">
        <v>3</v>
      </c>
      <c r="AN17" s="91">
        <v>3</v>
      </c>
      <c r="AO17" s="91">
        <v>3</v>
      </c>
      <c r="AP17" s="91">
        <v>3</v>
      </c>
      <c r="AQ17" s="91">
        <v>3</v>
      </c>
      <c r="AR17" s="91">
        <v>3</v>
      </c>
      <c r="AS17" s="91">
        <v>3</v>
      </c>
      <c r="AT17" s="91">
        <v>3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5</v>
      </c>
      <c r="M18" s="91">
        <v>5</v>
      </c>
      <c r="N18" s="91">
        <v>5</v>
      </c>
      <c r="O18" s="91">
        <v>5</v>
      </c>
      <c r="P18" s="91">
        <v>5</v>
      </c>
      <c r="Q18" s="91">
        <v>5</v>
      </c>
      <c r="R18" s="91">
        <v>5</v>
      </c>
      <c r="S18" s="91">
        <v>5</v>
      </c>
      <c r="T18" s="91">
        <v>5</v>
      </c>
      <c r="U18" s="91">
        <v>5</v>
      </c>
      <c r="V18" s="91">
        <v>5</v>
      </c>
      <c r="W18" s="91">
        <v>5</v>
      </c>
      <c r="X18" s="91">
        <v>5</v>
      </c>
      <c r="Y18" s="91">
        <v>5</v>
      </c>
      <c r="Z18" s="91">
        <v>5</v>
      </c>
      <c r="AA18" s="91">
        <v>5</v>
      </c>
      <c r="AB18" s="91">
        <v>5</v>
      </c>
      <c r="AC18" s="91">
        <v>5</v>
      </c>
      <c r="AD18" s="91">
        <v>5</v>
      </c>
      <c r="AE18" s="91">
        <v>5</v>
      </c>
      <c r="AF18" s="91">
        <v>4</v>
      </c>
      <c r="AG18" s="91">
        <v>4</v>
      </c>
      <c r="AH18" s="91">
        <v>4</v>
      </c>
      <c r="AI18" s="91">
        <v>4</v>
      </c>
      <c r="AJ18" s="91">
        <v>4</v>
      </c>
      <c r="AK18" s="91">
        <v>4</v>
      </c>
      <c r="AL18" s="91">
        <v>4</v>
      </c>
      <c r="AM18" s="91">
        <v>4</v>
      </c>
      <c r="AN18" s="91">
        <v>4</v>
      </c>
      <c r="AO18" s="91">
        <v>4</v>
      </c>
      <c r="AP18" s="91">
        <v>4</v>
      </c>
      <c r="AQ18" s="91">
        <v>4</v>
      </c>
      <c r="AR18" s="91">
        <v>4</v>
      </c>
      <c r="AS18" s="91">
        <v>4</v>
      </c>
      <c r="AT18" s="91">
        <v>4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6</v>
      </c>
      <c r="M19" s="91">
        <v>6</v>
      </c>
      <c r="N19" s="91">
        <v>6</v>
      </c>
      <c r="O19" s="91">
        <v>6</v>
      </c>
      <c r="P19" s="91">
        <v>6</v>
      </c>
      <c r="Q19" s="91">
        <v>6</v>
      </c>
      <c r="R19" s="91">
        <v>6</v>
      </c>
      <c r="S19" s="91">
        <v>6</v>
      </c>
      <c r="T19" s="91">
        <v>6</v>
      </c>
      <c r="U19" s="91">
        <v>6</v>
      </c>
      <c r="V19" s="91">
        <v>6</v>
      </c>
      <c r="W19" s="91">
        <v>6</v>
      </c>
      <c r="X19" s="91">
        <v>6</v>
      </c>
      <c r="Y19" s="91">
        <v>6</v>
      </c>
      <c r="Z19" s="91">
        <v>6</v>
      </c>
      <c r="AA19" s="91">
        <v>6</v>
      </c>
      <c r="AB19" s="91">
        <v>6</v>
      </c>
      <c r="AC19" s="91">
        <v>6</v>
      </c>
      <c r="AD19" s="91">
        <v>6</v>
      </c>
      <c r="AE19" s="91">
        <v>6</v>
      </c>
      <c r="AF19" s="91">
        <v>5</v>
      </c>
      <c r="AG19" s="91">
        <v>5</v>
      </c>
      <c r="AH19" s="91">
        <v>5</v>
      </c>
      <c r="AI19" s="91">
        <v>5</v>
      </c>
      <c r="AJ19" s="91">
        <v>5</v>
      </c>
      <c r="AK19" s="91">
        <v>5</v>
      </c>
      <c r="AL19" s="91">
        <v>5</v>
      </c>
      <c r="AM19" s="91">
        <v>5</v>
      </c>
      <c r="AN19" s="91">
        <v>5</v>
      </c>
      <c r="AO19" s="91">
        <v>5</v>
      </c>
      <c r="AP19" s="91">
        <v>5</v>
      </c>
      <c r="AQ19" s="91">
        <v>5</v>
      </c>
      <c r="AR19" s="91">
        <v>5</v>
      </c>
      <c r="AS19" s="91">
        <v>5</v>
      </c>
      <c r="AT19" s="91">
        <v>5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7</v>
      </c>
      <c r="M20" s="91">
        <v>7</v>
      </c>
      <c r="N20" s="91">
        <v>7</v>
      </c>
      <c r="O20" s="91">
        <v>7</v>
      </c>
      <c r="P20" s="91">
        <v>7</v>
      </c>
      <c r="Q20" s="91">
        <v>7</v>
      </c>
      <c r="R20" s="91">
        <v>7</v>
      </c>
      <c r="S20" s="91">
        <v>7</v>
      </c>
      <c r="T20" s="91">
        <v>7</v>
      </c>
      <c r="U20" s="91">
        <v>7</v>
      </c>
      <c r="V20" s="91">
        <v>7</v>
      </c>
      <c r="W20" s="91">
        <v>7</v>
      </c>
      <c r="X20" s="91">
        <v>7</v>
      </c>
      <c r="Y20" s="91">
        <v>7</v>
      </c>
      <c r="Z20" s="91">
        <v>7</v>
      </c>
      <c r="AA20" s="91">
        <v>7</v>
      </c>
      <c r="AB20" s="91">
        <v>7</v>
      </c>
      <c r="AC20" s="91">
        <v>7</v>
      </c>
      <c r="AD20" s="91">
        <v>7</v>
      </c>
      <c r="AE20" s="91">
        <v>7</v>
      </c>
      <c r="AF20" s="91">
        <v>6</v>
      </c>
      <c r="AG20" s="91">
        <v>6</v>
      </c>
      <c r="AH20" s="91">
        <v>6</v>
      </c>
      <c r="AI20" s="91">
        <v>6</v>
      </c>
      <c r="AJ20" s="91">
        <v>6</v>
      </c>
      <c r="AK20" s="91">
        <v>6</v>
      </c>
      <c r="AL20" s="91">
        <v>6</v>
      </c>
      <c r="AM20" s="91">
        <v>6</v>
      </c>
      <c r="AN20" s="91">
        <v>6</v>
      </c>
      <c r="AO20" s="91">
        <v>6</v>
      </c>
      <c r="AP20" s="91">
        <v>6</v>
      </c>
      <c r="AQ20" s="91">
        <v>6</v>
      </c>
      <c r="AR20" s="91">
        <v>6</v>
      </c>
      <c r="AS20" s="91">
        <v>6</v>
      </c>
      <c r="AT20" s="91">
        <v>6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8</v>
      </c>
      <c r="M21" s="91">
        <v>8</v>
      </c>
      <c r="N21" s="91">
        <v>8</v>
      </c>
      <c r="O21" s="91">
        <v>8</v>
      </c>
      <c r="P21" s="91">
        <v>8</v>
      </c>
      <c r="Q21" s="91">
        <v>8</v>
      </c>
      <c r="R21" s="91">
        <v>8</v>
      </c>
      <c r="S21" s="91">
        <v>8</v>
      </c>
      <c r="T21" s="91">
        <v>8</v>
      </c>
      <c r="U21" s="91">
        <v>8</v>
      </c>
      <c r="V21" s="91">
        <v>8</v>
      </c>
      <c r="W21" s="91">
        <v>8</v>
      </c>
      <c r="X21" s="91">
        <v>8</v>
      </c>
      <c r="Y21" s="91">
        <v>8</v>
      </c>
      <c r="Z21" s="91">
        <v>8</v>
      </c>
      <c r="AA21" s="91">
        <v>8</v>
      </c>
      <c r="AB21" s="91">
        <v>8</v>
      </c>
      <c r="AC21" s="91">
        <v>8</v>
      </c>
      <c r="AD21" s="91">
        <v>8</v>
      </c>
      <c r="AE21" s="91">
        <v>8</v>
      </c>
      <c r="AF21" s="91">
        <v>7</v>
      </c>
      <c r="AG21" s="91">
        <v>7</v>
      </c>
      <c r="AH21" s="91">
        <v>7</v>
      </c>
      <c r="AI21" s="91">
        <v>7</v>
      </c>
      <c r="AJ21" s="91">
        <v>7</v>
      </c>
      <c r="AK21" s="91">
        <v>7</v>
      </c>
      <c r="AL21" s="91">
        <v>7</v>
      </c>
      <c r="AM21" s="91">
        <v>7</v>
      </c>
      <c r="AN21" s="91">
        <v>7</v>
      </c>
      <c r="AO21" s="91">
        <v>7</v>
      </c>
      <c r="AP21" s="91">
        <v>7</v>
      </c>
      <c r="AQ21" s="91">
        <v>7</v>
      </c>
      <c r="AR21" s="91">
        <v>7</v>
      </c>
      <c r="AS21" s="91">
        <v>7</v>
      </c>
      <c r="AT21" s="91">
        <v>7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9</v>
      </c>
      <c r="M22" s="91">
        <v>9</v>
      </c>
      <c r="N22" s="91">
        <v>9</v>
      </c>
      <c r="O22" s="91">
        <v>9</v>
      </c>
      <c r="P22" s="91">
        <v>9</v>
      </c>
      <c r="Q22" s="91">
        <v>9</v>
      </c>
      <c r="R22" s="91">
        <v>9</v>
      </c>
      <c r="S22" s="91">
        <v>9</v>
      </c>
      <c r="T22" s="91">
        <v>9</v>
      </c>
      <c r="U22" s="91">
        <v>9</v>
      </c>
      <c r="V22" s="91">
        <v>9</v>
      </c>
      <c r="W22" s="91">
        <v>9</v>
      </c>
      <c r="X22" s="91">
        <v>9</v>
      </c>
      <c r="Y22" s="91">
        <v>9</v>
      </c>
      <c r="Z22" s="91">
        <v>9</v>
      </c>
      <c r="AA22" s="91">
        <v>9</v>
      </c>
      <c r="AB22" s="91">
        <v>9</v>
      </c>
      <c r="AC22" s="91">
        <v>9</v>
      </c>
      <c r="AD22" s="91">
        <v>9</v>
      </c>
      <c r="AE22" s="91">
        <v>9</v>
      </c>
      <c r="AF22" s="91">
        <v>8</v>
      </c>
      <c r="AG22" s="91">
        <v>8</v>
      </c>
      <c r="AH22" s="91">
        <v>8</v>
      </c>
      <c r="AI22" s="91">
        <v>8</v>
      </c>
      <c r="AJ22" s="91">
        <v>8</v>
      </c>
      <c r="AK22" s="91">
        <v>8</v>
      </c>
      <c r="AL22" s="91">
        <v>8</v>
      </c>
      <c r="AM22" s="91">
        <v>8</v>
      </c>
      <c r="AN22" s="91">
        <v>8</v>
      </c>
      <c r="AO22" s="91">
        <v>8</v>
      </c>
      <c r="AP22" s="91">
        <v>8</v>
      </c>
      <c r="AQ22" s="91">
        <v>8</v>
      </c>
      <c r="AR22" s="91">
        <v>8</v>
      </c>
      <c r="AS22" s="91">
        <v>8</v>
      </c>
      <c r="AT22" s="91">
        <v>8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10</v>
      </c>
      <c r="M23" s="91">
        <v>10</v>
      </c>
      <c r="N23" s="91">
        <v>10</v>
      </c>
      <c r="O23" s="91">
        <v>10</v>
      </c>
      <c r="P23" s="91">
        <v>10</v>
      </c>
      <c r="Q23" s="91">
        <v>10</v>
      </c>
      <c r="R23" s="91">
        <v>10</v>
      </c>
      <c r="S23" s="91">
        <v>10</v>
      </c>
      <c r="T23" s="91">
        <v>10</v>
      </c>
      <c r="U23" s="91">
        <v>10</v>
      </c>
      <c r="V23" s="91">
        <v>10</v>
      </c>
      <c r="W23" s="91">
        <v>10</v>
      </c>
      <c r="X23" s="91">
        <v>10</v>
      </c>
      <c r="Y23" s="91">
        <v>10</v>
      </c>
      <c r="Z23" s="91">
        <v>10</v>
      </c>
      <c r="AA23" s="91">
        <v>10</v>
      </c>
      <c r="AB23" s="91">
        <v>10</v>
      </c>
      <c r="AC23" s="91">
        <v>10</v>
      </c>
      <c r="AD23" s="91">
        <v>10</v>
      </c>
      <c r="AE23" s="91">
        <v>10</v>
      </c>
      <c r="AF23" s="91">
        <v>9</v>
      </c>
      <c r="AG23" s="91">
        <v>9</v>
      </c>
      <c r="AH23" s="91">
        <v>9</v>
      </c>
      <c r="AI23" s="91">
        <v>9</v>
      </c>
      <c r="AJ23" s="91">
        <v>9</v>
      </c>
      <c r="AK23" s="91">
        <v>9</v>
      </c>
      <c r="AL23" s="91">
        <v>9</v>
      </c>
      <c r="AM23" s="91">
        <v>9</v>
      </c>
      <c r="AN23" s="91">
        <v>9</v>
      </c>
      <c r="AO23" s="91">
        <v>9</v>
      </c>
      <c r="AP23" s="91">
        <v>9</v>
      </c>
      <c r="AQ23" s="91">
        <v>9</v>
      </c>
      <c r="AR23" s="91">
        <v>9</v>
      </c>
      <c r="AS23" s="91">
        <v>9</v>
      </c>
      <c r="AT23" s="91">
        <v>9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11</v>
      </c>
      <c r="M24" s="91">
        <v>11</v>
      </c>
      <c r="N24" s="91">
        <v>11</v>
      </c>
      <c r="O24" s="91">
        <v>11</v>
      </c>
      <c r="P24" s="91">
        <v>11</v>
      </c>
      <c r="Q24" s="91">
        <v>11</v>
      </c>
      <c r="R24" s="91">
        <v>11</v>
      </c>
      <c r="S24" s="91">
        <v>11</v>
      </c>
      <c r="T24" s="91">
        <v>11</v>
      </c>
      <c r="U24" s="91">
        <v>11</v>
      </c>
      <c r="V24" s="91">
        <v>11</v>
      </c>
      <c r="W24" s="91">
        <v>11</v>
      </c>
      <c r="X24" s="91">
        <v>11</v>
      </c>
      <c r="Y24" s="91">
        <v>11</v>
      </c>
      <c r="Z24" s="91">
        <v>11</v>
      </c>
      <c r="AA24" s="91">
        <v>11</v>
      </c>
      <c r="AB24" s="91">
        <v>11</v>
      </c>
      <c r="AC24" s="91">
        <v>11</v>
      </c>
      <c r="AD24" s="91">
        <v>11</v>
      </c>
      <c r="AE24" s="91">
        <v>11</v>
      </c>
      <c r="AF24" s="91">
        <v>10</v>
      </c>
      <c r="AG24" s="91">
        <v>10</v>
      </c>
      <c r="AH24" s="91">
        <v>10</v>
      </c>
      <c r="AI24" s="91">
        <v>10</v>
      </c>
      <c r="AJ24" s="91">
        <v>10</v>
      </c>
      <c r="AK24" s="91">
        <v>10</v>
      </c>
      <c r="AL24" s="91">
        <v>10</v>
      </c>
      <c r="AM24" s="91">
        <v>10</v>
      </c>
      <c r="AN24" s="91">
        <v>10</v>
      </c>
      <c r="AO24" s="91">
        <v>10</v>
      </c>
      <c r="AP24" s="91">
        <v>10</v>
      </c>
      <c r="AQ24" s="91">
        <v>10</v>
      </c>
      <c r="AR24" s="91">
        <v>10</v>
      </c>
      <c r="AS24" s="91">
        <v>10</v>
      </c>
      <c r="AT24" s="91">
        <v>10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DD53" activePane="bottomRight" state="frozen"/>
      <selection pane="topRight" activeCell="H1" sqref="H1"/>
      <selection pane="bottomLeft" activeCell="A5" sqref="A5"/>
      <selection pane="bottomRight" activeCell="DG74" sqref="DG7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240</v>
      </c>
      <c r="M5" s="17" t="s">
        <v>943</v>
      </c>
      <c r="N5" s="56" t="s">
        <v>1276</v>
      </c>
      <c r="O5" s="56">
        <v>100</v>
      </c>
      <c r="P5" s="17">
        <f>Q5*5</f>
        <v>100</v>
      </c>
      <c r="Q5" s="17">
        <v>20</v>
      </c>
      <c r="R5" s="156">
        <f>IF((1-(1-O5/100000)^1440)=0,"",1-(1-O5/100000)^1440)</f>
        <v>0.76324288163593268</v>
      </c>
      <c r="S5" s="172">
        <f>IF((O5/100000)*1440=0,"",(O5/100000)*1440)</f>
        <v>1.44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240</v>
      </c>
      <c r="M6" s="10" t="s">
        <v>944</v>
      </c>
      <c r="N6" s="55" t="s">
        <v>1277</v>
      </c>
      <c r="O6" s="55">
        <v>75</v>
      </c>
      <c r="P6" s="10">
        <f t="shared" ref="P6:P69" si="3">Q6*5</f>
        <v>75</v>
      </c>
      <c r="Q6" s="10">
        <v>15</v>
      </c>
      <c r="R6" s="155">
        <f t="shared" ref="R6:R69" si="4">IF((1-(1-O6/100000)^1440)=0,"",1-(1-O6/100000)^1440)</f>
        <v>0.66054205147456901</v>
      </c>
      <c r="S6" s="171">
        <f t="shared" ref="S6:S69" si="5">IF((O6/100000)*1440=0,"",(O6/100000)*1440)</f>
        <v>1.08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240</v>
      </c>
      <c r="M7" s="153" t="s">
        <v>945</v>
      </c>
      <c r="N7" s="55" t="s">
        <v>1278</v>
      </c>
      <c r="O7" s="55">
        <v>50</v>
      </c>
      <c r="P7" s="10">
        <f t="shared" si="3"/>
        <v>50</v>
      </c>
      <c r="Q7" s="10">
        <v>10</v>
      </c>
      <c r="R7" s="155">
        <f t="shared" si="4"/>
        <v>0.51333538077197161</v>
      </c>
      <c r="S7" s="171">
        <f t="shared" si="5"/>
        <v>0.72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240</v>
      </c>
      <c r="N8" s="55" t="s">
        <v>1279</v>
      </c>
      <c r="O8" s="55">
        <v>100</v>
      </c>
      <c r="P8" s="10">
        <f t="shared" si="3"/>
        <v>100</v>
      </c>
      <c r="Q8" s="10">
        <v>20</v>
      </c>
      <c r="R8" s="155">
        <f t="shared" si="4"/>
        <v>0.76324288163593268</v>
      </c>
      <c r="S8" s="171">
        <f t="shared" si="5"/>
        <v>1.44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240</v>
      </c>
      <c r="N9" s="55" t="s">
        <v>1280</v>
      </c>
      <c r="O9" s="55">
        <v>75</v>
      </c>
      <c r="P9" s="10">
        <f t="shared" si="3"/>
        <v>75</v>
      </c>
      <c r="Q9" s="10">
        <v>15</v>
      </c>
      <c r="R9" s="155">
        <f t="shared" si="4"/>
        <v>0.66054205147456901</v>
      </c>
      <c r="S9" s="171">
        <f t="shared" si="5"/>
        <v>1.08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240</v>
      </c>
      <c r="N10" s="55" t="s">
        <v>1281</v>
      </c>
      <c r="O10" s="55">
        <v>50</v>
      </c>
      <c r="P10" s="10">
        <f t="shared" si="3"/>
        <v>50</v>
      </c>
      <c r="Q10" s="10">
        <v>10</v>
      </c>
      <c r="R10" s="155">
        <f t="shared" si="4"/>
        <v>0.51333538077197161</v>
      </c>
      <c r="S10" s="171">
        <f t="shared" si="5"/>
        <v>0.72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240</v>
      </c>
      <c r="N11" s="55" t="s">
        <v>1282</v>
      </c>
      <c r="O11" s="55">
        <v>100</v>
      </c>
      <c r="P11" s="10">
        <f t="shared" si="3"/>
        <v>100</v>
      </c>
      <c r="Q11" s="10">
        <v>20</v>
      </c>
      <c r="R11" s="155">
        <f t="shared" si="4"/>
        <v>0.76324288163593268</v>
      </c>
      <c r="S11" s="171">
        <f t="shared" si="5"/>
        <v>1.44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240</v>
      </c>
      <c r="N12" s="55" t="s">
        <v>1283</v>
      </c>
      <c r="O12" s="55">
        <v>75</v>
      </c>
      <c r="P12" s="10">
        <f t="shared" si="3"/>
        <v>75</v>
      </c>
      <c r="Q12" s="10">
        <v>15</v>
      </c>
      <c r="R12" s="155">
        <f t="shared" si="4"/>
        <v>0.66054205147456901</v>
      </c>
      <c r="S12" s="171">
        <f t="shared" si="5"/>
        <v>1.08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240</v>
      </c>
      <c r="N13" s="55" t="s">
        <v>1284</v>
      </c>
      <c r="O13" s="55">
        <v>50</v>
      </c>
      <c r="P13" s="10">
        <f t="shared" si="3"/>
        <v>50</v>
      </c>
      <c r="Q13" s="10">
        <v>10</v>
      </c>
      <c r="R13" s="155">
        <f t="shared" si="4"/>
        <v>0.51333538077197161</v>
      </c>
      <c r="S13" s="171">
        <f t="shared" si="5"/>
        <v>0.72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300</v>
      </c>
      <c r="M25" s="17"/>
      <c r="N25" s="56" t="s">
        <v>1285</v>
      </c>
      <c r="O25" s="56">
        <v>50</v>
      </c>
      <c r="P25" s="17">
        <f t="shared" si="3"/>
        <v>50</v>
      </c>
      <c r="Q25" s="17">
        <v>10</v>
      </c>
      <c r="R25" s="156">
        <f t="shared" si="4"/>
        <v>0.51333538077197161</v>
      </c>
      <c r="S25" s="172">
        <f t="shared" si="5"/>
        <v>0.72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300</v>
      </c>
      <c r="N26" s="55" t="s">
        <v>1286</v>
      </c>
      <c r="O26" s="55">
        <v>40</v>
      </c>
      <c r="P26" s="10">
        <f t="shared" si="3"/>
        <v>40</v>
      </c>
      <c r="Q26" s="10">
        <v>8</v>
      </c>
      <c r="R26" s="155">
        <f t="shared" si="4"/>
        <v>0.43792232715504664</v>
      </c>
      <c r="S26" s="171">
        <f t="shared" si="5"/>
        <v>0.57600000000000007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300</v>
      </c>
      <c r="N27" s="55" t="s">
        <v>1287</v>
      </c>
      <c r="O27" s="55">
        <v>25</v>
      </c>
      <c r="P27" s="10">
        <f t="shared" si="3"/>
        <v>25</v>
      </c>
      <c r="Q27" s="10">
        <v>5</v>
      </c>
      <c r="R27" s="155">
        <f t="shared" si="4"/>
        <v>0.30235507389056804</v>
      </c>
      <c r="S27" s="171">
        <f t="shared" si="5"/>
        <v>0.36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300</v>
      </c>
      <c r="N28" s="55" t="s">
        <v>1288</v>
      </c>
      <c r="O28" s="56">
        <v>50</v>
      </c>
      <c r="P28" s="10">
        <f t="shared" si="3"/>
        <v>50</v>
      </c>
      <c r="Q28" s="10">
        <v>10</v>
      </c>
      <c r="R28" s="155">
        <f t="shared" si="4"/>
        <v>0.51333538077197161</v>
      </c>
      <c r="S28" s="171">
        <f t="shared" si="5"/>
        <v>0.72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300</v>
      </c>
      <c r="N29" s="55" t="s">
        <v>1289</v>
      </c>
      <c r="O29" s="55">
        <v>40</v>
      </c>
      <c r="P29" s="10">
        <f t="shared" si="3"/>
        <v>40</v>
      </c>
      <c r="Q29" s="10">
        <v>8</v>
      </c>
      <c r="R29" s="155">
        <f t="shared" si="4"/>
        <v>0.43792232715504664</v>
      </c>
      <c r="S29" s="171">
        <f t="shared" si="5"/>
        <v>0.57600000000000007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300</v>
      </c>
      <c r="N30" s="55" t="s">
        <v>1290</v>
      </c>
      <c r="O30" s="55">
        <v>25</v>
      </c>
      <c r="P30" s="10">
        <f t="shared" si="3"/>
        <v>25</v>
      </c>
      <c r="Q30" s="10">
        <v>5</v>
      </c>
      <c r="R30" s="155">
        <f t="shared" si="4"/>
        <v>0.30235507389056804</v>
      </c>
      <c r="S30" s="171">
        <f t="shared" si="5"/>
        <v>0.36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300</v>
      </c>
      <c r="M45" s="17"/>
      <c r="N45" s="56" t="s">
        <v>1291</v>
      </c>
      <c r="O45" s="56">
        <v>50</v>
      </c>
      <c r="P45" s="17">
        <f t="shared" si="3"/>
        <v>50</v>
      </c>
      <c r="Q45" s="17">
        <v>10</v>
      </c>
      <c r="R45" s="156">
        <f t="shared" si="4"/>
        <v>0.51333538077197161</v>
      </c>
      <c r="S45" s="172">
        <f t="shared" si="5"/>
        <v>0.72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300</v>
      </c>
      <c r="N46" s="55" t="s">
        <v>1292</v>
      </c>
      <c r="O46" s="55">
        <v>40</v>
      </c>
      <c r="P46" s="10">
        <f t="shared" si="3"/>
        <v>40</v>
      </c>
      <c r="Q46" s="10">
        <v>8</v>
      </c>
      <c r="R46" s="155">
        <f t="shared" si="4"/>
        <v>0.43792232715504664</v>
      </c>
      <c r="S46" s="171">
        <f t="shared" si="5"/>
        <v>0.57600000000000007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300</v>
      </c>
      <c r="N47" s="55" t="s">
        <v>1293</v>
      </c>
      <c r="O47" s="55">
        <v>25</v>
      </c>
      <c r="P47" s="10">
        <f t="shared" si="3"/>
        <v>25</v>
      </c>
      <c r="Q47" s="10">
        <v>5</v>
      </c>
      <c r="R47" s="155">
        <f t="shared" si="4"/>
        <v>0.30235507389056804</v>
      </c>
      <c r="S47" s="171">
        <f t="shared" si="5"/>
        <v>0.36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300</v>
      </c>
      <c r="N48" s="55" t="s">
        <v>1294</v>
      </c>
      <c r="O48" s="55">
        <v>50</v>
      </c>
      <c r="P48" s="10">
        <f t="shared" si="3"/>
        <v>50</v>
      </c>
      <c r="Q48" s="10">
        <v>10</v>
      </c>
      <c r="R48" s="155">
        <f t="shared" si="4"/>
        <v>0.51333538077197161</v>
      </c>
      <c r="S48" s="171">
        <f t="shared" si="5"/>
        <v>0.72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300</v>
      </c>
      <c r="N49" s="55" t="s">
        <v>1296</v>
      </c>
      <c r="O49" s="55">
        <v>40</v>
      </c>
      <c r="P49" s="10">
        <f t="shared" si="3"/>
        <v>40</v>
      </c>
      <c r="Q49" s="10">
        <v>8</v>
      </c>
      <c r="R49" s="155">
        <f t="shared" si="4"/>
        <v>0.43792232715504664</v>
      </c>
      <c r="S49" s="171">
        <f t="shared" si="5"/>
        <v>0.57600000000000007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300</v>
      </c>
      <c r="N50" s="55" t="s">
        <v>1295</v>
      </c>
      <c r="O50" s="55">
        <v>25</v>
      </c>
      <c r="P50" s="10">
        <f t="shared" si="3"/>
        <v>25</v>
      </c>
      <c r="Q50" s="10">
        <v>5</v>
      </c>
      <c r="R50" s="155">
        <f t="shared" si="4"/>
        <v>0.30235507389056804</v>
      </c>
      <c r="S50" s="171">
        <f t="shared" si="5"/>
        <v>0.36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300</v>
      </c>
      <c r="N51" s="55" t="s">
        <v>1297</v>
      </c>
      <c r="O51" s="55">
        <v>50</v>
      </c>
      <c r="P51" s="10">
        <f t="shared" si="3"/>
        <v>50</v>
      </c>
      <c r="Q51" s="10">
        <v>10</v>
      </c>
      <c r="R51" s="155">
        <f t="shared" si="4"/>
        <v>0.51333538077197161</v>
      </c>
      <c r="S51" s="171">
        <f t="shared" si="5"/>
        <v>0.72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300</v>
      </c>
      <c r="N52" s="55" t="s">
        <v>1299</v>
      </c>
      <c r="O52" s="55">
        <v>40</v>
      </c>
      <c r="P52" s="10">
        <f t="shared" si="3"/>
        <v>40</v>
      </c>
      <c r="Q52" s="10">
        <v>8</v>
      </c>
      <c r="R52" s="155">
        <f t="shared" si="4"/>
        <v>0.43792232715504664</v>
      </c>
      <c r="S52" s="171">
        <f t="shared" si="5"/>
        <v>0.57600000000000007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300</v>
      </c>
      <c r="N53" s="55" t="s">
        <v>1298</v>
      </c>
      <c r="O53" s="55">
        <v>25</v>
      </c>
      <c r="P53" s="10">
        <f t="shared" si="3"/>
        <v>25</v>
      </c>
      <c r="Q53" s="10">
        <v>5</v>
      </c>
      <c r="R53" s="155">
        <f t="shared" si="4"/>
        <v>0.30235507389056804</v>
      </c>
      <c r="S53" s="171">
        <f t="shared" si="5"/>
        <v>0.36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300</v>
      </c>
      <c r="N54" s="55" t="s">
        <v>1300</v>
      </c>
      <c r="O54" s="55">
        <v>50</v>
      </c>
      <c r="P54" s="10">
        <f t="shared" si="3"/>
        <v>50</v>
      </c>
      <c r="Q54" s="10">
        <v>10</v>
      </c>
      <c r="R54" s="155">
        <f t="shared" si="4"/>
        <v>0.51333538077197161</v>
      </c>
      <c r="S54" s="171">
        <f t="shared" si="5"/>
        <v>0.72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300</v>
      </c>
      <c r="M55" s="10"/>
      <c r="N55" s="55" t="s">
        <v>1302</v>
      </c>
      <c r="O55" s="55">
        <v>40</v>
      </c>
      <c r="P55" s="10">
        <f t="shared" si="3"/>
        <v>40</v>
      </c>
      <c r="Q55" s="10">
        <v>8</v>
      </c>
      <c r="R55" s="155">
        <f t="shared" si="4"/>
        <v>0.43792232715504664</v>
      </c>
      <c r="S55" s="171">
        <f t="shared" si="5"/>
        <v>0.57600000000000007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300</v>
      </c>
      <c r="M56" s="10"/>
      <c r="N56" s="55" t="s">
        <v>1301</v>
      </c>
      <c r="O56" s="55">
        <v>25</v>
      </c>
      <c r="P56" s="10">
        <f t="shared" si="3"/>
        <v>25</v>
      </c>
      <c r="Q56" s="10">
        <v>5</v>
      </c>
      <c r="R56" s="155">
        <f t="shared" si="4"/>
        <v>0.30235507389056804</v>
      </c>
      <c r="S56" s="171">
        <f t="shared" si="5"/>
        <v>0.36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300</v>
      </c>
      <c r="M57" s="10"/>
      <c r="N57" s="55" t="s">
        <v>1305</v>
      </c>
      <c r="O57" s="55">
        <v>50</v>
      </c>
      <c r="P57" s="10">
        <f t="shared" si="3"/>
        <v>50</v>
      </c>
      <c r="Q57" s="10">
        <v>10</v>
      </c>
      <c r="R57" s="155">
        <f t="shared" si="4"/>
        <v>0.51333538077197161</v>
      </c>
      <c r="S57" s="171">
        <f t="shared" si="5"/>
        <v>0.72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300</v>
      </c>
      <c r="M58" s="10"/>
      <c r="N58" s="55" t="s">
        <v>1307</v>
      </c>
      <c r="O58" s="55">
        <v>40</v>
      </c>
      <c r="P58" s="10">
        <f t="shared" si="3"/>
        <v>40</v>
      </c>
      <c r="Q58" s="10">
        <v>8</v>
      </c>
      <c r="R58" s="155">
        <f t="shared" si="4"/>
        <v>0.43792232715504664</v>
      </c>
      <c r="S58" s="171">
        <f t="shared" si="5"/>
        <v>0.57600000000000007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300</v>
      </c>
      <c r="M59" s="10"/>
      <c r="N59" s="55" t="s">
        <v>1306</v>
      </c>
      <c r="O59" s="55">
        <v>25</v>
      </c>
      <c r="P59" s="10">
        <f t="shared" si="3"/>
        <v>25</v>
      </c>
      <c r="Q59" s="10">
        <v>5</v>
      </c>
      <c r="R59" s="155">
        <f t="shared" si="4"/>
        <v>0.30235507389056804</v>
      </c>
      <c r="S59" s="171">
        <f t="shared" si="5"/>
        <v>0.36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300</v>
      </c>
      <c r="M60" s="10"/>
      <c r="N60" s="55" t="s">
        <v>1308</v>
      </c>
      <c r="O60" s="55">
        <v>50</v>
      </c>
      <c r="P60" s="10">
        <f t="shared" si="3"/>
        <v>50</v>
      </c>
      <c r="Q60" s="10">
        <v>10</v>
      </c>
      <c r="R60" s="155">
        <f t="shared" si="4"/>
        <v>0.51333538077197161</v>
      </c>
      <c r="S60" s="171">
        <f t="shared" si="5"/>
        <v>0.72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300</v>
      </c>
      <c r="M61" s="10"/>
      <c r="N61" s="55" t="s">
        <v>1310</v>
      </c>
      <c r="O61" s="55">
        <v>40</v>
      </c>
      <c r="P61" s="10">
        <f t="shared" si="3"/>
        <v>40</v>
      </c>
      <c r="Q61" s="10">
        <v>8</v>
      </c>
      <c r="R61" s="155">
        <f t="shared" si="4"/>
        <v>0.43792232715504664</v>
      </c>
      <c r="S61" s="171">
        <f t="shared" si="5"/>
        <v>0.57600000000000007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300</v>
      </c>
      <c r="M62" s="10"/>
      <c r="N62" s="55" t="s">
        <v>1309</v>
      </c>
      <c r="O62" s="55">
        <v>25</v>
      </c>
      <c r="P62" s="10">
        <f t="shared" si="3"/>
        <v>25</v>
      </c>
      <c r="Q62" s="10">
        <v>5</v>
      </c>
      <c r="R62" s="155">
        <f t="shared" si="4"/>
        <v>0.30235507389056804</v>
      </c>
      <c r="S62" s="171">
        <f t="shared" si="5"/>
        <v>0.36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300</v>
      </c>
      <c r="M63" s="10"/>
      <c r="N63" s="55" t="s">
        <v>1311</v>
      </c>
      <c r="O63" s="55">
        <v>50</v>
      </c>
      <c r="P63" s="10">
        <f t="shared" si="3"/>
        <v>50</v>
      </c>
      <c r="Q63" s="10">
        <v>10</v>
      </c>
      <c r="R63" s="155">
        <f t="shared" si="4"/>
        <v>0.51333538077197161</v>
      </c>
      <c r="S63" s="171">
        <f t="shared" si="5"/>
        <v>0.72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300</v>
      </c>
      <c r="M64" s="10"/>
      <c r="N64" s="55" t="s">
        <v>1313</v>
      </c>
      <c r="O64" s="55">
        <v>40</v>
      </c>
      <c r="P64" s="10">
        <f t="shared" si="3"/>
        <v>40</v>
      </c>
      <c r="Q64" s="10">
        <v>8</v>
      </c>
      <c r="R64" s="155">
        <f t="shared" si="4"/>
        <v>0.43792232715504664</v>
      </c>
      <c r="S64" s="171">
        <f t="shared" si="5"/>
        <v>0.57600000000000007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300</v>
      </c>
      <c r="M65" s="10"/>
      <c r="N65" s="55" t="s">
        <v>1312</v>
      </c>
      <c r="O65" s="55">
        <v>25</v>
      </c>
      <c r="P65" s="10">
        <f t="shared" si="3"/>
        <v>25</v>
      </c>
      <c r="Q65" s="10">
        <v>5</v>
      </c>
      <c r="R65" s="155">
        <f t="shared" si="4"/>
        <v>0.30235507389056804</v>
      </c>
      <c r="S65" s="171">
        <f t="shared" si="5"/>
        <v>0.36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300</v>
      </c>
      <c r="N66" s="55" t="s">
        <v>1314</v>
      </c>
      <c r="O66" s="55">
        <v>125</v>
      </c>
      <c r="P66" s="10">
        <f t="shared" si="3"/>
        <v>125</v>
      </c>
      <c r="Q66" s="10">
        <v>25</v>
      </c>
      <c r="R66" s="155">
        <f t="shared" si="4"/>
        <v>0.83488712340232096</v>
      </c>
      <c r="S66" s="171">
        <f t="shared" si="5"/>
        <v>1.8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300</v>
      </c>
      <c r="N67" s="55" t="s">
        <v>1315</v>
      </c>
      <c r="O67" s="55">
        <v>100</v>
      </c>
      <c r="P67" s="10">
        <f t="shared" si="3"/>
        <v>100</v>
      </c>
      <c r="Q67" s="10">
        <v>20</v>
      </c>
      <c r="R67" s="155">
        <f t="shared" si="4"/>
        <v>0.76324288163593268</v>
      </c>
      <c r="S67" s="171">
        <f t="shared" si="5"/>
        <v>1.44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300</v>
      </c>
      <c r="N68" s="55" t="s">
        <v>1316</v>
      </c>
      <c r="O68" s="55">
        <v>50</v>
      </c>
      <c r="P68" s="10">
        <f t="shared" si="3"/>
        <v>50</v>
      </c>
      <c r="Q68" s="10">
        <v>10</v>
      </c>
      <c r="R68" s="155">
        <f t="shared" si="4"/>
        <v>0.51333538077197161</v>
      </c>
      <c r="S68" s="171">
        <f t="shared" si="5"/>
        <v>0.72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8">Q70*5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8"/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8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8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8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8"/>
        <v>0</v>
      </c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8"/>
        <v>0</v>
      </c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8"/>
        <v>0</v>
      </c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8"/>
        <v>0</v>
      </c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8"/>
        <v>0</v>
      </c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8"/>
        <v>0</v>
      </c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8"/>
        <v>0</v>
      </c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8"/>
        <v>0</v>
      </c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8"/>
        <v>0</v>
      </c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8"/>
        <v>0</v>
      </c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8"/>
        <v>0</v>
      </c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8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8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8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8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8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8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8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8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8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8"/>
        <v>0</v>
      </c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8"/>
        <v>0</v>
      </c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8"/>
        <v>0</v>
      </c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8"/>
        <v>0</v>
      </c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8"/>
        <v>0</v>
      </c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8"/>
        <v>0</v>
      </c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8"/>
        <v>0</v>
      </c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8"/>
        <v>0</v>
      </c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8"/>
        <v>0</v>
      </c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8"/>
        <v>0</v>
      </c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8"/>
        <v>0</v>
      </c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8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8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8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8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8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8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8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8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5">Q134*5</f>
        <v>0</v>
      </c>
      <c r="R134" s="155" t="str">
        <f t="shared" ref="R134:R197" si="16">IF((1-(1-O134/100000)^1440)=0,"",1-(1-O134/100000)^1440)</f>
        <v/>
      </c>
      <c r="S134" s="171" t="str">
        <f t="shared" ref="S134:S197" si="17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5"/>
        <v>0</v>
      </c>
      <c r="Q135" s="10"/>
      <c r="R135" s="155" t="str">
        <f t="shared" si="16"/>
        <v/>
      </c>
      <c r="S135" s="171" t="str">
        <f t="shared" si="17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5"/>
        <v>0</v>
      </c>
      <c r="Q136" s="10"/>
      <c r="R136" s="155" t="str">
        <f t="shared" si="16"/>
        <v/>
      </c>
      <c r="S136" s="171" t="str">
        <f t="shared" si="17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5"/>
        <v>0</v>
      </c>
      <c r="Q137" s="10"/>
      <c r="R137" s="155" t="str">
        <f t="shared" si="16"/>
        <v/>
      </c>
      <c r="S137" s="171" t="str">
        <f t="shared" si="17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5"/>
        <v>0</v>
      </c>
      <c r="Q138" s="10"/>
      <c r="R138" s="155" t="str">
        <f t="shared" si="16"/>
        <v/>
      </c>
      <c r="S138" s="171" t="str">
        <f t="shared" si="17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5"/>
        <v>0</v>
      </c>
      <c r="Q139" s="10"/>
      <c r="R139" s="155" t="str">
        <f t="shared" si="16"/>
        <v/>
      </c>
      <c r="S139" s="171" t="str">
        <f t="shared" si="17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5"/>
        <v>0</v>
      </c>
      <c r="Q140" s="10"/>
      <c r="R140" s="155" t="str">
        <f t="shared" si="16"/>
        <v/>
      </c>
      <c r="S140" s="171" t="str">
        <f t="shared" si="17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5"/>
        <v>0</v>
      </c>
      <c r="Q141" s="10"/>
      <c r="R141" s="155" t="str">
        <f t="shared" si="16"/>
        <v/>
      </c>
      <c r="S141" s="171" t="str">
        <f t="shared" si="17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5"/>
        <v>0</v>
      </c>
      <c r="Q142" s="10"/>
      <c r="R142" s="155" t="str">
        <f t="shared" si="16"/>
        <v/>
      </c>
      <c r="S142" s="171" t="str">
        <f t="shared" si="17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5"/>
        <v>0</v>
      </c>
      <c r="Q143" s="10"/>
      <c r="R143" s="155" t="str">
        <f t="shared" si="16"/>
        <v/>
      </c>
      <c r="S143" s="171" t="str">
        <f t="shared" si="17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5"/>
        <v>0</v>
      </c>
      <c r="Q144" s="10"/>
      <c r="R144" s="155" t="str">
        <f t="shared" si="16"/>
        <v/>
      </c>
      <c r="S144" s="171" t="str">
        <f t="shared" si="17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5"/>
        <v>0</v>
      </c>
      <c r="Q145" s="17"/>
      <c r="R145" s="156" t="str">
        <f t="shared" si="16"/>
        <v/>
      </c>
      <c r="S145" s="172" t="str">
        <f t="shared" si="17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5"/>
        <v>0</v>
      </c>
      <c r="R146" s="155" t="str">
        <f t="shared" si="16"/>
        <v/>
      </c>
      <c r="S146" s="171" t="str">
        <f t="shared" si="17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5"/>
        <v>0</v>
      </c>
      <c r="R147" s="155" t="str">
        <f t="shared" si="16"/>
        <v/>
      </c>
      <c r="S147" s="171" t="str">
        <f t="shared" si="17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5"/>
        <v>0</v>
      </c>
      <c r="R148" s="155" t="str">
        <f t="shared" si="16"/>
        <v/>
      </c>
      <c r="S148" s="171" t="str">
        <f t="shared" si="17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5"/>
        <v>0</v>
      </c>
      <c r="R149" s="155" t="str">
        <f t="shared" si="16"/>
        <v/>
      </c>
      <c r="S149" s="171" t="str">
        <f t="shared" si="17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5"/>
        <v>0</v>
      </c>
      <c r="R150" s="155" t="str">
        <f t="shared" si="16"/>
        <v/>
      </c>
      <c r="S150" s="171" t="str">
        <f t="shared" si="17"/>
        <v/>
      </c>
      <c r="X150" s="155" t="str">
        <f t="shared" ref="X150:X213" si="18">IF((1-(1-U150/100000)^L150)=0,"",1-(1-U150/100000)^L150)</f>
        <v/>
      </c>
      <c r="Y150" s="171" t="str">
        <f t="shared" ref="Y150:Y213" si="19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5"/>
        <v>0</v>
      </c>
      <c r="R151" s="155" t="str">
        <f t="shared" si="16"/>
        <v/>
      </c>
      <c r="S151" s="171" t="str">
        <f t="shared" si="17"/>
        <v/>
      </c>
      <c r="X151" s="155" t="str">
        <f t="shared" si="18"/>
        <v/>
      </c>
      <c r="Y151" s="171" t="str">
        <f t="shared" si="19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5"/>
        <v>0</v>
      </c>
      <c r="R152" s="155" t="str">
        <f t="shared" si="16"/>
        <v/>
      </c>
      <c r="S152" s="171" t="str">
        <f t="shared" si="17"/>
        <v/>
      </c>
      <c r="X152" s="155" t="str">
        <f t="shared" si="18"/>
        <v/>
      </c>
      <c r="Y152" s="171" t="str">
        <f t="shared" si="19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5"/>
        <v>0</v>
      </c>
      <c r="R153" s="155" t="str">
        <f t="shared" si="16"/>
        <v/>
      </c>
      <c r="S153" s="171" t="str">
        <f t="shared" si="17"/>
        <v/>
      </c>
      <c r="X153" s="155" t="str">
        <f t="shared" si="18"/>
        <v/>
      </c>
      <c r="Y153" s="171" t="str">
        <f t="shared" si="19"/>
        <v/>
      </c>
    </row>
    <row r="154" spans="1:111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5"/>
        <v>0</v>
      </c>
      <c r="R154" s="155" t="str">
        <f t="shared" si="16"/>
        <v/>
      </c>
      <c r="S154" s="171" t="str">
        <f t="shared" si="17"/>
        <v/>
      </c>
      <c r="X154" s="155" t="str">
        <f t="shared" si="18"/>
        <v/>
      </c>
      <c r="Y154" s="171" t="str">
        <f t="shared" si="19"/>
        <v/>
      </c>
    </row>
    <row r="155" spans="1:111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5"/>
        <v>0</v>
      </c>
      <c r="Q155" s="10"/>
      <c r="R155" s="155" t="str">
        <f t="shared" si="16"/>
        <v/>
      </c>
      <c r="S155" s="171" t="str">
        <f t="shared" si="17"/>
        <v/>
      </c>
      <c r="T155" s="161"/>
      <c r="U155" s="55"/>
      <c r="V155" s="55"/>
      <c r="W155" s="55"/>
      <c r="X155" s="155" t="str">
        <f t="shared" si="18"/>
        <v/>
      </c>
      <c r="Y155" s="171" t="str">
        <f t="shared" si="19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5"/>
        <v>0</v>
      </c>
      <c r="Q156" s="10"/>
      <c r="R156" s="155" t="str">
        <f t="shared" si="16"/>
        <v/>
      </c>
      <c r="S156" s="171" t="str">
        <f t="shared" si="17"/>
        <v/>
      </c>
      <c r="T156" s="161"/>
      <c r="U156" s="55"/>
      <c r="V156" s="55"/>
      <c r="W156" s="55"/>
      <c r="X156" s="155" t="str">
        <f t="shared" si="18"/>
        <v/>
      </c>
      <c r="Y156" s="171" t="str">
        <f t="shared" si="19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5"/>
        <v>0</v>
      </c>
      <c r="Q157" s="10"/>
      <c r="R157" s="155" t="str">
        <f t="shared" si="16"/>
        <v/>
      </c>
      <c r="S157" s="171" t="str">
        <f t="shared" si="17"/>
        <v/>
      </c>
      <c r="T157" s="161"/>
      <c r="U157" s="55"/>
      <c r="V157" s="55"/>
      <c r="W157" s="55"/>
      <c r="X157" s="155" t="str">
        <f t="shared" si="18"/>
        <v/>
      </c>
      <c r="Y157" s="171" t="str">
        <f t="shared" si="19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5"/>
        <v>0</v>
      </c>
      <c r="Q158" s="10"/>
      <c r="R158" s="155" t="str">
        <f t="shared" si="16"/>
        <v/>
      </c>
      <c r="S158" s="171" t="str">
        <f t="shared" si="17"/>
        <v/>
      </c>
      <c r="T158" s="161"/>
      <c r="U158" s="55"/>
      <c r="V158" s="55"/>
      <c r="W158" s="55"/>
      <c r="X158" s="155" t="str">
        <f t="shared" si="18"/>
        <v/>
      </c>
      <c r="Y158" s="171" t="str">
        <f t="shared" si="19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5"/>
        <v>0</v>
      </c>
      <c r="Q159" s="10"/>
      <c r="R159" s="155" t="str">
        <f t="shared" si="16"/>
        <v/>
      </c>
      <c r="S159" s="171" t="str">
        <f t="shared" si="17"/>
        <v/>
      </c>
      <c r="T159" s="161"/>
      <c r="U159" s="55"/>
      <c r="V159" s="55"/>
      <c r="W159" s="55"/>
      <c r="X159" s="155" t="str">
        <f t="shared" si="18"/>
        <v/>
      </c>
      <c r="Y159" s="171" t="str">
        <f t="shared" si="19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5"/>
        <v>0</v>
      </c>
      <c r="Q160" s="10"/>
      <c r="R160" s="155" t="str">
        <f t="shared" si="16"/>
        <v/>
      </c>
      <c r="S160" s="171" t="str">
        <f t="shared" si="17"/>
        <v/>
      </c>
      <c r="T160" s="161"/>
      <c r="U160" s="55"/>
      <c r="V160" s="55"/>
      <c r="W160" s="55"/>
      <c r="X160" s="155" t="str">
        <f t="shared" si="18"/>
        <v/>
      </c>
      <c r="Y160" s="171" t="str">
        <f t="shared" si="19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5"/>
        <v>0</v>
      </c>
      <c r="Q161" s="10"/>
      <c r="R161" s="155" t="str">
        <f t="shared" si="16"/>
        <v/>
      </c>
      <c r="S161" s="171" t="str">
        <f t="shared" si="17"/>
        <v/>
      </c>
      <c r="T161" s="161"/>
      <c r="U161" s="55"/>
      <c r="V161" s="55"/>
      <c r="W161" s="55"/>
      <c r="X161" s="155" t="str">
        <f t="shared" si="18"/>
        <v/>
      </c>
      <c r="Y161" s="171" t="str">
        <f t="shared" si="19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5"/>
        <v>0</v>
      </c>
      <c r="Q162" s="10"/>
      <c r="R162" s="155" t="str">
        <f t="shared" si="16"/>
        <v/>
      </c>
      <c r="S162" s="171" t="str">
        <f t="shared" si="17"/>
        <v/>
      </c>
      <c r="T162" s="161"/>
      <c r="U162" s="55"/>
      <c r="V162" s="55"/>
      <c r="W162" s="55"/>
      <c r="X162" s="155" t="str">
        <f t="shared" si="18"/>
        <v/>
      </c>
      <c r="Y162" s="171" t="str">
        <f t="shared" si="19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5"/>
        <v>0</v>
      </c>
      <c r="Q163" s="10"/>
      <c r="R163" s="155" t="str">
        <f t="shared" si="16"/>
        <v/>
      </c>
      <c r="S163" s="171" t="str">
        <f t="shared" si="17"/>
        <v/>
      </c>
      <c r="T163" s="161"/>
      <c r="U163" s="55"/>
      <c r="V163" s="55"/>
      <c r="W163" s="55"/>
      <c r="X163" s="155" t="str">
        <f t="shared" si="18"/>
        <v/>
      </c>
      <c r="Y163" s="171" t="str">
        <f t="shared" si="19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5"/>
        <v>0</v>
      </c>
      <c r="Q164" s="10"/>
      <c r="R164" s="155" t="str">
        <f t="shared" si="16"/>
        <v/>
      </c>
      <c r="S164" s="171" t="str">
        <f t="shared" si="17"/>
        <v/>
      </c>
      <c r="T164" s="161"/>
      <c r="U164" s="55"/>
      <c r="V164" s="55"/>
      <c r="W164" s="55"/>
      <c r="X164" s="155" t="str">
        <f t="shared" si="18"/>
        <v/>
      </c>
      <c r="Y164" s="171" t="str">
        <f t="shared" si="19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5"/>
        <v>0</v>
      </c>
      <c r="Q165" s="17"/>
      <c r="R165" s="156" t="str">
        <f t="shared" si="16"/>
        <v/>
      </c>
      <c r="S165" s="172" t="str">
        <f t="shared" si="17"/>
        <v/>
      </c>
      <c r="T165" s="162"/>
      <c r="U165" s="56"/>
      <c r="V165" s="56"/>
      <c r="W165" s="56"/>
      <c r="X165" s="156" t="str">
        <f t="shared" si="18"/>
        <v/>
      </c>
      <c r="Y165" s="172" t="str">
        <f t="shared" si="19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5"/>
        <v>0</v>
      </c>
      <c r="R166" s="155" t="str">
        <f t="shared" si="16"/>
        <v/>
      </c>
      <c r="S166" s="171" t="str">
        <f t="shared" si="17"/>
        <v/>
      </c>
      <c r="X166" s="155" t="str">
        <f t="shared" si="18"/>
        <v/>
      </c>
      <c r="Y166" s="171" t="str">
        <f t="shared" si="19"/>
        <v/>
      </c>
      <c r="BM166" s="105"/>
    </row>
    <row r="167" spans="1:111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5"/>
        <v>0</v>
      </c>
      <c r="R167" s="155" t="str">
        <f t="shared" si="16"/>
        <v/>
      </c>
      <c r="S167" s="171" t="str">
        <f t="shared" si="17"/>
        <v/>
      </c>
      <c r="X167" s="155" t="str">
        <f t="shared" si="18"/>
        <v/>
      </c>
      <c r="Y167" s="171" t="str">
        <f t="shared" si="19"/>
        <v/>
      </c>
      <c r="BM167" s="105"/>
    </row>
    <row r="168" spans="1:111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5"/>
        <v>0</v>
      </c>
      <c r="R168" s="155" t="str">
        <f t="shared" si="16"/>
        <v/>
      </c>
      <c r="S168" s="171" t="str">
        <f t="shared" si="17"/>
        <v/>
      </c>
      <c r="X168" s="155" t="str">
        <f t="shared" si="18"/>
        <v/>
      </c>
      <c r="Y168" s="171" t="str">
        <f t="shared" si="19"/>
        <v/>
      </c>
    </row>
    <row r="169" spans="1:111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5"/>
        <v>0</v>
      </c>
      <c r="R169" s="155" t="str">
        <f t="shared" si="16"/>
        <v/>
      </c>
      <c r="S169" s="171" t="str">
        <f t="shared" si="17"/>
        <v/>
      </c>
      <c r="X169" s="155" t="str">
        <f t="shared" si="18"/>
        <v/>
      </c>
      <c r="Y169" s="171" t="str">
        <f t="shared" si="19"/>
        <v/>
      </c>
    </row>
    <row r="170" spans="1:111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5"/>
        <v>0</v>
      </c>
      <c r="R170" s="155" t="str">
        <f t="shared" si="16"/>
        <v/>
      </c>
      <c r="S170" s="171" t="str">
        <f t="shared" si="17"/>
        <v/>
      </c>
      <c r="X170" s="155" t="str">
        <f t="shared" si="18"/>
        <v/>
      </c>
      <c r="Y170" s="171" t="str">
        <f t="shared" si="19"/>
        <v/>
      </c>
    </row>
    <row r="171" spans="1:111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5"/>
        <v>0</v>
      </c>
      <c r="R171" s="155" t="str">
        <f t="shared" si="16"/>
        <v/>
      </c>
      <c r="S171" s="171" t="str">
        <f t="shared" si="17"/>
        <v/>
      </c>
      <c r="X171" s="155" t="str">
        <f t="shared" si="18"/>
        <v/>
      </c>
      <c r="Y171" s="171" t="str">
        <f t="shared" si="19"/>
        <v/>
      </c>
    </row>
    <row r="172" spans="1:111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5"/>
        <v>0</v>
      </c>
      <c r="R172" s="155" t="str">
        <f t="shared" si="16"/>
        <v/>
      </c>
      <c r="S172" s="171" t="str">
        <f t="shared" si="17"/>
        <v/>
      </c>
      <c r="X172" s="155" t="str">
        <f t="shared" si="18"/>
        <v/>
      </c>
      <c r="Y172" s="171" t="str">
        <f t="shared" si="19"/>
        <v/>
      </c>
    </row>
    <row r="173" spans="1:111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5"/>
        <v>0</v>
      </c>
      <c r="R173" s="155" t="str">
        <f t="shared" si="16"/>
        <v/>
      </c>
      <c r="S173" s="171" t="str">
        <f t="shared" si="17"/>
        <v/>
      </c>
      <c r="X173" s="155" t="str">
        <f t="shared" si="18"/>
        <v/>
      </c>
      <c r="Y173" s="171" t="str">
        <f t="shared" si="19"/>
        <v/>
      </c>
    </row>
    <row r="174" spans="1:111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5"/>
        <v>0</v>
      </c>
      <c r="R174" s="155" t="str">
        <f t="shared" si="16"/>
        <v/>
      </c>
      <c r="S174" s="171" t="str">
        <f t="shared" si="17"/>
        <v/>
      </c>
      <c r="X174" s="155" t="str">
        <f t="shared" si="18"/>
        <v/>
      </c>
      <c r="Y174" s="171" t="str">
        <f t="shared" si="19"/>
        <v/>
      </c>
    </row>
    <row r="175" spans="1:111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5"/>
        <v>0</v>
      </c>
      <c r="Q175" s="10"/>
      <c r="R175" s="155" t="str">
        <f t="shared" si="16"/>
        <v/>
      </c>
      <c r="S175" s="171" t="str">
        <f t="shared" si="17"/>
        <v/>
      </c>
      <c r="T175" s="161"/>
      <c r="U175" s="55"/>
      <c r="V175" s="55"/>
      <c r="W175" s="55"/>
      <c r="X175" s="155" t="str">
        <f t="shared" si="18"/>
        <v/>
      </c>
      <c r="Y175" s="171" t="str">
        <f t="shared" si="19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5"/>
        <v>0</v>
      </c>
      <c r="Q176" s="10"/>
      <c r="R176" s="155" t="str">
        <f t="shared" si="16"/>
        <v/>
      </c>
      <c r="S176" s="171" t="str">
        <f t="shared" si="17"/>
        <v/>
      </c>
      <c r="T176" s="161"/>
      <c r="U176" s="55"/>
      <c r="V176" s="55"/>
      <c r="W176" s="55"/>
      <c r="X176" s="155" t="str">
        <f t="shared" si="18"/>
        <v/>
      </c>
      <c r="Y176" s="171" t="str">
        <f t="shared" si="19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5"/>
        <v>0</v>
      </c>
      <c r="Q177" s="10"/>
      <c r="R177" s="155" t="str">
        <f t="shared" si="16"/>
        <v/>
      </c>
      <c r="S177" s="171" t="str">
        <f t="shared" si="17"/>
        <v/>
      </c>
      <c r="T177" s="161"/>
      <c r="U177" s="55"/>
      <c r="V177" s="55"/>
      <c r="W177" s="55"/>
      <c r="X177" s="155" t="str">
        <f t="shared" si="18"/>
        <v/>
      </c>
      <c r="Y177" s="171" t="str">
        <f t="shared" si="19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5"/>
        <v>0</v>
      </c>
      <c r="Q178" s="10"/>
      <c r="R178" s="155" t="str">
        <f t="shared" si="16"/>
        <v/>
      </c>
      <c r="S178" s="171" t="str">
        <f t="shared" si="17"/>
        <v/>
      </c>
      <c r="T178" s="161"/>
      <c r="U178" s="55"/>
      <c r="V178" s="55"/>
      <c r="W178" s="55"/>
      <c r="X178" s="155" t="str">
        <f t="shared" si="18"/>
        <v/>
      </c>
      <c r="Y178" s="171" t="str">
        <f t="shared" si="19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5"/>
        <v>0</v>
      </c>
      <c r="Q179" s="10"/>
      <c r="R179" s="155" t="str">
        <f t="shared" si="16"/>
        <v/>
      </c>
      <c r="S179" s="171" t="str">
        <f t="shared" si="17"/>
        <v/>
      </c>
      <c r="T179" s="161"/>
      <c r="U179" s="55"/>
      <c r="V179" s="55"/>
      <c r="W179" s="55"/>
      <c r="X179" s="155" t="str">
        <f t="shared" si="18"/>
        <v/>
      </c>
      <c r="Y179" s="171" t="str">
        <f t="shared" si="19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5"/>
        <v>0</v>
      </c>
      <c r="Q180" s="10"/>
      <c r="R180" s="155" t="str">
        <f t="shared" si="16"/>
        <v/>
      </c>
      <c r="S180" s="171" t="str">
        <f t="shared" si="17"/>
        <v/>
      </c>
      <c r="T180" s="161"/>
      <c r="U180" s="55"/>
      <c r="V180" s="55"/>
      <c r="W180" s="55"/>
      <c r="X180" s="155" t="str">
        <f t="shared" si="18"/>
        <v/>
      </c>
      <c r="Y180" s="171" t="str">
        <f t="shared" si="19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5"/>
        <v>0</v>
      </c>
      <c r="Q181" s="10"/>
      <c r="R181" s="155" t="str">
        <f t="shared" si="16"/>
        <v/>
      </c>
      <c r="S181" s="171" t="str">
        <f t="shared" si="17"/>
        <v/>
      </c>
      <c r="T181" s="161"/>
      <c r="U181" s="55"/>
      <c r="V181" s="55"/>
      <c r="W181" s="55"/>
      <c r="X181" s="155" t="str">
        <f t="shared" si="18"/>
        <v/>
      </c>
      <c r="Y181" s="171" t="str">
        <f t="shared" si="19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5"/>
        <v>0</v>
      </c>
      <c r="Q182" s="10"/>
      <c r="R182" s="155" t="str">
        <f t="shared" si="16"/>
        <v/>
      </c>
      <c r="S182" s="171" t="str">
        <f t="shared" si="17"/>
        <v/>
      </c>
      <c r="T182" s="161"/>
      <c r="U182" s="55"/>
      <c r="V182" s="55"/>
      <c r="W182" s="55"/>
      <c r="X182" s="155" t="str">
        <f t="shared" si="18"/>
        <v/>
      </c>
      <c r="Y182" s="171" t="str">
        <f t="shared" si="19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5"/>
        <v>0</v>
      </c>
      <c r="Q183" s="10"/>
      <c r="R183" s="155" t="str">
        <f t="shared" si="16"/>
        <v/>
      </c>
      <c r="S183" s="171" t="str">
        <f t="shared" si="17"/>
        <v/>
      </c>
      <c r="T183" s="161"/>
      <c r="U183" s="55"/>
      <c r="V183" s="55"/>
      <c r="W183" s="55"/>
      <c r="X183" s="155" t="str">
        <f t="shared" si="18"/>
        <v/>
      </c>
      <c r="Y183" s="171" t="str">
        <f t="shared" si="19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5"/>
        <v>0</v>
      </c>
      <c r="Q184" s="10"/>
      <c r="R184" s="155" t="str">
        <f t="shared" si="16"/>
        <v/>
      </c>
      <c r="S184" s="171" t="str">
        <f t="shared" si="17"/>
        <v/>
      </c>
      <c r="T184" s="161"/>
      <c r="U184" s="55"/>
      <c r="V184" s="55"/>
      <c r="W184" s="55"/>
      <c r="X184" s="155" t="str">
        <f t="shared" si="18"/>
        <v/>
      </c>
      <c r="Y184" s="171" t="str">
        <f t="shared" si="19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5"/>
        <v>0</v>
      </c>
      <c r="Q185" s="17"/>
      <c r="R185" s="156" t="str">
        <f t="shared" si="16"/>
        <v/>
      </c>
      <c r="S185" s="172" t="str">
        <f t="shared" si="17"/>
        <v/>
      </c>
      <c r="T185" s="162"/>
      <c r="U185" s="56"/>
      <c r="V185" s="56"/>
      <c r="W185" s="56"/>
      <c r="X185" s="156" t="str">
        <f t="shared" si="18"/>
        <v/>
      </c>
      <c r="Y185" s="172" t="str">
        <f t="shared" si="19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5"/>
        <v>0</v>
      </c>
      <c r="R186" s="155" t="str">
        <f t="shared" si="16"/>
        <v/>
      </c>
      <c r="S186" s="171" t="str">
        <f t="shared" si="17"/>
        <v/>
      </c>
      <c r="X186" s="155" t="str">
        <f t="shared" si="18"/>
        <v/>
      </c>
      <c r="Y186" s="171" t="str">
        <f t="shared" si="19"/>
        <v/>
      </c>
      <c r="BM186" s="105"/>
    </row>
    <row r="187" spans="1:111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5"/>
        <v>0</v>
      </c>
      <c r="R187" s="155" t="str">
        <f t="shared" si="16"/>
        <v/>
      </c>
      <c r="S187" s="171" t="str">
        <f t="shared" si="17"/>
        <v/>
      </c>
      <c r="X187" s="155" t="str">
        <f t="shared" si="18"/>
        <v/>
      </c>
      <c r="Y187" s="171" t="str">
        <f t="shared" si="19"/>
        <v/>
      </c>
      <c r="BM187" s="105"/>
    </row>
    <row r="188" spans="1:111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5"/>
        <v>0</v>
      </c>
      <c r="R188" s="155" t="str">
        <f t="shared" si="16"/>
        <v/>
      </c>
      <c r="S188" s="171" t="str">
        <f t="shared" si="17"/>
        <v/>
      </c>
      <c r="X188" s="155" t="str">
        <f t="shared" si="18"/>
        <v/>
      </c>
      <c r="Y188" s="171" t="str">
        <f t="shared" si="19"/>
        <v/>
      </c>
    </row>
    <row r="189" spans="1:111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5"/>
        <v>0</v>
      </c>
      <c r="R189" s="155" t="str">
        <f t="shared" si="16"/>
        <v/>
      </c>
      <c r="S189" s="171" t="str">
        <f t="shared" si="17"/>
        <v/>
      </c>
      <c r="X189" s="155" t="str">
        <f t="shared" si="18"/>
        <v/>
      </c>
      <c r="Y189" s="171" t="str">
        <f t="shared" si="19"/>
        <v/>
      </c>
    </row>
    <row r="190" spans="1:111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5"/>
        <v>0</v>
      </c>
      <c r="R190" s="155" t="str">
        <f t="shared" si="16"/>
        <v/>
      </c>
      <c r="S190" s="171" t="str">
        <f t="shared" si="17"/>
        <v/>
      </c>
      <c r="X190" s="155" t="str">
        <f t="shared" si="18"/>
        <v/>
      </c>
      <c r="Y190" s="171" t="str">
        <f t="shared" si="19"/>
        <v/>
      </c>
    </row>
    <row r="191" spans="1:111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5"/>
        <v>0</v>
      </c>
      <c r="R191" s="155" t="str">
        <f t="shared" si="16"/>
        <v/>
      </c>
      <c r="S191" s="171" t="str">
        <f t="shared" si="17"/>
        <v/>
      </c>
      <c r="X191" s="155" t="str">
        <f t="shared" si="18"/>
        <v/>
      </c>
      <c r="Y191" s="171" t="str">
        <f t="shared" si="19"/>
        <v/>
      </c>
    </row>
    <row r="192" spans="1:111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5"/>
        <v>0</v>
      </c>
      <c r="R192" s="155" t="str">
        <f t="shared" si="16"/>
        <v/>
      </c>
      <c r="S192" s="171" t="str">
        <f t="shared" si="17"/>
        <v/>
      </c>
      <c r="X192" s="155" t="str">
        <f t="shared" si="18"/>
        <v/>
      </c>
      <c r="Y192" s="171" t="str">
        <f t="shared" si="19"/>
        <v/>
      </c>
    </row>
    <row r="193" spans="1:111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5"/>
        <v>0</v>
      </c>
      <c r="R193" s="155" t="str">
        <f t="shared" si="16"/>
        <v/>
      </c>
      <c r="S193" s="171" t="str">
        <f t="shared" si="17"/>
        <v/>
      </c>
      <c r="X193" s="155" t="str">
        <f t="shared" si="18"/>
        <v/>
      </c>
      <c r="Y193" s="171" t="str">
        <f t="shared" si="19"/>
        <v/>
      </c>
    </row>
    <row r="194" spans="1:111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5"/>
        <v>0</v>
      </c>
      <c r="R194" s="155" t="str">
        <f t="shared" si="16"/>
        <v/>
      </c>
      <c r="S194" s="171" t="str">
        <f t="shared" si="17"/>
        <v/>
      </c>
      <c r="X194" s="155" t="str">
        <f t="shared" si="18"/>
        <v/>
      </c>
      <c r="Y194" s="171" t="str">
        <f t="shared" si="19"/>
        <v/>
      </c>
    </row>
    <row r="195" spans="1:111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5"/>
        <v>0</v>
      </c>
      <c r="Q195" s="10"/>
      <c r="R195" s="155" t="str">
        <f t="shared" si="16"/>
        <v/>
      </c>
      <c r="S195" s="171" t="str">
        <f t="shared" si="17"/>
        <v/>
      </c>
      <c r="T195" s="161"/>
      <c r="U195" s="55"/>
      <c r="V195" s="55"/>
      <c r="W195" s="55"/>
      <c r="X195" s="155" t="str">
        <f t="shared" si="18"/>
        <v/>
      </c>
      <c r="Y195" s="171" t="str">
        <f t="shared" si="19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5"/>
        <v>0</v>
      </c>
      <c r="Q196" s="10"/>
      <c r="R196" s="155" t="str">
        <f t="shared" si="16"/>
        <v/>
      </c>
      <c r="S196" s="171" t="str">
        <f t="shared" si="17"/>
        <v/>
      </c>
      <c r="T196" s="161"/>
      <c r="U196" s="55"/>
      <c r="V196" s="55"/>
      <c r="W196" s="55"/>
      <c r="X196" s="155" t="str">
        <f t="shared" si="18"/>
        <v/>
      </c>
      <c r="Y196" s="171" t="str">
        <f t="shared" si="19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5"/>
        <v>0</v>
      </c>
      <c r="Q197" s="10"/>
      <c r="R197" s="155" t="str">
        <f t="shared" si="16"/>
        <v/>
      </c>
      <c r="S197" s="171" t="str">
        <f t="shared" si="17"/>
        <v/>
      </c>
      <c r="T197" s="161"/>
      <c r="U197" s="55"/>
      <c r="V197" s="55"/>
      <c r="W197" s="55"/>
      <c r="X197" s="155" t="str">
        <f t="shared" si="18"/>
        <v/>
      </c>
      <c r="Y197" s="171" t="str">
        <f t="shared" si="19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1">Q198*5</f>
        <v>0</v>
      </c>
      <c r="Q198" s="10"/>
      <c r="R198" s="155" t="str">
        <f t="shared" ref="R198:R224" si="22">IF((1-(1-O198/100000)^1440)=0,"",1-(1-O198/100000)^1440)</f>
        <v/>
      </c>
      <c r="S198" s="171" t="str">
        <f t="shared" ref="S198:S224" si="23">IF((O198/100000)*1440=0,"",(O198/100000)*1440)</f>
        <v/>
      </c>
      <c r="T198" s="161"/>
      <c r="U198" s="55"/>
      <c r="V198" s="55"/>
      <c r="W198" s="55"/>
      <c r="X198" s="155" t="str">
        <f t="shared" si="18"/>
        <v/>
      </c>
      <c r="Y198" s="171" t="str">
        <f t="shared" si="19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1"/>
        <v>0</v>
      </c>
      <c r="Q199" s="10"/>
      <c r="R199" s="155" t="str">
        <f t="shared" si="22"/>
        <v/>
      </c>
      <c r="S199" s="171" t="str">
        <f t="shared" si="23"/>
        <v/>
      </c>
      <c r="T199" s="161"/>
      <c r="U199" s="55"/>
      <c r="V199" s="55"/>
      <c r="W199" s="55"/>
      <c r="X199" s="155" t="str">
        <f t="shared" si="18"/>
        <v/>
      </c>
      <c r="Y199" s="171" t="str">
        <f t="shared" si="19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1"/>
        <v>0</v>
      </c>
      <c r="Q200" s="10"/>
      <c r="R200" s="155" t="str">
        <f t="shared" si="22"/>
        <v/>
      </c>
      <c r="S200" s="171" t="str">
        <f t="shared" si="23"/>
        <v/>
      </c>
      <c r="T200" s="161"/>
      <c r="U200" s="55"/>
      <c r="V200" s="55"/>
      <c r="W200" s="55"/>
      <c r="X200" s="155" t="str">
        <f t="shared" si="18"/>
        <v/>
      </c>
      <c r="Y200" s="171" t="str">
        <f t="shared" si="19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1"/>
        <v>0</v>
      </c>
      <c r="Q201" s="10"/>
      <c r="R201" s="155" t="str">
        <f t="shared" si="22"/>
        <v/>
      </c>
      <c r="S201" s="171" t="str">
        <f t="shared" si="23"/>
        <v/>
      </c>
      <c r="T201" s="161"/>
      <c r="U201" s="55"/>
      <c r="V201" s="55"/>
      <c r="W201" s="55"/>
      <c r="X201" s="155" t="str">
        <f t="shared" si="18"/>
        <v/>
      </c>
      <c r="Y201" s="171" t="str">
        <f t="shared" si="19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1"/>
        <v>0</v>
      </c>
      <c r="Q202" s="10"/>
      <c r="R202" s="155" t="str">
        <f t="shared" si="22"/>
        <v/>
      </c>
      <c r="S202" s="171" t="str">
        <f t="shared" si="23"/>
        <v/>
      </c>
      <c r="T202" s="161"/>
      <c r="U202" s="55"/>
      <c r="V202" s="55"/>
      <c r="W202" s="55"/>
      <c r="X202" s="155" t="str">
        <f t="shared" si="18"/>
        <v/>
      </c>
      <c r="Y202" s="171" t="str">
        <f t="shared" si="19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1"/>
        <v>0</v>
      </c>
      <c r="Q203" s="10"/>
      <c r="R203" s="155" t="str">
        <f t="shared" si="22"/>
        <v/>
      </c>
      <c r="S203" s="171" t="str">
        <f t="shared" si="23"/>
        <v/>
      </c>
      <c r="T203" s="161"/>
      <c r="U203" s="55"/>
      <c r="V203" s="55"/>
      <c r="W203" s="55"/>
      <c r="X203" s="155" t="str">
        <f t="shared" si="18"/>
        <v/>
      </c>
      <c r="Y203" s="171" t="str">
        <f t="shared" si="19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1"/>
        <v>0</v>
      </c>
      <c r="Q204" s="10"/>
      <c r="R204" s="155" t="str">
        <f t="shared" si="22"/>
        <v/>
      </c>
      <c r="S204" s="171" t="str">
        <f t="shared" si="23"/>
        <v/>
      </c>
      <c r="T204" s="161"/>
      <c r="U204" s="55"/>
      <c r="V204" s="55"/>
      <c r="W204" s="55"/>
      <c r="X204" s="155" t="str">
        <f t="shared" si="18"/>
        <v/>
      </c>
      <c r="Y204" s="171" t="str">
        <f t="shared" si="19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1"/>
        <v>0</v>
      </c>
      <c r="Q205" s="17"/>
      <c r="R205" s="156" t="str">
        <f t="shared" si="22"/>
        <v/>
      </c>
      <c r="S205" s="172" t="str">
        <f t="shared" si="23"/>
        <v/>
      </c>
      <c r="T205" s="162"/>
      <c r="U205" s="56"/>
      <c r="V205" s="56"/>
      <c r="W205" s="56"/>
      <c r="X205" s="156" t="str">
        <f t="shared" si="18"/>
        <v/>
      </c>
      <c r="Y205" s="172" t="str">
        <f t="shared" si="19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1"/>
        <v>0</v>
      </c>
      <c r="R206" s="155" t="str">
        <f t="shared" si="22"/>
        <v/>
      </c>
      <c r="S206" s="171" t="str">
        <f t="shared" si="23"/>
        <v/>
      </c>
      <c r="X206" s="155" t="str">
        <f t="shared" si="18"/>
        <v/>
      </c>
      <c r="Y206" s="171" t="str">
        <f t="shared" si="19"/>
        <v/>
      </c>
      <c r="BM206" s="105"/>
    </row>
    <row r="207" spans="1:111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1"/>
        <v>0</v>
      </c>
      <c r="R207" s="155" t="str">
        <f t="shared" si="22"/>
        <v/>
      </c>
      <c r="S207" s="171" t="str">
        <f t="shared" si="23"/>
        <v/>
      </c>
      <c r="X207" s="155" t="str">
        <f t="shared" si="18"/>
        <v/>
      </c>
      <c r="Y207" s="171" t="str">
        <f t="shared" si="19"/>
        <v/>
      </c>
      <c r="BM207" s="105"/>
    </row>
    <row r="208" spans="1:111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1"/>
        <v>0</v>
      </c>
      <c r="R208" s="155" t="str">
        <f t="shared" si="22"/>
        <v/>
      </c>
      <c r="S208" s="171" t="str">
        <f t="shared" si="23"/>
        <v/>
      </c>
      <c r="X208" s="155" t="str">
        <f t="shared" si="18"/>
        <v/>
      </c>
      <c r="Y208" s="171" t="str">
        <f t="shared" si="19"/>
        <v/>
      </c>
    </row>
    <row r="209" spans="1:111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1"/>
        <v>0</v>
      </c>
      <c r="R209" s="155" t="str">
        <f t="shared" si="22"/>
        <v/>
      </c>
      <c r="S209" s="171" t="str">
        <f t="shared" si="23"/>
        <v/>
      </c>
      <c r="X209" s="155" t="str">
        <f t="shared" si="18"/>
        <v/>
      </c>
      <c r="Y209" s="171" t="str">
        <f t="shared" si="19"/>
        <v/>
      </c>
    </row>
    <row r="210" spans="1:111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1"/>
        <v>0</v>
      </c>
      <c r="R210" s="155" t="str">
        <f t="shared" si="22"/>
        <v/>
      </c>
      <c r="S210" s="171" t="str">
        <f t="shared" si="23"/>
        <v/>
      </c>
      <c r="X210" s="155" t="str">
        <f t="shared" si="18"/>
        <v/>
      </c>
      <c r="Y210" s="171" t="str">
        <f t="shared" si="19"/>
        <v/>
      </c>
    </row>
    <row r="211" spans="1:111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1"/>
        <v>0</v>
      </c>
      <c r="R211" s="155" t="str">
        <f t="shared" si="22"/>
        <v/>
      </c>
      <c r="S211" s="171" t="str">
        <f t="shared" si="23"/>
        <v/>
      </c>
      <c r="X211" s="155" t="str">
        <f t="shared" si="18"/>
        <v/>
      </c>
      <c r="Y211" s="171" t="str">
        <f t="shared" si="19"/>
        <v/>
      </c>
    </row>
    <row r="212" spans="1:111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1"/>
        <v>0</v>
      </c>
      <c r="R212" s="155" t="str">
        <f t="shared" si="22"/>
        <v/>
      </c>
      <c r="S212" s="171" t="str">
        <f t="shared" si="23"/>
        <v/>
      </c>
      <c r="X212" s="155" t="str">
        <f t="shared" si="18"/>
        <v/>
      </c>
      <c r="Y212" s="171" t="str">
        <f t="shared" si="19"/>
        <v/>
      </c>
    </row>
    <row r="213" spans="1:111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1"/>
        <v>0</v>
      </c>
      <c r="R213" s="155" t="str">
        <f t="shared" si="22"/>
        <v/>
      </c>
      <c r="S213" s="171" t="str">
        <f t="shared" si="23"/>
        <v/>
      </c>
      <c r="X213" s="155" t="str">
        <f t="shared" si="18"/>
        <v/>
      </c>
      <c r="Y213" s="171" t="str">
        <f t="shared" si="19"/>
        <v/>
      </c>
    </row>
    <row r="214" spans="1:111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1"/>
        <v>0</v>
      </c>
      <c r="R214" s="155" t="str">
        <f t="shared" si="22"/>
        <v/>
      </c>
      <c r="S214" s="171" t="str">
        <f t="shared" si="23"/>
        <v/>
      </c>
      <c r="X214" s="155" t="str">
        <f t="shared" ref="X214:X224" si="24">IF((1-(1-U214/100000)^L214)=0,"",1-(1-U214/100000)^L214)</f>
        <v/>
      </c>
      <c r="Y214" s="171" t="str">
        <f t="shared" ref="Y214:Y224" si="25">IF((U214/100000)*L214=0,"",(U214/100000)*L214)</f>
        <v/>
      </c>
    </row>
    <row r="215" spans="1:111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1"/>
        <v>0</v>
      </c>
      <c r="Q215" s="10"/>
      <c r="R215" s="155" t="str">
        <f t="shared" si="22"/>
        <v/>
      </c>
      <c r="S215" s="171" t="str">
        <f t="shared" si="23"/>
        <v/>
      </c>
      <c r="T215" s="161"/>
      <c r="U215" s="55"/>
      <c r="V215" s="55"/>
      <c r="W215" s="55"/>
      <c r="X215" s="155" t="str">
        <f t="shared" si="24"/>
        <v/>
      </c>
      <c r="Y215" s="171" t="str">
        <f t="shared" si="25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1"/>
        <v>0</v>
      </c>
      <c r="Q216" s="10"/>
      <c r="R216" s="155" t="str">
        <f t="shared" si="22"/>
        <v/>
      </c>
      <c r="S216" s="171" t="str">
        <f t="shared" si="23"/>
        <v/>
      </c>
      <c r="T216" s="161"/>
      <c r="U216" s="55"/>
      <c r="V216" s="55"/>
      <c r="W216" s="55"/>
      <c r="X216" s="155" t="str">
        <f t="shared" si="24"/>
        <v/>
      </c>
      <c r="Y216" s="171" t="str">
        <f t="shared" si="25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1"/>
        <v>0</v>
      </c>
      <c r="Q217" s="10"/>
      <c r="R217" s="155" t="str">
        <f t="shared" si="22"/>
        <v/>
      </c>
      <c r="S217" s="171" t="str">
        <f t="shared" si="23"/>
        <v/>
      </c>
      <c r="T217" s="161"/>
      <c r="U217" s="55"/>
      <c r="V217" s="55"/>
      <c r="W217" s="55"/>
      <c r="X217" s="155" t="str">
        <f t="shared" si="24"/>
        <v/>
      </c>
      <c r="Y217" s="171" t="str">
        <f t="shared" si="25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1"/>
        <v>0</v>
      </c>
      <c r="Q218" s="10"/>
      <c r="R218" s="155" t="str">
        <f t="shared" si="22"/>
        <v/>
      </c>
      <c r="S218" s="171" t="str">
        <f t="shared" si="23"/>
        <v/>
      </c>
      <c r="T218" s="161"/>
      <c r="U218" s="55"/>
      <c r="V218" s="55"/>
      <c r="W218" s="55"/>
      <c r="X218" s="155" t="str">
        <f t="shared" si="24"/>
        <v/>
      </c>
      <c r="Y218" s="171" t="str">
        <f t="shared" si="25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1"/>
        <v>0</v>
      </c>
      <c r="Q219" s="10"/>
      <c r="R219" s="155" t="str">
        <f t="shared" si="22"/>
        <v/>
      </c>
      <c r="S219" s="171" t="str">
        <f t="shared" si="23"/>
        <v/>
      </c>
      <c r="T219" s="161"/>
      <c r="U219" s="55"/>
      <c r="V219" s="55"/>
      <c r="W219" s="55"/>
      <c r="X219" s="155" t="str">
        <f t="shared" si="24"/>
        <v/>
      </c>
      <c r="Y219" s="171" t="str">
        <f t="shared" si="25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1"/>
        <v>0</v>
      </c>
      <c r="Q220" s="10"/>
      <c r="R220" s="155" t="str">
        <f t="shared" si="22"/>
        <v/>
      </c>
      <c r="S220" s="171" t="str">
        <f t="shared" si="23"/>
        <v/>
      </c>
      <c r="T220" s="161"/>
      <c r="U220" s="55"/>
      <c r="V220" s="55"/>
      <c r="W220" s="55"/>
      <c r="X220" s="155" t="str">
        <f t="shared" si="24"/>
        <v/>
      </c>
      <c r="Y220" s="171" t="str">
        <f t="shared" si="25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1"/>
        <v>0</v>
      </c>
      <c r="Q221" s="10"/>
      <c r="R221" s="155" t="str">
        <f t="shared" si="22"/>
        <v/>
      </c>
      <c r="S221" s="171" t="str">
        <f t="shared" si="23"/>
        <v/>
      </c>
      <c r="T221" s="161"/>
      <c r="U221" s="55"/>
      <c r="V221" s="55"/>
      <c r="W221" s="55"/>
      <c r="X221" s="155" t="str">
        <f t="shared" si="24"/>
        <v/>
      </c>
      <c r="Y221" s="171" t="str">
        <f t="shared" si="25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1"/>
        <v>0</v>
      </c>
      <c r="Q222" s="10"/>
      <c r="R222" s="155" t="str">
        <f t="shared" si="22"/>
        <v/>
      </c>
      <c r="S222" s="171" t="str">
        <f t="shared" si="23"/>
        <v/>
      </c>
      <c r="T222" s="161"/>
      <c r="U222" s="55"/>
      <c r="V222" s="55"/>
      <c r="W222" s="55"/>
      <c r="X222" s="155" t="str">
        <f t="shared" si="24"/>
        <v/>
      </c>
      <c r="Y222" s="171" t="str">
        <f t="shared" si="25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1"/>
        <v>0</v>
      </c>
      <c r="Q223" s="10"/>
      <c r="R223" s="155" t="str">
        <f t="shared" si="22"/>
        <v/>
      </c>
      <c r="S223" s="171" t="str">
        <f t="shared" si="23"/>
        <v/>
      </c>
      <c r="T223" s="161"/>
      <c r="U223" s="55"/>
      <c r="V223" s="55"/>
      <c r="W223" s="55"/>
      <c r="X223" s="155" t="str">
        <f t="shared" si="24"/>
        <v/>
      </c>
      <c r="Y223" s="171" t="str">
        <f t="shared" si="25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1"/>
        <v>0</v>
      </c>
      <c r="Q224" s="10"/>
      <c r="R224" s="155" t="str">
        <f t="shared" si="22"/>
        <v/>
      </c>
      <c r="S224" s="171" t="str">
        <f t="shared" si="23"/>
        <v/>
      </c>
      <c r="T224" s="161"/>
      <c r="U224" s="55"/>
      <c r="V224" s="55"/>
      <c r="W224" s="55"/>
      <c r="X224" s="155" t="str">
        <f t="shared" si="24"/>
        <v/>
      </c>
      <c r="Y224" s="171" t="str">
        <f t="shared" si="25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0" sqref="H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20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25" sqref="E25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8000</v>
      </c>
      <c r="C6" s="91">
        <v>8</v>
      </c>
    </row>
    <row r="7" spans="1:3" x14ac:dyDescent="0.15">
      <c r="A7" s="91">
        <v>3</v>
      </c>
      <c r="B7" s="91">
        <f t="shared" si="0"/>
        <v>5000</v>
      </c>
      <c r="C7" s="91">
        <v>5</v>
      </c>
    </row>
    <row r="8" spans="1:3" x14ac:dyDescent="0.15">
      <c r="A8" s="91">
        <v>4</v>
      </c>
      <c r="B8" s="91">
        <f t="shared" si="0"/>
        <v>4000</v>
      </c>
      <c r="C8" s="91">
        <v>4</v>
      </c>
    </row>
    <row r="9" spans="1:3" x14ac:dyDescent="0.15">
      <c r="A9" s="91">
        <v>5</v>
      </c>
      <c r="B9" s="91">
        <f t="shared" si="0"/>
        <v>3000</v>
      </c>
      <c r="C9" s="91">
        <v>3</v>
      </c>
    </row>
    <row r="10" spans="1:3" x14ac:dyDescent="0.15">
      <c r="A10" s="91">
        <v>6</v>
      </c>
      <c r="B10" s="91">
        <f t="shared" si="0"/>
        <v>1000</v>
      </c>
      <c r="C10" s="91">
        <v>1</v>
      </c>
    </row>
    <row r="11" spans="1:3" x14ac:dyDescent="0.15">
      <c r="A11" s="91">
        <v>7</v>
      </c>
      <c r="B11" s="91">
        <f t="shared" si="0"/>
        <v>500</v>
      </c>
      <c r="C11" s="91">
        <v>0.5</v>
      </c>
    </row>
    <row r="12" spans="1:3" x14ac:dyDescent="0.15">
      <c r="A12" s="91">
        <v>8</v>
      </c>
      <c r="B12" s="91">
        <f t="shared" si="0"/>
        <v>350</v>
      </c>
      <c r="C12" s="91">
        <v>0.35</v>
      </c>
    </row>
    <row r="13" spans="1:3" x14ac:dyDescent="0.15">
      <c r="A13" s="91">
        <v>9</v>
      </c>
      <c r="B13" s="91">
        <f t="shared" si="0"/>
        <v>300</v>
      </c>
      <c r="C13" s="91">
        <v>0.3</v>
      </c>
    </row>
    <row r="14" spans="1:3" x14ac:dyDescent="0.15">
      <c r="A14" s="91">
        <v>10</v>
      </c>
      <c r="B14" s="91">
        <f t="shared" si="0"/>
        <v>280</v>
      </c>
      <c r="C14" s="91">
        <v>0.28000000000000003</v>
      </c>
    </row>
    <row r="15" spans="1:3" x14ac:dyDescent="0.15">
      <c r="A15" s="91">
        <v>11</v>
      </c>
      <c r="B15" s="91">
        <f t="shared" si="0"/>
        <v>270</v>
      </c>
      <c r="C15" s="91">
        <v>0.27</v>
      </c>
    </row>
    <row r="16" spans="1:3" x14ac:dyDescent="0.15">
      <c r="A16" s="91">
        <v>12</v>
      </c>
      <c r="B16" s="91">
        <f t="shared" si="0"/>
        <v>260</v>
      </c>
      <c r="C16" s="91">
        <v>0.26</v>
      </c>
    </row>
    <row r="17" spans="1:3" x14ac:dyDescent="0.15">
      <c r="A17" s="91">
        <v>13</v>
      </c>
      <c r="B17" s="91">
        <f t="shared" si="0"/>
        <v>250</v>
      </c>
      <c r="C17" s="91">
        <v>0.25</v>
      </c>
    </row>
    <row r="18" spans="1:3" x14ac:dyDescent="0.15">
      <c r="A18" s="91">
        <v>14</v>
      </c>
      <c r="B18" s="91">
        <f t="shared" si="0"/>
        <v>240</v>
      </c>
      <c r="C18" s="91">
        <v>0.24</v>
      </c>
    </row>
    <row r="19" spans="1:3" x14ac:dyDescent="0.15">
      <c r="A19" s="91">
        <v>15</v>
      </c>
      <c r="B19" s="91">
        <f t="shared" si="0"/>
        <v>230</v>
      </c>
      <c r="C19" s="91">
        <v>0.23</v>
      </c>
    </row>
    <row r="20" spans="1:3" x14ac:dyDescent="0.15">
      <c r="A20" s="91">
        <v>16</v>
      </c>
      <c r="B20" s="91">
        <f t="shared" si="0"/>
        <v>220</v>
      </c>
      <c r="C20" s="91">
        <v>0.22</v>
      </c>
    </row>
    <row r="21" spans="1:3" x14ac:dyDescent="0.15">
      <c r="A21" s="91">
        <v>17</v>
      </c>
      <c r="B21" s="91">
        <f t="shared" si="0"/>
        <v>210</v>
      </c>
      <c r="C21" s="91">
        <v>0.21</v>
      </c>
    </row>
    <row r="22" spans="1:3" x14ac:dyDescent="0.15">
      <c r="A22" s="91">
        <v>18</v>
      </c>
      <c r="B22" s="91">
        <f t="shared" si="0"/>
        <v>200</v>
      </c>
      <c r="C22" s="91">
        <v>0.2</v>
      </c>
    </row>
    <row r="23" spans="1:3" x14ac:dyDescent="0.15">
      <c r="A23" s="91">
        <v>19</v>
      </c>
      <c r="B23" s="91">
        <f t="shared" si="0"/>
        <v>190</v>
      </c>
      <c r="C23" s="91">
        <v>0.19</v>
      </c>
    </row>
    <row r="24" spans="1:3" x14ac:dyDescent="0.15">
      <c r="A24" s="91">
        <v>20</v>
      </c>
      <c r="B24" s="91">
        <f t="shared" si="0"/>
        <v>180</v>
      </c>
      <c r="C24" s="91">
        <v>0.18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2018-09-25T09:57:49Z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