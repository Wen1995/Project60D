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O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O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O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O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O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O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O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O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O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/>
  <c r="BM222" i="9"/>
  <c r="BH222" i="9"/>
  <c r="BC222" i="9"/>
  <c r="AO222" i="9"/>
  <c r="AM222" i="9"/>
  <c r="AK222" i="9"/>
  <c r="Y222" i="9"/>
  <c r="V222" i="9"/>
  <c r="F222" i="9"/>
  <c r="C222" i="9"/>
  <c r="BO221" i="9"/>
  <c r="AQ221" i="9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/>
  <c r="BM217" i="9"/>
  <c r="BH217" i="9"/>
  <c r="BC217" i="9"/>
  <c r="AO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O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/>
  <c r="BM205" i="9"/>
  <c r="BH205" i="9"/>
  <c r="AX205" i="9"/>
  <c r="AO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O204" i="9"/>
  <c r="AM204" i="9"/>
  <c r="AK204" i="9"/>
  <c r="F204" i="9"/>
  <c r="C204" i="9"/>
  <c r="BO203" i="9"/>
  <c r="AQ203" i="9"/>
  <c r="BM203" i="9"/>
  <c r="BH203" i="9"/>
  <c r="BC203" i="9"/>
  <c r="AO203" i="9"/>
  <c r="AM203" i="9"/>
  <c r="AK203" i="9"/>
  <c r="F203" i="9"/>
  <c r="C203" i="9"/>
  <c r="BO202" i="9"/>
  <c r="AQ202" i="9"/>
  <c r="BM202" i="9"/>
  <c r="BH202" i="9"/>
  <c r="BC202" i="9"/>
  <c r="AO202" i="9"/>
  <c r="AM202" i="9"/>
  <c r="AK202" i="9"/>
  <c r="F202" i="9"/>
  <c r="C202" i="9"/>
  <c r="BO201" i="9"/>
  <c r="AQ201" i="9"/>
  <c r="BM201" i="9"/>
  <c r="BH201" i="9"/>
  <c r="BC201" i="9"/>
  <c r="AO201" i="9"/>
  <c r="AM201" i="9"/>
  <c r="AK201" i="9"/>
  <c r="F201" i="9"/>
  <c r="C201" i="9"/>
  <c r="BO200" i="9"/>
  <c r="AQ200" i="9"/>
  <c r="BM200" i="9"/>
  <c r="BH200" i="9"/>
  <c r="BC200" i="9"/>
  <c r="AO200" i="9"/>
  <c r="AM200" i="9"/>
  <c r="AK200" i="9"/>
  <c r="F200" i="9"/>
  <c r="C200" i="9"/>
  <c r="BO199" i="9"/>
  <c r="AQ199" i="9"/>
  <c r="BM199" i="9"/>
  <c r="BH199" i="9"/>
  <c r="BC199" i="9"/>
  <c r="AO199" i="9"/>
  <c r="AM199" i="9"/>
  <c r="AK199" i="9"/>
  <c r="F199" i="9"/>
  <c r="C199" i="9"/>
  <c r="BO198" i="9"/>
  <c r="AQ198" i="9"/>
  <c r="BM198" i="9"/>
  <c r="BH198" i="9"/>
  <c r="BC198" i="9"/>
  <c r="AO198" i="9"/>
  <c r="AM198" i="9"/>
  <c r="AK198" i="9"/>
  <c r="F198" i="9"/>
  <c r="C198" i="9"/>
  <c r="BO197" i="9"/>
  <c r="AQ197" i="9"/>
  <c r="BM197" i="9"/>
  <c r="BH197" i="9"/>
  <c r="BC197" i="9"/>
  <c r="AO197" i="9"/>
  <c r="AM197" i="9"/>
  <c r="AK197" i="9"/>
  <c r="F197" i="9"/>
  <c r="C197" i="9"/>
  <c r="BO196" i="9"/>
  <c r="AQ196" i="9"/>
  <c r="BM196" i="9"/>
  <c r="BH196" i="9"/>
  <c r="BC196" i="9"/>
  <c r="AO196" i="9"/>
  <c r="AM196" i="9"/>
  <c r="AK196" i="9"/>
  <c r="F196" i="9"/>
  <c r="C196" i="9"/>
  <c r="BO195" i="9"/>
  <c r="AQ195" i="9"/>
  <c r="BM195" i="9"/>
  <c r="BH195" i="9"/>
  <c r="BC195" i="9"/>
  <c r="AX195" i="9"/>
  <c r="AO195" i="9"/>
  <c r="AM195" i="9"/>
  <c r="AK195" i="9"/>
  <c r="F195" i="9"/>
  <c r="C195" i="9"/>
  <c r="BO194" i="9"/>
  <c r="AQ194" i="9"/>
  <c r="BM194" i="9"/>
  <c r="BC194" i="9"/>
  <c r="AX194" i="9"/>
  <c r="AO194" i="9"/>
  <c r="AM194" i="9"/>
  <c r="AK194" i="9"/>
  <c r="F194" i="9"/>
  <c r="C194" i="9"/>
  <c r="BO193" i="9"/>
  <c r="AQ193" i="9"/>
  <c r="BM193" i="9"/>
  <c r="BH193" i="9"/>
  <c r="BC193" i="9"/>
  <c r="AX193" i="9"/>
  <c r="AO193" i="9"/>
  <c r="AM193" i="9"/>
  <c r="AK193" i="9"/>
  <c r="F193" i="9"/>
  <c r="C193" i="9"/>
  <c r="BO192" i="9"/>
  <c r="AQ192" i="9"/>
  <c r="BM192" i="9"/>
  <c r="BH192" i="9"/>
  <c r="BC192" i="9"/>
  <c r="AX192" i="9"/>
  <c r="AO192" i="9"/>
  <c r="AM192" i="9"/>
  <c r="AK192" i="9"/>
  <c r="F192" i="9"/>
  <c r="C192" i="9"/>
  <c r="BO191" i="9"/>
  <c r="AQ191" i="9"/>
  <c r="BM191" i="9"/>
  <c r="BH191" i="9"/>
  <c r="BC191" i="9"/>
  <c r="AX191" i="9"/>
  <c r="AO191" i="9"/>
  <c r="AM191" i="9"/>
  <c r="AK191" i="9"/>
  <c r="F191" i="9"/>
  <c r="C191" i="9"/>
  <c r="BO190" i="9"/>
  <c r="AQ190" i="9"/>
  <c r="BM190" i="9"/>
  <c r="BH190" i="9"/>
  <c r="BC190" i="9"/>
  <c r="AX190" i="9"/>
  <c r="AO190" i="9"/>
  <c r="AM190" i="9"/>
  <c r="AK190" i="9"/>
  <c r="F190" i="9"/>
  <c r="C190" i="9"/>
  <c r="BO189" i="9"/>
  <c r="AQ189" i="9"/>
  <c r="BM189" i="9"/>
  <c r="BH189" i="9"/>
  <c r="BC189" i="9"/>
  <c r="AX189" i="9"/>
  <c r="AO189" i="9"/>
  <c r="AM189" i="9"/>
  <c r="AK189" i="9"/>
  <c r="F189" i="9"/>
  <c r="C189" i="9"/>
  <c r="BO188" i="9"/>
  <c r="AQ188" i="9"/>
  <c r="BM188" i="9"/>
  <c r="BH188" i="9"/>
  <c r="BC188" i="9"/>
  <c r="AX188" i="9"/>
  <c r="AO188" i="9"/>
  <c r="AM188" i="9"/>
  <c r="AK188" i="9"/>
  <c r="F188" i="9"/>
  <c r="C188" i="9"/>
  <c r="BO187" i="9"/>
  <c r="AQ187" i="9"/>
  <c r="BM187" i="9"/>
  <c r="BH187" i="9"/>
  <c r="BC187" i="9"/>
  <c r="AX187" i="9"/>
  <c r="AO187" i="9"/>
  <c r="AM187" i="9"/>
  <c r="AK187" i="9"/>
  <c r="F187" i="9"/>
  <c r="C187" i="9"/>
  <c r="BO186" i="9"/>
  <c r="AQ186" i="9"/>
  <c r="BM186" i="9"/>
  <c r="BH186" i="9"/>
  <c r="BC186" i="9"/>
  <c r="AX186" i="9"/>
  <c r="AO186" i="9"/>
  <c r="AM186" i="9"/>
  <c r="AK186" i="9"/>
  <c r="F186" i="9"/>
  <c r="C186" i="9"/>
  <c r="BO185" i="9"/>
  <c r="AQ185" i="9"/>
  <c r="BM185" i="9"/>
  <c r="BH185" i="9"/>
  <c r="AX185" i="9"/>
  <c r="AO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/>
  <c r="AO66" i="9"/>
  <c r="AM66" i="9"/>
  <c r="AK66" i="9"/>
  <c r="F66" i="9"/>
  <c r="C66" i="9"/>
  <c r="BO65" i="9"/>
  <c r="AQ65" i="9"/>
  <c r="AO65" i="9"/>
  <c r="AM65" i="9"/>
  <c r="AK65" i="9"/>
  <c r="F65" i="9"/>
  <c r="C6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I82" i="9" s="1"/>
  <c r="AH198" i="9"/>
  <c r="AG198" i="9" s="1"/>
  <c r="AH215" i="9"/>
  <c r="AG215" i="9" s="1"/>
  <c r="AI216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I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I18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I332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I210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I175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42" i="9" l="1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<sst xmlns="http://schemas.openxmlformats.org/spreadsheetml/2006/main" count="5238" uniqueCount="1353">
  <si>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</si>
  <si>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</si>
  <si>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</si>
  <si>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</si>
  <si>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</si>
  <si>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</si>
  <si>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</si>
  <si>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</si>
  <si>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</si>
  <si>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</si>
  <si>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</si>
  <si>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</si>
  <si>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</si>
  <si>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</si>
  <si>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</si>
  <si>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</si>
  <si>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</si>
  <si>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</si>
  <si>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</si>
  <si>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</si>
  <si>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</si>
  <si>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</si>
  <si>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</si>
  <si>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</si>
  <si>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</si>
  <si>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</si>
  <si>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</si>
  <si>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</si>
  <si>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</si>
  <si>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</si>
  <si>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</si>
  <si>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</si>
  <si>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</si>
  <si>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</si>
  <si>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</si>
  <si>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</si>
  <si>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</si>
  <si>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</si>
  <si>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</si>
  <si>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</si>
  <si>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</si>
  <si>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</si>
  <si>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</si>
  <si>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</si>
  <si>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</si>
  <si>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</si>
  <si>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</si>
  <si>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</si>
  <si>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</si>
  <si>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</si>
  <si>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</si>
  <si>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</si>
  <si>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</si>
  <si>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</si>
  <si>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</si>
  <si>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</si>
  <si>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</si>
  <si>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</si>
  <si>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</si>
  <si>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</si>
  <si>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</si>
  <si>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</si>
  <si>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</si>
  <si>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</si>
  <si>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</si>
  <si>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</si>
  <si>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</si>
  <si>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</si>
  <si>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</si>
  <si>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</si>
  <si>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</si>
  <si>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</si>
  <si>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</si>
  <si>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</si>
  <si>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</si>
  <si>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</si>
  <si>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</si>
  <si>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</si>
  <si>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</si>
  <si>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</si>
  <si>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</si>
  <si>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</si>
  <si>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</si>
  <si>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</si>
  <si>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</si>
  <si>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</si>
  <si>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</si>
  <si>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</si>
  <si>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</si>
  <si>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</si>
  <si>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</si>
  <si>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</si>
  <si>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</si>
  <si>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</si>
  <si>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</si>
  <si>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</si>
  <si>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</si>
  <si>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</si>
  <si>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</si>
  <si>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</si>
  <si>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</si>
  <si>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</si>
  <si>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</si>
  <si>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</si>
  <si>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</si>
  <si>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</si>
  <si>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</si>
  <si>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</si>
  <si>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</si>
  <si>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</si>
  <si>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</si>
  <si>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</si>
  <si>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</si>
  <si>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</si>
  <si>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</si>
  <si>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</si>
  <si>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</si>
  <si>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</si>
  <si>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</si>
  <si>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</si>
  <si>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</si>
  <si>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</si>
  <si>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</si>
  <si>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</si>
  <si>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</si>
  <si>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</si>
  <si>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</si>
  <si>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</si>
  <si>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</si>
  <si>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</si>
  <si>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</si>
  <si>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</si>
  <si>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</si>
  <si>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</si>
  <si>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</si>
  <si>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</si>
  <si>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</si>
  <si>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</si>
  <si>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</si>
  <si>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</si>
  <si>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</si>
  <si>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</si>
  <si>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</si>
  <si>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</si>
  <si>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</si>
  <si>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</si>
  <si>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</si>
  <si>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</si>
  <si>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</si>
  <si>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</si>
  <si>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</si>
  <si>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</si>
  <si>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</si>
  <si>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</si>
  <si>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</si>
  <si>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</si>
  <si>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</si>
  <si>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</si>
  <si>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</si>
  <si>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</si>
  <si>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</si>
  <si>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</si>
  <si>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</si>
  <si>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</si>
  <si>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</si>
  <si>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</si>
  <si>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</si>
  <si>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</si>
  <si>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</si>
  <si>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</si>
  <si>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</si>
  <si>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</si>
  <si>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</si>
  <si>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</si>
  <si>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</si>
  <si>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</si>
  <si>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</si>
  <si>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</si>
  <si>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</si>
  <si>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</si>
  <si>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</si>
  <si>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</si>
  <si>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</si>
  <si>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</si>
  <si>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</si>
  <si>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</si>
  <si>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</si>
  <si>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</si>
  <si>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</si>
  <si>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</si>
  <si>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</si>
  <si>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</si>
  <si>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</si>
  <si>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</si>
  <si>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</si>
  <si>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</si>
  <si>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</si>
  <si>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</si>
  <si>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</si>
  <si>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</si>
  <si>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</si>
  <si>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</si>
  <si>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</si>
  <si>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</si>
  <si>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</si>
  <si>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</si>
  <si>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</si>
  <si>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</si>
  <si>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</si>
  <si>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</si>
  <si>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</si>
  <si>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</si>
  <si>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</si>
  <si>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</si>
  <si>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</si>
  <si>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</si>
  <si>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</si>
  <si>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</si>
  <si>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</si>
  <si>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</si>
  <si>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</si>
  <si>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</si>
  <si>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</si>
  <si>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</si>
  <si>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</si>
  <si>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</si>
  <si>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</si>
  <si>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</si>
  <si>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</si>
  <si>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</si>
  <si>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</si>
  <si>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</si>
  <si>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</si>
  <si>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</si>
  <si>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</si>
  <si>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</si>
  <si>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</si>
  <si>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</si>
  <si>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</si>
  <si>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</si>
  <si>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</si>
  <si>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</si>
  <si>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</si>
  <si>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</si>
  <si>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</si>
  <si>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</si>
  <si>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</si>
  <si>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</si>
  <si>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</si>
  <si>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</si>
  <si>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</si>
  <si>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</si>
  <si>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</si>
  <si>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</si>
  <si>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</si>
  <si>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</si>
  <si>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</si>
  <si>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</si>
  <si>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</si>
  <si>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</si>
  <si>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</si>
  <si>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</si>
  <si>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</si>
  <si>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</si>
  <si>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</si>
  <si>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</si>
  <si>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</si>
  <si>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</si>
  <si>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</si>
  <si>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</si>
  <si>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</si>
  <si>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</si>
  <si>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</si>
  <si>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</si>
  <si>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</si>
  <si>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</si>
  <si>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</si>
  <si>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</si>
  <si>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</si>
  <si>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</si>
  <si>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</si>
  <si>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</si>
  <si>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</si>
  <si>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</si>
  <si>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</si>
  <si>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</si>
  <si>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</si>
  <si>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</si>
  <si>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</si>
  <si>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</si>
  <si>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</si>
  <si>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</si>
  <si>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</si>
  <si>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</si>
  <si>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</si>
  <si>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</si>
  <si>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</si>
  <si>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</si>
  <si>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</si>
  <si>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</si>
  <si>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</si>
  <si>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</si>
  <si>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</si>
  <si>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</si>
  <si>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</si>
  <si>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</si>
  <si>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</si>
  <si>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</si>
  <si>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</si>
  <si>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</si>
  <si>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</si>
  <si>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</si>
  <si>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</si>
  <si>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</si>
  <si>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</si>
  <si>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</si>
  <si>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</si>
  <si>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</si>
  <si>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</si>
  <si>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</si>
  <si>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</si>
  <si>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</si>
  <si>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</si>
  <si>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</si>
  <si>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</si>
  <si>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</si>
  <si>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</si>
  <si>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</si>
  <si>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</si>
  <si>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</si>
  <si>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</si>
  <si>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</si>
  <si>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</si>
  <si>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</si>
  <si>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</si>
  <si>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</si>
  <si>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</si>
  <si>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</si>
  <si>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</si>
  <si>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</si>
  <si>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</si>
  <si>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</si>
  <si>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</si>
  <si>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</si>
  <si>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</si>
  <si>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</si>
  <si>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</si>
  <si>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</si>
  <si>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</si>
  <si>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</si>
  <si>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</si>
  <si>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</si>
  <si>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</si>
  <si>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</si>
  <si>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</si>
  <si>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</si>
  <si>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</si>
  <si>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</si>
  <si>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</si>
  <si>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</si>
  <si>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</si>
  <si>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</si>
  <si>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</si>
  <si>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</si>
  <si>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</si>
  <si>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</si>
  <si>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</si>
  <si>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</si>
  <si>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</si>
  <si>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</si>
  <si>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</si>
  <si>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</si>
  <si>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</si>
  <si>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</si>
  <si>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</si>
  <si>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</si>
  <si>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</si>
  <si>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</si>
  <si>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</si>
  <si>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</si>
  <si>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</si>
  <si>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</si>
  <si>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</si>
  <si>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</si>
  <si>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</si>
  <si>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</si>
  <si>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</si>
  <si>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</si>
  <si>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</si>
  <si>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</si>
  <si>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</si>
  <si>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</si>
  <si>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</si>
  <si>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</si>
  <si>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</si>
  <si>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</si>
  <si>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</si>
  <si>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</si>
  <si>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</si>
  <si>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</si>
  <si>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</si>
  <si>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</si>
  <si>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</si>
  <si>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</si>
  <si>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</si>
  <si>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</si>
  <si>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</si>
  <si>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</si>
  <si>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</si>
  <si>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</si>
  <si>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</si>
  <si>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</si>
  <si>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</si>
  <si>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</si>
  <si>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</si>
  <si>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</si>
  <si>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</si>
  <si>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</si>
  <si>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</si>
  <si>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</si>
  <si>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</si>
  <si>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</si>
  <si>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</si>
  <si>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</si>
  <si>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</si>
  <si>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</si>
  <si>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</si>
  <si>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</si>
  <si>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</si>
  <si>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</si>
  <si>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</si>
  <si>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</si>
  <si>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</si>
  <si>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</si>
  <si>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</si>
  <si>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</si>
  <si>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</si>
  <si>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</si>
  <si>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</si>
  <si>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</si>
  <si>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</si>
  <si>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</si>
  <si>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</si>
  <si>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</si>
  <si>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</si>
  <si>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</si>
  <si>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</si>
  <si>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</si>
  <si>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</si>
  <si>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</si>
  <si>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</si>
  <si>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</si>
  <si>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</si>
  <si>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</si>
  <si>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</si>
  <si>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</si>
  <si>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</si>
  <si>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</si>
  <si>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</si>
  <si>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</si>
  <si>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</si>
  <si>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</si>
  <si>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</si>
  <si>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</si>
  <si>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</si>
  <si>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</si>
  <si>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</si>
  <si>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</si>
  <si>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</si>
  <si>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</si>
  <si>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</si>
  <si>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</si>
  <si>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</si>
  <si>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</si>
  <si>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</si>
  <si>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</si>
  <si>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</si>
  <si>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</si>
  <si>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</si>
  <si>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</si>
  <si>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</si>
  <si>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</si>
  <si>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</si>
  <si>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</si>
  <si>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</si>
  <si>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</si>
  <si>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</si>
  <si>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</si>
  <si>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</si>
  <si>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</si>
  <si>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</si>
  <si>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</si>
  <si>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</si>
  <si>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</si>
  <si>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</si>
  <si>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</si>
  <si>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</si>
  <si>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</si>
  <si>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</si>
  <si>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</si>
  <si>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</si>
  <si>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</si>
  <si>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</si>
  <si>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</si>
  <si>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</si>
  <si>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</si>
  <si>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</si>
  <si>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</si>
  <si>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</si>
  <si>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</si>
  <si>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</si>
  <si>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</si>
  <si>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</si>
  <si>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</si>
  <si>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</si>
  <si>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</si>
  <si>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</si>
  <si>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</si>
  <si>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</si>
  <si>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</si>
  <si>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</si>
  <si>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</si>
  <si>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</si>
  <si>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</si>
  <si>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</si>
  <si>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</si>
  <si>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</si>
  <si>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</si>
  <si>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</si>
  <si>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</si>
  <si>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</si>
  <si>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</si>
  <si>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</si>
  <si>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</si>
  <si>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</si>
  <si>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</si>
  <si>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</si>
  <si>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</si>
  <si>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</si>
  <si>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</si>
  <si>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</si>
  <si>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</si>
  <si>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</si>
  <si>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</si>
  <si>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</si>
  <si>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</si>
  <si>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</si>
  <si>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</si>
  <si>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</si>
  <si>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</si>
  <si>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</si>
  <si>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</si>
  <si>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</si>
  <si>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</si>
  <si>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</si>
  <si>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</si>
  <si>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</si>
  <si>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</si>
  <si>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</si>
  <si>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</si>
  <si>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</si>
  <si>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</si>
  <si>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</si>
  <si>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</si>
  <si>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</si>
  <si>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</si>
  <si>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</si>
  <si>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</si>
  <si>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</si>
  <si>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</si>
  <si>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</si>
  <si>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</si>
  <si>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</si>
  <si>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</si>
  <si>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</si>
  <si>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</si>
  <si>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</si>
  <si>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</si>
  <si>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</si>
  <si>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</si>
  <si>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</si>
  <si>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</si>
  <si>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</si>
  <si>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</si>
  <si>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</si>
  <si>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</si>
  <si>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</si>
  <si>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</si>
  <si>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</si>
  <si>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</si>
  <si>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</si>
  <si>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</si>
  <si>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</si>
  <si>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</si>
  <si>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</si>
  <si>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</si>
  <si>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</si>
  <si>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</si>
  <si>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</si>
  <si>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</si>
  <si>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</si>
  <si>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</si>
  <si>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</si>
  <si>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</si>
  <si>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</si>
  <si>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</si>
  <si>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</si>
  <si>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</si>
  <si>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</si>
  <si>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</si>
  <si>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</si>
  <si>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</si>
  <si>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</si>
  <si>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</si>
  <si>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</si>
  <si>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</si>
  <si>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</si>
  <si>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</si>
  <si>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</si>
  <si>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</si>
  <si>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</si>
  <si>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</si>
  <si>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</si>
  <si>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</si>
  <si>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</si>
  <si>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</si>
  <si>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</si>
  <si>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</si>
  <si>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</si>
  <si>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</si>
  <si>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</si>
  <si>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</si>
  <si>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</si>
  <si>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</si>
  <si>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</si>
  <si>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</si>
  <si>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</si>
  <si>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</si>
  <si>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</si>
  <si>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</si>
  <si>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</si>
  <si>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</si>
  <si>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</si>
  <si>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</si>
  <si>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</si>
  <si>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</si>
  <si>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</si>
  <si>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</si>
  <si>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</si>
  <si>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</si>
  <si>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</si>
  <si>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</si>
  <si>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</si>
  <si>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</si>
  <si>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</si>
  <si>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</si>
  <si>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</si>
  <si>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</si>
  <si>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</si>
  <si>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</si>
  <si>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</si>
  <si>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</si>
  <si>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</si>
  <si>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</si>
  <si>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</si>
  <si>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</si>
  <si>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</si>
  <si>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</si>
  <si>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</si>
  <si>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</si>
  <si>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</si>
  <si>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</si>
  <si>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</si>
  <si>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</si>
  <si>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</si>
  <si>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</si>
  <si>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</si>
  <si>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</si>
  <si>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</si>
  <si>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</si>
  <si>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</si>
  <si>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</si>
  <si>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</si>
  <si>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</si>
  <si>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</si>
  <si>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</si>
  <si>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</si>
  <si>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</si>
  <si>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</si>
  <si>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</si>
  <si>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</si>
  <si>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</si>
  <si>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</si>
  <si>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</si>
  <si>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</si>
  <si>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</si>
  <si>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</si>
  <si>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</si>
  <si>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</si>
  <si>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</si>
  <si>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</si>
  <si>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</si>
  <si>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</si>
  <si>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</si>
  <si>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</si>
  <si>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</si>
  <si>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</si>
  <si>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</si>
  <si>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</si>
  <si>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</si>
  <si>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</si>
  <si>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</si>
  <si>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</si>
  <si>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</si>
  <si>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</si>
  <si>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</si>
  <si>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</si>
  <si>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</si>
  <si>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</si>
  <si>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</si>
  <si>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</si>
  <si>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</si>
  <si>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</si>
  <si>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</si>
  <si>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</si>
  <si>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</si>
  <si>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</si>
  <si>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</si>
  <si>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</si>
  <si>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</si>
  <si>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</si>
  <si>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</si>
  <si>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</si>
  <si>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</si>
  <si>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</si>
  <si>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</si>
  <si>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</si>
  <si>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</si>
  <si>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</si>
  <si>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</si>
  <si>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</si>
  <si>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</si>
  <si>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</si>
  <si>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</si>
  <si>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</si>
  <si>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</si>
  <si>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</si>
  <si>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</si>
  <si>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</si>
  <si>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</si>
  <si>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</si>
  <si>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</si>
  <si>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</si>
  <si>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</si>
  <si>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</si>
  <si>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</si>
  <si>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</si>
  <si>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</si>
  <si>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</si>
  <si>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</si>
  <si>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</si>
  <si>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</si>
  <si>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</si>
  <si>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</si>
  <si>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</si>
  <si>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</si>
  <si>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</si>
  <si>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</si>
  <si>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</si>
  <si>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</si>
  <si>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</si>
  <si>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</si>
  <si>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</si>
  <si>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</si>
  <si>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</si>
  <si>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</si>
  <si>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</si>
  <si>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</si>
  <si>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</si>
  <si>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</si>
  <si>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</si>
  <si>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</si>
  <si>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</si>
  <si>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</si>
  <si>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</si>
  <si>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</si>
  <si>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</si>
  <si>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</si>
  <si>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</si>
  <si>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</si>
  <si>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</si>
  <si>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</si>
  <si>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</si>
  <si>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</si>
  <si>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</si>
  <si>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</si>
  <si>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</si>
  <si>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</si>
  <si>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</si>
  <si>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</si>
  <si>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</si>
  <si>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</si>
  <si>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</si>
  <si>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</si>
  <si>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</si>
  <si>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</si>
  <si>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</si>
  <si>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</si>
  <si>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</si>
  <si>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</si>
  <si>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</si>
  <si>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</si>
  <si>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</si>
  <si>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</si>
  <si>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</si>
  <si>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</si>
  <si>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</si>
  <si>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</si>
  <si>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</si>
  <si>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</si>
  <si>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</si>
  <si>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</si>
  <si>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</si>
  <si>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</si>
  <si>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</si>
  <si>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</si>
  <si>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</si>
  <si>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</si>
  <si>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</si>
  <si>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</si>
  <si>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</si>
  <si>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</si>
  <si>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</si>
  <si>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</si>
  <si>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</si>
  <si>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</si>
  <si>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</si>
  <si>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</si>
  <si>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</si>
  <si>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</si>
  <si>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</si>
  <si>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</si>
  <si>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</si>
  <si>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</si>
  <si>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</si>
  <si>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</si>
  <si>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</si>
  <si>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</si>
  <si>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</si>
  <si>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</si>
  <si>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</si>
  <si>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</si>
  <si>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</si>
  <si>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</si>
  <si>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</si>
  <si>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</si>
  <si>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</si>
  <si>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</si>
  <si>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</si>
  <si>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</si>
  <si>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</si>
  <si>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</si>
  <si>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</si>
  <si>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</si>
  <si>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</si>
  <si>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</si>
  <si>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</si>
  <si>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</si>
  <si>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</si>
  <si>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</si>
  <si>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</si>
  <si>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</si>
  <si>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</si>
  <si>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</si>
  <si>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</si>
  <si>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</si>
  <si>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</si>
  <si>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</si>
  <si>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</si>
  <si>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</si>
  <si>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</si>
  <si>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</si>
  <si>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</si>
  <si>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</si>
  <si>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</si>
  <si>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</si>
  <si>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</si>
  <si>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</si>
  <si>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</si>
  <si>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</si>
  <si>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</si>
  <si>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</si>
  <si>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</si>
  <si>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</si>
  <si>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</si>
  <si>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</si>
  <si>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</si>
  <si>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</si>
  <si>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</si>
  <si>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</si>
  <si>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</si>
  <si>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</si>
  <si>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</si>
  <si>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</si>
  <si>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</si>
  <si>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</si>
  <si>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</si>
  <si>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</si>
  <si>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</si>
  <si>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</si>
  <si>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</si>
  <si>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</si>
  <si>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</si>
  <si>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</si>
  <si>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</si>
  <si>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</si>
  <si>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</si>
  <si>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</si>
  <si>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</si>
  <si>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</si>
  <si>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</si>
  <si>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</si>
  <si>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</si>
  <si>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</si>
  <si>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</si>
  <si>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</si>
  <si>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</si>
  <si>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</si>
  <si>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</si>
  <si>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</si>
  <si>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</si>
  <si>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</si>
  <si>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</si>
  <si>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</si>
  <si>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</si>
  <si>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</si>
  <si>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</si>
  <si>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</si>
  <si>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</si>
  <si>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</si>
  <si>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</si>
  <si>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</si>
  <si>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</si>
  <si>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</si>
  <si>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</si>
  <si>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</si>
  <si>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</si>
  <si>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</si>
  <si>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</si>
  <si>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</si>
  <si>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</si>
  <si>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</si>
  <si>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</si>
  <si>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</si>
  <si>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</si>
  <si>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</si>
  <si>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</si>
  <si>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</si>
  <si>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</si>
  <si>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</si>
  <si>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</si>
  <si>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</si>
  <si>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</si>
  <si>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</si>
  <si>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</si>
  <si>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</si>
  <si>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</si>
  <si>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</si>
  <si>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</si>
  <si>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</si>
  <si>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</si>
  <si>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</si>
  <si>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</si>
  <si>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</si>
  <si>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</si>
  <si>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</si>
  <si>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</si>
  <si>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</si>
  <si>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</si>
  <si>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</si>
  <si>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</si>
  <si>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</si>
  <si>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</si>
  <si>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</si>
  <si>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</si>
  <si>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</si>
  <si>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</si>
  <si>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</si>
  <si>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</si>
  <si>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</si>
  <si>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</si>
  <si>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</si>
  <si>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</si>
  <si>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</si>
  <si>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</si>
  <si>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</si>
  <si>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</si>
  <si>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</si>
  <si>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</si>
  <si>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</si>
  <si>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</si>
  <si>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</si>
  <si>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</si>
  <si>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</si>
  <si>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</si>
  <si>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</si>
  <si>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</si>
  <si>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</si>
  <si>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</si>
  <si>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</si>
  <si>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</si>
  <si>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</si>
  <si>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</si>
  <si>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</si>
  <si>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</si>
  <si>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</si>
  <si>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</si>
  <si>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</si>
  <si>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</si>
  <si>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</si>
  <si>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</si>
  <si>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</si>
  <si>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</si>
  <si>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</si>
  <si>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</si>
  <si>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</si>
  <si>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</si>
  <si>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</si>
  <si>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</si>
  <si>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</si>
  <si>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</si>
  <si>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</si>
  <si>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</si>
  <si>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</si>
  <si>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</si>
  <si>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</si>
  <si>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</si>
  <si>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</si>
  <si>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</si>
  <si>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</si>
  <si>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</si>
  <si>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</si>
  <si>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</si>
  <si>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</si>
  <si>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</si>
  <si>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</si>
  <si>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</si>
  <si>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</si>
  <si>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</si>
  <si>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</si>
  <si>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</si>
  <si>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</si>
  <si>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</si>
  <si>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</si>
  <si>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</si>
  <si>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</si>
  <si>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</si>
  <si>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</si>
  <si>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</si>
  <si>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</si>
  <si>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</si>
  <si>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</si>
  <si>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</si>
  <si>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</si>
  <si>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</si>
  <si>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</si>
  <si>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</si>
  <si>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</si>
  <si>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</si>
  <si>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</si>
  <si>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</si>
  <si>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</si>
  <si>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</si>
  <si>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</si>
  <si>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</si>
  <si>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</si>
  <si>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</si>
  <si>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</si>
  <si>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</si>
  <si>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</si>
  <si>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</si>
  <si>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</si>
  <si>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</si>
  <si>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</si>
  <si>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</si>
  <si>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</si>
  <si>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</si>
  <si>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</si>
  <si>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</si>
  <si>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</si>
  <si>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</si>
  <si>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</si>
  <si>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</si>
  <si>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</si>
  <si>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</si>
  <si>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</si>
  <si>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</si>
  <si>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</si>
  <si>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</si>
  <si>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</si>
  <si>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</si>
  <si>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</si>
  <si>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</si>
  <si>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</si>
  <si>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</si>
  <si>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</si>
  <si>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</si>
  <si>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</si>
  <si>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</si>
  <si>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</si>
  <si>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</si>
  <si>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</si>
  <si>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</si>
  <si>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</si>
  <si>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</si>
  <si>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</si>
  <si>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</si>
  <si>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</si>
  <si>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</si>
  <si>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</si>
  <si>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</si>
  <si>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</si>
  <si>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</si>
  <si>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</si>
  <si>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</si>
  <si>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</si>
  <si>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</si>
  <si>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</si>
  <si>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</si>
  <si>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</si>
  <si>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</si>
  <si>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</si>
  <si>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</si>
  <si>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</si>
  <si>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</si>
  <si>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</si>
  <si>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</si>
  <si>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</si>
  <si>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</si>
  <si>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</si>
  <si>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</si>
  <si>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</si>
  <si>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</si>
  <si>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</si>
  <si>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</si>
  <si>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</si>
  <si>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</si>
  <si>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</si>
  <si>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</si>
  <si>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</si>
  <si>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</si>
  <si>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</si>
  <si>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</si>
  <si>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</si>
  <si>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</si>
  <si>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</si>
  <si>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</si>
  <si>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</si>
  <si>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</si>
  <si>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</si>
  <si>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</si>
  <si>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</si>
  <si>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</si>
  <si>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</si>
  <si>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</si>
  <si>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</si>
  <si>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</si>
  <si>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</si>
  <si>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</si>
  <si>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</si>
  <si>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</si>
  <si>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</si>
  <si>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</si>
  <si>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</si>
  <si>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</si>
  <si>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</si>
  <si>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</si>
  <si>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</si>
  <si>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</si>
  <si>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</si>
  <si>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</si>
  <si>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</si>
  <si>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</si>
  <si>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</si>
  <si>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</si>
  <si>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</si>
  <si>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</si>
  <si>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</si>
  <si>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</si>
  <si>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</si>
  <si>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</si>
  <si>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</si>
  <si>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</si>
  <si>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</si>
  <si>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</si>
  <si>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</si>
  <si>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</si>
  <si>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</si>
  <si>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</si>
  <si>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</si>
  <si>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</si>
  <si>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</si>
  <si>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</si>
  <si>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</si>
  <si>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</si>
  <si>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</si>
  <si>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</si>
  <si>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</si>
  <si>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</si>
  <si>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</si>
  <si>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</si>
  <si>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</si>
  <si>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</si>
  <si>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</si>
  <si>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</si>
  <si>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</si>
  <si>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</si>
  <si>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</si>
  <si>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</si>
  <si>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</si>
  <si>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</si>
  <si>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</si>
  <si>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</si>
  <si>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</si>
  <si>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</si>
  <si>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</si>
  <si>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</si>
  <si>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</si>
  <si>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</si>
  <si>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</si>
  <si>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</si>
  <si>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</si>
  <si>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</si>
  <si>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</si>
  <si>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</si>
  <si>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</si>
  <si>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</si>
  <si>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</si>
  <si>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</si>
  <si>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</si>
  <si>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</si>
  <si>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</si>
  <si>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</si>
  <si>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</si>
  <si>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</si>
  <si>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</si>
  <si>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</si>
  <si>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</si>
  <si>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</si>
  <si>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</si>
  <si>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</si>
  <si>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</si>
  <si>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</si>
  <si>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</si>
  <si>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</si>
  <si>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</si>
  <si>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</si>
  <si>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</si>
  <si>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</si>
  <si>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</si>
  <si>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</si>
  <si>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</si>
  <si>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</si>
  <si>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</si>
  <si>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</si>
  <si>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</si>
  <si>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</si>
  <si>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</si>
  <si>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</si>
  <si>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</si>
  <si>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</si>
  <si>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</si>
  <si>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</si>
  <si>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</si>
  <si>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</si>
  <si>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</si>
  <si>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</si>
  <si>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</si>
  <si>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</si>
  <si>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</si>
  <si>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</si>
  <si>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</si>
  <si>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</si>
  <si>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</si>
  <si>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</si>
  <si>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</si>
  <si>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</si>
  <si>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</si>
  <si>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</si>
  <si>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</si>
  <si>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</si>
  <si>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</si>
  <si>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</si>
  <si>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</si>
  <si>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</si>
  <si>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</si>
  <si>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</si>
  <si>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</si>
  <si>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</si>
  <si>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</si>
  <si>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</si>
  <si>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</si>
  <si>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</si>
  <si>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</si>
  <si>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</si>
  <si>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备注：整点刷新，k4（刷新间隔）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</si>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</sst>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566</v>
      </c>
    </row>
    <row r="16" spans="1:7" x14ac:dyDescent="0.15">
      <c r="B16" s="44">
        <v>2</v>
      </c>
      <c r="D16" s="44" t="s">
        <v>258</v>
      </c>
      <c r="F16" s="44" t="s">
        <v>567</v>
      </c>
    </row>
    <row r="17" spans="2:6" x14ac:dyDescent="0.15">
      <c r="B17" s="44">
        <v>3</v>
      </c>
      <c r="D17" s="44" t="s">
        <v>257</v>
      </c>
      <c r="F17" s="44" t="s">
        <v>662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zoomScaleNormal="100" workbookViewId="0">
      <pane xSplit="12" topLeftCell="M1" activePane="topRight" state="frozen"/>
      <selection pane="topRight" activeCell="P511" sqref="P51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997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1019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998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477</v>
      </c>
      <c r="V2" s="9" t="s">
        <v>499</v>
      </c>
      <c r="W2" s="11" t="s">
        <v>61</v>
      </c>
      <c r="Y2" s="9" t="s">
        <v>499</v>
      </c>
      <c r="AA2" s="9" t="s">
        <v>62</v>
      </c>
      <c r="AB2" s="9" t="s">
        <v>61</v>
      </c>
      <c r="AD2" s="11" t="s">
        <v>61</v>
      </c>
      <c r="AE2" s="56" t="s">
        <v>1018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999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479</v>
      </c>
      <c r="V3" s="9" t="s">
        <v>526</v>
      </c>
      <c r="W3" s="11" t="s">
        <v>550</v>
      </c>
      <c r="Y3" s="9" t="s">
        <v>500</v>
      </c>
      <c r="AA3" s="9" t="s">
        <v>335</v>
      </c>
      <c r="AB3" s="9" t="s">
        <v>340</v>
      </c>
      <c r="AD3" s="11" t="s">
        <v>415</v>
      </c>
      <c r="AE3" s="56" t="s">
        <v>1017</v>
      </c>
      <c r="AG3" s="56" t="s">
        <v>437</v>
      </c>
      <c r="AK3" s="31" t="s">
        <v>246</v>
      </c>
      <c r="AL3" s="30"/>
      <c r="AM3" s="31" t="s">
        <v>417</v>
      </c>
      <c r="AN3" s="30"/>
      <c r="AO3" s="31" t="s">
        <v>480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551</v>
      </c>
      <c r="I4" s="27" t="s">
        <v>239</v>
      </c>
      <c r="J4" s="77" t="s">
        <v>354</v>
      </c>
      <c r="K4" s="27" t="s">
        <v>240</v>
      </c>
      <c r="L4" s="27" t="s">
        <v>1000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478</v>
      </c>
      <c r="T4" s="77" t="s">
        <v>548</v>
      </c>
      <c r="U4" s="85" t="s">
        <v>530</v>
      </c>
      <c r="V4" s="27" t="s">
        <v>528</v>
      </c>
      <c r="W4" s="88" t="s">
        <v>558</v>
      </c>
      <c r="X4" s="85" t="s">
        <v>529</v>
      </c>
      <c r="Y4" s="27" t="s">
        <v>527</v>
      </c>
      <c r="Z4" s="77" t="s">
        <v>547</v>
      </c>
      <c r="AA4" s="27" t="s">
        <v>334</v>
      </c>
      <c r="AB4" s="27" t="s">
        <v>339</v>
      </c>
      <c r="AC4" s="77" t="s">
        <v>414</v>
      </c>
      <c r="AD4" s="88" t="s">
        <v>581</v>
      </c>
      <c r="AE4" s="89" t="s">
        <v>1015</v>
      </c>
      <c r="AF4" s="77" t="s">
        <v>549</v>
      </c>
      <c r="AG4" s="89" t="s">
        <v>667</v>
      </c>
      <c r="AH4" s="90" t="s">
        <v>1014</v>
      </c>
      <c r="AI4" s="183" t="s">
        <v>580</v>
      </c>
      <c r="AJ4" s="77" t="s">
        <v>171</v>
      </c>
      <c r="AK4" s="65" t="s">
        <v>318</v>
      </c>
      <c r="AL4" s="64" t="s">
        <v>1012</v>
      </c>
      <c r="AM4" s="65" t="s">
        <v>416</v>
      </c>
      <c r="AN4" s="64" t="s">
        <v>1011</v>
      </c>
      <c r="AO4" s="65" t="s">
        <v>423</v>
      </c>
      <c r="AP4" s="64" t="s">
        <v>1013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559</v>
      </c>
      <c r="L5" s="16">
        <v>1</v>
      </c>
      <c r="M5" s="16">
        <v>1</v>
      </c>
      <c r="N5" s="16">
        <v>15</v>
      </c>
      <c r="O5" s="16" t="s">
        <v>1096</v>
      </c>
      <c r="P5" s="17"/>
      <c r="Q5" s="17"/>
      <c r="R5" s="18"/>
      <c r="S5" s="16" t="s">
        <v>679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531</v>
      </c>
      <c r="Y5" s="16">
        <f ca="1">IFERROR(OFFSET(ITEM_RES!$A$5,MATCH(BUILDING!X5,ITEM_RES!$J$5:$J$229,0)-1,0),0)</f>
        <v>211010101</v>
      </c>
      <c r="Z5" s="78"/>
      <c r="AA5" s="16" t="s">
        <v>501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424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443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447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559</v>
      </c>
      <c r="M6" s="9">
        <v>1</v>
      </c>
      <c r="N6" s="9">
        <v>15</v>
      </c>
      <c r="O6" s="9" t="s">
        <v>1096</v>
      </c>
      <c r="S6" s="9" t="s">
        <v>674</v>
      </c>
      <c r="V6" s="9">
        <f ca="1">IFERROR(OFFSET(ITEM_RES!$A$5,MATCH(BUILDING!U6,ITEM_RES!$J$5:$J$229,0)-1,0),0)</f>
        <v>0</v>
      </c>
      <c r="X6" s="84" t="s">
        <v>531</v>
      </c>
      <c r="Y6" s="9">
        <f ca="1">IFERROR(OFFSET(ITEM_RES!$A$5,MATCH(BUILDING!X6,ITEM_RES!$J$5:$J$229,0)-1,0),0)</f>
        <v>211010101</v>
      </c>
      <c r="AA6" s="9" t="s">
        <v>501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424</v>
      </c>
      <c r="AU6" s="11">
        <v>20</v>
      </c>
      <c r="AX6" s="11">
        <f ca="1">IFERROR(OFFSET(ITEM_RES!$A$1,MATCH(AY6,ITEM_RES!$J:$J,0)-1,0),0)</f>
        <v>211020101</v>
      </c>
      <c r="AY6" s="10" t="s">
        <v>443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559</v>
      </c>
      <c r="M7" s="9">
        <v>1</v>
      </c>
      <c r="N7" s="9">
        <v>15</v>
      </c>
      <c r="O7" s="9" t="s">
        <v>1097</v>
      </c>
      <c r="S7" s="9" t="s">
        <v>674</v>
      </c>
      <c r="V7" s="9">
        <f ca="1">IFERROR(OFFSET(ITEM_RES!$A$5,MATCH(BUILDING!U7,ITEM_RES!$J$5:$J$229,0)-1,0),0)</f>
        <v>0</v>
      </c>
      <c r="X7" s="84" t="s">
        <v>531</v>
      </c>
      <c r="Y7" s="9">
        <f ca="1">IFERROR(OFFSET(ITEM_RES!$A$5,MATCH(BUILDING!X7,ITEM_RES!$J$5:$J$229,0)-1,0),0)</f>
        <v>211010101</v>
      </c>
      <c r="AA7" s="9" t="s">
        <v>501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424</v>
      </c>
      <c r="AU7" s="11">
        <v>160</v>
      </c>
      <c r="AX7" s="11">
        <f ca="1">IFERROR(OFFSET(ITEM_RES!$A$1,MATCH(AY7,ITEM_RES!$J:$J,0)-1,0),0)</f>
        <v>211020101</v>
      </c>
      <c r="AY7" s="10" t="s">
        <v>443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559</v>
      </c>
      <c r="M8" s="9">
        <v>1</v>
      </c>
      <c r="N8" s="9">
        <v>15</v>
      </c>
      <c r="O8" s="9" t="s">
        <v>1098</v>
      </c>
      <c r="S8" s="9" t="s">
        <v>675</v>
      </c>
      <c r="V8" s="9">
        <f ca="1">IFERROR(OFFSET(ITEM_RES!$A$5,MATCH(BUILDING!U8,ITEM_RES!$J$5:$J$229,0)-1,0),0)</f>
        <v>0</v>
      </c>
      <c r="X8" s="84" t="s">
        <v>531</v>
      </c>
      <c r="Y8" s="9">
        <f ca="1">IFERROR(OFFSET(ITEM_RES!$A$5,MATCH(BUILDING!X8,ITEM_RES!$J$5:$J$229,0)-1,0),0)</f>
        <v>211010101</v>
      </c>
      <c r="AA8" s="9" t="s">
        <v>501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424</v>
      </c>
      <c r="AU8" s="11">
        <v>1920</v>
      </c>
      <c r="AX8" s="11">
        <f ca="1">IFERROR(OFFSET(ITEM_RES!$A$1,MATCH(AY8,ITEM_RES!$J:$J,0)-1,0),0)</f>
        <v>211020101</v>
      </c>
      <c r="AY8" s="10" t="s">
        <v>443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559</v>
      </c>
      <c r="M9" s="9">
        <v>1</v>
      </c>
      <c r="N9" s="9">
        <v>15</v>
      </c>
      <c r="O9" s="9" t="s">
        <v>1099</v>
      </c>
      <c r="S9" s="9" t="s">
        <v>675</v>
      </c>
      <c r="V9" s="9">
        <f ca="1">IFERROR(OFFSET(ITEM_RES!$A$5,MATCH(BUILDING!U9,ITEM_RES!$J$5:$J$229,0)-1,0),0)</f>
        <v>0</v>
      </c>
      <c r="X9" s="84" t="s">
        <v>531</v>
      </c>
      <c r="Y9" s="9">
        <f ca="1">IFERROR(OFFSET(ITEM_RES!$A$5,MATCH(BUILDING!X9,ITEM_RES!$J$5:$J$229,0)-1,0),0)</f>
        <v>211010101</v>
      </c>
      <c r="AA9" s="9" t="s">
        <v>501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424</v>
      </c>
      <c r="AU9" s="11">
        <v>26000</v>
      </c>
      <c r="AX9" s="11">
        <f ca="1">IFERROR(OFFSET(ITEM_RES!$A$1,MATCH(AY9,ITEM_RES!$J:$J,0)-1,0),0)</f>
        <v>211020101</v>
      </c>
      <c r="AY9" s="10" t="s">
        <v>443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559</v>
      </c>
      <c r="M10" s="9">
        <v>1</v>
      </c>
      <c r="N10" s="9">
        <v>15</v>
      </c>
      <c r="O10" s="9" t="s">
        <v>1101</v>
      </c>
      <c r="S10" s="9" t="s">
        <v>675</v>
      </c>
      <c r="V10" s="9">
        <f ca="1">IFERROR(OFFSET(ITEM_RES!$A$5,MATCH(BUILDING!U10,ITEM_RES!$J$5:$J$229,0)-1,0),0)</f>
        <v>0</v>
      </c>
      <c r="X10" s="84" t="s">
        <v>531</v>
      </c>
      <c r="Y10" s="9">
        <f ca="1">IFERROR(OFFSET(ITEM_RES!$A$5,MATCH(BUILDING!X10,ITEM_RES!$J$5:$J$229,0)-1,0),0)</f>
        <v>211010101</v>
      </c>
      <c r="AA10" s="9" t="s">
        <v>501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424</v>
      </c>
      <c r="AU10" s="11">
        <v>240000</v>
      </c>
      <c r="AX10" s="11">
        <f ca="1">IFERROR(OFFSET(ITEM_RES!$A$1,MATCH(AY10,ITEM_RES!$J:$J,0)-1,0),0)</f>
        <v>211020101</v>
      </c>
      <c r="AY10" s="10" t="s">
        <v>443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559</v>
      </c>
      <c r="M11" s="9">
        <v>1</v>
      </c>
      <c r="N11" s="9">
        <v>15</v>
      </c>
      <c r="O11" s="9" t="s">
        <v>1100</v>
      </c>
      <c r="S11" s="9" t="s">
        <v>675</v>
      </c>
      <c r="V11" s="9">
        <f ca="1">IFERROR(OFFSET(ITEM_RES!$A$5,MATCH(BUILDING!U11,ITEM_RES!$J$5:$J$229,0)-1,0),0)</f>
        <v>0</v>
      </c>
      <c r="X11" s="84" t="s">
        <v>531</v>
      </c>
      <c r="Y11" s="9">
        <f ca="1">IFERROR(OFFSET(ITEM_RES!$A$5,MATCH(BUILDING!X11,ITEM_RES!$J$5:$J$229,0)-1,0),0)</f>
        <v>211010101</v>
      </c>
      <c r="AA11" s="9" t="s">
        <v>501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424</v>
      </c>
      <c r="AU11" s="11">
        <v>540000</v>
      </c>
      <c r="AX11" s="11">
        <f ca="1">IFERROR(OFFSET(ITEM_RES!$A$1,MATCH(AY11,ITEM_RES!$J:$J,0)-1,0),0)</f>
        <v>211020101</v>
      </c>
      <c r="AY11" s="10" t="s">
        <v>443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559</v>
      </c>
      <c r="M12" s="9">
        <v>1</v>
      </c>
      <c r="N12" s="9">
        <v>15</v>
      </c>
      <c r="O12" s="9" t="s">
        <v>1100</v>
      </c>
      <c r="S12" s="9" t="s">
        <v>675</v>
      </c>
      <c r="V12" s="9">
        <f ca="1">IFERROR(OFFSET(ITEM_RES!$A$5,MATCH(BUILDING!U12,ITEM_RES!$J$5:$J$229,0)-1,0),0)</f>
        <v>0</v>
      </c>
      <c r="X12" s="84" t="s">
        <v>531</v>
      </c>
      <c r="Y12" s="9">
        <f ca="1">IFERROR(OFFSET(ITEM_RES!$A$5,MATCH(BUILDING!X12,ITEM_RES!$J$5:$J$229,0)-1,0),0)</f>
        <v>211010101</v>
      </c>
      <c r="AA12" s="9" t="s">
        <v>501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424</v>
      </c>
      <c r="AU12" s="11">
        <v>1000000</v>
      </c>
      <c r="AX12" s="11">
        <f ca="1">IFERROR(OFFSET(ITEM_RES!$A$1,MATCH(AY12,ITEM_RES!$J:$J,0)-1,0),0)</f>
        <v>211020101</v>
      </c>
      <c r="AY12" s="10" t="s">
        <v>443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559</v>
      </c>
      <c r="M13" s="9">
        <v>1</v>
      </c>
      <c r="N13" s="9">
        <v>15</v>
      </c>
      <c r="O13" s="9" t="s">
        <v>1100</v>
      </c>
      <c r="S13" s="9" t="s">
        <v>676</v>
      </c>
      <c r="V13" s="9">
        <f ca="1">IFERROR(OFFSET(ITEM_RES!$A$5,MATCH(BUILDING!U13,ITEM_RES!$J$5:$J$229,0)-1,0),0)</f>
        <v>0</v>
      </c>
      <c r="X13" s="84" t="s">
        <v>531</v>
      </c>
      <c r="Y13" s="9">
        <f ca="1">IFERROR(OFFSET(ITEM_RES!$A$5,MATCH(BUILDING!X13,ITEM_RES!$J$5:$J$229,0)-1,0),0)</f>
        <v>211010101</v>
      </c>
      <c r="AA13" s="9" t="s">
        <v>501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424</v>
      </c>
      <c r="AU13" s="11">
        <v>1580000</v>
      </c>
      <c r="AX13" s="11">
        <f ca="1">IFERROR(OFFSET(ITEM_RES!$A$1,MATCH(AY13,ITEM_RES!$J:$J,0)-1,0),0)</f>
        <v>211020101</v>
      </c>
      <c r="AY13" s="10" t="s">
        <v>443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559</v>
      </c>
      <c r="M14" s="9">
        <v>1</v>
      </c>
      <c r="N14" s="9">
        <v>15</v>
      </c>
      <c r="O14" s="9" t="s">
        <v>1100</v>
      </c>
      <c r="S14" s="9" t="s">
        <v>676</v>
      </c>
      <c r="V14" s="9">
        <f ca="1">IFERROR(OFFSET(ITEM_RES!$A$5,MATCH(BUILDING!U14,ITEM_RES!$J$5:$J$229,0)-1,0),0)</f>
        <v>0</v>
      </c>
      <c r="X14" s="84" t="s">
        <v>531</v>
      </c>
      <c r="Y14" s="9">
        <f ca="1">IFERROR(OFFSET(ITEM_RES!$A$5,MATCH(BUILDING!X14,ITEM_RES!$J$5:$J$229,0)-1,0),0)</f>
        <v>211010101</v>
      </c>
      <c r="AA14" s="9" t="s">
        <v>501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424</v>
      </c>
      <c r="AU14" s="11">
        <v>2200000</v>
      </c>
      <c r="AX14" s="11">
        <f ca="1">IFERROR(OFFSET(ITEM_RES!$A$1,MATCH(AY14,ITEM_RES!$J:$J,0)-1,0),0)</f>
        <v>211020101</v>
      </c>
      <c r="AY14" s="10" t="s">
        <v>443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454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559</v>
      </c>
      <c r="M15" s="9">
        <v>1</v>
      </c>
      <c r="N15" s="9">
        <v>15</v>
      </c>
      <c r="O15" s="9" t="s">
        <v>1100</v>
      </c>
      <c r="S15" s="9" t="s">
        <v>676</v>
      </c>
      <c r="V15" s="9">
        <f ca="1">IFERROR(OFFSET(ITEM_RES!$A$5,MATCH(BUILDING!U15,ITEM_RES!$J$5:$J$229,0)-1,0),0)</f>
        <v>0</v>
      </c>
      <c r="X15" s="84" t="s">
        <v>531</v>
      </c>
      <c r="Y15" s="9">
        <f ca="1">IFERROR(OFFSET(ITEM_RES!$A$5,MATCH(BUILDING!X15,ITEM_RES!$J$5:$J$229,0)-1,0),0)</f>
        <v>211010101</v>
      </c>
      <c r="AA15" s="9" t="s">
        <v>501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424</v>
      </c>
      <c r="AU15" s="11">
        <v>4400000</v>
      </c>
      <c r="AX15" s="11">
        <f ca="1">IFERROR(OFFSET(ITEM_RES!$A$1,MATCH(AY15,ITEM_RES!$J:$J,0)-1,0),0)</f>
        <v>211020101</v>
      </c>
      <c r="AY15" s="10" t="s">
        <v>443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559</v>
      </c>
      <c r="M16" s="9">
        <v>1</v>
      </c>
      <c r="N16" s="9">
        <v>15</v>
      </c>
      <c r="O16" s="9" t="s">
        <v>1100</v>
      </c>
      <c r="S16" s="9" t="s">
        <v>676</v>
      </c>
      <c r="V16" s="9">
        <f ca="1">IFERROR(OFFSET(ITEM_RES!$A$5,MATCH(BUILDING!U16,ITEM_RES!$J$5:$J$229,0)-1,0),0)</f>
        <v>0</v>
      </c>
      <c r="X16" s="84" t="s">
        <v>531</v>
      </c>
      <c r="Y16" s="9">
        <f ca="1">IFERROR(OFFSET(ITEM_RES!$A$5,MATCH(BUILDING!X16,ITEM_RES!$J$5:$J$229,0)-1,0),0)</f>
        <v>211010101</v>
      </c>
      <c r="AA16" s="9" t="s">
        <v>501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424</v>
      </c>
      <c r="AU16" s="11">
        <v>5200000</v>
      </c>
      <c r="AX16" s="11">
        <f ca="1">IFERROR(OFFSET(ITEM_RES!$A$1,MATCH(AY16,ITEM_RES!$J:$J,0)-1,0),0)</f>
        <v>211020101</v>
      </c>
      <c r="AY16" s="10" t="s">
        <v>443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559</v>
      </c>
      <c r="M17" s="9">
        <v>1</v>
      </c>
      <c r="N17" s="9">
        <v>15</v>
      </c>
      <c r="O17" s="9" t="s">
        <v>1100</v>
      </c>
      <c r="S17" s="9" t="s">
        <v>676</v>
      </c>
      <c r="V17" s="9">
        <f ca="1">IFERROR(OFFSET(ITEM_RES!$A$5,MATCH(BUILDING!U17,ITEM_RES!$J$5:$J$229,0)-1,0),0)</f>
        <v>0</v>
      </c>
      <c r="X17" s="84" t="s">
        <v>531</v>
      </c>
      <c r="Y17" s="9">
        <f ca="1">IFERROR(OFFSET(ITEM_RES!$A$5,MATCH(BUILDING!X17,ITEM_RES!$J$5:$J$229,0)-1,0),0)</f>
        <v>211010101</v>
      </c>
      <c r="AA17" s="9" t="s">
        <v>501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424</v>
      </c>
      <c r="AU17" s="11">
        <v>8600000</v>
      </c>
      <c r="AX17" s="11">
        <f ca="1">IFERROR(OFFSET(ITEM_RES!$A$1,MATCH(AY17,ITEM_RES!$J:$J,0)-1,0),0)</f>
        <v>211020101</v>
      </c>
      <c r="AY17" s="10" t="s">
        <v>443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559</v>
      </c>
      <c r="M18" s="9">
        <v>1</v>
      </c>
      <c r="N18" s="9">
        <v>15</v>
      </c>
      <c r="O18" s="9" t="s">
        <v>1100</v>
      </c>
      <c r="S18" s="9" t="s">
        <v>676</v>
      </c>
      <c r="V18" s="9">
        <f ca="1">IFERROR(OFFSET(ITEM_RES!$A$5,MATCH(BUILDING!U18,ITEM_RES!$J$5:$J$229,0)-1,0),0)</f>
        <v>0</v>
      </c>
      <c r="X18" s="84" t="s">
        <v>531</v>
      </c>
      <c r="Y18" s="9">
        <f ca="1">IFERROR(OFFSET(ITEM_RES!$A$5,MATCH(BUILDING!X18,ITEM_RES!$J$5:$J$229,0)-1,0),0)</f>
        <v>211010101</v>
      </c>
      <c r="AA18" s="9" t="s">
        <v>501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424</v>
      </c>
      <c r="AU18" s="11">
        <v>13200000</v>
      </c>
      <c r="AX18" s="11">
        <f ca="1">IFERROR(OFFSET(ITEM_RES!$A$1,MATCH(AY18,ITEM_RES!$J:$J,0)-1,0),0)</f>
        <v>211020101</v>
      </c>
      <c r="AY18" s="10" t="s">
        <v>443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559</v>
      </c>
      <c r="M19" s="9">
        <v>1</v>
      </c>
      <c r="N19" s="9">
        <v>15</v>
      </c>
      <c r="O19" s="9" t="s">
        <v>1100</v>
      </c>
      <c r="S19" s="9" t="s">
        <v>676</v>
      </c>
      <c r="V19" s="9">
        <f ca="1">IFERROR(OFFSET(ITEM_RES!$A$5,MATCH(BUILDING!U19,ITEM_RES!$J$5:$J$229,0)-1,0),0)</f>
        <v>0</v>
      </c>
      <c r="X19" s="84" t="s">
        <v>531</v>
      </c>
      <c r="Y19" s="9">
        <f ca="1">IFERROR(OFFSET(ITEM_RES!$A$5,MATCH(BUILDING!X19,ITEM_RES!$J$5:$J$229,0)-1,0),0)</f>
        <v>211010101</v>
      </c>
      <c r="AA19" s="9" t="s">
        <v>501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424</v>
      </c>
      <c r="AU19" s="11">
        <v>22000000</v>
      </c>
      <c r="AX19" s="11">
        <f ca="1">IFERROR(OFFSET(ITEM_RES!$A$1,MATCH(AY19,ITEM_RES!$J:$J,0)-1,0),0)</f>
        <v>211020101</v>
      </c>
      <c r="AY19" s="10" t="s">
        <v>443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559</v>
      </c>
      <c r="M20" s="9">
        <v>0</v>
      </c>
      <c r="N20" s="9">
        <v>15</v>
      </c>
      <c r="O20" s="9" t="s">
        <v>1100</v>
      </c>
      <c r="S20" s="9" t="s">
        <v>677</v>
      </c>
      <c r="V20" s="9">
        <f ca="1">IFERROR(OFFSET(ITEM_RES!$A$5,MATCH(BUILDING!U20,ITEM_RES!$J$5:$J$229,0)-1,0),0)</f>
        <v>0</v>
      </c>
      <c r="X20" s="84" t="s">
        <v>531</v>
      </c>
      <c r="Y20" s="9">
        <f ca="1">IFERROR(OFFSET(ITEM_RES!$A$5,MATCH(BUILDING!X20,ITEM_RES!$J$5:$J$229,0)-1,0),0)</f>
        <v>211010101</v>
      </c>
      <c r="AA20" s="9" t="s">
        <v>501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438</v>
      </c>
      <c r="AU20" s="11">
        <v>30000000</v>
      </c>
      <c r="AX20" s="11">
        <f ca="1">IFERROR(OFFSET(ITEM_RES!$A$1,MATCH(AY20,ITEM_RES!$J:$J,0)-1,0),0)</f>
        <v>211020101</v>
      </c>
      <c r="AY20" s="10" t="s">
        <v>443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559</v>
      </c>
      <c r="M21" s="9">
        <v>0</v>
      </c>
      <c r="N21" s="9">
        <v>15</v>
      </c>
      <c r="O21" s="9" t="s">
        <v>1100</v>
      </c>
      <c r="S21" s="9" t="s">
        <v>677</v>
      </c>
      <c r="V21" s="9">
        <f ca="1">IFERROR(OFFSET(ITEM_RES!$A$5,MATCH(BUILDING!U21,ITEM_RES!$J$5:$J$229,0)-1,0),0)</f>
        <v>0</v>
      </c>
      <c r="X21" s="84" t="s">
        <v>531</v>
      </c>
      <c r="Y21" s="9">
        <f ca="1">IFERROR(OFFSET(ITEM_RES!$A$5,MATCH(BUILDING!X21,ITEM_RES!$J$5:$J$229,0)-1,0),0)</f>
        <v>211010101</v>
      </c>
      <c r="AA21" s="9" t="s">
        <v>501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438</v>
      </c>
      <c r="AU21" s="11">
        <v>46000000</v>
      </c>
      <c r="AX21" s="11">
        <f ca="1">IFERROR(OFFSET(ITEM_RES!$A$1,MATCH(AY21,ITEM_RES!$J:$J,0)-1,0),0)</f>
        <v>211020101</v>
      </c>
      <c r="AY21" s="10" t="s">
        <v>443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559</v>
      </c>
      <c r="M22" s="9">
        <v>0</v>
      </c>
      <c r="N22" s="9">
        <v>15</v>
      </c>
      <c r="O22" s="9" t="s">
        <v>1100</v>
      </c>
      <c r="S22" s="9" t="s">
        <v>677</v>
      </c>
      <c r="V22" s="9">
        <f ca="1">IFERROR(OFFSET(ITEM_RES!$A$5,MATCH(BUILDING!U22,ITEM_RES!$J$5:$J$229,0)-1,0),0)</f>
        <v>0</v>
      </c>
      <c r="X22" s="84" t="s">
        <v>531</v>
      </c>
      <c r="Y22" s="9">
        <f ca="1">IFERROR(OFFSET(ITEM_RES!$A$5,MATCH(BUILDING!X22,ITEM_RES!$J$5:$J$229,0)-1,0),0)</f>
        <v>211010101</v>
      </c>
      <c r="AA22" s="9" t="s">
        <v>501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438</v>
      </c>
      <c r="AU22" s="11">
        <v>70000000</v>
      </c>
      <c r="AX22" s="11">
        <f ca="1">IFERROR(OFFSET(ITEM_RES!$A$1,MATCH(AY22,ITEM_RES!$J:$J,0)-1,0),0)</f>
        <v>211020101</v>
      </c>
      <c r="AY22" s="10" t="s">
        <v>443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559</v>
      </c>
      <c r="M23" s="9">
        <v>0</v>
      </c>
      <c r="N23" s="9">
        <v>15</v>
      </c>
      <c r="O23" s="9" t="s">
        <v>1100</v>
      </c>
      <c r="S23" s="9" t="s">
        <v>677</v>
      </c>
      <c r="V23" s="9">
        <f ca="1">IFERROR(OFFSET(ITEM_RES!$A$5,MATCH(BUILDING!U23,ITEM_RES!$J$5:$J$229,0)-1,0),0)</f>
        <v>0</v>
      </c>
      <c r="X23" s="84" t="s">
        <v>531</v>
      </c>
      <c r="Y23" s="9">
        <f ca="1">IFERROR(OFFSET(ITEM_RES!$A$5,MATCH(BUILDING!X23,ITEM_RES!$J$5:$J$229,0)-1,0),0)</f>
        <v>211010101</v>
      </c>
      <c r="AA23" s="9" t="s">
        <v>501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438</v>
      </c>
      <c r="AU23" s="11">
        <v>96000000</v>
      </c>
      <c r="AX23" s="11">
        <f ca="1">IFERROR(OFFSET(ITEM_RES!$A$1,MATCH(AY23,ITEM_RES!$J:$J,0)-1,0),0)</f>
        <v>211020101</v>
      </c>
      <c r="AY23" s="10" t="s">
        <v>443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559</v>
      </c>
      <c r="M24" s="9">
        <v>0</v>
      </c>
      <c r="N24" s="9">
        <v>15</v>
      </c>
      <c r="O24" s="9" t="s">
        <v>1100</v>
      </c>
      <c r="S24" s="9" t="s">
        <v>678</v>
      </c>
      <c r="V24" s="9">
        <f ca="1">IFERROR(OFFSET(ITEM_RES!$A$5,MATCH(BUILDING!U24,ITEM_RES!$J$5:$J$229,0)-1,0),0)</f>
        <v>0</v>
      </c>
      <c r="X24" s="84" t="s">
        <v>531</v>
      </c>
      <c r="Y24" s="9">
        <f ca="1">IFERROR(OFFSET(ITEM_RES!$A$5,MATCH(BUILDING!X24,ITEM_RES!$J$5:$J$229,0)-1,0),0)</f>
        <v>211010101</v>
      </c>
      <c r="AA24" s="9" t="s">
        <v>501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438</v>
      </c>
      <c r="AU24" s="11">
        <v>152000000</v>
      </c>
      <c r="AX24" s="11">
        <f ca="1">IFERROR(OFFSET(ITEM_RES!$A$1,MATCH(AY24,ITEM_RES!$J:$J,0)-1,0),0)</f>
        <v>211020101</v>
      </c>
      <c r="AY24" s="10" t="s">
        <v>443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560</v>
      </c>
      <c r="L25" s="16">
        <v>5</v>
      </c>
      <c r="M25" s="16">
        <v>1</v>
      </c>
      <c r="N25" s="16">
        <v>15</v>
      </c>
      <c r="O25" s="16" t="s">
        <v>1102</v>
      </c>
      <c r="P25" s="17"/>
      <c r="Q25" s="17"/>
      <c r="R25" s="18"/>
      <c r="S25" s="16" t="s">
        <v>680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532</v>
      </c>
      <c r="Y25" s="16">
        <f ca="1">IFERROR(OFFSET(ITEM_RES!$A$5,MATCH(BUILDING!X25,ITEM_RES!$J$5:$J$229,0)-1,0),0)</f>
        <v>211010201</v>
      </c>
      <c r="Z25" s="78"/>
      <c r="AA25" s="16" t="s">
        <v>502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425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443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447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1103</v>
      </c>
      <c r="S26" s="9" t="s">
        <v>680</v>
      </c>
      <c r="V26" s="9">
        <f ca="1">IFERROR(OFFSET(ITEM_RES!$A$5,MATCH(BUILDING!U26,ITEM_RES!$J$5:$J$229,0)-1,0),0)</f>
        <v>0</v>
      </c>
      <c r="X26" s="84" t="s">
        <v>532</v>
      </c>
      <c r="Y26" s="9">
        <f ca="1">IFERROR(OFFSET(ITEM_RES!$A$5,MATCH(BUILDING!X26,ITEM_RES!$J$5:$J$229,0)-1,0),0)</f>
        <v>211010201</v>
      </c>
      <c r="AA26" s="9" t="s">
        <v>502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425</v>
      </c>
      <c r="AU26" s="11">
        <v>20</v>
      </c>
      <c r="AX26" s="11">
        <f ca="1">IFERROR(OFFSET(ITEM_RES!$A$1,MATCH(AY26,ITEM_RES!$J:$J,0)-1,0),0)</f>
        <v>211020101</v>
      </c>
      <c r="AY26" s="10" t="s">
        <v>443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1104</v>
      </c>
      <c r="S27" s="9" t="s">
        <v>680</v>
      </c>
      <c r="V27" s="9">
        <f ca="1">IFERROR(OFFSET(ITEM_RES!$A$5,MATCH(BUILDING!U27,ITEM_RES!$J$5:$J$229,0)-1,0),0)</f>
        <v>0</v>
      </c>
      <c r="X27" s="84" t="s">
        <v>532</v>
      </c>
      <c r="Y27" s="9">
        <f ca="1">IFERROR(OFFSET(ITEM_RES!$A$5,MATCH(BUILDING!X27,ITEM_RES!$J$5:$J$229,0)-1,0),0)</f>
        <v>211010201</v>
      </c>
      <c r="AA27" s="9" t="s">
        <v>502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425</v>
      </c>
      <c r="AU27" s="11">
        <v>160</v>
      </c>
      <c r="AX27" s="11">
        <f ca="1">IFERROR(OFFSET(ITEM_RES!$A$1,MATCH(AY27,ITEM_RES!$J:$J,0)-1,0),0)</f>
        <v>211020101</v>
      </c>
      <c r="AY27" s="10" t="s">
        <v>443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1104</v>
      </c>
      <c r="S28" s="9" t="s">
        <v>680</v>
      </c>
      <c r="V28" s="9">
        <f ca="1">IFERROR(OFFSET(ITEM_RES!$A$5,MATCH(BUILDING!U28,ITEM_RES!$J$5:$J$229,0)-1,0),0)</f>
        <v>0</v>
      </c>
      <c r="X28" s="84" t="s">
        <v>532</v>
      </c>
      <c r="Y28" s="9">
        <f ca="1">IFERROR(OFFSET(ITEM_RES!$A$5,MATCH(BUILDING!X28,ITEM_RES!$J$5:$J$229,0)-1,0),0)</f>
        <v>211010201</v>
      </c>
      <c r="AA28" s="9" t="s">
        <v>502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425</v>
      </c>
      <c r="AU28" s="11">
        <v>1920</v>
      </c>
      <c r="AX28" s="11">
        <f ca="1">IFERROR(OFFSET(ITEM_RES!$A$1,MATCH(AY28,ITEM_RES!$J:$J,0)-1,0),0)</f>
        <v>211020101</v>
      </c>
      <c r="AY28" s="10" t="s">
        <v>443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1105</v>
      </c>
      <c r="S29" s="9" t="s">
        <v>680</v>
      </c>
      <c r="V29" s="9">
        <f ca="1">IFERROR(OFFSET(ITEM_RES!$A$5,MATCH(BUILDING!U29,ITEM_RES!$J$5:$J$229,0)-1,0),0)</f>
        <v>0</v>
      </c>
      <c r="X29" s="84" t="s">
        <v>532</v>
      </c>
      <c r="Y29" s="9">
        <f ca="1">IFERROR(OFFSET(ITEM_RES!$A$5,MATCH(BUILDING!X29,ITEM_RES!$J$5:$J$229,0)-1,0),0)</f>
        <v>211010201</v>
      </c>
      <c r="AA29" s="9" t="s">
        <v>502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425</v>
      </c>
      <c r="AU29" s="11">
        <v>26000</v>
      </c>
      <c r="AX29" s="11">
        <f ca="1">IFERROR(OFFSET(ITEM_RES!$A$1,MATCH(AY29,ITEM_RES!$J:$J,0)-1,0),0)</f>
        <v>211020101</v>
      </c>
      <c r="AY29" s="10" t="s">
        <v>443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1106</v>
      </c>
      <c r="S30" s="9" t="s">
        <v>680</v>
      </c>
      <c r="V30" s="9">
        <f ca="1">IFERROR(OFFSET(ITEM_RES!$A$5,MATCH(BUILDING!U30,ITEM_RES!$J$5:$J$229,0)-1,0),0)</f>
        <v>0</v>
      </c>
      <c r="X30" s="84" t="s">
        <v>532</v>
      </c>
      <c r="Y30" s="9">
        <f ca="1">IFERROR(OFFSET(ITEM_RES!$A$5,MATCH(BUILDING!X30,ITEM_RES!$J$5:$J$229,0)-1,0),0)</f>
        <v>211010201</v>
      </c>
      <c r="AA30" s="9" t="s">
        <v>502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425</v>
      </c>
      <c r="AU30" s="11">
        <v>240000</v>
      </c>
      <c r="AX30" s="11">
        <f ca="1">IFERROR(OFFSET(ITEM_RES!$A$1,MATCH(AY30,ITEM_RES!$J:$J,0)-1,0),0)</f>
        <v>211020101</v>
      </c>
      <c r="AY30" s="10" t="s">
        <v>443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1107</v>
      </c>
      <c r="S31" s="9" t="s">
        <v>680</v>
      </c>
      <c r="V31" s="9">
        <f ca="1">IFERROR(OFFSET(ITEM_RES!$A$5,MATCH(BUILDING!U31,ITEM_RES!$J$5:$J$229,0)-1,0),0)</f>
        <v>0</v>
      </c>
      <c r="X31" s="84" t="s">
        <v>532</v>
      </c>
      <c r="Y31" s="9">
        <f ca="1">IFERROR(OFFSET(ITEM_RES!$A$5,MATCH(BUILDING!X31,ITEM_RES!$J$5:$J$229,0)-1,0),0)</f>
        <v>211010201</v>
      </c>
      <c r="AA31" s="9" t="s">
        <v>502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425</v>
      </c>
      <c r="AU31" s="11">
        <v>540000</v>
      </c>
      <c r="AX31" s="11">
        <f ca="1">IFERROR(OFFSET(ITEM_RES!$A$1,MATCH(AY31,ITEM_RES!$J:$J,0)-1,0),0)</f>
        <v>211020101</v>
      </c>
      <c r="AY31" s="10" t="s">
        <v>443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1107</v>
      </c>
      <c r="S32" s="9" t="s">
        <v>680</v>
      </c>
      <c r="V32" s="9">
        <f ca="1">IFERROR(OFFSET(ITEM_RES!$A$5,MATCH(BUILDING!U32,ITEM_RES!$J$5:$J$229,0)-1,0),0)</f>
        <v>0</v>
      </c>
      <c r="X32" s="84" t="s">
        <v>532</v>
      </c>
      <c r="Y32" s="9">
        <f ca="1">IFERROR(OFFSET(ITEM_RES!$A$5,MATCH(BUILDING!X32,ITEM_RES!$J$5:$J$229,0)-1,0),0)</f>
        <v>211010201</v>
      </c>
      <c r="AA32" s="9" t="s">
        <v>502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425</v>
      </c>
      <c r="AU32" s="11">
        <v>1000000</v>
      </c>
      <c r="AX32" s="11">
        <f ca="1">IFERROR(OFFSET(ITEM_RES!$A$1,MATCH(AY32,ITEM_RES!$J:$J,0)-1,0),0)</f>
        <v>211020101</v>
      </c>
      <c r="AY32" s="10" t="s">
        <v>443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1107</v>
      </c>
      <c r="S33" s="9" t="s">
        <v>680</v>
      </c>
      <c r="V33" s="9">
        <f ca="1">IFERROR(OFFSET(ITEM_RES!$A$5,MATCH(BUILDING!U33,ITEM_RES!$J$5:$J$229,0)-1,0),0)</f>
        <v>0</v>
      </c>
      <c r="X33" s="84" t="s">
        <v>532</v>
      </c>
      <c r="Y33" s="9">
        <f ca="1">IFERROR(OFFSET(ITEM_RES!$A$5,MATCH(BUILDING!X33,ITEM_RES!$J$5:$J$229,0)-1,0),0)</f>
        <v>211010201</v>
      </c>
      <c r="AA33" s="9" t="s">
        <v>502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425</v>
      </c>
      <c r="AU33" s="11">
        <v>1580000</v>
      </c>
      <c r="AX33" s="11">
        <f ca="1">IFERROR(OFFSET(ITEM_RES!$A$1,MATCH(AY33,ITEM_RES!$J:$J,0)-1,0),0)</f>
        <v>211020101</v>
      </c>
      <c r="AY33" s="10" t="s">
        <v>443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1107</v>
      </c>
      <c r="S34" s="9" t="s">
        <v>680</v>
      </c>
      <c r="V34" s="9">
        <f ca="1">IFERROR(OFFSET(ITEM_RES!$A$5,MATCH(BUILDING!U34,ITEM_RES!$J$5:$J$229,0)-1,0),0)</f>
        <v>0</v>
      </c>
      <c r="X34" s="84" t="s">
        <v>532</v>
      </c>
      <c r="Y34" s="9">
        <f ca="1">IFERROR(OFFSET(ITEM_RES!$A$5,MATCH(BUILDING!X34,ITEM_RES!$J$5:$J$229,0)-1,0),0)</f>
        <v>211010201</v>
      </c>
      <c r="AA34" s="9" t="s">
        <v>502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425</v>
      </c>
      <c r="AU34" s="11">
        <v>2200000</v>
      </c>
      <c r="AX34" s="11">
        <f ca="1">IFERROR(OFFSET(ITEM_RES!$A$1,MATCH(AY34,ITEM_RES!$J:$J,0)-1,0),0)</f>
        <v>211020101</v>
      </c>
      <c r="AY34" s="10" t="s">
        <v>443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1107</v>
      </c>
      <c r="S35" s="9" t="s">
        <v>680</v>
      </c>
      <c r="V35" s="9">
        <f ca="1">IFERROR(OFFSET(ITEM_RES!$A$5,MATCH(BUILDING!U35,ITEM_RES!$J$5:$J$229,0)-1,0),0)</f>
        <v>0</v>
      </c>
      <c r="X35" s="84" t="s">
        <v>532</v>
      </c>
      <c r="Y35" s="9">
        <f ca="1">IFERROR(OFFSET(ITEM_RES!$A$5,MATCH(BUILDING!X35,ITEM_RES!$J$5:$J$229,0)-1,0),0)</f>
        <v>211010201</v>
      </c>
      <c r="AA35" s="9" t="s">
        <v>502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425</v>
      </c>
      <c r="AU35" s="11">
        <v>4400000</v>
      </c>
      <c r="AX35" s="11">
        <f ca="1">IFERROR(OFFSET(ITEM_RES!$A$1,MATCH(AY35,ITEM_RES!$J:$J,0)-1,0),0)</f>
        <v>211020101</v>
      </c>
      <c r="AY35" s="10" t="s">
        <v>443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1107</v>
      </c>
      <c r="S36" s="9" t="s">
        <v>680</v>
      </c>
      <c r="V36" s="9">
        <f ca="1">IFERROR(OFFSET(ITEM_RES!$A$5,MATCH(BUILDING!U36,ITEM_RES!$J$5:$J$229,0)-1,0),0)</f>
        <v>0</v>
      </c>
      <c r="X36" s="84" t="s">
        <v>532</v>
      </c>
      <c r="Y36" s="9">
        <f ca="1">IFERROR(OFFSET(ITEM_RES!$A$5,MATCH(BUILDING!X36,ITEM_RES!$J$5:$J$229,0)-1,0),0)</f>
        <v>211010201</v>
      </c>
      <c r="AA36" s="9" t="s">
        <v>502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425</v>
      </c>
      <c r="AU36" s="11">
        <v>5200000</v>
      </c>
      <c r="AX36" s="11">
        <f ca="1">IFERROR(OFFSET(ITEM_RES!$A$1,MATCH(AY36,ITEM_RES!$J:$J,0)-1,0),0)</f>
        <v>211020101</v>
      </c>
      <c r="AY36" s="10" t="s">
        <v>443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1107</v>
      </c>
      <c r="S37" s="9" t="s">
        <v>680</v>
      </c>
      <c r="V37" s="9">
        <f ca="1">IFERROR(OFFSET(ITEM_RES!$A$5,MATCH(BUILDING!U37,ITEM_RES!$J$5:$J$229,0)-1,0),0)</f>
        <v>0</v>
      </c>
      <c r="X37" s="84" t="s">
        <v>532</v>
      </c>
      <c r="Y37" s="9">
        <f ca="1">IFERROR(OFFSET(ITEM_RES!$A$5,MATCH(BUILDING!X37,ITEM_RES!$J$5:$J$229,0)-1,0),0)</f>
        <v>211010201</v>
      </c>
      <c r="AA37" s="9" t="s">
        <v>502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425</v>
      </c>
      <c r="AU37" s="11">
        <v>8600000</v>
      </c>
      <c r="AX37" s="11">
        <f ca="1">IFERROR(OFFSET(ITEM_RES!$A$1,MATCH(AY37,ITEM_RES!$J:$J,0)-1,0),0)</f>
        <v>211020101</v>
      </c>
      <c r="AY37" s="10" t="s">
        <v>443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1107</v>
      </c>
      <c r="S38" s="9" t="s">
        <v>680</v>
      </c>
      <c r="V38" s="9">
        <f ca="1">IFERROR(OFFSET(ITEM_RES!$A$5,MATCH(BUILDING!U38,ITEM_RES!$J$5:$J$229,0)-1,0),0)</f>
        <v>0</v>
      </c>
      <c r="X38" s="84" t="s">
        <v>532</v>
      </c>
      <c r="Y38" s="9">
        <f ca="1">IFERROR(OFFSET(ITEM_RES!$A$5,MATCH(BUILDING!X38,ITEM_RES!$J$5:$J$229,0)-1,0),0)</f>
        <v>211010201</v>
      </c>
      <c r="AA38" s="9" t="s">
        <v>502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425</v>
      </c>
      <c r="AU38" s="11">
        <v>13200000</v>
      </c>
      <c r="AX38" s="11">
        <f ca="1">IFERROR(OFFSET(ITEM_RES!$A$1,MATCH(AY38,ITEM_RES!$J:$J,0)-1,0),0)</f>
        <v>211020101</v>
      </c>
      <c r="AY38" s="10" t="s">
        <v>443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1107</v>
      </c>
      <c r="S39" s="9" t="s">
        <v>680</v>
      </c>
      <c r="V39" s="9">
        <f ca="1">IFERROR(OFFSET(ITEM_RES!$A$5,MATCH(BUILDING!U39,ITEM_RES!$J$5:$J$229,0)-1,0),0)</f>
        <v>0</v>
      </c>
      <c r="X39" s="84" t="s">
        <v>532</v>
      </c>
      <c r="Y39" s="9">
        <f ca="1">IFERROR(OFFSET(ITEM_RES!$A$5,MATCH(BUILDING!X39,ITEM_RES!$J$5:$J$229,0)-1,0),0)</f>
        <v>211010201</v>
      </c>
      <c r="AA39" s="9" t="s">
        <v>502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438</v>
      </c>
      <c r="AU39" s="11">
        <v>22000000</v>
      </c>
      <c r="AX39" s="11">
        <f ca="1">IFERROR(OFFSET(ITEM_RES!$A$1,MATCH(AY39,ITEM_RES!$J:$J,0)-1,0),0)</f>
        <v>211020101</v>
      </c>
      <c r="AY39" s="10" t="s">
        <v>443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1107</v>
      </c>
      <c r="S40" s="9" t="s">
        <v>680</v>
      </c>
      <c r="V40" s="9">
        <f ca="1">IFERROR(OFFSET(ITEM_RES!$A$5,MATCH(BUILDING!U40,ITEM_RES!$J$5:$J$229,0)-1,0),0)</f>
        <v>0</v>
      </c>
      <c r="X40" s="84" t="s">
        <v>532</v>
      </c>
      <c r="Y40" s="9">
        <f ca="1">IFERROR(OFFSET(ITEM_RES!$A$5,MATCH(BUILDING!X40,ITEM_RES!$J$5:$J$229,0)-1,0),0)</f>
        <v>211010201</v>
      </c>
      <c r="AA40" s="9" t="s">
        <v>502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438</v>
      </c>
      <c r="AU40" s="11">
        <v>30000000</v>
      </c>
      <c r="AX40" s="11">
        <f ca="1">IFERROR(OFFSET(ITEM_RES!$A$1,MATCH(AY40,ITEM_RES!$J:$J,0)-1,0),0)</f>
        <v>211020101</v>
      </c>
      <c r="AY40" s="10" t="s">
        <v>443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1107</v>
      </c>
      <c r="S41" s="9" t="s">
        <v>680</v>
      </c>
      <c r="V41" s="9">
        <f ca="1">IFERROR(OFFSET(ITEM_RES!$A$5,MATCH(BUILDING!U41,ITEM_RES!$J$5:$J$229,0)-1,0),0)</f>
        <v>0</v>
      </c>
      <c r="X41" s="84" t="s">
        <v>532</v>
      </c>
      <c r="Y41" s="9">
        <f ca="1">IFERROR(OFFSET(ITEM_RES!$A$5,MATCH(BUILDING!X41,ITEM_RES!$J$5:$J$229,0)-1,0),0)</f>
        <v>211010201</v>
      </c>
      <c r="AA41" s="9" t="s">
        <v>502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438</v>
      </c>
      <c r="AU41" s="11">
        <v>46000000</v>
      </c>
      <c r="AX41" s="11">
        <f ca="1">IFERROR(OFFSET(ITEM_RES!$A$1,MATCH(AY41,ITEM_RES!$J:$J,0)-1,0),0)</f>
        <v>211020101</v>
      </c>
      <c r="AY41" s="10" t="s">
        <v>443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1107</v>
      </c>
      <c r="S42" s="9" t="s">
        <v>680</v>
      </c>
      <c r="V42" s="9">
        <f ca="1">IFERROR(OFFSET(ITEM_RES!$A$5,MATCH(BUILDING!U42,ITEM_RES!$J$5:$J$229,0)-1,0),0)</f>
        <v>0</v>
      </c>
      <c r="X42" s="84" t="s">
        <v>532</v>
      </c>
      <c r="Y42" s="9">
        <f ca="1">IFERROR(OFFSET(ITEM_RES!$A$5,MATCH(BUILDING!X42,ITEM_RES!$J$5:$J$229,0)-1,0),0)</f>
        <v>211010201</v>
      </c>
      <c r="AA42" s="9" t="s">
        <v>502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438</v>
      </c>
      <c r="AU42" s="11">
        <v>70000000</v>
      </c>
      <c r="AX42" s="11">
        <f ca="1">IFERROR(OFFSET(ITEM_RES!$A$1,MATCH(AY42,ITEM_RES!$J:$J,0)-1,0),0)</f>
        <v>211020101</v>
      </c>
      <c r="AY42" s="10" t="s">
        <v>443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1107</v>
      </c>
      <c r="S43" s="9" t="s">
        <v>680</v>
      </c>
      <c r="V43" s="9">
        <f ca="1">IFERROR(OFFSET(ITEM_RES!$A$5,MATCH(BUILDING!U43,ITEM_RES!$J$5:$J$229,0)-1,0),0)</f>
        <v>0</v>
      </c>
      <c r="X43" s="84" t="s">
        <v>532</v>
      </c>
      <c r="Y43" s="9">
        <f ca="1">IFERROR(OFFSET(ITEM_RES!$A$5,MATCH(BUILDING!X43,ITEM_RES!$J$5:$J$229,0)-1,0),0)</f>
        <v>211010201</v>
      </c>
      <c r="AA43" s="9" t="s">
        <v>502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438</v>
      </c>
      <c r="AU43" s="11">
        <v>96000000</v>
      </c>
      <c r="AX43" s="11">
        <f ca="1">IFERROR(OFFSET(ITEM_RES!$A$1,MATCH(AY43,ITEM_RES!$J:$J,0)-1,0),0)</f>
        <v>211020101</v>
      </c>
      <c r="AY43" s="10" t="s">
        <v>443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1107</v>
      </c>
      <c r="S44" s="9" t="s">
        <v>680</v>
      </c>
      <c r="V44" s="9">
        <f ca="1">IFERROR(OFFSET(ITEM_RES!$A$5,MATCH(BUILDING!U44,ITEM_RES!$J$5:$J$229,0)-1,0),0)</f>
        <v>0</v>
      </c>
      <c r="X44" s="84" t="s">
        <v>532</v>
      </c>
      <c r="Y44" s="9">
        <f ca="1">IFERROR(OFFSET(ITEM_RES!$A$5,MATCH(BUILDING!X44,ITEM_RES!$J$5:$J$229,0)-1,0),0)</f>
        <v>211010201</v>
      </c>
      <c r="AA44" s="9" t="s">
        <v>502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438</v>
      </c>
      <c r="AU44" s="11">
        <v>152000000</v>
      </c>
      <c r="AX44" s="11">
        <f ca="1">IFERROR(OFFSET(ITEM_RES!$A$1,MATCH(AY44,ITEM_RES!$J:$J,0)-1,0),0)</f>
        <v>211020101</v>
      </c>
      <c r="AY44" s="10" t="s">
        <v>443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1090</v>
      </c>
      <c r="P45" s="17"/>
      <c r="Q45" s="17"/>
      <c r="R45" s="18"/>
      <c r="S45" s="16" t="s">
        <v>681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533</v>
      </c>
      <c r="Y45" s="16">
        <f ca="1">IFERROR(OFFSET(ITEM_RES!$A$5,MATCH(BUILDING!X45,ITEM_RES!$J$5:$J$229,0)-1,0),0)</f>
        <v>211010301</v>
      </c>
      <c r="Z45" s="78"/>
      <c r="AA45" s="16" t="s">
        <v>503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426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443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447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1091</v>
      </c>
      <c r="S46" s="9" t="s">
        <v>681</v>
      </c>
      <c r="V46" s="9">
        <f ca="1">IFERROR(OFFSET(ITEM_RES!$A$5,MATCH(BUILDING!U46,ITEM_RES!$J$5:$J$229,0)-1,0),0)</f>
        <v>0</v>
      </c>
      <c r="X46" s="84" t="s">
        <v>533</v>
      </c>
      <c r="Y46" s="9">
        <f ca="1">IFERROR(OFFSET(ITEM_RES!$A$5,MATCH(BUILDING!X46,ITEM_RES!$J$5:$J$229,0)-1,0),0)</f>
        <v>211010301</v>
      </c>
      <c r="AA46" s="9" t="s">
        <v>503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426</v>
      </c>
      <c r="AU46" s="11">
        <v>20</v>
      </c>
      <c r="AX46" s="11">
        <f ca="1">IFERROR(OFFSET(ITEM_RES!$A$1,MATCH(AY46,ITEM_RES!$J:$J,0)-1,0),0)</f>
        <v>211020101</v>
      </c>
      <c r="AY46" s="10" t="s">
        <v>443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1092</v>
      </c>
      <c r="S47" s="9" t="s">
        <v>681</v>
      </c>
      <c r="V47" s="9">
        <f ca="1">IFERROR(OFFSET(ITEM_RES!$A$5,MATCH(BUILDING!U47,ITEM_RES!$J$5:$J$229,0)-1,0),0)</f>
        <v>0</v>
      </c>
      <c r="X47" s="84" t="s">
        <v>533</v>
      </c>
      <c r="Y47" s="9">
        <f ca="1">IFERROR(OFFSET(ITEM_RES!$A$5,MATCH(BUILDING!X47,ITEM_RES!$J$5:$J$229,0)-1,0),0)</f>
        <v>211010301</v>
      </c>
      <c r="AA47" s="9" t="s">
        <v>503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426</v>
      </c>
      <c r="AU47" s="11">
        <v>160</v>
      </c>
      <c r="AX47" s="11">
        <f ca="1">IFERROR(OFFSET(ITEM_RES!$A$1,MATCH(AY47,ITEM_RES!$J:$J,0)-1,0),0)</f>
        <v>211020101</v>
      </c>
      <c r="AY47" s="10" t="s">
        <v>443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1092</v>
      </c>
      <c r="S48" s="9" t="s">
        <v>681</v>
      </c>
      <c r="V48" s="9">
        <f ca="1">IFERROR(OFFSET(ITEM_RES!$A$5,MATCH(BUILDING!U48,ITEM_RES!$J$5:$J$229,0)-1,0),0)</f>
        <v>0</v>
      </c>
      <c r="X48" s="84" t="s">
        <v>533</v>
      </c>
      <c r="Y48" s="9">
        <f ca="1">IFERROR(OFFSET(ITEM_RES!$A$5,MATCH(BUILDING!X48,ITEM_RES!$J$5:$J$229,0)-1,0),0)</f>
        <v>211010301</v>
      </c>
      <c r="AA48" s="9" t="s">
        <v>503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426</v>
      </c>
      <c r="AU48" s="11">
        <v>1920</v>
      </c>
      <c r="AX48" s="11">
        <f ca="1">IFERROR(OFFSET(ITEM_RES!$A$1,MATCH(AY48,ITEM_RES!$J:$J,0)-1,0),0)</f>
        <v>211020101</v>
      </c>
      <c r="AY48" s="10" t="s">
        <v>443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1093</v>
      </c>
      <c r="S49" s="9" t="s">
        <v>681</v>
      </c>
      <c r="V49" s="9">
        <f ca="1">IFERROR(OFFSET(ITEM_RES!$A$5,MATCH(BUILDING!U49,ITEM_RES!$J$5:$J$229,0)-1,0),0)</f>
        <v>0</v>
      </c>
      <c r="X49" s="84" t="s">
        <v>533</v>
      </c>
      <c r="Y49" s="9">
        <f ca="1">IFERROR(OFFSET(ITEM_RES!$A$5,MATCH(BUILDING!X49,ITEM_RES!$J$5:$J$229,0)-1,0),0)</f>
        <v>211010301</v>
      </c>
      <c r="AA49" s="9" t="s">
        <v>503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426</v>
      </c>
      <c r="AU49" s="11">
        <v>26000</v>
      </c>
      <c r="AX49" s="11">
        <f ca="1">IFERROR(OFFSET(ITEM_RES!$A$1,MATCH(AY49,ITEM_RES!$J:$J,0)-1,0),0)</f>
        <v>211020101</v>
      </c>
      <c r="AY49" s="10" t="s">
        <v>443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1094</v>
      </c>
      <c r="S50" s="9" t="s">
        <v>681</v>
      </c>
      <c r="V50" s="9">
        <f ca="1">IFERROR(OFFSET(ITEM_RES!$A$5,MATCH(BUILDING!U50,ITEM_RES!$J$5:$J$229,0)-1,0),0)</f>
        <v>0</v>
      </c>
      <c r="X50" s="84" t="s">
        <v>533</v>
      </c>
      <c r="Y50" s="9">
        <f ca="1">IFERROR(OFFSET(ITEM_RES!$A$5,MATCH(BUILDING!X50,ITEM_RES!$J$5:$J$229,0)-1,0),0)</f>
        <v>211010301</v>
      </c>
      <c r="AA50" s="9" t="s">
        <v>503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426</v>
      </c>
      <c r="AU50" s="11">
        <v>240000</v>
      </c>
      <c r="AX50" s="11">
        <f ca="1">IFERROR(OFFSET(ITEM_RES!$A$1,MATCH(AY50,ITEM_RES!$J:$J,0)-1,0),0)</f>
        <v>211020101</v>
      </c>
      <c r="AY50" s="10" t="s">
        <v>443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1095</v>
      </c>
      <c r="S51" s="9" t="s">
        <v>681</v>
      </c>
      <c r="V51" s="9">
        <f ca="1">IFERROR(OFFSET(ITEM_RES!$A$5,MATCH(BUILDING!U51,ITEM_RES!$J$5:$J$229,0)-1,0),0)</f>
        <v>0</v>
      </c>
      <c r="X51" s="84" t="s">
        <v>533</v>
      </c>
      <c r="Y51" s="9">
        <f ca="1">IFERROR(OFFSET(ITEM_RES!$A$5,MATCH(BUILDING!X51,ITEM_RES!$J$5:$J$229,0)-1,0),0)</f>
        <v>211010301</v>
      </c>
      <c r="AA51" s="9" t="s">
        <v>503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426</v>
      </c>
      <c r="AU51" s="11">
        <v>540000</v>
      </c>
      <c r="AX51" s="11">
        <f ca="1">IFERROR(OFFSET(ITEM_RES!$A$1,MATCH(AY51,ITEM_RES!$J:$J,0)-1,0),0)</f>
        <v>211020101</v>
      </c>
      <c r="AY51" s="10" t="s">
        <v>443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1095</v>
      </c>
      <c r="S52" s="9" t="s">
        <v>681</v>
      </c>
      <c r="V52" s="9">
        <f ca="1">IFERROR(OFFSET(ITEM_RES!$A$5,MATCH(BUILDING!U52,ITEM_RES!$J$5:$J$229,0)-1,0),0)</f>
        <v>0</v>
      </c>
      <c r="X52" s="84" t="s">
        <v>533</v>
      </c>
      <c r="Y52" s="9">
        <f ca="1">IFERROR(OFFSET(ITEM_RES!$A$5,MATCH(BUILDING!X52,ITEM_RES!$J$5:$J$229,0)-1,0),0)</f>
        <v>211010301</v>
      </c>
      <c r="AA52" s="9" t="s">
        <v>503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426</v>
      </c>
      <c r="AU52" s="11">
        <v>1000000</v>
      </c>
      <c r="AX52" s="11">
        <f ca="1">IFERROR(OFFSET(ITEM_RES!$A$1,MATCH(AY52,ITEM_RES!$J:$J,0)-1,0),0)</f>
        <v>211020101</v>
      </c>
      <c r="AY52" s="10" t="s">
        <v>443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1095</v>
      </c>
      <c r="S53" s="9" t="s">
        <v>681</v>
      </c>
      <c r="V53" s="9">
        <f ca="1">IFERROR(OFFSET(ITEM_RES!$A$5,MATCH(BUILDING!U53,ITEM_RES!$J$5:$J$229,0)-1,0),0)</f>
        <v>0</v>
      </c>
      <c r="X53" s="84" t="s">
        <v>533</v>
      </c>
      <c r="Y53" s="9">
        <f ca="1">IFERROR(OFFSET(ITEM_RES!$A$5,MATCH(BUILDING!X53,ITEM_RES!$J$5:$J$229,0)-1,0),0)</f>
        <v>211010301</v>
      </c>
      <c r="AA53" s="9" t="s">
        <v>503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426</v>
      </c>
      <c r="AU53" s="11">
        <v>1580000</v>
      </c>
      <c r="AX53" s="11">
        <f ca="1">IFERROR(OFFSET(ITEM_RES!$A$1,MATCH(AY53,ITEM_RES!$J:$J,0)-1,0),0)</f>
        <v>211020101</v>
      </c>
      <c r="AY53" s="10" t="s">
        <v>443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1095</v>
      </c>
      <c r="S54" s="9" t="s">
        <v>681</v>
      </c>
      <c r="V54" s="9">
        <f ca="1">IFERROR(OFFSET(ITEM_RES!$A$5,MATCH(BUILDING!U54,ITEM_RES!$J$5:$J$229,0)-1,0),0)</f>
        <v>0</v>
      </c>
      <c r="X54" s="84" t="s">
        <v>533</v>
      </c>
      <c r="Y54" s="9">
        <f ca="1">IFERROR(OFFSET(ITEM_RES!$A$5,MATCH(BUILDING!X54,ITEM_RES!$J$5:$J$229,0)-1,0),0)</f>
        <v>211010301</v>
      </c>
      <c r="AA54" s="9" t="s">
        <v>503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426</v>
      </c>
      <c r="AU54" s="11">
        <v>2200000</v>
      </c>
      <c r="AX54" s="11">
        <f ca="1">IFERROR(OFFSET(ITEM_RES!$A$1,MATCH(AY54,ITEM_RES!$J:$J,0)-1,0),0)</f>
        <v>211020101</v>
      </c>
      <c r="AY54" s="10" t="s">
        <v>443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1095</v>
      </c>
      <c r="S55" s="9" t="s">
        <v>681</v>
      </c>
      <c r="V55" s="9">
        <f ca="1">IFERROR(OFFSET(ITEM_RES!$A$5,MATCH(BUILDING!U55,ITEM_RES!$J$5:$J$229,0)-1,0),0)</f>
        <v>0</v>
      </c>
      <c r="X55" s="84" t="s">
        <v>533</v>
      </c>
      <c r="Y55" s="9">
        <f ca="1">IFERROR(OFFSET(ITEM_RES!$A$5,MATCH(BUILDING!X55,ITEM_RES!$J$5:$J$229,0)-1,0),0)</f>
        <v>211010301</v>
      </c>
      <c r="AA55" s="9" t="s">
        <v>503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426</v>
      </c>
      <c r="AU55" s="11">
        <v>4400000</v>
      </c>
      <c r="AX55" s="11">
        <f ca="1">IFERROR(OFFSET(ITEM_RES!$A$1,MATCH(AY55,ITEM_RES!$J:$J,0)-1,0),0)</f>
        <v>211020101</v>
      </c>
      <c r="AY55" s="10" t="s">
        <v>443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1095</v>
      </c>
      <c r="S56" s="9" t="s">
        <v>681</v>
      </c>
      <c r="V56" s="9">
        <f ca="1">IFERROR(OFFSET(ITEM_RES!$A$5,MATCH(BUILDING!U56,ITEM_RES!$J$5:$J$229,0)-1,0),0)</f>
        <v>0</v>
      </c>
      <c r="X56" s="84" t="s">
        <v>533</v>
      </c>
      <c r="Y56" s="9">
        <f ca="1">IFERROR(OFFSET(ITEM_RES!$A$5,MATCH(BUILDING!X56,ITEM_RES!$J$5:$J$229,0)-1,0),0)</f>
        <v>211010301</v>
      </c>
      <c r="AA56" s="9" t="s">
        <v>503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426</v>
      </c>
      <c r="AU56" s="11">
        <v>5200000</v>
      </c>
      <c r="AX56" s="11">
        <f ca="1">IFERROR(OFFSET(ITEM_RES!$A$1,MATCH(AY56,ITEM_RES!$J:$J,0)-1,0),0)</f>
        <v>211020101</v>
      </c>
      <c r="AY56" s="10" t="s">
        <v>443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1095</v>
      </c>
      <c r="S57" s="9" t="s">
        <v>681</v>
      </c>
      <c r="V57" s="9">
        <f ca="1">IFERROR(OFFSET(ITEM_RES!$A$5,MATCH(BUILDING!U57,ITEM_RES!$J$5:$J$229,0)-1,0),0)</f>
        <v>0</v>
      </c>
      <c r="X57" s="84" t="s">
        <v>533</v>
      </c>
      <c r="Y57" s="9">
        <f ca="1">IFERROR(OFFSET(ITEM_RES!$A$5,MATCH(BUILDING!X57,ITEM_RES!$J$5:$J$229,0)-1,0),0)</f>
        <v>211010301</v>
      </c>
      <c r="AA57" s="9" t="s">
        <v>503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426</v>
      </c>
      <c r="AU57" s="11">
        <v>8600000</v>
      </c>
      <c r="AX57" s="11">
        <f ca="1">IFERROR(OFFSET(ITEM_RES!$A$1,MATCH(AY57,ITEM_RES!$J:$J,0)-1,0),0)</f>
        <v>211020101</v>
      </c>
      <c r="AY57" s="10" t="s">
        <v>443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1095</v>
      </c>
      <c r="S58" s="9" t="s">
        <v>681</v>
      </c>
      <c r="V58" s="9">
        <f ca="1">IFERROR(OFFSET(ITEM_RES!$A$5,MATCH(BUILDING!U58,ITEM_RES!$J$5:$J$229,0)-1,0),0)</f>
        <v>0</v>
      </c>
      <c r="X58" s="84" t="s">
        <v>533</v>
      </c>
      <c r="Y58" s="9">
        <f ca="1">IFERROR(OFFSET(ITEM_RES!$A$5,MATCH(BUILDING!X58,ITEM_RES!$J$5:$J$229,0)-1,0),0)</f>
        <v>211010301</v>
      </c>
      <c r="AA58" s="9" t="s">
        <v>503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438</v>
      </c>
      <c r="AU58" s="11">
        <v>13200000</v>
      </c>
      <c r="AX58" s="11">
        <f ca="1">IFERROR(OFFSET(ITEM_RES!$A$1,MATCH(AY58,ITEM_RES!$J:$J,0)-1,0),0)</f>
        <v>211020101</v>
      </c>
      <c r="AY58" s="10" t="s">
        <v>443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1095</v>
      </c>
      <c r="S59" s="9" t="s">
        <v>681</v>
      </c>
      <c r="V59" s="9">
        <f ca="1">IFERROR(OFFSET(ITEM_RES!$A$5,MATCH(BUILDING!U59,ITEM_RES!$J$5:$J$229,0)-1,0),0)</f>
        <v>0</v>
      </c>
      <c r="X59" s="84" t="s">
        <v>533</v>
      </c>
      <c r="Y59" s="9">
        <f ca="1">IFERROR(OFFSET(ITEM_RES!$A$5,MATCH(BUILDING!X59,ITEM_RES!$J$5:$J$229,0)-1,0),0)</f>
        <v>211010301</v>
      </c>
      <c r="AA59" s="9" t="s">
        <v>503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438</v>
      </c>
      <c r="AU59" s="11">
        <v>22000000</v>
      </c>
      <c r="AX59" s="11">
        <f ca="1">IFERROR(OFFSET(ITEM_RES!$A$1,MATCH(AY59,ITEM_RES!$J:$J,0)-1,0),0)</f>
        <v>211020101</v>
      </c>
      <c r="AY59" s="10" t="s">
        <v>443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1095</v>
      </c>
      <c r="S60" s="9" t="s">
        <v>681</v>
      </c>
      <c r="V60" s="9">
        <f ca="1">IFERROR(OFFSET(ITEM_RES!$A$5,MATCH(BUILDING!U60,ITEM_RES!$J$5:$J$229,0)-1,0),0)</f>
        <v>0</v>
      </c>
      <c r="X60" s="84" t="s">
        <v>533</v>
      </c>
      <c r="Y60" s="9">
        <f ca="1">IFERROR(OFFSET(ITEM_RES!$A$5,MATCH(BUILDING!X60,ITEM_RES!$J$5:$J$229,0)-1,0),0)</f>
        <v>211010301</v>
      </c>
      <c r="AA60" s="9" t="s">
        <v>503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438</v>
      </c>
      <c r="AU60" s="11">
        <v>30000000</v>
      </c>
      <c r="AX60" s="11">
        <f ca="1">IFERROR(OFFSET(ITEM_RES!$A$1,MATCH(AY60,ITEM_RES!$J:$J,0)-1,0),0)</f>
        <v>211020101</v>
      </c>
      <c r="AY60" s="10" t="s">
        <v>443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1095</v>
      </c>
      <c r="S61" s="9" t="s">
        <v>681</v>
      </c>
      <c r="V61" s="9">
        <f ca="1">IFERROR(OFFSET(ITEM_RES!$A$5,MATCH(BUILDING!U61,ITEM_RES!$J$5:$J$229,0)-1,0),0)</f>
        <v>0</v>
      </c>
      <c r="X61" s="84" t="s">
        <v>533</v>
      </c>
      <c r="Y61" s="9">
        <f ca="1">IFERROR(OFFSET(ITEM_RES!$A$5,MATCH(BUILDING!X61,ITEM_RES!$J$5:$J$229,0)-1,0),0)</f>
        <v>211010301</v>
      </c>
      <c r="AA61" s="9" t="s">
        <v>503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438</v>
      </c>
      <c r="AU61" s="11">
        <v>46000000</v>
      </c>
      <c r="AX61" s="11">
        <f ca="1">IFERROR(OFFSET(ITEM_RES!$A$1,MATCH(AY61,ITEM_RES!$J:$J,0)-1,0),0)</f>
        <v>211020101</v>
      </c>
      <c r="AY61" s="10" t="s">
        <v>443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1095</v>
      </c>
      <c r="S62" s="9" t="s">
        <v>681</v>
      </c>
      <c r="V62" s="9">
        <f ca="1">IFERROR(OFFSET(ITEM_RES!$A$5,MATCH(BUILDING!U62,ITEM_RES!$J$5:$J$229,0)-1,0),0)</f>
        <v>0</v>
      </c>
      <c r="X62" s="84" t="s">
        <v>533</v>
      </c>
      <c r="Y62" s="9">
        <f ca="1">IFERROR(OFFSET(ITEM_RES!$A$5,MATCH(BUILDING!X62,ITEM_RES!$J$5:$J$229,0)-1,0),0)</f>
        <v>211010301</v>
      </c>
      <c r="AA62" s="9" t="s">
        <v>503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438</v>
      </c>
      <c r="AU62" s="11">
        <v>70000000</v>
      </c>
      <c r="AX62" s="11">
        <f ca="1">IFERROR(OFFSET(ITEM_RES!$A$1,MATCH(AY62,ITEM_RES!$J:$J,0)-1,0),0)</f>
        <v>211020101</v>
      </c>
      <c r="AY62" s="10" t="s">
        <v>443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1095</v>
      </c>
      <c r="S63" s="9" t="s">
        <v>681</v>
      </c>
      <c r="V63" s="9">
        <f ca="1">IFERROR(OFFSET(ITEM_RES!$A$5,MATCH(BUILDING!U63,ITEM_RES!$J$5:$J$229,0)-1,0),0)</f>
        <v>0</v>
      </c>
      <c r="X63" s="84" t="s">
        <v>533</v>
      </c>
      <c r="Y63" s="9">
        <f ca="1">IFERROR(OFFSET(ITEM_RES!$A$5,MATCH(BUILDING!X63,ITEM_RES!$J$5:$J$229,0)-1,0),0)</f>
        <v>211010301</v>
      </c>
      <c r="AA63" s="9" t="s">
        <v>503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438</v>
      </c>
      <c r="AU63" s="11">
        <v>96000000</v>
      </c>
      <c r="AX63" s="11">
        <f ca="1">IFERROR(OFFSET(ITEM_RES!$A$1,MATCH(AY63,ITEM_RES!$J:$J,0)-1,0),0)</f>
        <v>211020101</v>
      </c>
      <c r="AY63" s="10" t="s">
        <v>443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1095</v>
      </c>
      <c r="S64" s="9" t="s">
        <v>681</v>
      </c>
      <c r="V64" s="9">
        <f ca="1">IFERROR(OFFSET(ITEM_RES!$A$5,MATCH(BUILDING!U64,ITEM_RES!$J$5:$J$229,0)-1,0),0)</f>
        <v>0</v>
      </c>
      <c r="X64" s="84" t="s">
        <v>533</v>
      </c>
      <c r="Y64" s="9">
        <f ca="1">IFERROR(OFFSET(ITEM_RES!$A$5,MATCH(BUILDING!X64,ITEM_RES!$J$5:$J$229,0)-1,0),0)</f>
        <v>211010301</v>
      </c>
      <c r="AA64" s="9" t="s">
        <v>503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438</v>
      </c>
      <c r="AU64" s="11">
        <v>152000000</v>
      </c>
      <c r="AX64" s="11">
        <f ca="1">IFERROR(OFFSET(ITEM_RES!$A$1,MATCH(AY64,ITEM_RES!$J:$J,0)-1,0),0)</f>
        <v>211020101</v>
      </c>
      <c r="AY64" s="10" t="s">
        <v>443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435</v>
      </c>
      <c r="L65" s="16">
        <v>1</v>
      </c>
      <c r="M65" s="16">
        <v>1</v>
      </c>
      <c r="N65" s="16">
        <v>15</v>
      </c>
      <c r="O65" s="16" t="s">
        <v>1108</v>
      </c>
      <c r="P65" s="17"/>
      <c r="Q65" s="17"/>
      <c r="R65" s="18"/>
      <c r="S65" s="16" t="s">
        <v>682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534</v>
      </c>
      <c r="Y65" s="16">
        <f ca="1">IFERROR(OFFSET(ITEM_RES!$A$5,MATCH(BUILDING!X65,ITEM_RES!$J$5:$J$229,0)-1,0),0)</f>
        <v>211020101</v>
      </c>
      <c r="Z65" s="78"/>
      <c r="AA65" s="16" t="s">
        <v>504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424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433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447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435</v>
      </c>
      <c r="M66" s="9">
        <v>1</v>
      </c>
      <c r="N66" s="9">
        <v>15</v>
      </c>
      <c r="O66" s="9" t="s">
        <v>1108</v>
      </c>
      <c r="S66" s="9" t="s">
        <v>682</v>
      </c>
      <c r="V66" s="9">
        <f ca="1">IFERROR(OFFSET(ITEM_RES!$A$5,MATCH(BUILDING!U66,ITEM_RES!$J$5:$J$229,0)-1,0),0)</f>
        <v>0</v>
      </c>
      <c r="X66" s="84" t="s">
        <v>534</v>
      </c>
      <c r="Y66" s="9">
        <f ca="1">IFERROR(OFFSET(ITEM_RES!$A$5,MATCH(BUILDING!X66,ITEM_RES!$J$5:$J$229,0)-1,0),0)</f>
        <v>211020101</v>
      </c>
      <c r="AA66" s="9" t="s">
        <v>504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426</v>
      </c>
      <c r="AU66" s="11">
        <v>20</v>
      </c>
      <c r="AX66" s="11">
        <f ca="1">IFERROR(OFFSET(ITEM_RES!$A$1,MATCH(AY66,ITEM_RES!$J:$J,0)-1,0),0)</f>
        <v>211020801</v>
      </c>
      <c r="AY66" s="10" t="s">
        <v>433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435</v>
      </c>
      <c r="M67" s="9">
        <v>1</v>
      </c>
      <c r="N67" s="9">
        <v>15</v>
      </c>
      <c r="O67" s="9" t="s">
        <v>1109</v>
      </c>
      <c r="S67" s="9" t="s">
        <v>682</v>
      </c>
      <c r="V67" s="9">
        <f ca="1">IFERROR(OFFSET(ITEM_RES!$A$5,MATCH(BUILDING!U67,ITEM_RES!$J$5:$J$229,0)-1,0),0)</f>
        <v>0</v>
      </c>
      <c r="X67" s="84" t="s">
        <v>534</v>
      </c>
      <c r="Y67" s="9">
        <f ca="1">IFERROR(OFFSET(ITEM_RES!$A$5,MATCH(BUILDING!X67,ITEM_RES!$J$5:$J$229,0)-1,0),0)</f>
        <v>211020101</v>
      </c>
      <c r="AA67" s="9" t="s">
        <v>504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426</v>
      </c>
      <c r="AU67" s="11">
        <v>160</v>
      </c>
      <c r="AX67" s="11">
        <f ca="1">IFERROR(OFFSET(ITEM_RES!$A$1,MATCH(AY67,ITEM_RES!$J:$J,0)-1,0),0)</f>
        <v>211020801</v>
      </c>
      <c r="AY67" s="10" t="s">
        <v>433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435</v>
      </c>
      <c r="M68" s="9">
        <v>1</v>
      </c>
      <c r="N68" s="9">
        <v>15</v>
      </c>
      <c r="O68" s="9" t="s">
        <v>1110</v>
      </c>
      <c r="S68" s="9" t="s">
        <v>682</v>
      </c>
      <c r="V68" s="9">
        <f ca="1">IFERROR(OFFSET(ITEM_RES!$A$5,MATCH(BUILDING!U68,ITEM_RES!$J$5:$J$229,0)-1,0),0)</f>
        <v>0</v>
      </c>
      <c r="X68" s="84" t="s">
        <v>534</v>
      </c>
      <c r="Y68" s="9">
        <f ca="1">IFERROR(OFFSET(ITEM_RES!$A$5,MATCH(BUILDING!X68,ITEM_RES!$J$5:$J$229,0)-1,0),0)</f>
        <v>211020101</v>
      </c>
      <c r="AA68" s="9" t="s">
        <v>504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426</v>
      </c>
      <c r="AU68" s="11">
        <v>1920</v>
      </c>
      <c r="AX68" s="11">
        <f ca="1">IFERROR(OFFSET(ITEM_RES!$A$1,MATCH(AY68,ITEM_RES!$J:$J,0)-1,0),0)</f>
        <v>211020801</v>
      </c>
      <c r="AY68" s="10" t="s">
        <v>433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435</v>
      </c>
      <c r="M69" s="9">
        <v>1</v>
      </c>
      <c r="N69" s="9">
        <v>15</v>
      </c>
      <c r="O69" s="9" t="s">
        <v>1111</v>
      </c>
      <c r="S69" s="9" t="s">
        <v>682</v>
      </c>
      <c r="V69" s="9">
        <f ca="1">IFERROR(OFFSET(ITEM_RES!$A$5,MATCH(BUILDING!U69,ITEM_RES!$J$5:$J$229,0)-1,0),0)</f>
        <v>0</v>
      </c>
      <c r="X69" s="84" t="s">
        <v>534</v>
      </c>
      <c r="Y69" s="9">
        <f ca="1">IFERROR(OFFSET(ITEM_RES!$A$5,MATCH(BUILDING!X69,ITEM_RES!$J$5:$J$229,0)-1,0),0)</f>
        <v>211020101</v>
      </c>
      <c r="AA69" s="9" t="s">
        <v>504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426</v>
      </c>
      <c r="AU69" s="11">
        <v>26000</v>
      </c>
      <c r="AX69" s="11">
        <f ca="1">IFERROR(OFFSET(ITEM_RES!$A$1,MATCH(AY69,ITEM_RES!$J:$J,0)-1,0),0)</f>
        <v>211020801</v>
      </c>
      <c r="AY69" s="10" t="s">
        <v>433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435</v>
      </c>
      <c r="M70" s="9">
        <v>1</v>
      </c>
      <c r="N70" s="9">
        <v>15</v>
      </c>
      <c r="O70" s="9" t="s">
        <v>1112</v>
      </c>
      <c r="S70" s="9" t="s">
        <v>682</v>
      </c>
      <c r="V70" s="9">
        <f ca="1">IFERROR(OFFSET(ITEM_RES!$A$5,MATCH(BUILDING!U70,ITEM_RES!$J$5:$J$229,0)-1,0),0)</f>
        <v>0</v>
      </c>
      <c r="X70" s="84" t="s">
        <v>534</v>
      </c>
      <c r="Y70" s="9">
        <f ca="1">IFERROR(OFFSET(ITEM_RES!$A$5,MATCH(BUILDING!X70,ITEM_RES!$J$5:$J$229,0)-1,0),0)</f>
        <v>211020101</v>
      </c>
      <c r="AA70" s="9" t="s">
        <v>504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426</v>
      </c>
      <c r="AU70" s="11">
        <v>240000</v>
      </c>
      <c r="AX70" s="11">
        <f ca="1">IFERROR(OFFSET(ITEM_RES!$A$1,MATCH(AY70,ITEM_RES!$J:$J,0)-1,0),0)</f>
        <v>211020801</v>
      </c>
      <c r="AY70" s="10" t="s">
        <v>433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435</v>
      </c>
      <c r="M71" s="9">
        <v>1</v>
      </c>
      <c r="N71" s="9">
        <v>15</v>
      </c>
      <c r="O71" s="9" t="s">
        <v>1113</v>
      </c>
      <c r="S71" s="9" t="s">
        <v>682</v>
      </c>
      <c r="V71" s="9">
        <f ca="1">IFERROR(OFFSET(ITEM_RES!$A$5,MATCH(BUILDING!U71,ITEM_RES!$J$5:$J$229,0)-1,0),0)</f>
        <v>0</v>
      </c>
      <c r="X71" s="84" t="s">
        <v>534</v>
      </c>
      <c r="Y71" s="9">
        <f ca="1">IFERROR(OFFSET(ITEM_RES!$A$5,MATCH(BUILDING!X71,ITEM_RES!$J$5:$J$229,0)-1,0),0)</f>
        <v>211020101</v>
      </c>
      <c r="AA71" s="9" t="s">
        <v>504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426</v>
      </c>
      <c r="AU71" s="11">
        <v>540000</v>
      </c>
      <c r="AX71" s="11">
        <f ca="1">IFERROR(OFFSET(ITEM_RES!$A$1,MATCH(AY71,ITEM_RES!$J:$J,0)-1,0),0)</f>
        <v>211020801</v>
      </c>
      <c r="AY71" s="10" t="s">
        <v>433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435</v>
      </c>
      <c r="M72" s="9">
        <v>1</v>
      </c>
      <c r="N72" s="9">
        <v>15</v>
      </c>
      <c r="O72" s="9" t="s">
        <v>1113</v>
      </c>
      <c r="S72" s="9" t="s">
        <v>682</v>
      </c>
      <c r="V72" s="9">
        <f ca="1">IFERROR(OFFSET(ITEM_RES!$A$5,MATCH(BUILDING!U72,ITEM_RES!$J$5:$J$229,0)-1,0),0)</f>
        <v>0</v>
      </c>
      <c r="X72" s="84" t="s">
        <v>534</v>
      </c>
      <c r="Y72" s="9">
        <f ca="1">IFERROR(OFFSET(ITEM_RES!$A$5,MATCH(BUILDING!X72,ITEM_RES!$J$5:$J$229,0)-1,0),0)</f>
        <v>211020101</v>
      </c>
      <c r="AA72" s="9" t="s">
        <v>504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426</v>
      </c>
      <c r="AU72" s="11">
        <v>1000000</v>
      </c>
      <c r="AX72" s="11">
        <f ca="1">IFERROR(OFFSET(ITEM_RES!$A$1,MATCH(AY72,ITEM_RES!$J:$J,0)-1,0),0)</f>
        <v>211020801</v>
      </c>
      <c r="AY72" s="10" t="s">
        <v>433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435</v>
      </c>
      <c r="M73" s="9">
        <v>1</v>
      </c>
      <c r="N73" s="9">
        <v>15</v>
      </c>
      <c r="O73" s="9" t="s">
        <v>1113</v>
      </c>
      <c r="S73" s="9" t="s">
        <v>682</v>
      </c>
      <c r="V73" s="9">
        <f ca="1">IFERROR(OFFSET(ITEM_RES!$A$5,MATCH(BUILDING!U73,ITEM_RES!$J$5:$J$229,0)-1,0),0)</f>
        <v>0</v>
      </c>
      <c r="X73" s="84" t="s">
        <v>534</v>
      </c>
      <c r="Y73" s="9">
        <f ca="1">IFERROR(OFFSET(ITEM_RES!$A$5,MATCH(BUILDING!X73,ITEM_RES!$J$5:$J$229,0)-1,0),0)</f>
        <v>211020101</v>
      </c>
      <c r="AA73" s="9" t="s">
        <v>504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426</v>
      </c>
      <c r="AU73" s="11">
        <v>1580000</v>
      </c>
      <c r="AX73" s="11">
        <f ca="1">IFERROR(OFFSET(ITEM_RES!$A$1,MATCH(AY73,ITEM_RES!$J:$J,0)-1,0),0)</f>
        <v>211020801</v>
      </c>
      <c r="AY73" s="10" t="s">
        <v>433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435</v>
      </c>
      <c r="M74" s="9">
        <v>1</v>
      </c>
      <c r="N74" s="9">
        <v>15</v>
      </c>
      <c r="O74" s="9" t="s">
        <v>1113</v>
      </c>
      <c r="S74" s="9" t="s">
        <v>682</v>
      </c>
      <c r="V74" s="9">
        <f ca="1">IFERROR(OFFSET(ITEM_RES!$A$5,MATCH(BUILDING!U74,ITEM_RES!$J$5:$J$229,0)-1,0),0)</f>
        <v>0</v>
      </c>
      <c r="X74" s="84" t="s">
        <v>534</v>
      </c>
      <c r="Y74" s="9">
        <f ca="1">IFERROR(OFFSET(ITEM_RES!$A$5,MATCH(BUILDING!X74,ITEM_RES!$J$5:$J$229,0)-1,0),0)</f>
        <v>211020101</v>
      </c>
      <c r="AA74" s="9" t="s">
        <v>504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426</v>
      </c>
      <c r="AU74" s="11">
        <v>2200000</v>
      </c>
      <c r="AX74" s="11">
        <f ca="1">IFERROR(OFFSET(ITEM_RES!$A$1,MATCH(AY74,ITEM_RES!$J:$J,0)-1,0),0)</f>
        <v>211020801</v>
      </c>
      <c r="AY74" s="10" t="s">
        <v>433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435</v>
      </c>
      <c r="M75" s="9">
        <v>1</v>
      </c>
      <c r="N75" s="9">
        <v>15</v>
      </c>
      <c r="O75" s="9" t="s">
        <v>1113</v>
      </c>
      <c r="S75" s="9" t="s">
        <v>682</v>
      </c>
      <c r="V75" s="9">
        <f ca="1">IFERROR(OFFSET(ITEM_RES!$A$5,MATCH(BUILDING!U75,ITEM_RES!$J$5:$J$229,0)-1,0),0)</f>
        <v>0</v>
      </c>
      <c r="X75" s="84" t="s">
        <v>534</v>
      </c>
      <c r="Y75" s="9">
        <f ca="1">IFERROR(OFFSET(ITEM_RES!$A$5,MATCH(BUILDING!X75,ITEM_RES!$J$5:$J$229,0)-1,0),0)</f>
        <v>211020101</v>
      </c>
      <c r="AA75" s="9" t="s">
        <v>504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426</v>
      </c>
      <c r="AU75" s="11">
        <v>4400000</v>
      </c>
      <c r="AX75" s="11">
        <f ca="1">IFERROR(OFFSET(ITEM_RES!$A$1,MATCH(AY75,ITEM_RES!$J:$J,0)-1,0),0)</f>
        <v>211020801</v>
      </c>
      <c r="AY75" s="10" t="s">
        <v>433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455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435</v>
      </c>
      <c r="M76" s="9">
        <v>1</v>
      </c>
      <c r="N76" s="9">
        <v>15</v>
      </c>
      <c r="O76" s="9" t="s">
        <v>1113</v>
      </c>
      <c r="S76" s="9" t="s">
        <v>682</v>
      </c>
      <c r="V76" s="9">
        <f ca="1">IFERROR(OFFSET(ITEM_RES!$A$5,MATCH(BUILDING!U76,ITEM_RES!$J$5:$J$229,0)-1,0),0)</f>
        <v>0</v>
      </c>
      <c r="X76" s="84" t="s">
        <v>534</v>
      </c>
      <c r="Y76" s="9">
        <f ca="1">IFERROR(OFFSET(ITEM_RES!$A$5,MATCH(BUILDING!X76,ITEM_RES!$J$5:$J$229,0)-1,0),0)</f>
        <v>211020101</v>
      </c>
      <c r="AA76" s="9" t="s">
        <v>504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426</v>
      </c>
      <c r="AU76" s="11">
        <v>5200000</v>
      </c>
      <c r="AX76" s="11">
        <f ca="1">IFERROR(OFFSET(ITEM_RES!$A$1,MATCH(AY76,ITEM_RES!$J:$J,0)-1,0),0)</f>
        <v>211020801</v>
      </c>
      <c r="AY76" s="10" t="s">
        <v>433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435</v>
      </c>
      <c r="M77" s="9">
        <v>1</v>
      </c>
      <c r="N77" s="9">
        <v>15</v>
      </c>
      <c r="O77" s="9" t="s">
        <v>1113</v>
      </c>
      <c r="S77" s="9" t="s">
        <v>682</v>
      </c>
      <c r="V77" s="9">
        <f ca="1">IFERROR(OFFSET(ITEM_RES!$A$5,MATCH(BUILDING!U77,ITEM_RES!$J$5:$J$229,0)-1,0),0)</f>
        <v>0</v>
      </c>
      <c r="X77" s="84" t="s">
        <v>534</v>
      </c>
      <c r="Y77" s="9">
        <f ca="1">IFERROR(OFFSET(ITEM_RES!$A$5,MATCH(BUILDING!X77,ITEM_RES!$J$5:$J$229,0)-1,0),0)</f>
        <v>211020101</v>
      </c>
      <c r="AA77" s="9" t="s">
        <v>504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426</v>
      </c>
      <c r="AU77" s="11">
        <v>8600000</v>
      </c>
      <c r="AX77" s="11">
        <f ca="1">IFERROR(OFFSET(ITEM_RES!$A$1,MATCH(AY77,ITEM_RES!$J:$J,0)-1,0),0)</f>
        <v>211020801</v>
      </c>
      <c r="AY77" s="10" t="s">
        <v>433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435</v>
      </c>
      <c r="M78" s="9">
        <v>1</v>
      </c>
      <c r="N78" s="9">
        <v>15</v>
      </c>
      <c r="O78" s="9" t="s">
        <v>1113</v>
      </c>
      <c r="S78" s="9" t="s">
        <v>682</v>
      </c>
      <c r="V78" s="9">
        <f ca="1">IFERROR(OFFSET(ITEM_RES!$A$5,MATCH(BUILDING!U78,ITEM_RES!$J$5:$J$229,0)-1,0),0)</f>
        <v>0</v>
      </c>
      <c r="X78" s="84" t="s">
        <v>534</v>
      </c>
      <c r="Y78" s="9">
        <f ca="1">IFERROR(OFFSET(ITEM_RES!$A$5,MATCH(BUILDING!X78,ITEM_RES!$J$5:$J$229,0)-1,0),0)</f>
        <v>211020101</v>
      </c>
      <c r="AA78" s="9" t="s">
        <v>504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1081</v>
      </c>
      <c r="AU78" s="11">
        <v>13200000</v>
      </c>
      <c r="AX78" s="11">
        <f ca="1">IFERROR(OFFSET(ITEM_RES!$A$1,MATCH(AY78,ITEM_RES!$J:$J,0)-1,0),0)</f>
        <v>211020901</v>
      </c>
      <c r="AY78" s="10" t="s">
        <v>440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435</v>
      </c>
      <c r="M79" s="9">
        <v>1</v>
      </c>
      <c r="N79" s="9">
        <v>15</v>
      </c>
      <c r="O79" s="9" t="s">
        <v>1113</v>
      </c>
      <c r="S79" s="9" t="s">
        <v>682</v>
      </c>
      <c r="V79" s="9">
        <f ca="1">IFERROR(OFFSET(ITEM_RES!$A$5,MATCH(BUILDING!U79,ITEM_RES!$J$5:$J$229,0)-1,0),0)</f>
        <v>0</v>
      </c>
      <c r="X79" s="84" t="s">
        <v>534</v>
      </c>
      <c r="Y79" s="9">
        <f ca="1">IFERROR(OFFSET(ITEM_RES!$A$5,MATCH(BUILDING!X79,ITEM_RES!$J$5:$J$229,0)-1,0),0)</f>
        <v>211020101</v>
      </c>
      <c r="AA79" s="9" t="s">
        <v>504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1081</v>
      </c>
      <c r="AU79" s="11">
        <v>22000000</v>
      </c>
      <c r="AX79" s="11">
        <f ca="1">IFERROR(OFFSET(ITEM_RES!$A$1,MATCH(AY79,ITEM_RES!$J:$J,0)-1,0),0)</f>
        <v>211020901</v>
      </c>
      <c r="AY79" s="10" t="s">
        <v>440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435</v>
      </c>
      <c r="M80" s="9">
        <v>0</v>
      </c>
      <c r="N80" s="9">
        <v>15</v>
      </c>
      <c r="O80" s="9" t="s">
        <v>1113</v>
      </c>
      <c r="S80" s="9" t="s">
        <v>682</v>
      </c>
      <c r="V80" s="9">
        <f ca="1">IFERROR(OFFSET(ITEM_RES!$A$5,MATCH(BUILDING!U80,ITEM_RES!$J$5:$J$229,0)-1,0),0)</f>
        <v>0</v>
      </c>
      <c r="X80" s="84" t="s">
        <v>534</v>
      </c>
      <c r="Y80" s="9">
        <f ca="1">IFERROR(OFFSET(ITEM_RES!$A$5,MATCH(BUILDING!X80,ITEM_RES!$J$5:$J$229,0)-1,0),0)</f>
        <v>211020101</v>
      </c>
      <c r="AA80" s="9" t="s">
        <v>504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1081</v>
      </c>
      <c r="AU80" s="11">
        <v>30000000</v>
      </c>
      <c r="AX80" s="11">
        <f ca="1">IFERROR(OFFSET(ITEM_RES!$A$1,MATCH(AY80,ITEM_RES!$J:$J,0)-1,0),0)</f>
        <v>211020901</v>
      </c>
      <c r="AY80" s="10" t="s">
        <v>440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435</v>
      </c>
      <c r="M81" s="9">
        <v>0</v>
      </c>
      <c r="N81" s="9">
        <v>15</v>
      </c>
      <c r="O81" s="9" t="s">
        <v>1113</v>
      </c>
      <c r="S81" s="9" t="s">
        <v>682</v>
      </c>
      <c r="V81" s="9">
        <f ca="1">IFERROR(OFFSET(ITEM_RES!$A$5,MATCH(BUILDING!U81,ITEM_RES!$J$5:$J$229,0)-1,0),0)</f>
        <v>0</v>
      </c>
      <c r="X81" s="84" t="s">
        <v>534</v>
      </c>
      <c r="Y81" s="9">
        <f ca="1">IFERROR(OFFSET(ITEM_RES!$A$5,MATCH(BUILDING!X81,ITEM_RES!$J$5:$J$229,0)-1,0),0)</f>
        <v>211020101</v>
      </c>
      <c r="AA81" s="9" t="s">
        <v>504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1081</v>
      </c>
      <c r="AU81" s="11">
        <v>46000000</v>
      </c>
      <c r="AX81" s="11">
        <f ca="1">IFERROR(OFFSET(ITEM_RES!$A$1,MATCH(AY81,ITEM_RES!$J:$J,0)-1,0),0)</f>
        <v>211020901</v>
      </c>
      <c r="AY81" s="10" t="s">
        <v>440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435</v>
      </c>
      <c r="M82" s="9">
        <v>0</v>
      </c>
      <c r="N82" s="9">
        <v>15</v>
      </c>
      <c r="O82" s="9" t="s">
        <v>1113</v>
      </c>
      <c r="S82" s="9" t="s">
        <v>682</v>
      </c>
      <c r="V82" s="9">
        <f ca="1">IFERROR(OFFSET(ITEM_RES!$A$5,MATCH(BUILDING!U82,ITEM_RES!$J$5:$J$229,0)-1,0),0)</f>
        <v>0</v>
      </c>
      <c r="X82" s="84" t="s">
        <v>534</v>
      </c>
      <c r="Y82" s="9">
        <f ca="1">IFERROR(OFFSET(ITEM_RES!$A$5,MATCH(BUILDING!X82,ITEM_RES!$J$5:$J$229,0)-1,0),0)</f>
        <v>211020101</v>
      </c>
      <c r="AA82" s="9" t="s">
        <v>504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1081</v>
      </c>
      <c r="AU82" s="11">
        <v>70000000</v>
      </c>
      <c r="AX82" s="11">
        <f ca="1">IFERROR(OFFSET(ITEM_RES!$A$1,MATCH(AY82,ITEM_RES!$J:$J,0)-1,0),0)</f>
        <v>211020901</v>
      </c>
      <c r="AY82" s="10" t="s">
        <v>440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435</v>
      </c>
      <c r="M83" s="9">
        <v>0</v>
      </c>
      <c r="N83" s="9">
        <v>15</v>
      </c>
      <c r="O83" s="9" t="s">
        <v>1113</v>
      </c>
      <c r="S83" s="9" t="s">
        <v>682</v>
      </c>
      <c r="V83" s="9">
        <f ca="1">IFERROR(OFFSET(ITEM_RES!$A$5,MATCH(BUILDING!U83,ITEM_RES!$J$5:$J$229,0)-1,0),0)</f>
        <v>0</v>
      </c>
      <c r="X83" s="84" t="s">
        <v>534</v>
      </c>
      <c r="Y83" s="9">
        <f ca="1">IFERROR(OFFSET(ITEM_RES!$A$5,MATCH(BUILDING!X83,ITEM_RES!$J$5:$J$229,0)-1,0),0)</f>
        <v>211020101</v>
      </c>
      <c r="AA83" s="9" t="s">
        <v>504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1081</v>
      </c>
      <c r="AU83" s="11">
        <v>96000000</v>
      </c>
      <c r="AX83" s="11">
        <f ca="1">IFERROR(OFFSET(ITEM_RES!$A$1,MATCH(AY83,ITEM_RES!$J:$J,0)-1,0),0)</f>
        <v>211020901</v>
      </c>
      <c r="AY83" s="10" t="s">
        <v>440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435</v>
      </c>
      <c r="M84" s="9">
        <v>0</v>
      </c>
      <c r="N84" s="9">
        <v>15</v>
      </c>
      <c r="O84" s="9" t="s">
        <v>1113</v>
      </c>
      <c r="S84" s="9" t="s">
        <v>682</v>
      </c>
      <c r="V84" s="9">
        <f ca="1">IFERROR(OFFSET(ITEM_RES!$A$5,MATCH(BUILDING!U84,ITEM_RES!$J$5:$J$229,0)-1,0),0)</f>
        <v>0</v>
      </c>
      <c r="X84" s="84" t="s">
        <v>534</v>
      </c>
      <c r="Y84" s="9">
        <f ca="1">IFERROR(OFFSET(ITEM_RES!$A$5,MATCH(BUILDING!X84,ITEM_RES!$J$5:$J$229,0)-1,0),0)</f>
        <v>211020101</v>
      </c>
      <c r="AA84" s="9" t="s">
        <v>504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1081</v>
      </c>
      <c r="AU84" s="11">
        <v>152000000</v>
      </c>
      <c r="AX84" s="11">
        <f ca="1">IFERROR(OFFSET(ITEM_RES!$A$1,MATCH(AY84,ITEM_RES!$J:$J,0)-1,0),0)</f>
        <v>211020901</v>
      </c>
      <c r="AY84" s="10" t="s">
        <v>440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759</v>
      </c>
      <c r="P85" s="17"/>
      <c r="Q85" s="17"/>
      <c r="R85" s="18"/>
      <c r="S85" s="16" t="s">
        <v>704</v>
      </c>
      <c r="T85" s="78"/>
      <c r="U85" s="86" t="s">
        <v>536</v>
      </c>
      <c r="V85" s="16">
        <f ca="1">IFERROR(OFFSET(ITEM_RES!$A$5,MATCH(BUILDING!U85,ITEM_RES!$J$5:$J$229,0)-1,0),0)</f>
        <v>211021101</v>
      </c>
      <c r="W85" s="18">
        <v>100</v>
      </c>
      <c r="X85" s="86" t="s">
        <v>535</v>
      </c>
      <c r="Y85" s="16">
        <f ca="1">IFERROR(OFFSET(ITEM_RES!$A$5,MATCH(BUILDING!X85,ITEM_RES!$J$5:$J$229,0)-1,0),0)</f>
        <v>211010401</v>
      </c>
      <c r="Z85" s="78"/>
      <c r="AA85" s="16" t="s">
        <v>505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428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432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447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759</v>
      </c>
      <c r="S86" s="9" t="s">
        <v>704</v>
      </c>
      <c r="U86" s="84" t="s">
        <v>536</v>
      </c>
      <c r="V86" s="9">
        <f ca="1">IFERROR(OFFSET(ITEM_RES!$A$5,MATCH(BUILDING!U86,ITEM_RES!$J$5:$J$229,0)-1,0),0)</f>
        <v>211021101</v>
      </c>
      <c r="W86" s="11">
        <v>100</v>
      </c>
      <c r="X86" s="84" t="s">
        <v>535</v>
      </c>
      <c r="Y86" s="9">
        <f ca="1">IFERROR(OFFSET(ITEM_RES!$A$5,MATCH(BUILDING!X86,ITEM_RES!$J$5:$J$229,0)-1,0),0)</f>
        <v>211010401</v>
      </c>
      <c r="AA86" s="9" t="s">
        <v>505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429</v>
      </c>
      <c r="AU86" s="11">
        <v>20</v>
      </c>
      <c r="AX86" s="11">
        <f ca="1">IFERROR(OFFSET(ITEM_RES!$A$1,MATCH(AY86,ITEM_RES!$J:$J,0)-1,0),0)</f>
        <v>211020401</v>
      </c>
      <c r="AY86" s="10" t="s">
        <v>432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759</v>
      </c>
      <c r="S87" s="9" t="s">
        <v>704</v>
      </c>
      <c r="U87" s="84" t="s">
        <v>536</v>
      </c>
      <c r="V87" s="9">
        <f ca="1">IFERROR(OFFSET(ITEM_RES!$A$5,MATCH(BUILDING!U87,ITEM_RES!$J$5:$J$229,0)-1,0),0)</f>
        <v>211021101</v>
      </c>
      <c r="W87" s="11">
        <v>100</v>
      </c>
      <c r="X87" s="84" t="s">
        <v>535</v>
      </c>
      <c r="Y87" s="9">
        <f ca="1">IFERROR(OFFSET(ITEM_RES!$A$5,MATCH(BUILDING!X87,ITEM_RES!$J$5:$J$229,0)-1,0),0)</f>
        <v>211010401</v>
      </c>
      <c r="AA87" s="9" t="s">
        <v>505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428</v>
      </c>
      <c r="AU87" s="11">
        <v>160</v>
      </c>
      <c r="AX87" s="11">
        <f ca="1">IFERROR(OFFSET(ITEM_RES!$A$1,MATCH(AY87,ITEM_RES!$J:$J,0)-1,0),0)</f>
        <v>211020401</v>
      </c>
      <c r="AY87" s="10" t="s">
        <v>432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759</v>
      </c>
      <c r="S88" s="9" t="s">
        <v>704</v>
      </c>
      <c r="U88" s="84" t="s">
        <v>536</v>
      </c>
      <c r="V88" s="9">
        <f ca="1">IFERROR(OFFSET(ITEM_RES!$A$5,MATCH(BUILDING!U88,ITEM_RES!$J$5:$J$229,0)-1,0),0)</f>
        <v>211021101</v>
      </c>
      <c r="W88" s="11">
        <v>100</v>
      </c>
      <c r="X88" s="84" t="s">
        <v>535</v>
      </c>
      <c r="Y88" s="9">
        <f ca="1">IFERROR(OFFSET(ITEM_RES!$A$5,MATCH(BUILDING!X88,ITEM_RES!$J$5:$J$229,0)-1,0),0)</f>
        <v>211010401</v>
      </c>
      <c r="AA88" s="9" t="s">
        <v>505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429</v>
      </c>
      <c r="AU88" s="11">
        <v>1920</v>
      </c>
      <c r="AX88" s="11">
        <f ca="1">IFERROR(OFFSET(ITEM_RES!$A$1,MATCH(AY88,ITEM_RES!$J:$J,0)-1,0),0)</f>
        <v>211020401</v>
      </c>
      <c r="AY88" s="10" t="s">
        <v>432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759</v>
      </c>
      <c r="S89" s="9" t="s">
        <v>704</v>
      </c>
      <c r="U89" s="84" t="s">
        <v>536</v>
      </c>
      <c r="V89" s="9">
        <f ca="1">IFERROR(OFFSET(ITEM_RES!$A$5,MATCH(BUILDING!U89,ITEM_RES!$J$5:$J$229,0)-1,0),0)</f>
        <v>211021101</v>
      </c>
      <c r="W89" s="11">
        <v>100</v>
      </c>
      <c r="X89" s="84" t="s">
        <v>535</v>
      </c>
      <c r="Y89" s="9">
        <f ca="1">IFERROR(OFFSET(ITEM_RES!$A$5,MATCH(BUILDING!X89,ITEM_RES!$J$5:$J$229,0)-1,0),0)</f>
        <v>211010401</v>
      </c>
      <c r="AA89" s="9" t="s">
        <v>505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428</v>
      </c>
      <c r="AU89" s="11">
        <v>26000</v>
      </c>
      <c r="AX89" s="11">
        <f ca="1">IFERROR(OFFSET(ITEM_RES!$A$1,MATCH(AY89,ITEM_RES!$J:$J,0)-1,0),0)</f>
        <v>211020401</v>
      </c>
      <c r="AY89" s="10" t="s">
        <v>432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759</v>
      </c>
      <c r="S90" s="9" t="s">
        <v>704</v>
      </c>
      <c r="U90" s="84" t="s">
        <v>536</v>
      </c>
      <c r="V90" s="9">
        <f ca="1">IFERROR(OFFSET(ITEM_RES!$A$5,MATCH(BUILDING!U90,ITEM_RES!$J$5:$J$229,0)-1,0),0)</f>
        <v>211021101</v>
      </c>
      <c r="W90" s="11">
        <v>100</v>
      </c>
      <c r="X90" s="84" t="s">
        <v>535</v>
      </c>
      <c r="Y90" s="9">
        <f ca="1">IFERROR(OFFSET(ITEM_RES!$A$5,MATCH(BUILDING!X90,ITEM_RES!$J$5:$J$229,0)-1,0),0)</f>
        <v>211010401</v>
      </c>
      <c r="AA90" s="9" t="s">
        <v>505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429</v>
      </c>
      <c r="AU90" s="11">
        <v>240000</v>
      </c>
      <c r="AX90" s="11">
        <f ca="1">IFERROR(OFFSET(ITEM_RES!$A$1,MATCH(AY90,ITEM_RES!$J:$J,0)-1,0),0)</f>
        <v>211020401</v>
      </c>
      <c r="AY90" s="10" t="s">
        <v>432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759</v>
      </c>
      <c r="S91" s="9" t="s">
        <v>704</v>
      </c>
      <c r="U91" s="84" t="s">
        <v>536</v>
      </c>
      <c r="V91" s="9">
        <f ca="1">IFERROR(OFFSET(ITEM_RES!$A$5,MATCH(BUILDING!U91,ITEM_RES!$J$5:$J$229,0)-1,0),0)</f>
        <v>211021101</v>
      </c>
      <c r="W91" s="11">
        <v>100</v>
      </c>
      <c r="X91" s="84" t="s">
        <v>535</v>
      </c>
      <c r="Y91" s="9">
        <f ca="1">IFERROR(OFFSET(ITEM_RES!$A$5,MATCH(BUILDING!X91,ITEM_RES!$J$5:$J$229,0)-1,0),0)</f>
        <v>211010401</v>
      </c>
      <c r="AA91" s="9" t="s">
        <v>505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391</v>
      </c>
      <c r="AU91" s="11">
        <v>540000</v>
      </c>
      <c r="AX91" s="11">
        <f ca="1">IFERROR(OFFSET(ITEM_RES!$A$1,MATCH(AY91,ITEM_RES!$J:$J,0)-1,0),0)</f>
        <v>211020401</v>
      </c>
      <c r="AY91" s="10" t="s">
        <v>432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759</v>
      </c>
      <c r="S92" s="9" t="s">
        <v>704</v>
      </c>
      <c r="U92" s="84" t="s">
        <v>536</v>
      </c>
      <c r="V92" s="9">
        <f ca="1">IFERROR(OFFSET(ITEM_RES!$A$5,MATCH(BUILDING!U92,ITEM_RES!$J$5:$J$229,0)-1,0),0)</f>
        <v>211021101</v>
      </c>
      <c r="W92" s="11">
        <v>100</v>
      </c>
      <c r="X92" s="84" t="s">
        <v>535</v>
      </c>
      <c r="Y92" s="9">
        <f ca="1">IFERROR(OFFSET(ITEM_RES!$A$5,MATCH(BUILDING!X92,ITEM_RES!$J$5:$J$229,0)-1,0),0)</f>
        <v>211010401</v>
      </c>
      <c r="AA92" s="9" t="s">
        <v>505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391</v>
      </c>
      <c r="AU92" s="11">
        <v>1000000</v>
      </c>
      <c r="AX92" s="11">
        <f ca="1">IFERROR(OFFSET(ITEM_RES!$A$1,MATCH(AY92,ITEM_RES!$J:$J,0)-1,0),0)</f>
        <v>211020401</v>
      </c>
      <c r="AY92" s="10" t="s">
        <v>432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759</v>
      </c>
      <c r="S93" s="9" t="s">
        <v>704</v>
      </c>
      <c r="U93" s="84" t="s">
        <v>536</v>
      </c>
      <c r="V93" s="9">
        <f ca="1">IFERROR(OFFSET(ITEM_RES!$A$5,MATCH(BUILDING!U93,ITEM_RES!$J$5:$J$229,0)-1,0),0)</f>
        <v>211021101</v>
      </c>
      <c r="W93" s="11">
        <v>100</v>
      </c>
      <c r="X93" s="84" t="s">
        <v>535</v>
      </c>
      <c r="Y93" s="9">
        <f ca="1">IFERROR(OFFSET(ITEM_RES!$A$5,MATCH(BUILDING!X93,ITEM_RES!$J$5:$J$229,0)-1,0),0)</f>
        <v>211010401</v>
      </c>
      <c r="AA93" s="9" t="s">
        <v>505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391</v>
      </c>
      <c r="AU93" s="11">
        <v>1580000</v>
      </c>
      <c r="AX93" s="11">
        <f ca="1">IFERROR(OFFSET(ITEM_RES!$A$1,MATCH(AY93,ITEM_RES!$J:$J,0)-1,0),0)</f>
        <v>211020401</v>
      </c>
      <c r="AY93" s="10" t="s">
        <v>432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759</v>
      </c>
      <c r="S94" s="9" t="s">
        <v>704</v>
      </c>
      <c r="U94" s="84" t="s">
        <v>536</v>
      </c>
      <c r="V94" s="9">
        <f ca="1">IFERROR(OFFSET(ITEM_RES!$A$5,MATCH(BUILDING!U94,ITEM_RES!$J$5:$J$229,0)-1,0),0)</f>
        <v>211021101</v>
      </c>
      <c r="W94" s="11">
        <v>100</v>
      </c>
      <c r="X94" s="84" t="s">
        <v>535</v>
      </c>
      <c r="Y94" s="9">
        <f ca="1">IFERROR(OFFSET(ITEM_RES!$A$5,MATCH(BUILDING!X94,ITEM_RES!$J$5:$J$229,0)-1,0),0)</f>
        <v>211010401</v>
      </c>
      <c r="AA94" s="9" t="s">
        <v>505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391</v>
      </c>
      <c r="AU94" s="11">
        <v>2200000</v>
      </c>
      <c r="AX94" s="11">
        <f ca="1">IFERROR(OFFSET(ITEM_RES!$A$1,MATCH(AY94,ITEM_RES!$J:$J,0)-1,0),0)</f>
        <v>211020401</v>
      </c>
      <c r="AY94" s="10" t="s">
        <v>432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759</v>
      </c>
      <c r="S95" s="9" t="s">
        <v>704</v>
      </c>
      <c r="U95" s="84" t="s">
        <v>536</v>
      </c>
      <c r="V95" s="9">
        <f ca="1">IFERROR(OFFSET(ITEM_RES!$A$5,MATCH(BUILDING!U95,ITEM_RES!$J$5:$J$229,0)-1,0),0)</f>
        <v>211021101</v>
      </c>
      <c r="W95" s="11">
        <v>100</v>
      </c>
      <c r="X95" s="84" t="s">
        <v>535</v>
      </c>
      <c r="Y95" s="9">
        <f ca="1">IFERROR(OFFSET(ITEM_RES!$A$5,MATCH(BUILDING!X95,ITEM_RES!$J$5:$J$229,0)-1,0),0)</f>
        <v>211010401</v>
      </c>
      <c r="AA95" s="9" t="s">
        <v>505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391</v>
      </c>
      <c r="AU95" s="11">
        <v>4400000</v>
      </c>
      <c r="AX95" s="11">
        <f ca="1">IFERROR(OFFSET(ITEM_RES!$A$1,MATCH(AY95,ITEM_RES!$J:$J,0)-1,0),0)</f>
        <v>211020401</v>
      </c>
      <c r="AY95" s="10" t="s">
        <v>432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759</v>
      </c>
      <c r="S96" s="9" t="s">
        <v>704</v>
      </c>
      <c r="U96" s="84" t="s">
        <v>536</v>
      </c>
      <c r="V96" s="9">
        <f ca="1">IFERROR(OFFSET(ITEM_RES!$A$5,MATCH(BUILDING!U96,ITEM_RES!$J$5:$J$229,0)-1,0),0)</f>
        <v>211021101</v>
      </c>
      <c r="W96" s="11">
        <v>100</v>
      </c>
      <c r="X96" s="84" t="s">
        <v>535</v>
      </c>
      <c r="Y96" s="9">
        <f ca="1">IFERROR(OFFSET(ITEM_RES!$A$5,MATCH(BUILDING!X96,ITEM_RES!$J$5:$J$229,0)-1,0),0)</f>
        <v>211010401</v>
      </c>
      <c r="AA96" s="9" t="s">
        <v>505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391</v>
      </c>
      <c r="AU96" s="11">
        <v>5200000</v>
      </c>
      <c r="AX96" s="11">
        <f ca="1">IFERROR(OFFSET(ITEM_RES!$A$1,MATCH(AY96,ITEM_RES!$J:$J,0)-1,0),0)</f>
        <v>211020401</v>
      </c>
      <c r="AY96" s="10" t="s">
        <v>432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456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759</v>
      </c>
      <c r="S97" s="9" t="s">
        <v>704</v>
      </c>
      <c r="U97" s="84" t="s">
        <v>536</v>
      </c>
      <c r="V97" s="9">
        <f ca="1">IFERROR(OFFSET(ITEM_RES!$A$5,MATCH(BUILDING!U97,ITEM_RES!$J$5:$J$229,0)-1,0),0)</f>
        <v>211021101</v>
      </c>
      <c r="W97" s="11">
        <v>100</v>
      </c>
      <c r="X97" s="84" t="s">
        <v>535</v>
      </c>
      <c r="Y97" s="9">
        <f ca="1">IFERROR(OFFSET(ITEM_RES!$A$5,MATCH(BUILDING!X97,ITEM_RES!$J$5:$J$229,0)-1,0),0)</f>
        <v>211010401</v>
      </c>
      <c r="AA97" s="9" t="s">
        <v>505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391</v>
      </c>
      <c r="AU97" s="11">
        <v>8600000</v>
      </c>
      <c r="AX97" s="11">
        <f ca="1">IFERROR(OFFSET(ITEM_RES!$A$1,MATCH(AY97,ITEM_RES!$J:$J,0)-1,0),0)</f>
        <v>211020401</v>
      </c>
      <c r="AY97" s="10" t="s">
        <v>432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759</v>
      </c>
      <c r="S98" s="9" t="s">
        <v>704</v>
      </c>
      <c r="U98" s="84" t="s">
        <v>536</v>
      </c>
      <c r="V98" s="9">
        <f ca="1">IFERROR(OFFSET(ITEM_RES!$A$5,MATCH(BUILDING!U98,ITEM_RES!$J$5:$J$229,0)-1,0),0)</f>
        <v>211021101</v>
      </c>
      <c r="W98" s="11">
        <v>100</v>
      </c>
      <c r="X98" s="84" t="s">
        <v>535</v>
      </c>
      <c r="Y98" s="9">
        <f ca="1">IFERROR(OFFSET(ITEM_RES!$A$5,MATCH(BUILDING!X98,ITEM_RES!$J$5:$J$229,0)-1,0),0)</f>
        <v>211010401</v>
      </c>
      <c r="AA98" s="9" t="s">
        <v>505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391</v>
      </c>
      <c r="AU98" s="11">
        <v>13200000</v>
      </c>
      <c r="AX98" s="11">
        <f ca="1">IFERROR(OFFSET(ITEM_RES!$A$1,MATCH(AY98,ITEM_RES!$J:$J,0)-1,0),0)</f>
        <v>211020401</v>
      </c>
      <c r="AY98" s="10" t="s">
        <v>432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759</v>
      </c>
      <c r="S99" s="9" t="s">
        <v>704</v>
      </c>
      <c r="U99" s="84" t="s">
        <v>536</v>
      </c>
      <c r="V99" s="9">
        <f ca="1">IFERROR(OFFSET(ITEM_RES!$A$5,MATCH(BUILDING!U99,ITEM_RES!$J$5:$J$229,0)-1,0),0)</f>
        <v>211021101</v>
      </c>
      <c r="W99" s="11">
        <v>100</v>
      </c>
      <c r="X99" s="84" t="s">
        <v>535</v>
      </c>
      <c r="Y99" s="9">
        <f ca="1">IFERROR(OFFSET(ITEM_RES!$A$5,MATCH(BUILDING!X99,ITEM_RES!$J$5:$J$229,0)-1,0),0)</f>
        <v>211010401</v>
      </c>
      <c r="AA99" s="9" t="s">
        <v>505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391</v>
      </c>
      <c r="AU99" s="11">
        <v>22000000</v>
      </c>
      <c r="AX99" s="11">
        <f ca="1">IFERROR(OFFSET(ITEM_RES!$A$1,MATCH(AY99,ITEM_RES!$J:$J,0)-1,0),0)</f>
        <v>211020501</v>
      </c>
      <c r="AY99" s="10" t="s">
        <v>430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759</v>
      </c>
      <c r="S100" s="9" t="s">
        <v>704</v>
      </c>
      <c r="U100" s="84" t="s">
        <v>536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535</v>
      </c>
      <c r="Y100" s="9">
        <f ca="1">IFERROR(OFFSET(ITEM_RES!$A$5,MATCH(BUILDING!X100,ITEM_RES!$J$5:$J$229,0)-1,0),0)</f>
        <v>211010401</v>
      </c>
      <c r="AA100" s="9" t="s">
        <v>505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391</v>
      </c>
      <c r="AU100" s="11">
        <v>30000000</v>
      </c>
      <c r="AX100" s="11">
        <f ca="1">IFERROR(OFFSET(ITEM_RES!$A$1,MATCH(AY100,ITEM_RES!$J:$J,0)-1,0),0)</f>
        <v>211020501</v>
      </c>
      <c r="AY100" s="10" t="s">
        <v>430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759</v>
      </c>
      <c r="S101" s="9" t="s">
        <v>704</v>
      </c>
      <c r="U101" s="84" t="s">
        <v>536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535</v>
      </c>
      <c r="Y101" s="9">
        <f ca="1">IFERROR(OFFSET(ITEM_RES!$A$5,MATCH(BUILDING!X101,ITEM_RES!$J$5:$J$229,0)-1,0),0)</f>
        <v>211010401</v>
      </c>
      <c r="AA101" s="9" t="s">
        <v>505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1016</v>
      </c>
      <c r="AU101" s="11">
        <v>46000000</v>
      </c>
      <c r="AX101" s="11">
        <f ca="1">IFERROR(OFFSET(ITEM_RES!$A$1,MATCH(AY101,ITEM_RES!$J:$J,0)-1,0),0)</f>
        <v>211020501</v>
      </c>
      <c r="AY101" s="10" t="s">
        <v>430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759</v>
      </c>
      <c r="S102" s="9" t="s">
        <v>704</v>
      </c>
      <c r="U102" s="84" t="s">
        <v>536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535</v>
      </c>
      <c r="Y102" s="9">
        <f ca="1">IFERROR(OFFSET(ITEM_RES!$A$5,MATCH(BUILDING!X102,ITEM_RES!$J$5:$J$229,0)-1,0),0)</f>
        <v>211010401</v>
      </c>
      <c r="AA102" s="9" t="s">
        <v>505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1016</v>
      </c>
      <c r="AU102" s="11">
        <v>70000000</v>
      </c>
      <c r="AX102" s="11">
        <f ca="1">IFERROR(OFFSET(ITEM_RES!$A$1,MATCH(AY102,ITEM_RES!$J:$J,0)-1,0),0)</f>
        <v>211020501</v>
      </c>
      <c r="AY102" s="10" t="s">
        <v>430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759</v>
      </c>
      <c r="S103" s="9" t="s">
        <v>704</v>
      </c>
      <c r="U103" s="84" t="s">
        <v>536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535</v>
      </c>
      <c r="Y103" s="9">
        <f ca="1">IFERROR(OFFSET(ITEM_RES!$A$5,MATCH(BUILDING!X103,ITEM_RES!$J$5:$J$229,0)-1,0),0)</f>
        <v>211010401</v>
      </c>
      <c r="AA103" s="9" t="s">
        <v>505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1016</v>
      </c>
      <c r="AU103" s="11">
        <v>96000000</v>
      </c>
      <c r="AX103" s="11">
        <f ca="1">IFERROR(OFFSET(ITEM_RES!$A$1,MATCH(AY103,ITEM_RES!$J:$J,0)-1,0),0)</f>
        <v>211020501</v>
      </c>
      <c r="AY103" s="10" t="s">
        <v>430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759</v>
      </c>
      <c r="S104" s="9" t="s">
        <v>704</v>
      </c>
      <c r="U104" s="84" t="s">
        <v>536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535</v>
      </c>
      <c r="Y104" s="9">
        <f ca="1">IFERROR(OFFSET(ITEM_RES!$A$5,MATCH(BUILDING!X104,ITEM_RES!$J$5:$J$229,0)-1,0),0)</f>
        <v>211010401</v>
      </c>
      <c r="AA104" s="9" t="s">
        <v>505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1016</v>
      </c>
      <c r="AU104" s="11">
        <v>152000000</v>
      </c>
      <c r="AX104" s="11">
        <f ca="1">IFERROR(OFFSET(ITEM_RES!$A$1,MATCH(AY104,ITEM_RES!$J:$J,0)-1,0),0)</f>
        <v>211020501</v>
      </c>
      <c r="AY104" s="10" t="s">
        <v>430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756</v>
      </c>
      <c r="L105" s="66">
        <v>12</v>
      </c>
      <c r="M105" s="16">
        <v>1</v>
      </c>
      <c r="N105" s="16">
        <v>15</v>
      </c>
      <c r="O105" s="16" t="s">
        <v>758</v>
      </c>
      <c r="P105" s="17"/>
      <c r="Q105" s="17"/>
      <c r="R105" s="18"/>
      <c r="S105" s="16" t="s">
        <v>757</v>
      </c>
      <c r="T105" s="78"/>
      <c r="U105" s="86" t="s">
        <v>543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536</v>
      </c>
      <c r="Y105" s="16">
        <f ca="1">IFERROR(OFFSET(ITEM_RES!$A$5,MATCH(BUILDING!X105,ITEM_RES!$J$5:$J$229,0)-1,0),0)</f>
        <v>211021101</v>
      </c>
      <c r="Z105" s="78"/>
      <c r="AA105" s="16" t="s">
        <v>506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428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420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447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756</v>
      </c>
      <c r="M106" s="9">
        <v>1</v>
      </c>
      <c r="N106" s="9">
        <v>15</v>
      </c>
      <c r="O106" s="9" t="s">
        <v>758</v>
      </c>
      <c r="S106" s="9" t="s">
        <v>757</v>
      </c>
      <c r="U106" s="84" t="s">
        <v>402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536</v>
      </c>
      <c r="Y106" s="9">
        <f ca="1">IFERROR(OFFSET(ITEM_RES!$A$5,MATCH(BUILDING!X106,ITEM_RES!$J$5:$J$229,0)-1,0),0)</f>
        <v>211021101</v>
      </c>
      <c r="AA106" s="9" t="s">
        <v>506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429</v>
      </c>
      <c r="AU106" s="11">
        <v>20</v>
      </c>
      <c r="AX106" s="11">
        <f ca="1">IFERROR(OFFSET(ITEM_RES!$A$1,MATCH(AY106,ITEM_RES!$J:$J,0)-1,0),0)</f>
        <v>211020401</v>
      </c>
      <c r="AY106" s="10" t="s">
        <v>420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756</v>
      </c>
      <c r="M107" s="9">
        <v>1</v>
      </c>
      <c r="N107" s="9">
        <v>15</v>
      </c>
      <c r="O107" s="9" t="s">
        <v>758</v>
      </c>
      <c r="S107" s="9" t="s">
        <v>757</v>
      </c>
      <c r="U107" s="84" t="s">
        <v>402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536</v>
      </c>
      <c r="Y107" s="9">
        <f ca="1">IFERROR(OFFSET(ITEM_RES!$A$5,MATCH(BUILDING!X107,ITEM_RES!$J$5:$J$229,0)-1,0),0)</f>
        <v>211021101</v>
      </c>
      <c r="AA107" s="9" t="s">
        <v>506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428</v>
      </c>
      <c r="AU107" s="11">
        <v>160</v>
      </c>
      <c r="AX107" s="11">
        <f ca="1">IFERROR(OFFSET(ITEM_RES!$A$1,MATCH(AY107,ITEM_RES!$J:$J,0)-1,0),0)</f>
        <v>211020401</v>
      </c>
      <c r="AY107" s="10" t="s">
        <v>420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756</v>
      </c>
      <c r="M108" s="9">
        <v>1</v>
      </c>
      <c r="N108" s="9">
        <v>15</v>
      </c>
      <c r="O108" s="9" t="s">
        <v>758</v>
      </c>
      <c r="S108" s="9" t="s">
        <v>757</v>
      </c>
      <c r="U108" s="84" t="s">
        <v>402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536</v>
      </c>
      <c r="Y108" s="9">
        <f ca="1">IFERROR(OFFSET(ITEM_RES!$A$5,MATCH(BUILDING!X108,ITEM_RES!$J$5:$J$229,0)-1,0),0)</f>
        <v>211021101</v>
      </c>
      <c r="AA108" s="9" t="s">
        <v>506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428</v>
      </c>
      <c r="AU108" s="11">
        <v>1920</v>
      </c>
      <c r="AX108" s="11">
        <f ca="1">IFERROR(OFFSET(ITEM_RES!$A$1,MATCH(AY108,ITEM_RES!$J:$J,0)-1,0),0)</f>
        <v>211020401</v>
      </c>
      <c r="AY108" s="10" t="s">
        <v>420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756</v>
      </c>
      <c r="M109" s="9">
        <v>1</v>
      </c>
      <c r="N109" s="9">
        <v>15</v>
      </c>
      <c r="O109" s="9" t="s">
        <v>758</v>
      </c>
      <c r="S109" s="9" t="s">
        <v>757</v>
      </c>
      <c r="U109" s="84" t="s">
        <v>402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536</v>
      </c>
      <c r="Y109" s="9">
        <f ca="1">IFERROR(OFFSET(ITEM_RES!$A$5,MATCH(BUILDING!X109,ITEM_RES!$J$5:$J$229,0)-1,0),0)</f>
        <v>211021101</v>
      </c>
      <c r="AA109" s="9" t="s">
        <v>506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428</v>
      </c>
      <c r="AU109" s="11">
        <v>26000</v>
      </c>
      <c r="AX109" s="11">
        <f ca="1">IFERROR(OFFSET(ITEM_RES!$A$1,MATCH(AY109,ITEM_RES!$J:$J,0)-1,0),0)</f>
        <v>211020401</v>
      </c>
      <c r="AY109" s="10" t="s">
        <v>420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756</v>
      </c>
      <c r="M110" s="9">
        <v>1</v>
      </c>
      <c r="N110" s="9">
        <v>15</v>
      </c>
      <c r="O110" s="9" t="s">
        <v>758</v>
      </c>
      <c r="S110" s="9" t="s">
        <v>757</v>
      </c>
      <c r="U110" s="84" t="s">
        <v>402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536</v>
      </c>
      <c r="Y110" s="9">
        <f ca="1">IFERROR(OFFSET(ITEM_RES!$A$5,MATCH(BUILDING!X110,ITEM_RES!$J$5:$J$229,0)-1,0),0)</f>
        <v>211021101</v>
      </c>
      <c r="AA110" s="9" t="s">
        <v>506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428</v>
      </c>
      <c r="AU110" s="11">
        <v>240000</v>
      </c>
      <c r="AX110" s="11">
        <f ca="1">IFERROR(OFFSET(ITEM_RES!$A$1,MATCH(AY110,ITEM_RES!$J:$J,0)-1,0),0)</f>
        <v>211020401</v>
      </c>
      <c r="AY110" s="10" t="s">
        <v>420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756</v>
      </c>
      <c r="M111" s="9">
        <v>1</v>
      </c>
      <c r="N111" s="9">
        <v>15</v>
      </c>
      <c r="O111" s="9" t="s">
        <v>758</v>
      </c>
      <c r="S111" s="9" t="s">
        <v>757</v>
      </c>
      <c r="U111" s="84" t="s">
        <v>402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536</v>
      </c>
      <c r="Y111" s="9">
        <f ca="1">IFERROR(OFFSET(ITEM_RES!$A$5,MATCH(BUILDING!X111,ITEM_RES!$J$5:$J$229,0)-1,0),0)</f>
        <v>211021101</v>
      </c>
      <c r="AA111" s="9" t="s">
        <v>506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428</v>
      </c>
      <c r="AU111" s="11">
        <v>540000</v>
      </c>
      <c r="AX111" s="11">
        <f ca="1">IFERROR(OFFSET(ITEM_RES!$A$1,MATCH(AY111,ITEM_RES!$J:$J,0)-1,0),0)</f>
        <v>211020401</v>
      </c>
      <c r="AY111" s="10" t="s">
        <v>420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756</v>
      </c>
      <c r="M112" s="9">
        <v>1</v>
      </c>
      <c r="N112" s="9">
        <v>15</v>
      </c>
      <c r="O112" s="9" t="s">
        <v>758</v>
      </c>
      <c r="S112" s="9" t="s">
        <v>757</v>
      </c>
      <c r="U112" s="84" t="s">
        <v>402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536</v>
      </c>
      <c r="Y112" s="9">
        <f ca="1">IFERROR(OFFSET(ITEM_RES!$A$5,MATCH(BUILDING!X112,ITEM_RES!$J$5:$J$229,0)-1,0),0)</f>
        <v>211021101</v>
      </c>
      <c r="AA112" s="9" t="s">
        <v>506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428</v>
      </c>
      <c r="AU112" s="11">
        <v>1000000</v>
      </c>
      <c r="AX112" s="11">
        <f ca="1">IFERROR(OFFSET(ITEM_RES!$A$1,MATCH(AY112,ITEM_RES!$J:$J,0)-1,0),0)</f>
        <v>211020401</v>
      </c>
      <c r="AY112" s="10" t="s">
        <v>420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756</v>
      </c>
      <c r="M113" s="9">
        <v>1</v>
      </c>
      <c r="N113" s="9">
        <v>15</v>
      </c>
      <c r="O113" s="9" t="s">
        <v>758</v>
      </c>
      <c r="S113" s="9" t="s">
        <v>757</v>
      </c>
      <c r="U113" s="84" t="s">
        <v>402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536</v>
      </c>
      <c r="Y113" s="9">
        <f ca="1">IFERROR(OFFSET(ITEM_RES!$A$5,MATCH(BUILDING!X113,ITEM_RES!$J$5:$J$229,0)-1,0),0)</f>
        <v>211021101</v>
      </c>
      <c r="AA113" s="9" t="s">
        <v>506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428</v>
      </c>
      <c r="AU113" s="11">
        <v>1580000</v>
      </c>
      <c r="AX113" s="11">
        <f ca="1">IFERROR(OFFSET(ITEM_RES!$A$1,MATCH(AY113,ITEM_RES!$J:$J,0)-1,0),0)</f>
        <v>211020401</v>
      </c>
      <c r="AY113" s="10" t="s">
        <v>420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756</v>
      </c>
      <c r="M114" s="9">
        <v>1</v>
      </c>
      <c r="N114" s="9">
        <v>15</v>
      </c>
      <c r="O114" s="9" t="s">
        <v>758</v>
      </c>
      <c r="S114" s="9" t="s">
        <v>757</v>
      </c>
      <c r="U114" s="84" t="s">
        <v>402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536</v>
      </c>
      <c r="Y114" s="9">
        <f ca="1">IFERROR(OFFSET(ITEM_RES!$A$5,MATCH(BUILDING!X114,ITEM_RES!$J$5:$J$229,0)-1,0),0)</f>
        <v>211021101</v>
      </c>
      <c r="AA114" s="9" t="s">
        <v>506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428</v>
      </c>
      <c r="AU114" s="11">
        <v>2200000</v>
      </c>
      <c r="AX114" s="11">
        <f ca="1">IFERROR(OFFSET(ITEM_RES!$A$1,MATCH(AY114,ITEM_RES!$J:$J,0)-1,0),0)</f>
        <v>211020401</v>
      </c>
      <c r="AY114" s="10" t="s">
        <v>420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756</v>
      </c>
      <c r="M115" s="9">
        <v>1</v>
      </c>
      <c r="N115" s="9">
        <v>15</v>
      </c>
      <c r="O115" s="9" t="s">
        <v>758</v>
      </c>
      <c r="S115" s="9" t="s">
        <v>757</v>
      </c>
      <c r="U115" s="84" t="s">
        <v>402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536</v>
      </c>
      <c r="Y115" s="9">
        <f ca="1">IFERROR(OFFSET(ITEM_RES!$A$5,MATCH(BUILDING!X115,ITEM_RES!$J$5:$J$229,0)-1,0),0)</f>
        <v>211021101</v>
      </c>
      <c r="AA115" s="9" t="s">
        <v>506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391</v>
      </c>
      <c r="AU115" s="11">
        <v>4400000</v>
      </c>
      <c r="AX115" s="11">
        <f ca="1">IFERROR(OFFSET(ITEM_RES!$A$1,MATCH(AY115,ITEM_RES!$J:$J,0)-1,0),0)</f>
        <v>211020401</v>
      </c>
      <c r="AY115" s="10" t="s">
        <v>420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756</v>
      </c>
      <c r="M116" s="9">
        <v>1</v>
      </c>
      <c r="N116" s="9">
        <v>15</v>
      </c>
      <c r="O116" s="9" t="s">
        <v>758</v>
      </c>
      <c r="S116" s="9" t="s">
        <v>757</v>
      </c>
      <c r="U116" s="84" t="s">
        <v>402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536</v>
      </c>
      <c r="Y116" s="9">
        <f ca="1">IFERROR(OFFSET(ITEM_RES!$A$5,MATCH(BUILDING!X116,ITEM_RES!$J$5:$J$229,0)-1,0),0)</f>
        <v>211021101</v>
      </c>
      <c r="AA116" s="9" t="s">
        <v>506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391</v>
      </c>
      <c r="AU116" s="11">
        <v>5200000</v>
      </c>
      <c r="AX116" s="11">
        <f ca="1">IFERROR(OFFSET(ITEM_RES!$A$1,MATCH(AY116,ITEM_RES!$J:$J,0)-1,0),0)</f>
        <v>211020401</v>
      </c>
      <c r="AY116" s="10" t="s">
        <v>420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756</v>
      </c>
      <c r="M117" s="9">
        <v>1</v>
      </c>
      <c r="N117" s="9">
        <v>15</v>
      </c>
      <c r="O117" s="9" t="s">
        <v>758</v>
      </c>
      <c r="S117" s="9" t="s">
        <v>757</v>
      </c>
      <c r="U117" s="84" t="s">
        <v>402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536</v>
      </c>
      <c r="Y117" s="9">
        <f ca="1">IFERROR(OFFSET(ITEM_RES!$A$5,MATCH(BUILDING!X117,ITEM_RES!$J$5:$J$229,0)-1,0),0)</f>
        <v>211021101</v>
      </c>
      <c r="AA117" s="9" t="s">
        <v>506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391</v>
      </c>
      <c r="AU117" s="11">
        <v>8600000</v>
      </c>
      <c r="AX117" s="11">
        <f ca="1">IFERROR(OFFSET(ITEM_RES!$A$1,MATCH(AY117,ITEM_RES!$J:$J,0)-1,0),0)</f>
        <v>211020401</v>
      </c>
      <c r="AY117" s="10" t="s">
        <v>420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756</v>
      </c>
      <c r="M118" s="9">
        <v>1</v>
      </c>
      <c r="N118" s="9">
        <v>15</v>
      </c>
      <c r="O118" s="9" t="s">
        <v>758</v>
      </c>
      <c r="S118" s="9" t="s">
        <v>757</v>
      </c>
      <c r="U118" s="84" t="s">
        <v>402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536</v>
      </c>
      <c r="Y118" s="9">
        <f ca="1">IFERROR(OFFSET(ITEM_RES!$A$5,MATCH(BUILDING!X118,ITEM_RES!$J$5:$J$229,0)-1,0),0)</f>
        <v>211021101</v>
      </c>
      <c r="AA118" s="9" t="s">
        <v>506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391</v>
      </c>
      <c r="AU118" s="11">
        <v>13200000</v>
      </c>
      <c r="AX118" s="11">
        <f ca="1">IFERROR(OFFSET(ITEM_RES!$A$1,MATCH(AY118,ITEM_RES!$J:$J,0)-1,0),0)</f>
        <v>211020401</v>
      </c>
      <c r="AY118" s="10" t="s">
        <v>420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756</v>
      </c>
      <c r="M119" s="9">
        <v>1</v>
      </c>
      <c r="N119" s="9">
        <v>15</v>
      </c>
      <c r="O119" s="9" t="s">
        <v>758</v>
      </c>
      <c r="S119" s="9" t="s">
        <v>757</v>
      </c>
      <c r="U119" s="84" t="s">
        <v>402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536</v>
      </c>
      <c r="Y119" s="9">
        <f ca="1">IFERROR(OFFSET(ITEM_RES!$A$5,MATCH(BUILDING!X119,ITEM_RES!$J$5:$J$229,0)-1,0),0)</f>
        <v>211021101</v>
      </c>
      <c r="AA119" s="9" t="s">
        <v>506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391</v>
      </c>
      <c r="AU119" s="11">
        <v>22000000</v>
      </c>
      <c r="AX119" s="11">
        <f ca="1">IFERROR(OFFSET(ITEM_RES!$A$1,MATCH(AY119,ITEM_RES!$J:$J,0)-1,0),0)</f>
        <v>211020501</v>
      </c>
      <c r="AY119" s="10" t="s">
        <v>421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756</v>
      </c>
      <c r="M120" s="9">
        <v>0</v>
      </c>
      <c r="N120" s="9">
        <v>15</v>
      </c>
      <c r="O120" s="9" t="s">
        <v>758</v>
      </c>
      <c r="S120" s="9" t="s">
        <v>757</v>
      </c>
      <c r="U120" s="84" t="s">
        <v>402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536</v>
      </c>
      <c r="Y120" s="9">
        <f ca="1">IFERROR(OFFSET(ITEM_RES!$A$5,MATCH(BUILDING!X120,ITEM_RES!$J$5:$J$229,0)-1,0),0)</f>
        <v>211021101</v>
      </c>
      <c r="AA120" s="9" t="s">
        <v>506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391</v>
      </c>
      <c r="AU120" s="11">
        <v>30000000</v>
      </c>
      <c r="AX120" s="11">
        <f ca="1">IFERROR(OFFSET(ITEM_RES!$A$1,MATCH(AY120,ITEM_RES!$J:$J,0)-1,0),0)</f>
        <v>211020501</v>
      </c>
      <c r="AY120" s="10" t="s">
        <v>421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756</v>
      </c>
      <c r="M121" s="9">
        <v>0</v>
      </c>
      <c r="N121" s="9">
        <v>15</v>
      </c>
      <c r="O121" s="9" t="s">
        <v>758</v>
      </c>
      <c r="S121" s="9" t="s">
        <v>757</v>
      </c>
      <c r="U121" s="84" t="s">
        <v>402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536</v>
      </c>
      <c r="Y121" s="9">
        <f ca="1">IFERROR(OFFSET(ITEM_RES!$A$5,MATCH(BUILDING!X121,ITEM_RES!$J$5:$J$229,0)-1,0),0)</f>
        <v>211021101</v>
      </c>
      <c r="AA121" s="9" t="s">
        <v>506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1016</v>
      </c>
      <c r="AU121" s="11">
        <v>46000000</v>
      </c>
      <c r="AX121" s="11">
        <f ca="1">IFERROR(OFFSET(ITEM_RES!$A$1,MATCH(AY121,ITEM_RES!$J:$J,0)-1,0),0)</f>
        <v>211020501</v>
      </c>
      <c r="AY121" s="10" t="s">
        <v>421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756</v>
      </c>
      <c r="M122" s="9">
        <v>0</v>
      </c>
      <c r="N122" s="9">
        <v>15</v>
      </c>
      <c r="O122" s="9" t="s">
        <v>758</v>
      </c>
      <c r="S122" s="9" t="s">
        <v>757</v>
      </c>
      <c r="U122" s="84" t="s">
        <v>402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536</v>
      </c>
      <c r="Y122" s="9">
        <f ca="1">IFERROR(OFFSET(ITEM_RES!$A$5,MATCH(BUILDING!X122,ITEM_RES!$J$5:$J$229,0)-1,0),0)</f>
        <v>211021101</v>
      </c>
      <c r="AA122" s="9" t="s">
        <v>506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1016</v>
      </c>
      <c r="AU122" s="11">
        <v>70000000</v>
      </c>
      <c r="AX122" s="11">
        <f ca="1">IFERROR(OFFSET(ITEM_RES!$A$1,MATCH(AY122,ITEM_RES!$J:$J,0)-1,0),0)</f>
        <v>211020501</v>
      </c>
      <c r="AY122" s="10" t="s">
        <v>421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756</v>
      </c>
      <c r="M123" s="9">
        <v>0</v>
      </c>
      <c r="N123" s="9">
        <v>15</v>
      </c>
      <c r="O123" s="9" t="s">
        <v>758</v>
      </c>
      <c r="S123" s="9" t="s">
        <v>757</v>
      </c>
      <c r="U123" s="84" t="s">
        <v>402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536</v>
      </c>
      <c r="Y123" s="9">
        <f ca="1">IFERROR(OFFSET(ITEM_RES!$A$5,MATCH(BUILDING!X123,ITEM_RES!$J$5:$J$229,0)-1,0),0)</f>
        <v>211021101</v>
      </c>
      <c r="AA123" s="9" t="s">
        <v>506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1016</v>
      </c>
      <c r="AU123" s="11">
        <v>96000000</v>
      </c>
      <c r="AX123" s="11">
        <f ca="1">IFERROR(OFFSET(ITEM_RES!$A$1,MATCH(AY123,ITEM_RES!$J:$J,0)-1,0),0)</f>
        <v>211020501</v>
      </c>
      <c r="AY123" s="10" t="s">
        <v>421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756</v>
      </c>
      <c r="M124" s="9">
        <v>0</v>
      </c>
      <c r="N124" s="9">
        <v>15</v>
      </c>
      <c r="O124" s="9" t="s">
        <v>758</v>
      </c>
      <c r="S124" s="9" t="s">
        <v>757</v>
      </c>
      <c r="U124" s="84" t="s">
        <v>402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536</v>
      </c>
      <c r="Y124" s="9">
        <f ca="1">IFERROR(OFFSET(ITEM_RES!$A$5,MATCH(BUILDING!X124,ITEM_RES!$J$5:$J$229,0)-1,0),0)</f>
        <v>211021101</v>
      </c>
      <c r="AA124" s="9" t="s">
        <v>506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1016</v>
      </c>
      <c r="AU124" s="11">
        <v>152000000</v>
      </c>
      <c r="AX124" s="11">
        <f ca="1">IFERROR(OFFSET(ITEM_RES!$A$1,MATCH(AY124,ITEM_RES!$J:$J,0)-1,0),0)</f>
        <v>211020501</v>
      </c>
      <c r="AY124" s="10" t="s">
        <v>421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1114</v>
      </c>
      <c r="P125" s="17"/>
      <c r="Q125" s="17"/>
      <c r="R125" s="18"/>
      <c r="S125" s="16" t="s">
        <v>683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537</v>
      </c>
      <c r="Y125" s="16">
        <f ca="1">IFERROR(OFFSET(ITEM_RES!$A$5,MATCH(BUILDING!X125,ITEM_RES!$J$5:$J$229,0)-1,0),0)</f>
        <v>211010501</v>
      </c>
      <c r="Z125" s="78"/>
      <c r="AA125" s="16" t="s">
        <v>507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1084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1082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447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1115</v>
      </c>
      <c r="S126" s="9" t="s">
        <v>683</v>
      </c>
      <c r="V126" s="9">
        <f ca="1">IFERROR(OFFSET(ITEM_RES!$A$5,MATCH(BUILDING!U126,ITEM_RES!$J$5:$J$229,0)-1,0),0)</f>
        <v>0</v>
      </c>
      <c r="X126" s="84" t="s">
        <v>537</v>
      </c>
      <c r="Y126" s="9">
        <f ca="1">IFERROR(OFFSET(ITEM_RES!$A$5,MATCH(BUILDING!X126,ITEM_RES!$J$5:$J$229,0)-1,0),0)</f>
        <v>211010501</v>
      </c>
      <c r="AA126" s="9" t="s">
        <v>507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1084</v>
      </c>
      <c r="AU126" s="11">
        <v>20</v>
      </c>
      <c r="AX126" s="11">
        <f ca="1">IFERROR(OFFSET(ITEM_RES!$A$1,MATCH(AY126,ITEM_RES!$J:$J,0)-1,0),0)</f>
        <v>211020401</v>
      </c>
      <c r="AY126" s="10" t="s">
        <v>1082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1116</v>
      </c>
      <c r="S127" s="9" t="s">
        <v>683</v>
      </c>
      <c r="V127" s="9">
        <f ca="1">IFERROR(OFFSET(ITEM_RES!$A$5,MATCH(BUILDING!U127,ITEM_RES!$J$5:$J$229,0)-1,0),0)</f>
        <v>0</v>
      </c>
      <c r="X127" s="84" t="s">
        <v>537</v>
      </c>
      <c r="Y127" s="9">
        <f ca="1">IFERROR(OFFSET(ITEM_RES!$A$5,MATCH(BUILDING!X127,ITEM_RES!$J$5:$J$229,0)-1,0),0)</f>
        <v>211010501</v>
      </c>
      <c r="AA127" s="9" t="s">
        <v>507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1084</v>
      </c>
      <c r="AU127" s="11">
        <v>160</v>
      </c>
      <c r="AX127" s="11">
        <f ca="1">IFERROR(OFFSET(ITEM_RES!$A$1,MATCH(AY127,ITEM_RES!$J:$J,0)-1,0),0)</f>
        <v>211020401</v>
      </c>
      <c r="AY127" s="10" t="s">
        <v>1082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1117</v>
      </c>
      <c r="S128" s="9" t="s">
        <v>683</v>
      </c>
      <c r="V128" s="9">
        <f ca="1">IFERROR(OFFSET(ITEM_RES!$A$5,MATCH(BUILDING!U128,ITEM_RES!$J$5:$J$229,0)-1,0),0)</f>
        <v>0</v>
      </c>
      <c r="X128" s="84" t="s">
        <v>537</v>
      </c>
      <c r="Y128" s="9">
        <f ca="1">IFERROR(OFFSET(ITEM_RES!$A$5,MATCH(BUILDING!X128,ITEM_RES!$J$5:$J$229,0)-1,0),0)</f>
        <v>211010501</v>
      </c>
      <c r="AA128" s="9" t="s">
        <v>507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1084</v>
      </c>
      <c r="AU128" s="11">
        <v>1920</v>
      </c>
      <c r="AX128" s="11">
        <f ca="1">IFERROR(OFFSET(ITEM_RES!$A$1,MATCH(AY128,ITEM_RES!$J:$J,0)-1,0),0)</f>
        <v>211020401</v>
      </c>
      <c r="AY128" s="10" t="s">
        <v>1082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1118</v>
      </c>
      <c r="S129" s="9" t="s">
        <v>683</v>
      </c>
      <c r="V129" s="9">
        <f ca="1">IFERROR(OFFSET(ITEM_RES!$A$5,MATCH(BUILDING!U129,ITEM_RES!$J$5:$J$229,0)-1,0),0)</f>
        <v>0</v>
      </c>
      <c r="X129" s="84" t="s">
        <v>537</v>
      </c>
      <c r="Y129" s="9">
        <f ca="1">IFERROR(OFFSET(ITEM_RES!$A$5,MATCH(BUILDING!X129,ITEM_RES!$J$5:$J$229,0)-1,0),0)</f>
        <v>211010501</v>
      </c>
      <c r="AA129" s="9" t="s">
        <v>507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1084</v>
      </c>
      <c r="AU129" s="11">
        <v>26000</v>
      </c>
      <c r="AX129" s="11">
        <f ca="1">IFERROR(OFFSET(ITEM_RES!$A$1,MATCH(AY129,ITEM_RES!$J:$J,0)-1,0),0)</f>
        <v>211020401</v>
      </c>
      <c r="AY129" s="10" t="s">
        <v>1082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1119</v>
      </c>
      <c r="S130" s="9" t="s">
        <v>683</v>
      </c>
      <c r="V130" s="9">
        <f ca="1">IFERROR(OFFSET(ITEM_RES!$A$5,MATCH(BUILDING!U130,ITEM_RES!$J$5:$J$229,0)-1,0),0)</f>
        <v>0</v>
      </c>
      <c r="X130" s="84" t="s">
        <v>537</v>
      </c>
      <c r="Y130" s="9">
        <f ca="1">IFERROR(OFFSET(ITEM_RES!$A$5,MATCH(BUILDING!X130,ITEM_RES!$J$5:$J$229,0)-1,0),0)</f>
        <v>211010501</v>
      </c>
      <c r="AA130" s="9" t="s">
        <v>507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1084</v>
      </c>
      <c r="AU130" s="11">
        <v>240000</v>
      </c>
      <c r="AX130" s="11">
        <f ca="1">IFERROR(OFFSET(ITEM_RES!$A$1,MATCH(AY130,ITEM_RES!$J:$J,0)-1,0),0)</f>
        <v>211020401</v>
      </c>
      <c r="AY130" s="10" t="s">
        <v>1082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1120</v>
      </c>
      <c r="S131" s="9" t="s">
        <v>683</v>
      </c>
      <c r="V131" s="9">
        <f ca="1">IFERROR(OFFSET(ITEM_RES!$A$5,MATCH(BUILDING!U131,ITEM_RES!$J$5:$J$229,0)-1,0),0)</f>
        <v>0</v>
      </c>
      <c r="X131" s="84" t="s">
        <v>537</v>
      </c>
      <c r="Y131" s="9">
        <f ca="1">IFERROR(OFFSET(ITEM_RES!$A$5,MATCH(BUILDING!X131,ITEM_RES!$J$5:$J$229,0)-1,0),0)</f>
        <v>211010501</v>
      </c>
      <c r="AA131" s="9" t="s">
        <v>507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1084</v>
      </c>
      <c r="AU131" s="11">
        <v>540000</v>
      </c>
      <c r="AX131" s="11">
        <f ca="1">IFERROR(OFFSET(ITEM_RES!$A$1,MATCH(AY131,ITEM_RES!$J:$J,0)-1,0),0)</f>
        <v>211020401</v>
      </c>
      <c r="AY131" s="10" t="s">
        <v>1082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1120</v>
      </c>
      <c r="S132" s="9" t="s">
        <v>683</v>
      </c>
      <c r="V132" s="9">
        <f ca="1">IFERROR(OFFSET(ITEM_RES!$A$5,MATCH(BUILDING!U132,ITEM_RES!$J$5:$J$229,0)-1,0),0)</f>
        <v>0</v>
      </c>
      <c r="X132" s="84" t="s">
        <v>537</v>
      </c>
      <c r="Y132" s="9">
        <f ca="1">IFERROR(OFFSET(ITEM_RES!$A$5,MATCH(BUILDING!X132,ITEM_RES!$J$5:$J$229,0)-1,0),0)</f>
        <v>211010501</v>
      </c>
      <c r="AA132" s="9" t="s">
        <v>507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1084</v>
      </c>
      <c r="AU132" s="11">
        <v>1000000</v>
      </c>
      <c r="AX132" s="11">
        <f ca="1">IFERROR(OFFSET(ITEM_RES!$A$1,MATCH(AY132,ITEM_RES!$J:$J,0)-1,0),0)</f>
        <v>211020401</v>
      </c>
      <c r="AY132" s="10" t="s">
        <v>1082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1120</v>
      </c>
      <c r="S133" s="9" t="s">
        <v>683</v>
      </c>
      <c r="V133" s="9">
        <f ca="1">IFERROR(OFFSET(ITEM_RES!$A$5,MATCH(BUILDING!U133,ITEM_RES!$J$5:$J$229,0)-1,0),0)</f>
        <v>0</v>
      </c>
      <c r="X133" s="84" t="s">
        <v>537</v>
      </c>
      <c r="Y133" s="9">
        <f ca="1">IFERROR(OFFSET(ITEM_RES!$A$5,MATCH(BUILDING!X133,ITEM_RES!$J$5:$J$229,0)-1,0),0)</f>
        <v>211010501</v>
      </c>
      <c r="AA133" s="9" t="s">
        <v>507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1084</v>
      </c>
      <c r="AU133" s="11">
        <v>1580000</v>
      </c>
      <c r="AX133" s="11">
        <f ca="1">IFERROR(OFFSET(ITEM_RES!$A$1,MATCH(AY133,ITEM_RES!$J:$J,0)-1,0),0)</f>
        <v>211020401</v>
      </c>
      <c r="AY133" s="10" t="s">
        <v>1082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1120</v>
      </c>
      <c r="S134" s="9" t="s">
        <v>683</v>
      </c>
      <c r="V134" s="9">
        <f ca="1">IFERROR(OFFSET(ITEM_RES!$A$5,MATCH(BUILDING!U134,ITEM_RES!$J$5:$J$229,0)-1,0),0)</f>
        <v>0</v>
      </c>
      <c r="X134" s="84" t="s">
        <v>537</v>
      </c>
      <c r="Y134" s="9">
        <f ca="1">IFERROR(OFFSET(ITEM_RES!$A$5,MATCH(BUILDING!X134,ITEM_RES!$J$5:$J$229,0)-1,0),0)</f>
        <v>211010501</v>
      </c>
      <c r="AA134" s="9" t="s">
        <v>507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1084</v>
      </c>
      <c r="AU134" s="11">
        <v>2200000</v>
      </c>
      <c r="AX134" s="11">
        <f ca="1">IFERROR(OFFSET(ITEM_RES!$A$1,MATCH(AY134,ITEM_RES!$J:$J,0)-1,0),0)</f>
        <v>211020401</v>
      </c>
      <c r="AY134" s="10" t="s">
        <v>1082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1120</v>
      </c>
      <c r="S135" s="9" t="s">
        <v>683</v>
      </c>
      <c r="V135" s="9">
        <f ca="1">IFERROR(OFFSET(ITEM_RES!$A$5,MATCH(BUILDING!U135,ITEM_RES!$J$5:$J$229,0)-1,0),0)</f>
        <v>0</v>
      </c>
      <c r="X135" s="84" t="s">
        <v>537</v>
      </c>
      <c r="Y135" s="9">
        <f ca="1">IFERROR(OFFSET(ITEM_RES!$A$5,MATCH(BUILDING!X135,ITEM_RES!$J$5:$J$229,0)-1,0),0)</f>
        <v>211010501</v>
      </c>
      <c r="AA135" s="9" t="s">
        <v>507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1085</v>
      </c>
      <c r="AU135" s="11">
        <v>4400000</v>
      </c>
      <c r="AX135" s="11">
        <f ca="1">IFERROR(OFFSET(ITEM_RES!$A$1,MATCH(AY135,ITEM_RES!$J:$J,0)-1,0),0)</f>
        <v>211020401</v>
      </c>
      <c r="AY135" s="10" t="s">
        <v>1082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1120</v>
      </c>
      <c r="S136" s="9" t="s">
        <v>683</v>
      </c>
      <c r="V136" s="9">
        <f ca="1">IFERROR(OFFSET(ITEM_RES!$A$5,MATCH(BUILDING!U136,ITEM_RES!$J$5:$J$229,0)-1,0),0)</f>
        <v>0</v>
      </c>
      <c r="X136" s="84" t="s">
        <v>537</v>
      </c>
      <c r="Y136" s="9">
        <f ca="1">IFERROR(OFFSET(ITEM_RES!$A$5,MATCH(BUILDING!X136,ITEM_RES!$J$5:$J$229,0)-1,0),0)</f>
        <v>211010501</v>
      </c>
      <c r="AA136" s="9" t="s">
        <v>507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1085</v>
      </c>
      <c r="AU136" s="11">
        <v>5200000</v>
      </c>
      <c r="AX136" s="11">
        <f ca="1">IFERROR(OFFSET(ITEM_RES!$A$1,MATCH(AY136,ITEM_RES!$J:$J,0)-1,0),0)</f>
        <v>211020401</v>
      </c>
      <c r="AY136" s="10" t="s">
        <v>1082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1120</v>
      </c>
      <c r="S137" s="9" t="s">
        <v>683</v>
      </c>
      <c r="V137" s="9">
        <f ca="1">IFERROR(OFFSET(ITEM_RES!$A$5,MATCH(BUILDING!U137,ITEM_RES!$J$5:$J$229,0)-1,0),0)</f>
        <v>0</v>
      </c>
      <c r="X137" s="84" t="s">
        <v>537</v>
      </c>
      <c r="Y137" s="9">
        <f ca="1">IFERROR(OFFSET(ITEM_RES!$A$5,MATCH(BUILDING!X137,ITEM_RES!$J$5:$J$229,0)-1,0),0)</f>
        <v>211010501</v>
      </c>
      <c r="AA137" s="9" t="s">
        <v>507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1085</v>
      </c>
      <c r="AU137" s="11">
        <v>8600000</v>
      </c>
      <c r="AX137" s="11">
        <f ca="1">IFERROR(OFFSET(ITEM_RES!$A$1,MATCH(AY137,ITEM_RES!$J:$J,0)-1,0),0)</f>
        <v>211020401</v>
      </c>
      <c r="AY137" s="10" t="s">
        <v>1082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1120</v>
      </c>
      <c r="S138" s="9" t="s">
        <v>683</v>
      </c>
      <c r="V138" s="9">
        <f ca="1">IFERROR(OFFSET(ITEM_RES!$A$5,MATCH(BUILDING!U138,ITEM_RES!$J$5:$J$229,0)-1,0),0)</f>
        <v>0</v>
      </c>
      <c r="X138" s="84" t="s">
        <v>537</v>
      </c>
      <c r="Y138" s="9">
        <f ca="1">IFERROR(OFFSET(ITEM_RES!$A$5,MATCH(BUILDING!X138,ITEM_RES!$J$5:$J$229,0)-1,0),0)</f>
        <v>211010501</v>
      </c>
      <c r="AA138" s="9" t="s">
        <v>507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1085</v>
      </c>
      <c r="AU138" s="11">
        <v>13200000</v>
      </c>
      <c r="AX138" s="11">
        <f ca="1">IFERROR(OFFSET(ITEM_RES!$A$1,MATCH(AY138,ITEM_RES!$J:$J,0)-1,0),0)</f>
        <v>211020401</v>
      </c>
      <c r="AY138" s="10" t="s">
        <v>1082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1120</v>
      </c>
      <c r="S139" s="9" t="s">
        <v>683</v>
      </c>
      <c r="V139" s="9">
        <f ca="1">IFERROR(OFFSET(ITEM_RES!$A$5,MATCH(BUILDING!U139,ITEM_RES!$J$5:$J$229,0)-1,0),0)</f>
        <v>0</v>
      </c>
      <c r="X139" s="84" t="s">
        <v>537</v>
      </c>
      <c r="Y139" s="9">
        <f ca="1">IFERROR(OFFSET(ITEM_RES!$A$5,MATCH(BUILDING!X139,ITEM_RES!$J$5:$J$229,0)-1,0),0)</f>
        <v>211010501</v>
      </c>
      <c r="AA139" s="9" t="s">
        <v>507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1085</v>
      </c>
      <c r="AU139" s="11">
        <v>22000000</v>
      </c>
      <c r="AX139" s="11">
        <f ca="1">IFERROR(OFFSET(ITEM_RES!$A$1,MATCH(AY139,ITEM_RES!$J:$J,0)-1,0),0)</f>
        <v>211020401</v>
      </c>
      <c r="AY139" s="10" t="s">
        <v>1082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1120</v>
      </c>
      <c r="S140" s="9" t="s">
        <v>683</v>
      </c>
      <c r="V140" s="9">
        <f ca="1">IFERROR(OFFSET(ITEM_RES!$A$5,MATCH(BUILDING!U140,ITEM_RES!$J$5:$J$229,0)-1,0),0)</f>
        <v>0</v>
      </c>
      <c r="X140" s="84" t="s">
        <v>537</v>
      </c>
      <c r="Y140" s="9">
        <f ca="1">IFERROR(OFFSET(ITEM_RES!$A$5,MATCH(BUILDING!X140,ITEM_RES!$J$5:$J$229,0)-1,0),0)</f>
        <v>211010501</v>
      </c>
      <c r="AA140" s="9" t="s">
        <v>507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1085</v>
      </c>
      <c r="AU140" s="11">
        <v>30000000</v>
      </c>
      <c r="AX140" s="11">
        <f ca="1">IFERROR(OFFSET(ITEM_RES!$A$1,MATCH(AY140,ITEM_RES!$J:$J,0)-1,0),0)</f>
        <v>211020401</v>
      </c>
      <c r="AY140" s="10" t="s">
        <v>1082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1120</v>
      </c>
      <c r="S141" s="9" t="s">
        <v>683</v>
      </c>
      <c r="V141" s="9">
        <f ca="1">IFERROR(OFFSET(ITEM_RES!$A$5,MATCH(BUILDING!U141,ITEM_RES!$J$5:$J$229,0)-1,0),0)</f>
        <v>0</v>
      </c>
      <c r="X141" s="84" t="s">
        <v>537</v>
      </c>
      <c r="Y141" s="9">
        <f ca="1">IFERROR(OFFSET(ITEM_RES!$A$5,MATCH(BUILDING!X141,ITEM_RES!$J$5:$J$229,0)-1,0),0)</f>
        <v>211010501</v>
      </c>
      <c r="AA141" s="9" t="s">
        <v>507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1085</v>
      </c>
      <c r="AU141" s="11">
        <v>46000000</v>
      </c>
      <c r="AX141" s="11">
        <f ca="1">IFERROR(OFFSET(ITEM_RES!$A$1,MATCH(AY141,ITEM_RES!$J:$J,0)-1,0),0)</f>
        <v>211020501</v>
      </c>
      <c r="AY141" s="10" t="s">
        <v>1086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1120</v>
      </c>
      <c r="S142" s="9" t="s">
        <v>683</v>
      </c>
      <c r="V142" s="9">
        <f ca="1">IFERROR(OFFSET(ITEM_RES!$A$5,MATCH(BUILDING!U142,ITEM_RES!$J$5:$J$229,0)-1,0),0)</f>
        <v>0</v>
      </c>
      <c r="X142" s="84" t="s">
        <v>537</v>
      </c>
      <c r="Y142" s="9">
        <f ca="1">IFERROR(OFFSET(ITEM_RES!$A$5,MATCH(BUILDING!X142,ITEM_RES!$J$5:$J$229,0)-1,0),0)</f>
        <v>211010501</v>
      </c>
      <c r="AA142" s="9" t="s">
        <v>507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1085</v>
      </c>
      <c r="AU142" s="11">
        <v>70000000</v>
      </c>
      <c r="AX142" s="11">
        <f ca="1">IFERROR(OFFSET(ITEM_RES!$A$1,MATCH(AY142,ITEM_RES!$J:$J,0)-1,0),0)</f>
        <v>211020501</v>
      </c>
      <c r="AY142" s="10" t="s">
        <v>1086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1120</v>
      </c>
      <c r="S143" s="9" t="s">
        <v>683</v>
      </c>
      <c r="V143" s="9">
        <f ca="1">IFERROR(OFFSET(ITEM_RES!$A$5,MATCH(BUILDING!U143,ITEM_RES!$J$5:$J$229,0)-1,0),0)</f>
        <v>0</v>
      </c>
      <c r="X143" s="84" t="s">
        <v>537</v>
      </c>
      <c r="Y143" s="9">
        <f ca="1">IFERROR(OFFSET(ITEM_RES!$A$5,MATCH(BUILDING!X143,ITEM_RES!$J$5:$J$229,0)-1,0),0)</f>
        <v>211010501</v>
      </c>
      <c r="AA143" s="9" t="s">
        <v>507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1085</v>
      </c>
      <c r="AU143" s="11">
        <v>96000000</v>
      </c>
      <c r="AX143" s="11">
        <f ca="1">IFERROR(OFFSET(ITEM_RES!$A$1,MATCH(AY143,ITEM_RES!$J:$J,0)-1,0),0)</f>
        <v>211020501</v>
      </c>
      <c r="AY143" s="10" t="s">
        <v>1086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1120</v>
      </c>
      <c r="S144" s="9" t="s">
        <v>683</v>
      </c>
      <c r="V144" s="9">
        <f ca="1">IFERROR(OFFSET(ITEM_RES!$A$5,MATCH(BUILDING!U144,ITEM_RES!$J$5:$J$229,0)-1,0),0)</f>
        <v>0</v>
      </c>
      <c r="X144" s="84" t="s">
        <v>537</v>
      </c>
      <c r="Y144" s="9">
        <f ca="1">IFERROR(OFFSET(ITEM_RES!$A$5,MATCH(BUILDING!X144,ITEM_RES!$J$5:$J$229,0)-1,0),0)</f>
        <v>211010501</v>
      </c>
      <c r="AA144" s="9" t="s">
        <v>507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1085</v>
      </c>
      <c r="AU144" s="11">
        <v>152000000</v>
      </c>
      <c r="AX144" s="11">
        <f ca="1">IFERROR(OFFSET(ITEM_RES!$A$1,MATCH(AY144,ITEM_RES!$J:$J,0)-1,0),0)</f>
        <v>211020501</v>
      </c>
      <c r="AY144" s="10" t="s">
        <v>1086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1121</v>
      </c>
      <c r="P145" s="17"/>
      <c r="Q145" s="17"/>
      <c r="R145" s="18"/>
      <c r="S145" s="16" t="s">
        <v>703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537</v>
      </c>
      <c r="Y145" s="16">
        <f ca="1">IFERROR(OFFSET(ITEM_RES!$A$5,MATCH(BUILDING!X145,ITEM_RES!$J$5:$J$229,0)-1,0),0)</f>
        <v>211010501</v>
      </c>
      <c r="Z145" s="78"/>
      <c r="AA145" s="16" t="s">
        <v>508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1083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1087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447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1121</v>
      </c>
      <c r="S146" s="9" t="s">
        <v>703</v>
      </c>
      <c r="V146" s="9">
        <f ca="1">IFERROR(OFFSET(ITEM_RES!$A$5,MATCH(BUILDING!U146,ITEM_RES!$J$5:$J$229,0)-1,0),0)</f>
        <v>0</v>
      </c>
      <c r="X146" s="84" t="s">
        <v>537</v>
      </c>
      <c r="Y146" s="9">
        <f ca="1">IFERROR(OFFSET(ITEM_RES!$A$5,MATCH(BUILDING!X146,ITEM_RES!$J$5:$J$229,0)-1,0),0)</f>
        <v>211010501</v>
      </c>
      <c r="AA146" s="9" t="s">
        <v>508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1083</v>
      </c>
      <c r="AU146" s="11">
        <v>20</v>
      </c>
      <c r="AX146" s="11">
        <f ca="1">IFERROR(OFFSET(ITEM_RES!$A$1,MATCH(AY146,ITEM_RES!$J:$J,0)-1,0),0)</f>
        <v>211020801</v>
      </c>
      <c r="AY146" s="10" t="s">
        <v>1087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1122</v>
      </c>
      <c r="S147" s="9" t="s">
        <v>703</v>
      </c>
      <c r="V147" s="9">
        <f ca="1">IFERROR(OFFSET(ITEM_RES!$A$5,MATCH(BUILDING!U147,ITEM_RES!$J$5:$J$229,0)-1,0),0)</f>
        <v>0</v>
      </c>
      <c r="X147" s="84" t="s">
        <v>537</v>
      </c>
      <c r="Y147" s="9">
        <f ca="1">IFERROR(OFFSET(ITEM_RES!$A$5,MATCH(BUILDING!X147,ITEM_RES!$J$5:$J$229,0)-1,0),0)</f>
        <v>211010501</v>
      </c>
      <c r="AA147" s="9" t="s">
        <v>508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1083</v>
      </c>
      <c r="AU147" s="11">
        <v>160</v>
      </c>
      <c r="AX147" s="11">
        <f ca="1">IFERROR(OFFSET(ITEM_RES!$A$1,MATCH(AY147,ITEM_RES!$J:$J,0)-1,0),0)</f>
        <v>211020801</v>
      </c>
      <c r="AY147" s="10" t="s">
        <v>1087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1123</v>
      </c>
      <c r="S148" s="9" t="s">
        <v>703</v>
      </c>
      <c r="V148" s="9">
        <f ca="1">IFERROR(OFFSET(ITEM_RES!$A$5,MATCH(BUILDING!U148,ITEM_RES!$J$5:$J$229,0)-1,0),0)</f>
        <v>0</v>
      </c>
      <c r="X148" s="84" t="s">
        <v>537</v>
      </c>
      <c r="Y148" s="9">
        <f ca="1">IFERROR(OFFSET(ITEM_RES!$A$5,MATCH(BUILDING!X148,ITEM_RES!$J$5:$J$229,0)-1,0),0)</f>
        <v>211010501</v>
      </c>
      <c r="AA148" s="9" t="s">
        <v>508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1083</v>
      </c>
      <c r="AU148" s="11">
        <v>1920</v>
      </c>
      <c r="AX148" s="11">
        <f ca="1">IFERROR(OFFSET(ITEM_RES!$A$1,MATCH(AY148,ITEM_RES!$J:$J,0)-1,0),0)</f>
        <v>211020801</v>
      </c>
      <c r="AY148" s="10" t="s">
        <v>1087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1124</v>
      </c>
      <c r="S149" s="9" t="s">
        <v>703</v>
      </c>
      <c r="V149" s="9">
        <f ca="1">IFERROR(OFFSET(ITEM_RES!$A$5,MATCH(BUILDING!U149,ITEM_RES!$J$5:$J$229,0)-1,0),0)</f>
        <v>0</v>
      </c>
      <c r="X149" s="84" t="s">
        <v>537</v>
      </c>
      <c r="Y149" s="9">
        <f ca="1">IFERROR(OFFSET(ITEM_RES!$A$5,MATCH(BUILDING!X149,ITEM_RES!$J$5:$J$229,0)-1,0),0)</f>
        <v>211010501</v>
      </c>
      <c r="AA149" s="9" t="s">
        <v>508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1083</v>
      </c>
      <c r="AU149" s="11">
        <v>26000</v>
      </c>
      <c r="AX149" s="11">
        <f ca="1">IFERROR(OFFSET(ITEM_RES!$A$1,MATCH(AY149,ITEM_RES!$J:$J,0)-1,0),0)</f>
        <v>211020801</v>
      </c>
      <c r="AY149" s="10" t="s">
        <v>1087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1125</v>
      </c>
      <c r="S150" s="9" t="s">
        <v>703</v>
      </c>
      <c r="V150" s="9">
        <f ca="1">IFERROR(OFFSET(ITEM_RES!$A$5,MATCH(BUILDING!U150,ITEM_RES!$J$5:$J$229,0)-1,0),0)</f>
        <v>0</v>
      </c>
      <c r="X150" s="84" t="s">
        <v>537</v>
      </c>
      <c r="Y150" s="9">
        <f ca="1">IFERROR(OFFSET(ITEM_RES!$A$5,MATCH(BUILDING!X150,ITEM_RES!$J$5:$J$229,0)-1,0),0)</f>
        <v>211010501</v>
      </c>
      <c r="AA150" s="9" t="s">
        <v>508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1083</v>
      </c>
      <c r="AU150" s="11">
        <v>240000</v>
      </c>
      <c r="AX150" s="11">
        <f ca="1">IFERROR(OFFSET(ITEM_RES!$A$1,MATCH(AY150,ITEM_RES!$J:$J,0)-1,0),0)</f>
        <v>211020801</v>
      </c>
      <c r="AY150" s="10" t="s">
        <v>1087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1126</v>
      </c>
      <c r="S151" s="9" t="s">
        <v>703</v>
      </c>
      <c r="V151" s="9">
        <f ca="1">IFERROR(OFFSET(ITEM_RES!$A$5,MATCH(BUILDING!U151,ITEM_RES!$J$5:$J$229,0)-1,0),0)</f>
        <v>0</v>
      </c>
      <c r="X151" s="84" t="s">
        <v>537</v>
      </c>
      <c r="Y151" s="9">
        <f ca="1">IFERROR(OFFSET(ITEM_RES!$A$5,MATCH(BUILDING!X151,ITEM_RES!$J$5:$J$229,0)-1,0),0)</f>
        <v>211010501</v>
      </c>
      <c r="AA151" s="9" t="s">
        <v>508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1083</v>
      </c>
      <c r="AU151" s="11">
        <v>540000</v>
      </c>
      <c r="AX151" s="11">
        <f ca="1">IFERROR(OFFSET(ITEM_RES!$A$1,MATCH(AY151,ITEM_RES!$J:$J,0)-1,0),0)</f>
        <v>211020801</v>
      </c>
      <c r="AY151" s="10" t="s">
        <v>1087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1126</v>
      </c>
      <c r="S152" s="9" t="s">
        <v>703</v>
      </c>
      <c r="V152" s="9">
        <f ca="1">IFERROR(OFFSET(ITEM_RES!$A$5,MATCH(BUILDING!U152,ITEM_RES!$J$5:$J$229,0)-1,0),0)</f>
        <v>0</v>
      </c>
      <c r="X152" s="84" t="s">
        <v>537</v>
      </c>
      <c r="Y152" s="9">
        <f ca="1">IFERROR(OFFSET(ITEM_RES!$A$5,MATCH(BUILDING!X152,ITEM_RES!$J$5:$J$229,0)-1,0),0)</f>
        <v>211010501</v>
      </c>
      <c r="AA152" s="9" t="s">
        <v>508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1083</v>
      </c>
      <c r="AU152" s="11">
        <v>1000000</v>
      </c>
      <c r="AX152" s="11">
        <f ca="1">IFERROR(OFFSET(ITEM_RES!$A$1,MATCH(AY152,ITEM_RES!$J:$J,0)-1,0),0)</f>
        <v>211020801</v>
      </c>
      <c r="AY152" s="10" t="s">
        <v>1087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1126</v>
      </c>
      <c r="S153" s="9" t="s">
        <v>703</v>
      </c>
      <c r="V153" s="9">
        <f ca="1">IFERROR(OFFSET(ITEM_RES!$A$5,MATCH(BUILDING!U153,ITEM_RES!$J$5:$J$229,0)-1,0),0)</f>
        <v>0</v>
      </c>
      <c r="X153" s="84" t="s">
        <v>537</v>
      </c>
      <c r="Y153" s="9">
        <f ca="1">IFERROR(OFFSET(ITEM_RES!$A$5,MATCH(BUILDING!X153,ITEM_RES!$J$5:$J$229,0)-1,0),0)</f>
        <v>211010501</v>
      </c>
      <c r="AA153" s="9" t="s">
        <v>508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1083</v>
      </c>
      <c r="AU153" s="11">
        <v>1580000</v>
      </c>
      <c r="AX153" s="11">
        <f ca="1">IFERROR(OFFSET(ITEM_RES!$A$1,MATCH(AY153,ITEM_RES!$J:$J,0)-1,0),0)</f>
        <v>211020801</v>
      </c>
      <c r="AY153" s="10" t="s">
        <v>1087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1126</v>
      </c>
      <c r="S154" s="9" t="s">
        <v>703</v>
      </c>
      <c r="V154" s="9">
        <f ca="1">IFERROR(OFFSET(ITEM_RES!$A$5,MATCH(BUILDING!U154,ITEM_RES!$J$5:$J$229,0)-1,0),0)</f>
        <v>0</v>
      </c>
      <c r="X154" s="84" t="s">
        <v>537</v>
      </c>
      <c r="Y154" s="9">
        <f ca="1">IFERROR(OFFSET(ITEM_RES!$A$5,MATCH(BUILDING!X154,ITEM_RES!$J$5:$J$229,0)-1,0),0)</f>
        <v>211010501</v>
      </c>
      <c r="AA154" s="9" t="s">
        <v>508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1083</v>
      </c>
      <c r="AU154" s="11">
        <v>2200000</v>
      </c>
      <c r="AX154" s="11">
        <f ca="1">IFERROR(OFFSET(ITEM_RES!$A$1,MATCH(AY154,ITEM_RES!$J:$J,0)-1,0),0)</f>
        <v>211020801</v>
      </c>
      <c r="AY154" s="10" t="s">
        <v>1087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1126</v>
      </c>
      <c r="S155" s="9" t="s">
        <v>703</v>
      </c>
      <c r="V155" s="9">
        <f ca="1">IFERROR(OFFSET(ITEM_RES!$A$5,MATCH(BUILDING!U155,ITEM_RES!$J$5:$J$229,0)-1,0),0)</f>
        <v>0</v>
      </c>
      <c r="X155" s="84" t="s">
        <v>537</v>
      </c>
      <c r="Y155" s="9">
        <f ca="1">IFERROR(OFFSET(ITEM_RES!$A$5,MATCH(BUILDING!X155,ITEM_RES!$J$5:$J$229,0)-1,0),0)</f>
        <v>211010501</v>
      </c>
      <c r="AA155" s="9" t="s">
        <v>508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1081</v>
      </c>
      <c r="AU155" s="11">
        <v>4400000</v>
      </c>
      <c r="AX155" s="11">
        <f ca="1">IFERROR(OFFSET(ITEM_RES!$A$1,MATCH(AY155,ITEM_RES!$J:$J,0)-1,0),0)</f>
        <v>211020801</v>
      </c>
      <c r="AY155" s="10" t="s">
        <v>1087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1126</v>
      </c>
      <c r="S156" s="9" t="s">
        <v>703</v>
      </c>
      <c r="V156" s="9">
        <f ca="1">IFERROR(OFFSET(ITEM_RES!$A$5,MATCH(BUILDING!U156,ITEM_RES!$J$5:$J$229,0)-1,0),0)</f>
        <v>0</v>
      </c>
      <c r="X156" s="84" t="s">
        <v>537</v>
      </c>
      <c r="Y156" s="9">
        <f ca="1">IFERROR(OFFSET(ITEM_RES!$A$5,MATCH(BUILDING!X156,ITEM_RES!$J$5:$J$229,0)-1,0),0)</f>
        <v>211010501</v>
      </c>
      <c r="AA156" s="9" t="s">
        <v>508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1081</v>
      </c>
      <c r="AU156" s="11">
        <v>5200000</v>
      </c>
      <c r="AX156" s="11">
        <f ca="1">IFERROR(OFFSET(ITEM_RES!$A$1,MATCH(AY156,ITEM_RES!$J:$J,0)-1,0),0)</f>
        <v>211020801</v>
      </c>
      <c r="AY156" s="10" t="s">
        <v>1087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1126</v>
      </c>
      <c r="S157" s="9" t="s">
        <v>703</v>
      </c>
      <c r="V157" s="9">
        <f ca="1">IFERROR(OFFSET(ITEM_RES!$A$5,MATCH(BUILDING!U157,ITEM_RES!$J$5:$J$229,0)-1,0),0)</f>
        <v>0</v>
      </c>
      <c r="X157" s="84" t="s">
        <v>537</v>
      </c>
      <c r="Y157" s="9">
        <f ca="1">IFERROR(OFFSET(ITEM_RES!$A$5,MATCH(BUILDING!X157,ITEM_RES!$J$5:$J$229,0)-1,0),0)</f>
        <v>211010501</v>
      </c>
      <c r="AA157" s="9" t="s">
        <v>508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1081</v>
      </c>
      <c r="AU157" s="11">
        <v>8600000</v>
      </c>
      <c r="AX157" s="11">
        <f ca="1">IFERROR(OFFSET(ITEM_RES!$A$1,MATCH(AY157,ITEM_RES!$J:$J,0)-1,0),0)</f>
        <v>211020901</v>
      </c>
      <c r="AY157" s="10" t="s">
        <v>1088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1126</v>
      </c>
      <c r="S158" s="9" t="s">
        <v>703</v>
      </c>
      <c r="V158" s="9">
        <f ca="1">IFERROR(OFFSET(ITEM_RES!$A$5,MATCH(BUILDING!U158,ITEM_RES!$J$5:$J$229,0)-1,0),0)</f>
        <v>0</v>
      </c>
      <c r="X158" s="84" t="s">
        <v>537</v>
      </c>
      <c r="Y158" s="9">
        <f ca="1">IFERROR(OFFSET(ITEM_RES!$A$5,MATCH(BUILDING!X158,ITEM_RES!$J$5:$J$229,0)-1,0),0)</f>
        <v>211010501</v>
      </c>
      <c r="AA158" s="9" t="s">
        <v>508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1081</v>
      </c>
      <c r="AU158" s="11">
        <v>13200000</v>
      </c>
      <c r="AX158" s="11">
        <f ca="1">IFERROR(OFFSET(ITEM_RES!$A$1,MATCH(AY158,ITEM_RES!$J:$J,0)-1,0),0)</f>
        <v>211020901</v>
      </c>
      <c r="AY158" s="10" t="s">
        <v>1088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1126</v>
      </c>
      <c r="S159" s="9" t="s">
        <v>703</v>
      </c>
      <c r="V159" s="9">
        <f ca="1">IFERROR(OFFSET(ITEM_RES!$A$5,MATCH(BUILDING!U159,ITEM_RES!$J$5:$J$229,0)-1,0),0)</f>
        <v>0</v>
      </c>
      <c r="X159" s="84" t="s">
        <v>537</v>
      </c>
      <c r="Y159" s="9">
        <f ca="1">IFERROR(OFFSET(ITEM_RES!$A$5,MATCH(BUILDING!X159,ITEM_RES!$J$5:$J$229,0)-1,0),0)</f>
        <v>211010501</v>
      </c>
      <c r="AA159" s="9" t="s">
        <v>508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1081</v>
      </c>
      <c r="AU159" s="11">
        <v>22000000</v>
      </c>
      <c r="AX159" s="11">
        <f ca="1">IFERROR(OFFSET(ITEM_RES!$A$1,MATCH(AY159,ITEM_RES!$J:$J,0)-1,0),0)</f>
        <v>211020901</v>
      </c>
      <c r="AY159" s="10" t="s">
        <v>1088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1126</v>
      </c>
      <c r="S160" s="9" t="s">
        <v>703</v>
      </c>
      <c r="V160" s="9">
        <f ca="1">IFERROR(OFFSET(ITEM_RES!$A$5,MATCH(BUILDING!U160,ITEM_RES!$J$5:$J$229,0)-1,0),0)</f>
        <v>0</v>
      </c>
      <c r="X160" s="84" t="s">
        <v>537</v>
      </c>
      <c r="Y160" s="9">
        <f ca="1">IFERROR(OFFSET(ITEM_RES!$A$5,MATCH(BUILDING!X160,ITEM_RES!$J$5:$J$229,0)-1,0),0)</f>
        <v>211010501</v>
      </c>
      <c r="AA160" s="9" t="s">
        <v>508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1081</v>
      </c>
      <c r="AU160" s="11">
        <v>30000000</v>
      </c>
      <c r="AX160" s="11">
        <f ca="1">IFERROR(OFFSET(ITEM_RES!$A$1,MATCH(AY160,ITEM_RES!$J:$J,0)-1,0),0)</f>
        <v>211020901</v>
      </c>
      <c r="AY160" s="10" t="s">
        <v>1088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1126</v>
      </c>
      <c r="S161" s="9" t="s">
        <v>703</v>
      </c>
      <c r="V161" s="9">
        <f ca="1">IFERROR(OFFSET(ITEM_RES!$A$5,MATCH(BUILDING!U161,ITEM_RES!$J$5:$J$229,0)-1,0),0)</f>
        <v>0</v>
      </c>
      <c r="X161" s="84" t="s">
        <v>537</v>
      </c>
      <c r="Y161" s="9">
        <f ca="1">IFERROR(OFFSET(ITEM_RES!$A$5,MATCH(BUILDING!X161,ITEM_RES!$J$5:$J$229,0)-1,0),0)</f>
        <v>211010501</v>
      </c>
      <c r="AA161" s="9" t="s">
        <v>508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1081</v>
      </c>
      <c r="AU161" s="11">
        <v>46000000</v>
      </c>
      <c r="AX161" s="11">
        <f ca="1">IFERROR(OFFSET(ITEM_RES!$A$1,MATCH(AY161,ITEM_RES!$J:$J,0)-1,0),0)</f>
        <v>211020901</v>
      </c>
      <c r="AY161" s="10" t="s">
        <v>1088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1126</v>
      </c>
      <c r="S162" s="9" t="s">
        <v>703</v>
      </c>
      <c r="V162" s="9">
        <f ca="1">IFERROR(OFFSET(ITEM_RES!$A$5,MATCH(BUILDING!U162,ITEM_RES!$J$5:$J$229,0)-1,0),0)</f>
        <v>0</v>
      </c>
      <c r="X162" s="84" t="s">
        <v>537</v>
      </c>
      <c r="Y162" s="9">
        <f ca="1">IFERROR(OFFSET(ITEM_RES!$A$5,MATCH(BUILDING!X162,ITEM_RES!$J$5:$J$229,0)-1,0),0)</f>
        <v>211010501</v>
      </c>
      <c r="AA162" s="9" t="s">
        <v>508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1081</v>
      </c>
      <c r="AU162" s="11">
        <v>70000000</v>
      </c>
      <c r="AX162" s="11">
        <f ca="1">IFERROR(OFFSET(ITEM_RES!$A$1,MATCH(AY162,ITEM_RES!$J:$J,0)-1,0),0)</f>
        <v>211020901</v>
      </c>
      <c r="AY162" s="10" t="s">
        <v>1088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1126</v>
      </c>
      <c r="S163" s="9" t="s">
        <v>703</v>
      </c>
      <c r="V163" s="9">
        <f ca="1">IFERROR(OFFSET(ITEM_RES!$A$5,MATCH(BUILDING!U163,ITEM_RES!$J$5:$J$229,0)-1,0),0)</f>
        <v>0</v>
      </c>
      <c r="X163" s="84" t="s">
        <v>537</v>
      </c>
      <c r="Y163" s="9">
        <f ca="1">IFERROR(OFFSET(ITEM_RES!$A$5,MATCH(BUILDING!X163,ITEM_RES!$J$5:$J$229,0)-1,0),0)</f>
        <v>211010501</v>
      </c>
      <c r="AA163" s="9" t="s">
        <v>508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1081</v>
      </c>
      <c r="AU163" s="11">
        <v>96000000</v>
      </c>
      <c r="AX163" s="11">
        <f ca="1">IFERROR(OFFSET(ITEM_RES!$A$1,MATCH(AY163,ITEM_RES!$J:$J,0)-1,0),0)</f>
        <v>211020901</v>
      </c>
      <c r="AY163" s="10" t="s">
        <v>1088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1126</v>
      </c>
      <c r="S164" s="9" t="s">
        <v>703</v>
      </c>
      <c r="V164" s="9">
        <f ca="1">IFERROR(OFFSET(ITEM_RES!$A$5,MATCH(BUILDING!U164,ITEM_RES!$J$5:$J$229,0)-1,0),0)</f>
        <v>0</v>
      </c>
      <c r="X164" s="84" t="s">
        <v>537</v>
      </c>
      <c r="Y164" s="9">
        <f ca="1">IFERROR(OFFSET(ITEM_RES!$A$5,MATCH(BUILDING!X164,ITEM_RES!$J$5:$J$229,0)-1,0),0)</f>
        <v>211010501</v>
      </c>
      <c r="AA164" s="9" t="s">
        <v>508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1081</v>
      </c>
      <c r="AU164" s="11">
        <v>152000000</v>
      </c>
      <c r="AX164" s="11">
        <f ca="1">IFERROR(OFFSET(ITEM_RES!$A$1,MATCH(AY164,ITEM_RES!$J:$J,0)-1,0),0)</f>
        <v>211020901</v>
      </c>
      <c r="AY164" s="10" t="s">
        <v>1088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755</v>
      </c>
      <c r="P165" s="17"/>
      <c r="Q165" s="17"/>
      <c r="R165" s="18"/>
      <c r="S165" s="16" t="s">
        <v>684</v>
      </c>
      <c r="T165" s="78"/>
      <c r="U165" s="86" t="s">
        <v>537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538</v>
      </c>
      <c r="Y165" s="16">
        <f ca="1">IFERROR(OFFSET(ITEM_RES!$A$5,MATCH(BUILDING!X165,ITEM_RES!$J$5:$J$229,0)-1,0),0)</f>
        <v>211010601</v>
      </c>
      <c r="Z165" s="78"/>
      <c r="AA165" s="16" t="s">
        <v>509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1083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1087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447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755</v>
      </c>
      <c r="S166" s="9" t="s">
        <v>684</v>
      </c>
      <c r="U166" s="84" t="s">
        <v>537</v>
      </c>
      <c r="V166" s="9">
        <f ca="1">IFERROR(OFFSET(ITEM_RES!$A$5,MATCH(BUILDING!U166,ITEM_RES!$J$5:$J$229,0)-1,0),0)</f>
        <v>211010501</v>
      </c>
      <c r="W166" s="11">
        <v>1</v>
      </c>
      <c r="X166" s="84" t="s">
        <v>538</v>
      </c>
      <c r="Y166" s="9">
        <f ca="1">IFERROR(OFFSET(ITEM_RES!$A$5,MATCH(BUILDING!X166,ITEM_RES!$J$5:$J$229,0)-1,0),0)</f>
        <v>211010601</v>
      </c>
      <c r="AA166" s="9" t="s">
        <v>509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1083</v>
      </c>
      <c r="AU166" s="11">
        <v>20</v>
      </c>
      <c r="AX166" s="11">
        <f ca="1">IFERROR(OFFSET(ITEM_RES!$A$1,MATCH(AY166,ITEM_RES!$J:$J,0)-1,0),0)</f>
        <v>211020801</v>
      </c>
      <c r="AY166" s="10" t="s">
        <v>1087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755</v>
      </c>
      <c r="S167" s="9" t="s">
        <v>684</v>
      </c>
      <c r="U167" s="84" t="s">
        <v>537</v>
      </c>
      <c r="V167" s="9">
        <f ca="1">IFERROR(OFFSET(ITEM_RES!$A$5,MATCH(BUILDING!U167,ITEM_RES!$J$5:$J$229,0)-1,0),0)</f>
        <v>211010501</v>
      </c>
      <c r="W167" s="11">
        <v>1</v>
      </c>
      <c r="X167" s="84" t="s">
        <v>538</v>
      </c>
      <c r="Y167" s="9">
        <f ca="1">IFERROR(OFFSET(ITEM_RES!$A$5,MATCH(BUILDING!X167,ITEM_RES!$J$5:$J$229,0)-1,0),0)</f>
        <v>211010601</v>
      </c>
      <c r="AA167" s="9" t="s">
        <v>509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1083</v>
      </c>
      <c r="AU167" s="11">
        <v>160</v>
      </c>
      <c r="AX167" s="11">
        <f ca="1">IFERROR(OFFSET(ITEM_RES!$A$1,MATCH(AY167,ITEM_RES!$J:$J,0)-1,0),0)</f>
        <v>211020801</v>
      </c>
      <c r="AY167" s="10" t="s">
        <v>1087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755</v>
      </c>
      <c r="S168" s="9" t="s">
        <v>684</v>
      </c>
      <c r="U168" s="84" t="s">
        <v>537</v>
      </c>
      <c r="V168" s="9">
        <f ca="1">IFERROR(OFFSET(ITEM_RES!$A$5,MATCH(BUILDING!U168,ITEM_RES!$J$5:$J$229,0)-1,0),0)</f>
        <v>211010501</v>
      </c>
      <c r="W168" s="11">
        <v>1</v>
      </c>
      <c r="X168" s="84" t="s">
        <v>538</v>
      </c>
      <c r="Y168" s="9">
        <f ca="1">IFERROR(OFFSET(ITEM_RES!$A$5,MATCH(BUILDING!X168,ITEM_RES!$J$5:$J$229,0)-1,0),0)</f>
        <v>211010601</v>
      </c>
      <c r="AA168" s="9" t="s">
        <v>509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1083</v>
      </c>
      <c r="AU168" s="11">
        <v>1920</v>
      </c>
      <c r="AX168" s="11">
        <f ca="1">IFERROR(OFFSET(ITEM_RES!$A$1,MATCH(AY168,ITEM_RES!$J:$J,0)-1,0),0)</f>
        <v>211020801</v>
      </c>
      <c r="AY168" s="10" t="s">
        <v>1087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755</v>
      </c>
      <c r="S169" s="9" t="s">
        <v>684</v>
      </c>
      <c r="U169" s="84" t="s">
        <v>537</v>
      </c>
      <c r="V169" s="9">
        <f ca="1">IFERROR(OFFSET(ITEM_RES!$A$5,MATCH(BUILDING!U169,ITEM_RES!$J$5:$J$229,0)-1,0),0)</f>
        <v>211010501</v>
      </c>
      <c r="W169" s="11">
        <v>1</v>
      </c>
      <c r="X169" s="84" t="s">
        <v>538</v>
      </c>
      <c r="Y169" s="9">
        <f ca="1">IFERROR(OFFSET(ITEM_RES!$A$5,MATCH(BUILDING!X169,ITEM_RES!$J$5:$J$229,0)-1,0),0)</f>
        <v>211010601</v>
      </c>
      <c r="AA169" s="9" t="s">
        <v>509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1083</v>
      </c>
      <c r="AU169" s="11">
        <v>26000</v>
      </c>
      <c r="AX169" s="11">
        <f ca="1">IFERROR(OFFSET(ITEM_RES!$A$1,MATCH(AY169,ITEM_RES!$J:$J,0)-1,0),0)</f>
        <v>211020801</v>
      </c>
      <c r="AY169" s="10" t="s">
        <v>1087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755</v>
      </c>
      <c r="S170" s="9" t="s">
        <v>684</v>
      </c>
      <c r="U170" s="84" t="s">
        <v>537</v>
      </c>
      <c r="V170" s="9">
        <f ca="1">IFERROR(OFFSET(ITEM_RES!$A$5,MATCH(BUILDING!U170,ITEM_RES!$J$5:$J$229,0)-1,0),0)</f>
        <v>211010501</v>
      </c>
      <c r="W170" s="11">
        <v>1</v>
      </c>
      <c r="X170" s="84" t="s">
        <v>538</v>
      </c>
      <c r="Y170" s="9">
        <f ca="1">IFERROR(OFFSET(ITEM_RES!$A$5,MATCH(BUILDING!X170,ITEM_RES!$J$5:$J$229,0)-1,0),0)</f>
        <v>211010601</v>
      </c>
      <c r="AA170" s="9" t="s">
        <v>509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1083</v>
      </c>
      <c r="AU170" s="11">
        <v>240000</v>
      </c>
      <c r="AX170" s="11">
        <f ca="1">IFERROR(OFFSET(ITEM_RES!$A$1,MATCH(AY170,ITEM_RES!$J:$J,0)-1,0),0)</f>
        <v>211020801</v>
      </c>
      <c r="AY170" s="10" t="s">
        <v>1087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755</v>
      </c>
      <c r="S171" s="9" t="s">
        <v>684</v>
      </c>
      <c r="U171" s="84" t="s">
        <v>537</v>
      </c>
      <c r="V171" s="9">
        <f ca="1">IFERROR(OFFSET(ITEM_RES!$A$5,MATCH(BUILDING!U171,ITEM_RES!$J$5:$J$229,0)-1,0),0)</f>
        <v>211010501</v>
      </c>
      <c r="W171" s="11">
        <v>1</v>
      </c>
      <c r="X171" s="84" t="s">
        <v>538</v>
      </c>
      <c r="Y171" s="9">
        <f ca="1">IFERROR(OFFSET(ITEM_RES!$A$5,MATCH(BUILDING!X171,ITEM_RES!$J$5:$J$229,0)-1,0),0)</f>
        <v>211010601</v>
      </c>
      <c r="AA171" s="9" t="s">
        <v>509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1083</v>
      </c>
      <c r="AU171" s="11">
        <v>540000</v>
      </c>
      <c r="AX171" s="11">
        <f ca="1">IFERROR(OFFSET(ITEM_RES!$A$1,MATCH(AY171,ITEM_RES!$J:$J,0)-1,0),0)</f>
        <v>211020801</v>
      </c>
      <c r="AY171" s="10" t="s">
        <v>1087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755</v>
      </c>
      <c r="S172" s="9" t="s">
        <v>684</v>
      </c>
      <c r="U172" s="84" t="s">
        <v>537</v>
      </c>
      <c r="V172" s="9">
        <f ca="1">IFERROR(OFFSET(ITEM_RES!$A$5,MATCH(BUILDING!U172,ITEM_RES!$J$5:$J$229,0)-1,0),0)</f>
        <v>211010501</v>
      </c>
      <c r="W172" s="11">
        <v>1</v>
      </c>
      <c r="X172" s="84" t="s">
        <v>538</v>
      </c>
      <c r="Y172" s="9">
        <f ca="1">IFERROR(OFFSET(ITEM_RES!$A$5,MATCH(BUILDING!X172,ITEM_RES!$J$5:$J$229,0)-1,0),0)</f>
        <v>211010601</v>
      </c>
      <c r="AA172" s="9" t="s">
        <v>509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1083</v>
      </c>
      <c r="AU172" s="11">
        <v>1000000</v>
      </c>
      <c r="AX172" s="11">
        <f ca="1">IFERROR(OFFSET(ITEM_RES!$A$1,MATCH(AY172,ITEM_RES!$J:$J,0)-1,0),0)</f>
        <v>211020801</v>
      </c>
      <c r="AY172" s="10" t="s">
        <v>1087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755</v>
      </c>
      <c r="S173" s="9" t="s">
        <v>684</v>
      </c>
      <c r="U173" s="84" t="s">
        <v>537</v>
      </c>
      <c r="V173" s="9">
        <f ca="1">IFERROR(OFFSET(ITEM_RES!$A$5,MATCH(BUILDING!U173,ITEM_RES!$J$5:$J$229,0)-1,0),0)</f>
        <v>211010501</v>
      </c>
      <c r="W173" s="11">
        <v>1</v>
      </c>
      <c r="X173" s="84" t="s">
        <v>538</v>
      </c>
      <c r="Y173" s="9">
        <f ca="1">IFERROR(OFFSET(ITEM_RES!$A$5,MATCH(BUILDING!X173,ITEM_RES!$J$5:$J$229,0)-1,0),0)</f>
        <v>211010601</v>
      </c>
      <c r="AA173" s="9" t="s">
        <v>509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1083</v>
      </c>
      <c r="AU173" s="11">
        <v>1580000</v>
      </c>
      <c r="AX173" s="11">
        <f ca="1">IFERROR(OFFSET(ITEM_RES!$A$1,MATCH(AY173,ITEM_RES!$J:$J,0)-1,0),0)</f>
        <v>211020801</v>
      </c>
      <c r="AY173" s="10" t="s">
        <v>1087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755</v>
      </c>
      <c r="S174" s="9" t="s">
        <v>684</v>
      </c>
      <c r="U174" s="84" t="s">
        <v>537</v>
      </c>
      <c r="V174" s="9">
        <f ca="1">IFERROR(OFFSET(ITEM_RES!$A$5,MATCH(BUILDING!U174,ITEM_RES!$J$5:$J$229,0)-1,0),0)</f>
        <v>211010501</v>
      </c>
      <c r="W174" s="11">
        <v>1</v>
      </c>
      <c r="X174" s="84" t="s">
        <v>538</v>
      </c>
      <c r="Y174" s="9">
        <f ca="1">IFERROR(OFFSET(ITEM_RES!$A$5,MATCH(BUILDING!X174,ITEM_RES!$J$5:$J$229,0)-1,0),0)</f>
        <v>211010601</v>
      </c>
      <c r="AA174" s="9" t="s">
        <v>509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1083</v>
      </c>
      <c r="AU174" s="11">
        <v>2200000</v>
      </c>
      <c r="AX174" s="11">
        <f ca="1">IFERROR(OFFSET(ITEM_RES!$A$1,MATCH(AY174,ITEM_RES!$J:$J,0)-1,0),0)</f>
        <v>211020801</v>
      </c>
      <c r="AY174" s="10" t="s">
        <v>1087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755</v>
      </c>
      <c r="S175" s="9" t="s">
        <v>684</v>
      </c>
      <c r="U175" s="84" t="s">
        <v>537</v>
      </c>
      <c r="V175" s="9">
        <f ca="1">IFERROR(OFFSET(ITEM_RES!$A$5,MATCH(BUILDING!U175,ITEM_RES!$J$5:$J$229,0)-1,0),0)</f>
        <v>211010501</v>
      </c>
      <c r="W175" s="11">
        <v>1</v>
      </c>
      <c r="X175" s="84" t="s">
        <v>538</v>
      </c>
      <c r="Y175" s="9">
        <f ca="1">IFERROR(OFFSET(ITEM_RES!$A$5,MATCH(BUILDING!X175,ITEM_RES!$J$5:$J$229,0)-1,0),0)</f>
        <v>211010601</v>
      </c>
      <c r="AA175" s="9" t="s">
        <v>509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1081</v>
      </c>
      <c r="AU175" s="11">
        <v>4400000</v>
      </c>
      <c r="AX175" s="11">
        <f ca="1">IFERROR(OFFSET(ITEM_RES!$A$1,MATCH(AY175,ITEM_RES!$J:$J,0)-1,0),0)</f>
        <v>211020801</v>
      </c>
      <c r="AY175" s="10" t="s">
        <v>1087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755</v>
      </c>
      <c r="S176" s="9" t="s">
        <v>684</v>
      </c>
      <c r="U176" s="84" t="s">
        <v>537</v>
      </c>
      <c r="V176" s="9">
        <f ca="1">IFERROR(OFFSET(ITEM_RES!$A$5,MATCH(BUILDING!U176,ITEM_RES!$J$5:$J$229,0)-1,0),0)</f>
        <v>211010501</v>
      </c>
      <c r="W176" s="11">
        <v>1</v>
      </c>
      <c r="X176" s="84" t="s">
        <v>538</v>
      </c>
      <c r="Y176" s="9">
        <f ca="1">IFERROR(OFFSET(ITEM_RES!$A$5,MATCH(BUILDING!X176,ITEM_RES!$J$5:$J$229,0)-1,0),0)</f>
        <v>211010601</v>
      </c>
      <c r="AA176" s="9" t="s">
        <v>509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1081</v>
      </c>
      <c r="AU176" s="11">
        <v>5200000</v>
      </c>
      <c r="AX176" s="11">
        <f ca="1">IFERROR(OFFSET(ITEM_RES!$A$1,MATCH(AY176,ITEM_RES!$J:$J,0)-1,0),0)</f>
        <v>211020801</v>
      </c>
      <c r="AY176" s="10" t="s">
        <v>1087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755</v>
      </c>
      <c r="S177" s="9" t="s">
        <v>684</v>
      </c>
      <c r="U177" s="84" t="s">
        <v>537</v>
      </c>
      <c r="V177" s="9">
        <f ca="1">IFERROR(OFFSET(ITEM_RES!$A$5,MATCH(BUILDING!U177,ITEM_RES!$J$5:$J$229,0)-1,0),0)</f>
        <v>211010501</v>
      </c>
      <c r="W177" s="11">
        <v>1</v>
      </c>
      <c r="X177" s="84" t="s">
        <v>538</v>
      </c>
      <c r="Y177" s="9">
        <f ca="1">IFERROR(OFFSET(ITEM_RES!$A$5,MATCH(BUILDING!X177,ITEM_RES!$J$5:$J$229,0)-1,0),0)</f>
        <v>211010601</v>
      </c>
      <c r="AA177" s="9" t="s">
        <v>509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1081</v>
      </c>
      <c r="AU177" s="11">
        <v>8600000</v>
      </c>
      <c r="AX177" s="11">
        <f ca="1">IFERROR(OFFSET(ITEM_RES!$A$1,MATCH(AY177,ITEM_RES!$J:$J,0)-1,0),0)</f>
        <v>211020801</v>
      </c>
      <c r="AY177" s="10" t="s">
        <v>1087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755</v>
      </c>
      <c r="S178" s="9" t="s">
        <v>684</v>
      </c>
      <c r="U178" s="84" t="s">
        <v>537</v>
      </c>
      <c r="V178" s="9">
        <f ca="1">IFERROR(OFFSET(ITEM_RES!$A$5,MATCH(BUILDING!U178,ITEM_RES!$J$5:$J$229,0)-1,0),0)</f>
        <v>211010501</v>
      </c>
      <c r="W178" s="11">
        <v>1</v>
      </c>
      <c r="X178" s="84" t="s">
        <v>538</v>
      </c>
      <c r="Y178" s="9">
        <f ca="1">IFERROR(OFFSET(ITEM_RES!$A$5,MATCH(BUILDING!X178,ITEM_RES!$J$5:$J$229,0)-1,0),0)</f>
        <v>211010601</v>
      </c>
      <c r="AA178" s="9" t="s">
        <v>509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1081</v>
      </c>
      <c r="AU178" s="11">
        <v>13200000</v>
      </c>
      <c r="AX178" s="11">
        <f ca="1">IFERROR(OFFSET(ITEM_RES!$A$1,MATCH(AY178,ITEM_RES!$J:$J,0)-1,0),0)</f>
        <v>211020801</v>
      </c>
      <c r="AY178" s="10" t="s">
        <v>1087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755</v>
      </c>
      <c r="S179" s="9" t="s">
        <v>684</v>
      </c>
      <c r="U179" s="84" t="s">
        <v>537</v>
      </c>
      <c r="V179" s="9">
        <f ca="1">IFERROR(OFFSET(ITEM_RES!$A$5,MATCH(BUILDING!U179,ITEM_RES!$J$5:$J$229,0)-1,0),0)</f>
        <v>211010501</v>
      </c>
      <c r="W179" s="11">
        <v>1</v>
      </c>
      <c r="X179" s="84" t="s">
        <v>538</v>
      </c>
      <c r="Y179" s="9">
        <f ca="1">IFERROR(OFFSET(ITEM_RES!$A$5,MATCH(BUILDING!X179,ITEM_RES!$J$5:$J$229,0)-1,0),0)</f>
        <v>211010601</v>
      </c>
      <c r="AA179" s="9" t="s">
        <v>509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1081</v>
      </c>
      <c r="AU179" s="11">
        <v>22000000</v>
      </c>
      <c r="AX179" s="11">
        <f ca="1">IFERROR(OFFSET(ITEM_RES!$A$1,MATCH(AY179,ITEM_RES!$J:$J,0)-1,0),0)</f>
        <v>211020801</v>
      </c>
      <c r="AY179" s="10" t="s">
        <v>1087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755</v>
      </c>
      <c r="S180" s="9" t="s">
        <v>684</v>
      </c>
      <c r="U180" s="84" t="s">
        <v>537</v>
      </c>
      <c r="V180" s="9">
        <f ca="1">IFERROR(OFFSET(ITEM_RES!$A$5,MATCH(BUILDING!U180,ITEM_RES!$J$5:$J$229,0)-1,0),0)</f>
        <v>211010501</v>
      </c>
      <c r="W180" s="11">
        <v>1</v>
      </c>
      <c r="X180" s="84" t="s">
        <v>538</v>
      </c>
      <c r="Y180" s="9">
        <f ca="1">IFERROR(OFFSET(ITEM_RES!$A$5,MATCH(BUILDING!X180,ITEM_RES!$J$5:$J$229,0)-1,0),0)</f>
        <v>211010601</v>
      </c>
      <c r="AA180" s="9" t="s">
        <v>509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1081</v>
      </c>
      <c r="AU180" s="11">
        <v>30000000</v>
      </c>
      <c r="AX180" s="11">
        <f ca="1">IFERROR(OFFSET(ITEM_RES!$A$1,MATCH(AY180,ITEM_RES!$J:$J,0)-1,0),0)</f>
        <v>211020801</v>
      </c>
      <c r="AY180" s="10" t="s">
        <v>1087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755</v>
      </c>
      <c r="S181" s="9" t="s">
        <v>684</v>
      </c>
      <c r="U181" s="84" t="s">
        <v>537</v>
      </c>
      <c r="V181" s="9">
        <f ca="1">IFERROR(OFFSET(ITEM_RES!$A$5,MATCH(BUILDING!U181,ITEM_RES!$J$5:$J$229,0)-1,0),0)</f>
        <v>211010501</v>
      </c>
      <c r="W181" s="11">
        <v>1</v>
      </c>
      <c r="X181" s="84" t="s">
        <v>538</v>
      </c>
      <c r="Y181" s="9">
        <f ca="1">IFERROR(OFFSET(ITEM_RES!$A$5,MATCH(BUILDING!X181,ITEM_RES!$J$5:$J$229,0)-1,0),0)</f>
        <v>211010601</v>
      </c>
      <c r="AA181" s="9" t="s">
        <v>509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1081</v>
      </c>
      <c r="AU181" s="11">
        <v>46000000</v>
      </c>
      <c r="AX181" s="11">
        <f ca="1">IFERROR(OFFSET(ITEM_RES!$A$1,MATCH(AY181,ITEM_RES!$J:$J,0)-1,0),0)</f>
        <v>211020901</v>
      </c>
      <c r="AY181" s="10" t="s">
        <v>1088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755</v>
      </c>
      <c r="S182" s="9" t="s">
        <v>684</v>
      </c>
      <c r="U182" s="84" t="s">
        <v>537</v>
      </c>
      <c r="V182" s="9">
        <f ca="1">IFERROR(OFFSET(ITEM_RES!$A$5,MATCH(BUILDING!U182,ITEM_RES!$J$5:$J$229,0)-1,0),0)</f>
        <v>211010501</v>
      </c>
      <c r="W182" s="11">
        <v>1</v>
      </c>
      <c r="X182" s="84" t="s">
        <v>538</v>
      </c>
      <c r="Y182" s="9">
        <f ca="1">IFERROR(OFFSET(ITEM_RES!$A$5,MATCH(BUILDING!X182,ITEM_RES!$J$5:$J$229,0)-1,0),0)</f>
        <v>211010601</v>
      </c>
      <c r="AA182" s="9" t="s">
        <v>509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1081</v>
      </c>
      <c r="AU182" s="11">
        <v>70000000</v>
      </c>
      <c r="AX182" s="11">
        <f ca="1">IFERROR(OFFSET(ITEM_RES!$A$1,MATCH(AY182,ITEM_RES!$J:$J,0)-1,0),0)</f>
        <v>211020901</v>
      </c>
      <c r="AY182" s="10" t="s">
        <v>1088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755</v>
      </c>
      <c r="S183" s="9" t="s">
        <v>684</v>
      </c>
      <c r="U183" s="84" t="s">
        <v>537</v>
      </c>
      <c r="V183" s="9">
        <f ca="1">IFERROR(OFFSET(ITEM_RES!$A$5,MATCH(BUILDING!U183,ITEM_RES!$J$5:$J$229,0)-1,0),0)</f>
        <v>211010501</v>
      </c>
      <c r="W183" s="11">
        <v>1</v>
      </c>
      <c r="X183" s="84" t="s">
        <v>538</v>
      </c>
      <c r="Y183" s="9">
        <f ca="1">IFERROR(OFFSET(ITEM_RES!$A$5,MATCH(BUILDING!X183,ITEM_RES!$J$5:$J$229,0)-1,0),0)</f>
        <v>211010601</v>
      </c>
      <c r="AA183" s="9" t="s">
        <v>509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1081</v>
      </c>
      <c r="AU183" s="11">
        <v>96000000</v>
      </c>
      <c r="AX183" s="11">
        <f ca="1">IFERROR(OFFSET(ITEM_RES!$A$1,MATCH(AY183,ITEM_RES!$J:$J,0)-1,0),0)</f>
        <v>211020901</v>
      </c>
      <c r="AY183" s="10" t="s">
        <v>1088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755</v>
      </c>
      <c r="S184" s="9" t="s">
        <v>684</v>
      </c>
      <c r="U184" s="84" t="s">
        <v>537</v>
      </c>
      <c r="V184" s="9">
        <f ca="1">IFERROR(OFFSET(ITEM_RES!$A$5,MATCH(BUILDING!U184,ITEM_RES!$J$5:$J$229,0)-1,0),0)</f>
        <v>211010501</v>
      </c>
      <c r="W184" s="11">
        <v>1</v>
      </c>
      <c r="X184" s="84" t="s">
        <v>538</v>
      </c>
      <c r="Y184" s="9">
        <f ca="1">IFERROR(OFFSET(ITEM_RES!$A$5,MATCH(BUILDING!X184,ITEM_RES!$J$5:$J$229,0)-1,0),0)</f>
        <v>211010601</v>
      </c>
      <c r="AA184" s="9" t="s">
        <v>509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1081</v>
      </c>
      <c r="AU184" s="11">
        <v>152000000</v>
      </c>
      <c r="AX184" s="11">
        <f ca="1">IFERROR(OFFSET(ITEM_RES!$A$1,MATCH(AY184,ITEM_RES!$J:$J,0)-1,0),0)</f>
        <v>211020901</v>
      </c>
      <c r="AY184" s="10" t="s">
        <v>1088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496</v>
      </c>
      <c r="L185" s="63">
        <v>4</v>
      </c>
      <c r="M185" s="16">
        <v>1</v>
      </c>
      <c r="N185" s="16">
        <v>15</v>
      </c>
      <c r="O185" s="16" t="s">
        <v>1128</v>
      </c>
      <c r="P185" s="17"/>
      <c r="Q185" s="17"/>
      <c r="R185" s="18"/>
      <c r="S185" s="16" t="s">
        <v>702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510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389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392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496</v>
      </c>
      <c r="L186" s="56"/>
      <c r="M186" s="9">
        <v>1</v>
      </c>
      <c r="N186" s="9">
        <v>15</v>
      </c>
      <c r="O186" s="83" t="s">
        <v>1127</v>
      </c>
      <c r="S186" s="9" t="s">
        <v>685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510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389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496</v>
      </c>
      <c r="L187" s="56"/>
      <c r="M187" s="9">
        <v>1</v>
      </c>
      <c r="N187" s="9">
        <v>15</v>
      </c>
      <c r="O187" s="9" t="s">
        <v>1037</v>
      </c>
      <c r="S187" s="9" t="s">
        <v>685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510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389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496</v>
      </c>
      <c r="L188" s="56"/>
      <c r="M188" s="9">
        <v>1</v>
      </c>
      <c r="N188" s="9">
        <v>15</v>
      </c>
      <c r="O188" s="9" t="s">
        <v>1037</v>
      </c>
      <c r="S188" s="9" t="s">
        <v>685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510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389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496</v>
      </c>
      <c r="L189" s="56"/>
      <c r="M189" s="9">
        <v>1</v>
      </c>
      <c r="N189" s="9">
        <v>15</v>
      </c>
      <c r="O189" s="9" t="s">
        <v>1037</v>
      </c>
      <c r="S189" s="9" t="s">
        <v>685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510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389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496</v>
      </c>
      <c r="L190" s="56"/>
      <c r="M190" s="9">
        <v>1</v>
      </c>
      <c r="N190" s="9">
        <v>15</v>
      </c>
      <c r="O190" s="9" t="s">
        <v>1037</v>
      </c>
      <c r="S190" s="9" t="s">
        <v>685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510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389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496</v>
      </c>
      <c r="L191" s="56"/>
      <c r="M191" s="9">
        <v>1</v>
      </c>
      <c r="N191" s="9">
        <v>15</v>
      </c>
      <c r="O191" s="9" t="s">
        <v>1037</v>
      </c>
      <c r="S191" s="9" t="s">
        <v>685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510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389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496</v>
      </c>
      <c r="L192" s="56"/>
      <c r="M192" s="9">
        <v>1</v>
      </c>
      <c r="N192" s="9">
        <v>15</v>
      </c>
      <c r="O192" s="9" t="s">
        <v>1037</v>
      </c>
      <c r="S192" s="9" t="s">
        <v>685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510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389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496</v>
      </c>
      <c r="L193" s="56"/>
      <c r="M193" s="9">
        <v>1</v>
      </c>
      <c r="N193" s="9">
        <v>15</v>
      </c>
      <c r="O193" s="9" t="s">
        <v>1037</v>
      </c>
      <c r="S193" s="9" t="s">
        <v>685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510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389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496</v>
      </c>
      <c r="L194" s="56"/>
      <c r="M194" s="9">
        <v>1</v>
      </c>
      <c r="N194" s="9">
        <v>15</v>
      </c>
      <c r="O194" s="9" t="s">
        <v>1037</v>
      </c>
      <c r="S194" s="9" t="s">
        <v>685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510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389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458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496</v>
      </c>
      <c r="L195" s="56"/>
      <c r="M195" s="9">
        <v>1</v>
      </c>
      <c r="N195" s="9">
        <v>15</v>
      </c>
      <c r="O195" s="9" t="s">
        <v>1037</v>
      </c>
      <c r="S195" s="9" t="s">
        <v>685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510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389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496</v>
      </c>
      <c r="L196" s="56"/>
      <c r="M196" s="9">
        <v>1</v>
      </c>
      <c r="N196" s="9">
        <v>15</v>
      </c>
      <c r="O196" s="9" t="s">
        <v>1037</v>
      </c>
      <c r="S196" s="9" t="s">
        <v>685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510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389</v>
      </c>
      <c r="AU196" s="11">
        <v>1</v>
      </c>
      <c r="AX196" s="11">
        <f ca="1">IFERROR(OFFSET(ITEM_RES!$A$1,MATCH(AY196,ITEM_RES!$J:$J,0)-1,0),0)</f>
        <v>211020901</v>
      </c>
      <c r="AY196" s="10" t="s">
        <v>390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496</v>
      </c>
      <c r="L197" s="56"/>
      <c r="M197" s="9">
        <v>1</v>
      </c>
      <c r="N197" s="9">
        <v>15</v>
      </c>
      <c r="O197" s="9" t="s">
        <v>1037</v>
      </c>
      <c r="S197" s="9" t="s">
        <v>685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510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389</v>
      </c>
      <c r="AU197" s="11">
        <v>1</v>
      </c>
      <c r="AX197" s="11">
        <f ca="1">IFERROR(OFFSET(ITEM_RES!$A$1,MATCH(AY197,ITEM_RES!$J:$J,0)-1,0),0)</f>
        <v>211020901</v>
      </c>
      <c r="AY197" s="10" t="s">
        <v>390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496</v>
      </c>
      <c r="L198" s="56"/>
      <c r="M198" s="9">
        <v>1</v>
      </c>
      <c r="N198" s="9">
        <v>15</v>
      </c>
      <c r="O198" s="9" t="s">
        <v>1037</v>
      </c>
      <c r="S198" s="9" t="s">
        <v>685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510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389</v>
      </c>
      <c r="AU198" s="11">
        <v>1</v>
      </c>
      <c r="AX198" s="11">
        <f ca="1">IFERROR(OFFSET(ITEM_RES!$A$1,MATCH(AY198,ITEM_RES!$J:$J,0)-1,0),0)</f>
        <v>211020901</v>
      </c>
      <c r="AY198" s="10" t="s">
        <v>390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496</v>
      </c>
      <c r="L199" s="56"/>
      <c r="M199" s="9">
        <v>1</v>
      </c>
      <c r="N199" s="9">
        <v>15</v>
      </c>
      <c r="O199" s="9" t="s">
        <v>1037</v>
      </c>
      <c r="S199" s="9" t="s">
        <v>685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510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389</v>
      </c>
      <c r="AU199" s="11">
        <v>1</v>
      </c>
      <c r="AX199" s="11">
        <f ca="1">IFERROR(OFFSET(ITEM_RES!$A$1,MATCH(AY199,ITEM_RES!$J:$J,0)-1,0),0)</f>
        <v>211020901</v>
      </c>
      <c r="AY199" s="10" t="s">
        <v>390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496</v>
      </c>
      <c r="L200" s="56"/>
      <c r="M200" s="9">
        <v>0</v>
      </c>
      <c r="N200" s="9">
        <v>15</v>
      </c>
      <c r="O200" s="9" t="s">
        <v>1037</v>
      </c>
      <c r="S200" s="9" t="s">
        <v>685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510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389</v>
      </c>
      <c r="AU200" s="11">
        <v>1</v>
      </c>
      <c r="AX200" s="11">
        <f ca="1">IFERROR(OFFSET(ITEM_RES!$A$1,MATCH(AY200,ITEM_RES!$J:$J,0)-1,0),0)</f>
        <v>211020901</v>
      </c>
      <c r="AY200" s="10" t="s">
        <v>390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496</v>
      </c>
      <c r="L201" s="56"/>
      <c r="M201" s="9">
        <v>0</v>
      </c>
      <c r="N201" s="9">
        <v>15</v>
      </c>
      <c r="O201" s="9" t="s">
        <v>1037</v>
      </c>
      <c r="S201" s="9" t="s">
        <v>685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510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389</v>
      </c>
      <c r="AU201" s="11">
        <v>1</v>
      </c>
      <c r="AX201" s="11">
        <f ca="1">IFERROR(OFFSET(ITEM_RES!$A$1,MATCH(AY201,ITEM_RES!$J:$J,0)-1,0),0)</f>
        <v>211020901</v>
      </c>
      <c r="AY201" s="10" t="s">
        <v>390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496</v>
      </c>
      <c r="L202" s="56"/>
      <c r="M202" s="9">
        <v>0</v>
      </c>
      <c r="N202" s="9">
        <v>15</v>
      </c>
      <c r="O202" s="9" t="s">
        <v>1037</v>
      </c>
      <c r="S202" s="9" t="s">
        <v>685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510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389</v>
      </c>
      <c r="AU202" s="11">
        <v>1</v>
      </c>
      <c r="AX202" s="11">
        <f ca="1">IFERROR(OFFSET(ITEM_RES!$A$1,MATCH(AY202,ITEM_RES!$J:$J,0)-1,0),0)</f>
        <v>211020901</v>
      </c>
      <c r="AY202" s="10" t="s">
        <v>390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496</v>
      </c>
      <c r="L203" s="56"/>
      <c r="M203" s="9">
        <v>0</v>
      </c>
      <c r="N203" s="9">
        <v>15</v>
      </c>
      <c r="O203" s="9" t="s">
        <v>1037</v>
      </c>
      <c r="S203" s="9" t="s">
        <v>685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510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390</v>
      </c>
      <c r="AU203" s="11">
        <v>1</v>
      </c>
      <c r="AX203" s="11">
        <f ca="1">IFERROR(OFFSET(ITEM_RES!$A$1,MATCH(AY203,ITEM_RES!$J:$J,0)-1,0),0)</f>
        <v>211020501</v>
      </c>
      <c r="AY203" s="10" t="s">
        <v>421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496</v>
      </c>
      <c r="L204" s="56"/>
      <c r="M204" s="9">
        <v>0</v>
      </c>
      <c r="N204" s="9">
        <v>15</v>
      </c>
      <c r="O204" s="9" t="s">
        <v>1037</v>
      </c>
      <c r="S204" s="9" t="s">
        <v>685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510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497</v>
      </c>
      <c r="AU204" s="11">
        <v>1</v>
      </c>
      <c r="AX204" s="11">
        <f ca="1">IFERROR(OFFSET(ITEM_RES!$A$1,MATCH(AY204,ITEM_RES!$J:$J,0)-1,0),0)</f>
        <v>211020501</v>
      </c>
      <c r="AY204" s="10" t="s">
        <v>421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563</v>
      </c>
      <c r="L205" s="63">
        <v>5</v>
      </c>
      <c r="M205" s="16">
        <v>1</v>
      </c>
      <c r="N205" s="16">
        <v>15</v>
      </c>
      <c r="O205" s="16" t="s">
        <v>1129</v>
      </c>
      <c r="P205" s="17"/>
      <c r="Q205" s="17"/>
      <c r="R205" s="18"/>
      <c r="S205" s="16" t="s">
        <v>686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564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389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392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563</v>
      </c>
      <c r="L206" s="56"/>
      <c r="M206" s="9">
        <v>1</v>
      </c>
      <c r="N206" s="9">
        <v>15</v>
      </c>
      <c r="O206" s="9" t="s">
        <v>1129</v>
      </c>
      <c r="P206" s="10"/>
      <c r="Q206" s="10"/>
      <c r="R206" s="11"/>
      <c r="S206" s="9" t="s">
        <v>686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564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389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563</v>
      </c>
      <c r="L207" s="56"/>
      <c r="M207" s="9">
        <v>1</v>
      </c>
      <c r="N207" s="9">
        <v>15</v>
      </c>
      <c r="O207" s="9" t="s">
        <v>1129</v>
      </c>
      <c r="S207" s="9" t="s">
        <v>686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564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389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563</v>
      </c>
      <c r="L208" s="56"/>
      <c r="M208" s="9">
        <v>1</v>
      </c>
      <c r="N208" s="9">
        <v>15</v>
      </c>
      <c r="O208" s="9" t="s">
        <v>1129</v>
      </c>
      <c r="S208" s="9" t="s">
        <v>686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564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389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563</v>
      </c>
      <c r="L209" s="56"/>
      <c r="M209" s="9">
        <v>1</v>
      </c>
      <c r="N209" s="9">
        <v>15</v>
      </c>
      <c r="O209" s="9" t="s">
        <v>1129</v>
      </c>
      <c r="S209" s="9" t="s">
        <v>686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564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389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563</v>
      </c>
      <c r="L210" s="56"/>
      <c r="M210" s="9">
        <v>1</v>
      </c>
      <c r="N210" s="9">
        <v>15</v>
      </c>
      <c r="O210" s="9" t="s">
        <v>1129</v>
      </c>
      <c r="S210" s="9" t="s">
        <v>686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564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389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563</v>
      </c>
      <c r="L211" s="56"/>
      <c r="M211" s="9">
        <v>1</v>
      </c>
      <c r="N211" s="9">
        <v>15</v>
      </c>
      <c r="O211" s="9" t="s">
        <v>1129</v>
      </c>
      <c r="S211" s="9" t="s">
        <v>686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564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389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563</v>
      </c>
      <c r="L212" s="56"/>
      <c r="M212" s="9">
        <v>1</v>
      </c>
      <c r="N212" s="9">
        <v>15</v>
      </c>
      <c r="O212" s="9" t="s">
        <v>1130</v>
      </c>
      <c r="S212" s="9" t="s">
        <v>686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564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389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563</v>
      </c>
      <c r="L213" s="56"/>
      <c r="M213" s="9">
        <v>1</v>
      </c>
      <c r="N213" s="9">
        <v>15</v>
      </c>
      <c r="O213" s="9" t="s">
        <v>1130</v>
      </c>
      <c r="S213" s="9" t="s">
        <v>686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564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389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563</v>
      </c>
      <c r="L214" s="56"/>
      <c r="M214" s="9">
        <v>1</v>
      </c>
      <c r="N214" s="9">
        <v>15</v>
      </c>
      <c r="O214" s="9" t="s">
        <v>1131</v>
      </c>
      <c r="S214" s="9" t="s">
        <v>686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564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389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457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563</v>
      </c>
      <c r="L215" s="56"/>
      <c r="M215" s="9">
        <v>1</v>
      </c>
      <c r="N215" s="9">
        <v>15</v>
      </c>
      <c r="O215" s="9" t="s">
        <v>1131</v>
      </c>
      <c r="S215" s="9" t="s">
        <v>686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564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389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563</v>
      </c>
      <c r="L216" s="56"/>
      <c r="M216" s="9">
        <v>1</v>
      </c>
      <c r="N216" s="9">
        <v>15</v>
      </c>
      <c r="O216" s="9" t="s">
        <v>1131</v>
      </c>
      <c r="S216" s="9" t="s">
        <v>686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564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389</v>
      </c>
      <c r="AU216" s="11">
        <v>1</v>
      </c>
      <c r="AX216" s="11">
        <f ca="1">IFERROR(OFFSET(ITEM_RES!$A$1,MATCH(AY216,ITEM_RES!$J:$J,0)-1,0),0)</f>
        <v>211020901</v>
      </c>
      <c r="AY216" s="10" t="s">
        <v>390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563</v>
      </c>
      <c r="L217" s="56"/>
      <c r="M217" s="9">
        <v>1</v>
      </c>
      <c r="N217" s="9">
        <v>15</v>
      </c>
      <c r="O217" s="9" t="s">
        <v>1131</v>
      </c>
      <c r="S217" s="9" t="s">
        <v>686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564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389</v>
      </c>
      <c r="AU217" s="11">
        <v>1</v>
      </c>
      <c r="AX217" s="11">
        <f ca="1">IFERROR(OFFSET(ITEM_RES!$A$1,MATCH(AY217,ITEM_RES!$J:$J,0)-1,0),0)</f>
        <v>211020901</v>
      </c>
      <c r="AY217" s="10" t="s">
        <v>390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563</v>
      </c>
      <c r="L218" s="56"/>
      <c r="M218" s="9">
        <v>1</v>
      </c>
      <c r="N218" s="9">
        <v>15</v>
      </c>
      <c r="O218" s="9" t="s">
        <v>1131</v>
      </c>
      <c r="S218" s="9" t="s">
        <v>686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564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389</v>
      </c>
      <c r="AU218" s="11">
        <v>1</v>
      </c>
      <c r="AX218" s="11">
        <f ca="1">IFERROR(OFFSET(ITEM_RES!$A$1,MATCH(AY218,ITEM_RES!$J:$J,0)-1,0),0)</f>
        <v>211020901</v>
      </c>
      <c r="AY218" s="10" t="s">
        <v>390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563</v>
      </c>
      <c r="L219" s="56"/>
      <c r="M219" s="9">
        <v>1</v>
      </c>
      <c r="N219" s="9">
        <v>15</v>
      </c>
      <c r="O219" s="9" t="s">
        <v>1131</v>
      </c>
      <c r="S219" s="9" t="s">
        <v>686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564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389</v>
      </c>
      <c r="AU219" s="11">
        <v>1</v>
      </c>
      <c r="AX219" s="11">
        <f ca="1">IFERROR(OFFSET(ITEM_RES!$A$1,MATCH(AY219,ITEM_RES!$J:$J,0)-1,0),0)</f>
        <v>211020901</v>
      </c>
      <c r="AY219" s="10" t="s">
        <v>390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563</v>
      </c>
      <c r="L220" s="56"/>
      <c r="M220" s="9">
        <v>0</v>
      </c>
      <c r="N220" s="9">
        <v>15</v>
      </c>
      <c r="O220" s="9" t="s">
        <v>1131</v>
      </c>
      <c r="S220" s="9" t="s">
        <v>686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564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389</v>
      </c>
      <c r="AU220" s="11">
        <v>1</v>
      </c>
      <c r="AX220" s="11">
        <f ca="1">IFERROR(OFFSET(ITEM_RES!$A$1,MATCH(AY220,ITEM_RES!$J:$J,0)-1,0),0)</f>
        <v>211020901</v>
      </c>
      <c r="AY220" s="10" t="s">
        <v>390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563</v>
      </c>
      <c r="L221" s="56"/>
      <c r="M221" s="9">
        <v>0</v>
      </c>
      <c r="N221" s="9">
        <v>15</v>
      </c>
      <c r="O221" s="9" t="s">
        <v>1131</v>
      </c>
      <c r="S221" s="9" t="s">
        <v>686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564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389</v>
      </c>
      <c r="AU221" s="11">
        <v>1</v>
      </c>
      <c r="AX221" s="11">
        <f ca="1">IFERROR(OFFSET(ITEM_RES!$A$1,MATCH(AY221,ITEM_RES!$J:$J,0)-1,0),0)</f>
        <v>211020901</v>
      </c>
      <c r="AY221" s="10" t="s">
        <v>390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563</v>
      </c>
      <c r="L222" s="56"/>
      <c r="M222" s="9">
        <v>0</v>
      </c>
      <c r="N222" s="9">
        <v>15</v>
      </c>
      <c r="O222" s="9" t="s">
        <v>1131</v>
      </c>
      <c r="S222" s="9" t="s">
        <v>686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564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389</v>
      </c>
      <c r="AU222" s="11">
        <v>1</v>
      </c>
      <c r="AX222" s="11">
        <f ca="1">IFERROR(OFFSET(ITEM_RES!$A$1,MATCH(AY222,ITEM_RES!$J:$J,0)-1,0),0)</f>
        <v>211020901</v>
      </c>
      <c r="AY222" s="10" t="s">
        <v>390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563</v>
      </c>
      <c r="L223" s="56"/>
      <c r="M223" s="9">
        <v>0</v>
      </c>
      <c r="N223" s="9">
        <v>15</v>
      </c>
      <c r="O223" s="9" t="s">
        <v>1131</v>
      </c>
      <c r="S223" s="9" t="s">
        <v>686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564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390</v>
      </c>
      <c r="AU223" s="11">
        <v>1</v>
      </c>
      <c r="AX223" s="11">
        <f ca="1">IFERROR(OFFSET(ITEM_RES!$A$1,MATCH(AY223,ITEM_RES!$J:$J,0)-1,0),0)</f>
        <v>211020501</v>
      </c>
      <c r="AY223" s="10" t="s">
        <v>421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563</v>
      </c>
      <c r="L224" s="56"/>
      <c r="M224" s="9">
        <v>0</v>
      </c>
      <c r="N224" s="9">
        <v>15</v>
      </c>
      <c r="O224" s="9" t="s">
        <v>1131</v>
      </c>
      <c r="S224" s="9" t="s">
        <v>686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564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390</v>
      </c>
      <c r="AU224" s="11">
        <v>1</v>
      </c>
      <c r="AX224" s="11">
        <f ca="1">IFERROR(OFFSET(ITEM_RES!$A$1,MATCH(AY224,ITEM_RES!$J:$J,0)-1,0),0)</f>
        <v>211020501</v>
      </c>
      <c r="AY224" s="10" t="s">
        <v>421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1298</v>
      </c>
      <c r="P225" s="17"/>
      <c r="Q225" s="17"/>
      <c r="R225" s="18"/>
      <c r="S225" s="16" t="s">
        <v>687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511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431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420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447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1298</v>
      </c>
      <c r="S226" s="9" t="s">
        <v>687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511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431</v>
      </c>
      <c r="AU226" s="11">
        <v>1</v>
      </c>
      <c r="AX226" s="11">
        <f ca="1">IFERROR(OFFSET(ITEM_RES!$A$1,MATCH(AY226,ITEM_RES!$J:$J,0)-1,0),0)</f>
        <v>211020401</v>
      </c>
      <c r="AY226" s="10" t="s">
        <v>420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1299</v>
      </c>
      <c r="S227" s="9" t="s">
        <v>687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511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431</v>
      </c>
      <c r="AU227" s="11">
        <v>1</v>
      </c>
      <c r="AX227" s="11">
        <f ca="1">IFERROR(OFFSET(ITEM_RES!$A$1,MATCH(AY227,ITEM_RES!$J:$J,0)-1,0),0)</f>
        <v>211020401</v>
      </c>
      <c r="AY227" s="10" t="s">
        <v>420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1299</v>
      </c>
      <c r="S228" s="9" t="s">
        <v>687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511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431</v>
      </c>
      <c r="AU228" s="11">
        <v>1</v>
      </c>
      <c r="AX228" s="11">
        <f ca="1">IFERROR(OFFSET(ITEM_RES!$A$1,MATCH(AY228,ITEM_RES!$J:$J,0)-1,0),0)</f>
        <v>211020401</v>
      </c>
      <c r="AY228" s="10" t="s">
        <v>420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1300</v>
      </c>
      <c r="S229" s="9" t="s">
        <v>687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511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431</v>
      </c>
      <c r="AU229" s="11">
        <v>1</v>
      </c>
      <c r="AX229" s="11">
        <f ca="1">IFERROR(OFFSET(ITEM_RES!$A$1,MATCH(AY229,ITEM_RES!$J:$J,0)-1,0),0)</f>
        <v>211020401</v>
      </c>
      <c r="AY229" s="10" t="s">
        <v>420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1300</v>
      </c>
      <c r="S230" s="9" t="s">
        <v>687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511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431</v>
      </c>
      <c r="AU230" s="11">
        <v>1</v>
      </c>
      <c r="AX230" s="11">
        <f ca="1">IFERROR(OFFSET(ITEM_RES!$A$1,MATCH(AY230,ITEM_RES!$J:$J,0)-1,0),0)</f>
        <v>211020401</v>
      </c>
      <c r="AY230" s="10" t="s">
        <v>420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1301</v>
      </c>
      <c r="S231" s="9" t="s">
        <v>687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511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431</v>
      </c>
      <c r="AU231" s="11">
        <v>1</v>
      </c>
      <c r="AX231" s="11">
        <f ca="1">IFERROR(OFFSET(ITEM_RES!$A$1,MATCH(AY231,ITEM_RES!$J:$J,0)-1,0),0)</f>
        <v>211020401</v>
      </c>
      <c r="AY231" s="10" t="s">
        <v>420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1301</v>
      </c>
      <c r="S232" s="9" t="s">
        <v>687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511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431</v>
      </c>
      <c r="AU232" s="11">
        <v>1</v>
      </c>
      <c r="AX232" s="11">
        <f ca="1">IFERROR(OFFSET(ITEM_RES!$A$1,MATCH(AY232,ITEM_RES!$J:$J,0)-1,0),0)</f>
        <v>211020401</v>
      </c>
      <c r="AY232" s="10" t="s">
        <v>420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1303</v>
      </c>
      <c r="S233" s="9" t="s">
        <v>687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511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431</v>
      </c>
      <c r="AU233" s="11">
        <v>1</v>
      </c>
      <c r="AX233" s="11">
        <f ca="1">IFERROR(OFFSET(ITEM_RES!$A$1,MATCH(AY233,ITEM_RES!$J:$J,0)-1,0),0)</f>
        <v>211020401</v>
      </c>
      <c r="AY233" s="10" t="s">
        <v>420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1304</v>
      </c>
      <c r="S234" s="9" t="s">
        <v>687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511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431</v>
      </c>
      <c r="AU234" s="11">
        <v>1</v>
      </c>
      <c r="AX234" s="11">
        <f ca="1">IFERROR(OFFSET(ITEM_RES!$A$1,MATCH(AY234,ITEM_RES!$J:$J,0)-1,0),0)</f>
        <v>211020401</v>
      </c>
      <c r="AY234" s="10" t="s">
        <v>420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498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1302</v>
      </c>
      <c r="S235" s="9" t="s">
        <v>687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511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440</v>
      </c>
      <c r="AU235" s="11">
        <v>1</v>
      </c>
      <c r="AX235" s="11">
        <f ca="1">IFERROR(OFFSET(ITEM_RES!$A$1,MATCH(AY235,ITEM_RES!$J:$J,0)-1,0),0)</f>
        <v>211020401</v>
      </c>
      <c r="AY235" s="10" t="s">
        <v>420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1302</v>
      </c>
      <c r="S236" s="9" t="s">
        <v>688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511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440</v>
      </c>
      <c r="AU236" s="11">
        <v>1</v>
      </c>
      <c r="AX236" s="11">
        <f ca="1">IFERROR(OFFSET(ITEM_RES!$A$1,MATCH(AY236,ITEM_RES!$J:$J,0)-1,0),0)</f>
        <v>211020401</v>
      </c>
      <c r="AY236" s="10" t="s">
        <v>420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1302</v>
      </c>
      <c r="S237" s="9" t="s">
        <v>688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511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440</v>
      </c>
      <c r="AU237" s="11">
        <v>1</v>
      </c>
      <c r="AX237" s="11">
        <f ca="1">IFERROR(OFFSET(ITEM_RES!$A$1,MATCH(AY237,ITEM_RES!$J:$J,0)-1,0),0)</f>
        <v>211020401</v>
      </c>
      <c r="AY237" s="10" t="s">
        <v>420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1302</v>
      </c>
      <c r="S238" s="9" t="s">
        <v>688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511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440</v>
      </c>
      <c r="AU238" s="11">
        <v>1</v>
      </c>
      <c r="AX238" s="11">
        <f ca="1">IFERROR(OFFSET(ITEM_RES!$A$1,MATCH(AY238,ITEM_RES!$J:$J,0)-1,0),0)</f>
        <v>211020401</v>
      </c>
      <c r="AY238" s="10" t="s">
        <v>420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1302</v>
      </c>
      <c r="S239" s="9" t="s">
        <v>688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511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440</v>
      </c>
      <c r="AU239" s="11">
        <v>1</v>
      </c>
      <c r="AX239" s="11">
        <f ca="1">IFERROR(OFFSET(ITEM_RES!$A$1,MATCH(AY239,ITEM_RES!$J:$J,0)-1,0),0)</f>
        <v>211020401</v>
      </c>
      <c r="AY239" s="10" t="s">
        <v>432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1302</v>
      </c>
      <c r="S240" s="9" t="s">
        <v>688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511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440</v>
      </c>
      <c r="AU240" s="11">
        <v>1</v>
      </c>
      <c r="AX240" s="11">
        <f ca="1">IFERROR(OFFSET(ITEM_RES!$A$1,MATCH(AY240,ITEM_RES!$J:$J,0)-1,0),0)</f>
        <v>211020501</v>
      </c>
      <c r="AY240" s="10" t="s">
        <v>430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1302</v>
      </c>
      <c r="S241" s="9" t="s">
        <v>688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511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440</v>
      </c>
      <c r="AU241" s="11">
        <v>1</v>
      </c>
      <c r="AX241" s="11">
        <f ca="1">IFERROR(OFFSET(ITEM_RES!$A$1,MATCH(AY241,ITEM_RES!$J:$J,0)-1,0),0)</f>
        <v>211020501</v>
      </c>
      <c r="AY241" s="10" t="s">
        <v>421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1302</v>
      </c>
      <c r="S242" s="9" t="s">
        <v>688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511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440</v>
      </c>
      <c r="AU242" s="11">
        <v>1</v>
      </c>
      <c r="AX242" s="11">
        <f ca="1">IFERROR(OFFSET(ITEM_RES!$A$1,MATCH(AY242,ITEM_RES!$J:$J,0)-1,0),0)</f>
        <v>211020501</v>
      </c>
      <c r="AY242" s="10" t="s">
        <v>421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1302</v>
      </c>
      <c r="S243" s="9" t="s">
        <v>688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511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440</v>
      </c>
      <c r="AU243" s="11">
        <v>1</v>
      </c>
      <c r="AX243" s="11">
        <f ca="1">IFERROR(OFFSET(ITEM_RES!$A$1,MATCH(AY243,ITEM_RES!$J:$J,0)-1,0),0)</f>
        <v>211020501</v>
      </c>
      <c r="AY243" s="10" t="s">
        <v>421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1302</v>
      </c>
      <c r="S244" s="9" t="s">
        <v>688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511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440</v>
      </c>
      <c r="AU244" s="11">
        <v>1</v>
      </c>
      <c r="AX244" s="11">
        <f ca="1">IFERROR(OFFSET(ITEM_RES!$A$1,MATCH(AY244,ITEM_RES!$J:$J,0)-1,0),0)</f>
        <v>211020501</v>
      </c>
      <c r="AY244" s="10" t="s">
        <v>421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1132</v>
      </c>
      <c r="P245" s="17"/>
      <c r="Q245" s="17"/>
      <c r="R245" s="18"/>
      <c r="S245" s="16" t="s">
        <v>689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512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431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447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1133</v>
      </c>
      <c r="S246" s="9" t="s">
        <v>689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512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431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1134</v>
      </c>
      <c r="S247" s="9" t="s">
        <v>689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512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431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1134</v>
      </c>
      <c r="S248" s="9" t="s">
        <v>689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512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431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1135</v>
      </c>
      <c r="S249" s="9" t="s">
        <v>689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512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431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1136</v>
      </c>
      <c r="S250" s="9" t="s">
        <v>689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512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431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1137</v>
      </c>
      <c r="S251" s="9" t="s">
        <v>689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512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431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1137</v>
      </c>
      <c r="S252" s="9" t="s">
        <v>689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512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431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1137</v>
      </c>
      <c r="S253" s="9" t="s">
        <v>689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512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431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1137</v>
      </c>
      <c r="S254" s="9" t="s">
        <v>689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512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431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459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1137</v>
      </c>
      <c r="S255" s="9" t="s">
        <v>689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512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431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1137</v>
      </c>
      <c r="S256" s="9" t="s">
        <v>689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512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431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1137</v>
      </c>
      <c r="S257" s="9" t="s">
        <v>689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512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440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1137</v>
      </c>
      <c r="S258" s="9" t="s">
        <v>689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512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440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1137</v>
      </c>
      <c r="S259" s="9" t="s">
        <v>689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512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440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1137</v>
      </c>
      <c r="S260" s="9" t="s">
        <v>689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512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440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1137</v>
      </c>
      <c r="S261" s="9" t="s">
        <v>689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512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440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1137</v>
      </c>
      <c r="S262" s="9" t="s">
        <v>689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512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440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1137</v>
      </c>
      <c r="S263" s="9" t="s">
        <v>689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512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440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1137</v>
      </c>
      <c r="S264" s="9" t="s">
        <v>689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512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440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690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513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431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420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447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690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513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431</v>
      </c>
      <c r="AU266" s="11">
        <v>1</v>
      </c>
      <c r="AX266" s="11">
        <f ca="1">IFERROR(OFFSET(ITEM_RES!$A$1,MATCH(AY266,ITEM_RES!$J:$J,0)-1,0),0)</f>
        <v>211020401</v>
      </c>
      <c r="AY266" s="10" t="s">
        <v>420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690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513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431</v>
      </c>
      <c r="AU267" s="11">
        <v>1</v>
      </c>
      <c r="AX267" s="11">
        <f ca="1">IFERROR(OFFSET(ITEM_RES!$A$1,MATCH(AY267,ITEM_RES!$J:$J,0)-1,0),0)</f>
        <v>211020401</v>
      </c>
      <c r="AY267" s="10" t="s">
        <v>420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690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513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431</v>
      </c>
      <c r="AU268" s="11">
        <v>1</v>
      </c>
      <c r="AX268" s="11">
        <f ca="1">IFERROR(OFFSET(ITEM_RES!$A$1,MATCH(AY268,ITEM_RES!$J:$J,0)-1,0),0)</f>
        <v>211020401</v>
      </c>
      <c r="AY268" s="10" t="s">
        <v>420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690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513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431</v>
      </c>
      <c r="AU269" s="11">
        <v>1</v>
      </c>
      <c r="AX269" s="11">
        <f ca="1">IFERROR(OFFSET(ITEM_RES!$A$1,MATCH(AY269,ITEM_RES!$J:$J,0)-1,0),0)</f>
        <v>211020401</v>
      </c>
      <c r="AY269" s="10" t="s">
        <v>420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690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513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431</v>
      </c>
      <c r="AU270" s="11">
        <v>1</v>
      </c>
      <c r="AX270" s="11">
        <f ca="1">IFERROR(OFFSET(ITEM_RES!$A$1,MATCH(AY270,ITEM_RES!$J:$J,0)-1,0),0)</f>
        <v>211020401</v>
      </c>
      <c r="AY270" s="10" t="s">
        <v>420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690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513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431</v>
      </c>
      <c r="AU271" s="11">
        <v>1</v>
      </c>
      <c r="AX271" s="11">
        <f ca="1">IFERROR(OFFSET(ITEM_RES!$A$1,MATCH(AY271,ITEM_RES!$J:$J,0)-1,0),0)</f>
        <v>211020401</v>
      </c>
      <c r="AY271" s="10" t="s">
        <v>420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690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513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431</v>
      </c>
      <c r="AU272" s="11">
        <v>1</v>
      </c>
      <c r="AX272" s="11">
        <f ca="1">IFERROR(OFFSET(ITEM_RES!$A$1,MATCH(AY272,ITEM_RES!$J:$J,0)-1,0),0)</f>
        <v>211020401</v>
      </c>
      <c r="AY272" s="10" t="s">
        <v>420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459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690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513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431</v>
      </c>
      <c r="AU273" s="11">
        <v>1</v>
      </c>
      <c r="AX273" s="11">
        <f ca="1">IFERROR(OFFSET(ITEM_RES!$A$1,MATCH(AY273,ITEM_RES!$J:$J,0)-1,0),0)</f>
        <v>211020401</v>
      </c>
      <c r="AY273" s="10" t="s">
        <v>420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690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513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431</v>
      </c>
      <c r="AU274" s="11">
        <v>1</v>
      </c>
      <c r="AX274" s="11">
        <f ca="1">IFERROR(OFFSET(ITEM_RES!$A$1,MATCH(AY274,ITEM_RES!$J:$J,0)-1,0),0)</f>
        <v>211020401</v>
      </c>
      <c r="AY274" s="10" t="s">
        <v>420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690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513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431</v>
      </c>
      <c r="AU275" s="11">
        <v>1</v>
      </c>
      <c r="AX275" s="11">
        <f ca="1">IFERROR(OFFSET(ITEM_RES!$A$1,MATCH(AY275,ITEM_RES!$J:$J,0)-1,0),0)</f>
        <v>211020401</v>
      </c>
      <c r="AY275" s="10" t="s">
        <v>420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690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513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431</v>
      </c>
      <c r="AU276" s="11">
        <v>1</v>
      </c>
      <c r="AX276" s="11">
        <f ca="1">IFERROR(OFFSET(ITEM_RES!$A$1,MATCH(AY276,ITEM_RES!$J:$J,0)-1,0),0)</f>
        <v>211020401</v>
      </c>
      <c r="AY276" s="10" t="s">
        <v>420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690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513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431</v>
      </c>
      <c r="AU277" s="11">
        <v>1</v>
      </c>
      <c r="AX277" s="11">
        <f ca="1">IFERROR(OFFSET(ITEM_RES!$A$1,MATCH(AY277,ITEM_RES!$J:$J,0)-1,0),0)</f>
        <v>211020401</v>
      </c>
      <c r="AY277" s="10" t="s">
        <v>420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690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513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431</v>
      </c>
      <c r="AU278" s="11">
        <v>1</v>
      </c>
      <c r="AX278" s="11">
        <f ca="1">IFERROR(OFFSET(ITEM_RES!$A$1,MATCH(AY278,ITEM_RES!$J:$J,0)-1,0),0)</f>
        <v>211020401</v>
      </c>
      <c r="AY278" s="10" t="s">
        <v>420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690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513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431</v>
      </c>
      <c r="AU279" s="11">
        <v>1</v>
      </c>
      <c r="AX279" s="11">
        <f ca="1">IFERROR(OFFSET(ITEM_RES!$A$1,MATCH(AY279,ITEM_RES!$J:$J,0)-1,0),0)</f>
        <v>211020401</v>
      </c>
      <c r="AY279" s="10" t="s">
        <v>432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690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513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431</v>
      </c>
      <c r="AU280" s="11">
        <v>1</v>
      </c>
      <c r="AX280" s="11">
        <f ca="1">IFERROR(OFFSET(ITEM_RES!$A$1,MATCH(AY280,ITEM_RES!$J:$J,0)-1,0),0)</f>
        <v>211020401</v>
      </c>
      <c r="AY280" s="10" t="s">
        <v>432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690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513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439</v>
      </c>
      <c r="AU281" s="11">
        <v>1</v>
      </c>
      <c r="AX281" s="11">
        <f ca="1">IFERROR(OFFSET(ITEM_RES!$A$1,MATCH(AY281,ITEM_RES!$J:$J,0)-1,0),0)</f>
        <v>211020401</v>
      </c>
      <c r="AY281" s="10" t="s">
        <v>432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690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513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439</v>
      </c>
      <c r="AU282" s="11">
        <v>1</v>
      </c>
      <c r="AX282" s="11">
        <f ca="1">IFERROR(OFFSET(ITEM_RES!$A$1,MATCH(AY282,ITEM_RES!$J:$J,0)-1,0),0)</f>
        <v>211020501</v>
      </c>
      <c r="AY282" s="10" t="s">
        <v>421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690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513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439</v>
      </c>
      <c r="AU283" s="11">
        <v>1</v>
      </c>
      <c r="AX283" s="11">
        <f ca="1">IFERROR(OFFSET(ITEM_RES!$A$1,MATCH(AY283,ITEM_RES!$J:$J,0)-1,0),0)</f>
        <v>211020501</v>
      </c>
      <c r="AY283" s="10" t="s">
        <v>421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690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513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439</v>
      </c>
      <c r="AU284" s="11">
        <v>1</v>
      </c>
      <c r="AX284" s="11">
        <f ca="1">IFERROR(OFFSET(ITEM_RES!$A$1,MATCH(AY284,ITEM_RES!$J:$J,0)-1,0),0)</f>
        <v>211020501</v>
      </c>
      <c r="AY284" s="10" t="s">
        <v>421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1040</v>
      </c>
      <c r="L285" s="16">
        <v>10</v>
      </c>
      <c r="M285" s="16">
        <v>1</v>
      </c>
      <c r="N285" s="16">
        <v>15</v>
      </c>
      <c r="O285" s="140" t="s">
        <v>1046</v>
      </c>
      <c r="P285" s="17"/>
      <c r="Q285" s="17"/>
      <c r="R285" s="18"/>
      <c r="S285" s="16" t="s">
        <v>1041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1045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389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392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1040</v>
      </c>
      <c r="M286" s="9">
        <v>1</v>
      </c>
      <c r="N286" s="9">
        <v>15</v>
      </c>
      <c r="O286" s="141" t="s">
        <v>1046</v>
      </c>
      <c r="S286" s="9" t="s">
        <v>1041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1044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389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1040</v>
      </c>
      <c r="M287" s="9">
        <v>1</v>
      </c>
      <c r="N287" s="9">
        <v>15</v>
      </c>
      <c r="O287" s="141" t="s">
        <v>1046</v>
      </c>
      <c r="S287" s="9" t="s">
        <v>1041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1044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389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1040</v>
      </c>
      <c r="M288" s="9">
        <v>1</v>
      </c>
      <c r="N288" s="9">
        <v>15</v>
      </c>
      <c r="O288" s="141" t="s">
        <v>1046</v>
      </c>
      <c r="S288" s="9" t="s">
        <v>1041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1044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389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1040</v>
      </c>
      <c r="M289" s="9">
        <v>1</v>
      </c>
      <c r="N289" s="9">
        <v>15</v>
      </c>
      <c r="O289" s="141" t="s">
        <v>1046</v>
      </c>
      <c r="S289" s="9" t="s">
        <v>1041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1044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389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1040</v>
      </c>
      <c r="M290" s="9">
        <v>1</v>
      </c>
      <c r="N290" s="9">
        <v>15</v>
      </c>
      <c r="O290" s="141" t="s">
        <v>1046</v>
      </c>
      <c r="S290" s="9" t="s">
        <v>1041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1044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389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1040</v>
      </c>
      <c r="M291" s="9">
        <v>1</v>
      </c>
      <c r="N291" s="9">
        <v>15</v>
      </c>
      <c r="O291" s="141" t="s">
        <v>1046</v>
      </c>
      <c r="S291" s="9" t="s">
        <v>1041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1044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389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1040</v>
      </c>
      <c r="M292" s="9">
        <v>1</v>
      </c>
      <c r="N292" s="9">
        <v>15</v>
      </c>
      <c r="O292" s="141" t="s">
        <v>1046</v>
      </c>
      <c r="S292" s="9" t="s">
        <v>1041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1044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389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451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1040</v>
      </c>
      <c r="M293" s="9">
        <v>1</v>
      </c>
      <c r="N293" s="9">
        <v>15</v>
      </c>
      <c r="O293" s="141" t="s">
        <v>1046</v>
      </c>
      <c r="S293" s="9" t="s">
        <v>1041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1044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389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1040</v>
      </c>
      <c r="M294" s="9">
        <v>1</v>
      </c>
      <c r="N294" s="9">
        <v>15</v>
      </c>
      <c r="O294" s="141" t="s">
        <v>1046</v>
      </c>
      <c r="S294" s="9" t="s">
        <v>1041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1044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389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1040</v>
      </c>
      <c r="M295" s="9">
        <v>1</v>
      </c>
      <c r="N295" s="9">
        <v>15</v>
      </c>
      <c r="O295" s="141" t="s">
        <v>1046</v>
      </c>
      <c r="S295" s="9" t="s">
        <v>1041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1044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389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1040</v>
      </c>
      <c r="M296" s="9">
        <v>1</v>
      </c>
      <c r="N296" s="9">
        <v>15</v>
      </c>
      <c r="O296" s="141" t="s">
        <v>1046</v>
      </c>
      <c r="S296" s="9" t="s">
        <v>1041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1044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389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1040</v>
      </c>
      <c r="M297" s="9">
        <v>1</v>
      </c>
      <c r="N297" s="9">
        <v>15</v>
      </c>
      <c r="O297" s="141" t="s">
        <v>1046</v>
      </c>
      <c r="S297" s="9" t="s">
        <v>1041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1044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389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1040</v>
      </c>
      <c r="M298" s="9">
        <v>1</v>
      </c>
      <c r="N298" s="9">
        <v>15</v>
      </c>
      <c r="O298" s="141" t="s">
        <v>1046</v>
      </c>
      <c r="S298" s="9" t="s">
        <v>1041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1044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389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1040</v>
      </c>
      <c r="M299" s="9">
        <v>1</v>
      </c>
      <c r="N299" s="9">
        <v>15</v>
      </c>
      <c r="O299" s="141" t="s">
        <v>1046</v>
      </c>
      <c r="S299" s="9" t="s">
        <v>1041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1044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389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1040</v>
      </c>
      <c r="M300" s="9">
        <v>0</v>
      </c>
      <c r="N300" s="9">
        <v>15</v>
      </c>
      <c r="O300" s="141" t="s">
        <v>1046</v>
      </c>
      <c r="S300" s="9" t="s">
        <v>1041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1044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389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1040</v>
      </c>
      <c r="M301" s="9">
        <v>0</v>
      </c>
      <c r="N301" s="9">
        <v>15</v>
      </c>
      <c r="O301" s="141" t="s">
        <v>1046</v>
      </c>
      <c r="S301" s="9" t="s">
        <v>1041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1044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390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1040</v>
      </c>
      <c r="M302" s="9">
        <v>0</v>
      </c>
      <c r="N302" s="9">
        <v>15</v>
      </c>
      <c r="O302" s="141" t="s">
        <v>1046</v>
      </c>
      <c r="S302" s="9" t="s">
        <v>1041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1044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390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1040</v>
      </c>
      <c r="M303" s="9">
        <v>0</v>
      </c>
      <c r="N303" s="9">
        <v>15</v>
      </c>
      <c r="O303" s="141" t="s">
        <v>1046</v>
      </c>
      <c r="S303" s="9" t="s">
        <v>1041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1044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390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1040</v>
      </c>
      <c r="M304" s="9">
        <v>0</v>
      </c>
      <c r="N304" s="9">
        <v>15</v>
      </c>
      <c r="O304" s="141" t="s">
        <v>1046</v>
      </c>
      <c r="S304" s="9" t="s">
        <v>1041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1044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390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692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691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514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431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447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692</v>
      </c>
      <c r="M306" s="9">
        <v>1</v>
      </c>
      <c r="N306" s="9">
        <v>15</v>
      </c>
      <c r="O306" s="141"/>
      <c r="S306" s="9" t="s">
        <v>691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514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431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692</v>
      </c>
      <c r="M307" s="9">
        <v>1</v>
      </c>
      <c r="N307" s="9">
        <v>15</v>
      </c>
      <c r="O307" s="141"/>
      <c r="S307" s="9" t="s">
        <v>691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514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431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692</v>
      </c>
      <c r="M308" s="9">
        <v>1</v>
      </c>
      <c r="N308" s="9">
        <v>15</v>
      </c>
      <c r="O308" s="141"/>
      <c r="S308" s="9" t="s">
        <v>691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514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431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692</v>
      </c>
      <c r="M309" s="9">
        <v>1</v>
      </c>
      <c r="N309" s="9">
        <v>15</v>
      </c>
      <c r="O309" s="141"/>
      <c r="S309" s="9" t="s">
        <v>691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514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431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692</v>
      </c>
      <c r="M310" s="9">
        <v>1</v>
      </c>
      <c r="N310" s="9">
        <v>15</v>
      </c>
      <c r="O310" s="141"/>
      <c r="S310" s="9" t="s">
        <v>691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514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431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692</v>
      </c>
      <c r="M311" s="9">
        <v>1</v>
      </c>
      <c r="N311" s="9">
        <v>15</v>
      </c>
      <c r="O311" s="141"/>
      <c r="S311" s="9" t="s">
        <v>691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514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431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692</v>
      </c>
      <c r="M312" s="9">
        <v>1</v>
      </c>
      <c r="N312" s="9">
        <v>15</v>
      </c>
      <c r="O312" s="141"/>
      <c r="S312" s="9" t="s">
        <v>691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514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431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692</v>
      </c>
      <c r="M313" s="9">
        <v>1</v>
      </c>
      <c r="N313" s="9">
        <v>15</v>
      </c>
      <c r="O313" s="141"/>
      <c r="S313" s="9" t="s">
        <v>691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514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431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692</v>
      </c>
      <c r="M314" s="9">
        <v>1</v>
      </c>
      <c r="N314" s="9">
        <v>15</v>
      </c>
      <c r="O314" s="141"/>
      <c r="S314" s="9" t="s">
        <v>691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514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431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692</v>
      </c>
      <c r="M315" s="9">
        <v>1</v>
      </c>
      <c r="N315" s="9">
        <v>15</v>
      </c>
      <c r="O315" s="141"/>
      <c r="S315" s="9" t="s">
        <v>691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514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431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692</v>
      </c>
      <c r="M316" s="9">
        <v>1</v>
      </c>
      <c r="N316" s="9">
        <v>15</v>
      </c>
      <c r="O316" s="141"/>
      <c r="S316" s="9" t="s">
        <v>691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514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431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692</v>
      </c>
      <c r="M317" s="9">
        <v>1</v>
      </c>
      <c r="N317" s="9">
        <v>15</v>
      </c>
      <c r="O317" s="141"/>
      <c r="S317" s="9" t="s">
        <v>691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514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431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692</v>
      </c>
      <c r="M318" s="9">
        <v>1</v>
      </c>
      <c r="N318" s="9">
        <v>15</v>
      </c>
      <c r="O318" s="141"/>
      <c r="S318" s="9" t="s">
        <v>691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514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431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459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692</v>
      </c>
      <c r="M319" s="9">
        <v>1</v>
      </c>
      <c r="N319" s="9">
        <v>15</v>
      </c>
      <c r="O319" s="141"/>
      <c r="S319" s="9" t="s">
        <v>691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514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431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692</v>
      </c>
      <c r="M320" s="9">
        <v>0</v>
      </c>
      <c r="N320" s="9">
        <v>15</v>
      </c>
      <c r="O320" s="141"/>
      <c r="S320" s="9" t="s">
        <v>691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514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431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692</v>
      </c>
      <c r="M321" s="9">
        <v>0</v>
      </c>
      <c r="N321" s="9">
        <v>15</v>
      </c>
      <c r="O321" s="141"/>
      <c r="S321" s="9" t="s">
        <v>691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514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431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692</v>
      </c>
      <c r="M322" s="9">
        <v>0</v>
      </c>
      <c r="N322" s="9">
        <v>15</v>
      </c>
      <c r="O322" s="141"/>
      <c r="S322" s="9" t="s">
        <v>691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514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439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692</v>
      </c>
      <c r="M323" s="9">
        <v>0</v>
      </c>
      <c r="N323" s="9">
        <v>15</v>
      </c>
      <c r="O323" s="141"/>
      <c r="S323" s="9" t="s">
        <v>691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514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439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692</v>
      </c>
      <c r="M324" s="9">
        <v>0</v>
      </c>
      <c r="N324" s="9">
        <v>15</v>
      </c>
      <c r="O324" s="141"/>
      <c r="S324" s="9" t="s">
        <v>691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514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439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905</v>
      </c>
      <c r="L325" s="16">
        <v>6</v>
      </c>
      <c r="M325" s="16">
        <v>1</v>
      </c>
      <c r="N325" s="16">
        <v>15</v>
      </c>
      <c r="O325" s="16" t="s">
        <v>1138</v>
      </c>
      <c r="P325" s="17"/>
      <c r="Q325" s="17"/>
      <c r="R325" s="18"/>
      <c r="S325" s="16" t="s">
        <v>693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515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431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447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905</v>
      </c>
      <c r="M326" s="9">
        <v>1</v>
      </c>
      <c r="N326" s="9">
        <v>15</v>
      </c>
      <c r="O326" s="9" t="s">
        <v>1139</v>
      </c>
      <c r="S326" s="9" t="s">
        <v>693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515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431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905</v>
      </c>
      <c r="M327" s="9">
        <v>1</v>
      </c>
      <c r="N327" s="9">
        <v>15</v>
      </c>
      <c r="O327" s="9" t="s">
        <v>1140</v>
      </c>
      <c r="S327" s="9" t="s">
        <v>693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515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431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905</v>
      </c>
      <c r="M328" s="9">
        <v>1</v>
      </c>
      <c r="N328" s="9">
        <v>15</v>
      </c>
      <c r="O328" s="9" t="s">
        <v>1141</v>
      </c>
      <c r="S328" s="9" t="s">
        <v>693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515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431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905</v>
      </c>
      <c r="M329" s="9">
        <v>1</v>
      </c>
      <c r="N329" s="9">
        <v>15</v>
      </c>
      <c r="O329" s="9" t="s">
        <v>1142</v>
      </c>
      <c r="S329" s="9" t="s">
        <v>693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515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431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905</v>
      </c>
      <c r="M330" s="9">
        <v>1</v>
      </c>
      <c r="N330" s="9">
        <v>15</v>
      </c>
      <c r="O330" s="9" t="s">
        <v>1143</v>
      </c>
      <c r="S330" s="9" t="s">
        <v>693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515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431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905</v>
      </c>
      <c r="M331" s="9">
        <v>1</v>
      </c>
      <c r="N331" s="9">
        <v>15</v>
      </c>
      <c r="O331" s="9" t="s">
        <v>1144</v>
      </c>
      <c r="S331" s="9" t="s">
        <v>693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515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431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905</v>
      </c>
      <c r="M332" s="9">
        <v>1</v>
      </c>
      <c r="N332" s="9">
        <v>15</v>
      </c>
      <c r="O332" s="9" t="s">
        <v>1144</v>
      </c>
      <c r="S332" s="9" t="s">
        <v>693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515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431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905</v>
      </c>
      <c r="M333" s="9">
        <v>1</v>
      </c>
      <c r="N333" s="9">
        <v>15</v>
      </c>
      <c r="O333" s="9" t="s">
        <v>1144</v>
      </c>
      <c r="S333" s="9" t="s">
        <v>693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515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431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905</v>
      </c>
      <c r="M334" s="9">
        <v>1</v>
      </c>
      <c r="N334" s="9">
        <v>15</v>
      </c>
      <c r="O334" s="9" t="s">
        <v>1144</v>
      </c>
      <c r="S334" s="9" t="s">
        <v>693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515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431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905</v>
      </c>
      <c r="M335" s="9">
        <v>1</v>
      </c>
      <c r="N335" s="9">
        <v>15</v>
      </c>
      <c r="O335" s="9" t="s">
        <v>1144</v>
      </c>
      <c r="S335" s="9" t="s">
        <v>693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515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431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905</v>
      </c>
      <c r="M336" s="9">
        <v>1</v>
      </c>
      <c r="N336" s="9">
        <v>15</v>
      </c>
      <c r="O336" s="9" t="s">
        <v>1144</v>
      </c>
      <c r="S336" s="9" t="s">
        <v>693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515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431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905</v>
      </c>
      <c r="M337" s="9">
        <v>1</v>
      </c>
      <c r="N337" s="9">
        <v>15</v>
      </c>
      <c r="O337" s="9" t="s">
        <v>1144</v>
      </c>
      <c r="S337" s="9" t="s">
        <v>693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515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431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905</v>
      </c>
      <c r="M338" s="9">
        <v>1</v>
      </c>
      <c r="N338" s="9">
        <v>15</v>
      </c>
      <c r="O338" s="9" t="s">
        <v>1144</v>
      </c>
      <c r="S338" s="9" t="s">
        <v>693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515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431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459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905</v>
      </c>
      <c r="M339" s="9">
        <v>1</v>
      </c>
      <c r="N339" s="9">
        <v>15</v>
      </c>
      <c r="O339" s="9" t="s">
        <v>1144</v>
      </c>
      <c r="S339" s="9" t="s">
        <v>693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515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431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905</v>
      </c>
      <c r="M340" s="9">
        <v>0</v>
      </c>
      <c r="N340" s="9">
        <v>15</v>
      </c>
      <c r="O340" s="9" t="s">
        <v>1144</v>
      </c>
      <c r="S340" s="9" t="s">
        <v>693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515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431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905</v>
      </c>
      <c r="M341" s="9">
        <v>0</v>
      </c>
      <c r="N341" s="9">
        <v>15</v>
      </c>
      <c r="O341" s="9" t="s">
        <v>1144</v>
      </c>
      <c r="S341" s="9" t="s">
        <v>693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515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431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905</v>
      </c>
      <c r="M342" s="9">
        <v>0</v>
      </c>
      <c r="N342" s="9">
        <v>15</v>
      </c>
      <c r="O342" s="9" t="s">
        <v>1144</v>
      </c>
      <c r="S342" s="9" t="s">
        <v>693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515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431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905</v>
      </c>
      <c r="M343" s="9">
        <v>0</v>
      </c>
      <c r="N343" s="9">
        <v>15</v>
      </c>
      <c r="O343" s="9" t="s">
        <v>1144</v>
      </c>
      <c r="S343" s="9" t="s">
        <v>693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515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439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905</v>
      </c>
      <c r="M344" s="9">
        <v>0</v>
      </c>
      <c r="N344" s="9">
        <v>15</v>
      </c>
      <c r="O344" s="9" t="s">
        <v>1144</v>
      </c>
      <c r="S344" s="9" t="s">
        <v>693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515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439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753</v>
      </c>
      <c r="P345" s="17"/>
      <c r="Q345" s="17"/>
      <c r="R345" s="18"/>
      <c r="S345" s="16" t="s">
        <v>694</v>
      </c>
      <c r="T345" s="78"/>
      <c r="U345" s="86" t="s">
        <v>544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539</v>
      </c>
      <c r="Y345" s="16">
        <f ca="1">IFERROR(OFFSET(ITEM_RES!$A$5,MATCH(BUILDING!X345,ITEM_RES!$J$5:$J$229,0)-1,0),0)</f>
        <v>211020701</v>
      </c>
      <c r="Z345" s="78"/>
      <c r="AA345" s="16" t="s">
        <v>516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432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431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447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753</v>
      </c>
      <c r="S346" s="9" t="s">
        <v>694</v>
      </c>
      <c r="U346" s="84" t="s">
        <v>544</v>
      </c>
      <c r="V346" s="9">
        <f ca="1">IFERROR(OFFSET(ITEM_RES!$A$5,MATCH(BUILDING!U346,ITEM_RES!$J$5:$J$229,0)-1,0),0)</f>
        <v>211020601</v>
      </c>
      <c r="W346" s="11">
        <v>2</v>
      </c>
      <c r="X346" s="84" t="s">
        <v>539</v>
      </c>
      <c r="Y346" s="9">
        <f ca="1">IFERROR(OFFSET(ITEM_RES!$A$5,MATCH(BUILDING!X346,ITEM_RES!$J$5:$J$229,0)-1,0),0)</f>
        <v>211020701</v>
      </c>
      <c r="AA346" s="9" t="s">
        <v>516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432</v>
      </c>
      <c r="AU346" s="11">
        <v>1</v>
      </c>
      <c r="AX346" s="11">
        <f ca="1">IFERROR(OFFSET(ITEM_RES!$A$1,MATCH(AY346,ITEM_RES!$J:$J,0)-1,0),0)</f>
        <v>211020801</v>
      </c>
      <c r="AY346" s="10" t="s">
        <v>431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753</v>
      </c>
      <c r="S347" s="9" t="s">
        <v>694</v>
      </c>
      <c r="U347" s="84" t="s">
        <v>544</v>
      </c>
      <c r="V347" s="9">
        <f ca="1">IFERROR(OFFSET(ITEM_RES!$A$5,MATCH(BUILDING!U347,ITEM_RES!$J$5:$J$229,0)-1,0),0)</f>
        <v>211020601</v>
      </c>
      <c r="W347" s="11">
        <v>2</v>
      </c>
      <c r="X347" s="84" t="s">
        <v>539</v>
      </c>
      <c r="Y347" s="9">
        <f ca="1">IFERROR(OFFSET(ITEM_RES!$A$5,MATCH(BUILDING!X347,ITEM_RES!$J$5:$J$229,0)-1,0),0)</f>
        <v>211020701</v>
      </c>
      <c r="AA347" s="9" t="s">
        <v>516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432</v>
      </c>
      <c r="AU347" s="11">
        <v>1</v>
      </c>
      <c r="AX347" s="11">
        <f ca="1">IFERROR(OFFSET(ITEM_RES!$A$1,MATCH(AY347,ITEM_RES!$J:$J,0)-1,0),0)</f>
        <v>211020801</v>
      </c>
      <c r="AY347" s="10" t="s">
        <v>431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753</v>
      </c>
      <c r="S348" s="9" t="s">
        <v>694</v>
      </c>
      <c r="U348" s="84" t="s">
        <v>544</v>
      </c>
      <c r="V348" s="9">
        <f ca="1">IFERROR(OFFSET(ITEM_RES!$A$5,MATCH(BUILDING!U348,ITEM_RES!$J$5:$J$229,0)-1,0),0)</f>
        <v>211020601</v>
      </c>
      <c r="W348" s="11">
        <v>2</v>
      </c>
      <c r="X348" s="84" t="s">
        <v>539</v>
      </c>
      <c r="Y348" s="9">
        <f ca="1">IFERROR(OFFSET(ITEM_RES!$A$5,MATCH(BUILDING!X348,ITEM_RES!$J$5:$J$229,0)-1,0),0)</f>
        <v>211020701</v>
      </c>
      <c r="AA348" s="9" t="s">
        <v>516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432</v>
      </c>
      <c r="AU348" s="11">
        <v>1</v>
      </c>
      <c r="AX348" s="11">
        <f ca="1">IFERROR(OFFSET(ITEM_RES!$A$1,MATCH(AY348,ITEM_RES!$J:$J,0)-1,0),0)</f>
        <v>211020801</v>
      </c>
      <c r="AY348" s="10" t="s">
        <v>431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753</v>
      </c>
      <c r="S349" s="9" t="s">
        <v>694</v>
      </c>
      <c r="U349" s="84" t="s">
        <v>544</v>
      </c>
      <c r="V349" s="9">
        <f ca="1">IFERROR(OFFSET(ITEM_RES!$A$5,MATCH(BUILDING!U349,ITEM_RES!$J$5:$J$229,0)-1,0),0)</f>
        <v>211020601</v>
      </c>
      <c r="W349" s="11">
        <v>2</v>
      </c>
      <c r="X349" s="84" t="s">
        <v>539</v>
      </c>
      <c r="Y349" s="9">
        <f ca="1">IFERROR(OFFSET(ITEM_RES!$A$5,MATCH(BUILDING!X349,ITEM_RES!$J$5:$J$229,0)-1,0),0)</f>
        <v>211020701</v>
      </c>
      <c r="AA349" s="9" t="s">
        <v>516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432</v>
      </c>
      <c r="AU349" s="11">
        <v>1</v>
      </c>
      <c r="AX349" s="11">
        <f ca="1">IFERROR(OFFSET(ITEM_RES!$A$1,MATCH(AY349,ITEM_RES!$J:$J,0)-1,0),0)</f>
        <v>211020801</v>
      </c>
      <c r="AY349" s="10" t="s">
        <v>431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753</v>
      </c>
      <c r="S350" s="9" t="s">
        <v>694</v>
      </c>
      <c r="U350" s="84" t="s">
        <v>544</v>
      </c>
      <c r="V350" s="9">
        <f ca="1">IFERROR(OFFSET(ITEM_RES!$A$5,MATCH(BUILDING!U350,ITEM_RES!$J$5:$J$229,0)-1,0),0)</f>
        <v>211020601</v>
      </c>
      <c r="W350" s="11">
        <v>2</v>
      </c>
      <c r="X350" s="84" t="s">
        <v>539</v>
      </c>
      <c r="Y350" s="9">
        <f ca="1">IFERROR(OFFSET(ITEM_RES!$A$5,MATCH(BUILDING!X350,ITEM_RES!$J$5:$J$229,0)-1,0),0)</f>
        <v>211020701</v>
      </c>
      <c r="AA350" s="9" t="s">
        <v>516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432</v>
      </c>
      <c r="AU350" s="11">
        <v>1</v>
      </c>
      <c r="AX350" s="11">
        <f ca="1">IFERROR(OFFSET(ITEM_RES!$A$1,MATCH(AY350,ITEM_RES!$J:$J,0)-1,0),0)</f>
        <v>211020801</v>
      </c>
      <c r="AY350" s="10" t="s">
        <v>431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753</v>
      </c>
      <c r="S351" s="9" t="s">
        <v>694</v>
      </c>
      <c r="U351" s="84" t="s">
        <v>544</v>
      </c>
      <c r="V351" s="9">
        <f ca="1">IFERROR(OFFSET(ITEM_RES!$A$5,MATCH(BUILDING!U351,ITEM_RES!$J$5:$J$229,0)-1,0),0)</f>
        <v>211020601</v>
      </c>
      <c r="W351" s="11">
        <v>2</v>
      </c>
      <c r="X351" s="84" t="s">
        <v>539</v>
      </c>
      <c r="Y351" s="9">
        <f ca="1">IFERROR(OFFSET(ITEM_RES!$A$5,MATCH(BUILDING!X351,ITEM_RES!$J$5:$J$229,0)-1,0),0)</f>
        <v>211020701</v>
      </c>
      <c r="AA351" s="9" t="s">
        <v>516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432</v>
      </c>
      <c r="AU351" s="11">
        <v>1</v>
      </c>
      <c r="AX351" s="11">
        <f ca="1">IFERROR(OFFSET(ITEM_RES!$A$1,MATCH(AY351,ITEM_RES!$J:$J,0)-1,0),0)</f>
        <v>211020801</v>
      </c>
      <c r="AY351" s="10" t="s">
        <v>431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753</v>
      </c>
      <c r="S352" s="9" t="s">
        <v>694</v>
      </c>
      <c r="U352" s="84" t="s">
        <v>544</v>
      </c>
      <c r="V352" s="9">
        <f ca="1">IFERROR(OFFSET(ITEM_RES!$A$5,MATCH(BUILDING!U352,ITEM_RES!$J$5:$J$229,0)-1,0),0)</f>
        <v>211020601</v>
      </c>
      <c r="W352" s="11">
        <v>2</v>
      </c>
      <c r="X352" s="84" t="s">
        <v>539</v>
      </c>
      <c r="Y352" s="9">
        <f ca="1">IFERROR(OFFSET(ITEM_RES!$A$5,MATCH(BUILDING!X352,ITEM_RES!$J$5:$J$229,0)-1,0),0)</f>
        <v>211020701</v>
      </c>
      <c r="AA352" s="9" t="s">
        <v>516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432</v>
      </c>
      <c r="AU352" s="11">
        <v>1</v>
      </c>
      <c r="AX352" s="11">
        <f ca="1">IFERROR(OFFSET(ITEM_RES!$A$1,MATCH(AY352,ITEM_RES!$J:$J,0)-1,0),0)</f>
        <v>211020801</v>
      </c>
      <c r="AY352" s="10" t="s">
        <v>431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460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753</v>
      </c>
      <c r="S353" s="9" t="s">
        <v>694</v>
      </c>
      <c r="U353" s="84" t="s">
        <v>544</v>
      </c>
      <c r="V353" s="9">
        <f ca="1">IFERROR(OFFSET(ITEM_RES!$A$5,MATCH(BUILDING!U353,ITEM_RES!$J$5:$J$229,0)-1,0),0)</f>
        <v>211020601</v>
      </c>
      <c r="W353" s="11">
        <v>2</v>
      </c>
      <c r="X353" s="84" t="s">
        <v>539</v>
      </c>
      <c r="Y353" s="9">
        <f ca="1">IFERROR(OFFSET(ITEM_RES!$A$5,MATCH(BUILDING!X353,ITEM_RES!$J$5:$J$229,0)-1,0),0)</f>
        <v>211020701</v>
      </c>
      <c r="AA353" s="9" t="s">
        <v>516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430</v>
      </c>
      <c r="AU353" s="11">
        <v>1</v>
      </c>
      <c r="AX353" s="11">
        <f ca="1">IFERROR(OFFSET(ITEM_RES!$A$1,MATCH(AY353,ITEM_RES!$J:$J,0)-1,0),0)</f>
        <v>211020801</v>
      </c>
      <c r="AY353" s="10" t="s">
        <v>431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753</v>
      </c>
      <c r="S354" s="9" t="s">
        <v>694</v>
      </c>
      <c r="U354" s="84" t="s">
        <v>544</v>
      </c>
      <c r="V354" s="9">
        <f ca="1">IFERROR(OFFSET(ITEM_RES!$A$5,MATCH(BUILDING!U354,ITEM_RES!$J$5:$J$229,0)-1,0),0)</f>
        <v>211020601</v>
      </c>
      <c r="W354" s="11">
        <v>2</v>
      </c>
      <c r="X354" s="84" t="s">
        <v>539</v>
      </c>
      <c r="Y354" s="9">
        <f ca="1">IFERROR(OFFSET(ITEM_RES!$A$5,MATCH(BUILDING!X354,ITEM_RES!$J$5:$J$229,0)-1,0),0)</f>
        <v>211020701</v>
      </c>
      <c r="AA354" s="9" t="s">
        <v>516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430</v>
      </c>
      <c r="AU354" s="11">
        <v>1</v>
      </c>
      <c r="AX354" s="11">
        <f ca="1">IFERROR(OFFSET(ITEM_RES!$A$1,MATCH(AY354,ITEM_RES!$J:$J,0)-1,0),0)</f>
        <v>211020801</v>
      </c>
      <c r="AY354" s="10" t="s">
        <v>431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753</v>
      </c>
      <c r="S355" s="9" t="s">
        <v>694</v>
      </c>
      <c r="U355" s="84" t="s">
        <v>544</v>
      </c>
      <c r="V355" s="9">
        <f ca="1">IFERROR(OFFSET(ITEM_RES!$A$5,MATCH(BUILDING!U355,ITEM_RES!$J$5:$J$229,0)-1,0),0)</f>
        <v>211020601</v>
      </c>
      <c r="W355" s="11">
        <v>2</v>
      </c>
      <c r="X355" s="84" t="s">
        <v>539</v>
      </c>
      <c r="Y355" s="9">
        <f ca="1">IFERROR(OFFSET(ITEM_RES!$A$5,MATCH(BUILDING!X355,ITEM_RES!$J$5:$J$229,0)-1,0),0)</f>
        <v>211020701</v>
      </c>
      <c r="AA355" s="9" t="s">
        <v>516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430</v>
      </c>
      <c r="AU355" s="11">
        <v>1</v>
      </c>
      <c r="AX355" s="11">
        <f ca="1">IFERROR(OFFSET(ITEM_RES!$A$1,MATCH(AY355,ITEM_RES!$J:$J,0)-1,0),0)</f>
        <v>211020801</v>
      </c>
      <c r="AY355" s="10" t="s">
        <v>431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753</v>
      </c>
      <c r="S356" s="9" t="s">
        <v>694</v>
      </c>
      <c r="U356" s="84" t="s">
        <v>544</v>
      </c>
      <c r="V356" s="9">
        <f ca="1">IFERROR(OFFSET(ITEM_RES!$A$5,MATCH(BUILDING!U356,ITEM_RES!$J$5:$J$229,0)-1,0),0)</f>
        <v>211020601</v>
      </c>
      <c r="W356" s="11">
        <v>2</v>
      </c>
      <c r="X356" s="84" t="s">
        <v>539</v>
      </c>
      <c r="Y356" s="9">
        <f ca="1">IFERROR(OFFSET(ITEM_RES!$A$5,MATCH(BUILDING!X356,ITEM_RES!$J$5:$J$229,0)-1,0),0)</f>
        <v>211020701</v>
      </c>
      <c r="AA356" s="9" t="s">
        <v>516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430</v>
      </c>
      <c r="AU356" s="11">
        <v>1</v>
      </c>
      <c r="AX356" s="11">
        <f ca="1">IFERROR(OFFSET(ITEM_RES!$A$1,MATCH(AY356,ITEM_RES!$J:$J,0)-1,0),0)</f>
        <v>211020801</v>
      </c>
      <c r="AY356" s="10" t="s">
        <v>431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753</v>
      </c>
      <c r="S357" s="9" t="s">
        <v>694</v>
      </c>
      <c r="U357" s="84" t="s">
        <v>544</v>
      </c>
      <c r="V357" s="9">
        <f ca="1">IFERROR(OFFSET(ITEM_RES!$A$5,MATCH(BUILDING!U357,ITEM_RES!$J$5:$J$229,0)-1,0),0)</f>
        <v>211020601</v>
      </c>
      <c r="W357" s="11">
        <v>2</v>
      </c>
      <c r="X357" s="84" t="s">
        <v>539</v>
      </c>
      <c r="Y357" s="9">
        <f ca="1">IFERROR(OFFSET(ITEM_RES!$A$5,MATCH(BUILDING!X357,ITEM_RES!$J$5:$J$229,0)-1,0),0)</f>
        <v>211020701</v>
      </c>
      <c r="AA357" s="9" t="s">
        <v>516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430</v>
      </c>
      <c r="AU357" s="11">
        <v>1</v>
      </c>
      <c r="AX357" s="11">
        <f ca="1">IFERROR(OFFSET(ITEM_RES!$A$1,MATCH(AY357,ITEM_RES!$J:$J,0)-1,0),0)</f>
        <v>211020801</v>
      </c>
      <c r="AY357" s="10" t="s">
        <v>431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753</v>
      </c>
      <c r="S358" s="9" t="s">
        <v>694</v>
      </c>
      <c r="U358" s="84" t="s">
        <v>544</v>
      </c>
      <c r="V358" s="9">
        <f ca="1">IFERROR(OFFSET(ITEM_RES!$A$5,MATCH(BUILDING!U358,ITEM_RES!$J$5:$J$229,0)-1,0),0)</f>
        <v>211020601</v>
      </c>
      <c r="W358" s="11">
        <v>2</v>
      </c>
      <c r="X358" s="84" t="s">
        <v>539</v>
      </c>
      <c r="Y358" s="9">
        <f ca="1">IFERROR(OFFSET(ITEM_RES!$A$5,MATCH(BUILDING!X358,ITEM_RES!$J$5:$J$229,0)-1,0),0)</f>
        <v>211020701</v>
      </c>
      <c r="AA358" s="9" t="s">
        <v>516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430</v>
      </c>
      <c r="AU358" s="11">
        <v>1</v>
      </c>
      <c r="AX358" s="11">
        <f ca="1">IFERROR(OFFSET(ITEM_RES!$A$1,MATCH(AY358,ITEM_RES!$J:$J,0)-1,0),0)</f>
        <v>211020801</v>
      </c>
      <c r="AY358" s="10" t="s">
        <v>431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753</v>
      </c>
      <c r="S359" s="9" t="s">
        <v>694</v>
      </c>
      <c r="U359" s="84" t="s">
        <v>544</v>
      </c>
      <c r="V359" s="9">
        <f ca="1">IFERROR(OFFSET(ITEM_RES!$A$5,MATCH(BUILDING!U359,ITEM_RES!$J$5:$J$229,0)-1,0),0)</f>
        <v>211020601</v>
      </c>
      <c r="W359" s="11">
        <v>2</v>
      </c>
      <c r="X359" s="84" t="s">
        <v>539</v>
      </c>
      <c r="Y359" s="9">
        <f ca="1">IFERROR(OFFSET(ITEM_RES!$A$5,MATCH(BUILDING!X359,ITEM_RES!$J$5:$J$229,0)-1,0),0)</f>
        <v>211020701</v>
      </c>
      <c r="AA359" s="9" t="s">
        <v>516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430</v>
      </c>
      <c r="AU359" s="11">
        <v>1</v>
      </c>
      <c r="AX359" s="11">
        <f ca="1">IFERROR(OFFSET(ITEM_RES!$A$1,MATCH(AY359,ITEM_RES!$J:$J,0)-1,0),0)</f>
        <v>211020801</v>
      </c>
      <c r="AY359" s="10" t="s">
        <v>431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753</v>
      </c>
      <c r="S360" s="9" t="s">
        <v>694</v>
      </c>
      <c r="U360" s="84" t="s">
        <v>544</v>
      </c>
      <c r="V360" s="9">
        <f ca="1">IFERROR(OFFSET(ITEM_RES!$A$5,MATCH(BUILDING!U360,ITEM_RES!$J$5:$J$229,0)-1,0),0)</f>
        <v>211020601</v>
      </c>
      <c r="W360" s="11">
        <v>2</v>
      </c>
      <c r="X360" s="84" t="s">
        <v>539</v>
      </c>
      <c r="Y360" s="9">
        <f ca="1">IFERROR(OFFSET(ITEM_RES!$A$5,MATCH(BUILDING!X360,ITEM_RES!$J$5:$J$229,0)-1,0),0)</f>
        <v>211020701</v>
      </c>
      <c r="AA360" s="9" t="s">
        <v>516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430</v>
      </c>
      <c r="AU360" s="11">
        <v>1</v>
      </c>
      <c r="AX360" s="11">
        <f ca="1">IFERROR(OFFSET(ITEM_RES!$A$1,MATCH(AY360,ITEM_RES!$J:$J,0)-1,0),0)</f>
        <v>211020801</v>
      </c>
      <c r="AY360" s="10" t="s">
        <v>431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753</v>
      </c>
      <c r="S361" s="9" t="s">
        <v>694</v>
      </c>
      <c r="U361" s="84" t="s">
        <v>544</v>
      </c>
      <c r="V361" s="9">
        <f ca="1">IFERROR(OFFSET(ITEM_RES!$A$5,MATCH(BUILDING!U361,ITEM_RES!$J$5:$J$229,0)-1,0),0)</f>
        <v>211020601</v>
      </c>
      <c r="W361" s="11">
        <v>2</v>
      </c>
      <c r="X361" s="84" t="s">
        <v>539</v>
      </c>
      <c r="Y361" s="9">
        <f ca="1">IFERROR(OFFSET(ITEM_RES!$A$5,MATCH(BUILDING!X361,ITEM_RES!$J$5:$J$229,0)-1,0),0)</f>
        <v>211020701</v>
      </c>
      <c r="AA361" s="9" t="s">
        <v>516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430</v>
      </c>
      <c r="AU361" s="11">
        <v>1</v>
      </c>
      <c r="AX361" s="11">
        <f ca="1">IFERROR(OFFSET(ITEM_RES!$A$1,MATCH(AY361,ITEM_RES!$J:$J,0)-1,0),0)</f>
        <v>211020801</v>
      </c>
      <c r="AY361" s="10" t="s">
        <v>431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753</v>
      </c>
      <c r="S362" s="9" t="s">
        <v>694</v>
      </c>
      <c r="U362" s="84" t="s">
        <v>544</v>
      </c>
      <c r="V362" s="9">
        <f ca="1">IFERROR(OFFSET(ITEM_RES!$A$5,MATCH(BUILDING!U362,ITEM_RES!$J$5:$J$229,0)-1,0),0)</f>
        <v>211020601</v>
      </c>
      <c r="W362" s="11">
        <v>2</v>
      </c>
      <c r="X362" s="84" t="s">
        <v>539</v>
      </c>
      <c r="Y362" s="9">
        <f ca="1">IFERROR(OFFSET(ITEM_RES!$A$5,MATCH(BUILDING!X362,ITEM_RES!$J$5:$J$229,0)-1,0),0)</f>
        <v>211020701</v>
      </c>
      <c r="AA362" s="9" t="s">
        <v>516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430</v>
      </c>
      <c r="AU362" s="11">
        <v>1</v>
      </c>
      <c r="AX362" s="11">
        <f ca="1">IFERROR(OFFSET(ITEM_RES!$A$1,MATCH(AY362,ITEM_RES!$J:$J,0)-1,0),0)</f>
        <v>211020801</v>
      </c>
      <c r="AY362" s="10" t="s">
        <v>431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753</v>
      </c>
      <c r="S363" s="9" t="s">
        <v>694</v>
      </c>
      <c r="U363" s="84" t="s">
        <v>544</v>
      </c>
      <c r="V363" s="9">
        <f ca="1">IFERROR(OFFSET(ITEM_RES!$A$5,MATCH(BUILDING!U363,ITEM_RES!$J$5:$J$229,0)-1,0),0)</f>
        <v>211020601</v>
      </c>
      <c r="W363" s="11">
        <v>2</v>
      </c>
      <c r="X363" s="84" t="s">
        <v>539</v>
      </c>
      <c r="Y363" s="9">
        <f ca="1">IFERROR(OFFSET(ITEM_RES!$A$5,MATCH(BUILDING!X363,ITEM_RES!$J$5:$J$229,0)-1,0),0)</f>
        <v>211020701</v>
      </c>
      <c r="AA363" s="9" t="s">
        <v>516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430</v>
      </c>
      <c r="AU363" s="11">
        <v>1</v>
      </c>
      <c r="AX363" s="11">
        <f ca="1">IFERROR(OFFSET(ITEM_RES!$A$1,MATCH(AY363,ITEM_RES!$J:$J,0)-1,0),0)</f>
        <v>211020801</v>
      </c>
      <c r="AY363" s="10" t="s">
        <v>431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753</v>
      </c>
      <c r="S364" s="9" t="s">
        <v>694</v>
      </c>
      <c r="U364" s="84" t="s">
        <v>544</v>
      </c>
      <c r="V364" s="9">
        <f ca="1">IFERROR(OFFSET(ITEM_RES!$A$5,MATCH(BUILDING!U364,ITEM_RES!$J$5:$J$229,0)-1,0),0)</f>
        <v>211020601</v>
      </c>
      <c r="W364" s="11">
        <v>2</v>
      </c>
      <c r="X364" s="84" t="s">
        <v>539</v>
      </c>
      <c r="Y364" s="9">
        <f ca="1">IFERROR(OFFSET(ITEM_RES!$A$5,MATCH(BUILDING!X364,ITEM_RES!$J$5:$J$229,0)-1,0),0)</f>
        <v>211020701</v>
      </c>
      <c r="AA364" s="9" t="s">
        <v>516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430</v>
      </c>
      <c r="AU364" s="11">
        <v>1</v>
      </c>
      <c r="AX364" s="11">
        <f ca="1">IFERROR(OFFSET(ITEM_RES!$A$1,MATCH(AY364,ITEM_RES!$J:$J,0)-1,0),0)</f>
        <v>211020801</v>
      </c>
      <c r="AY364" s="10" t="s">
        <v>431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754</v>
      </c>
      <c r="P365" s="17"/>
      <c r="Q365" s="17"/>
      <c r="R365" s="18"/>
      <c r="S365" s="16" t="s">
        <v>695</v>
      </c>
      <c r="T365" s="78"/>
      <c r="U365" s="86" t="s">
        <v>545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390</v>
      </c>
      <c r="Y365" s="16">
        <f ca="1">IFERROR(OFFSET(ITEM_RES!$A$5,MATCH(BUILDING!X365,ITEM_RES!$J$5:$J$229,0)-1,0),0)</f>
        <v>211020901</v>
      </c>
      <c r="Z365" s="78"/>
      <c r="AA365" s="16" t="s">
        <v>517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432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431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447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754</v>
      </c>
      <c r="S366" s="9" t="s">
        <v>695</v>
      </c>
      <c r="U366" s="84" t="s">
        <v>545</v>
      </c>
      <c r="V366" s="9">
        <f ca="1">IFERROR(OFFSET(ITEM_RES!$A$5,MATCH(BUILDING!U366,ITEM_RES!$J$5:$J$229,0)-1,0),0)</f>
        <v>211020801</v>
      </c>
      <c r="W366" s="11">
        <v>1</v>
      </c>
      <c r="X366" s="84" t="s">
        <v>390</v>
      </c>
      <c r="Y366" s="9">
        <f ca="1">IFERROR(OFFSET(ITEM_RES!$A$5,MATCH(BUILDING!X366,ITEM_RES!$J$5:$J$229,0)-1,0),0)</f>
        <v>211020901</v>
      </c>
      <c r="AA366" s="9" t="s">
        <v>517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432</v>
      </c>
      <c r="AU366" s="11">
        <v>1</v>
      </c>
      <c r="AX366" s="11">
        <f ca="1">IFERROR(OFFSET(ITEM_RES!$A$1,MATCH(AY366,ITEM_RES!$J:$J,0)-1,0),0)</f>
        <v>211020801</v>
      </c>
      <c r="AY366" s="10" t="s">
        <v>431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754</v>
      </c>
      <c r="S367" s="9" t="s">
        <v>695</v>
      </c>
      <c r="U367" s="84" t="s">
        <v>545</v>
      </c>
      <c r="V367" s="9">
        <f ca="1">IFERROR(OFFSET(ITEM_RES!$A$5,MATCH(BUILDING!U367,ITEM_RES!$J$5:$J$229,0)-1,0),0)</f>
        <v>211020801</v>
      </c>
      <c r="W367" s="11">
        <v>1</v>
      </c>
      <c r="X367" s="84" t="s">
        <v>390</v>
      </c>
      <c r="Y367" s="9">
        <f ca="1">IFERROR(OFFSET(ITEM_RES!$A$5,MATCH(BUILDING!X367,ITEM_RES!$J$5:$J$229,0)-1,0),0)</f>
        <v>211020901</v>
      </c>
      <c r="AA367" s="9" t="s">
        <v>517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432</v>
      </c>
      <c r="AU367" s="11">
        <v>1</v>
      </c>
      <c r="AX367" s="11">
        <f ca="1">IFERROR(OFFSET(ITEM_RES!$A$1,MATCH(AY367,ITEM_RES!$J:$J,0)-1,0),0)</f>
        <v>211020801</v>
      </c>
      <c r="AY367" s="10" t="s">
        <v>431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754</v>
      </c>
      <c r="S368" s="9" t="s">
        <v>695</v>
      </c>
      <c r="U368" s="84" t="s">
        <v>545</v>
      </c>
      <c r="V368" s="9">
        <f ca="1">IFERROR(OFFSET(ITEM_RES!$A$5,MATCH(BUILDING!U368,ITEM_RES!$J$5:$J$229,0)-1,0),0)</f>
        <v>211020801</v>
      </c>
      <c r="W368" s="11">
        <v>1</v>
      </c>
      <c r="X368" s="84" t="s">
        <v>390</v>
      </c>
      <c r="Y368" s="9">
        <f ca="1">IFERROR(OFFSET(ITEM_RES!$A$5,MATCH(BUILDING!X368,ITEM_RES!$J$5:$J$229,0)-1,0),0)</f>
        <v>211020901</v>
      </c>
      <c r="AA368" s="9" t="s">
        <v>517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432</v>
      </c>
      <c r="AU368" s="11">
        <v>1</v>
      </c>
      <c r="AX368" s="11">
        <f ca="1">IFERROR(OFFSET(ITEM_RES!$A$1,MATCH(AY368,ITEM_RES!$J:$J,0)-1,0),0)</f>
        <v>211020801</v>
      </c>
      <c r="AY368" s="10" t="s">
        <v>431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754</v>
      </c>
      <c r="S369" s="9" t="s">
        <v>695</v>
      </c>
      <c r="U369" s="84" t="s">
        <v>545</v>
      </c>
      <c r="V369" s="9">
        <f ca="1">IFERROR(OFFSET(ITEM_RES!$A$5,MATCH(BUILDING!U369,ITEM_RES!$J$5:$J$229,0)-1,0),0)</f>
        <v>211020801</v>
      </c>
      <c r="W369" s="11">
        <v>1</v>
      </c>
      <c r="X369" s="84" t="s">
        <v>390</v>
      </c>
      <c r="Y369" s="9">
        <f ca="1">IFERROR(OFFSET(ITEM_RES!$A$5,MATCH(BUILDING!X369,ITEM_RES!$J$5:$J$229,0)-1,0),0)</f>
        <v>211020901</v>
      </c>
      <c r="AA369" s="9" t="s">
        <v>517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432</v>
      </c>
      <c r="AU369" s="11">
        <v>1</v>
      </c>
      <c r="AX369" s="11">
        <f ca="1">IFERROR(OFFSET(ITEM_RES!$A$1,MATCH(AY369,ITEM_RES!$J:$J,0)-1,0),0)</f>
        <v>211020801</v>
      </c>
      <c r="AY369" s="10" t="s">
        <v>431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754</v>
      </c>
      <c r="S370" s="9" t="s">
        <v>695</v>
      </c>
      <c r="U370" s="84" t="s">
        <v>545</v>
      </c>
      <c r="V370" s="9">
        <f ca="1">IFERROR(OFFSET(ITEM_RES!$A$5,MATCH(BUILDING!U370,ITEM_RES!$J$5:$J$229,0)-1,0),0)</f>
        <v>211020801</v>
      </c>
      <c r="W370" s="11">
        <v>1</v>
      </c>
      <c r="X370" s="84" t="s">
        <v>390</v>
      </c>
      <c r="Y370" s="9">
        <f ca="1">IFERROR(OFFSET(ITEM_RES!$A$5,MATCH(BUILDING!X370,ITEM_RES!$J$5:$J$229,0)-1,0),0)</f>
        <v>211020901</v>
      </c>
      <c r="AA370" s="9" t="s">
        <v>517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432</v>
      </c>
      <c r="AU370" s="11">
        <v>1</v>
      </c>
      <c r="AX370" s="11">
        <f ca="1">IFERROR(OFFSET(ITEM_RES!$A$1,MATCH(AY370,ITEM_RES!$J:$J,0)-1,0),0)</f>
        <v>211020801</v>
      </c>
      <c r="AY370" s="10" t="s">
        <v>431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754</v>
      </c>
      <c r="S371" s="9" t="s">
        <v>695</v>
      </c>
      <c r="U371" s="84" t="s">
        <v>545</v>
      </c>
      <c r="V371" s="9">
        <f ca="1">IFERROR(OFFSET(ITEM_RES!$A$5,MATCH(BUILDING!U371,ITEM_RES!$J$5:$J$229,0)-1,0),0)</f>
        <v>211020801</v>
      </c>
      <c r="W371" s="11">
        <v>1</v>
      </c>
      <c r="X371" s="84" t="s">
        <v>390</v>
      </c>
      <c r="Y371" s="9">
        <f ca="1">IFERROR(OFFSET(ITEM_RES!$A$5,MATCH(BUILDING!X371,ITEM_RES!$J$5:$J$229,0)-1,0),0)</f>
        <v>211020901</v>
      </c>
      <c r="AA371" s="9" t="s">
        <v>517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432</v>
      </c>
      <c r="AU371" s="11">
        <v>1</v>
      </c>
      <c r="AX371" s="11">
        <f ca="1">IFERROR(OFFSET(ITEM_RES!$A$1,MATCH(AY371,ITEM_RES!$J:$J,0)-1,0),0)</f>
        <v>211020801</v>
      </c>
      <c r="AY371" s="10" t="s">
        <v>431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461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754</v>
      </c>
      <c r="S372" s="9" t="s">
        <v>695</v>
      </c>
      <c r="U372" s="84" t="s">
        <v>545</v>
      </c>
      <c r="V372" s="9">
        <f ca="1">IFERROR(OFFSET(ITEM_RES!$A$5,MATCH(BUILDING!U372,ITEM_RES!$J$5:$J$229,0)-1,0),0)</f>
        <v>211020801</v>
      </c>
      <c r="W372" s="11">
        <v>1</v>
      </c>
      <c r="X372" s="84" t="s">
        <v>390</v>
      </c>
      <c r="Y372" s="9">
        <f ca="1">IFERROR(OFFSET(ITEM_RES!$A$5,MATCH(BUILDING!X372,ITEM_RES!$J$5:$J$229,0)-1,0),0)</f>
        <v>211020901</v>
      </c>
      <c r="AA372" s="9" t="s">
        <v>517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432</v>
      </c>
      <c r="AU372" s="11">
        <v>1</v>
      </c>
      <c r="AX372" s="11">
        <f ca="1">IFERROR(OFFSET(ITEM_RES!$A$1,MATCH(AY372,ITEM_RES!$J:$J,0)-1,0),0)</f>
        <v>211020801</v>
      </c>
      <c r="AY372" s="10" t="s">
        <v>431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754</v>
      </c>
      <c r="S373" s="9" t="s">
        <v>695</v>
      </c>
      <c r="U373" s="84" t="s">
        <v>545</v>
      </c>
      <c r="V373" s="9">
        <f ca="1">IFERROR(OFFSET(ITEM_RES!$A$5,MATCH(BUILDING!U373,ITEM_RES!$J$5:$J$229,0)-1,0),0)</f>
        <v>211020801</v>
      </c>
      <c r="W373" s="11">
        <v>1</v>
      </c>
      <c r="X373" s="84" t="s">
        <v>390</v>
      </c>
      <c r="Y373" s="9">
        <f ca="1">IFERROR(OFFSET(ITEM_RES!$A$5,MATCH(BUILDING!X373,ITEM_RES!$J$5:$J$229,0)-1,0),0)</f>
        <v>211020901</v>
      </c>
      <c r="AA373" s="9" t="s">
        <v>517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432</v>
      </c>
      <c r="AU373" s="11">
        <v>1</v>
      </c>
      <c r="AX373" s="11">
        <f ca="1">IFERROR(OFFSET(ITEM_RES!$A$1,MATCH(AY373,ITEM_RES!$J:$J,0)-1,0),0)</f>
        <v>211020801</v>
      </c>
      <c r="AY373" s="10" t="s">
        <v>431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754</v>
      </c>
      <c r="S374" s="9" t="s">
        <v>695</v>
      </c>
      <c r="U374" s="84" t="s">
        <v>545</v>
      </c>
      <c r="V374" s="9">
        <f ca="1">IFERROR(OFFSET(ITEM_RES!$A$5,MATCH(BUILDING!U374,ITEM_RES!$J$5:$J$229,0)-1,0),0)</f>
        <v>211020801</v>
      </c>
      <c r="W374" s="11">
        <v>1</v>
      </c>
      <c r="X374" s="84" t="s">
        <v>390</v>
      </c>
      <c r="Y374" s="9">
        <f ca="1">IFERROR(OFFSET(ITEM_RES!$A$5,MATCH(BUILDING!X374,ITEM_RES!$J$5:$J$229,0)-1,0),0)</f>
        <v>211020901</v>
      </c>
      <c r="AA374" s="9" t="s">
        <v>517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432</v>
      </c>
      <c r="AU374" s="11">
        <v>1</v>
      </c>
      <c r="AX374" s="11">
        <f ca="1">IFERROR(OFFSET(ITEM_RES!$A$1,MATCH(AY374,ITEM_RES!$J:$J,0)-1,0),0)</f>
        <v>211020801</v>
      </c>
      <c r="AY374" s="10" t="s">
        <v>431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754</v>
      </c>
      <c r="S375" s="9" t="s">
        <v>695</v>
      </c>
      <c r="U375" s="84" t="s">
        <v>545</v>
      </c>
      <c r="V375" s="9">
        <f ca="1">IFERROR(OFFSET(ITEM_RES!$A$5,MATCH(BUILDING!U375,ITEM_RES!$J$5:$J$229,0)-1,0),0)</f>
        <v>211020801</v>
      </c>
      <c r="W375" s="11">
        <v>1</v>
      </c>
      <c r="X375" s="84" t="s">
        <v>390</v>
      </c>
      <c r="Y375" s="9">
        <f ca="1">IFERROR(OFFSET(ITEM_RES!$A$5,MATCH(BUILDING!X375,ITEM_RES!$J$5:$J$229,0)-1,0),0)</f>
        <v>211020901</v>
      </c>
      <c r="AA375" s="9" t="s">
        <v>517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432</v>
      </c>
      <c r="AU375" s="11">
        <v>1</v>
      </c>
      <c r="AX375" s="11">
        <f ca="1">IFERROR(OFFSET(ITEM_RES!$A$1,MATCH(AY375,ITEM_RES!$J:$J,0)-1,0),0)</f>
        <v>211020801</v>
      </c>
      <c r="AY375" s="10" t="s">
        <v>431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754</v>
      </c>
      <c r="S376" s="9" t="s">
        <v>695</v>
      </c>
      <c r="U376" s="84" t="s">
        <v>545</v>
      </c>
      <c r="V376" s="9">
        <f ca="1">IFERROR(OFFSET(ITEM_RES!$A$5,MATCH(BUILDING!U376,ITEM_RES!$J$5:$J$229,0)-1,0),0)</f>
        <v>211020801</v>
      </c>
      <c r="W376" s="11">
        <v>1</v>
      </c>
      <c r="X376" s="84" t="s">
        <v>390</v>
      </c>
      <c r="Y376" s="9">
        <f ca="1">IFERROR(OFFSET(ITEM_RES!$A$5,MATCH(BUILDING!X376,ITEM_RES!$J$5:$J$229,0)-1,0),0)</f>
        <v>211020901</v>
      </c>
      <c r="AA376" s="9" t="s">
        <v>517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430</v>
      </c>
      <c r="AU376" s="11">
        <v>1</v>
      </c>
      <c r="AX376" s="11">
        <f ca="1">IFERROR(OFFSET(ITEM_RES!$A$1,MATCH(AY376,ITEM_RES!$J:$J,0)-1,0),0)</f>
        <v>211020801</v>
      </c>
      <c r="AY376" s="10" t="s">
        <v>431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754</v>
      </c>
      <c r="S377" s="9" t="s">
        <v>695</v>
      </c>
      <c r="U377" s="84" t="s">
        <v>545</v>
      </c>
      <c r="V377" s="9">
        <f ca="1">IFERROR(OFFSET(ITEM_RES!$A$5,MATCH(BUILDING!U377,ITEM_RES!$J$5:$J$229,0)-1,0),0)</f>
        <v>211020801</v>
      </c>
      <c r="W377" s="11">
        <v>1</v>
      </c>
      <c r="X377" s="84" t="s">
        <v>390</v>
      </c>
      <c r="Y377" s="9">
        <f ca="1">IFERROR(OFFSET(ITEM_RES!$A$5,MATCH(BUILDING!X377,ITEM_RES!$J$5:$J$229,0)-1,0),0)</f>
        <v>211020901</v>
      </c>
      <c r="AA377" s="9" t="s">
        <v>517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430</v>
      </c>
      <c r="AU377" s="11">
        <v>1</v>
      </c>
      <c r="AX377" s="11">
        <f ca="1">IFERROR(OFFSET(ITEM_RES!$A$1,MATCH(AY377,ITEM_RES!$J:$J,0)-1,0),0)</f>
        <v>211020801</v>
      </c>
      <c r="AY377" s="10" t="s">
        <v>431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754</v>
      </c>
      <c r="S378" s="9" t="s">
        <v>695</v>
      </c>
      <c r="U378" s="84" t="s">
        <v>545</v>
      </c>
      <c r="V378" s="9">
        <f ca="1">IFERROR(OFFSET(ITEM_RES!$A$5,MATCH(BUILDING!U378,ITEM_RES!$J$5:$J$229,0)-1,0),0)</f>
        <v>211020801</v>
      </c>
      <c r="W378" s="11">
        <v>1</v>
      </c>
      <c r="X378" s="84" t="s">
        <v>390</v>
      </c>
      <c r="Y378" s="9">
        <f ca="1">IFERROR(OFFSET(ITEM_RES!$A$5,MATCH(BUILDING!X378,ITEM_RES!$J$5:$J$229,0)-1,0),0)</f>
        <v>211020901</v>
      </c>
      <c r="AA378" s="9" t="s">
        <v>517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430</v>
      </c>
      <c r="AU378" s="11">
        <v>1</v>
      </c>
      <c r="AX378" s="11">
        <f ca="1">IFERROR(OFFSET(ITEM_RES!$A$1,MATCH(AY378,ITEM_RES!$J:$J,0)-1,0),0)</f>
        <v>211020801</v>
      </c>
      <c r="AY378" s="10" t="s">
        <v>431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754</v>
      </c>
      <c r="S379" s="9" t="s">
        <v>695</v>
      </c>
      <c r="U379" s="84" t="s">
        <v>545</v>
      </c>
      <c r="V379" s="9">
        <f ca="1">IFERROR(OFFSET(ITEM_RES!$A$5,MATCH(BUILDING!U379,ITEM_RES!$J$5:$J$229,0)-1,0),0)</f>
        <v>211020801</v>
      </c>
      <c r="W379" s="11">
        <v>1</v>
      </c>
      <c r="X379" s="84" t="s">
        <v>390</v>
      </c>
      <c r="Y379" s="9">
        <f ca="1">IFERROR(OFFSET(ITEM_RES!$A$5,MATCH(BUILDING!X379,ITEM_RES!$J$5:$J$229,0)-1,0),0)</f>
        <v>211020901</v>
      </c>
      <c r="AA379" s="9" t="s">
        <v>517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430</v>
      </c>
      <c r="AU379" s="11">
        <v>1</v>
      </c>
      <c r="AX379" s="11">
        <f ca="1">IFERROR(OFFSET(ITEM_RES!$A$1,MATCH(AY379,ITEM_RES!$J:$J,0)-1,0),0)</f>
        <v>211020801</v>
      </c>
      <c r="AY379" s="10" t="s">
        <v>431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754</v>
      </c>
      <c r="S380" s="9" t="s">
        <v>695</v>
      </c>
      <c r="U380" s="84" t="s">
        <v>545</v>
      </c>
      <c r="V380" s="9">
        <f ca="1">IFERROR(OFFSET(ITEM_RES!$A$5,MATCH(BUILDING!U380,ITEM_RES!$J$5:$J$229,0)-1,0),0)</f>
        <v>211020801</v>
      </c>
      <c r="W380" s="11">
        <v>1</v>
      </c>
      <c r="X380" s="84" t="s">
        <v>390</v>
      </c>
      <c r="Y380" s="9">
        <f ca="1">IFERROR(OFFSET(ITEM_RES!$A$5,MATCH(BUILDING!X380,ITEM_RES!$J$5:$J$229,0)-1,0),0)</f>
        <v>211020901</v>
      </c>
      <c r="AA380" s="9" t="s">
        <v>517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430</v>
      </c>
      <c r="AU380" s="11">
        <v>1</v>
      </c>
      <c r="AX380" s="11">
        <f ca="1">IFERROR(OFFSET(ITEM_RES!$A$1,MATCH(AY380,ITEM_RES!$J:$J,0)-1,0),0)</f>
        <v>211020801</v>
      </c>
      <c r="AY380" s="10" t="s">
        <v>431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754</v>
      </c>
      <c r="S381" s="9" t="s">
        <v>695</v>
      </c>
      <c r="U381" s="84" t="s">
        <v>545</v>
      </c>
      <c r="V381" s="9">
        <f ca="1">IFERROR(OFFSET(ITEM_RES!$A$5,MATCH(BUILDING!U381,ITEM_RES!$J$5:$J$229,0)-1,0),0)</f>
        <v>211020801</v>
      </c>
      <c r="W381" s="11">
        <v>1</v>
      </c>
      <c r="X381" s="84" t="s">
        <v>390</v>
      </c>
      <c r="Y381" s="9">
        <f ca="1">IFERROR(OFFSET(ITEM_RES!$A$5,MATCH(BUILDING!X381,ITEM_RES!$J$5:$J$229,0)-1,0),0)</f>
        <v>211020901</v>
      </c>
      <c r="AA381" s="9" t="s">
        <v>517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430</v>
      </c>
      <c r="AU381" s="11">
        <v>1</v>
      </c>
      <c r="AX381" s="11">
        <f ca="1">IFERROR(OFFSET(ITEM_RES!$A$1,MATCH(AY381,ITEM_RES!$J:$J,0)-1,0),0)</f>
        <v>211020801</v>
      </c>
      <c r="AY381" s="10" t="s">
        <v>431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754</v>
      </c>
      <c r="S382" s="9" t="s">
        <v>695</v>
      </c>
      <c r="U382" s="84" t="s">
        <v>545</v>
      </c>
      <c r="V382" s="9">
        <f ca="1">IFERROR(OFFSET(ITEM_RES!$A$5,MATCH(BUILDING!U382,ITEM_RES!$J$5:$J$229,0)-1,0),0)</f>
        <v>211020801</v>
      </c>
      <c r="W382" s="11">
        <v>1</v>
      </c>
      <c r="X382" s="84" t="s">
        <v>390</v>
      </c>
      <c r="Y382" s="9">
        <f ca="1">IFERROR(OFFSET(ITEM_RES!$A$5,MATCH(BUILDING!X382,ITEM_RES!$J$5:$J$229,0)-1,0),0)</f>
        <v>211020901</v>
      </c>
      <c r="AA382" s="9" t="s">
        <v>517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430</v>
      </c>
      <c r="AU382" s="11">
        <v>1</v>
      </c>
      <c r="AX382" s="11">
        <f ca="1">IFERROR(OFFSET(ITEM_RES!$A$1,MATCH(AY382,ITEM_RES!$J:$J,0)-1,0),0)</f>
        <v>211020801</v>
      </c>
      <c r="AY382" s="10" t="s">
        <v>431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754</v>
      </c>
      <c r="S383" s="9" t="s">
        <v>695</v>
      </c>
      <c r="U383" s="84" t="s">
        <v>545</v>
      </c>
      <c r="V383" s="9">
        <f ca="1">IFERROR(OFFSET(ITEM_RES!$A$5,MATCH(BUILDING!U383,ITEM_RES!$J$5:$J$229,0)-1,0),0)</f>
        <v>211020801</v>
      </c>
      <c r="W383" s="11">
        <v>1</v>
      </c>
      <c r="X383" s="84" t="s">
        <v>390</v>
      </c>
      <c r="Y383" s="9">
        <f ca="1">IFERROR(OFFSET(ITEM_RES!$A$5,MATCH(BUILDING!X383,ITEM_RES!$J$5:$J$229,0)-1,0),0)</f>
        <v>211020901</v>
      </c>
      <c r="AA383" s="9" t="s">
        <v>517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430</v>
      </c>
      <c r="AU383" s="11">
        <v>1</v>
      </c>
      <c r="AX383" s="11">
        <f ca="1">IFERROR(OFFSET(ITEM_RES!$A$1,MATCH(AY383,ITEM_RES!$J:$J,0)-1,0),0)</f>
        <v>211020801</v>
      </c>
      <c r="AY383" s="10" t="s">
        <v>431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754</v>
      </c>
      <c r="S384" s="9" t="s">
        <v>695</v>
      </c>
      <c r="U384" s="84" t="s">
        <v>545</v>
      </c>
      <c r="V384" s="9">
        <f ca="1">IFERROR(OFFSET(ITEM_RES!$A$5,MATCH(BUILDING!U384,ITEM_RES!$J$5:$J$229,0)-1,0),0)</f>
        <v>211020801</v>
      </c>
      <c r="W384" s="11">
        <v>1</v>
      </c>
      <c r="X384" s="84" t="s">
        <v>390</v>
      </c>
      <c r="Y384" s="9">
        <f ca="1">IFERROR(OFFSET(ITEM_RES!$A$5,MATCH(BUILDING!X384,ITEM_RES!$J$5:$J$229,0)-1,0),0)</f>
        <v>211020901</v>
      </c>
      <c r="AA384" s="9" t="s">
        <v>517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430</v>
      </c>
      <c r="AU384" s="11">
        <v>1</v>
      </c>
      <c r="AX384" s="11">
        <f ca="1">IFERROR(OFFSET(ITEM_RES!$A$1,MATCH(AY384,ITEM_RES!$J:$J,0)-1,0),0)</f>
        <v>211020801</v>
      </c>
      <c r="AY384" s="10" t="s">
        <v>431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1145</v>
      </c>
      <c r="P385" s="17"/>
      <c r="Q385" s="17"/>
      <c r="R385" s="18"/>
      <c r="S385" s="16" t="s">
        <v>701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540</v>
      </c>
      <c r="Y385" s="16">
        <f ca="1">IFERROR(OFFSET(ITEM_RES!$A$5,MATCH(BUILDING!X385,ITEM_RES!$J$5:$J$229,0)-1,0),0)</f>
        <v>211020201</v>
      </c>
      <c r="Z385" s="78"/>
      <c r="AA385" s="16" t="s">
        <v>518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424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443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447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1146</v>
      </c>
      <c r="S386" s="9" t="s">
        <v>701</v>
      </c>
      <c r="V386" s="9">
        <f ca="1">IFERROR(OFFSET(ITEM_RES!$A$5,MATCH(BUILDING!U386,ITEM_RES!$J$5:$J$229,0)-1,0),0)</f>
        <v>0</v>
      </c>
      <c r="X386" s="84" t="s">
        <v>540</v>
      </c>
      <c r="Y386" s="9">
        <f ca="1">IFERROR(OFFSET(ITEM_RES!$A$5,MATCH(BUILDING!X386,ITEM_RES!$J$5:$J$229,0)-1,0),0)</f>
        <v>211020201</v>
      </c>
      <c r="AA386" s="9" t="s">
        <v>518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424</v>
      </c>
      <c r="AU386" s="11">
        <v>20</v>
      </c>
      <c r="AX386" s="11">
        <f ca="1">IFERROR(OFFSET(ITEM_RES!$A$1,MATCH(AY386,ITEM_RES!$J:$J,0)-1,0),0)</f>
        <v>211020101</v>
      </c>
      <c r="AY386" s="10" t="s">
        <v>443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1147</v>
      </c>
      <c r="S387" s="9" t="s">
        <v>701</v>
      </c>
      <c r="V387" s="9">
        <f ca="1">IFERROR(OFFSET(ITEM_RES!$A$5,MATCH(BUILDING!U387,ITEM_RES!$J$5:$J$229,0)-1,0),0)</f>
        <v>0</v>
      </c>
      <c r="X387" s="84" t="s">
        <v>540</v>
      </c>
      <c r="Y387" s="9">
        <f ca="1">IFERROR(OFFSET(ITEM_RES!$A$5,MATCH(BUILDING!X387,ITEM_RES!$J$5:$J$229,0)-1,0),0)</f>
        <v>211020201</v>
      </c>
      <c r="AA387" s="9" t="s">
        <v>518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424</v>
      </c>
      <c r="AU387" s="11">
        <v>160</v>
      </c>
      <c r="AX387" s="11">
        <f ca="1">IFERROR(OFFSET(ITEM_RES!$A$1,MATCH(AY387,ITEM_RES!$J:$J,0)-1,0),0)</f>
        <v>211020101</v>
      </c>
      <c r="AY387" s="10" t="s">
        <v>443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1148</v>
      </c>
      <c r="S388" s="9" t="s">
        <v>701</v>
      </c>
      <c r="V388" s="9">
        <f ca="1">IFERROR(OFFSET(ITEM_RES!$A$5,MATCH(BUILDING!U388,ITEM_RES!$J$5:$J$229,0)-1,0),0)</f>
        <v>0</v>
      </c>
      <c r="X388" s="84" t="s">
        <v>540</v>
      </c>
      <c r="Y388" s="9">
        <f ca="1">IFERROR(OFFSET(ITEM_RES!$A$5,MATCH(BUILDING!X388,ITEM_RES!$J$5:$J$229,0)-1,0),0)</f>
        <v>211020201</v>
      </c>
      <c r="AA388" s="9" t="s">
        <v>518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424</v>
      </c>
      <c r="AU388" s="11">
        <v>1920</v>
      </c>
      <c r="AX388" s="11">
        <f ca="1">IFERROR(OFFSET(ITEM_RES!$A$1,MATCH(AY388,ITEM_RES!$J:$J,0)-1,0),0)</f>
        <v>211020101</v>
      </c>
      <c r="AY388" s="10" t="s">
        <v>443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1149</v>
      </c>
      <c r="S389" s="9" t="s">
        <v>701</v>
      </c>
      <c r="V389" s="9">
        <f ca="1">IFERROR(OFFSET(ITEM_RES!$A$5,MATCH(BUILDING!U389,ITEM_RES!$J$5:$J$229,0)-1,0),0)</f>
        <v>0</v>
      </c>
      <c r="X389" s="84" t="s">
        <v>540</v>
      </c>
      <c r="Y389" s="9">
        <f ca="1">IFERROR(OFFSET(ITEM_RES!$A$5,MATCH(BUILDING!X389,ITEM_RES!$J$5:$J$229,0)-1,0),0)</f>
        <v>211020201</v>
      </c>
      <c r="AA389" s="9" t="s">
        <v>518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424</v>
      </c>
      <c r="AU389" s="11">
        <v>26000</v>
      </c>
      <c r="AX389" s="11">
        <f ca="1">IFERROR(OFFSET(ITEM_RES!$A$1,MATCH(AY389,ITEM_RES!$J:$J,0)-1,0),0)</f>
        <v>211020101</v>
      </c>
      <c r="AY389" s="10" t="s">
        <v>443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1150</v>
      </c>
      <c r="S390" s="9" t="s">
        <v>701</v>
      </c>
      <c r="V390" s="9">
        <f ca="1">IFERROR(OFFSET(ITEM_RES!$A$5,MATCH(BUILDING!U390,ITEM_RES!$J$5:$J$229,0)-1,0),0)</f>
        <v>0</v>
      </c>
      <c r="X390" s="84" t="s">
        <v>540</v>
      </c>
      <c r="Y390" s="9">
        <f ca="1">IFERROR(OFFSET(ITEM_RES!$A$5,MATCH(BUILDING!X390,ITEM_RES!$J$5:$J$229,0)-1,0),0)</f>
        <v>211020201</v>
      </c>
      <c r="AA390" s="9" t="s">
        <v>518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424</v>
      </c>
      <c r="AU390" s="11">
        <v>240000</v>
      </c>
      <c r="AX390" s="11">
        <f ca="1">IFERROR(OFFSET(ITEM_RES!$A$1,MATCH(AY390,ITEM_RES!$J:$J,0)-1,0),0)</f>
        <v>211020101</v>
      </c>
      <c r="AY390" s="10" t="s">
        <v>443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1151</v>
      </c>
      <c r="S391" s="9" t="s">
        <v>701</v>
      </c>
      <c r="V391" s="9">
        <f ca="1">IFERROR(OFFSET(ITEM_RES!$A$5,MATCH(BUILDING!U391,ITEM_RES!$J$5:$J$229,0)-1,0),0)</f>
        <v>0</v>
      </c>
      <c r="X391" s="84" t="s">
        <v>540</v>
      </c>
      <c r="Y391" s="9">
        <f ca="1">IFERROR(OFFSET(ITEM_RES!$A$5,MATCH(BUILDING!X391,ITEM_RES!$J$5:$J$229,0)-1,0),0)</f>
        <v>211020201</v>
      </c>
      <c r="AA391" s="9" t="s">
        <v>518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424</v>
      </c>
      <c r="AU391" s="11">
        <v>540000</v>
      </c>
      <c r="AX391" s="11">
        <f ca="1">IFERROR(OFFSET(ITEM_RES!$A$1,MATCH(AY391,ITEM_RES!$J:$J,0)-1,0),0)</f>
        <v>211020101</v>
      </c>
      <c r="AY391" s="10" t="s">
        <v>443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1151</v>
      </c>
      <c r="S392" s="9" t="s">
        <v>701</v>
      </c>
      <c r="V392" s="9">
        <f ca="1">IFERROR(OFFSET(ITEM_RES!$A$5,MATCH(BUILDING!U392,ITEM_RES!$J$5:$J$229,0)-1,0),0)</f>
        <v>0</v>
      </c>
      <c r="X392" s="84" t="s">
        <v>540</v>
      </c>
      <c r="Y392" s="9">
        <f ca="1">IFERROR(OFFSET(ITEM_RES!$A$5,MATCH(BUILDING!X392,ITEM_RES!$J$5:$J$229,0)-1,0),0)</f>
        <v>211020201</v>
      </c>
      <c r="AA392" s="9" t="s">
        <v>518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424</v>
      </c>
      <c r="AU392" s="11">
        <v>1000000</v>
      </c>
      <c r="AX392" s="11">
        <f ca="1">IFERROR(OFFSET(ITEM_RES!$A$1,MATCH(AY392,ITEM_RES!$J:$J,0)-1,0),0)</f>
        <v>211020101</v>
      </c>
      <c r="AY392" s="10" t="s">
        <v>443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1151</v>
      </c>
      <c r="S393" s="9" t="s">
        <v>701</v>
      </c>
      <c r="V393" s="9">
        <f ca="1">IFERROR(OFFSET(ITEM_RES!$A$5,MATCH(BUILDING!U393,ITEM_RES!$J$5:$J$229,0)-1,0),0)</f>
        <v>0</v>
      </c>
      <c r="X393" s="84" t="s">
        <v>540</v>
      </c>
      <c r="Y393" s="9">
        <f ca="1">IFERROR(OFFSET(ITEM_RES!$A$5,MATCH(BUILDING!X393,ITEM_RES!$J$5:$J$229,0)-1,0),0)</f>
        <v>211020201</v>
      </c>
      <c r="AA393" s="9" t="s">
        <v>518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424</v>
      </c>
      <c r="AU393" s="11">
        <v>1580000</v>
      </c>
      <c r="AX393" s="11">
        <f ca="1">IFERROR(OFFSET(ITEM_RES!$A$1,MATCH(AY393,ITEM_RES!$J:$J,0)-1,0),0)</f>
        <v>211020101</v>
      </c>
      <c r="AY393" s="10" t="s">
        <v>443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1151</v>
      </c>
      <c r="S394" s="9" t="s">
        <v>701</v>
      </c>
      <c r="V394" s="9">
        <f ca="1">IFERROR(OFFSET(ITEM_RES!$A$5,MATCH(BUILDING!U394,ITEM_RES!$J$5:$J$229,0)-1,0),0)</f>
        <v>0</v>
      </c>
      <c r="X394" s="84" t="s">
        <v>540</v>
      </c>
      <c r="Y394" s="9">
        <f ca="1">IFERROR(OFFSET(ITEM_RES!$A$5,MATCH(BUILDING!X394,ITEM_RES!$J$5:$J$229,0)-1,0),0)</f>
        <v>211020201</v>
      </c>
      <c r="AA394" s="9" t="s">
        <v>518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424</v>
      </c>
      <c r="AU394" s="11">
        <v>2200000</v>
      </c>
      <c r="AX394" s="11">
        <f ca="1">IFERROR(OFFSET(ITEM_RES!$A$1,MATCH(AY394,ITEM_RES!$J:$J,0)-1,0),0)</f>
        <v>211020101</v>
      </c>
      <c r="AY394" s="10" t="s">
        <v>443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1151</v>
      </c>
      <c r="S395" s="9" t="s">
        <v>701</v>
      </c>
      <c r="V395" s="9">
        <f ca="1">IFERROR(OFFSET(ITEM_RES!$A$5,MATCH(BUILDING!U395,ITEM_RES!$J$5:$J$229,0)-1,0),0)</f>
        <v>0</v>
      </c>
      <c r="X395" s="84" t="s">
        <v>540</v>
      </c>
      <c r="Y395" s="9">
        <f ca="1">IFERROR(OFFSET(ITEM_RES!$A$5,MATCH(BUILDING!X395,ITEM_RES!$J$5:$J$229,0)-1,0),0)</f>
        <v>211020201</v>
      </c>
      <c r="AA395" s="9" t="s">
        <v>518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424</v>
      </c>
      <c r="AU395" s="11">
        <v>4400000</v>
      </c>
      <c r="AX395" s="11">
        <f ca="1">IFERROR(OFFSET(ITEM_RES!$A$1,MATCH(AY395,ITEM_RES!$J:$J,0)-1,0),0)</f>
        <v>211020101</v>
      </c>
      <c r="AY395" s="10" t="s">
        <v>443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1151</v>
      </c>
      <c r="S396" s="9" t="s">
        <v>701</v>
      </c>
      <c r="V396" s="9">
        <f ca="1">IFERROR(OFFSET(ITEM_RES!$A$5,MATCH(BUILDING!U396,ITEM_RES!$J$5:$J$229,0)-1,0),0)</f>
        <v>0</v>
      </c>
      <c r="X396" s="84" t="s">
        <v>540</v>
      </c>
      <c r="Y396" s="9">
        <f ca="1">IFERROR(OFFSET(ITEM_RES!$A$5,MATCH(BUILDING!X396,ITEM_RES!$J$5:$J$229,0)-1,0),0)</f>
        <v>211020201</v>
      </c>
      <c r="AA396" s="9" t="s">
        <v>518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424</v>
      </c>
      <c r="AU396" s="11">
        <v>5200000</v>
      </c>
      <c r="AX396" s="11">
        <f ca="1">IFERROR(OFFSET(ITEM_RES!$A$1,MATCH(AY396,ITEM_RES!$J:$J,0)-1,0),0)</f>
        <v>211020101</v>
      </c>
      <c r="AY396" s="10" t="s">
        <v>443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1151</v>
      </c>
      <c r="S397" s="9" t="s">
        <v>701</v>
      </c>
      <c r="V397" s="9">
        <f ca="1">IFERROR(OFFSET(ITEM_RES!$A$5,MATCH(BUILDING!U397,ITEM_RES!$J$5:$J$229,0)-1,0),0)</f>
        <v>0</v>
      </c>
      <c r="X397" s="84" t="s">
        <v>540</v>
      </c>
      <c r="Y397" s="9">
        <f ca="1">IFERROR(OFFSET(ITEM_RES!$A$5,MATCH(BUILDING!X397,ITEM_RES!$J$5:$J$229,0)-1,0),0)</f>
        <v>211020201</v>
      </c>
      <c r="AA397" s="9" t="s">
        <v>518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424</v>
      </c>
      <c r="AU397" s="11">
        <v>8600000</v>
      </c>
      <c r="AX397" s="11">
        <f ca="1">IFERROR(OFFSET(ITEM_RES!$A$1,MATCH(AY397,ITEM_RES!$J:$J,0)-1,0),0)</f>
        <v>211020101</v>
      </c>
      <c r="AY397" s="10" t="s">
        <v>443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1151</v>
      </c>
      <c r="S398" s="9" t="s">
        <v>701</v>
      </c>
      <c r="V398" s="9">
        <f ca="1">IFERROR(OFFSET(ITEM_RES!$A$5,MATCH(BUILDING!U398,ITEM_RES!$J$5:$J$229,0)-1,0),0)</f>
        <v>0</v>
      </c>
      <c r="X398" s="84" t="s">
        <v>540</v>
      </c>
      <c r="Y398" s="9">
        <f ca="1">IFERROR(OFFSET(ITEM_RES!$A$5,MATCH(BUILDING!X398,ITEM_RES!$J$5:$J$229,0)-1,0),0)</f>
        <v>211020201</v>
      </c>
      <c r="AA398" s="9" t="s">
        <v>518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424</v>
      </c>
      <c r="AU398" s="11">
        <v>13200000</v>
      </c>
      <c r="AX398" s="11">
        <f ca="1">IFERROR(OFFSET(ITEM_RES!$A$1,MATCH(AY398,ITEM_RES!$J:$J,0)-1,0),0)</f>
        <v>211020101</v>
      </c>
      <c r="AY398" s="10" t="s">
        <v>443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1151</v>
      </c>
      <c r="S399" s="9" t="s">
        <v>701</v>
      </c>
      <c r="V399" s="9">
        <f ca="1">IFERROR(OFFSET(ITEM_RES!$A$5,MATCH(BUILDING!U399,ITEM_RES!$J$5:$J$229,0)-1,0),0)</f>
        <v>0</v>
      </c>
      <c r="X399" s="84" t="s">
        <v>540</v>
      </c>
      <c r="Y399" s="9">
        <f ca="1">IFERROR(OFFSET(ITEM_RES!$A$5,MATCH(BUILDING!X399,ITEM_RES!$J$5:$J$229,0)-1,0),0)</f>
        <v>211020201</v>
      </c>
      <c r="AA399" s="9" t="s">
        <v>518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438</v>
      </c>
      <c r="AU399" s="11">
        <v>22000000</v>
      </c>
      <c r="AX399" s="11">
        <f ca="1">IFERROR(OFFSET(ITEM_RES!$A$1,MATCH(AY399,ITEM_RES!$J:$J,0)-1,0),0)</f>
        <v>211020101</v>
      </c>
      <c r="AY399" s="10" t="s">
        <v>443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1151</v>
      </c>
      <c r="S400" s="9" t="s">
        <v>701</v>
      </c>
      <c r="V400" s="9">
        <f ca="1">IFERROR(OFFSET(ITEM_RES!$A$5,MATCH(BUILDING!U400,ITEM_RES!$J$5:$J$229,0)-1,0),0)</f>
        <v>0</v>
      </c>
      <c r="X400" s="84" t="s">
        <v>540</v>
      </c>
      <c r="Y400" s="9">
        <f ca="1">IFERROR(OFFSET(ITEM_RES!$A$5,MATCH(BUILDING!X400,ITEM_RES!$J$5:$J$229,0)-1,0),0)</f>
        <v>211020201</v>
      </c>
      <c r="AA400" s="9" t="s">
        <v>518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438</v>
      </c>
      <c r="AU400" s="11">
        <v>30000000</v>
      </c>
      <c r="AX400" s="11">
        <f ca="1">IFERROR(OFFSET(ITEM_RES!$A$1,MATCH(AY400,ITEM_RES!$J:$J,0)-1,0),0)</f>
        <v>211020101</v>
      </c>
      <c r="AY400" s="10" t="s">
        <v>443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1151</v>
      </c>
      <c r="S401" s="9" t="s">
        <v>701</v>
      </c>
      <c r="V401" s="9">
        <f ca="1">IFERROR(OFFSET(ITEM_RES!$A$5,MATCH(BUILDING!U401,ITEM_RES!$J$5:$J$229,0)-1,0),0)</f>
        <v>0</v>
      </c>
      <c r="X401" s="84" t="s">
        <v>540</v>
      </c>
      <c r="Y401" s="9">
        <f ca="1">IFERROR(OFFSET(ITEM_RES!$A$5,MATCH(BUILDING!X401,ITEM_RES!$J$5:$J$229,0)-1,0),0)</f>
        <v>211020201</v>
      </c>
      <c r="AA401" s="9" t="s">
        <v>518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438</v>
      </c>
      <c r="AU401" s="11">
        <v>46000000</v>
      </c>
      <c r="AX401" s="11">
        <f ca="1">IFERROR(OFFSET(ITEM_RES!$A$1,MATCH(AY401,ITEM_RES!$J:$J,0)-1,0),0)</f>
        <v>211020101</v>
      </c>
      <c r="AY401" s="10" t="s">
        <v>443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1151</v>
      </c>
      <c r="S402" s="9" t="s">
        <v>701</v>
      </c>
      <c r="V402" s="9">
        <f ca="1">IFERROR(OFFSET(ITEM_RES!$A$5,MATCH(BUILDING!U402,ITEM_RES!$J$5:$J$229,0)-1,0),0)</f>
        <v>0</v>
      </c>
      <c r="X402" s="84" t="s">
        <v>540</v>
      </c>
      <c r="Y402" s="9">
        <f ca="1">IFERROR(OFFSET(ITEM_RES!$A$5,MATCH(BUILDING!X402,ITEM_RES!$J$5:$J$229,0)-1,0),0)</f>
        <v>211020201</v>
      </c>
      <c r="AA402" s="9" t="s">
        <v>518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438</v>
      </c>
      <c r="AU402" s="11">
        <v>70000000</v>
      </c>
      <c r="AX402" s="11">
        <f ca="1">IFERROR(OFFSET(ITEM_RES!$A$1,MATCH(AY402,ITEM_RES!$J:$J,0)-1,0),0)</f>
        <v>211020101</v>
      </c>
      <c r="AY402" s="10" t="s">
        <v>443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1151</v>
      </c>
      <c r="S403" s="9" t="s">
        <v>701</v>
      </c>
      <c r="V403" s="9">
        <f ca="1">IFERROR(OFFSET(ITEM_RES!$A$5,MATCH(BUILDING!U403,ITEM_RES!$J$5:$J$229,0)-1,0),0)</f>
        <v>0</v>
      </c>
      <c r="X403" s="84" t="s">
        <v>540</v>
      </c>
      <c r="Y403" s="9">
        <f ca="1">IFERROR(OFFSET(ITEM_RES!$A$5,MATCH(BUILDING!X403,ITEM_RES!$J$5:$J$229,0)-1,0),0)</f>
        <v>211020201</v>
      </c>
      <c r="AA403" s="9" t="s">
        <v>518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438</v>
      </c>
      <c r="AU403" s="11">
        <v>96000000</v>
      </c>
      <c r="AX403" s="11">
        <f ca="1">IFERROR(OFFSET(ITEM_RES!$A$1,MATCH(AY403,ITEM_RES!$J:$J,0)-1,0),0)</f>
        <v>211020101</v>
      </c>
      <c r="AY403" s="10" t="s">
        <v>443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1151</v>
      </c>
      <c r="S404" s="9" t="s">
        <v>701</v>
      </c>
      <c r="V404" s="9">
        <f ca="1">IFERROR(OFFSET(ITEM_RES!$A$5,MATCH(BUILDING!U404,ITEM_RES!$J$5:$J$229,0)-1,0),0)</f>
        <v>0</v>
      </c>
      <c r="X404" s="84" t="s">
        <v>540</v>
      </c>
      <c r="Y404" s="9">
        <f ca="1">IFERROR(OFFSET(ITEM_RES!$A$5,MATCH(BUILDING!X404,ITEM_RES!$J$5:$J$229,0)-1,0),0)</f>
        <v>211020201</v>
      </c>
      <c r="AA404" s="9" t="s">
        <v>518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438</v>
      </c>
      <c r="AU404" s="11">
        <v>152000000</v>
      </c>
      <c r="AX404" s="11">
        <f ca="1">IFERROR(OFFSET(ITEM_RES!$A$1,MATCH(AY404,ITEM_RES!$J:$J,0)-1,0),0)</f>
        <v>211020101</v>
      </c>
      <c r="AY404" s="10" t="s">
        <v>443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419</v>
      </c>
      <c r="L405" s="16">
        <v>8</v>
      </c>
      <c r="M405" s="16">
        <v>1</v>
      </c>
      <c r="N405" s="16">
        <v>15</v>
      </c>
      <c r="O405" s="16" t="s">
        <v>1038</v>
      </c>
      <c r="P405" s="17"/>
      <c r="Q405" s="17"/>
      <c r="R405" s="18"/>
      <c r="S405" s="16" t="s">
        <v>700</v>
      </c>
      <c r="T405" s="78"/>
      <c r="U405" s="86" t="s">
        <v>546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541</v>
      </c>
      <c r="Y405" s="16">
        <f ca="1">IFERROR(OFFSET(ITEM_RES!$A$5,MATCH(BUILDING!X405,ITEM_RES!$J$5:$J$229,0)-1,0),0)</f>
        <v>211020501</v>
      </c>
      <c r="Z405" s="78"/>
      <c r="AA405" s="16" t="s">
        <v>519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432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433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447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419</v>
      </c>
      <c r="M406" s="9">
        <v>1</v>
      </c>
      <c r="N406" s="9">
        <v>15</v>
      </c>
      <c r="O406" s="9" t="s">
        <v>1038</v>
      </c>
      <c r="S406" s="9" t="s">
        <v>700</v>
      </c>
      <c r="U406" s="84" t="s">
        <v>546</v>
      </c>
      <c r="V406" s="9">
        <f ca="1">IFERROR(OFFSET(ITEM_RES!$A$5,MATCH(BUILDING!U406,ITEM_RES!$J$5:$J$229,0)-1,0),0)</f>
        <v>211020401</v>
      </c>
      <c r="W406" s="11">
        <v>1</v>
      </c>
      <c r="X406" s="84" t="s">
        <v>541</v>
      </c>
      <c r="Y406" s="9">
        <f ca="1">IFERROR(OFFSET(ITEM_RES!$A$5,MATCH(BUILDING!X406,ITEM_RES!$J$5:$J$229,0)-1,0),0)</f>
        <v>211020501</v>
      </c>
      <c r="AA406" s="9" t="s">
        <v>519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432</v>
      </c>
      <c r="AU406" s="11">
        <v>1</v>
      </c>
      <c r="AX406" s="11">
        <f ca="1">IFERROR(OFFSET(ITEM_RES!$A$1,MATCH(AY406,ITEM_RES!$J:$J,0)-1,0),0)</f>
        <v>211020801</v>
      </c>
      <c r="AY406" s="10" t="s">
        <v>433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419</v>
      </c>
      <c r="M407" s="9">
        <v>1</v>
      </c>
      <c r="N407" s="9">
        <v>15</v>
      </c>
      <c r="O407" s="9" t="s">
        <v>1038</v>
      </c>
      <c r="S407" s="9" t="s">
        <v>700</v>
      </c>
      <c r="U407" s="84" t="s">
        <v>546</v>
      </c>
      <c r="V407" s="9">
        <f ca="1">IFERROR(OFFSET(ITEM_RES!$A$5,MATCH(BUILDING!U407,ITEM_RES!$J$5:$J$229,0)-1,0),0)</f>
        <v>211020401</v>
      </c>
      <c r="W407" s="11">
        <v>1</v>
      </c>
      <c r="X407" s="84" t="s">
        <v>541</v>
      </c>
      <c r="Y407" s="9">
        <f ca="1">IFERROR(OFFSET(ITEM_RES!$A$5,MATCH(BUILDING!X407,ITEM_RES!$J$5:$J$229,0)-1,0),0)</f>
        <v>211020501</v>
      </c>
      <c r="AA407" s="9" t="s">
        <v>519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432</v>
      </c>
      <c r="AU407" s="11">
        <v>1</v>
      </c>
      <c r="AX407" s="11">
        <f ca="1">IFERROR(OFFSET(ITEM_RES!$A$1,MATCH(AY407,ITEM_RES!$J:$J,0)-1,0),0)</f>
        <v>211020801</v>
      </c>
      <c r="AY407" s="10" t="s">
        <v>433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419</v>
      </c>
      <c r="M408" s="9">
        <v>1</v>
      </c>
      <c r="N408" s="9">
        <v>15</v>
      </c>
      <c r="O408" s="9" t="s">
        <v>1038</v>
      </c>
      <c r="S408" s="9" t="s">
        <v>700</v>
      </c>
      <c r="U408" s="84" t="s">
        <v>546</v>
      </c>
      <c r="V408" s="9">
        <f ca="1">IFERROR(OFFSET(ITEM_RES!$A$5,MATCH(BUILDING!U408,ITEM_RES!$J$5:$J$229,0)-1,0),0)</f>
        <v>211020401</v>
      </c>
      <c r="W408" s="11">
        <v>1</v>
      </c>
      <c r="X408" s="84" t="s">
        <v>541</v>
      </c>
      <c r="Y408" s="9">
        <f ca="1">IFERROR(OFFSET(ITEM_RES!$A$5,MATCH(BUILDING!X408,ITEM_RES!$J$5:$J$229,0)-1,0),0)</f>
        <v>211020501</v>
      </c>
      <c r="AA408" s="9" t="s">
        <v>519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432</v>
      </c>
      <c r="AU408" s="11">
        <v>1</v>
      </c>
      <c r="AX408" s="11">
        <f ca="1">IFERROR(OFFSET(ITEM_RES!$A$1,MATCH(AY408,ITEM_RES!$J:$J,0)-1,0),0)</f>
        <v>211020801</v>
      </c>
      <c r="AY408" s="10" t="s">
        <v>433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419</v>
      </c>
      <c r="M409" s="9">
        <v>1</v>
      </c>
      <c r="N409" s="9">
        <v>15</v>
      </c>
      <c r="O409" s="9" t="s">
        <v>1038</v>
      </c>
      <c r="S409" s="9" t="s">
        <v>700</v>
      </c>
      <c r="U409" s="84" t="s">
        <v>546</v>
      </c>
      <c r="V409" s="9">
        <f ca="1">IFERROR(OFFSET(ITEM_RES!$A$5,MATCH(BUILDING!U409,ITEM_RES!$J$5:$J$229,0)-1,0),0)</f>
        <v>211020401</v>
      </c>
      <c r="W409" s="11">
        <v>1</v>
      </c>
      <c r="X409" s="84" t="s">
        <v>541</v>
      </c>
      <c r="Y409" s="9">
        <f ca="1">IFERROR(OFFSET(ITEM_RES!$A$5,MATCH(BUILDING!X409,ITEM_RES!$J$5:$J$229,0)-1,0),0)</f>
        <v>211020501</v>
      </c>
      <c r="AA409" s="9" t="s">
        <v>519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432</v>
      </c>
      <c r="AU409" s="11">
        <v>1</v>
      </c>
      <c r="AX409" s="11">
        <f ca="1">IFERROR(OFFSET(ITEM_RES!$A$1,MATCH(AY409,ITEM_RES!$J:$J,0)-1,0),0)</f>
        <v>211020801</v>
      </c>
      <c r="AY409" s="10" t="s">
        <v>433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419</v>
      </c>
      <c r="M410" s="9">
        <v>1</v>
      </c>
      <c r="N410" s="9">
        <v>15</v>
      </c>
      <c r="O410" s="9" t="s">
        <v>1038</v>
      </c>
      <c r="S410" s="9" t="s">
        <v>700</v>
      </c>
      <c r="U410" s="84" t="s">
        <v>546</v>
      </c>
      <c r="V410" s="9">
        <f ca="1">IFERROR(OFFSET(ITEM_RES!$A$5,MATCH(BUILDING!U410,ITEM_RES!$J$5:$J$229,0)-1,0),0)</f>
        <v>211020401</v>
      </c>
      <c r="W410" s="11">
        <v>1</v>
      </c>
      <c r="X410" s="84" t="s">
        <v>541</v>
      </c>
      <c r="Y410" s="9">
        <f ca="1">IFERROR(OFFSET(ITEM_RES!$A$5,MATCH(BUILDING!X410,ITEM_RES!$J$5:$J$229,0)-1,0),0)</f>
        <v>211020501</v>
      </c>
      <c r="AA410" s="9" t="s">
        <v>519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432</v>
      </c>
      <c r="AU410" s="11">
        <v>1</v>
      </c>
      <c r="AX410" s="11">
        <f ca="1">IFERROR(OFFSET(ITEM_RES!$A$1,MATCH(AY410,ITEM_RES!$J:$J,0)-1,0),0)</f>
        <v>211020801</v>
      </c>
      <c r="AY410" s="10" t="s">
        <v>433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464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419</v>
      </c>
      <c r="M411" s="9">
        <v>1</v>
      </c>
      <c r="N411" s="9">
        <v>15</v>
      </c>
      <c r="O411" s="9" t="s">
        <v>1038</v>
      </c>
      <c r="S411" s="9" t="s">
        <v>700</v>
      </c>
      <c r="U411" s="84" t="s">
        <v>546</v>
      </c>
      <c r="V411" s="9">
        <f ca="1">IFERROR(OFFSET(ITEM_RES!$A$5,MATCH(BUILDING!U411,ITEM_RES!$J$5:$J$229,0)-1,0),0)</f>
        <v>211020401</v>
      </c>
      <c r="W411" s="11">
        <v>1</v>
      </c>
      <c r="X411" s="84" t="s">
        <v>541</v>
      </c>
      <c r="Y411" s="9">
        <f ca="1">IFERROR(OFFSET(ITEM_RES!$A$5,MATCH(BUILDING!X411,ITEM_RES!$J$5:$J$229,0)-1,0),0)</f>
        <v>211020501</v>
      </c>
      <c r="AA411" s="9" t="s">
        <v>519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432</v>
      </c>
      <c r="AU411" s="11">
        <v>1</v>
      </c>
      <c r="AX411" s="11">
        <f ca="1">IFERROR(OFFSET(ITEM_RES!$A$1,MATCH(AY411,ITEM_RES!$J:$J,0)-1,0),0)</f>
        <v>211020801</v>
      </c>
      <c r="AY411" s="10" t="s">
        <v>433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419</v>
      </c>
      <c r="M412" s="9">
        <v>1</v>
      </c>
      <c r="N412" s="9">
        <v>15</v>
      </c>
      <c r="O412" s="9" t="s">
        <v>1038</v>
      </c>
      <c r="S412" s="9" t="s">
        <v>700</v>
      </c>
      <c r="U412" s="84" t="s">
        <v>546</v>
      </c>
      <c r="V412" s="9">
        <f ca="1">IFERROR(OFFSET(ITEM_RES!$A$5,MATCH(BUILDING!U412,ITEM_RES!$J$5:$J$229,0)-1,0),0)</f>
        <v>211020401</v>
      </c>
      <c r="W412" s="11">
        <v>1</v>
      </c>
      <c r="X412" s="84" t="s">
        <v>541</v>
      </c>
      <c r="Y412" s="9">
        <f ca="1">IFERROR(OFFSET(ITEM_RES!$A$5,MATCH(BUILDING!X412,ITEM_RES!$J$5:$J$229,0)-1,0),0)</f>
        <v>211020501</v>
      </c>
      <c r="AA412" s="9" t="s">
        <v>519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432</v>
      </c>
      <c r="AU412" s="11">
        <v>1</v>
      </c>
      <c r="AX412" s="11">
        <f ca="1">IFERROR(OFFSET(ITEM_RES!$A$1,MATCH(AY412,ITEM_RES!$J:$J,0)-1,0),0)</f>
        <v>211020801</v>
      </c>
      <c r="AY412" s="10" t="s">
        <v>433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419</v>
      </c>
      <c r="M413" s="9">
        <v>1</v>
      </c>
      <c r="N413" s="9">
        <v>15</v>
      </c>
      <c r="O413" s="9" t="s">
        <v>1038</v>
      </c>
      <c r="S413" s="9" t="s">
        <v>700</v>
      </c>
      <c r="U413" s="84" t="s">
        <v>546</v>
      </c>
      <c r="V413" s="9">
        <f ca="1">IFERROR(OFFSET(ITEM_RES!$A$5,MATCH(BUILDING!U413,ITEM_RES!$J$5:$J$229,0)-1,0),0)</f>
        <v>211020401</v>
      </c>
      <c r="W413" s="11">
        <v>1</v>
      </c>
      <c r="X413" s="84" t="s">
        <v>541</v>
      </c>
      <c r="Y413" s="9">
        <f ca="1">IFERROR(OFFSET(ITEM_RES!$A$5,MATCH(BUILDING!X413,ITEM_RES!$J$5:$J$229,0)-1,0),0)</f>
        <v>211020501</v>
      </c>
      <c r="AA413" s="9" t="s">
        <v>519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432</v>
      </c>
      <c r="AU413" s="11">
        <v>1</v>
      </c>
      <c r="AX413" s="11">
        <f ca="1">IFERROR(OFFSET(ITEM_RES!$A$1,MATCH(AY413,ITEM_RES!$J:$J,0)-1,0),0)</f>
        <v>211020801</v>
      </c>
      <c r="AY413" s="10" t="s">
        <v>433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419</v>
      </c>
      <c r="M414" s="9">
        <v>1</v>
      </c>
      <c r="N414" s="9">
        <v>15</v>
      </c>
      <c r="O414" s="9" t="s">
        <v>1038</v>
      </c>
      <c r="S414" s="9" t="s">
        <v>700</v>
      </c>
      <c r="U414" s="84" t="s">
        <v>546</v>
      </c>
      <c r="V414" s="9">
        <f ca="1">IFERROR(OFFSET(ITEM_RES!$A$5,MATCH(BUILDING!U414,ITEM_RES!$J$5:$J$229,0)-1,0),0)</f>
        <v>211020401</v>
      </c>
      <c r="W414" s="11">
        <v>1</v>
      </c>
      <c r="X414" s="84" t="s">
        <v>541</v>
      </c>
      <c r="Y414" s="9">
        <f ca="1">IFERROR(OFFSET(ITEM_RES!$A$5,MATCH(BUILDING!X414,ITEM_RES!$J$5:$J$229,0)-1,0),0)</f>
        <v>211020501</v>
      </c>
      <c r="AA414" s="9" t="s">
        <v>519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432</v>
      </c>
      <c r="AU414" s="11">
        <v>1</v>
      </c>
      <c r="AX414" s="11">
        <f ca="1">IFERROR(OFFSET(ITEM_RES!$A$1,MATCH(AY414,ITEM_RES!$J:$J,0)-1,0),0)</f>
        <v>211020801</v>
      </c>
      <c r="AY414" s="10" t="s">
        <v>433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419</v>
      </c>
      <c r="M415" s="9">
        <v>1</v>
      </c>
      <c r="N415" s="9">
        <v>15</v>
      </c>
      <c r="O415" s="9" t="s">
        <v>1038</v>
      </c>
      <c r="S415" s="9" t="s">
        <v>700</v>
      </c>
      <c r="U415" s="84" t="s">
        <v>546</v>
      </c>
      <c r="V415" s="9">
        <f ca="1">IFERROR(OFFSET(ITEM_RES!$A$5,MATCH(BUILDING!U415,ITEM_RES!$J$5:$J$229,0)-1,0),0)</f>
        <v>211020401</v>
      </c>
      <c r="W415" s="11">
        <v>1</v>
      </c>
      <c r="X415" s="84" t="s">
        <v>541</v>
      </c>
      <c r="Y415" s="9">
        <f ca="1">IFERROR(OFFSET(ITEM_RES!$A$5,MATCH(BUILDING!X415,ITEM_RES!$J$5:$J$229,0)-1,0),0)</f>
        <v>211020501</v>
      </c>
      <c r="AA415" s="9" t="s">
        <v>519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432</v>
      </c>
      <c r="AU415" s="11">
        <v>1</v>
      </c>
      <c r="AX415" s="11">
        <f ca="1">IFERROR(OFFSET(ITEM_RES!$A$1,MATCH(AY415,ITEM_RES!$J:$J,0)-1,0),0)</f>
        <v>211020801</v>
      </c>
      <c r="AY415" s="10" t="s">
        <v>433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419</v>
      </c>
      <c r="M416" s="9">
        <v>1</v>
      </c>
      <c r="N416" s="9">
        <v>15</v>
      </c>
      <c r="O416" s="9" t="s">
        <v>1038</v>
      </c>
      <c r="S416" s="9" t="s">
        <v>700</v>
      </c>
      <c r="U416" s="84" t="s">
        <v>546</v>
      </c>
      <c r="V416" s="9">
        <f ca="1">IFERROR(OFFSET(ITEM_RES!$A$5,MATCH(BUILDING!U416,ITEM_RES!$J$5:$J$229,0)-1,0),0)</f>
        <v>211020401</v>
      </c>
      <c r="W416" s="11">
        <v>1</v>
      </c>
      <c r="X416" s="84" t="s">
        <v>541</v>
      </c>
      <c r="Y416" s="9">
        <f ca="1">IFERROR(OFFSET(ITEM_RES!$A$5,MATCH(BUILDING!X416,ITEM_RES!$J$5:$J$229,0)-1,0),0)</f>
        <v>211020501</v>
      </c>
      <c r="AA416" s="9" t="s">
        <v>519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432</v>
      </c>
      <c r="AU416" s="11">
        <v>1</v>
      </c>
      <c r="AX416" s="11">
        <f ca="1">IFERROR(OFFSET(ITEM_RES!$A$1,MATCH(AY416,ITEM_RES!$J:$J,0)-1,0),0)</f>
        <v>211020801</v>
      </c>
      <c r="AY416" s="10" t="s">
        <v>433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419</v>
      </c>
      <c r="M417" s="9">
        <v>1</v>
      </c>
      <c r="N417" s="9">
        <v>15</v>
      </c>
      <c r="O417" s="9" t="s">
        <v>1038</v>
      </c>
      <c r="S417" s="9" t="s">
        <v>700</v>
      </c>
      <c r="U417" s="84" t="s">
        <v>546</v>
      </c>
      <c r="V417" s="9">
        <f ca="1">IFERROR(OFFSET(ITEM_RES!$A$5,MATCH(BUILDING!U417,ITEM_RES!$J$5:$J$229,0)-1,0),0)</f>
        <v>211020401</v>
      </c>
      <c r="W417" s="11">
        <v>1</v>
      </c>
      <c r="X417" s="84" t="s">
        <v>541</v>
      </c>
      <c r="Y417" s="9">
        <f ca="1">IFERROR(OFFSET(ITEM_RES!$A$5,MATCH(BUILDING!X417,ITEM_RES!$J$5:$J$229,0)-1,0),0)</f>
        <v>211020501</v>
      </c>
      <c r="AA417" s="9" t="s">
        <v>519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432</v>
      </c>
      <c r="AU417" s="11">
        <v>1</v>
      </c>
      <c r="AX417" s="11">
        <f ca="1">IFERROR(OFFSET(ITEM_RES!$A$1,MATCH(AY417,ITEM_RES!$J:$J,0)-1,0),0)</f>
        <v>211020801</v>
      </c>
      <c r="AY417" s="10" t="s">
        <v>433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419</v>
      </c>
      <c r="M418" s="9">
        <v>1</v>
      </c>
      <c r="N418" s="9">
        <v>15</v>
      </c>
      <c r="O418" s="9" t="s">
        <v>1038</v>
      </c>
      <c r="S418" s="9" t="s">
        <v>700</v>
      </c>
      <c r="U418" s="84" t="s">
        <v>546</v>
      </c>
      <c r="V418" s="9">
        <f ca="1">IFERROR(OFFSET(ITEM_RES!$A$5,MATCH(BUILDING!U418,ITEM_RES!$J$5:$J$229,0)-1,0),0)</f>
        <v>211020401</v>
      </c>
      <c r="W418" s="11">
        <v>1</v>
      </c>
      <c r="X418" s="84" t="s">
        <v>541</v>
      </c>
      <c r="Y418" s="9">
        <f ca="1">IFERROR(OFFSET(ITEM_RES!$A$5,MATCH(BUILDING!X418,ITEM_RES!$J$5:$J$229,0)-1,0),0)</f>
        <v>211020501</v>
      </c>
      <c r="AA418" s="9" t="s">
        <v>519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432</v>
      </c>
      <c r="AU418" s="11">
        <v>1</v>
      </c>
      <c r="AX418" s="11">
        <f ca="1">IFERROR(OFFSET(ITEM_RES!$A$1,MATCH(AY418,ITEM_RES!$J:$J,0)-1,0),0)</f>
        <v>211020801</v>
      </c>
      <c r="AY418" s="10" t="s">
        <v>433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419</v>
      </c>
      <c r="M419" s="9">
        <v>1</v>
      </c>
      <c r="N419" s="9">
        <v>15</v>
      </c>
      <c r="O419" s="9" t="s">
        <v>1038</v>
      </c>
      <c r="S419" s="9" t="s">
        <v>700</v>
      </c>
      <c r="U419" s="84" t="s">
        <v>546</v>
      </c>
      <c r="V419" s="9">
        <f ca="1">IFERROR(OFFSET(ITEM_RES!$A$5,MATCH(BUILDING!U419,ITEM_RES!$J$5:$J$229,0)-1,0),0)</f>
        <v>211020401</v>
      </c>
      <c r="W419" s="11">
        <v>1</v>
      </c>
      <c r="X419" s="84" t="s">
        <v>541</v>
      </c>
      <c r="Y419" s="9">
        <f ca="1">IFERROR(OFFSET(ITEM_RES!$A$5,MATCH(BUILDING!X419,ITEM_RES!$J$5:$J$229,0)-1,0),0)</f>
        <v>211020501</v>
      </c>
      <c r="AA419" s="9" t="s">
        <v>519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430</v>
      </c>
      <c r="AU419" s="11">
        <v>1</v>
      </c>
      <c r="AX419" s="11">
        <f ca="1">IFERROR(OFFSET(ITEM_RES!$A$1,MATCH(AY419,ITEM_RES!$J:$J,0)-1,0),0)</f>
        <v>211020801</v>
      </c>
      <c r="AY419" s="10" t="s">
        <v>433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419</v>
      </c>
      <c r="M420" s="9">
        <v>0</v>
      </c>
      <c r="N420" s="9">
        <v>15</v>
      </c>
      <c r="O420" s="9" t="s">
        <v>1038</v>
      </c>
      <c r="S420" s="9" t="s">
        <v>700</v>
      </c>
      <c r="U420" s="84" t="s">
        <v>546</v>
      </c>
      <c r="V420" s="9">
        <f ca="1">IFERROR(OFFSET(ITEM_RES!$A$5,MATCH(BUILDING!U420,ITEM_RES!$J$5:$J$229,0)-1,0),0)</f>
        <v>211020401</v>
      </c>
      <c r="W420" s="11">
        <v>1</v>
      </c>
      <c r="X420" s="84" t="s">
        <v>541</v>
      </c>
      <c r="Y420" s="9">
        <f ca="1">IFERROR(OFFSET(ITEM_RES!$A$5,MATCH(BUILDING!X420,ITEM_RES!$J$5:$J$229,0)-1,0),0)</f>
        <v>211020501</v>
      </c>
      <c r="AA420" s="9" t="s">
        <v>519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430</v>
      </c>
      <c r="AU420" s="11">
        <v>1</v>
      </c>
      <c r="AX420" s="11">
        <f ca="1">IFERROR(OFFSET(ITEM_RES!$A$1,MATCH(AY420,ITEM_RES!$J:$J,0)-1,0),0)</f>
        <v>211020801</v>
      </c>
      <c r="AY420" s="10" t="s">
        <v>433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419</v>
      </c>
      <c r="M421" s="9">
        <v>0</v>
      </c>
      <c r="N421" s="9">
        <v>15</v>
      </c>
      <c r="O421" s="9" t="s">
        <v>1038</v>
      </c>
      <c r="S421" s="9" t="s">
        <v>700</v>
      </c>
      <c r="U421" s="84" t="s">
        <v>546</v>
      </c>
      <c r="V421" s="9">
        <f ca="1">IFERROR(OFFSET(ITEM_RES!$A$5,MATCH(BUILDING!U421,ITEM_RES!$J$5:$J$229,0)-1,0),0)</f>
        <v>211020401</v>
      </c>
      <c r="W421" s="11">
        <v>1</v>
      </c>
      <c r="X421" s="84" t="s">
        <v>541</v>
      </c>
      <c r="Y421" s="9">
        <f ca="1">IFERROR(OFFSET(ITEM_RES!$A$5,MATCH(BUILDING!X421,ITEM_RES!$J$5:$J$229,0)-1,0),0)</f>
        <v>211020501</v>
      </c>
      <c r="AA421" s="9" t="s">
        <v>519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430</v>
      </c>
      <c r="AU421" s="11">
        <v>1</v>
      </c>
      <c r="AX421" s="11">
        <f ca="1">IFERROR(OFFSET(ITEM_RES!$A$1,MATCH(AY421,ITEM_RES!$J:$J,0)-1,0),0)</f>
        <v>211020801</v>
      </c>
      <c r="AY421" s="10" t="s">
        <v>433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419</v>
      </c>
      <c r="M422" s="9">
        <v>0</v>
      </c>
      <c r="N422" s="9">
        <v>15</v>
      </c>
      <c r="O422" s="9" t="s">
        <v>1038</v>
      </c>
      <c r="S422" s="9" t="s">
        <v>700</v>
      </c>
      <c r="U422" s="84" t="s">
        <v>546</v>
      </c>
      <c r="V422" s="9">
        <f ca="1">IFERROR(OFFSET(ITEM_RES!$A$5,MATCH(BUILDING!U422,ITEM_RES!$J$5:$J$229,0)-1,0),0)</f>
        <v>211020401</v>
      </c>
      <c r="W422" s="11">
        <v>1</v>
      </c>
      <c r="X422" s="84" t="s">
        <v>541</v>
      </c>
      <c r="Y422" s="9">
        <f ca="1">IFERROR(OFFSET(ITEM_RES!$A$5,MATCH(BUILDING!X422,ITEM_RES!$J$5:$J$229,0)-1,0),0)</f>
        <v>211020501</v>
      </c>
      <c r="AA422" s="9" t="s">
        <v>519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430</v>
      </c>
      <c r="AU422" s="11">
        <v>1</v>
      </c>
      <c r="AX422" s="11">
        <f ca="1">IFERROR(OFFSET(ITEM_RES!$A$1,MATCH(AY422,ITEM_RES!$J:$J,0)-1,0),0)</f>
        <v>211020801</v>
      </c>
      <c r="AY422" s="10" t="s">
        <v>433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419</v>
      </c>
      <c r="M423" s="9">
        <v>0</v>
      </c>
      <c r="N423" s="9">
        <v>15</v>
      </c>
      <c r="O423" s="9" t="s">
        <v>1038</v>
      </c>
      <c r="S423" s="9" t="s">
        <v>700</v>
      </c>
      <c r="U423" s="84" t="s">
        <v>546</v>
      </c>
      <c r="V423" s="9">
        <f ca="1">IFERROR(OFFSET(ITEM_RES!$A$5,MATCH(BUILDING!U423,ITEM_RES!$J$5:$J$229,0)-1,0),0)</f>
        <v>211020401</v>
      </c>
      <c r="W423" s="11">
        <v>1</v>
      </c>
      <c r="X423" s="84" t="s">
        <v>541</v>
      </c>
      <c r="Y423" s="9">
        <f ca="1">IFERROR(OFFSET(ITEM_RES!$A$5,MATCH(BUILDING!X423,ITEM_RES!$J$5:$J$229,0)-1,0),0)</f>
        <v>211020501</v>
      </c>
      <c r="AA423" s="9" t="s">
        <v>519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430</v>
      </c>
      <c r="AU423" s="11">
        <v>1</v>
      </c>
      <c r="AX423" s="11">
        <f ca="1">IFERROR(OFFSET(ITEM_RES!$A$1,MATCH(AY423,ITEM_RES!$J:$J,0)-1,0),0)</f>
        <v>211020801</v>
      </c>
      <c r="AY423" s="10" t="s">
        <v>433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419</v>
      </c>
      <c r="M424" s="9">
        <v>0</v>
      </c>
      <c r="N424" s="9">
        <v>15</v>
      </c>
      <c r="O424" s="9" t="s">
        <v>1038</v>
      </c>
      <c r="S424" s="9" t="s">
        <v>700</v>
      </c>
      <c r="U424" s="84" t="s">
        <v>546</v>
      </c>
      <c r="V424" s="9">
        <f ca="1">IFERROR(OFFSET(ITEM_RES!$A$5,MATCH(BUILDING!U424,ITEM_RES!$J$5:$J$229,0)-1,0),0)</f>
        <v>211020401</v>
      </c>
      <c r="W424" s="11">
        <v>1</v>
      </c>
      <c r="X424" s="84" t="s">
        <v>541</v>
      </c>
      <c r="Y424" s="9">
        <f ca="1">IFERROR(OFFSET(ITEM_RES!$A$5,MATCH(BUILDING!X424,ITEM_RES!$J$5:$J$229,0)-1,0),0)</f>
        <v>211020501</v>
      </c>
      <c r="AA424" s="9" t="s">
        <v>519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430</v>
      </c>
      <c r="AU424" s="11">
        <v>1</v>
      </c>
      <c r="AX424" s="11">
        <f ca="1">IFERROR(OFFSET(ITEM_RES!$A$1,MATCH(AY424,ITEM_RES!$J:$J,0)-1,0),0)</f>
        <v>211020801</v>
      </c>
      <c r="AY424" s="10" t="s">
        <v>433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525</v>
      </c>
      <c r="L425" s="16">
        <v>6</v>
      </c>
      <c r="M425" s="16">
        <v>1</v>
      </c>
      <c r="N425" s="16">
        <v>15</v>
      </c>
      <c r="O425" s="16" t="s">
        <v>1152</v>
      </c>
      <c r="P425" s="17"/>
      <c r="Q425" s="17"/>
      <c r="R425" s="18"/>
      <c r="S425" s="16" t="s">
        <v>696</v>
      </c>
      <c r="T425" s="78"/>
      <c r="U425" s="86" t="s">
        <v>540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542</v>
      </c>
      <c r="Y425" s="16">
        <f ca="1">IFERROR(OFFSET(ITEM_RES!$A$5,MATCH(BUILDING!X425,ITEM_RES!$J$5:$J$229,0)-1,0),0)</f>
        <v>211020301</v>
      </c>
      <c r="Z425" s="78"/>
      <c r="AA425" s="16" t="s">
        <v>520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427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432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447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1152</v>
      </c>
      <c r="S426" s="9" t="s">
        <v>696</v>
      </c>
      <c r="U426" s="84" t="s">
        <v>540</v>
      </c>
      <c r="V426" s="9">
        <f ca="1">IFERROR(OFFSET(ITEM_RES!$A$5,MATCH(BUILDING!U426,ITEM_RES!$J$5:$J$229,0)-1,0),0)</f>
        <v>211020201</v>
      </c>
      <c r="W426" s="11">
        <v>1</v>
      </c>
      <c r="X426" s="84" t="s">
        <v>542</v>
      </c>
      <c r="Y426" s="9">
        <f ca="1">IFERROR(OFFSET(ITEM_RES!$A$5,MATCH(BUILDING!X426,ITEM_RES!$J$5:$J$229,0)-1,0),0)</f>
        <v>211020301</v>
      </c>
      <c r="AA426" s="9" t="s">
        <v>520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427</v>
      </c>
      <c r="AU426" s="11">
        <v>20</v>
      </c>
      <c r="AX426" s="11">
        <f ca="1">IFERROR(OFFSET(ITEM_RES!$A$1,MATCH(AY426,ITEM_RES!$J:$J,0)-1,0),0)</f>
        <v>211020401</v>
      </c>
      <c r="AY426" s="10" t="s">
        <v>432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1153</v>
      </c>
      <c r="S427" s="9" t="s">
        <v>696</v>
      </c>
      <c r="U427" s="84" t="s">
        <v>540</v>
      </c>
      <c r="V427" s="9">
        <f ca="1">IFERROR(OFFSET(ITEM_RES!$A$5,MATCH(BUILDING!U427,ITEM_RES!$J$5:$J$229,0)-1,0),0)</f>
        <v>211020201</v>
      </c>
      <c r="W427" s="11">
        <v>1</v>
      </c>
      <c r="X427" s="84" t="s">
        <v>542</v>
      </c>
      <c r="Y427" s="9">
        <f ca="1">IFERROR(OFFSET(ITEM_RES!$A$5,MATCH(BUILDING!X427,ITEM_RES!$J$5:$J$229,0)-1,0),0)</f>
        <v>211020301</v>
      </c>
      <c r="AA427" s="9" t="s">
        <v>520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427</v>
      </c>
      <c r="AU427" s="11">
        <v>160</v>
      </c>
      <c r="AX427" s="11">
        <f ca="1">IFERROR(OFFSET(ITEM_RES!$A$1,MATCH(AY427,ITEM_RES!$J:$J,0)-1,0),0)</f>
        <v>211020401</v>
      </c>
      <c r="AY427" s="10" t="s">
        <v>432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1154</v>
      </c>
      <c r="S428" s="9" t="s">
        <v>696</v>
      </c>
      <c r="U428" s="84" t="s">
        <v>540</v>
      </c>
      <c r="V428" s="9">
        <f ca="1">IFERROR(OFFSET(ITEM_RES!$A$5,MATCH(BUILDING!U428,ITEM_RES!$J$5:$J$229,0)-1,0),0)</f>
        <v>211020201</v>
      </c>
      <c r="W428" s="11">
        <v>1</v>
      </c>
      <c r="X428" s="84" t="s">
        <v>542</v>
      </c>
      <c r="Y428" s="9">
        <f ca="1">IFERROR(OFFSET(ITEM_RES!$A$5,MATCH(BUILDING!X428,ITEM_RES!$J$5:$J$229,0)-1,0),0)</f>
        <v>211020301</v>
      </c>
      <c r="AA428" s="9" t="s">
        <v>520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427</v>
      </c>
      <c r="AU428" s="11">
        <v>1920</v>
      </c>
      <c r="AX428" s="11">
        <f ca="1">IFERROR(OFFSET(ITEM_RES!$A$1,MATCH(AY428,ITEM_RES!$J:$J,0)-1,0),0)</f>
        <v>211020401</v>
      </c>
      <c r="AY428" s="10" t="s">
        <v>432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1155</v>
      </c>
      <c r="S429" s="9" t="s">
        <v>696</v>
      </c>
      <c r="U429" s="84" t="s">
        <v>540</v>
      </c>
      <c r="V429" s="9">
        <f ca="1">IFERROR(OFFSET(ITEM_RES!$A$5,MATCH(BUILDING!U429,ITEM_RES!$J$5:$J$229,0)-1,0),0)</f>
        <v>211020201</v>
      </c>
      <c r="W429" s="11">
        <v>1</v>
      </c>
      <c r="X429" s="84" t="s">
        <v>542</v>
      </c>
      <c r="Y429" s="9">
        <f ca="1">IFERROR(OFFSET(ITEM_RES!$A$5,MATCH(BUILDING!X429,ITEM_RES!$J$5:$J$229,0)-1,0),0)</f>
        <v>211020301</v>
      </c>
      <c r="AA429" s="9" t="s">
        <v>520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427</v>
      </c>
      <c r="AU429" s="11">
        <v>26000</v>
      </c>
      <c r="AX429" s="11">
        <f ca="1">IFERROR(OFFSET(ITEM_RES!$A$1,MATCH(AY429,ITEM_RES!$J:$J,0)-1,0),0)</f>
        <v>211020401</v>
      </c>
      <c r="AY429" s="10" t="s">
        <v>432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1156</v>
      </c>
      <c r="S430" s="9" t="s">
        <v>696</v>
      </c>
      <c r="U430" s="84" t="s">
        <v>540</v>
      </c>
      <c r="V430" s="9">
        <f ca="1">IFERROR(OFFSET(ITEM_RES!$A$5,MATCH(BUILDING!U430,ITEM_RES!$J$5:$J$229,0)-1,0),0)</f>
        <v>211020201</v>
      </c>
      <c r="W430" s="11">
        <v>1</v>
      </c>
      <c r="X430" s="84" t="s">
        <v>542</v>
      </c>
      <c r="Y430" s="9">
        <f ca="1">IFERROR(OFFSET(ITEM_RES!$A$5,MATCH(BUILDING!X430,ITEM_RES!$J$5:$J$229,0)-1,0),0)</f>
        <v>211020301</v>
      </c>
      <c r="AA430" s="9" t="s">
        <v>520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427</v>
      </c>
      <c r="AU430" s="11">
        <v>240000</v>
      </c>
      <c r="AX430" s="11">
        <f ca="1">IFERROR(OFFSET(ITEM_RES!$A$1,MATCH(AY430,ITEM_RES!$J:$J,0)-1,0),0)</f>
        <v>211020401</v>
      </c>
      <c r="AY430" s="10" t="s">
        <v>432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1157</v>
      </c>
      <c r="S431" s="9" t="s">
        <v>696</v>
      </c>
      <c r="U431" s="84" t="s">
        <v>540</v>
      </c>
      <c r="V431" s="9">
        <f ca="1">IFERROR(OFFSET(ITEM_RES!$A$5,MATCH(BUILDING!U431,ITEM_RES!$J$5:$J$229,0)-1,0),0)</f>
        <v>211020201</v>
      </c>
      <c r="W431" s="11">
        <v>1</v>
      </c>
      <c r="X431" s="84" t="s">
        <v>542</v>
      </c>
      <c r="Y431" s="9">
        <f ca="1">IFERROR(OFFSET(ITEM_RES!$A$5,MATCH(BUILDING!X431,ITEM_RES!$J$5:$J$229,0)-1,0),0)</f>
        <v>211020301</v>
      </c>
      <c r="AA431" s="9" t="s">
        <v>520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427</v>
      </c>
      <c r="AU431" s="11">
        <v>540000</v>
      </c>
      <c r="AX431" s="11">
        <f ca="1">IFERROR(OFFSET(ITEM_RES!$A$1,MATCH(AY431,ITEM_RES!$J:$J,0)-1,0),0)</f>
        <v>211020401</v>
      </c>
      <c r="AY431" s="10" t="s">
        <v>432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1157</v>
      </c>
      <c r="S432" s="9" t="s">
        <v>696</v>
      </c>
      <c r="U432" s="84" t="s">
        <v>540</v>
      </c>
      <c r="V432" s="9">
        <f ca="1">IFERROR(OFFSET(ITEM_RES!$A$5,MATCH(BUILDING!U432,ITEM_RES!$J$5:$J$229,0)-1,0),0)</f>
        <v>211020201</v>
      </c>
      <c r="W432" s="11">
        <v>1</v>
      </c>
      <c r="X432" s="84" t="s">
        <v>542</v>
      </c>
      <c r="Y432" s="9">
        <f ca="1">IFERROR(OFFSET(ITEM_RES!$A$5,MATCH(BUILDING!X432,ITEM_RES!$J$5:$J$229,0)-1,0),0)</f>
        <v>211020301</v>
      </c>
      <c r="AA432" s="9" t="s">
        <v>520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427</v>
      </c>
      <c r="AU432" s="11">
        <v>1000000</v>
      </c>
      <c r="AX432" s="11">
        <f ca="1">IFERROR(OFFSET(ITEM_RES!$A$1,MATCH(AY432,ITEM_RES!$J:$J,0)-1,0),0)</f>
        <v>211020401</v>
      </c>
      <c r="AY432" s="10" t="s">
        <v>432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1157</v>
      </c>
      <c r="S433" s="9" t="s">
        <v>696</v>
      </c>
      <c r="U433" s="84" t="s">
        <v>540</v>
      </c>
      <c r="V433" s="9">
        <f ca="1">IFERROR(OFFSET(ITEM_RES!$A$5,MATCH(BUILDING!U433,ITEM_RES!$J$5:$J$229,0)-1,0),0)</f>
        <v>211020201</v>
      </c>
      <c r="W433" s="11">
        <v>1</v>
      </c>
      <c r="X433" s="84" t="s">
        <v>542</v>
      </c>
      <c r="Y433" s="9">
        <f ca="1">IFERROR(OFFSET(ITEM_RES!$A$5,MATCH(BUILDING!X433,ITEM_RES!$J$5:$J$229,0)-1,0),0)</f>
        <v>211020301</v>
      </c>
      <c r="AA433" s="9" t="s">
        <v>520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427</v>
      </c>
      <c r="AU433" s="11">
        <v>1580000</v>
      </c>
      <c r="AX433" s="11">
        <f ca="1">IFERROR(OFFSET(ITEM_RES!$A$1,MATCH(AY433,ITEM_RES!$J:$J,0)-1,0),0)</f>
        <v>211020401</v>
      </c>
      <c r="AY433" s="10" t="s">
        <v>432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1157</v>
      </c>
      <c r="S434" s="9" t="s">
        <v>696</v>
      </c>
      <c r="U434" s="84" t="s">
        <v>540</v>
      </c>
      <c r="V434" s="9">
        <f ca="1">IFERROR(OFFSET(ITEM_RES!$A$5,MATCH(BUILDING!U434,ITEM_RES!$J$5:$J$229,0)-1,0),0)</f>
        <v>211020201</v>
      </c>
      <c r="W434" s="11">
        <v>1</v>
      </c>
      <c r="X434" s="84" t="s">
        <v>542</v>
      </c>
      <c r="Y434" s="9">
        <f ca="1">IFERROR(OFFSET(ITEM_RES!$A$5,MATCH(BUILDING!X434,ITEM_RES!$J$5:$J$229,0)-1,0),0)</f>
        <v>211020301</v>
      </c>
      <c r="AA434" s="9" t="s">
        <v>520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427</v>
      </c>
      <c r="AU434" s="11">
        <v>2200000</v>
      </c>
      <c r="AX434" s="11">
        <f ca="1">IFERROR(OFFSET(ITEM_RES!$A$1,MATCH(AY434,ITEM_RES!$J:$J,0)-1,0),0)</f>
        <v>211020401</v>
      </c>
      <c r="AY434" s="10" t="s">
        <v>432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1157</v>
      </c>
      <c r="S435" s="9" t="s">
        <v>696</v>
      </c>
      <c r="U435" s="84" t="s">
        <v>540</v>
      </c>
      <c r="V435" s="9">
        <f ca="1">IFERROR(OFFSET(ITEM_RES!$A$5,MATCH(BUILDING!U435,ITEM_RES!$J$5:$J$229,0)-1,0),0)</f>
        <v>211020201</v>
      </c>
      <c r="W435" s="11">
        <v>1</v>
      </c>
      <c r="X435" s="84" t="s">
        <v>542</v>
      </c>
      <c r="Y435" s="9">
        <f ca="1">IFERROR(OFFSET(ITEM_RES!$A$5,MATCH(BUILDING!X435,ITEM_RES!$J$5:$J$229,0)-1,0),0)</f>
        <v>211020301</v>
      </c>
      <c r="AA435" s="9" t="s">
        <v>520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427</v>
      </c>
      <c r="AU435" s="11">
        <v>4400000</v>
      </c>
      <c r="AX435" s="11">
        <f ca="1">IFERROR(OFFSET(ITEM_RES!$A$1,MATCH(AY435,ITEM_RES!$J:$J,0)-1,0),0)</f>
        <v>211020401</v>
      </c>
      <c r="AY435" s="10" t="s">
        <v>432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462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1157</v>
      </c>
      <c r="S436" s="9" t="s">
        <v>696</v>
      </c>
      <c r="U436" s="84" t="s">
        <v>540</v>
      </c>
      <c r="V436" s="9">
        <f ca="1">IFERROR(OFFSET(ITEM_RES!$A$5,MATCH(BUILDING!U436,ITEM_RES!$J$5:$J$229,0)-1,0),0)</f>
        <v>211020201</v>
      </c>
      <c r="W436" s="11">
        <v>1</v>
      </c>
      <c r="X436" s="84" t="s">
        <v>542</v>
      </c>
      <c r="Y436" s="9">
        <f ca="1">IFERROR(OFFSET(ITEM_RES!$A$5,MATCH(BUILDING!X436,ITEM_RES!$J$5:$J$229,0)-1,0),0)</f>
        <v>211020301</v>
      </c>
      <c r="AA436" s="9" t="s">
        <v>520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427</v>
      </c>
      <c r="AU436" s="11">
        <v>5200000</v>
      </c>
      <c r="AX436" s="11">
        <f ca="1">IFERROR(OFFSET(ITEM_RES!$A$1,MATCH(AY436,ITEM_RES!$J:$J,0)-1,0),0)</f>
        <v>211020401</v>
      </c>
      <c r="AY436" s="10" t="s">
        <v>432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1157</v>
      </c>
      <c r="S437" s="9" t="s">
        <v>696</v>
      </c>
      <c r="U437" s="84" t="s">
        <v>540</v>
      </c>
      <c r="V437" s="9">
        <f ca="1">IFERROR(OFFSET(ITEM_RES!$A$5,MATCH(BUILDING!U437,ITEM_RES!$J$5:$J$229,0)-1,0),0)</f>
        <v>211020201</v>
      </c>
      <c r="W437" s="11">
        <v>1</v>
      </c>
      <c r="X437" s="84" t="s">
        <v>542</v>
      </c>
      <c r="Y437" s="9">
        <f ca="1">IFERROR(OFFSET(ITEM_RES!$A$5,MATCH(BUILDING!X437,ITEM_RES!$J$5:$J$229,0)-1,0),0)</f>
        <v>211020301</v>
      </c>
      <c r="AA437" s="9" t="s">
        <v>520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427</v>
      </c>
      <c r="AU437" s="11">
        <v>8600000</v>
      </c>
      <c r="AX437" s="11">
        <f ca="1">IFERROR(OFFSET(ITEM_RES!$A$1,MATCH(AY437,ITEM_RES!$J:$J,0)-1,0),0)</f>
        <v>211020401</v>
      </c>
      <c r="AY437" s="10" t="s">
        <v>432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1157</v>
      </c>
      <c r="S438" s="9" t="s">
        <v>696</v>
      </c>
      <c r="U438" s="84" t="s">
        <v>540</v>
      </c>
      <c r="V438" s="9">
        <f ca="1">IFERROR(OFFSET(ITEM_RES!$A$5,MATCH(BUILDING!U438,ITEM_RES!$J$5:$J$229,0)-1,0),0)</f>
        <v>211020201</v>
      </c>
      <c r="W438" s="11">
        <v>1</v>
      </c>
      <c r="X438" s="84" t="s">
        <v>542</v>
      </c>
      <c r="Y438" s="9">
        <f ca="1">IFERROR(OFFSET(ITEM_RES!$A$5,MATCH(BUILDING!X438,ITEM_RES!$J$5:$J$229,0)-1,0),0)</f>
        <v>211020301</v>
      </c>
      <c r="AA438" s="9" t="s">
        <v>520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1089</v>
      </c>
      <c r="AU438" s="11">
        <v>13200000</v>
      </c>
      <c r="AX438" s="11">
        <f ca="1">IFERROR(OFFSET(ITEM_RES!$A$1,MATCH(AY438,ITEM_RES!$J:$J,0)-1,0),0)</f>
        <v>211020401</v>
      </c>
      <c r="AY438" s="10" t="s">
        <v>432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1157</v>
      </c>
      <c r="S439" s="9" t="s">
        <v>696</v>
      </c>
      <c r="U439" s="84" t="s">
        <v>540</v>
      </c>
      <c r="V439" s="9">
        <f ca="1">IFERROR(OFFSET(ITEM_RES!$A$5,MATCH(BUILDING!U439,ITEM_RES!$J$5:$J$229,0)-1,0),0)</f>
        <v>211020201</v>
      </c>
      <c r="W439" s="11">
        <v>1</v>
      </c>
      <c r="X439" s="84" t="s">
        <v>542</v>
      </c>
      <c r="Y439" s="9">
        <f ca="1">IFERROR(OFFSET(ITEM_RES!$A$5,MATCH(BUILDING!X439,ITEM_RES!$J$5:$J$229,0)-1,0),0)</f>
        <v>211020301</v>
      </c>
      <c r="AA439" s="9" t="s">
        <v>520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1089</v>
      </c>
      <c r="AU439" s="11">
        <v>22000000</v>
      </c>
      <c r="AX439" s="11">
        <f ca="1">IFERROR(OFFSET(ITEM_RES!$A$1,MATCH(AY439,ITEM_RES!$J:$J,0)-1,0),0)</f>
        <v>211020501</v>
      </c>
      <c r="AY439" s="10" t="s">
        <v>422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1157</v>
      </c>
      <c r="S440" s="9" t="s">
        <v>696</v>
      </c>
      <c r="U440" s="84" t="s">
        <v>540</v>
      </c>
      <c r="V440" s="9">
        <f ca="1">IFERROR(OFFSET(ITEM_RES!$A$5,MATCH(BUILDING!U440,ITEM_RES!$J$5:$J$229,0)-1,0),0)</f>
        <v>211020201</v>
      </c>
      <c r="W440" s="11">
        <v>1</v>
      </c>
      <c r="X440" s="84" t="s">
        <v>542</v>
      </c>
      <c r="Y440" s="9">
        <f ca="1">IFERROR(OFFSET(ITEM_RES!$A$5,MATCH(BUILDING!X440,ITEM_RES!$J$5:$J$229,0)-1,0),0)</f>
        <v>211020301</v>
      </c>
      <c r="AA440" s="9" t="s">
        <v>520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1089</v>
      </c>
      <c r="AU440" s="11">
        <v>30000000</v>
      </c>
      <c r="AX440" s="11">
        <f ca="1">IFERROR(OFFSET(ITEM_RES!$A$1,MATCH(AY440,ITEM_RES!$J:$J,0)-1,0),0)</f>
        <v>211020501</v>
      </c>
      <c r="AY440" s="10" t="s">
        <v>422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1157</v>
      </c>
      <c r="S441" s="9" t="s">
        <v>696</v>
      </c>
      <c r="U441" s="84" t="s">
        <v>540</v>
      </c>
      <c r="V441" s="9">
        <f ca="1">IFERROR(OFFSET(ITEM_RES!$A$5,MATCH(BUILDING!U441,ITEM_RES!$J$5:$J$229,0)-1,0),0)</f>
        <v>211020201</v>
      </c>
      <c r="W441" s="11">
        <v>1</v>
      </c>
      <c r="X441" s="84" t="s">
        <v>542</v>
      </c>
      <c r="Y441" s="9">
        <f ca="1">IFERROR(OFFSET(ITEM_RES!$A$5,MATCH(BUILDING!X441,ITEM_RES!$J$5:$J$229,0)-1,0),0)</f>
        <v>211020301</v>
      </c>
      <c r="AA441" s="9" t="s">
        <v>520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1089</v>
      </c>
      <c r="AU441" s="11">
        <v>46000000</v>
      </c>
      <c r="AX441" s="11">
        <f ca="1">IFERROR(OFFSET(ITEM_RES!$A$1,MATCH(AY441,ITEM_RES!$J:$J,0)-1,0),0)</f>
        <v>211020501</v>
      </c>
      <c r="AY441" s="10" t="s">
        <v>422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1157</v>
      </c>
      <c r="S442" s="9" t="s">
        <v>696</v>
      </c>
      <c r="U442" s="84" t="s">
        <v>540</v>
      </c>
      <c r="V442" s="9">
        <f ca="1">IFERROR(OFFSET(ITEM_RES!$A$5,MATCH(BUILDING!U442,ITEM_RES!$J$5:$J$229,0)-1,0),0)</f>
        <v>211020201</v>
      </c>
      <c r="W442" s="11">
        <v>1</v>
      </c>
      <c r="X442" s="84" t="s">
        <v>542</v>
      </c>
      <c r="Y442" s="9">
        <f ca="1">IFERROR(OFFSET(ITEM_RES!$A$5,MATCH(BUILDING!X442,ITEM_RES!$J$5:$J$229,0)-1,0),0)</f>
        <v>211020301</v>
      </c>
      <c r="AA442" s="9" t="s">
        <v>520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1089</v>
      </c>
      <c r="AU442" s="11">
        <v>70000000</v>
      </c>
      <c r="AX442" s="11">
        <f ca="1">IFERROR(OFFSET(ITEM_RES!$A$1,MATCH(AY442,ITEM_RES!$J:$J,0)-1,0),0)</f>
        <v>211020501</v>
      </c>
      <c r="AY442" s="10" t="s">
        <v>422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1157</v>
      </c>
      <c r="S443" s="9" t="s">
        <v>696</v>
      </c>
      <c r="U443" s="84" t="s">
        <v>540</v>
      </c>
      <c r="V443" s="9">
        <f ca="1">IFERROR(OFFSET(ITEM_RES!$A$5,MATCH(BUILDING!U443,ITEM_RES!$J$5:$J$229,0)-1,0),0)</f>
        <v>211020201</v>
      </c>
      <c r="W443" s="11">
        <v>1</v>
      </c>
      <c r="X443" s="84" t="s">
        <v>542</v>
      </c>
      <c r="Y443" s="9">
        <f ca="1">IFERROR(OFFSET(ITEM_RES!$A$5,MATCH(BUILDING!X443,ITEM_RES!$J$5:$J$229,0)-1,0),0)</f>
        <v>211020301</v>
      </c>
      <c r="AA443" s="9" t="s">
        <v>520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1089</v>
      </c>
      <c r="AU443" s="11">
        <v>96000000</v>
      </c>
      <c r="AX443" s="11">
        <f ca="1">IFERROR(OFFSET(ITEM_RES!$A$1,MATCH(AY443,ITEM_RES!$J:$J,0)-1,0),0)</f>
        <v>211020501</v>
      </c>
      <c r="AY443" s="10" t="s">
        <v>422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1157</v>
      </c>
      <c r="S444" s="9" t="s">
        <v>696</v>
      </c>
      <c r="U444" s="84" t="s">
        <v>540</v>
      </c>
      <c r="V444" s="9">
        <f ca="1">IFERROR(OFFSET(ITEM_RES!$A$5,MATCH(BUILDING!U444,ITEM_RES!$J$5:$J$229,0)-1,0),0)</f>
        <v>211020201</v>
      </c>
      <c r="W444" s="11">
        <v>1</v>
      </c>
      <c r="X444" s="84" t="s">
        <v>542</v>
      </c>
      <c r="Y444" s="9">
        <f ca="1">IFERROR(OFFSET(ITEM_RES!$A$5,MATCH(BUILDING!X444,ITEM_RES!$J$5:$J$229,0)-1,0),0)</f>
        <v>211020301</v>
      </c>
      <c r="AA444" s="9" t="s">
        <v>520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1089</v>
      </c>
      <c r="AU444" s="11">
        <v>152000000</v>
      </c>
      <c r="AX444" s="11">
        <f ca="1">IFERROR(OFFSET(ITEM_RES!$A$1,MATCH(AY444,ITEM_RES!$J:$J,0)-1,0),0)</f>
        <v>211020501</v>
      </c>
      <c r="AY444" s="10" t="s">
        <v>422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434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697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521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432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447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434</v>
      </c>
      <c r="M446" s="9">
        <v>1</v>
      </c>
      <c r="N446" s="9">
        <v>15</v>
      </c>
      <c r="O446" s="141"/>
      <c r="S446" s="9" t="s">
        <v>697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521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432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434</v>
      </c>
      <c r="M447" s="9">
        <v>1</v>
      </c>
      <c r="N447" s="9">
        <v>15</v>
      </c>
      <c r="O447" s="141"/>
      <c r="S447" s="9" t="s">
        <v>697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521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432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434</v>
      </c>
      <c r="M448" s="9">
        <v>1</v>
      </c>
      <c r="N448" s="9">
        <v>15</v>
      </c>
      <c r="O448" s="141"/>
      <c r="S448" s="9" t="s">
        <v>697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521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432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434</v>
      </c>
      <c r="M449" s="9">
        <v>1</v>
      </c>
      <c r="N449" s="9">
        <v>15</v>
      </c>
      <c r="O449" s="141"/>
      <c r="S449" s="9" t="s">
        <v>697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521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432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434</v>
      </c>
      <c r="M450" s="9">
        <v>1</v>
      </c>
      <c r="N450" s="9">
        <v>15</v>
      </c>
      <c r="O450" s="141"/>
      <c r="S450" s="9" t="s">
        <v>697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521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432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434</v>
      </c>
      <c r="M451" s="9">
        <v>1</v>
      </c>
      <c r="N451" s="9">
        <v>15</v>
      </c>
      <c r="O451" s="141"/>
      <c r="S451" s="9" t="s">
        <v>697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521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432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698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521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430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698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521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430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698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521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430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698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521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430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698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521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430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698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521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430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465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698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521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430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698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521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430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698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521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430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698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521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430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698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521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430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698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521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430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698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521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430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1160</v>
      </c>
      <c r="P465" s="17"/>
      <c r="Q465" s="17"/>
      <c r="R465" s="18"/>
      <c r="S465" s="16" t="s">
        <v>699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522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433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1082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447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1158</v>
      </c>
      <c r="S466" s="9" t="s">
        <v>699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522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433</v>
      </c>
      <c r="AU466" s="11">
        <v>1</v>
      </c>
      <c r="AX466" s="11">
        <f ca="1">IFERROR(OFFSET(ITEM_RES!$A$1,MATCH(AY466,ITEM_RES!$J:$J,0)-1,0),0)</f>
        <v>211020401</v>
      </c>
      <c r="AY466" s="10" t="s">
        <v>1082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1159</v>
      </c>
      <c r="S467" s="9" t="s">
        <v>699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522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433</v>
      </c>
      <c r="AU467" s="11">
        <v>1</v>
      </c>
      <c r="AX467" s="11">
        <f ca="1">IFERROR(OFFSET(ITEM_RES!$A$1,MATCH(AY467,ITEM_RES!$J:$J,0)-1,0),0)</f>
        <v>211020401</v>
      </c>
      <c r="AY467" s="10" t="s">
        <v>1082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1159</v>
      </c>
      <c r="S468" s="9" t="s">
        <v>699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522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433</v>
      </c>
      <c r="AU468" s="11">
        <v>1</v>
      </c>
      <c r="AX468" s="11">
        <f ca="1">IFERROR(OFFSET(ITEM_RES!$A$1,MATCH(AY468,ITEM_RES!$J:$J,0)-1,0),0)</f>
        <v>211020401</v>
      </c>
      <c r="AY468" s="10" t="s">
        <v>1082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1161</v>
      </c>
      <c r="S469" s="9" t="s">
        <v>699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522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433</v>
      </c>
      <c r="AU469" s="11">
        <v>1</v>
      </c>
      <c r="AX469" s="11">
        <f ca="1">IFERROR(OFFSET(ITEM_RES!$A$1,MATCH(AY469,ITEM_RES!$J:$J,0)-1,0),0)</f>
        <v>211020401</v>
      </c>
      <c r="AY469" s="10" t="s">
        <v>1082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1161</v>
      </c>
      <c r="S470" s="9" t="s">
        <v>699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522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441</v>
      </c>
      <c r="AU470" s="11">
        <v>1</v>
      </c>
      <c r="AX470" s="11">
        <f ca="1">IFERROR(OFFSET(ITEM_RES!$A$1,MATCH(AY470,ITEM_RES!$J:$J,0)-1,0),0)</f>
        <v>211020401</v>
      </c>
      <c r="AY470" s="10" t="s">
        <v>1082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1162</v>
      </c>
      <c r="S471" s="9" t="s">
        <v>699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522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433</v>
      </c>
      <c r="AU471" s="11">
        <v>1</v>
      </c>
      <c r="AX471" s="11">
        <f ca="1">IFERROR(OFFSET(ITEM_RES!$A$1,MATCH(AY471,ITEM_RES!$J:$J,0)-1,0),0)</f>
        <v>211020401</v>
      </c>
      <c r="AY471" s="10" t="s">
        <v>1082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1162</v>
      </c>
      <c r="S472" s="9" t="s">
        <v>699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522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433</v>
      </c>
      <c r="AU472" s="11">
        <v>1</v>
      </c>
      <c r="AX472" s="11">
        <f ca="1">IFERROR(OFFSET(ITEM_RES!$A$1,MATCH(AY472,ITEM_RES!$J:$J,0)-1,0),0)</f>
        <v>211020401</v>
      </c>
      <c r="AY472" s="10" t="s">
        <v>1082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1162</v>
      </c>
      <c r="S473" s="9" t="s">
        <v>699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522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442</v>
      </c>
      <c r="AU473" s="11">
        <v>1</v>
      </c>
      <c r="AX473" s="11">
        <f ca="1">IFERROR(OFFSET(ITEM_RES!$A$1,MATCH(AY473,ITEM_RES!$J:$J,0)-1,0),0)</f>
        <v>211020401</v>
      </c>
      <c r="AY473" s="10" t="s">
        <v>1082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1162</v>
      </c>
      <c r="S474" s="9" t="s">
        <v>699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522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442</v>
      </c>
      <c r="AU474" s="11">
        <v>1</v>
      </c>
      <c r="AX474" s="11">
        <f ca="1">IFERROR(OFFSET(ITEM_RES!$A$1,MATCH(AY474,ITEM_RES!$J:$J,0)-1,0),0)</f>
        <v>211020401</v>
      </c>
      <c r="AY474" s="10" t="s">
        <v>1082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1162</v>
      </c>
      <c r="S475" s="9" t="s">
        <v>699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522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442</v>
      </c>
      <c r="AU475" s="11">
        <v>1</v>
      </c>
      <c r="AX475" s="11">
        <f ca="1">IFERROR(OFFSET(ITEM_RES!$A$1,MATCH(AY475,ITEM_RES!$J:$J,0)-1,0),0)</f>
        <v>211020401</v>
      </c>
      <c r="AY475" s="10" t="s">
        <v>1082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1162</v>
      </c>
      <c r="S476" s="9" t="s">
        <v>699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522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442</v>
      </c>
      <c r="AU476" s="11">
        <v>1</v>
      </c>
      <c r="AX476" s="11">
        <f ca="1">IFERROR(OFFSET(ITEM_RES!$A$1,MATCH(AY476,ITEM_RES!$J:$J,0)-1,0),0)</f>
        <v>211020401</v>
      </c>
      <c r="AY476" s="10" t="s">
        <v>1082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466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1162</v>
      </c>
      <c r="S477" s="9" t="s">
        <v>699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522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442</v>
      </c>
      <c r="AU477" s="11">
        <v>1</v>
      </c>
      <c r="AX477" s="11">
        <f ca="1">IFERROR(OFFSET(ITEM_RES!$A$1,MATCH(AY477,ITEM_RES!$J:$J,0)-1,0),0)</f>
        <v>211020401</v>
      </c>
      <c r="AY477" s="10" t="s">
        <v>1082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1162</v>
      </c>
      <c r="S478" s="9" t="s">
        <v>699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522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442</v>
      </c>
      <c r="AU478" s="11">
        <v>1</v>
      </c>
      <c r="AX478" s="11">
        <f ca="1">IFERROR(OFFSET(ITEM_RES!$A$1,MATCH(AY478,ITEM_RES!$J:$J,0)-1,0),0)</f>
        <v>211020501</v>
      </c>
      <c r="AY478" s="10" t="s">
        <v>1086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1162</v>
      </c>
      <c r="S479" s="9" t="s">
        <v>699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522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442</v>
      </c>
      <c r="AU479" s="11">
        <v>1</v>
      </c>
      <c r="AX479" s="11">
        <f ca="1">IFERROR(OFFSET(ITEM_RES!$A$1,MATCH(AY479,ITEM_RES!$J:$J,0)-1,0),0)</f>
        <v>211020501</v>
      </c>
      <c r="AY479" s="10" t="s">
        <v>1086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1162</v>
      </c>
      <c r="S480" s="9" t="s">
        <v>699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522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442</v>
      </c>
      <c r="AU480" s="11">
        <v>1</v>
      </c>
      <c r="AX480" s="11">
        <f ca="1">IFERROR(OFFSET(ITEM_RES!$A$1,MATCH(AY480,ITEM_RES!$J:$J,0)-1,0),0)</f>
        <v>211020501</v>
      </c>
      <c r="AY480" s="10" t="s">
        <v>1086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1162</v>
      </c>
      <c r="S481" s="9" t="s">
        <v>699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522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442</v>
      </c>
      <c r="AU481" s="11">
        <v>1</v>
      </c>
      <c r="AX481" s="11">
        <f ca="1">IFERROR(OFFSET(ITEM_RES!$A$1,MATCH(AY481,ITEM_RES!$J:$J,0)-1,0),0)</f>
        <v>211020501</v>
      </c>
      <c r="AY481" s="10" t="s">
        <v>1086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1162</v>
      </c>
      <c r="S482" s="9" t="s">
        <v>699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522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442</v>
      </c>
      <c r="AU482" s="11">
        <v>1</v>
      </c>
      <c r="AX482" s="11">
        <f ca="1">IFERROR(OFFSET(ITEM_RES!$A$1,MATCH(AY482,ITEM_RES!$J:$J,0)-1,0),0)</f>
        <v>211020501</v>
      </c>
      <c r="AY482" s="10" t="s">
        <v>1086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1162</v>
      </c>
      <c r="S483" s="9" t="s">
        <v>699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522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442</v>
      </c>
      <c r="AU483" s="11">
        <v>1</v>
      </c>
      <c r="AX483" s="11">
        <f ca="1">IFERROR(OFFSET(ITEM_RES!$A$1,MATCH(AY483,ITEM_RES!$J:$J,0)-1,0),0)</f>
        <v>211020501</v>
      </c>
      <c r="AY483" s="10" t="s">
        <v>1086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1162</v>
      </c>
      <c r="S484" s="9" t="s">
        <v>699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522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442</v>
      </c>
      <c r="AU484" s="11">
        <v>1</v>
      </c>
      <c r="AX484" s="11">
        <f ca="1">IFERROR(OFFSET(ITEM_RES!$A$1,MATCH(AY484,ITEM_RES!$J:$J,0)-1,0),0)</f>
        <v>211020501</v>
      </c>
      <c r="AY484" s="10" t="s">
        <v>1086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1020</v>
      </c>
      <c r="L485" s="16">
        <v>1</v>
      </c>
      <c r="M485" s="16">
        <v>1</v>
      </c>
      <c r="N485" s="16">
        <v>15</v>
      </c>
      <c r="O485" s="16" t="s">
        <v>1163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523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433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447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469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1020</v>
      </c>
      <c r="M486" s="9">
        <v>1</v>
      </c>
      <c r="N486" s="9">
        <v>15</v>
      </c>
      <c r="O486" s="9" t="s">
        <v>1164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523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433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1165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523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433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1165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523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433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1165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523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433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1165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523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433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1165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523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433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1165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523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433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1166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523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24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433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1166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523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24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24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433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470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1166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523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433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1166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523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433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1167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523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433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1167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523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433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1168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523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433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1168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523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439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1168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523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439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1168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523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439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1168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523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439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1168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523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439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1021</v>
      </c>
      <c r="L505" s="16">
        <v>1</v>
      </c>
      <c r="M505" s="16">
        <v>1</v>
      </c>
      <c r="N505" s="16">
        <v>15</v>
      </c>
      <c r="O505" s="16" t="s">
        <v>1169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379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433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447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469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1021</v>
      </c>
      <c r="M506" s="9">
        <v>1</v>
      </c>
      <c r="N506" s="9">
        <v>15</v>
      </c>
      <c r="O506" s="9" t="s">
        <v>1170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433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1021</v>
      </c>
      <c r="M507" s="9">
        <v>1</v>
      </c>
      <c r="N507" s="9">
        <v>15</v>
      </c>
      <c r="O507" s="9" t="s">
        <v>1170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433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1021</v>
      </c>
      <c r="M508" s="9">
        <v>1</v>
      </c>
      <c r="N508" s="9">
        <v>15</v>
      </c>
      <c r="O508" s="9" t="s">
        <v>1171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433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1021</v>
      </c>
      <c r="M509" s="9">
        <v>1</v>
      </c>
      <c r="N509" s="9">
        <v>15</v>
      </c>
      <c r="O509" s="9" t="s">
        <v>1171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433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1021</v>
      </c>
      <c r="M510" s="9">
        <v>1</v>
      </c>
      <c r="N510" s="9">
        <v>15</v>
      </c>
      <c r="O510" s="9" t="s">
        <v>1171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433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1021</v>
      </c>
      <c r="M511" s="9">
        <v>1</v>
      </c>
      <c r="N511" s="9">
        <v>15</v>
      </c>
      <c r="O511" s="9" t="s">
        <v>1172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433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1021</v>
      </c>
      <c r="M512" s="9">
        <v>1</v>
      </c>
      <c r="N512" s="9">
        <v>15</v>
      </c>
      <c r="O512" s="9" t="s">
        <v>1172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433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51">B513*10000000+C513*1000000+D513*10000+E513*100+F513</f>
        <v>115020009</v>
      </c>
      <c r="B513" s="13">
        <v>11</v>
      </c>
      <c r="C513" s="12">
        <f t="shared" ref="C513:C524" si="152">H513</f>
        <v>5</v>
      </c>
      <c r="D513" s="13">
        <v>2</v>
      </c>
      <c r="E513" s="13">
        <v>0</v>
      </c>
      <c r="F513" s="12">
        <f t="shared" ref="F513:F524" si="153">I513</f>
        <v>9</v>
      </c>
      <c r="H513" s="9">
        <v>5</v>
      </c>
      <c r="I513" s="9">
        <v>9</v>
      </c>
      <c r="K513" s="9" t="s">
        <v>1021</v>
      </c>
      <c r="M513" s="9">
        <v>1</v>
      </c>
      <c r="N513" s="9">
        <v>15</v>
      </c>
      <c r="O513" s="9" t="s">
        <v>1172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433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1021</v>
      </c>
      <c r="M514" s="9">
        <v>1</v>
      </c>
      <c r="N514" s="9">
        <v>15</v>
      </c>
      <c r="O514" s="9" t="s">
        <v>1172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2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433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475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1021</v>
      </c>
      <c r="M515" s="9">
        <v>1</v>
      </c>
      <c r="N515" s="9">
        <v>15</v>
      </c>
      <c r="O515" s="9" t="s">
        <v>1173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433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1021</v>
      </c>
      <c r="M516" s="9">
        <v>1</v>
      </c>
      <c r="N516" s="9">
        <v>15</v>
      </c>
      <c r="O516" s="9" t="s">
        <v>1173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433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1021</v>
      </c>
      <c r="M517" s="9">
        <v>1</v>
      </c>
      <c r="N517" s="9">
        <v>15</v>
      </c>
      <c r="O517" s="9" t="s">
        <v>1173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433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1021</v>
      </c>
      <c r="M518" s="9">
        <v>1</v>
      </c>
      <c r="N518" s="9">
        <v>15</v>
      </c>
      <c r="O518" s="9" t="s">
        <v>1173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433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1021</v>
      </c>
      <c r="M519" s="9">
        <v>1</v>
      </c>
      <c r="N519" s="9">
        <v>15</v>
      </c>
      <c r="O519" s="9" t="s">
        <v>1173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439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1021</v>
      </c>
      <c r="M520" s="9">
        <v>0</v>
      </c>
      <c r="N520" s="9">
        <v>15</v>
      </c>
      <c r="O520" s="9" t="s">
        <v>1173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439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1021</v>
      </c>
      <c r="M521" s="9">
        <v>0</v>
      </c>
      <c r="N521" s="9">
        <v>15</v>
      </c>
      <c r="O521" s="9" t="s">
        <v>1173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439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1021</v>
      </c>
      <c r="M522" s="9">
        <v>0</v>
      </c>
      <c r="N522" s="9">
        <v>15</v>
      </c>
      <c r="O522" s="9" t="s">
        <v>1173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439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1021</v>
      </c>
      <c r="M523" s="9">
        <v>0</v>
      </c>
      <c r="N523" s="9">
        <v>15</v>
      </c>
      <c r="O523" s="9" t="s">
        <v>1173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439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1021</v>
      </c>
      <c r="M524" s="9">
        <v>0</v>
      </c>
      <c r="N524" s="9">
        <v>15</v>
      </c>
      <c r="O524" s="9" t="s">
        <v>1173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439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5" sqref="K5:K5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796</v>
      </c>
      <c r="L1" s="35" t="s">
        <v>585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585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795</v>
      </c>
      <c r="L2" s="35" t="s">
        <v>850</v>
      </c>
      <c r="O2" s="34" t="s">
        <v>62</v>
      </c>
      <c r="P2" s="35" t="s">
        <v>62</v>
      </c>
      <c r="Q2" s="35" t="s">
        <v>62</v>
      </c>
      <c r="R2" s="69"/>
      <c r="S2" s="34" t="s">
        <v>797</v>
      </c>
      <c r="U2" s="69"/>
      <c r="V2" s="1" t="s">
        <v>61</v>
      </c>
      <c r="W2" s="69"/>
      <c r="X2" s="101" t="s">
        <v>499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1281</v>
      </c>
      <c r="AH2" s="35" t="s">
        <v>1281</v>
      </c>
      <c r="AI2" s="35" t="s">
        <v>1281</v>
      </c>
      <c r="AJ2" s="35" t="s">
        <v>1281</v>
      </c>
      <c r="AK2" s="35" t="s">
        <v>1281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794</v>
      </c>
      <c r="L3" s="35" t="s">
        <v>846</v>
      </c>
      <c r="O3" s="34" t="s">
        <v>322</v>
      </c>
      <c r="P3" s="35" t="s">
        <v>347</v>
      </c>
      <c r="Q3" s="35" t="s">
        <v>324</v>
      </c>
      <c r="R3" s="69"/>
      <c r="S3" s="34" t="s">
        <v>418</v>
      </c>
      <c r="U3" s="69"/>
      <c r="V3" s="1" t="s">
        <v>336</v>
      </c>
      <c r="W3" s="69"/>
      <c r="X3" s="101" t="s">
        <v>1193</v>
      </c>
      <c r="Y3" s="1" t="s">
        <v>1194</v>
      </c>
      <c r="Z3" s="147" t="s">
        <v>1195</v>
      </c>
      <c r="AA3" s="147" t="s">
        <v>1191</v>
      </c>
      <c r="AB3" s="147" t="s">
        <v>1192</v>
      </c>
      <c r="AC3" s="1" t="s">
        <v>1196</v>
      </c>
      <c r="AD3" s="147" t="s">
        <v>1197</v>
      </c>
      <c r="AE3" s="1" t="s">
        <v>1198</v>
      </c>
      <c r="AF3" s="69"/>
      <c r="AG3" s="35" t="s">
        <v>1275</v>
      </c>
      <c r="AH3" s="35" t="s">
        <v>1276</v>
      </c>
      <c r="AI3" s="35" t="s">
        <v>1277</v>
      </c>
      <c r="AJ3" s="35" t="s">
        <v>1278</v>
      </c>
      <c r="AK3" s="35" t="s">
        <v>1280</v>
      </c>
    </row>
    <row r="4" spans="1:37" s="79" customFormat="1" ht="99.75" thickBot="1" x14ac:dyDescent="0.2">
      <c r="A4" s="79" t="s">
        <v>337</v>
      </c>
      <c r="B4" s="80" t="s">
        <v>411</v>
      </c>
      <c r="C4" s="80" t="s">
        <v>588</v>
      </c>
      <c r="D4" s="80" t="s">
        <v>589</v>
      </c>
      <c r="E4" s="80" t="s">
        <v>412</v>
      </c>
      <c r="F4" s="80" t="s">
        <v>413</v>
      </c>
      <c r="G4" s="70" t="s">
        <v>355</v>
      </c>
      <c r="H4" s="81" t="s">
        <v>344</v>
      </c>
      <c r="I4" s="70" t="s">
        <v>354</v>
      </c>
      <c r="J4" s="81" t="s">
        <v>409</v>
      </c>
      <c r="K4" s="81" t="s">
        <v>800</v>
      </c>
      <c r="L4" s="81" t="s">
        <v>849</v>
      </c>
      <c r="M4" s="82" t="s">
        <v>407</v>
      </c>
      <c r="N4" s="82" t="s">
        <v>408</v>
      </c>
      <c r="O4" s="79" t="s">
        <v>323</v>
      </c>
      <c r="P4" s="81" t="s">
        <v>348</v>
      </c>
      <c r="Q4" s="81" t="s">
        <v>325</v>
      </c>
      <c r="R4" s="70" t="s">
        <v>851</v>
      </c>
      <c r="S4" s="79" t="s">
        <v>847</v>
      </c>
      <c r="T4" s="80" t="s">
        <v>848</v>
      </c>
      <c r="U4" s="70" t="s">
        <v>346</v>
      </c>
      <c r="V4" s="2" t="s">
        <v>410</v>
      </c>
      <c r="W4" s="70" t="s">
        <v>839</v>
      </c>
      <c r="X4" s="191" t="s">
        <v>1282</v>
      </c>
      <c r="Y4" s="2" t="s">
        <v>838</v>
      </c>
      <c r="Z4" s="148" t="s">
        <v>1199</v>
      </c>
      <c r="AA4" s="148" t="s">
        <v>842</v>
      </c>
      <c r="AB4" s="148" t="s">
        <v>844</v>
      </c>
      <c r="AC4" s="2" t="s">
        <v>845</v>
      </c>
      <c r="AD4" s="148" t="s">
        <v>843</v>
      </c>
      <c r="AE4" s="2" t="s">
        <v>1200</v>
      </c>
      <c r="AF4" s="70" t="s">
        <v>1257</v>
      </c>
      <c r="AG4" s="81" t="s">
        <v>1271</v>
      </c>
      <c r="AH4" s="81" t="s">
        <v>1272</v>
      </c>
      <c r="AI4" s="81" t="s">
        <v>1273</v>
      </c>
      <c r="AJ4" s="81" t="s">
        <v>1274</v>
      </c>
      <c r="AK4" s="81" t="s">
        <v>1279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380</v>
      </c>
      <c r="K5" s="38" t="s">
        <v>1201</v>
      </c>
      <c r="L5" s="38">
        <v>1</v>
      </c>
      <c r="M5" s="39" t="s">
        <v>406</v>
      </c>
      <c r="N5" s="39" t="s">
        <v>403</v>
      </c>
      <c r="O5" s="37" t="s">
        <v>775</v>
      </c>
      <c r="P5" s="38"/>
      <c r="Q5" s="38" t="s">
        <v>705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381</v>
      </c>
      <c r="K6" s="62" t="s">
        <v>1202</v>
      </c>
      <c r="L6" s="62">
        <v>2</v>
      </c>
      <c r="M6" s="39" t="s">
        <v>406</v>
      </c>
      <c r="N6" s="39" t="s">
        <v>403</v>
      </c>
      <c r="O6" s="68" t="s">
        <v>776</v>
      </c>
      <c r="P6" s="62"/>
      <c r="Q6" s="38" t="s">
        <v>706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382</v>
      </c>
      <c r="K7" s="62" t="s">
        <v>1203</v>
      </c>
      <c r="L7" s="62">
        <v>3</v>
      </c>
      <c r="M7" s="39" t="s">
        <v>406</v>
      </c>
      <c r="N7" s="39" t="s">
        <v>403</v>
      </c>
      <c r="O7" s="68" t="s">
        <v>777</v>
      </c>
      <c r="P7" s="62"/>
      <c r="Q7" s="38" t="s">
        <v>707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445</v>
      </c>
      <c r="K8" s="62" t="s">
        <v>1204</v>
      </c>
      <c r="L8" s="62">
        <v>4</v>
      </c>
      <c r="M8" s="39" t="s">
        <v>436</v>
      </c>
      <c r="N8" s="39" t="s">
        <v>446</v>
      </c>
      <c r="O8" s="68" t="s">
        <v>778</v>
      </c>
      <c r="P8" s="62"/>
      <c r="Q8" s="38" t="s">
        <v>708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383</v>
      </c>
      <c r="K9" s="35" t="s">
        <v>1205</v>
      </c>
      <c r="L9" s="38">
        <v>5</v>
      </c>
      <c r="M9" s="39" t="s">
        <v>406</v>
      </c>
      <c r="N9" s="39" t="s">
        <v>403</v>
      </c>
      <c r="O9" s="68" t="s">
        <v>779</v>
      </c>
      <c r="P9" s="62"/>
      <c r="Q9" s="38" t="s">
        <v>709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524</v>
      </c>
      <c r="K10" s="35" t="s">
        <v>1206</v>
      </c>
      <c r="L10" s="62">
        <v>6</v>
      </c>
      <c r="M10" s="39" t="s">
        <v>406</v>
      </c>
      <c r="N10" s="39" t="s">
        <v>403</v>
      </c>
      <c r="O10" s="34" t="s">
        <v>780</v>
      </c>
      <c r="Q10" s="38" t="s">
        <v>710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444</v>
      </c>
      <c r="K11" s="35" t="s">
        <v>1207</v>
      </c>
      <c r="L11" s="62">
        <v>7</v>
      </c>
      <c r="M11" s="39" t="s">
        <v>403</v>
      </c>
      <c r="N11" s="39"/>
      <c r="O11" s="34" t="s">
        <v>781</v>
      </c>
      <c r="Q11" s="38" t="s">
        <v>711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402</v>
      </c>
      <c r="K12" s="62" t="s">
        <v>1208</v>
      </c>
      <c r="L12" s="62">
        <v>8</v>
      </c>
      <c r="M12" s="39" t="s">
        <v>403</v>
      </c>
      <c r="O12" s="34" t="s">
        <v>782</v>
      </c>
      <c r="Q12" s="38" t="s">
        <v>840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387</v>
      </c>
      <c r="K13" s="35" t="s">
        <v>1209</v>
      </c>
      <c r="L13" s="38">
        <v>9</v>
      </c>
      <c r="M13" s="36" t="s">
        <v>403</v>
      </c>
      <c r="O13" s="34" t="s">
        <v>783</v>
      </c>
      <c r="Q13" s="38" t="s">
        <v>712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389</v>
      </c>
      <c r="K14" s="35" t="s">
        <v>1210</v>
      </c>
      <c r="L14" s="62">
        <v>10</v>
      </c>
      <c r="M14" s="36" t="s">
        <v>403</v>
      </c>
      <c r="O14" s="34" t="s">
        <v>784</v>
      </c>
      <c r="Q14" s="38" t="s">
        <v>713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492</v>
      </c>
      <c r="K15" s="35" t="s">
        <v>1211</v>
      </c>
      <c r="L15" s="62">
        <v>15</v>
      </c>
      <c r="M15" s="36" t="s">
        <v>493</v>
      </c>
      <c r="N15" s="36" t="s">
        <v>494</v>
      </c>
      <c r="O15" s="34" t="s">
        <v>1039</v>
      </c>
      <c r="Q15" s="38" t="s">
        <v>714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392</v>
      </c>
      <c r="K16" s="35" t="s">
        <v>1212</v>
      </c>
      <c r="L16" s="35">
        <v>10</v>
      </c>
      <c r="M16" s="36" t="s">
        <v>403</v>
      </c>
      <c r="O16" s="34" t="s">
        <v>785</v>
      </c>
      <c r="Q16" s="38" t="s">
        <v>715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393</v>
      </c>
      <c r="K17" s="35" t="s">
        <v>1213</v>
      </c>
      <c r="L17" s="35">
        <v>5</v>
      </c>
      <c r="M17" s="36" t="s">
        <v>403</v>
      </c>
      <c r="O17" s="34" t="s">
        <v>786</v>
      </c>
      <c r="Q17" s="38" t="s">
        <v>716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394</v>
      </c>
      <c r="K18" s="35" t="s">
        <v>1214</v>
      </c>
      <c r="L18" s="35">
        <v>6</v>
      </c>
      <c r="M18" s="36" t="s">
        <v>403</v>
      </c>
      <c r="O18" s="34" t="s">
        <v>786</v>
      </c>
      <c r="Q18" s="38" t="s">
        <v>717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395</v>
      </c>
      <c r="K19" s="35" t="s">
        <v>1215</v>
      </c>
      <c r="L19" s="35">
        <v>7</v>
      </c>
      <c r="M19" s="36" t="s">
        <v>403</v>
      </c>
      <c r="O19" s="34" t="s">
        <v>786</v>
      </c>
      <c r="Q19" s="38" t="s">
        <v>718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448</v>
      </c>
      <c r="K20" s="35" t="s">
        <v>1216</v>
      </c>
      <c r="L20" s="35">
        <v>8</v>
      </c>
      <c r="M20" s="36" t="s">
        <v>446</v>
      </c>
      <c r="O20" s="34" t="s">
        <v>785</v>
      </c>
      <c r="Q20" s="38" t="s">
        <v>719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449</v>
      </c>
      <c r="K21" s="35" t="s">
        <v>1217</v>
      </c>
      <c r="L21" s="35">
        <v>9</v>
      </c>
      <c r="M21" s="36" t="s">
        <v>446</v>
      </c>
      <c r="O21" s="34" t="s">
        <v>785</v>
      </c>
      <c r="Q21" s="38" t="s">
        <v>720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450</v>
      </c>
      <c r="K22" s="35" t="s">
        <v>1218</v>
      </c>
      <c r="L22" s="35">
        <v>10</v>
      </c>
      <c r="M22" s="36" t="s">
        <v>446</v>
      </c>
      <c r="O22" s="34" t="s">
        <v>785</v>
      </c>
      <c r="Q22" s="38" t="s">
        <v>721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457</v>
      </c>
      <c r="K23" s="35" t="s">
        <v>1219</v>
      </c>
      <c r="L23" s="35">
        <v>11</v>
      </c>
      <c r="M23" s="36" t="s">
        <v>446</v>
      </c>
      <c r="O23" s="34" t="s">
        <v>785</v>
      </c>
      <c r="Q23" s="38" t="s">
        <v>722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451</v>
      </c>
      <c r="K24" s="35" t="s">
        <v>1220</v>
      </c>
      <c r="L24" s="35">
        <v>12</v>
      </c>
      <c r="M24" s="36" t="s">
        <v>446</v>
      </c>
      <c r="O24" s="34" t="s">
        <v>785</v>
      </c>
      <c r="Q24" s="38" t="s">
        <v>724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452</v>
      </c>
      <c r="K25" s="35" t="s">
        <v>1221</v>
      </c>
      <c r="L25" s="35">
        <v>13</v>
      </c>
      <c r="M25" s="36" t="s">
        <v>446</v>
      </c>
      <c r="O25" s="34" t="s">
        <v>785</v>
      </c>
      <c r="Q25" s="38" t="s">
        <v>723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453</v>
      </c>
      <c r="K26" s="35" t="s">
        <v>1222</v>
      </c>
      <c r="L26" s="35">
        <v>14</v>
      </c>
      <c r="M26" s="36" t="s">
        <v>446</v>
      </c>
      <c r="O26" s="34" t="s">
        <v>785</v>
      </c>
      <c r="Q26" s="38" t="s">
        <v>725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463</v>
      </c>
      <c r="K27" s="35" t="s">
        <v>1223</v>
      </c>
      <c r="L27" s="35">
        <v>15</v>
      </c>
      <c r="M27" s="36" t="s">
        <v>446</v>
      </c>
      <c r="O27" s="34" t="s">
        <v>785</v>
      </c>
      <c r="Q27" s="38" t="s">
        <v>726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467</v>
      </c>
      <c r="K28" s="35" t="s">
        <v>1224</v>
      </c>
      <c r="L28" s="35">
        <v>15</v>
      </c>
      <c r="M28" s="36" t="s">
        <v>446</v>
      </c>
      <c r="O28" s="34" t="s">
        <v>785</v>
      </c>
      <c r="Q28" s="38" t="s">
        <v>727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468</v>
      </c>
      <c r="K29" s="35" t="s">
        <v>1225</v>
      </c>
      <c r="L29" s="35">
        <v>15</v>
      </c>
      <c r="M29" s="36" t="s">
        <v>446</v>
      </c>
      <c r="O29" s="34" t="s">
        <v>785</v>
      </c>
      <c r="Q29" s="38" t="s">
        <v>728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471</v>
      </c>
      <c r="K30" s="35" t="s">
        <v>1226</v>
      </c>
      <c r="L30" s="35">
        <v>15</v>
      </c>
      <c r="M30" s="36" t="s">
        <v>446</v>
      </c>
      <c r="O30" s="34" t="s">
        <v>785</v>
      </c>
      <c r="Q30" s="38" t="s">
        <v>729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476</v>
      </c>
      <c r="K31" s="35" t="s">
        <v>1227</v>
      </c>
      <c r="L31" s="35">
        <v>15</v>
      </c>
      <c r="M31" s="36" t="s">
        <v>446</v>
      </c>
      <c r="O31" s="34" t="s">
        <v>785</v>
      </c>
      <c r="Q31" s="38" t="s">
        <v>730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472</v>
      </c>
      <c r="K32" s="35" t="s">
        <v>1228</v>
      </c>
      <c r="L32" s="35">
        <v>15</v>
      </c>
      <c r="M32" s="36" t="s">
        <v>446</v>
      </c>
      <c r="O32" s="34" t="s">
        <v>785</v>
      </c>
      <c r="Q32" s="38" t="s">
        <v>731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473</v>
      </c>
      <c r="K33" s="35" t="s">
        <v>1229</v>
      </c>
      <c r="L33" s="35">
        <v>15</v>
      </c>
      <c r="M33" s="36" t="s">
        <v>446</v>
      </c>
      <c r="O33" s="34" t="s">
        <v>785</v>
      </c>
      <c r="Q33" s="38" t="s">
        <v>732</v>
      </c>
      <c r="R33" s="87" t="s">
        <v>495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474</v>
      </c>
      <c r="K34" s="35" t="s">
        <v>1230</v>
      </c>
      <c r="L34" s="35">
        <v>15</v>
      </c>
      <c r="M34" s="36" t="s">
        <v>446</v>
      </c>
      <c r="O34" s="34" t="s">
        <v>785</v>
      </c>
      <c r="Q34" s="38" t="s">
        <v>733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482</v>
      </c>
      <c r="K35" s="35" t="s">
        <v>1231</v>
      </c>
      <c r="L35" s="35">
        <v>5</v>
      </c>
      <c r="M35" s="36" t="s">
        <v>491</v>
      </c>
      <c r="O35" s="34" t="s">
        <v>1022</v>
      </c>
      <c r="Q35" s="38" t="s">
        <v>734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483</v>
      </c>
      <c r="K36" s="35" t="s">
        <v>1232</v>
      </c>
      <c r="L36" s="35">
        <v>8</v>
      </c>
      <c r="M36" s="36" t="s">
        <v>491</v>
      </c>
      <c r="O36" s="34" t="s">
        <v>1023</v>
      </c>
      <c r="Q36" s="38" t="s">
        <v>734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484</v>
      </c>
      <c r="K37" s="35" t="s">
        <v>1233</v>
      </c>
      <c r="L37" s="35">
        <v>12</v>
      </c>
      <c r="M37" s="36" t="s">
        <v>491</v>
      </c>
      <c r="O37" s="34" t="s">
        <v>1024</v>
      </c>
      <c r="Q37" s="38" t="s">
        <v>734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396</v>
      </c>
      <c r="K38" s="35" t="s">
        <v>1234</v>
      </c>
      <c r="L38" s="35">
        <v>6</v>
      </c>
      <c r="M38" s="36" t="s">
        <v>403</v>
      </c>
      <c r="O38" s="34" t="s">
        <v>1025</v>
      </c>
      <c r="Q38" s="38" t="s">
        <v>735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397</v>
      </c>
      <c r="K39" s="35" t="s">
        <v>1235</v>
      </c>
      <c r="L39" s="35">
        <v>9</v>
      </c>
      <c r="M39" s="36" t="s">
        <v>403</v>
      </c>
      <c r="O39" s="34" t="s">
        <v>1026</v>
      </c>
      <c r="Q39" s="38" t="s">
        <v>736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398</v>
      </c>
      <c r="K40" s="35" t="s">
        <v>1236</v>
      </c>
      <c r="L40" s="35">
        <v>13</v>
      </c>
      <c r="M40" s="36" t="s">
        <v>403</v>
      </c>
      <c r="O40" s="34" t="s">
        <v>1027</v>
      </c>
      <c r="Q40" s="38" t="s">
        <v>737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399</v>
      </c>
      <c r="K41" s="35" t="s">
        <v>1237</v>
      </c>
      <c r="L41" s="35">
        <v>7</v>
      </c>
      <c r="M41" s="36" t="s">
        <v>403</v>
      </c>
      <c r="O41" s="34" t="s">
        <v>1028</v>
      </c>
      <c r="Q41" s="38" t="s">
        <v>738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400</v>
      </c>
      <c r="K42" s="35" t="s">
        <v>1238</v>
      </c>
      <c r="L42" s="35">
        <v>10</v>
      </c>
      <c r="M42" s="36" t="s">
        <v>403</v>
      </c>
      <c r="O42" s="34" t="s">
        <v>1029</v>
      </c>
      <c r="Q42" s="38" t="s">
        <v>739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401</v>
      </c>
      <c r="K43" s="35" t="s">
        <v>1239</v>
      </c>
      <c r="L43" s="35">
        <v>14</v>
      </c>
      <c r="M43" s="36" t="s">
        <v>403</v>
      </c>
      <c r="O43" s="34" t="s">
        <v>1030</v>
      </c>
      <c r="Q43" s="38" t="s">
        <v>740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485</v>
      </c>
      <c r="K44" s="35" t="s">
        <v>1240</v>
      </c>
      <c r="L44" s="35">
        <v>8</v>
      </c>
      <c r="M44" s="36" t="s">
        <v>403</v>
      </c>
      <c r="O44" s="34" t="s">
        <v>1031</v>
      </c>
      <c r="Q44" s="38" t="s">
        <v>741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486</v>
      </c>
      <c r="K45" s="35" t="s">
        <v>1241</v>
      </c>
      <c r="L45" s="35">
        <v>11</v>
      </c>
      <c r="M45" s="36" t="s">
        <v>403</v>
      </c>
      <c r="O45" s="34" t="s">
        <v>1032</v>
      </c>
      <c r="Q45" s="38" t="s">
        <v>742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487</v>
      </c>
      <c r="K46" s="35" t="s">
        <v>1242</v>
      </c>
      <c r="L46" s="35">
        <v>15</v>
      </c>
      <c r="M46" s="36" t="s">
        <v>403</v>
      </c>
      <c r="O46" s="34" t="s">
        <v>1033</v>
      </c>
      <c r="Q46" s="38" t="s">
        <v>743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488</v>
      </c>
      <c r="K47" s="35" t="s">
        <v>1243</v>
      </c>
      <c r="L47" s="35">
        <v>9</v>
      </c>
      <c r="M47" s="36" t="s">
        <v>403</v>
      </c>
      <c r="O47" s="34" t="s">
        <v>1034</v>
      </c>
      <c r="Q47" s="38" t="s">
        <v>744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489</v>
      </c>
      <c r="K48" s="35" t="s">
        <v>1244</v>
      </c>
      <c r="L48" s="35">
        <v>12</v>
      </c>
      <c r="M48" s="36" t="s">
        <v>403</v>
      </c>
      <c r="O48" s="34" t="s">
        <v>1035</v>
      </c>
      <c r="Q48" s="38" t="s">
        <v>745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490</v>
      </c>
      <c r="K49" s="35" t="s">
        <v>1245</v>
      </c>
      <c r="L49" s="35">
        <v>16</v>
      </c>
      <c r="M49" s="36" t="s">
        <v>403</v>
      </c>
      <c r="O49" s="34" t="s">
        <v>1036</v>
      </c>
      <c r="Q49" s="38" t="s">
        <v>746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1258</v>
      </c>
      <c r="K50" s="35" t="s">
        <v>1261</v>
      </c>
      <c r="L50" s="35">
        <v>10</v>
      </c>
      <c r="M50" s="36" t="s">
        <v>1264</v>
      </c>
      <c r="O50" s="34" t="s">
        <v>1265</v>
      </c>
      <c r="Q50" s="38" t="s">
        <v>1268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1259</v>
      </c>
      <c r="K51" s="35" t="s">
        <v>1262</v>
      </c>
      <c r="L51" s="35">
        <v>13</v>
      </c>
      <c r="M51" s="36" t="s">
        <v>1264</v>
      </c>
      <c r="O51" s="34" t="s">
        <v>1266</v>
      </c>
      <c r="Q51" s="38" t="s">
        <v>1269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1260</v>
      </c>
      <c r="K52" s="35" t="s">
        <v>1263</v>
      </c>
      <c r="L52" s="35">
        <v>17</v>
      </c>
      <c r="M52" s="36" t="s">
        <v>1264</v>
      </c>
      <c r="O52" s="34" t="s">
        <v>1267</v>
      </c>
      <c r="Q52" s="38" t="s">
        <v>1270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384</v>
      </c>
      <c r="K53" s="35" t="s">
        <v>1246</v>
      </c>
      <c r="L53" s="35">
        <v>10</v>
      </c>
      <c r="M53" s="36" t="s">
        <v>405</v>
      </c>
      <c r="O53" s="34" t="s">
        <v>787</v>
      </c>
      <c r="Q53" s="38" t="s">
        <v>747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386</v>
      </c>
      <c r="K54" s="35" t="s">
        <v>1247</v>
      </c>
      <c r="L54" s="35">
        <v>11</v>
      </c>
      <c r="M54" s="36" t="s">
        <v>405</v>
      </c>
      <c r="O54" s="34" t="s">
        <v>788</v>
      </c>
      <c r="Q54" s="38" t="s">
        <v>841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385</v>
      </c>
      <c r="K55" s="35" t="s">
        <v>1248</v>
      </c>
      <c r="L55" s="35">
        <v>12</v>
      </c>
      <c r="M55" s="36" t="s">
        <v>404</v>
      </c>
      <c r="O55" s="34" t="s">
        <v>789</v>
      </c>
      <c r="Q55" s="38" t="s">
        <v>748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388</v>
      </c>
      <c r="K56" s="35" t="s">
        <v>1249</v>
      </c>
      <c r="L56" s="35">
        <v>13</v>
      </c>
      <c r="M56" s="36" t="s">
        <v>404</v>
      </c>
      <c r="O56" s="34" t="s">
        <v>790</v>
      </c>
      <c r="Q56" s="38" t="s">
        <v>749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390</v>
      </c>
      <c r="K57" s="35" t="s">
        <v>1250</v>
      </c>
      <c r="L57" s="35">
        <v>14</v>
      </c>
      <c r="M57" s="36" t="s">
        <v>404</v>
      </c>
      <c r="O57" s="34" t="s">
        <v>791</v>
      </c>
      <c r="Q57" s="38" t="s">
        <v>750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391</v>
      </c>
      <c r="K58" s="35" t="s">
        <v>1251</v>
      </c>
      <c r="L58" s="35">
        <v>15</v>
      </c>
      <c r="M58" s="36" t="s">
        <v>404</v>
      </c>
      <c r="O58" s="34" t="s">
        <v>792</v>
      </c>
      <c r="Q58" s="38" t="s">
        <v>751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422</v>
      </c>
      <c r="K59" s="35" t="s">
        <v>1252</v>
      </c>
      <c r="L59" s="35">
        <v>16</v>
      </c>
      <c r="M59" s="36" t="s">
        <v>404</v>
      </c>
      <c r="O59" s="34" t="s">
        <v>793</v>
      </c>
      <c r="Q59" s="38" t="s">
        <v>752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26" sqref="G26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568</v>
      </c>
      <c r="B3" s="38" t="s">
        <v>1201</v>
      </c>
      <c r="C3" s="62" t="s">
        <v>1202</v>
      </c>
      <c r="D3" s="62" t="s">
        <v>1203</v>
      </c>
      <c r="E3" s="62" t="s">
        <v>1204</v>
      </c>
      <c r="F3" s="35" t="s">
        <v>1205</v>
      </c>
      <c r="G3" s="35" t="s">
        <v>1206</v>
      </c>
      <c r="H3" s="35" t="s">
        <v>1207</v>
      </c>
      <c r="I3" s="62" t="s">
        <v>1208</v>
      </c>
      <c r="J3" s="35" t="s">
        <v>1209</v>
      </c>
      <c r="K3" s="35" t="s">
        <v>1210</v>
      </c>
      <c r="L3" s="35" t="s">
        <v>1211</v>
      </c>
      <c r="M3" s="35" t="s">
        <v>1212</v>
      </c>
      <c r="N3" s="35" t="s">
        <v>1213</v>
      </c>
      <c r="O3" s="35" t="s">
        <v>1214</v>
      </c>
      <c r="P3" s="35" t="s">
        <v>1215</v>
      </c>
      <c r="Q3" s="35" t="s">
        <v>1216</v>
      </c>
      <c r="R3" s="35" t="s">
        <v>1217</v>
      </c>
      <c r="S3" s="35" t="s">
        <v>1218</v>
      </c>
      <c r="T3" s="35" t="s">
        <v>1219</v>
      </c>
      <c r="U3" s="35" t="s">
        <v>1220</v>
      </c>
      <c r="V3" s="35" t="s">
        <v>1221</v>
      </c>
      <c r="W3" s="35" t="s">
        <v>1222</v>
      </c>
      <c r="X3" s="35" t="s">
        <v>1223</v>
      </c>
      <c r="Y3" s="35" t="s">
        <v>1224</v>
      </c>
      <c r="Z3" s="35" t="s">
        <v>1225</v>
      </c>
      <c r="AA3" s="35" t="s">
        <v>1226</v>
      </c>
      <c r="AB3" s="35" t="s">
        <v>1227</v>
      </c>
      <c r="AC3" s="35" t="s">
        <v>1228</v>
      </c>
      <c r="AD3" s="35" t="s">
        <v>1229</v>
      </c>
      <c r="AE3" s="35" t="s">
        <v>1230</v>
      </c>
      <c r="AF3" s="35" t="s">
        <v>1231</v>
      </c>
      <c r="AG3" s="35" t="s">
        <v>1232</v>
      </c>
      <c r="AH3" s="35" t="s">
        <v>1233</v>
      </c>
      <c r="AI3" s="35" t="s">
        <v>1234</v>
      </c>
      <c r="AJ3" s="35" t="s">
        <v>1235</v>
      </c>
      <c r="AK3" s="35" t="s">
        <v>1236</v>
      </c>
      <c r="AL3" s="35" t="s">
        <v>1237</v>
      </c>
      <c r="AM3" s="35" t="s">
        <v>1238</v>
      </c>
      <c r="AN3" s="35" t="s">
        <v>1239</v>
      </c>
      <c r="AO3" s="35" t="s">
        <v>1240</v>
      </c>
      <c r="AP3" s="35" t="s">
        <v>1241</v>
      </c>
      <c r="AQ3" s="35" t="s">
        <v>1242</v>
      </c>
      <c r="AR3" s="35" t="s">
        <v>1243</v>
      </c>
      <c r="AS3" s="35" t="s">
        <v>1244</v>
      </c>
      <c r="AT3" s="35" t="s">
        <v>1245</v>
      </c>
      <c r="AU3" s="35" t="s">
        <v>1292</v>
      </c>
      <c r="AV3" s="35" t="s">
        <v>1293</v>
      </c>
      <c r="AW3" s="35" t="s">
        <v>1294</v>
      </c>
      <c r="AX3" s="35" t="s">
        <v>1246</v>
      </c>
      <c r="AY3" s="35" t="s">
        <v>1247</v>
      </c>
      <c r="AZ3" s="35" t="s">
        <v>1248</v>
      </c>
      <c r="BA3" s="35" t="s">
        <v>1249</v>
      </c>
      <c r="BB3" s="35" t="s">
        <v>1250</v>
      </c>
      <c r="BC3" s="35" t="s">
        <v>1251</v>
      </c>
      <c r="BD3" s="35" t="s">
        <v>1252</v>
      </c>
    </row>
    <row r="4" spans="1:56" ht="18" customHeight="1" thickBot="1" x14ac:dyDescent="0.2">
      <c r="A4" s="89" t="s">
        <v>553</v>
      </c>
      <c r="B4" s="38" t="s">
        <v>380</v>
      </c>
      <c r="C4" s="62" t="s">
        <v>381</v>
      </c>
      <c r="D4" s="62" t="s">
        <v>382</v>
      </c>
      <c r="E4" s="62" t="s">
        <v>443</v>
      </c>
      <c r="F4" s="35" t="s">
        <v>383</v>
      </c>
      <c r="G4" s="35" t="s">
        <v>428</v>
      </c>
      <c r="H4" s="35" t="s">
        <v>432</v>
      </c>
      <c r="I4" s="62" t="s">
        <v>402</v>
      </c>
      <c r="J4" s="35" t="s">
        <v>387</v>
      </c>
      <c r="K4" s="35" t="s">
        <v>389</v>
      </c>
      <c r="L4" s="35" t="s">
        <v>492</v>
      </c>
      <c r="M4" s="35" t="s">
        <v>392</v>
      </c>
      <c r="N4" s="35" t="s">
        <v>393</v>
      </c>
      <c r="O4" s="35" t="s">
        <v>394</v>
      </c>
      <c r="P4" s="35" t="s">
        <v>395</v>
      </c>
      <c r="Q4" s="35" t="s">
        <v>448</v>
      </c>
      <c r="R4" s="35" t="s">
        <v>449</v>
      </c>
      <c r="S4" s="35" t="s">
        <v>450</v>
      </c>
      <c r="T4" s="35" t="s">
        <v>457</v>
      </c>
      <c r="U4" s="35" t="s">
        <v>451</v>
      </c>
      <c r="V4" s="35" t="s">
        <v>452</v>
      </c>
      <c r="W4" s="35" t="s">
        <v>453</v>
      </c>
      <c r="X4" s="35" t="s">
        <v>463</v>
      </c>
      <c r="Y4" s="35" t="s">
        <v>465</v>
      </c>
      <c r="Z4" s="35" t="s">
        <v>466</v>
      </c>
      <c r="AA4" s="35" t="s">
        <v>471</v>
      </c>
      <c r="AB4" s="35" t="s">
        <v>476</v>
      </c>
      <c r="AC4" s="35" t="s">
        <v>472</v>
      </c>
      <c r="AD4" s="35" t="s">
        <v>473</v>
      </c>
      <c r="AE4" s="35" t="s">
        <v>474</v>
      </c>
      <c r="AF4" s="35" t="s">
        <v>482</v>
      </c>
      <c r="AG4" s="35" t="s">
        <v>483</v>
      </c>
      <c r="AH4" s="35" t="s">
        <v>484</v>
      </c>
      <c r="AI4" s="35" t="s">
        <v>396</v>
      </c>
      <c r="AJ4" s="35" t="s">
        <v>397</v>
      </c>
      <c r="AK4" s="35" t="s">
        <v>398</v>
      </c>
      <c r="AL4" s="35" t="s">
        <v>399</v>
      </c>
      <c r="AM4" s="35" t="s">
        <v>400</v>
      </c>
      <c r="AN4" s="35" t="s">
        <v>401</v>
      </c>
      <c r="AO4" s="35" t="s">
        <v>485</v>
      </c>
      <c r="AP4" s="35" t="s">
        <v>486</v>
      </c>
      <c r="AQ4" s="35" t="s">
        <v>487</v>
      </c>
      <c r="AR4" s="35" t="s">
        <v>488</v>
      </c>
      <c r="AS4" s="35" t="s">
        <v>489</v>
      </c>
      <c r="AT4" s="35" t="s">
        <v>490</v>
      </c>
      <c r="AU4" s="35" t="s">
        <v>1295</v>
      </c>
      <c r="AV4" s="35" t="s">
        <v>1296</v>
      </c>
      <c r="AW4" s="35" t="s">
        <v>1297</v>
      </c>
      <c r="AX4" s="35" t="s">
        <v>384</v>
      </c>
      <c r="AY4" s="35" t="s">
        <v>386</v>
      </c>
      <c r="AZ4" s="35" t="s">
        <v>385</v>
      </c>
      <c r="BA4" s="35" t="s">
        <v>388</v>
      </c>
      <c r="BB4" s="35" t="s">
        <v>390</v>
      </c>
      <c r="BC4" s="35" t="s">
        <v>391</v>
      </c>
      <c r="BD4" s="35" t="s">
        <v>422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D11" s="94">
        <v>0</v>
      </c>
    </row>
    <row r="12" spans="1:56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D12" s="94">
        <v>0</v>
      </c>
    </row>
    <row r="13" spans="1:56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D13" s="94">
        <v>0</v>
      </c>
    </row>
    <row r="14" spans="1:56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D14" s="94">
        <v>0</v>
      </c>
    </row>
    <row r="15" spans="1:56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9000</v>
      </c>
      <c r="AY15" s="94">
        <v>9000</v>
      </c>
      <c r="AZ15" s="94">
        <v>9000</v>
      </c>
      <c r="BA15" s="94">
        <v>9000</v>
      </c>
      <c r="BB15" s="94">
        <v>9000</v>
      </c>
      <c r="BC15" s="94">
        <v>9000</v>
      </c>
      <c r="BD15" s="94">
        <v>9000</v>
      </c>
    </row>
    <row r="16" spans="1:56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12000</v>
      </c>
      <c r="AY16" s="94">
        <v>12000</v>
      </c>
      <c r="AZ16" s="94">
        <v>12000</v>
      </c>
      <c r="BA16" s="94">
        <v>12000</v>
      </c>
      <c r="BB16" s="94">
        <v>12000</v>
      </c>
      <c r="BC16" s="94">
        <v>12000</v>
      </c>
      <c r="BD16" s="94">
        <v>12000</v>
      </c>
    </row>
    <row r="17" spans="1:56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15000</v>
      </c>
      <c r="AY17" s="94">
        <v>15000</v>
      </c>
      <c r="AZ17" s="94">
        <v>15000</v>
      </c>
      <c r="BA17" s="94">
        <v>15000</v>
      </c>
      <c r="BB17" s="94">
        <v>15000</v>
      </c>
      <c r="BC17" s="94">
        <v>15000</v>
      </c>
      <c r="BD17" s="94">
        <v>15000</v>
      </c>
    </row>
    <row r="18" spans="1:56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18000</v>
      </c>
      <c r="AY18" s="94">
        <v>18000</v>
      </c>
      <c r="AZ18" s="94">
        <v>18000</v>
      </c>
      <c r="BA18" s="94">
        <v>18000</v>
      </c>
      <c r="BB18" s="94">
        <v>18000</v>
      </c>
      <c r="BC18" s="94">
        <v>18000</v>
      </c>
      <c r="BD18" s="94">
        <v>18000</v>
      </c>
    </row>
    <row r="19" spans="1:56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21000</v>
      </c>
      <c r="AY19" s="94">
        <v>21000</v>
      </c>
      <c r="AZ19" s="94">
        <v>21000</v>
      </c>
      <c r="BA19" s="94">
        <v>21000</v>
      </c>
      <c r="BB19" s="94">
        <v>21000</v>
      </c>
      <c r="BC19" s="94">
        <v>21000</v>
      </c>
      <c r="BD19" s="94">
        <v>21000</v>
      </c>
    </row>
    <row r="20" spans="1:56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24000</v>
      </c>
      <c r="AY20" s="94">
        <v>24000</v>
      </c>
      <c r="AZ20" s="94">
        <v>24000</v>
      </c>
      <c r="BA20" s="94">
        <v>24000</v>
      </c>
      <c r="BB20" s="94">
        <v>24000</v>
      </c>
      <c r="BC20" s="94">
        <v>24000</v>
      </c>
      <c r="BD20" s="94">
        <v>24000</v>
      </c>
    </row>
    <row r="21" spans="1:56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27000</v>
      </c>
      <c r="AY21" s="94">
        <v>27000</v>
      </c>
      <c r="AZ21" s="94">
        <v>27000</v>
      </c>
      <c r="BA21" s="94">
        <v>27000</v>
      </c>
      <c r="BB21" s="94">
        <v>27000</v>
      </c>
      <c r="BC21" s="94">
        <v>27000</v>
      </c>
      <c r="BD21" s="94">
        <v>27000</v>
      </c>
    </row>
    <row r="22" spans="1:56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30000</v>
      </c>
      <c r="AY22" s="94">
        <v>30000</v>
      </c>
      <c r="AZ22" s="94">
        <v>30000</v>
      </c>
      <c r="BA22" s="94">
        <v>30000</v>
      </c>
      <c r="BB22" s="94">
        <v>30000</v>
      </c>
      <c r="BC22" s="94">
        <v>30000</v>
      </c>
      <c r="BD22" s="94">
        <v>30000</v>
      </c>
    </row>
    <row r="23" spans="1:56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33000</v>
      </c>
      <c r="AY23" s="94">
        <v>33000</v>
      </c>
      <c r="AZ23" s="94">
        <v>33000</v>
      </c>
      <c r="BA23" s="94">
        <v>33000</v>
      </c>
      <c r="BB23" s="94">
        <v>33000</v>
      </c>
      <c r="BC23" s="94">
        <v>33000</v>
      </c>
      <c r="BD23" s="94">
        <v>33000</v>
      </c>
    </row>
    <row r="24" spans="1:56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36000</v>
      </c>
      <c r="AY24" s="94">
        <v>36000</v>
      </c>
      <c r="AZ24" s="94">
        <v>36000</v>
      </c>
      <c r="BA24" s="94">
        <v>36000</v>
      </c>
      <c r="BB24" s="94">
        <v>36000</v>
      </c>
      <c r="BC24" s="94">
        <v>36000</v>
      </c>
      <c r="BD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I20" sqref="I20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561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557</v>
      </c>
    </row>
    <row r="4" spans="1:2" ht="17.25" thickBot="1" x14ac:dyDescent="0.2">
      <c r="A4" s="58" t="s">
        <v>555</v>
      </c>
      <c r="B4" s="58" t="s">
        <v>556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552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767</v>
      </c>
      <c r="B1" s="94" t="s">
        <v>768</v>
      </c>
      <c r="C1" s="142" t="s">
        <v>768</v>
      </c>
      <c r="D1" s="94" t="s">
        <v>768</v>
      </c>
      <c r="E1" s="142" t="s">
        <v>768</v>
      </c>
      <c r="F1" s="94" t="s">
        <v>768</v>
      </c>
    </row>
    <row r="2" spans="1:6" x14ac:dyDescent="0.15">
      <c r="A2" s="101" t="s">
        <v>769</v>
      </c>
      <c r="B2" s="94" t="s">
        <v>769</v>
      </c>
      <c r="C2" s="142" t="s">
        <v>769</v>
      </c>
      <c r="D2" s="94" t="s">
        <v>769</v>
      </c>
      <c r="E2" s="142" t="s">
        <v>769</v>
      </c>
      <c r="F2" s="94" t="s">
        <v>769</v>
      </c>
    </row>
    <row r="3" spans="1:6" x14ac:dyDescent="0.15">
      <c r="A3" s="101" t="s">
        <v>770</v>
      </c>
      <c r="B3" s="94" t="s">
        <v>763</v>
      </c>
      <c r="C3" s="142" t="s">
        <v>764</v>
      </c>
      <c r="D3" s="94" t="s">
        <v>761</v>
      </c>
      <c r="E3" s="142" t="s">
        <v>762</v>
      </c>
      <c r="F3" s="94" t="s">
        <v>760</v>
      </c>
    </row>
    <row r="4" spans="1:6" ht="22.5" customHeight="1" thickBot="1" x14ac:dyDescent="0.2">
      <c r="A4" s="101" t="s">
        <v>766</v>
      </c>
      <c r="B4" s="94" t="s">
        <v>771</v>
      </c>
      <c r="C4" s="142" t="s">
        <v>772</v>
      </c>
      <c r="D4" s="94" t="s">
        <v>773</v>
      </c>
      <c r="E4" s="142" t="s">
        <v>765</v>
      </c>
      <c r="F4" s="94" t="s">
        <v>774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585</v>
      </c>
      <c r="J1" s="126" t="s">
        <v>615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795</v>
      </c>
      <c r="J2" s="126" t="s">
        <v>610</v>
      </c>
      <c r="L2" s="126" t="s">
        <v>610</v>
      </c>
      <c r="M2" s="126" t="s">
        <v>610</v>
      </c>
      <c r="O2" s="126" t="s">
        <v>610</v>
      </c>
      <c r="Q2" s="126" t="s">
        <v>610</v>
      </c>
      <c r="R2" s="126" t="s">
        <v>610</v>
      </c>
      <c r="S2" s="126" t="s">
        <v>610</v>
      </c>
      <c r="U2" s="126" t="s">
        <v>610</v>
      </c>
      <c r="V2" s="126" t="s">
        <v>610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833</v>
      </c>
      <c r="J3" s="126" t="s">
        <v>616</v>
      </c>
      <c r="L3" s="126" t="s">
        <v>617</v>
      </c>
      <c r="M3" s="126" t="s">
        <v>618</v>
      </c>
      <c r="O3" s="126" t="s">
        <v>619</v>
      </c>
      <c r="Q3" s="126" t="s">
        <v>620</v>
      </c>
      <c r="R3" s="126" t="s">
        <v>621</v>
      </c>
      <c r="S3" s="126" t="s">
        <v>622</v>
      </c>
      <c r="U3" s="126" t="s">
        <v>623</v>
      </c>
      <c r="V3" s="126" t="s">
        <v>624</v>
      </c>
    </row>
    <row r="4" spans="1:22" ht="55.5" customHeight="1" thickBot="1" x14ac:dyDescent="0.35">
      <c r="A4" s="88" t="s">
        <v>593</v>
      </c>
      <c r="B4" s="90" t="s">
        <v>591</v>
      </c>
      <c r="C4" s="106" t="s">
        <v>592</v>
      </c>
      <c r="D4" s="90"/>
      <c r="E4" s="90"/>
      <c r="F4" s="106" t="s">
        <v>614</v>
      </c>
      <c r="G4" s="132" t="s">
        <v>594</v>
      </c>
      <c r="H4" s="89"/>
      <c r="I4" s="90" t="s">
        <v>595</v>
      </c>
      <c r="J4" s="89" t="s">
        <v>596</v>
      </c>
      <c r="K4" s="132" t="s">
        <v>648</v>
      </c>
      <c r="L4" s="89" t="s">
        <v>649</v>
      </c>
      <c r="M4" s="89" t="s">
        <v>650</v>
      </c>
      <c r="N4" s="132" t="s">
        <v>638</v>
      </c>
      <c r="O4" s="89" t="s">
        <v>597</v>
      </c>
      <c r="P4" s="132" t="s">
        <v>642</v>
      </c>
      <c r="Q4" s="89" t="s">
        <v>613</v>
      </c>
      <c r="R4" s="89" t="s">
        <v>611</v>
      </c>
      <c r="S4" s="89" t="s">
        <v>612</v>
      </c>
      <c r="T4" s="132" t="s">
        <v>598</v>
      </c>
      <c r="U4" s="89" t="s">
        <v>611</v>
      </c>
      <c r="V4" s="89" t="s">
        <v>612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599</v>
      </c>
      <c r="H5" s="128"/>
      <c r="J5" s="128">
        <v>100</v>
      </c>
      <c r="K5" s="135"/>
      <c r="L5" s="128"/>
      <c r="M5" s="128"/>
      <c r="N5" s="137" t="s">
        <v>639</v>
      </c>
      <c r="O5" s="128">
        <v>50</v>
      </c>
      <c r="P5" s="137" t="s">
        <v>644</v>
      </c>
      <c r="Q5" s="128"/>
      <c r="R5" s="128">
        <v>2000</v>
      </c>
      <c r="S5" s="128">
        <v>200</v>
      </c>
      <c r="T5" s="135" t="s">
        <v>645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600</v>
      </c>
      <c r="I6" s="125" t="s">
        <v>625</v>
      </c>
      <c r="J6" s="126">
        <v>50</v>
      </c>
      <c r="N6" s="138" t="s">
        <v>640</v>
      </c>
      <c r="O6" s="126">
        <v>200</v>
      </c>
      <c r="P6" s="136" t="s">
        <v>643</v>
      </c>
      <c r="R6" s="126">
        <v>2000</v>
      </c>
      <c r="S6" s="126">
        <v>200</v>
      </c>
      <c r="T6" s="131" t="s">
        <v>647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601</v>
      </c>
      <c r="I7" s="125" t="s">
        <v>625</v>
      </c>
      <c r="J7" s="126">
        <v>30</v>
      </c>
      <c r="N7" s="138" t="s">
        <v>641</v>
      </c>
      <c r="O7" s="126">
        <v>200</v>
      </c>
      <c r="P7" s="136" t="s">
        <v>643</v>
      </c>
      <c r="R7" s="126">
        <v>2000</v>
      </c>
      <c r="S7" s="126">
        <v>200</v>
      </c>
      <c r="T7" s="131" t="s">
        <v>646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602</v>
      </c>
      <c r="H8" s="146" t="s">
        <v>834</v>
      </c>
      <c r="I8" s="125" t="s">
        <v>626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603</v>
      </c>
      <c r="H9" s="146" t="s">
        <v>835</v>
      </c>
      <c r="I9" s="125" t="s">
        <v>627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604</v>
      </c>
      <c r="J10" s="126">
        <v>50</v>
      </c>
      <c r="K10" s="136" t="s">
        <v>633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605</v>
      </c>
      <c r="J11" s="126">
        <v>50</v>
      </c>
      <c r="K11" s="136" t="s">
        <v>633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606</v>
      </c>
      <c r="I12" s="125" t="s">
        <v>628</v>
      </c>
      <c r="J12" s="126">
        <v>50</v>
      </c>
      <c r="K12" s="136" t="s">
        <v>634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607</v>
      </c>
      <c r="I13" s="125" t="s">
        <v>629</v>
      </c>
      <c r="J13" s="126">
        <v>50</v>
      </c>
      <c r="K13" s="136" t="s">
        <v>1042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608</v>
      </c>
      <c r="I14" s="125" t="s">
        <v>630</v>
      </c>
      <c r="J14" s="126">
        <v>50</v>
      </c>
      <c r="K14" s="136" t="s">
        <v>1043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609</v>
      </c>
      <c r="I15" s="125" t="s">
        <v>632</v>
      </c>
      <c r="J15" s="126">
        <v>50</v>
      </c>
      <c r="K15" s="136" t="s">
        <v>637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631</v>
      </c>
      <c r="I16" s="125" t="s">
        <v>632</v>
      </c>
      <c r="J16" s="126">
        <v>50</v>
      </c>
      <c r="K16" s="136" t="s">
        <v>636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5" sqref="M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1174</v>
      </c>
      <c r="B1" s="13"/>
      <c r="C1" s="12"/>
      <c r="D1" s="13"/>
      <c r="E1" s="13"/>
      <c r="F1" s="12"/>
      <c r="G1" s="56" t="s">
        <v>1175</v>
      </c>
      <c r="H1" s="56" t="s">
        <v>1175</v>
      </c>
      <c r="I1" s="56" t="s">
        <v>1175</v>
      </c>
      <c r="J1" s="56" t="s">
        <v>1175</v>
      </c>
      <c r="K1" s="56" t="s">
        <v>1175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1176</v>
      </c>
      <c r="B3" s="13"/>
      <c r="C3" s="12"/>
      <c r="D3" s="13"/>
      <c r="E3" s="13"/>
      <c r="F3" s="12"/>
      <c r="G3" s="56" t="s">
        <v>1177</v>
      </c>
      <c r="H3" s="56" t="s">
        <v>1178</v>
      </c>
      <c r="I3" s="56" t="s">
        <v>1179</v>
      </c>
      <c r="J3" s="56" t="s">
        <v>1180</v>
      </c>
      <c r="K3" s="56" t="s">
        <v>1181</v>
      </c>
      <c r="L3" s="10"/>
      <c r="M3" s="10"/>
    </row>
    <row r="4" spans="1:23" s="187" customFormat="1" ht="57.75" customHeight="1" thickBot="1" x14ac:dyDescent="0.2">
      <c r="A4" s="97" t="s">
        <v>1182</v>
      </c>
      <c r="B4" s="109" t="s">
        <v>1183</v>
      </c>
      <c r="C4" s="110"/>
      <c r="D4" s="109"/>
      <c r="E4" s="109"/>
      <c r="F4" s="110"/>
      <c r="G4" s="92" t="s">
        <v>1184</v>
      </c>
      <c r="H4" s="92" t="s">
        <v>1185</v>
      </c>
      <c r="I4" s="92" t="s">
        <v>1186</v>
      </c>
      <c r="J4" s="92" t="s">
        <v>1187</v>
      </c>
      <c r="K4" s="92" t="s">
        <v>1188</v>
      </c>
      <c r="L4" s="93" t="s">
        <v>1189</v>
      </c>
      <c r="M4" s="93" t="s">
        <v>1190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I14" sqref="I1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562</v>
      </c>
      <c r="B1" s="13"/>
      <c r="C1" s="12"/>
      <c r="D1" s="13"/>
      <c r="E1" s="13"/>
      <c r="F1" s="12"/>
      <c r="G1" s="56" t="s">
        <v>796</v>
      </c>
      <c r="H1" s="56" t="s">
        <v>585</v>
      </c>
      <c r="I1" s="56" t="s">
        <v>796</v>
      </c>
      <c r="J1" s="56" t="s">
        <v>585</v>
      </c>
      <c r="K1" s="56" t="s">
        <v>585</v>
      </c>
      <c r="L1" s="164" t="s">
        <v>796</v>
      </c>
      <c r="M1" s="10"/>
      <c r="N1" s="56" t="s">
        <v>796</v>
      </c>
      <c r="O1" s="56" t="s">
        <v>796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991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585</v>
      </c>
      <c r="AJ1" s="56" t="s">
        <v>585</v>
      </c>
      <c r="AK1" s="56" t="s">
        <v>585</v>
      </c>
      <c r="AL1" s="56" t="s">
        <v>585</v>
      </c>
      <c r="AM1" s="56" t="s">
        <v>585</v>
      </c>
      <c r="AN1" s="56" t="s">
        <v>585</v>
      </c>
      <c r="AO1" s="56" t="s">
        <v>1286</v>
      </c>
      <c r="AP1" s="56" t="s">
        <v>1286</v>
      </c>
      <c r="AQ1" s="171"/>
      <c r="AR1" s="56" t="s">
        <v>585</v>
      </c>
      <c r="AS1" s="56" t="s">
        <v>585</v>
      </c>
      <c r="AT1" s="56" t="s">
        <v>585</v>
      </c>
      <c r="AU1" s="56" t="s">
        <v>585</v>
      </c>
      <c r="AV1" s="56" t="s">
        <v>585</v>
      </c>
      <c r="AW1" s="56" t="s">
        <v>585</v>
      </c>
      <c r="AX1" s="56" t="s">
        <v>585</v>
      </c>
      <c r="AY1" s="56" t="s">
        <v>1286</v>
      </c>
      <c r="AZ1" s="171"/>
      <c r="BA1" s="56" t="s">
        <v>585</v>
      </c>
      <c r="BB1" s="56" t="s">
        <v>585</v>
      </c>
      <c r="BC1" s="56" t="s">
        <v>1050</v>
      </c>
      <c r="BD1" s="171"/>
      <c r="BE1" s="56" t="s">
        <v>585</v>
      </c>
      <c r="BF1" s="10"/>
      <c r="BG1" s="56" t="s">
        <v>585</v>
      </c>
      <c r="BH1" s="56" t="s">
        <v>585</v>
      </c>
      <c r="BI1" s="56" t="s">
        <v>585</v>
      </c>
      <c r="BJ1" s="56" t="s">
        <v>585</v>
      </c>
      <c r="BK1" s="56" t="s">
        <v>585</v>
      </c>
      <c r="BL1" s="56" t="s">
        <v>585</v>
      </c>
      <c r="BM1" s="56" t="s">
        <v>585</v>
      </c>
      <c r="BN1" s="56" t="s">
        <v>585</v>
      </c>
      <c r="BO1" s="56" t="s">
        <v>585</v>
      </c>
      <c r="BP1" s="56" t="s">
        <v>585</v>
      </c>
      <c r="BQ1" s="56" t="s">
        <v>585</v>
      </c>
      <c r="BR1" s="10"/>
      <c r="BS1" s="56" t="s">
        <v>585</v>
      </c>
      <c r="BT1" s="56" t="s">
        <v>585</v>
      </c>
      <c r="BU1" s="56" t="s">
        <v>585</v>
      </c>
      <c r="BV1" s="56" t="s">
        <v>585</v>
      </c>
      <c r="BW1" s="56" t="s">
        <v>585</v>
      </c>
      <c r="BX1" s="56" t="s">
        <v>585</v>
      </c>
      <c r="BY1" s="56" t="s">
        <v>585</v>
      </c>
      <c r="BZ1" s="56" t="s">
        <v>585</v>
      </c>
      <c r="CA1" s="56" t="s">
        <v>585</v>
      </c>
      <c r="CB1" s="56" t="s">
        <v>585</v>
      </c>
      <c r="CC1" s="56" t="s">
        <v>585</v>
      </c>
      <c r="CD1" s="56" t="s">
        <v>585</v>
      </c>
      <c r="CE1" s="56" t="s">
        <v>585</v>
      </c>
      <c r="CF1" s="56" t="s">
        <v>585</v>
      </c>
      <c r="CG1" s="56" t="s">
        <v>585</v>
      </c>
      <c r="CH1" s="56" t="s">
        <v>585</v>
      </c>
      <c r="CI1" s="56" t="s">
        <v>585</v>
      </c>
      <c r="CJ1" s="56" t="s">
        <v>585</v>
      </c>
      <c r="CK1" s="56" t="s">
        <v>585</v>
      </c>
      <c r="CL1" s="10"/>
      <c r="CM1" s="56" t="s">
        <v>585</v>
      </c>
      <c r="CN1" s="56" t="s">
        <v>585</v>
      </c>
      <c r="CO1" s="56" t="s">
        <v>585</v>
      </c>
      <c r="CP1" s="56" t="s">
        <v>585</v>
      </c>
      <c r="CQ1" s="56" t="s">
        <v>585</v>
      </c>
      <c r="CR1" s="56" t="s">
        <v>585</v>
      </c>
      <c r="CS1" s="56" t="s">
        <v>585</v>
      </c>
      <c r="CT1" s="56" t="s">
        <v>585</v>
      </c>
      <c r="CU1" s="56" t="s">
        <v>585</v>
      </c>
      <c r="CV1" s="56" t="s">
        <v>585</v>
      </c>
      <c r="CW1" s="56" t="s">
        <v>585</v>
      </c>
      <c r="CX1" s="56" t="s">
        <v>585</v>
      </c>
      <c r="CY1" s="56" t="s">
        <v>585</v>
      </c>
      <c r="CZ1" s="56" t="s">
        <v>585</v>
      </c>
      <c r="DA1" s="56" t="s">
        <v>585</v>
      </c>
      <c r="DB1" s="10"/>
      <c r="DC1" s="56" t="s">
        <v>585</v>
      </c>
      <c r="DD1" s="56" t="s">
        <v>585</v>
      </c>
      <c r="DE1" s="56" t="s">
        <v>585</v>
      </c>
      <c r="DF1" s="56" t="s">
        <v>585</v>
      </c>
      <c r="DG1" s="56" t="s">
        <v>585</v>
      </c>
      <c r="DH1" s="56" t="s">
        <v>585</v>
      </c>
      <c r="DI1" s="56" t="s">
        <v>585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795</v>
      </c>
      <c r="H2" s="56" t="s">
        <v>967</v>
      </c>
      <c r="I2" s="56" t="s">
        <v>795</v>
      </c>
      <c r="J2" s="56" t="s">
        <v>477</v>
      </c>
      <c r="K2" s="56" t="s">
        <v>477</v>
      </c>
      <c r="L2" s="164" t="s">
        <v>797</v>
      </c>
      <c r="M2" s="10"/>
      <c r="N2" s="56" t="s">
        <v>795</v>
      </c>
      <c r="O2" s="56" t="s">
        <v>797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990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1285</v>
      </c>
      <c r="AP2" s="56" t="s">
        <v>1285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1285</v>
      </c>
      <c r="AZ2" s="171"/>
      <c r="BA2" s="56" t="s">
        <v>61</v>
      </c>
      <c r="BB2" s="56" t="s">
        <v>61</v>
      </c>
      <c r="BC2" s="56" t="s">
        <v>1049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568</v>
      </c>
      <c r="B3" s="13"/>
      <c r="C3" s="12"/>
      <c r="D3" s="13"/>
      <c r="E3" s="13"/>
      <c r="F3" s="12"/>
      <c r="G3" s="56" t="s">
        <v>806</v>
      </c>
      <c r="H3" s="56" t="s">
        <v>966</v>
      </c>
      <c r="I3" s="56" t="s">
        <v>809</v>
      </c>
      <c r="J3" s="56" t="s">
        <v>977</v>
      </c>
      <c r="K3" s="56" t="s">
        <v>978</v>
      </c>
      <c r="L3" s="164" t="s">
        <v>826</v>
      </c>
      <c r="M3" s="10"/>
      <c r="N3" s="56" t="s">
        <v>799</v>
      </c>
      <c r="O3" s="56" t="s">
        <v>818</v>
      </c>
      <c r="P3" s="161"/>
      <c r="Q3" s="177"/>
      <c r="R3" s="167"/>
      <c r="S3" s="56" t="s">
        <v>982</v>
      </c>
      <c r="T3" s="56"/>
      <c r="U3" s="56"/>
      <c r="V3" s="161"/>
      <c r="W3" s="177"/>
      <c r="X3" s="171"/>
      <c r="Y3" s="10"/>
      <c r="Z3" s="56" t="s">
        <v>989</v>
      </c>
      <c r="AA3" s="56" t="s">
        <v>801</v>
      </c>
      <c r="AB3" s="56" t="s">
        <v>802</v>
      </c>
      <c r="AC3" s="56" t="s">
        <v>803</v>
      </c>
      <c r="AD3" s="56" t="s">
        <v>804</v>
      </c>
      <c r="AE3" s="173"/>
      <c r="AF3" s="56" t="s">
        <v>1253</v>
      </c>
      <c r="AG3" s="56" t="s">
        <v>1254</v>
      </c>
      <c r="AH3" s="171"/>
      <c r="AI3" s="38" t="s">
        <v>852</v>
      </c>
      <c r="AJ3" s="62" t="s">
        <v>853</v>
      </c>
      <c r="AK3" s="62" t="s">
        <v>854</v>
      </c>
      <c r="AL3" s="62" t="s">
        <v>855</v>
      </c>
      <c r="AM3" s="62" t="s">
        <v>856</v>
      </c>
      <c r="AN3" s="62" t="s">
        <v>857</v>
      </c>
      <c r="AO3" s="62" t="s">
        <v>1290</v>
      </c>
      <c r="AP3" s="62" t="s">
        <v>1284</v>
      </c>
      <c r="AQ3" s="171"/>
      <c r="AR3" s="38" t="s">
        <v>858</v>
      </c>
      <c r="AS3" s="62" t="s">
        <v>859</v>
      </c>
      <c r="AT3" s="62" t="s">
        <v>860</v>
      </c>
      <c r="AU3" s="62" t="s">
        <v>861</v>
      </c>
      <c r="AV3" s="62" t="s">
        <v>862</v>
      </c>
      <c r="AW3" s="62" t="s">
        <v>863</v>
      </c>
      <c r="AX3" s="62" t="s">
        <v>1291</v>
      </c>
      <c r="AY3" s="62" t="s">
        <v>1288</v>
      </c>
      <c r="AZ3" s="171"/>
      <c r="BA3" s="38" t="s">
        <v>902</v>
      </c>
      <c r="BB3" s="62" t="s">
        <v>836</v>
      </c>
      <c r="BC3" s="62" t="s">
        <v>1047</v>
      </c>
      <c r="BD3" s="171"/>
      <c r="BE3" s="38" t="s">
        <v>815</v>
      </c>
      <c r="BF3" s="10"/>
      <c r="BG3" s="38" t="s">
        <v>1201</v>
      </c>
      <c r="BH3" s="62" t="s">
        <v>1202</v>
      </c>
      <c r="BI3" s="62" t="s">
        <v>1203</v>
      </c>
      <c r="BJ3" s="62" t="s">
        <v>1204</v>
      </c>
      <c r="BK3" s="35" t="s">
        <v>1205</v>
      </c>
      <c r="BL3" s="35" t="s">
        <v>1206</v>
      </c>
      <c r="BM3" s="35" t="s">
        <v>1207</v>
      </c>
      <c r="BN3" s="62" t="s">
        <v>1208</v>
      </c>
      <c r="BO3" s="35" t="s">
        <v>1209</v>
      </c>
      <c r="BP3" s="35" t="s">
        <v>1210</v>
      </c>
      <c r="BQ3" s="35" t="s">
        <v>1211</v>
      </c>
      <c r="BR3" s="36"/>
      <c r="BS3" s="35" t="s">
        <v>1212</v>
      </c>
      <c r="BT3" s="35" t="s">
        <v>1213</v>
      </c>
      <c r="BU3" s="35" t="s">
        <v>1214</v>
      </c>
      <c r="BV3" s="35" t="s">
        <v>1215</v>
      </c>
      <c r="BW3" s="35" t="s">
        <v>1216</v>
      </c>
      <c r="BX3" s="35" t="s">
        <v>1217</v>
      </c>
      <c r="BY3" s="35" t="s">
        <v>1218</v>
      </c>
      <c r="BZ3" s="35" t="s">
        <v>1219</v>
      </c>
      <c r="CA3" s="35" t="s">
        <v>1220</v>
      </c>
      <c r="CB3" s="35" t="s">
        <v>1221</v>
      </c>
      <c r="CC3" s="35" t="s">
        <v>1222</v>
      </c>
      <c r="CD3" s="35" t="s">
        <v>1223</v>
      </c>
      <c r="CE3" s="35" t="s">
        <v>1224</v>
      </c>
      <c r="CF3" s="35" t="s">
        <v>1225</v>
      </c>
      <c r="CG3" s="35" t="s">
        <v>1226</v>
      </c>
      <c r="CH3" s="35" t="s">
        <v>1227</v>
      </c>
      <c r="CI3" s="35" t="s">
        <v>1228</v>
      </c>
      <c r="CJ3" s="35" t="s">
        <v>1229</v>
      </c>
      <c r="CK3" s="35" t="s">
        <v>1230</v>
      </c>
      <c r="CL3" s="36"/>
      <c r="CM3" s="35" t="s">
        <v>1231</v>
      </c>
      <c r="CN3" s="35" t="s">
        <v>1232</v>
      </c>
      <c r="CO3" s="35" t="s">
        <v>1233</v>
      </c>
      <c r="CP3" s="35" t="s">
        <v>1234</v>
      </c>
      <c r="CQ3" s="35" t="s">
        <v>1235</v>
      </c>
      <c r="CR3" s="35" t="s">
        <v>1236</v>
      </c>
      <c r="CS3" s="35" t="s">
        <v>1237</v>
      </c>
      <c r="CT3" s="35" t="s">
        <v>1238</v>
      </c>
      <c r="CU3" s="35" t="s">
        <v>1239</v>
      </c>
      <c r="CV3" s="35" t="s">
        <v>1240</v>
      </c>
      <c r="CW3" s="35" t="s">
        <v>1241</v>
      </c>
      <c r="CX3" s="35" t="s">
        <v>1242</v>
      </c>
      <c r="CY3" s="35" t="s">
        <v>1243</v>
      </c>
      <c r="CZ3" s="35" t="s">
        <v>1244</v>
      </c>
      <c r="DA3" s="35" t="s">
        <v>1245</v>
      </c>
      <c r="DB3" s="36"/>
      <c r="DC3" s="35" t="s">
        <v>1246</v>
      </c>
      <c r="DD3" s="35" t="s">
        <v>1247</v>
      </c>
      <c r="DE3" s="35" t="s">
        <v>1248</v>
      </c>
      <c r="DF3" s="35" t="s">
        <v>1249</v>
      </c>
      <c r="DG3" s="35" t="s">
        <v>1250</v>
      </c>
      <c r="DH3" s="35" t="s">
        <v>1251</v>
      </c>
      <c r="DI3" s="35" t="s">
        <v>1252</v>
      </c>
    </row>
    <row r="4" spans="1:113" s="95" customFormat="1" ht="118.5" customHeight="1" thickBot="1" x14ac:dyDescent="0.2">
      <c r="A4" s="97" t="s">
        <v>568</v>
      </c>
      <c r="B4" s="109" t="s">
        <v>587</v>
      </c>
      <c r="C4" s="110"/>
      <c r="D4" s="109" t="s">
        <v>881</v>
      </c>
      <c r="E4" s="109" t="s">
        <v>882</v>
      </c>
      <c r="F4" s="110"/>
      <c r="G4" s="58" t="s">
        <v>807</v>
      </c>
      <c r="H4" s="58" t="s">
        <v>968</v>
      </c>
      <c r="I4" s="58" t="s">
        <v>1052</v>
      </c>
      <c r="J4" s="58" t="s">
        <v>1053</v>
      </c>
      <c r="K4" s="58" t="s">
        <v>1054</v>
      </c>
      <c r="L4" s="165" t="s">
        <v>825</v>
      </c>
      <c r="M4" s="145" t="s">
        <v>808</v>
      </c>
      <c r="N4" s="92" t="s">
        <v>798</v>
      </c>
      <c r="O4" s="56" t="s">
        <v>969</v>
      </c>
      <c r="P4" s="161" t="s">
        <v>1010</v>
      </c>
      <c r="Q4" s="177" t="s">
        <v>983</v>
      </c>
      <c r="R4" s="167" t="s">
        <v>986</v>
      </c>
      <c r="S4" s="56" t="s">
        <v>987</v>
      </c>
      <c r="T4" s="56" t="s">
        <v>1004</v>
      </c>
      <c r="U4" s="56" t="s">
        <v>1005</v>
      </c>
      <c r="V4" s="161" t="s">
        <v>1001</v>
      </c>
      <c r="W4" s="177" t="s">
        <v>984</v>
      </c>
      <c r="X4" s="171" t="s">
        <v>814</v>
      </c>
      <c r="Y4" s="10" t="s">
        <v>805</v>
      </c>
      <c r="Z4" s="56" t="s">
        <v>988</v>
      </c>
      <c r="AA4" s="56" t="s">
        <v>883</v>
      </c>
      <c r="AB4" s="56" t="s">
        <v>884</v>
      </c>
      <c r="AC4" s="56" t="s">
        <v>885</v>
      </c>
      <c r="AD4" s="56" t="s">
        <v>886</v>
      </c>
      <c r="AE4" s="174" t="s">
        <v>985</v>
      </c>
      <c r="AF4" s="56" t="s">
        <v>887</v>
      </c>
      <c r="AG4" s="56" t="s">
        <v>888</v>
      </c>
      <c r="AH4" s="176" t="s">
        <v>970</v>
      </c>
      <c r="AI4" s="38" t="s">
        <v>889</v>
      </c>
      <c r="AJ4" s="62" t="s">
        <v>890</v>
      </c>
      <c r="AK4" s="62" t="s">
        <v>891</v>
      </c>
      <c r="AL4" s="62" t="s">
        <v>892</v>
      </c>
      <c r="AM4" s="62" t="s">
        <v>893</v>
      </c>
      <c r="AN4" s="62" t="s">
        <v>894</v>
      </c>
      <c r="AO4" s="62" t="s">
        <v>1289</v>
      </c>
      <c r="AP4" s="62" t="s">
        <v>1283</v>
      </c>
      <c r="AQ4" s="171" t="s">
        <v>895</v>
      </c>
      <c r="AR4" s="38" t="s">
        <v>896</v>
      </c>
      <c r="AS4" s="62" t="s">
        <v>897</v>
      </c>
      <c r="AT4" s="62" t="s">
        <v>898</v>
      </c>
      <c r="AU4" s="62" t="s">
        <v>899</v>
      </c>
      <c r="AV4" s="62" t="s">
        <v>900</v>
      </c>
      <c r="AW4" s="62" t="s">
        <v>901</v>
      </c>
      <c r="AX4" s="62" t="s">
        <v>906</v>
      </c>
      <c r="AY4" s="62" t="s">
        <v>1287</v>
      </c>
      <c r="AZ4" s="171" t="s">
        <v>837</v>
      </c>
      <c r="BA4" s="38" t="s">
        <v>903</v>
      </c>
      <c r="BB4" s="62" t="s">
        <v>904</v>
      </c>
      <c r="BC4" s="62" t="s">
        <v>1048</v>
      </c>
      <c r="BD4" s="171" t="s">
        <v>864</v>
      </c>
      <c r="BE4" s="38" t="s">
        <v>907</v>
      </c>
      <c r="BF4" s="10" t="s">
        <v>995</v>
      </c>
      <c r="BG4" s="38" t="s">
        <v>908</v>
      </c>
      <c r="BH4" s="62" t="s">
        <v>909</v>
      </c>
      <c r="BI4" s="62" t="s">
        <v>910</v>
      </c>
      <c r="BJ4" s="62" t="s">
        <v>911</v>
      </c>
      <c r="BK4" s="35" t="s">
        <v>912</v>
      </c>
      <c r="BL4" s="35" t="s">
        <v>913</v>
      </c>
      <c r="BM4" s="35" t="s">
        <v>914</v>
      </c>
      <c r="BN4" s="62" t="s">
        <v>915</v>
      </c>
      <c r="BO4" s="35" t="s">
        <v>916</v>
      </c>
      <c r="BP4" s="35" t="s">
        <v>917</v>
      </c>
      <c r="BQ4" s="35" t="s">
        <v>918</v>
      </c>
      <c r="BR4" s="36" t="s">
        <v>994</v>
      </c>
      <c r="BS4" s="35" t="s">
        <v>919</v>
      </c>
      <c r="BT4" s="35" t="s">
        <v>920</v>
      </c>
      <c r="BU4" s="35" t="s">
        <v>921</v>
      </c>
      <c r="BV4" s="35" t="s">
        <v>922</v>
      </c>
      <c r="BW4" s="35" t="s">
        <v>923</v>
      </c>
      <c r="BX4" s="35" t="s">
        <v>924</v>
      </c>
      <c r="BY4" s="35" t="s">
        <v>925</v>
      </c>
      <c r="BZ4" s="35" t="s">
        <v>926</v>
      </c>
      <c r="CA4" s="35" t="s">
        <v>927</v>
      </c>
      <c r="CB4" s="35" t="s">
        <v>928</v>
      </c>
      <c r="CC4" s="35" t="s">
        <v>929</v>
      </c>
      <c r="CD4" s="35" t="s">
        <v>930</v>
      </c>
      <c r="CE4" s="35" t="s">
        <v>931</v>
      </c>
      <c r="CF4" s="35" t="s">
        <v>932</v>
      </c>
      <c r="CG4" s="35" t="s">
        <v>933</v>
      </c>
      <c r="CH4" s="35" t="s">
        <v>934</v>
      </c>
      <c r="CI4" s="35" t="s">
        <v>935</v>
      </c>
      <c r="CJ4" s="35" t="s">
        <v>936</v>
      </c>
      <c r="CK4" s="35" t="s">
        <v>937</v>
      </c>
      <c r="CL4" s="36" t="s">
        <v>993</v>
      </c>
      <c r="CM4" s="35" t="s">
        <v>938</v>
      </c>
      <c r="CN4" s="35" t="s">
        <v>939</v>
      </c>
      <c r="CO4" s="35" t="s">
        <v>940</v>
      </c>
      <c r="CP4" s="35" t="s">
        <v>941</v>
      </c>
      <c r="CQ4" s="35" t="s">
        <v>942</v>
      </c>
      <c r="CR4" s="35" t="s">
        <v>943</v>
      </c>
      <c r="CS4" s="35" t="s">
        <v>944</v>
      </c>
      <c r="CT4" s="35" t="s">
        <v>945</v>
      </c>
      <c r="CU4" s="35" t="s">
        <v>959</v>
      </c>
      <c r="CV4" s="35" t="s">
        <v>958</v>
      </c>
      <c r="CW4" s="35" t="s">
        <v>957</v>
      </c>
      <c r="CX4" s="35" t="s">
        <v>956</v>
      </c>
      <c r="CY4" s="35" t="s">
        <v>955</v>
      </c>
      <c r="CZ4" s="35" t="s">
        <v>954</v>
      </c>
      <c r="DA4" s="35" t="s">
        <v>953</v>
      </c>
      <c r="DB4" s="36" t="s">
        <v>992</v>
      </c>
      <c r="DC4" s="35" t="s">
        <v>952</v>
      </c>
      <c r="DD4" s="35" t="s">
        <v>951</v>
      </c>
      <c r="DE4" s="35" t="s">
        <v>950</v>
      </c>
      <c r="DF4" s="35" t="s">
        <v>949</v>
      </c>
      <c r="DG4" s="35" t="s">
        <v>948</v>
      </c>
      <c r="DH4" s="35" t="s">
        <v>947</v>
      </c>
      <c r="DI4" s="35" t="s">
        <v>946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865</v>
      </c>
      <c r="H5" s="57">
        <v>1</v>
      </c>
      <c r="I5" s="57" t="s">
        <v>1051</v>
      </c>
      <c r="J5" s="57" t="s">
        <v>1067</v>
      </c>
      <c r="K5" s="57" t="s">
        <v>1080</v>
      </c>
      <c r="L5" s="166">
        <v>360</v>
      </c>
      <c r="M5" s="17" t="s">
        <v>963</v>
      </c>
      <c r="N5" s="57" t="s">
        <v>1306</v>
      </c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810</v>
      </c>
      <c r="H6" s="56">
        <v>3</v>
      </c>
      <c r="I6" s="56" t="s">
        <v>1051</v>
      </c>
      <c r="J6" s="56" t="s">
        <v>1067</v>
      </c>
      <c r="L6" s="164">
        <v>360</v>
      </c>
      <c r="M6" s="10" t="s">
        <v>964</v>
      </c>
      <c r="N6" s="56" t="s">
        <v>1307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811</v>
      </c>
      <c r="H7" s="56">
        <v>5</v>
      </c>
      <c r="I7" s="56" t="s">
        <v>1051</v>
      </c>
      <c r="J7" s="56" t="s">
        <v>1067</v>
      </c>
      <c r="L7" s="164">
        <v>360</v>
      </c>
      <c r="M7" s="156" t="s">
        <v>965</v>
      </c>
      <c r="N7" s="56" t="s">
        <v>1308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866</v>
      </c>
      <c r="H8" s="56">
        <v>1</v>
      </c>
      <c r="I8" s="56" t="s">
        <v>1057</v>
      </c>
      <c r="J8" s="56" t="s">
        <v>1068</v>
      </c>
      <c r="L8" s="164">
        <v>360</v>
      </c>
      <c r="N8" s="56" t="s">
        <v>1309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867</v>
      </c>
      <c r="H9" s="56">
        <v>3</v>
      </c>
      <c r="I9" s="56" t="s">
        <v>1055</v>
      </c>
      <c r="J9" s="56" t="s">
        <v>1068</v>
      </c>
      <c r="L9" s="164">
        <v>360</v>
      </c>
      <c r="N9" s="56" t="s">
        <v>1310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868</v>
      </c>
      <c r="H10" s="56">
        <v>5</v>
      </c>
      <c r="I10" s="56" t="s">
        <v>1055</v>
      </c>
      <c r="J10" s="56" t="s">
        <v>1068</v>
      </c>
      <c r="L10" s="164">
        <v>360</v>
      </c>
      <c r="N10" s="56" t="s">
        <v>1311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869</v>
      </c>
      <c r="H11" s="56">
        <v>1</v>
      </c>
      <c r="I11" s="56" t="s">
        <v>1056</v>
      </c>
      <c r="J11" s="56" t="s">
        <v>1069</v>
      </c>
      <c r="L11" s="164">
        <v>360</v>
      </c>
      <c r="N11" s="56" t="s">
        <v>1312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812</v>
      </c>
      <c r="H12" s="56">
        <v>3</v>
      </c>
      <c r="I12" s="56" t="s">
        <v>1056</v>
      </c>
      <c r="J12" s="56" t="s">
        <v>1069</v>
      </c>
      <c r="L12" s="164">
        <v>360</v>
      </c>
      <c r="N12" s="56" t="s">
        <v>1313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813</v>
      </c>
      <c r="H13" s="56">
        <v>5</v>
      </c>
      <c r="I13" s="56" t="s">
        <v>1056</v>
      </c>
      <c r="J13" s="56" t="s">
        <v>1069</v>
      </c>
      <c r="L13" s="164">
        <v>360</v>
      </c>
      <c r="N13" s="56" t="s">
        <v>1314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960</v>
      </c>
      <c r="H25" s="57">
        <v>1</v>
      </c>
      <c r="I25" s="57" t="s">
        <v>1058</v>
      </c>
      <c r="J25" s="57" t="s">
        <v>1070</v>
      </c>
      <c r="K25" s="57"/>
      <c r="L25" s="166">
        <v>360</v>
      </c>
      <c r="M25" s="17"/>
      <c r="N25" s="57" t="s">
        <v>1315</v>
      </c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961</v>
      </c>
      <c r="H26" s="56">
        <v>3</v>
      </c>
      <c r="I26" s="56" t="s">
        <v>1058</v>
      </c>
      <c r="J26" s="56" t="s">
        <v>1070</v>
      </c>
      <c r="L26" s="164">
        <v>360</v>
      </c>
      <c r="N26" s="56" t="s">
        <v>1316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962</v>
      </c>
      <c r="H27" s="56">
        <v>5</v>
      </c>
      <c r="I27" s="56" t="s">
        <v>1058</v>
      </c>
      <c r="J27" s="56" t="s">
        <v>1070</v>
      </c>
      <c r="L27" s="164">
        <v>360</v>
      </c>
      <c r="N27" s="56" t="s">
        <v>1317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974</v>
      </c>
      <c r="H28" s="56">
        <v>1</v>
      </c>
      <c r="I28" s="56" t="s">
        <v>1072</v>
      </c>
      <c r="J28" s="56" t="s">
        <v>1071</v>
      </c>
      <c r="L28" s="164">
        <v>360</v>
      </c>
      <c r="N28" s="56" t="s">
        <v>1318</v>
      </c>
      <c r="O28" s="57">
        <v>10</v>
      </c>
      <c r="P28" s="161">
        <f t="shared" si="3"/>
        <v>0.13411848672575966</v>
      </c>
      <c r="Q28" s="177">
        <f t="shared" si="4"/>
        <v>0.14400000000000002</v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975</v>
      </c>
      <c r="H29" s="56">
        <v>3</v>
      </c>
      <c r="I29" s="56" t="s">
        <v>1072</v>
      </c>
      <c r="J29" s="56" t="s">
        <v>1071</v>
      </c>
      <c r="L29" s="164">
        <v>360</v>
      </c>
      <c r="N29" s="56" t="s">
        <v>1319</v>
      </c>
      <c r="O29" s="56">
        <v>8</v>
      </c>
      <c r="P29" s="161">
        <f t="shared" si="3"/>
        <v>0.10881621829913368</v>
      </c>
      <c r="Q29" s="177">
        <f t="shared" si="4"/>
        <v>0.11520000000000001</v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976</v>
      </c>
      <c r="H30" s="56">
        <v>5</v>
      </c>
      <c r="I30" s="56" t="s">
        <v>1072</v>
      </c>
      <c r="J30" s="56" t="s">
        <v>1071</v>
      </c>
      <c r="L30" s="164">
        <v>360</v>
      </c>
      <c r="N30" s="56" t="s">
        <v>1320</v>
      </c>
      <c r="O30" s="56">
        <v>5</v>
      </c>
      <c r="P30" s="161">
        <f t="shared" si="3"/>
        <v>6.9470779198735899E-2</v>
      </c>
      <c r="Q30" s="177">
        <f t="shared" si="4"/>
        <v>7.2000000000000008E-2</v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819</v>
      </c>
      <c r="H45" s="57">
        <v>1</v>
      </c>
      <c r="I45" s="57" t="s">
        <v>1059</v>
      </c>
      <c r="J45" s="57" t="s">
        <v>1073</v>
      </c>
      <c r="K45" s="57"/>
      <c r="L45" s="166">
        <v>5</v>
      </c>
      <c r="M45" s="17"/>
      <c r="N45" s="57" t="s">
        <v>1321</v>
      </c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820</v>
      </c>
      <c r="H46" s="56">
        <v>3</v>
      </c>
      <c r="I46" s="56" t="s">
        <v>1059</v>
      </c>
      <c r="J46" s="56" t="s">
        <v>1073</v>
      </c>
      <c r="L46" s="164">
        <v>5</v>
      </c>
      <c r="N46" s="56" t="s">
        <v>1322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821</v>
      </c>
      <c r="H47" s="56">
        <v>5</v>
      </c>
      <c r="I47" s="56" t="s">
        <v>1059</v>
      </c>
      <c r="J47" s="56" t="s">
        <v>1073</v>
      </c>
      <c r="L47" s="164">
        <v>5</v>
      </c>
      <c r="N47" s="56" t="s">
        <v>1323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822</v>
      </c>
      <c r="H48" s="56">
        <v>1</v>
      </c>
      <c r="I48" s="56" t="s">
        <v>1060</v>
      </c>
      <c r="J48" s="56" t="s">
        <v>1075</v>
      </c>
      <c r="L48" s="164">
        <v>360</v>
      </c>
      <c r="N48" s="56" t="s">
        <v>1324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823</v>
      </c>
      <c r="H49" s="56">
        <v>3</v>
      </c>
      <c r="I49" s="56" t="s">
        <v>1060</v>
      </c>
      <c r="J49" s="56" t="s">
        <v>1075</v>
      </c>
      <c r="L49" s="164">
        <v>360</v>
      </c>
      <c r="N49" s="56" t="s">
        <v>1326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824</v>
      </c>
      <c r="H50" s="56">
        <v>5</v>
      </c>
      <c r="I50" s="56" t="s">
        <v>1060</v>
      </c>
      <c r="J50" s="56" t="s">
        <v>1075</v>
      </c>
      <c r="L50" s="164">
        <v>360</v>
      </c>
      <c r="N50" s="56" t="s">
        <v>1325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870</v>
      </c>
      <c r="H51" s="56">
        <v>1</v>
      </c>
      <c r="I51" s="56" t="s">
        <v>1061</v>
      </c>
      <c r="J51" s="56" t="s">
        <v>1074</v>
      </c>
      <c r="L51" s="164">
        <v>360</v>
      </c>
      <c r="N51" s="56" t="s">
        <v>1327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871</v>
      </c>
      <c r="H52" s="56">
        <v>3</v>
      </c>
      <c r="I52" s="56" t="s">
        <v>1061</v>
      </c>
      <c r="J52" s="56" t="s">
        <v>1074</v>
      </c>
      <c r="L52" s="164">
        <v>360</v>
      </c>
      <c r="N52" s="56" t="s">
        <v>1329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872</v>
      </c>
      <c r="H53" s="56">
        <v>5</v>
      </c>
      <c r="I53" s="56" t="s">
        <v>1061</v>
      </c>
      <c r="J53" s="56" t="s">
        <v>1074</v>
      </c>
      <c r="L53" s="164">
        <v>360</v>
      </c>
      <c r="N53" s="56" t="s">
        <v>1328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979</v>
      </c>
      <c r="H54" s="56">
        <v>1</v>
      </c>
      <c r="I54" s="56" t="s">
        <v>1333</v>
      </c>
      <c r="J54" s="56" t="s">
        <v>1334</v>
      </c>
      <c r="L54" s="164">
        <v>360</v>
      </c>
      <c r="N54" s="56" t="s">
        <v>1330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980</v>
      </c>
      <c r="H55" s="56">
        <v>3</v>
      </c>
      <c r="I55" s="56" t="s">
        <v>1333</v>
      </c>
      <c r="J55" s="56" t="s">
        <v>1334</v>
      </c>
      <c r="K55" s="56"/>
      <c r="L55" s="164">
        <v>360</v>
      </c>
      <c r="M55" s="10"/>
      <c r="N55" s="56" t="s">
        <v>1332</v>
      </c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981</v>
      </c>
      <c r="H56" s="56">
        <v>5</v>
      </c>
      <c r="I56" s="56" t="s">
        <v>1333</v>
      </c>
      <c r="J56" s="56" t="s">
        <v>1334</v>
      </c>
      <c r="K56" s="56"/>
      <c r="L56" s="164">
        <v>360</v>
      </c>
      <c r="M56" s="10"/>
      <c r="N56" s="56" t="s">
        <v>1331</v>
      </c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1062</v>
      </c>
      <c r="H57" s="56">
        <v>1</v>
      </c>
      <c r="I57" s="56" t="s">
        <v>1063</v>
      </c>
      <c r="J57" s="56" t="s">
        <v>1076</v>
      </c>
      <c r="K57" s="56"/>
      <c r="L57" s="164">
        <v>360</v>
      </c>
      <c r="M57" s="10"/>
      <c r="N57" s="56" t="s">
        <v>1335</v>
      </c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873</v>
      </c>
      <c r="H58" s="56">
        <v>3</v>
      </c>
      <c r="I58" s="56" t="s">
        <v>1063</v>
      </c>
      <c r="J58" s="56" t="s">
        <v>1076</v>
      </c>
      <c r="K58" s="56"/>
      <c r="L58" s="164">
        <v>360</v>
      </c>
      <c r="M58" s="10"/>
      <c r="N58" s="56" t="s">
        <v>1337</v>
      </c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874</v>
      </c>
      <c r="H59" s="56">
        <v>5</v>
      </c>
      <c r="I59" s="56" t="s">
        <v>1063</v>
      </c>
      <c r="J59" s="56" t="s">
        <v>1076</v>
      </c>
      <c r="K59" s="56"/>
      <c r="L59" s="164">
        <v>360</v>
      </c>
      <c r="M59" s="10"/>
      <c r="N59" s="56" t="s">
        <v>1336</v>
      </c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827</v>
      </c>
      <c r="H60" s="56">
        <v>1</v>
      </c>
      <c r="I60" s="56" t="s">
        <v>1064</v>
      </c>
      <c r="J60" s="56" t="s">
        <v>1077</v>
      </c>
      <c r="K60" s="56"/>
      <c r="L60" s="164">
        <v>360</v>
      </c>
      <c r="M60" s="10"/>
      <c r="N60" s="56" t="s">
        <v>1338</v>
      </c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828</v>
      </c>
      <c r="H61" s="56">
        <v>3</v>
      </c>
      <c r="I61" s="56" t="s">
        <v>1064</v>
      </c>
      <c r="J61" s="56" t="s">
        <v>1077</v>
      </c>
      <c r="K61" s="56"/>
      <c r="L61" s="164">
        <v>360</v>
      </c>
      <c r="M61" s="10"/>
      <c r="N61" s="56" t="s">
        <v>1340</v>
      </c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829</v>
      </c>
      <c r="H62" s="56">
        <v>5</v>
      </c>
      <c r="I62" s="56" t="s">
        <v>1064</v>
      </c>
      <c r="J62" s="56" t="s">
        <v>1077</v>
      </c>
      <c r="K62" s="56"/>
      <c r="L62" s="164">
        <v>360</v>
      </c>
      <c r="M62" s="10"/>
      <c r="N62" s="56" t="s">
        <v>1339</v>
      </c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875</v>
      </c>
      <c r="H63" s="56">
        <v>1</v>
      </c>
      <c r="I63" s="56" t="s">
        <v>1065</v>
      </c>
      <c r="J63" s="56" t="s">
        <v>1078</v>
      </c>
      <c r="K63" s="56"/>
      <c r="L63" s="164">
        <v>360</v>
      </c>
      <c r="M63" s="10"/>
      <c r="N63" s="56" t="s">
        <v>1341</v>
      </c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876</v>
      </c>
      <c r="H64" s="56">
        <v>3</v>
      </c>
      <c r="I64" s="56" t="s">
        <v>1065</v>
      </c>
      <c r="J64" s="56" t="s">
        <v>1078</v>
      </c>
      <c r="K64" s="56"/>
      <c r="L64" s="164">
        <v>360</v>
      </c>
      <c r="M64" s="10"/>
      <c r="N64" s="56" t="s">
        <v>1343</v>
      </c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877</v>
      </c>
      <c r="H65" s="56">
        <v>5</v>
      </c>
      <c r="I65" s="56" t="s">
        <v>1065</v>
      </c>
      <c r="J65" s="56" t="s">
        <v>1078</v>
      </c>
      <c r="K65" s="56"/>
      <c r="L65" s="164">
        <v>360</v>
      </c>
      <c r="M65" s="10"/>
      <c r="N65" s="56" t="s">
        <v>1342</v>
      </c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971</v>
      </c>
      <c r="H66" s="56">
        <v>1</v>
      </c>
      <c r="I66" s="56" t="s">
        <v>1066</v>
      </c>
      <c r="J66" s="56" t="s">
        <v>1079</v>
      </c>
      <c r="L66" s="164">
        <v>360</v>
      </c>
      <c r="N66" s="56" t="s">
        <v>1344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972</v>
      </c>
      <c r="H67" s="56">
        <v>3</v>
      </c>
      <c r="I67" s="56" t="s">
        <v>1066</v>
      </c>
      <c r="J67" s="56" t="s">
        <v>1079</v>
      </c>
      <c r="L67" s="164">
        <v>360</v>
      </c>
      <c r="N67" s="56" t="s">
        <v>1345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973</v>
      </c>
      <c r="H68" s="56">
        <v>5</v>
      </c>
      <c r="I68" s="56" t="s">
        <v>1066</v>
      </c>
      <c r="J68" s="56" t="s">
        <v>1079</v>
      </c>
      <c r="L68" s="164">
        <v>360</v>
      </c>
      <c r="N68" s="56" t="s">
        <v>1346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830</v>
      </c>
      <c r="H85" s="57">
        <v>1</v>
      </c>
      <c r="I85" s="57"/>
      <c r="J85" s="57"/>
      <c r="K85" s="57"/>
      <c r="L85" s="166">
        <v>360</v>
      </c>
      <c r="M85" s="17"/>
      <c r="N85" s="57" t="s">
        <v>1347</v>
      </c>
      <c r="O85" s="57">
        <v>0</v>
      </c>
      <c r="P85" s="162" t="str">
        <f t="shared" si="7"/>
        <v/>
      </c>
      <c r="Q85" s="178" t="str">
        <f t="shared" si="8"/>
        <v/>
      </c>
      <c r="R85" s="170" t="s">
        <v>1002</v>
      </c>
      <c r="S85" s="57">
        <v>100</v>
      </c>
      <c r="T85" s="57" t="s">
        <v>1006</v>
      </c>
      <c r="U85" s="57" t="s">
        <v>1007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831</v>
      </c>
      <c r="H86" s="56">
        <v>3</v>
      </c>
      <c r="L86" s="164">
        <v>360</v>
      </c>
      <c r="N86" s="56" t="s">
        <v>1348</v>
      </c>
      <c r="O86" s="56">
        <v>0</v>
      </c>
      <c r="P86" s="161" t="str">
        <f t="shared" si="7"/>
        <v/>
      </c>
      <c r="Q86" s="177" t="str">
        <f t="shared" si="8"/>
        <v/>
      </c>
      <c r="R86" s="98" t="s">
        <v>1003</v>
      </c>
      <c r="S86" s="56">
        <v>200</v>
      </c>
      <c r="T86" s="56" t="s">
        <v>1006</v>
      </c>
      <c r="U86" s="56" t="s">
        <v>1008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832</v>
      </c>
      <c r="H87" s="56">
        <v>5</v>
      </c>
      <c r="L87" s="164">
        <v>360</v>
      </c>
      <c r="N87" s="56" t="s">
        <v>1349</v>
      </c>
      <c r="O87" s="56">
        <v>0</v>
      </c>
      <c r="P87" s="161" t="str">
        <f t="shared" si="7"/>
        <v/>
      </c>
      <c r="Q87" s="177" t="str">
        <f t="shared" si="8"/>
        <v/>
      </c>
      <c r="R87" s="98" t="s">
        <v>1003</v>
      </c>
      <c r="S87" s="56">
        <v>300</v>
      </c>
      <c r="T87" s="56" t="s">
        <v>1006</v>
      </c>
      <c r="U87" s="56" t="s">
        <v>1009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878</v>
      </c>
      <c r="H88" s="56">
        <v>1</v>
      </c>
      <c r="L88" s="164">
        <v>360</v>
      </c>
      <c r="N88" s="56" t="s">
        <v>1350</v>
      </c>
      <c r="O88" s="56">
        <v>0</v>
      </c>
      <c r="P88" s="161" t="str">
        <f t="shared" si="7"/>
        <v/>
      </c>
      <c r="Q88" s="177" t="str">
        <f t="shared" si="8"/>
        <v/>
      </c>
      <c r="R88" s="98" t="s">
        <v>1003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879</v>
      </c>
      <c r="H89" s="56">
        <v>3</v>
      </c>
      <c r="L89" s="164">
        <v>360</v>
      </c>
      <c r="N89" s="56" t="s">
        <v>1351</v>
      </c>
      <c r="O89" s="56">
        <v>0</v>
      </c>
      <c r="P89" s="161" t="str">
        <f t="shared" si="7"/>
        <v/>
      </c>
      <c r="Q89" s="177" t="str">
        <f t="shared" si="8"/>
        <v/>
      </c>
      <c r="R89" s="98" t="s">
        <v>1003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880</v>
      </c>
      <c r="H90" s="56">
        <v>5</v>
      </c>
      <c r="L90" s="164">
        <v>360</v>
      </c>
      <c r="N90" s="56" t="s">
        <v>1352</v>
      </c>
      <c r="O90" s="56">
        <v>0</v>
      </c>
      <c r="P90" s="161" t="str">
        <f t="shared" si="7"/>
        <v/>
      </c>
      <c r="Q90" s="177" t="str">
        <f t="shared" si="8"/>
        <v/>
      </c>
      <c r="R90" s="98" t="s">
        <v>1003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E1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568</v>
      </c>
      <c r="I3" s="56" t="s">
        <v>577</v>
      </c>
      <c r="J3" s="56" t="s">
        <v>578</v>
      </c>
      <c r="K3" s="56" t="s">
        <v>579</v>
      </c>
      <c r="L3" s="56" t="s">
        <v>584</v>
      </c>
      <c r="M3" s="56" t="s">
        <v>590</v>
      </c>
    </row>
    <row r="4" spans="1:24" s="102" customFormat="1" ht="64.5" customHeight="1" thickBot="1" x14ac:dyDescent="0.2">
      <c r="A4" s="97" t="s">
        <v>565</v>
      </c>
      <c r="B4" s="90" t="s">
        <v>663</v>
      </c>
      <c r="C4" s="106"/>
      <c r="D4" s="90"/>
      <c r="E4" s="90"/>
      <c r="F4" s="106"/>
      <c r="G4" s="93" t="s">
        <v>569</v>
      </c>
      <c r="H4" s="93" t="s">
        <v>573</v>
      </c>
      <c r="I4" s="92" t="s">
        <v>653</v>
      </c>
      <c r="J4" s="92" t="s">
        <v>654</v>
      </c>
      <c r="K4" s="92" t="s">
        <v>655</v>
      </c>
      <c r="L4" s="92" t="s">
        <v>582</v>
      </c>
      <c r="M4" s="92" t="s">
        <v>660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570</v>
      </c>
      <c r="H5" s="11" t="s">
        <v>571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1256</v>
      </c>
      <c r="H6" s="11" t="s">
        <v>1255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574</v>
      </c>
      <c r="H7" s="11" t="s">
        <v>583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572</v>
      </c>
      <c r="H8" s="11" t="s">
        <v>576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575</v>
      </c>
      <c r="H9" s="11" t="s">
        <v>657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668</v>
      </c>
      <c r="H10" s="11" t="s">
        <v>635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651</v>
      </c>
      <c r="H11" s="10" t="s">
        <v>656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652</v>
      </c>
      <c r="H12" s="10" t="s">
        <v>656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659</v>
      </c>
      <c r="H13" s="10" t="s">
        <v>661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665</v>
      </c>
      <c r="H14" s="10" t="s">
        <v>666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670</v>
      </c>
      <c r="H15" s="10" t="s">
        <v>664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671</v>
      </c>
      <c r="H16" s="10" t="s">
        <v>669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672</v>
      </c>
      <c r="H17" s="10" t="s">
        <v>673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816</v>
      </c>
      <c r="H18" s="10" t="s">
        <v>817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996</v>
      </c>
      <c r="H19" s="158" t="s">
        <v>1305</v>
      </c>
      <c r="I19" s="158"/>
      <c r="J19" s="158"/>
      <c r="K19" s="158"/>
      <c r="L19" s="158">
        <v>3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2018-09-09T06:19:41Z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