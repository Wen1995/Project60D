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2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M6" i="45" l="1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<sst xmlns="http://schemas.openxmlformats.org/spreadsheetml/2006/main" count="5506" uniqueCount="1462">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</sst>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topLeftCell="A100" zoomScale="85" zoomScaleNormal="85" workbookViewId="0">
      <pane xSplit="12" topLeftCell="AM1" activePane="topRight" state="frozen"/>
      <selection pane="topRight" activeCell="AT117" sqref="AT117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11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5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3</v>
      </c>
      <c r="M5" s="16">
        <v>1</v>
      </c>
      <c r="N5" s="16">
        <v>15</v>
      </c>
      <c r="O5" s="16" t="s">
        <v>1073</v>
      </c>
      <c r="P5" s="56" t="s">
        <v>1337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2</v>
      </c>
      <c r="AJ5" s="17">
        <v>2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1337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3</v>
      </c>
      <c r="AJ6" s="10">
        <v>3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1338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3</v>
      </c>
      <c r="AJ7" s="10">
        <v>3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420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1338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5</v>
      </c>
      <c r="AJ8" s="10">
        <v>5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420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1339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5500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10</v>
      </c>
      <c r="AJ9" s="10">
        <v>10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420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1339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5500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15</v>
      </c>
      <c r="AJ10" s="10">
        <v>15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1340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5500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20</v>
      </c>
      <c r="AJ11" s="10">
        <v>20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420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1340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8000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30</v>
      </c>
      <c r="AJ12" s="10">
        <v>30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420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1407</v>
      </c>
      <c r="P13" s="55" t="s">
        <v>1409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15000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40</v>
      </c>
      <c r="AJ13" s="10">
        <v>40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420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1407</v>
      </c>
      <c r="P14" s="55" t="s">
        <v>1409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60</v>
      </c>
      <c r="AJ14" s="10">
        <v>60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65000</v>
      </c>
      <c r="AV14" s="11">
        <f ca="1">IFERROR(OFFSET(ITEM_RES!$A$1,MATCH(AW14,ITEM_RES!$J:$J,0)-1,0),0)</f>
        <v>211020101</v>
      </c>
      <c r="AW14" s="10" t="s">
        <v>437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1406</v>
      </c>
      <c r="P15" s="55" t="s">
        <v>1408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60</v>
      </c>
      <c r="AJ15" s="10">
        <v>60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110000</v>
      </c>
      <c r="AV15" s="11">
        <f ca="1">IFERROR(OFFSET(ITEM_RES!$A$1,MATCH(AW15,ITEM_RES!$J:$J,0)-1,0),0)</f>
        <v>211020101</v>
      </c>
      <c r="AW15" s="10" t="s">
        <v>437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1406</v>
      </c>
      <c r="P16" s="55" t="s">
        <v>1408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120</v>
      </c>
      <c r="AJ16" s="10">
        <v>120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185000</v>
      </c>
      <c r="AV16" s="11">
        <f ca="1">IFERROR(OFFSET(ITEM_RES!$A$1,MATCH(AW16,ITEM_RES!$J:$J,0)-1,0),0)</f>
        <v>211020101</v>
      </c>
      <c r="AW16" s="10" t="s">
        <v>437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1406</v>
      </c>
      <c r="P17" s="55" t="s">
        <v>1408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180</v>
      </c>
      <c r="AJ17" s="10">
        <v>180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310000</v>
      </c>
      <c r="AV17" s="11">
        <f ca="1">IFERROR(OFFSET(ITEM_RES!$A$1,MATCH(AW17,ITEM_RES!$J:$J,0)-1,0),0)</f>
        <v>211020101</v>
      </c>
      <c r="AW17" s="10" t="s">
        <v>437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1406</v>
      </c>
      <c r="P18" s="55" t="s">
        <v>1408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240</v>
      </c>
      <c r="AJ18" s="10">
        <v>240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485000</v>
      </c>
      <c r="AV18" s="11">
        <f ca="1">IFERROR(OFFSET(ITEM_RES!$A$1,MATCH(AW18,ITEM_RES!$J:$J,0)-1,0),0)</f>
        <v>211020101</v>
      </c>
      <c r="AW18" s="10" t="s">
        <v>437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1406</v>
      </c>
      <c r="P19" s="55" t="s">
        <v>1408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300</v>
      </c>
      <c r="AJ19" s="10">
        <v>300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1050000</v>
      </c>
      <c r="AV19" s="11">
        <f ca="1">IFERROR(OFFSET(ITEM_RES!$A$1,MATCH(AW19,ITEM_RES!$J:$J,0)-1,0),0)</f>
        <v>211020101</v>
      </c>
      <c r="AW19" s="10" t="s">
        <v>437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1406</v>
      </c>
      <c r="P20" s="55" t="s">
        <v>1408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360</v>
      </c>
      <c r="AJ20" s="10">
        <v>360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2150000</v>
      </c>
      <c r="AV20" s="11">
        <f ca="1">IFERROR(OFFSET(ITEM_RES!$A$1,MATCH(AW20,ITEM_RES!$J:$J,0)-1,0),0)</f>
        <v>211020101</v>
      </c>
      <c r="AW20" s="10" t="s">
        <v>437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1406</v>
      </c>
      <c r="P21" s="55" t="s">
        <v>1408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420</v>
      </c>
      <c r="AJ21" s="10">
        <v>420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4000000</v>
      </c>
      <c r="AV21" s="11">
        <f ca="1">IFERROR(OFFSET(ITEM_RES!$A$1,MATCH(AW21,ITEM_RES!$J:$J,0)-1,0),0)</f>
        <v>211020101</v>
      </c>
      <c r="AW21" s="10" t="s">
        <v>437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1406</v>
      </c>
      <c r="P22" s="55" t="s">
        <v>1408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480</v>
      </c>
      <c r="AJ22" s="10">
        <v>480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6500000</v>
      </c>
      <c r="AV22" s="11">
        <f ca="1">IFERROR(OFFSET(ITEM_RES!$A$1,MATCH(AW22,ITEM_RES!$J:$J,0)-1,0),0)</f>
        <v>211020101</v>
      </c>
      <c r="AW22" s="10" t="s">
        <v>437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1406</v>
      </c>
      <c r="P23" s="55" t="s">
        <v>1408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540</v>
      </c>
      <c r="AJ23" s="10">
        <v>540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10000000</v>
      </c>
      <c r="AV23" s="11">
        <f ca="1">IFERROR(OFFSET(ITEM_RES!$A$1,MATCH(AW23,ITEM_RES!$J:$J,0)-1,0),0)</f>
        <v>211020101</v>
      </c>
      <c r="AW23" s="10" t="s">
        <v>437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1406</v>
      </c>
      <c r="P24" s="55" t="s">
        <v>1408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600</v>
      </c>
      <c r="AJ24" s="10">
        <v>600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16000000</v>
      </c>
      <c r="AV24" s="11">
        <f ca="1">IFERROR(OFFSET(ITEM_RES!$A$1,MATCH(AW24,ITEM_RES!$J:$J,0)-1,0),0)</f>
        <v>211020101</v>
      </c>
      <c r="AW24" s="10" t="s">
        <v>437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4</v>
      </c>
      <c r="M25" s="16">
        <v>1</v>
      </c>
      <c r="N25" s="16">
        <v>15</v>
      </c>
      <c r="O25" s="16" t="s">
        <v>1079</v>
      </c>
      <c r="P25" s="56" t="s">
        <v>1341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8000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2</v>
      </c>
      <c r="AJ25" s="17">
        <v>2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1341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15000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3</v>
      </c>
      <c r="AJ26" s="10">
        <v>3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1342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3</v>
      </c>
      <c r="AJ27" s="10">
        <v>3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1342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5</v>
      </c>
      <c r="AJ28" s="10">
        <v>5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1343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10</v>
      </c>
      <c r="AJ29" s="10">
        <v>10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1343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15</v>
      </c>
      <c r="AJ30" s="10">
        <v>15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1344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20</v>
      </c>
      <c r="AJ31" s="10">
        <v>20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1344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30</v>
      </c>
      <c r="AJ32" s="10">
        <v>30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1411</v>
      </c>
      <c r="P33" s="55" t="s">
        <v>1413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40</v>
      </c>
      <c r="AJ33" s="10">
        <v>40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1411</v>
      </c>
      <c r="P34" s="55" t="s">
        <v>1413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60</v>
      </c>
      <c r="AJ34" s="10">
        <v>60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1410</v>
      </c>
      <c r="P35" s="55" t="s">
        <v>1412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60</v>
      </c>
      <c r="AJ35" s="10">
        <v>60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1410</v>
      </c>
      <c r="P36" s="55" t="s">
        <v>1412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120</v>
      </c>
      <c r="AJ36" s="10">
        <v>120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1410</v>
      </c>
      <c r="P37" s="55" t="s">
        <v>1412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180</v>
      </c>
      <c r="AJ37" s="10">
        <v>180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1410</v>
      </c>
      <c r="P38" s="55" t="s">
        <v>1412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240</v>
      </c>
      <c r="AJ38" s="10">
        <v>240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1410</v>
      </c>
      <c r="P39" s="55" t="s">
        <v>1412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300</v>
      </c>
      <c r="AJ39" s="10">
        <v>300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1410</v>
      </c>
      <c r="P40" s="55" t="s">
        <v>1412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360</v>
      </c>
      <c r="AJ40" s="10">
        <v>360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1410</v>
      </c>
      <c r="P41" s="55" t="s">
        <v>1412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420</v>
      </c>
      <c r="AJ41" s="10">
        <v>420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1410</v>
      </c>
      <c r="P42" s="55" t="s">
        <v>1412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480</v>
      </c>
      <c r="AJ42" s="10">
        <v>480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1410</v>
      </c>
      <c r="P43" s="55" t="s">
        <v>1412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540</v>
      </c>
      <c r="AJ43" s="10">
        <v>540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1410</v>
      </c>
      <c r="P44" s="55" t="s">
        <v>1412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600</v>
      </c>
      <c r="AJ44" s="10">
        <v>600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1345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8000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2</v>
      </c>
      <c r="AJ45" s="17">
        <v>2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1345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15000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3</v>
      </c>
      <c r="AJ46" s="10">
        <v>3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1346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15000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3</v>
      </c>
      <c r="AJ47" s="10">
        <v>3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1346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15000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5</v>
      </c>
      <c r="AJ48" s="10">
        <v>5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1347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15000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10</v>
      </c>
      <c r="AJ49" s="10">
        <v>10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1347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15000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15</v>
      </c>
      <c r="AJ50" s="10">
        <v>15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1348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15000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20</v>
      </c>
      <c r="AJ51" s="10">
        <v>20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1348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30</v>
      </c>
      <c r="AJ52" s="10">
        <v>30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1415</v>
      </c>
      <c r="P53" s="55" t="s">
        <v>1417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40</v>
      </c>
      <c r="AJ53" s="10">
        <v>40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1415</v>
      </c>
      <c r="P54" s="55" t="s">
        <v>1417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60</v>
      </c>
      <c r="AJ54" s="10">
        <v>60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1414</v>
      </c>
      <c r="P55" s="55" t="s">
        <v>1416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60</v>
      </c>
      <c r="AJ55" s="10">
        <v>60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1414</v>
      </c>
      <c r="P56" s="55" t="s">
        <v>1416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120</v>
      </c>
      <c r="AJ56" s="10">
        <v>120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1414</v>
      </c>
      <c r="P57" s="55" t="s">
        <v>1416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180</v>
      </c>
      <c r="AJ57" s="10">
        <v>180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1414</v>
      </c>
      <c r="P58" s="55" t="s">
        <v>1416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240</v>
      </c>
      <c r="AJ58" s="10">
        <v>240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1414</v>
      </c>
      <c r="P59" s="55" t="s">
        <v>1416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300</v>
      </c>
      <c r="AJ59" s="10">
        <v>300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1414</v>
      </c>
      <c r="P60" s="55" t="s">
        <v>1416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360</v>
      </c>
      <c r="AJ60" s="10">
        <v>360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1414</v>
      </c>
      <c r="P61" s="55" t="s">
        <v>1416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420</v>
      </c>
      <c r="AJ61" s="10">
        <v>420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1414</v>
      </c>
      <c r="P62" s="55" t="s">
        <v>1416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480</v>
      </c>
      <c r="AJ62" s="10">
        <v>480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1414</v>
      </c>
      <c r="P63" s="55" t="s">
        <v>1416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540</v>
      </c>
      <c r="AJ63" s="10">
        <v>540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1414</v>
      </c>
      <c r="P64" s="55" t="s">
        <v>1416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600</v>
      </c>
      <c r="AJ64" s="10">
        <v>600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5</v>
      </c>
      <c r="M65" s="16">
        <v>1</v>
      </c>
      <c r="N65" s="16">
        <v>15</v>
      </c>
      <c r="O65" s="16" t="s">
        <v>1085</v>
      </c>
      <c r="P65" s="56" t="s">
        <v>1349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8</v>
      </c>
      <c r="AA65" s="76"/>
      <c r="AB65" s="18">
        <f ca="1">IFERROR(OFFSET(MANOR_LEVEL!$B$1,MATCH(AC65-1,MANOR_LEVEL!$A:$A,0)-1,0),0)</f>
        <v>15000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2</v>
      </c>
      <c r="AJ65" s="17">
        <v>2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1349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3</v>
      </c>
      <c r="AJ66" s="10">
        <v>3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1350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3</v>
      </c>
      <c r="AJ67" s="10">
        <v>3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1350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5</v>
      </c>
      <c r="AJ68" s="10">
        <v>5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1351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10</v>
      </c>
      <c r="AJ69" s="10">
        <v>10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1351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15</v>
      </c>
      <c r="AJ70" s="10">
        <v>15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1352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20</v>
      </c>
      <c r="AJ71" s="10">
        <v>20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1352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30</v>
      </c>
      <c r="AJ72" s="10">
        <v>30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1352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40</v>
      </c>
      <c r="AJ73" s="10">
        <v>40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1352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60</v>
      </c>
      <c r="AJ74" s="10">
        <v>60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1352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60</v>
      </c>
      <c r="AJ75" s="10">
        <v>60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1352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120</v>
      </c>
      <c r="AJ76" s="10">
        <v>120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1352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180</v>
      </c>
      <c r="AJ77" s="10">
        <v>180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1352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240</v>
      </c>
      <c r="AJ78" s="10">
        <v>240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1352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300</v>
      </c>
      <c r="AJ79" s="10">
        <v>300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1352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360</v>
      </c>
      <c r="AJ80" s="10">
        <v>360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1352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420</v>
      </c>
      <c r="AJ81" s="10">
        <v>420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1352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480</v>
      </c>
      <c r="AJ82" s="10">
        <v>480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1352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540</v>
      </c>
      <c r="AJ83" s="10">
        <v>540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1352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600</v>
      </c>
      <c r="AJ84" s="10">
        <v>600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747</v>
      </c>
      <c r="P85" s="56" t="s">
        <v>1353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2</v>
      </c>
      <c r="AJ85" s="17">
        <v>2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1353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3</v>
      </c>
      <c r="AJ86" s="10">
        <v>3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1353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3</v>
      </c>
      <c r="AJ87" s="10">
        <v>3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1353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5</v>
      </c>
      <c r="AJ88" s="10">
        <v>5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1353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10</v>
      </c>
      <c r="AJ89" s="10">
        <v>10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1353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15</v>
      </c>
      <c r="AJ90" s="10">
        <v>15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1353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20</v>
      </c>
      <c r="AJ91" s="10">
        <v>20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1353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30</v>
      </c>
      <c r="AJ92" s="10">
        <v>30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1353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40</v>
      </c>
      <c r="AJ93" s="10">
        <v>40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1353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60</v>
      </c>
      <c r="AJ94" s="10">
        <v>60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1353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60</v>
      </c>
      <c r="AJ95" s="10">
        <v>60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1353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120</v>
      </c>
      <c r="AJ96" s="10">
        <v>120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1353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180</v>
      </c>
      <c r="AJ97" s="10">
        <v>180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1353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240</v>
      </c>
      <c r="AJ98" s="10">
        <v>240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1353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300</v>
      </c>
      <c r="AJ99" s="10">
        <v>300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1353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360</v>
      </c>
      <c r="AJ100" s="10">
        <v>360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1353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420</v>
      </c>
      <c r="AJ101" s="10">
        <v>420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1353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480</v>
      </c>
      <c r="AJ102" s="10">
        <v>480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1353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540</v>
      </c>
      <c r="AJ103" s="10">
        <v>540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1353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600</v>
      </c>
      <c r="AJ104" s="10">
        <v>600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6</v>
      </c>
      <c r="M105" s="16">
        <v>1</v>
      </c>
      <c r="N105" s="16">
        <v>15</v>
      </c>
      <c r="O105" s="16" t="s">
        <v>746</v>
      </c>
      <c r="P105" s="56" t="s">
        <v>1354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2</v>
      </c>
      <c r="AJ105" s="17">
        <v>2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1354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3</v>
      </c>
      <c r="AJ106" s="10">
        <v>3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1354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3</v>
      </c>
      <c r="AJ107" s="10">
        <v>3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1354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5</v>
      </c>
      <c r="AJ108" s="10">
        <v>5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1354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10</v>
      </c>
      <c r="AJ109" s="10">
        <v>10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1354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15</v>
      </c>
      <c r="AJ110" s="10">
        <v>15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1354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20</v>
      </c>
      <c r="AJ111" s="10">
        <v>20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1354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30</v>
      </c>
      <c r="AJ112" s="10">
        <v>30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1354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40</v>
      </c>
      <c r="AJ113" s="10">
        <v>40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1354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60</v>
      </c>
      <c r="AJ114" s="10">
        <v>60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1354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60</v>
      </c>
      <c r="AJ115" s="10">
        <v>60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1354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120</v>
      </c>
      <c r="AJ116" s="10">
        <v>120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1354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180</v>
      </c>
      <c r="AJ117" s="10">
        <v>180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1354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240</v>
      </c>
      <c r="AJ118" s="10">
        <v>240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1354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300</v>
      </c>
      <c r="AJ119" s="10">
        <v>300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1354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360</v>
      </c>
      <c r="AJ120" s="10">
        <v>360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1354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420</v>
      </c>
      <c r="AJ121" s="10">
        <v>420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1354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480</v>
      </c>
      <c r="AJ122" s="10">
        <v>480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1354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540</v>
      </c>
      <c r="AJ123" s="10">
        <v>540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1354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600</v>
      </c>
      <c r="AJ124" s="10">
        <v>600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1355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2</v>
      </c>
      <c r="AJ125" s="17">
        <v>2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1454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1355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3</v>
      </c>
      <c r="AJ126" s="10">
        <v>3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1454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1356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3</v>
      </c>
      <c r="AJ127" s="10">
        <v>3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1454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1356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5</v>
      </c>
      <c r="AJ128" s="10">
        <v>5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1454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1357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10</v>
      </c>
      <c r="AJ129" s="10">
        <v>10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1454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1357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15</v>
      </c>
      <c r="AJ130" s="10">
        <v>15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1454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1358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20</v>
      </c>
      <c r="AJ131" s="10">
        <v>20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1454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1358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8000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30</v>
      </c>
      <c r="AJ132" s="10">
        <v>30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1454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1419</v>
      </c>
      <c r="P133" s="55" t="s">
        <v>1421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15000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40</v>
      </c>
      <c r="AJ133" s="10">
        <v>40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1454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1419</v>
      </c>
      <c r="P134" s="55" t="s">
        <v>1421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60</v>
      </c>
      <c r="AJ134" s="10">
        <v>60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1454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1418</v>
      </c>
      <c r="P135" s="55" t="s">
        <v>1420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60</v>
      </c>
      <c r="AJ135" s="10">
        <v>60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1454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1418</v>
      </c>
      <c r="P136" s="55" t="s">
        <v>1420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120</v>
      </c>
      <c r="AJ136" s="10">
        <v>120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1454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1418</v>
      </c>
      <c r="P137" s="55" t="s">
        <v>1420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180</v>
      </c>
      <c r="AJ137" s="10">
        <v>180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1454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1418</v>
      </c>
      <c r="P138" s="55" t="s">
        <v>1420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240</v>
      </c>
      <c r="AJ138" s="10">
        <v>240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1454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1418</v>
      </c>
      <c r="P139" s="55" t="s">
        <v>1420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300</v>
      </c>
      <c r="AJ139" s="10">
        <v>300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1454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1418</v>
      </c>
      <c r="P140" s="55" t="s">
        <v>1420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360</v>
      </c>
      <c r="AJ140" s="10">
        <v>360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1454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1418</v>
      </c>
      <c r="P141" s="55" t="s">
        <v>1420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420</v>
      </c>
      <c r="AJ141" s="10">
        <v>420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1454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1418</v>
      </c>
      <c r="P142" s="55" t="s">
        <v>1420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480</v>
      </c>
      <c r="AJ142" s="10">
        <v>480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1454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1418</v>
      </c>
      <c r="P143" s="55" t="s">
        <v>1420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540</v>
      </c>
      <c r="AJ143" s="10">
        <v>540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1454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1418</v>
      </c>
      <c r="P144" s="55" t="s">
        <v>1420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600</v>
      </c>
      <c r="AJ144" s="10">
        <v>600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1454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1359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2</v>
      </c>
      <c r="AJ145" s="17">
        <v>2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1359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3</v>
      </c>
      <c r="AJ146" s="10">
        <v>3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1360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3</v>
      </c>
      <c r="AJ147" s="10">
        <v>3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1360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5</v>
      </c>
      <c r="AJ148" s="10">
        <v>5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1361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10</v>
      </c>
      <c r="AJ149" s="10">
        <v>10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1361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15</v>
      </c>
      <c r="AJ150" s="10">
        <v>15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1362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20</v>
      </c>
      <c r="AJ151" s="10">
        <v>20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1362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30</v>
      </c>
      <c r="AJ152" s="10">
        <v>30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1423</v>
      </c>
      <c r="P153" s="55" t="s">
        <v>1425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40</v>
      </c>
      <c r="AJ153" s="10">
        <v>40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1423</v>
      </c>
      <c r="P154" s="55" t="s">
        <v>1425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60</v>
      </c>
      <c r="AJ154" s="10">
        <v>60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1422</v>
      </c>
      <c r="P155" s="55" t="s">
        <v>1424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60</v>
      </c>
      <c r="AJ155" s="10">
        <v>60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1422</v>
      </c>
      <c r="P156" s="55" t="s">
        <v>1424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120</v>
      </c>
      <c r="AJ156" s="10">
        <v>120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1422</v>
      </c>
      <c r="P157" s="55" t="s">
        <v>1424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180</v>
      </c>
      <c r="AJ157" s="10">
        <v>180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1422</v>
      </c>
      <c r="P158" s="55" t="s">
        <v>1424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240</v>
      </c>
      <c r="AJ158" s="10">
        <v>240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1422</v>
      </c>
      <c r="P159" s="55" t="s">
        <v>1424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300</v>
      </c>
      <c r="AJ159" s="10">
        <v>300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1422</v>
      </c>
      <c r="P160" s="55" t="s">
        <v>1424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360</v>
      </c>
      <c r="AJ160" s="10">
        <v>360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1422</v>
      </c>
      <c r="P161" s="55" t="s">
        <v>1424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420</v>
      </c>
      <c r="AJ161" s="10">
        <v>420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1422</v>
      </c>
      <c r="P162" s="55" t="s">
        <v>1424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480</v>
      </c>
      <c r="AJ162" s="10">
        <v>480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1422</v>
      </c>
      <c r="P163" s="55" t="s">
        <v>1424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540</v>
      </c>
      <c r="AJ163" s="10">
        <v>540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1422</v>
      </c>
      <c r="P164" s="55" t="s">
        <v>1424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600</v>
      </c>
      <c r="AJ164" s="10">
        <v>600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1363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2</v>
      </c>
      <c r="AJ165" s="17">
        <v>2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1363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3</v>
      </c>
      <c r="AJ166" s="10">
        <v>3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1363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3</v>
      </c>
      <c r="AJ167" s="10">
        <v>3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1363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5</v>
      </c>
      <c r="AJ168" s="10">
        <v>5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1363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10</v>
      </c>
      <c r="AJ169" s="10">
        <v>10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1363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15</v>
      </c>
      <c r="AJ170" s="10">
        <v>15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1363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20</v>
      </c>
      <c r="AJ171" s="10">
        <v>20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1363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30</v>
      </c>
      <c r="AJ172" s="10">
        <v>30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1363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40</v>
      </c>
      <c r="AJ173" s="10">
        <v>40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1363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60</v>
      </c>
      <c r="AJ174" s="10">
        <v>60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1363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60</v>
      </c>
      <c r="AJ175" s="10">
        <v>60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1363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120</v>
      </c>
      <c r="AJ176" s="10">
        <v>120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1363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180</v>
      </c>
      <c r="AJ177" s="10">
        <v>180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1363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240</v>
      </c>
      <c r="AJ178" s="10">
        <v>240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1363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300</v>
      </c>
      <c r="AJ179" s="10">
        <v>300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1363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360</v>
      </c>
      <c r="AJ180" s="10">
        <v>360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1363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420</v>
      </c>
      <c r="AJ181" s="10">
        <v>420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1363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480</v>
      </c>
      <c r="AJ182" s="10">
        <v>480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1363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540</v>
      </c>
      <c r="AJ183" s="10">
        <v>540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1363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600</v>
      </c>
      <c r="AJ184" s="10">
        <v>600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5</v>
      </c>
      <c r="M185" s="16">
        <v>1</v>
      </c>
      <c r="N185" s="16">
        <v>15</v>
      </c>
      <c r="O185" s="16" t="s">
        <v>1104</v>
      </c>
      <c r="P185" s="56" t="s">
        <v>1364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15000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2</v>
      </c>
      <c r="AJ185" s="17">
        <v>2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1426</v>
      </c>
      <c r="P186" s="55" t="s">
        <v>1364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15000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3</v>
      </c>
      <c r="AJ186" s="10">
        <v>3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1364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3</v>
      </c>
      <c r="AJ187" s="10">
        <v>3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1364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5</v>
      </c>
      <c r="AJ188" s="10">
        <v>5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1364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10</v>
      </c>
      <c r="AJ189" s="10">
        <v>10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1364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15</v>
      </c>
      <c r="AJ190" s="10">
        <v>15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1364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20</v>
      </c>
      <c r="AJ191" s="10">
        <v>20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1364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30</v>
      </c>
      <c r="AJ192" s="10">
        <v>30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1364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40</v>
      </c>
      <c r="AJ193" s="10">
        <v>40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1364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60</v>
      </c>
      <c r="AJ194" s="10">
        <v>60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1364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60</v>
      </c>
      <c r="AJ195" s="10">
        <v>60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1364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120</v>
      </c>
      <c r="AJ196" s="10">
        <v>120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1364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180</v>
      </c>
      <c r="AJ197" s="10">
        <v>180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1364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240</v>
      </c>
      <c r="AJ198" s="10">
        <v>240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1364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300</v>
      </c>
      <c r="AJ199" s="10">
        <v>300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1364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360</v>
      </c>
      <c r="AJ200" s="10">
        <v>360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1364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420</v>
      </c>
      <c r="AJ201" s="10">
        <v>420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1364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480</v>
      </c>
      <c r="AJ202" s="10">
        <v>480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1364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540</v>
      </c>
      <c r="AJ203" s="10">
        <v>540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1364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600</v>
      </c>
      <c r="AJ204" s="10">
        <v>600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7</v>
      </c>
      <c r="M205" s="16">
        <v>1</v>
      </c>
      <c r="N205" s="16">
        <v>15</v>
      </c>
      <c r="O205" s="16" t="s">
        <v>1105</v>
      </c>
      <c r="P205" s="56" t="s">
        <v>1365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8000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2</v>
      </c>
      <c r="AJ205" s="17">
        <v>2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1365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8000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3</v>
      </c>
      <c r="AJ206" s="10">
        <v>3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1365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8000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3</v>
      </c>
      <c r="AJ207" s="10">
        <v>3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1365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15000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5</v>
      </c>
      <c r="AJ208" s="10">
        <v>5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1365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15000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10</v>
      </c>
      <c r="AJ209" s="10">
        <v>10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1365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15000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15</v>
      </c>
      <c r="AJ210" s="10">
        <v>15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1365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15000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20</v>
      </c>
      <c r="AJ211" s="10">
        <v>20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1366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15000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30</v>
      </c>
      <c r="AJ212" s="10">
        <v>30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1366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15000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40</v>
      </c>
      <c r="AJ213" s="10">
        <v>40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1367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15000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60</v>
      </c>
      <c r="AJ214" s="10">
        <v>60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1367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60</v>
      </c>
      <c r="AJ215" s="10">
        <v>60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1367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120</v>
      </c>
      <c r="AJ216" s="10">
        <v>120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1367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180</v>
      </c>
      <c r="AJ217" s="10">
        <v>180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1367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240</v>
      </c>
      <c r="AJ218" s="10">
        <v>240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1367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300</v>
      </c>
      <c r="AJ219" s="10">
        <v>300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1367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360</v>
      </c>
      <c r="AJ220" s="10">
        <v>360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1367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420</v>
      </c>
      <c r="AJ221" s="10">
        <v>420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1367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480</v>
      </c>
      <c r="AJ222" s="10">
        <v>480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1367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540</v>
      </c>
      <c r="AJ223" s="10">
        <v>540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1367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600</v>
      </c>
      <c r="AJ224" s="10">
        <v>600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1368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2</v>
      </c>
      <c r="AJ225" s="17">
        <v>2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1368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3</v>
      </c>
      <c r="AJ226" s="10">
        <v>3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1369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3</v>
      </c>
      <c r="AJ227" s="10">
        <v>3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1369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5</v>
      </c>
      <c r="AJ228" s="10">
        <v>5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1370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10</v>
      </c>
      <c r="AJ229" s="10">
        <v>10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1370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15</v>
      </c>
      <c r="AJ230" s="10">
        <v>15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1371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20</v>
      </c>
      <c r="AJ231" s="10">
        <v>20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1371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8000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30</v>
      </c>
      <c r="AJ232" s="10">
        <v>30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1372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15000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40</v>
      </c>
      <c r="AJ233" s="10">
        <v>40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1372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60</v>
      </c>
      <c r="AJ234" s="10">
        <v>60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1372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60</v>
      </c>
      <c r="AJ235" s="10">
        <v>60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1372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120</v>
      </c>
      <c r="AJ236" s="10">
        <v>120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1372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180</v>
      </c>
      <c r="AJ237" s="10">
        <v>180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1372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240</v>
      </c>
      <c r="AJ238" s="10">
        <v>240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1372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300</v>
      </c>
      <c r="AJ239" s="10">
        <v>300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1372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360</v>
      </c>
      <c r="AJ240" s="10">
        <v>360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1372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420</v>
      </c>
      <c r="AJ241" s="10">
        <v>420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1372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480</v>
      </c>
      <c r="AJ242" s="10">
        <v>480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1372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540</v>
      </c>
      <c r="AJ243" s="10">
        <v>540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1372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600</v>
      </c>
      <c r="AJ244" s="10">
        <v>600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1108</v>
      </c>
      <c r="P245" s="56" t="s">
        <v>1373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2</v>
      </c>
      <c r="AJ245" s="17">
        <v>2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1373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3</v>
      </c>
      <c r="AJ246" s="10">
        <v>3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1374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3</v>
      </c>
      <c r="AJ247" s="10">
        <v>3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1374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5</v>
      </c>
      <c r="AJ248" s="10">
        <v>5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1375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10</v>
      </c>
      <c r="AJ249" s="10">
        <v>10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1375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15</v>
      </c>
      <c r="AJ250" s="10">
        <v>15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1376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20</v>
      </c>
      <c r="AJ251" s="10">
        <v>20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1376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30</v>
      </c>
      <c r="AJ252" s="10">
        <v>30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1428</v>
      </c>
      <c r="P253" s="55" t="s">
        <v>1430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40</v>
      </c>
      <c r="AJ253" s="10">
        <v>40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1428</v>
      </c>
      <c r="P254" s="55" t="s">
        <v>1430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60</v>
      </c>
      <c r="AJ254" s="10">
        <v>60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1427</v>
      </c>
      <c r="P255" s="55" t="s">
        <v>1429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60</v>
      </c>
      <c r="AJ255" s="10">
        <v>60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1427</v>
      </c>
      <c r="P256" s="55" t="s">
        <v>1429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120</v>
      </c>
      <c r="AJ256" s="10">
        <v>120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1427</v>
      </c>
      <c r="P257" s="55" t="s">
        <v>1429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180</v>
      </c>
      <c r="AJ257" s="10">
        <v>180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1427</v>
      </c>
      <c r="P258" s="55" t="s">
        <v>1429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240</v>
      </c>
      <c r="AJ258" s="10">
        <v>240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1427</v>
      </c>
      <c r="P259" s="55" t="s">
        <v>1429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300</v>
      </c>
      <c r="AJ259" s="10">
        <v>300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1427</v>
      </c>
      <c r="P260" s="55" t="s">
        <v>1429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360</v>
      </c>
      <c r="AJ260" s="10">
        <v>360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1427</v>
      </c>
      <c r="P261" s="55" t="s">
        <v>1429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420</v>
      </c>
      <c r="AJ261" s="10">
        <v>420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1427</v>
      </c>
      <c r="P262" s="55" t="s">
        <v>1429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480</v>
      </c>
      <c r="AJ262" s="10">
        <v>480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1427</v>
      </c>
      <c r="P263" s="55" t="s">
        <v>1429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540</v>
      </c>
      <c r="AJ263" s="10">
        <v>540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1427</v>
      </c>
      <c r="P264" s="55" t="s">
        <v>1429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600</v>
      </c>
      <c r="AJ264" s="10">
        <v>600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2</v>
      </c>
      <c r="AJ265" s="17">
        <v>2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3</v>
      </c>
      <c r="AJ266" s="10">
        <v>3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3</v>
      </c>
      <c r="AJ267" s="10">
        <v>3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5</v>
      </c>
      <c r="AJ268" s="10">
        <v>5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10</v>
      </c>
      <c r="AJ269" s="10">
        <v>10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15</v>
      </c>
      <c r="AJ270" s="10">
        <v>15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20</v>
      </c>
      <c r="AJ271" s="10">
        <v>20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30</v>
      </c>
      <c r="AJ272" s="10">
        <v>30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40</v>
      </c>
      <c r="AJ273" s="10">
        <v>40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60</v>
      </c>
      <c r="AJ274" s="10">
        <v>60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60</v>
      </c>
      <c r="AJ275" s="10">
        <v>60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120</v>
      </c>
      <c r="AJ276" s="10">
        <v>120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180</v>
      </c>
      <c r="AJ277" s="10">
        <v>180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240</v>
      </c>
      <c r="AJ278" s="10">
        <v>240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300</v>
      </c>
      <c r="AJ279" s="10">
        <v>300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360</v>
      </c>
      <c r="AJ280" s="10">
        <v>360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420</v>
      </c>
      <c r="AJ281" s="10">
        <v>420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480</v>
      </c>
      <c r="AJ282" s="10">
        <v>480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540</v>
      </c>
      <c r="AJ283" s="10">
        <v>540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600</v>
      </c>
      <c r="AJ284" s="10">
        <v>600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20</v>
      </c>
      <c r="M285" s="16">
        <v>1</v>
      </c>
      <c r="N285" s="16">
        <v>15</v>
      </c>
      <c r="O285" s="137" t="s">
        <v>1030</v>
      </c>
      <c r="P285" s="56" t="s">
        <v>1377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2</v>
      </c>
      <c r="AJ285" s="17">
        <v>2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1377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3</v>
      </c>
      <c r="AJ286" s="10">
        <v>3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1377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3</v>
      </c>
      <c r="AJ287" s="10">
        <v>3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1377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5</v>
      </c>
      <c r="AJ288" s="10">
        <v>5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1377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10</v>
      </c>
      <c r="AJ289" s="10">
        <v>10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1377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15</v>
      </c>
      <c r="AJ290" s="10">
        <v>15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1377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20</v>
      </c>
      <c r="AJ291" s="10">
        <v>20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1377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30</v>
      </c>
      <c r="AJ292" s="10">
        <v>30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1377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40</v>
      </c>
      <c r="AJ293" s="10">
        <v>40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1377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60</v>
      </c>
      <c r="AJ294" s="10">
        <v>60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1377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60</v>
      </c>
      <c r="AJ295" s="10">
        <v>60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1377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120</v>
      </c>
      <c r="AJ296" s="10">
        <v>120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1377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180</v>
      </c>
      <c r="AJ297" s="10">
        <v>180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1377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240</v>
      </c>
      <c r="AJ298" s="10">
        <v>240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1377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300</v>
      </c>
      <c r="AJ299" s="10">
        <v>300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1377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360</v>
      </c>
      <c r="AJ300" s="10">
        <v>360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1377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420</v>
      </c>
      <c r="AJ301" s="10">
        <v>420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1377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480</v>
      </c>
      <c r="AJ302" s="10">
        <v>480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1377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540</v>
      </c>
      <c r="AJ303" s="10">
        <v>540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1377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600</v>
      </c>
      <c r="AJ304" s="10">
        <v>600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20</v>
      </c>
      <c r="M305" s="16">
        <v>1</v>
      </c>
      <c r="N305" s="16">
        <v>15</v>
      </c>
      <c r="O305" s="16" t="s">
        <v>1114</v>
      </c>
      <c r="P305" s="56" t="s">
        <v>1378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2</v>
      </c>
      <c r="AJ305" s="17">
        <v>2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1378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3</v>
      </c>
      <c r="AJ306" s="10">
        <v>3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1379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3</v>
      </c>
      <c r="AJ307" s="10">
        <v>3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1379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5</v>
      </c>
      <c r="AJ308" s="10">
        <v>5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1380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10</v>
      </c>
      <c r="AJ309" s="10">
        <v>10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1380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15</v>
      </c>
      <c r="AJ310" s="10">
        <v>15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1381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20</v>
      </c>
      <c r="AJ311" s="10">
        <v>20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1381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30</v>
      </c>
      <c r="AJ312" s="10">
        <v>30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1432</v>
      </c>
      <c r="P313" s="55" t="s">
        <v>1434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40</v>
      </c>
      <c r="AJ313" s="10">
        <v>40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1432</v>
      </c>
      <c r="P314" s="55" t="s">
        <v>1434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60</v>
      </c>
      <c r="AJ314" s="10">
        <v>60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1431</v>
      </c>
      <c r="P315" s="55" t="s">
        <v>1433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60</v>
      </c>
      <c r="AJ315" s="10">
        <v>60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1431</v>
      </c>
      <c r="P316" s="55" t="s">
        <v>1433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120</v>
      </c>
      <c r="AJ316" s="10">
        <v>120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1431</v>
      </c>
      <c r="P317" s="55" t="s">
        <v>1433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180</v>
      </c>
      <c r="AJ317" s="10">
        <v>180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1431</v>
      </c>
      <c r="P318" s="55" t="s">
        <v>1433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240</v>
      </c>
      <c r="AJ318" s="10">
        <v>240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1431</v>
      </c>
      <c r="P319" s="55" t="s">
        <v>1433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300</v>
      </c>
      <c r="AJ319" s="10">
        <v>300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1431</v>
      </c>
      <c r="P320" s="55" t="s">
        <v>1433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360</v>
      </c>
      <c r="AJ320" s="10">
        <v>360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1431</v>
      </c>
      <c r="P321" s="55" t="s">
        <v>1433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420</v>
      </c>
      <c r="AJ321" s="10">
        <v>420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1431</v>
      </c>
      <c r="P322" s="55" t="s">
        <v>1433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480</v>
      </c>
      <c r="AJ322" s="10">
        <v>480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1431</v>
      </c>
      <c r="P323" s="55" t="s">
        <v>1433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540</v>
      </c>
      <c r="AJ323" s="10">
        <v>540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1431</v>
      </c>
      <c r="P324" s="55" t="s">
        <v>1433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600</v>
      </c>
      <c r="AJ324" s="10">
        <v>600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741</v>
      </c>
      <c r="P325" s="56" t="s">
        <v>1382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2</v>
      </c>
      <c r="AJ325" s="17">
        <v>2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1382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3</v>
      </c>
      <c r="AJ326" s="10">
        <v>3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1382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3</v>
      </c>
      <c r="AJ327" s="10">
        <v>3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1382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5</v>
      </c>
      <c r="AJ328" s="10">
        <v>5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1382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10</v>
      </c>
      <c r="AJ329" s="10">
        <v>10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1382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15</v>
      </c>
      <c r="AJ330" s="10">
        <v>15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1382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20</v>
      </c>
      <c r="AJ331" s="10">
        <v>20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1382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30</v>
      </c>
      <c r="AJ332" s="10">
        <v>30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1382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40</v>
      </c>
      <c r="AJ333" s="10">
        <v>40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1382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60</v>
      </c>
      <c r="AJ334" s="10">
        <v>60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1382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60</v>
      </c>
      <c r="AJ335" s="10">
        <v>60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1382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120</v>
      </c>
      <c r="AJ336" s="10">
        <v>120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1382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180</v>
      </c>
      <c r="AJ337" s="10">
        <v>180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1382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240</v>
      </c>
      <c r="AJ338" s="10">
        <v>240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1382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300</v>
      </c>
      <c r="AJ339" s="10">
        <v>300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1382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360</v>
      </c>
      <c r="AJ340" s="10">
        <v>360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1382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420</v>
      </c>
      <c r="AJ341" s="10">
        <v>420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1382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480</v>
      </c>
      <c r="AJ342" s="10">
        <v>480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1382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540</v>
      </c>
      <c r="AJ343" s="10">
        <v>540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1382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600</v>
      </c>
      <c r="AJ344" s="10">
        <v>600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742</v>
      </c>
      <c r="P345" s="56" t="s">
        <v>1383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2</v>
      </c>
      <c r="AJ345" s="17">
        <v>2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1383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3</v>
      </c>
      <c r="AJ346" s="10">
        <v>3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1383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3</v>
      </c>
      <c r="AJ347" s="10">
        <v>3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1383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5</v>
      </c>
      <c r="AJ348" s="10">
        <v>5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1383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10</v>
      </c>
      <c r="AJ349" s="10">
        <v>10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1383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15</v>
      </c>
      <c r="AJ350" s="10">
        <v>15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1383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20</v>
      </c>
      <c r="AJ351" s="10">
        <v>20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1383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30</v>
      </c>
      <c r="AJ352" s="10">
        <v>30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1383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40</v>
      </c>
      <c r="AJ353" s="10">
        <v>40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1383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60</v>
      </c>
      <c r="AJ354" s="10">
        <v>60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1383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60</v>
      </c>
      <c r="AJ355" s="10">
        <v>60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1383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120</v>
      </c>
      <c r="AJ356" s="10">
        <v>120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1383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180</v>
      </c>
      <c r="AJ357" s="10">
        <v>180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1383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240</v>
      </c>
      <c r="AJ358" s="10">
        <v>240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1383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300</v>
      </c>
      <c r="AJ359" s="10">
        <v>300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1383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360</v>
      </c>
      <c r="AJ360" s="10">
        <v>360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1383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420</v>
      </c>
      <c r="AJ361" s="10">
        <v>420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1383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480</v>
      </c>
      <c r="AJ362" s="10">
        <v>480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1383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540</v>
      </c>
      <c r="AJ363" s="10">
        <v>540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1383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600</v>
      </c>
      <c r="AJ364" s="10">
        <v>600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1121</v>
      </c>
      <c r="P365" s="56" t="s">
        <v>1384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2</v>
      </c>
      <c r="AJ365" s="17">
        <v>2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1384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3</v>
      </c>
      <c r="AJ366" s="10">
        <v>3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1385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3</v>
      </c>
      <c r="AJ367" s="10">
        <v>3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1385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5</v>
      </c>
      <c r="AJ368" s="10">
        <v>5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1386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5500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10</v>
      </c>
      <c r="AJ369" s="10">
        <v>10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1386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5500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15</v>
      </c>
      <c r="AJ370" s="10">
        <v>15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1387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5500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20</v>
      </c>
      <c r="AJ371" s="10">
        <v>20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1387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8000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30</v>
      </c>
      <c r="AJ372" s="10">
        <v>30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1436</v>
      </c>
      <c r="P373" s="55" t="s">
        <v>1438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15000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40</v>
      </c>
      <c r="AJ373" s="10">
        <v>40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1436</v>
      </c>
      <c r="P374" s="55" t="s">
        <v>1438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60</v>
      </c>
      <c r="AJ374" s="10">
        <v>60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1435</v>
      </c>
      <c r="P375" s="55" t="s">
        <v>1437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60</v>
      </c>
      <c r="AJ375" s="10">
        <v>60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1435</v>
      </c>
      <c r="P376" s="55" t="s">
        <v>1437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120</v>
      </c>
      <c r="AJ376" s="10">
        <v>120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1435</v>
      </c>
      <c r="P377" s="55" t="s">
        <v>1437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180</v>
      </c>
      <c r="AJ377" s="10">
        <v>180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1435</v>
      </c>
      <c r="P378" s="55" t="s">
        <v>1437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240</v>
      </c>
      <c r="AJ378" s="10">
        <v>240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1435</v>
      </c>
      <c r="P379" s="55" t="s">
        <v>1437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300</v>
      </c>
      <c r="AJ379" s="10">
        <v>300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1435</v>
      </c>
      <c r="P380" s="55" t="s">
        <v>1437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360</v>
      </c>
      <c r="AJ380" s="10">
        <v>360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1435</v>
      </c>
      <c r="P381" s="55" t="s">
        <v>1437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420</v>
      </c>
      <c r="AJ381" s="10">
        <v>420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1435</v>
      </c>
      <c r="P382" s="55" t="s">
        <v>1437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480</v>
      </c>
      <c r="AJ382" s="10">
        <v>480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1435</v>
      </c>
      <c r="P383" s="55" t="s">
        <v>1437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540</v>
      </c>
      <c r="AJ383" s="10">
        <v>540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1435</v>
      </c>
      <c r="P384" s="55" t="s">
        <v>1437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600</v>
      </c>
      <c r="AJ384" s="10">
        <v>600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1388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2</v>
      </c>
      <c r="AJ385" s="17">
        <v>2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1388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3</v>
      </c>
      <c r="AJ386" s="10">
        <v>3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1388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3</v>
      </c>
      <c r="AJ387" s="10">
        <v>3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1388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5</v>
      </c>
      <c r="AJ388" s="10">
        <v>5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1388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10</v>
      </c>
      <c r="AJ389" s="10">
        <v>10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1388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15</v>
      </c>
      <c r="AJ390" s="10">
        <v>15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1388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20</v>
      </c>
      <c r="AJ391" s="10">
        <v>20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1388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30</v>
      </c>
      <c r="AJ392" s="10">
        <v>30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1388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40</v>
      </c>
      <c r="AJ393" s="10">
        <v>40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1388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60</v>
      </c>
      <c r="AJ394" s="10">
        <v>60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1388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60</v>
      </c>
      <c r="AJ395" s="10">
        <v>60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1388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120</v>
      </c>
      <c r="AJ396" s="10">
        <v>120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1388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180</v>
      </c>
      <c r="AJ397" s="10">
        <v>180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1388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240</v>
      </c>
      <c r="AJ398" s="10">
        <v>240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1388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300</v>
      </c>
      <c r="AJ399" s="10">
        <v>300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1388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360</v>
      </c>
      <c r="AJ400" s="10">
        <v>360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1388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420</v>
      </c>
      <c r="AJ401" s="10">
        <v>420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1388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480</v>
      </c>
      <c r="AJ402" s="10">
        <v>480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1388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540</v>
      </c>
      <c r="AJ403" s="10">
        <v>540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1388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600</v>
      </c>
      <c r="AJ404" s="10">
        <v>600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1389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15000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2</v>
      </c>
      <c r="AJ405" s="17">
        <v>2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1447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1389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3</v>
      </c>
      <c r="AJ406" s="10">
        <v>3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1447</v>
      </c>
      <c r="AS406" s="11">
        <v>10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1390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3</v>
      </c>
      <c r="AJ407" s="10">
        <v>3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1447</v>
      </c>
      <c r="AS407" s="11">
        <v>15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1390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5</v>
      </c>
      <c r="AJ408" s="10">
        <v>5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1447</v>
      </c>
      <c r="AS408" s="11">
        <v>20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1391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10</v>
      </c>
      <c r="AJ409" s="10">
        <v>10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1447</v>
      </c>
      <c r="AS409" s="11">
        <v>30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1391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15</v>
      </c>
      <c r="AJ410" s="10">
        <v>15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1447</v>
      </c>
      <c r="AS410" s="11">
        <v>45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1392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20</v>
      </c>
      <c r="AJ411" s="10">
        <v>20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1447</v>
      </c>
      <c r="AS411" s="11">
        <v>180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1392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30</v>
      </c>
      <c r="AJ412" s="10">
        <v>30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1447</v>
      </c>
      <c r="AS412" s="11">
        <v>810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1440</v>
      </c>
      <c r="P413" s="55" t="s">
        <v>1442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40</v>
      </c>
      <c r="AJ413" s="10">
        <v>40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1447</v>
      </c>
      <c r="AS413" s="11">
        <v>2700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1440</v>
      </c>
      <c r="P414" s="55" t="s">
        <v>1442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60</v>
      </c>
      <c r="AJ414" s="10">
        <v>60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1447</v>
      </c>
      <c r="AS414" s="11">
        <v>6000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1439</v>
      </c>
      <c r="P415" s="55" t="s">
        <v>1441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60</v>
      </c>
      <c r="AJ415" s="10">
        <v>60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1447</v>
      </c>
      <c r="AS415" s="11">
        <v>12600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1439</v>
      </c>
      <c r="P416" s="55" t="s">
        <v>1441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120</v>
      </c>
      <c r="AJ416" s="10">
        <v>120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1447</v>
      </c>
      <c r="AS416" s="11">
        <v>23400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1439</v>
      </c>
      <c r="P417" s="55" t="s">
        <v>1441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180</v>
      </c>
      <c r="AJ417" s="10">
        <v>180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1447</v>
      </c>
      <c r="AS417" s="11">
        <v>39000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1439</v>
      </c>
      <c r="P418" s="55" t="s">
        <v>1441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240</v>
      </c>
      <c r="AJ418" s="10">
        <v>240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1448</v>
      </c>
      <c r="AS418" s="11">
        <v>66000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1439</v>
      </c>
      <c r="P419" s="55" t="s">
        <v>1441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300</v>
      </c>
      <c r="AJ419" s="10">
        <v>300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1448</v>
      </c>
      <c r="AS419" s="11">
        <v>111000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1439</v>
      </c>
      <c r="P420" s="55" t="s">
        <v>1441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360</v>
      </c>
      <c r="AJ420" s="10">
        <v>360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1448</v>
      </c>
      <c r="AS420" s="11">
        <v>186000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1439</v>
      </c>
      <c r="P421" s="55" t="s">
        <v>1441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420</v>
      </c>
      <c r="AJ421" s="10">
        <v>420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1448</v>
      </c>
      <c r="AS421" s="11">
        <v>291000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1439</v>
      </c>
      <c r="P422" s="55" t="s">
        <v>1441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480</v>
      </c>
      <c r="AJ422" s="10">
        <v>480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1448</v>
      </c>
      <c r="AS422" s="11">
        <v>630000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1439</v>
      </c>
      <c r="P423" s="55" t="s">
        <v>1441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540</v>
      </c>
      <c r="AJ423" s="10">
        <v>540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1448</v>
      </c>
      <c r="AS423" s="11">
        <v>1290000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1439</v>
      </c>
      <c r="P424" s="55" t="s">
        <v>1441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600</v>
      </c>
      <c r="AJ424" s="10">
        <v>600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1448</v>
      </c>
      <c r="AS424" s="11">
        <v>2400000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2</v>
      </c>
      <c r="AJ425" s="17">
        <v>2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3</v>
      </c>
      <c r="AJ426" s="10">
        <v>3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3</v>
      </c>
      <c r="AJ427" s="10">
        <v>3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5</v>
      </c>
      <c r="AJ428" s="10">
        <v>5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10</v>
      </c>
      <c r="AJ429" s="10">
        <v>10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15</v>
      </c>
      <c r="AJ430" s="10">
        <v>15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20</v>
      </c>
      <c r="AJ431" s="10">
        <v>20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30</v>
      </c>
      <c r="AJ432" s="10">
        <v>30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40</v>
      </c>
      <c r="AJ433" s="10">
        <v>40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60</v>
      </c>
      <c r="AJ434" s="10">
        <v>60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60</v>
      </c>
      <c r="AJ435" s="10">
        <v>60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5500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120</v>
      </c>
      <c r="AJ436" s="10">
        <v>120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5500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180</v>
      </c>
      <c r="AJ437" s="10">
        <v>180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5500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240</v>
      </c>
      <c r="AJ438" s="10">
        <v>240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8000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300</v>
      </c>
      <c r="AJ439" s="10">
        <v>300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8000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360</v>
      </c>
      <c r="AJ440" s="10">
        <v>360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15000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420</v>
      </c>
      <c r="AJ441" s="10">
        <v>420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480</v>
      </c>
      <c r="AJ442" s="10">
        <v>480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540</v>
      </c>
      <c r="AJ443" s="10">
        <v>540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600</v>
      </c>
      <c r="AJ444" s="10">
        <v>600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1393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1090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1090</v>
      </c>
      <c r="AG445" s="178">
        <f ca="1">AE445</f>
        <v>1090</v>
      </c>
      <c r="AH445" s="76"/>
      <c r="AI445" s="18">
        <f t="shared" si="120"/>
        <v>2</v>
      </c>
      <c r="AJ445" s="17">
        <v>2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1333</v>
      </c>
      <c r="AS445" s="18">
        <v>10</v>
      </c>
      <c r="AT445" s="17"/>
      <c r="AU445" s="18"/>
      <c r="AV445" s="18">
        <f ca="1">IFERROR(OFFSET(ITEM_RES!$A$1,MATCH(AW445,ITEM_RES!$J:$J,0)-1,0),0)</f>
        <v>211020801</v>
      </c>
      <c r="AW445" s="17" t="s">
        <v>1447</v>
      </c>
      <c r="AX445" s="18">
        <v>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1393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360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360</v>
      </c>
      <c r="AG446" s="176">
        <f ca="1">AE445+AE446</f>
        <v>1450</v>
      </c>
      <c r="AI446" s="11">
        <f t="shared" si="120"/>
        <v>3</v>
      </c>
      <c r="AJ446" s="10">
        <v>3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1333</v>
      </c>
      <c r="AS446" s="11">
        <v>50</v>
      </c>
      <c r="AV446" s="11">
        <f ca="1">IFERROR(OFFSET(ITEM_RES!$A$1,MATCH(AW446,ITEM_RES!$J:$J,0)-1,0),0)</f>
        <v>211020801</v>
      </c>
      <c r="AW446" s="10" t="s">
        <v>1447</v>
      </c>
      <c r="AX446" s="11">
        <v>10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1394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1350</v>
      </c>
      <c r="AI447" s="11">
        <f t="shared" si="120"/>
        <v>3</v>
      </c>
      <c r="AJ447" s="10">
        <v>3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1333</v>
      </c>
      <c r="AS447" s="11">
        <v>150</v>
      </c>
      <c r="AV447" s="11">
        <f ca="1">IFERROR(OFFSET(ITEM_RES!$A$1,MATCH(AW447,ITEM_RES!$J:$J,0)-1,0),0)</f>
        <v>211020801</v>
      </c>
      <c r="AW447" s="10" t="s">
        <v>1447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1394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5</v>
      </c>
      <c r="AJ448" s="10">
        <v>5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1333</v>
      </c>
      <c r="AS448" s="11">
        <v>600</v>
      </c>
      <c r="AV448" s="11">
        <f ca="1">IFERROR(OFFSET(ITEM_RES!$A$1,MATCH(AW448,ITEM_RES!$J:$J,0)-1,0),0)</f>
        <v>211020801</v>
      </c>
      <c r="AW448" s="10" t="s">
        <v>1447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1395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10</v>
      </c>
      <c r="AJ449" s="10">
        <v>10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1333</v>
      </c>
      <c r="AS449" s="11">
        <v>2700</v>
      </c>
      <c r="AV449" s="11">
        <f ca="1">IFERROR(OFFSET(ITEM_RES!$A$1,MATCH(AW449,ITEM_RES!$J:$J,0)-1,0),0)</f>
        <v>211020801</v>
      </c>
      <c r="AW449" s="10" t="s">
        <v>1447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1395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15</v>
      </c>
      <c r="AJ450" s="10">
        <v>15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1333</v>
      </c>
      <c r="AS450" s="11">
        <v>9000</v>
      </c>
      <c r="AV450" s="11">
        <f ca="1">IFERROR(OFFSET(ITEM_RES!$A$1,MATCH(AW450,ITEM_RES!$J:$J,0)-1,0),0)</f>
        <v>211020801</v>
      </c>
      <c r="AW450" s="10" t="s">
        <v>1447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1396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5500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20</v>
      </c>
      <c r="AJ451" s="10">
        <v>20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1333</v>
      </c>
      <c r="AS451" s="11">
        <v>20000</v>
      </c>
      <c r="AV451" s="11">
        <f ca="1">IFERROR(OFFSET(ITEM_RES!$A$1,MATCH(AW451,ITEM_RES!$J:$J,0)-1,0),0)</f>
        <v>211020801</v>
      </c>
      <c r="AW451" s="10" t="s">
        <v>1447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1396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8000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30</v>
      </c>
      <c r="AJ452" s="10">
        <v>30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1334</v>
      </c>
      <c r="AS452" s="11">
        <v>42000</v>
      </c>
      <c r="AV452" s="11">
        <f ca="1">IFERROR(OFFSET(ITEM_RES!$A$1,MATCH(AW452,ITEM_RES!$J:$J,0)-1,0),0)</f>
        <v>211020801</v>
      </c>
      <c r="AW452" s="10" t="s">
        <v>1447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1444</v>
      </c>
      <c r="P453" s="55" t="s">
        <v>1446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15000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40</v>
      </c>
      <c r="AJ453" s="10">
        <v>40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1334</v>
      </c>
      <c r="AS453" s="11">
        <v>78000</v>
      </c>
      <c r="AV453" s="11">
        <f ca="1">IFERROR(OFFSET(ITEM_RES!$A$1,MATCH(AW453,ITEM_RES!$J:$J,0)-1,0),0)</f>
        <v>211020801</v>
      </c>
      <c r="AW453" s="10" t="s">
        <v>1447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1444</v>
      </c>
      <c r="P454" s="55" t="s">
        <v>1446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60</v>
      </c>
      <c r="AJ454" s="10">
        <v>60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1334</v>
      </c>
      <c r="AS454" s="11">
        <v>130000</v>
      </c>
      <c r="AV454" s="11">
        <f ca="1">IFERROR(OFFSET(ITEM_RES!$A$1,MATCH(AW454,ITEM_RES!$J:$J,0)-1,0),0)</f>
        <v>211020801</v>
      </c>
      <c r="AW454" s="10" t="s">
        <v>1447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1443</v>
      </c>
      <c r="P455" s="55" t="s">
        <v>1445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60</v>
      </c>
      <c r="AJ455" s="10">
        <v>60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1334</v>
      </c>
      <c r="AS455" s="11">
        <v>220000</v>
      </c>
      <c r="AV455" s="11">
        <f ca="1">IFERROR(OFFSET(ITEM_RES!$A$1,MATCH(AW455,ITEM_RES!$J:$J,0)-1,0),0)</f>
        <v>211020801</v>
      </c>
      <c r="AW455" s="10" t="s">
        <v>1447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1443</v>
      </c>
      <c r="P456" s="55" t="s">
        <v>1445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120</v>
      </c>
      <c r="AJ456" s="10">
        <v>120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1447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1443</v>
      </c>
      <c r="P457" s="55" t="s">
        <v>1445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180</v>
      </c>
      <c r="AJ457" s="10">
        <v>180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1447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1443</v>
      </c>
      <c r="P458" s="55" t="s">
        <v>1445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240</v>
      </c>
      <c r="AJ458" s="10">
        <v>240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1448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1443</v>
      </c>
      <c r="P459" s="55" t="s">
        <v>1445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300</v>
      </c>
      <c r="AJ459" s="10">
        <v>300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1448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1443</v>
      </c>
      <c r="P460" s="55" t="s">
        <v>1445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360</v>
      </c>
      <c r="AJ460" s="10">
        <v>360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1448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1443</v>
      </c>
      <c r="P461" s="55" t="s">
        <v>1445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420</v>
      </c>
      <c r="AJ461" s="10">
        <v>420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1448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1443</v>
      </c>
      <c r="P462" s="55" t="s">
        <v>1445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480</v>
      </c>
      <c r="AJ462" s="10">
        <v>480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1448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1443</v>
      </c>
      <c r="P463" s="55" t="s">
        <v>1445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540</v>
      </c>
      <c r="AJ463" s="10">
        <v>540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1448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1443</v>
      </c>
      <c r="P464" s="55" t="s">
        <v>1445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600</v>
      </c>
      <c r="AJ464" s="10">
        <v>600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1448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1397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8000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2</v>
      </c>
      <c r="AJ465" s="17">
        <v>2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1397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8000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3</v>
      </c>
      <c r="AJ466" s="10">
        <v>3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1398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8000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3</v>
      </c>
      <c r="AJ467" s="10">
        <v>3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1398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8000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5</v>
      </c>
      <c r="AJ468" s="10">
        <v>5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1398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8000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10</v>
      </c>
      <c r="AJ469" s="10">
        <v>10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1398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8000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15</v>
      </c>
      <c r="AJ470" s="10">
        <v>15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1398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8000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20</v>
      </c>
      <c r="AJ471" s="10">
        <v>20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1398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8000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30</v>
      </c>
      <c r="AJ472" s="10">
        <v>30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1399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15000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40</v>
      </c>
      <c r="AJ473" s="10">
        <v>40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1399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60</v>
      </c>
      <c r="AJ474" s="10">
        <v>60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1399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60</v>
      </c>
      <c r="AJ475" s="10">
        <v>60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1399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120</v>
      </c>
      <c r="AJ476" s="10">
        <v>120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1400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180</v>
      </c>
      <c r="AJ477" s="10">
        <v>180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1400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240</v>
      </c>
      <c r="AJ478" s="10">
        <v>240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1401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300</v>
      </c>
      <c r="AJ479" s="10">
        <v>300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1401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360</v>
      </c>
      <c r="AJ480" s="10">
        <v>360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1401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420</v>
      </c>
      <c r="AJ481" s="10">
        <v>420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1401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480</v>
      </c>
      <c r="AJ482" s="10">
        <v>480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1401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540</v>
      </c>
      <c r="AJ483" s="10">
        <v>540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1401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600</v>
      </c>
      <c r="AJ484" s="10">
        <v>600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2</v>
      </c>
      <c r="M485" s="16">
        <v>1</v>
      </c>
      <c r="N485" s="16">
        <v>15</v>
      </c>
      <c r="O485" s="16" t="s">
        <v>1145</v>
      </c>
      <c r="P485" s="56" t="s">
        <v>1402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2</v>
      </c>
      <c r="AJ485" s="17">
        <v>2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1402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60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60</v>
      </c>
      <c r="AG486" s="176">
        <f ca="1">AE485+AE486</f>
        <v>2090</v>
      </c>
      <c r="AI486" s="11">
        <f t="shared" si="131"/>
        <v>3</v>
      </c>
      <c r="AJ486" s="10">
        <v>3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10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1402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150</v>
      </c>
      <c r="AI487" s="11">
        <f t="shared" si="131"/>
        <v>3</v>
      </c>
      <c r="AJ487" s="10">
        <v>3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1403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5</v>
      </c>
      <c r="AJ488" s="10">
        <v>5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1403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10</v>
      </c>
      <c r="AJ489" s="10">
        <v>10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1403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15</v>
      </c>
      <c r="AJ490" s="10">
        <v>15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1404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5500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20</v>
      </c>
      <c r="AJ491" s="10">
        <v>20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1404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8000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30</v>
      </c>
      <c r="AJ492" s="10">
        <v>30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1404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15000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40</v>
      </c>
      <c r="AJ493" s="10">
        <v>40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1404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60</v>
      </c>
      <c r="AJ494" s="10">
        <v>60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1405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60</v>
      </c>
      <c r="AJ495" s="10">
        <v>60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1405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120</v>
      </c>
      <c r="AJ496" s="10">
        <v>120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1405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180</v>
      </c>
      <c r="AJ497" s="10">
        <v>180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1405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240</v>
      </c>
      <c r="AJ498" s="10">
        <v>240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1405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300</v>
      </c>
      <c r="AJ499" s="10">
        <v>300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1405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360</v>
      </c>
      <c r="AJ500" s="10">
        <v>360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1405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420</v>
      </c>
      <c r="AJ501" s="10">
        <v>420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1405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480</v>
      </c>
      <c r="AJ502" s="10">
        <v>480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1405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540</v>
      </c>
      <c r="AJ503" s="10">
        <v>540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1405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600</v>
      </c>
      <c r="AJ504" s="10">
        <v>600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O5" activePane="bottomRight" state="frozen"/>
      <selection pane="topRight" activeCell="K1" sqref="K1"/>
      <selection pane="bottomLeft" activeCell="A5" sqref="A5"/>
      <selection pane="bottomRight" activeCell="R5" sqref="R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M28" sqref="M28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M5" sqref="M5:M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553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648</v>
      </c>
      <c r="B3" s="55" t="s">
        <v>550</v>
      </c>
    </row>
    <row r="4" spans="1:13" ht="17.25" thickBot="1" x14ac:dyDescent="0.2">
      <c r="A4" s="57" t="s">
        <v>548</v>
      </c>
      <c r="B4" s="57" t="s">
        <v>549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5500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2750</v>
      </c>
    </row>
    <row r="8" spans="1:13" x14ac:dyDescent="0.15">
      <c r="A8" s="55">
        <v>4</v>
      </c>
      <c r="B8" s="55">
        <v>8000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4000</v>
      </c>
    </row>
    <row r="9" spans="1:13" x14ac:dyDescent="0.15">
      <c r="A9" s="55">
        <v>5</v>
      </c>
      <c r="B9" s="55">
        <v>15000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7500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M15" sqref="M15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2750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4000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7500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20" sqref="K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Q18" sqref="Q18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35" t="s">
        <v>1455</v>
      </c>
      <c r="DE3" s="35" t="s">
        <v>1457</v>
      </c>
      <c r="DF3" s="35" t="s">
        <v>1456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1331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1451</v>
      </c>
      <c r="DE4" s="35" t="s">
        <v>1452</v>
      </c>
      <c r="DF4" s="35" t="s">
        <v>1453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120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120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120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120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120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120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120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120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120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120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120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120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120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120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120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120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120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120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120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120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120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120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120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120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120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120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120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120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120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120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120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120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120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120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120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120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120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120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120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120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120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120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120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120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120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I31" sqref="I3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1332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1449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1450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10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1335</v>
      </c>
      <c r="H19" s="11" t="s">
        <v>1336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workbookViewId="0">
      <selection activeCell="F15" sqref="F15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1458</v>
      </c>
      <c r="B3" s="91" t="s">
        <v>1459</v>
      </c>
    </row>
    <row r="4" spans="1:3" ht="45.75" customHeight="1" thickBot="1" x14ac:dyDescent="0.2">
      <c r="A4" s="91" t="s">
        <v>1460</v>
      </c>
      <c r="B4" s="91" t="s">
        <v>1461</v>
      </c>
    </row>
    <row r="5" spans="1:3" s="110" customFormat="1" x14ac:dyDescent="0.15">
      <c r="A5" s="110">
        <v>1</v>
      </c>
      <c r="B5" s="110">
        <f>C5*1000</f>
        <v>8000</v>
      </c>
      <c r="C5" s="110">
        <v>8</v>
      </c>
    </row>
    <row r="6" spans="1:3" x14ac:dyDescent="0.15">
      <c r="A6" s="91">
        <v>2</v>
      </c>
      <c r="B6" s="91">
        <f t="shared" ref="B6:B24" si="0">C6*1000</f>
        <v>4000</v>
      </c>
      <c r="C6" s="91">
        <v>4</v>
      </c>
    </row>
    <row r="7" spans="1:3" x14ac:dyDescent="0.15">
      <c r="A7" s="91">
        <v>3</v>
      </c>
      <c r="B7" s="91">
        <f t="shared" si="0"/>
        <v>2000</v>
      </c>
      <c r="C7" s="91">
        <v>2</v>
      </c>
    </row>
    <row r="8" spans="1:3" x14ac:dyDescent="0.15">
      <c r="A8" s="91">
        <v>4</v>
      </c>
      <c r="B8" s="91">
        <f t="shared" si="0"/>
        <v>1000</v>
      </c>
      <c r="C8" s="91">
        <v>1</v>
      </c>
    </row>
    <row r="9" spans="1:3" x14ac:dyDescent="0.15">
      <c r="A9" s="91">
        <v>5</v>
      </c>
      <c r="B9" s="91">
        <f t="shared" si="0"/>
        <v>500</v>
      </c>
      <c r="C9" s="91">
        <v>0.5</v>
      </c>
    </row>
    <row r="10" spans="1:3" x14ac:dyDescent="0.15">
      <c r="A10" s="91">
        <v>6</v>
      </c>
      <c r="B10" s="91">
        <f t="shared" si="0"/>
        <v>450</v>
      </c>
      <c r="C10" s="91">
        <v>0.45</v>
      </c>
    </row>
    <row r="11" spans="1:3" x14ac:dyDescent="0.15">
      <c r="A11" s="91">
        <v>7</v>
      </c>
      <c r="B11" s="91">
        <f t="shared" si="0"/>
        <v>400</v>
      </c>
      <c r="C11" s="91">
        <v>0.4</v>
      </c>
    </row>
    <row r="12" spans="1:3" x14ac:dyDescent="0.15">
      <c r="A12" s="91">
        <v>8</v>
      </c>
      <c r="B12" s="91">
        <f t="shared" si="0"/>
        <v>325</v>
      </c>
      <c r="C12" s="91">
        <v>0.32500000000000001</v>
      </c>
    </row>
    <row r="13" spans="1:3" x14ac:dyDescent="0.15">
      <c r="A13" s="91">
        <v>9</v>
      </c>
      <c r="B13" s="91">
        <f t="shared" si="0"/>
        <v>320</v>
      </c>
      <c r="C13" s="91">
        <v>0.32</v>
      </c>
    </row>
    <row r="14" spans="1:3" x14ac:dyDescent="0.15">
      <c r="A14" s="91">
        <v>10</v>
      </c>
      <c r="B14" s="91">
        <f t="shared" si="0"/>
        <v>315</v>
      </c>
      <c r="C14" s="91">
        <v>0.315</v>
      </c>
    </row>
    <row r="15" spans="1:3" x14ac:dyDescent="0.15">
      <c r="A15" s="91">
        <v>11</v>
      </c>
      <c r="B15" s="91">
        <f t="shared" si="0"/>
        <v>310</v>
      </c>
      <c r="C15" s="91">
        <v>0.31</v>
      </c>
    </row>
    <row r="16" spans="1:3" x14ac:dyDescent="0.15">
      <c r="A16" s="91">
        <v>12</v>
      </c>
      <c r="B16" s="91">
        <f t="shared" si="0"/>
        <v>305</v>
      </c>
      <c r="C16" s="91">
        <v>0.30499999999999999</v>
      </c>
    </row>
    <row r="17" spans="1:3" x14ac:dyDescent="0.15">
      <c r="A17" s="91">
        <v>13</v>
      </c>
      <c r="B17" s="91">
        <f t="shared" si="0"/>
        <v>300</v>
      </c>
      <c r="C17" s="91">
        <v>0.3</v>
      </c>
    </row>
    <row r="18" spans="1:3" x14ac:dyDescent="0.15">
      <c r="A18" s="91">
        <v>14</v>
      </c>
      <c r="B18" s="91">
        <f t="shared" si="0"/>
        <v>295</v>
      </c>
      <c r="C18" s="91">
        <v>0.29499999999999998</v>
      </c>
    </row>
    <row r="19" spans="1:3" x14ac:dyDescent="0.15">
      <c r="A19" s="91">
        <v>15</v>
      </c>
      <c r="B19" s="91">
        <f t="shared" si="0"/>
        <v>290</v>
      </c>
      <c r="C19" s="91">
        <v>0.28999999999999998</v>
      </c>
    </row>
    <row r="20" spans="1:3" x14ac:dyDescent="0.15">
      <c r="A20" s="91">
        <v>16</v>
      </c>
      <c r="B20" s="91">
        <f t="shared" si="0"/>
        <v>285</v>
      </c>
      <c r="C20" s="91">
        <v>0.28499999999999998</v>
      </c>
    </row>
    <row r="21" spans="1:3" x14ac:dyDescent="0.15">
      <c r="A21" s="91">
        <v>17</v>
      </c>
      <c r="B21" s="91">
        <f t="shared" si="0"/>
        <v>280</v>
      </c>
      <c r="C21" s="91">
        <v>0.28000000000000003</v>
      </c>
    </row>
    <row r="22" spans="1:3" x14ac:dyDescent="0.15">
      <c r="A22" s="91">
        <v>18</v>
      </c>
      <c r="B22" s="91">
        <f t="shared" si="0"/>
        <v>275</v>
      </c>
      <c r="C22" s="91">
        <v>0.27500000000000002</v>
      </c>
    </row>
    <row r="23" spans="1:3" x14ac:dyDescent="0.15">
      <c r="A23" s="91">
        <v>19</v>
      </c>
      <c r="B23" s="91">
        <f t="shared" si="0"/>
        <v>270</v>
      </c>
      <c r="C23" s="91">
        <v>0.27</v>
      </c>
    </row>
    <row r="24" spans="1:3" x14ac:dyDescent="0.15">
      <c r="A24" s="91">
        <v>20</v>
      </c>
      <c r="B24" s="91">
        <f t="shared" si="0"/>
        <v>265</v>
      </c>
      <c r="C24" s="91">
        <v>0.26500000000000001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2018-09-23T09:57:49Z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